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PhanTich\"/>
    </mc:Choice>
  </mc:AlternateContent>
  <bookViews>
    <workbookView xWindow="0" yWindow="0" windowWidth="28800" windowHeight="12210"/>
  </bookViews>
  <sheets>
    <sheet name="TONG_HOP_NGAY" sheetId="1" r:id="rId1"/>
    <sheet name="GIAO_DICH" sheetId="2" r:id="rId2"/>
    <sheet name="HUONG_DAN" sheetId="3" r:id="rId3"/>
  </sheets>
  <calcPr calcId="162913" forceFullCalc="1"/>
</workbook>
</file>

<file path=xl/calcChain.xml><?xml version="1.0" encoding="utf-8"?>
<calcChain xmlns="http://schemas.openxmlformats.org/spreadsheetml/2006/main">
  <c r="C10" i="1" l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D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C46" i="1"/>
  <c r="D46" i="1"/>
  <c r="E46" i="1"/>
  <c r="C47" i="1"/>
  <c r="D47" i="1"/>
  <c r="E47" i="1"/>
  <c r="C48" i="1"/>
  <c r="D48" i="1"/>
  <c r="E48" i="1"/>
  <c r="C49" i="1"/>
  <c r="D49" i="1"/>
  <c r="E49" i="1"/>
  <c r="C50" i="1"/>
  <c r="D50" i="1"/>
  <c r="E50" i="1"/>
  <c r="C51" i="1"/>
  <c r="D51" i="1"/>
  <c r="E51" i="1"/>
  <c r="C52" i="1"/>
  <c r="D52" i="1"/>
  <c r="E52" i="1"/>
  <c r="C53" i="1"/>
  <c r="D53" i="1"/>
  <c r="E53" i="1"/>
  <c r="C54" i="1"/>
  <c r="D54" i="1"/>
  <c r="E54" i="1"/>
  <c r="C55" i="1"/>
  <c r="D55" i="1"/>
  <c r="E55" i="1"/>
  <c r="C56" i="1"/>
  <c r="D56" i="1"/>
  <c r="E56" i="1"/>
  <c r="C57" i="1"/>
  <c r="D57" i="1"/>
  <c r="E57" i="1"/>
  <c r="C58" i="1"/>
  <c r="D58" i="1"/>
  <c r="E58" i="1"/>
  <c r="C59" i="1"/>
  <c r="D59" i="1"/>
  <c r="E59" i="1"/>
  <c r="C60" i="1"/>
  <c r="D60" i="1"/>
  <c r="E60" i="1"/>
  <c r="C61" i="1"/>
  <c r="D61" i="1"/>
  <c r="E61" i="1"/>
  <c r="C62" i="1"/>
  <c r="D62" i="1"/>
  <c r="E62" i="1"/>
  <c r="C63" i="1"/>
  <c r="D63" i="1"/>
  <c r="E63" i="1"/>
  <c r="C64" i="1"/>
  <c r="D64" i="1"/>
  <c r="E64" i="1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C78" i="1"/>
  <c r="D78" i="1"/>
  <c r="E78" i="1"/>
  <c r="C79" i="1"/>
  <c r="D79" i="1"/>
  <c r="E79" i="1"/>
  <c r="C80" i="1"/>
  <c r="D80" i="1"/>
  <c r="E80" i="1"/>
  <c r="C81" i="1"/>
  <c r="D81" i="1"/>
  <c r="E81" i="1"/>
  <c r="C82" i="1"/>
  <c r="D82" i="1"/>
  <c r="E82" i="1"/>
  <c r="C83" i="1"/>
  <c r="D83" i="1"/>
  <c r="E83" i="1"/>
  <c r="C84" i="1"/>
  <c r="D84" i="1"/>
  <c r="E84" i="1"/>
  <c r="C85" i="1"/>
  <c r="D85" i="1"/>
  <c r="E85" i="1"/>
  <c r="C86" i="1"/>
  <c r="D86" i="1"/>
  <c r="E86" i="1"/>
  <c r="C87" i="1"/>
  <c r="D87" i="1"/>
  <c r="E87" i="1"/>
  <c r="C88" i="1"/>
  <c r="D88" i="1"/>
  <c r="E88" i="1"/>
  <c r="C89" i="1"/>
  <c r="D89" i="1"/>
  <c r="E89" i="1"/>
  <c r="C90" i="1"/>
  <c r="D90" i="1"/>
  <c r="E90" i="1"/>
  <c r="C91" i="1"/>
  <c r="D91" i="1"/>
  <c r="E91" i="1"/>
  <c r="C92" i="1"/>
  <c r="D92" i="1"/>
  <c r="E92" i="1"/>
  <c r="C93" i="1"/>
  <c r="D93" i="1"/>
  <c r="E93" i="1"/>
  <c r="C94" i="1"/>
  <c r="D94" i="1"/>
  <c r="E94" i="1"/>
  <c r="C95" i="1"/>
  <c r="D95" i="1"/>
  <c r="E95" i="1"/>
  <c r="C96" i="1"/>
  <c r="D96" i="1"/>
  <c r="E96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F3" i="1" l="1"/>
  <c r="B4" i="1" l="1"/>
  <c r="F4" i="1" s="1"/>
  <c r="H3" i="1"/>
  <c r="B5" i="1" l="1"/>
  <c r="F5" i="1" s="1"/>
  <c r="H4" i="1"/>
  <c r="I3" i="1"/>
  <c r="J3" i="1"/>
  <c r="B6" i="1" l="1"/>
  <c r="F6" i="1" s="1"/>
  <c r="B7" i="1" s="1"/>
  <c r="F7" i="1" s="1"/>
  <c r="H5" i="1"/>
  <c r="I4" i="1"/>
  <c r="J4" i="1"/>
  <c r="H6" i="1" l="1"/>
  <c r="I6" i="1" s="1"/>
  <c r="I5" i="1"/>
  <c r="J5" i="1"/>
  <c r="B8" i="1"/>
  <c r="F8" i="1" s="1"/>
  <c r="H7" i="1"/>
  <c r="J6" i="1" l="1"/>
  <c r="I7" i="1"/>
  <c r="J7" i="1"/>
  <c r="B9" i="1"/>
  <c r="F9" i="1" s="1"/>
  <c r="H8" i="1"/>
  <c r="H9" i="1" l="1"/>
  <c r="I9" i="1" s="1"/>
  <c r="B10" i="1"/>
  <c r="F10" i="1" s="1"/>
  <c r="I8" i="1"/>
  <c r="J8" i="1"/>
  <c r="J9" i="1" l="1"/>
  <c r="B11" i="1"/>
  <c r="F11" i="1" s="1"/>
  <c r="H10" i="1"/>
  <c r="I10" i="1" l="1"/>
  <c r="J10" i="1"/>
  <c r="B12" i="1"/>
  <c r="F12" i="1" s="1"/>
  <c r="H11" i="1"/>
  <c r="I11" i="1" l="1"/>
  <c r="J11" i="1"/>
  <c r="B13" i="1"/>
  <c r="F13" i="1" s="1"/>
  <c r="H12" i="1"/>
  <c r="I12" i="1" l="1"/>
  <c r="J12" i="1"/>
  <c r="H13" i="1"/>
  <c r="B14" i="1"/>
  <c r="F14" i="1" s="1"/>
  <c r="H14" i="1" l="1"/>
  <c r="B15" i="1"/>
  <c r="F15" i="1" s="1"/>
  <c r="I13" i="1"/>
  <c r="J13" i="1"/>
  <c r="I14" i="1" l="1"/>
  <c r="J14" i="1"/>
  <c r="H15" i="1"/>
  <c r="B16" i="1"/>
  <c r="F16" i="1" s="1"/>
  <c r="B17" i="1" l="1"/>
  <c r="F17" i="1" s="1"/>
  <c r="H16" i="1"/>
  <c r="I15" i="1"/>
  <c r="J15" i="1"/>
  <c r="I16" i="1" l="1"/>
  <c r="J16" i="1"/>
  <c r="B18" i="1"/>
  <c r="F18" i="1" s="1"/>
  <c r="H17" i="1"/>
  <c r="I17" i="1" l="1"/>
  <c r="J17" i="1"/>
  <c r="B19" i="1"/>
  <c r="F19" i="1" s="1"/>
  <c r="H18" i="1"/>
  <c r="I18" i="1" l="1"/>
  <c r="J18" i="1"/>
  <c r="B20" i="1"/>
  <c r="F20" i="1" s="1"/>
  <c r="H19" i="1"/>
  <c r="I19" i="1" l="1"/>
  <c r="J19" i="1"/>
  <c r="H20" i="1"/>
  <c r="B21" i="1"/>
  <c r="F21" i="1" s="1"/>
  <c r="H21" i="1" l="1"/>
  <c r="B22" i="1"/>
  <c r="F22" i="1" s="1"/>
  <c r="J20" i="1"/>
  <c r="I20" i="1"/>
  <c r="H22" i="1" l="1"/>
  <c r="B23" i="1"/>
  <c r="F23" i="1" s="1"/>
  <c r="I21" i="1"/>
  <c r="J21" i="1"/>
  <c r="B24" i="1" l="1"/>
  <c r="F24" i="1" s="1"/>
  <c r="H23" i="1"/>
  <c r="I22" i="1"/>
  <c r="J22" i="1"/>
  <c r="I23" i="1" l="1"/>
  <c r="J23" i="1"/>
  <c r="B25" i="1"/>
  <c r="F25" i="1" s="1"/>
  <c r="H24" i="1"/>
  <c r="I24" i="1" l="1"/>
  <c r="J24" i="1"/>
  <c r="B26" i="1"/>
  <c r="F26" i="1" s="1"/>
  <c r="H25" i="1"/>
  <c r="I25" i="1" l="1"/>
  <c r="J25" i="1"/>
  <c r="B27" i="1"/>
  <c r="F27" i="1" s="1"/>
  <c r="H26" i="1"/>
  <c r="H27" i="1" l="1"/>
  <c r="B28" i="1"/>
  <c r="F28" i="1" s="1"/>
  <c r="I26" i="1"/>
  <c r="J26" i="1"/>
  <c r="H28" i="1" l="1"/>
  <c r="B29" i="1"/>
  <c r="F29" i="1" s="1"/>
  <c r="I27" i="1"/>
  <c r="J27" i="1"/>
  <c r="H29" i="1" l="1"/>
  <c r="B30" i="1"/>
  <c r="F30" i="1" s="1"/>
  <c r="I28" i="1"/>
  <c r="J28" i="1"/>
  <c r="B31" i="1" l="1"/>
  <c r="F31" i="1" s="1"/>
  <c r="H30" i="1"/>
  <c r="I29" i="1"/>
  <c r="J29" i="1"/>
  <c r="J30" i="1" l="1"/>
  <c r="I30" i="1"/>
  <c r="B32" i="1"/>
  <c r="F32" i="1" s="1"/>
  <c r="H31" i="1"/>
  <c r="I31" i="1" l="1"/>
  <c r="J31" i="1"/>
  <c r="B33" i="1"/>
  <c r="F33" i="1" s="1"/>
  <c r="H32" i="1"/>
  <c r="I32" i="1" l="1"/>
  <c r="J32" i="1"/>
  <c r="B34" i="1"/>
  <c r="F34" i="1" s="1"/>
  <c r="H33" i="1"/>
  <c r="I33" i="1" l="1"/>
  <c r="J33" i="1"/>
  <c r="H34" i="1"/>
  <c r="B35" i="1"/>
  <c r="F35" i="1" s="1"/>
  <c r="H35" i="1" l="1"/>
  <c r="B36" i="1"/>
  <c r="F36" i="1" s="1"/>
  <c r="J34" i="1"/>
  <c r="I34" i="1"/>
  <c r="H36" i="1" l="1"/>
  <c r="B37" i="1"/>
  <c r="F37" i="1" s="1"/>
  <c r="I35" i="1"/>
  <c r="J35" i="1"/>
  <c r="B38" i="1" l="1"/>
  <c r="F38" i="1" s="1"/>
  <c r="H37" i="1"/>
  <c r="I36" i="1"/>
  <c r="J36" i="1"/>
  <c r="B39" i="1" l="1"/>
  <c r="F39" i="1" s="1"/>
  <c r="H38" i="1"/>
  <c r="I37" i="1"/>
  <c r="J37" i="1"/>
  <c r="I38" i="1" l="1"/>
  <c r="J38" i="1"/>
  <c r="B40" i="1"/>
  <c r="F40" i="1" s="1"/>
  <c r="H39" i="1"/>
  <c r="I39" i="1" l="1"/>
  <c r="J39" i="1"/>
  <c r="H40" i="1"/>
  <c r="B41" i="1"/>
  <c r="F41" i="1" s="1"/>
  <c r="H41" i="1" l="1"/>
  <c r="B42" i="1"/>
  <c r="F42" i="1" s="1"/>
  <c r="I40" i="1"/>
  <c r="J40" i="1"/>
  <c r="H42" i="1" l="1"/>
  <c r="B43" i="1"/>
  <c r="F43" i="1" s="1"/>
  <c r="I41" i="1"/>
  <c r="J41" i="1"/>
  <c r="H43" i="1" l="1"/>
  <c r="B44" i="1"/>
  <c r="F44" i="1" s="1"/>
  <c r="I42" i="1"/>
  <c r="J42" i="1"/>
  <c r="B45" i="1" l="1"/>
  <c r="F45" i="1" s="1"/>
  <c r="H44" i="1"/>
  <c r="I43" i="1"/>
  <c r="J43" i="1"/>
  <c r="I44" i="1" l="1"/>
  <c r="J44" i="1"/>
  <c r="B46" i="1"/>
  <c r="F46" i="1" s="1"/>
  <c r="H45" i="1"/>
  <c r="J45" i="1" l="1"/>
  <c r="I45" i="1"/>
  <c r="B47" i="1"/>
  <c r="F47" i="1" s="1"/>
  <c r="H46" i="1"/>
  <c r="H47" i="1" l="1"/>
  <c r="B48" i="1"/>
  <c r="F48" i="1" s="1"/>
  <c r="I46" i="1"/>
  <c r="J46" i="1"/>
  <c r="H48" i="1" l="1"/>
  <c r="B49" i="1"/>
  <c r="F49" i="1" s="1"/>
  <c r="I47" i="1"/>
  <c r="J47" i="1"/>
  <c r="H49" i="1" l="1"/>
  <c r="B50" i="1"/>
  <c r="F50" i="1" s="1"/>
  <c r="I48" i="1"/>
  <c r="J48" i="1"/>
  <c r="H50" i="1" l="1"/>
  <c r="B51" i="1"/>
  <c r="F51" i="1" s="1"/>
  <c r="I49" i="1"/>
  <c r="J49" i="1"/>
  <c r="B52" i="1" l="1"/>
  <c r="F52" i="1" s="1"/>
  <c r="H51" i="1"/>
  <c r="I50" i="1"/>
  <c r="J50" i="1"/>
  <c r="I51" i="1" l="1"/>
  <c r="J51" i="1"/>
  <c r="B53" i="1"/>
  <c r="F53" i="1" s="1"/>
  <c r="H52" i="1"/>
  <c r="I52" i="1" l="1"/>
  <c r="J52" i="1"/>
  <c r="B54" i="1"/>
  <c r="F54" i="1" s="1"/>
  <c r="H53" i="1"/>
  <c r="I53" i="1" l="1"/>
  <c r="J53" i="1"/>
  <c r="H54" i="1"/>
  <c r="B55" i="1"/>
  <c r="F55" i="1" s="1"/>
  <c r="H55" i="1" l="1"/>
  <c r="B56" i="1"/>
  <c r="F56" i="1" s="1"/>
  <c r="I54" i="1"/>
  <c r="J54" i="1"/>
  <c r="H56" i="1" l="1"/>
  <c r="B57" i="1"/>
  <c r="F57" i="1" s="1"/>
  <c r="I55" i="1"/>
  <c r="J55" i="1"/>
  <c r="H57" i="1" l="1"/>
  <c r="B58" i="1"/>
  <c r="F58" i="1" s="1"/>
  <c r="I56" i="1"/>
  <c r="J56" i="1"/>
  <c r="B59" i="1" l="1"/>
  <c r="F59" i="1" s="1"/>
  <c r="H58" i="1"/>
  <c r="I57" i="1"/>
  <c r="J57" i="1"/>
  <c r="I58" i="1" l="1"/>
  <c r="J58" i="1"/>
  <c r="B60" i="1"/>
  <c r="F60" i="1" s="1"/>
  <c r="H59" i="1"/>
  <c r="I59" i="1" l="1"/>
  <c r="J59" i="1"/>
  <c r="B61" i="1"/>
  <c r="F61" i="1" s="1"/>
  <c r="H60" i="1"/>
  <c r="I60" i="1" l="1"/>
  <c r="J60" i="1"/>
  <c r="B62" i="1"/>
  <c r="F62" i="1" s="1"/>
  <c r="H61" i="1"/>
  <c r="I61" i="1" l="1"/>
  <c r="J61" i="1"/>
  <c r="H62" i="1"/>
  <c r="B63" i="1"/>
  <c r="F63" i="1" s="1"/>
  <c r="H63" i="1" l="1"/>
  <c r="B64" i="1"/>
  <c r="F64" i="1" s="1"/>
  <c r="J62" i="1"/>
  <c r="I62" i="1"/>
  <c r="H64" i="1" l="1"/>
  <c r="B65" i="1"/>
  <c r="F65" i="1" s="1"/>
  <c r="J63" i="1"/>
  <c r="I63" i="1"/>
  <c r="B66" i="1" l="1"/>
  <c r="F66" i="1" s="1"/>
  <c r="H65" i="1"/>
  <c r="I64" i="1"/>
  <c r="J64" i="1"/>
  <c r="I65" i="1" l="1"/>
  <c r="J65" i="1"/>
  <c r="B67" i="1"/>
  <c r="F67" i="1" s="1"/>
  <c r="H66" i="1"/>
  <c r="I66" i="1" l="1"/>
  <c r="J66" i="1"/>
  <c r="B68" i="1"/>
  <c r="F68" i="1" s="1"/>
  <c r="H67" i="1"/>
  <c r="I67" i="1" l="1"/>
  <c r="J67" i="1"/>
  <c r="H68" i="1"/>
  <c r="B69" i="1"/>
  <c r="F69" i="1" s="1"/>
  <c r="H69" i="1" l="1"/>
  <c r="B70" i="1"/>
  <c r="F70" i="1" s="1"/>
  <c r="I68" i="1"/>
  <c r="J68" i="1"/>
  <c r="H70" i="1" l="1"/>
  <c r="B71" i="1"/>
  <c r="F71" i="1" s="1"/>
  <c r="I69" i="1"/>
  <c r="J69" i="1"/>
  <c r="H71" i="1" l="1"/>
  <c r="B72" i="1"/>
  <c r="F72" i="1" s="1"/>
  <c r="I70" i="1"/>
  <c r="J70" i="1"/>
  <c r="B73" i="1" l="1"/>
  <c r="F73" i="1" s="1"/>
  <c r="H72" i="1"/>
  <c r="J71" i="1"/>
  <c r="I71" i="1"/>
  <c r="I72" i="1" l="1"/>
  <c r="J72" i="1"/>
  <c r="B74" i="1"/>
  <c r="F74" i="1" s="1"/>
  <c r="H73" i="1"/>
  <c r="I73" i="1" l="1"/>
  <c r="J73" i="1"/>
  <c r="B75" i="1"/>
  <c r="F75" i="1" s="1"/>
  <c r="H74" i="1"/>
  <c r="I74" i="1" l="1"/>
  <c r="J74" i="1"/>
  <c r="H75" i="1"/>
  <c r="B76" i="1"/>
  <c r="F76" i="1" s="1"/>
  <c r="H76" i="1" l="1"/>
  <c r="B77" i="1"/>
  <c r="F77" i="1" s="1"/>
  <c r="I75" i="1"/>
  <c r="J75" i="1"/>
  <c r="H77" i="1" l="1"/>
  <c r="B78" i="1"/>
  <c r="F78" i="1" s="1"/>
  <c r="I76" i="1"/>
  <c r="J76" i="1"/>
  <c r="H78" i="1" l="1"/>
  <c r="B79" i="1"/>
  <c r="F79" i="1" s="1"/>
  <c r="I77" i="1"/>
  <c r="J77" i="1"/>
  <c r="B80" i="1" l="1"/>
  <c r="F80" i="1" s="1"/>
  <c r="H79" i="1"/>
  <c r="I78" i="1"/>
  <c r="J78" i="1"/>
  <c r="J79" i="1" l="1"/>
  <c r="I79" i="1"/>
  <c r="B81" i="1"/>
  <c r="F81" i="1" s="1"/>
  <c r="H80" i="1"/>
  <c r="J80" i="1" l="1"/>
  <c r="I80" i="1"/>
  <c r="B82" i="1"/>
  <c r="F82" i="1" s="1"/>
  <c r="H81" i="1"/>
  <c r="I81" i="1" l="1"/>
  <c r="J81" i="1"/>
  <c r="H82" i="1"/>
  <c r="B83" i="1"/>
  <c r="F83" i="1" s="1"/>
  <c r="H83" i="1" l="1"/>
  <c r="B84" i="1"/>
  <c r="F84" i="1" s="1"/>
  <c r="I82" i="1"/>
  <c r="J82" i="1"/>
  <c r="H84" i="1" l="1"/>
  <c r="B85" i="1"/>
  <c r="F85" i="1" s="1"/>
  <c r="I83" i="1"/>
  <c r="J83" i="1"/>
  <c r="H85" i="1" l="1"/>
  <c r="B86" i="1"/>
  <c r="F86" i="1" s="1"/>
  <c r="I84" i="1"/>
  <c r="J84" i="1"/>
  <c r="B87" i="1" l="1"/>
  <c r="F87" i="1" s="1"/>
  <c r="H86" i="1"/>
  <c r="I85" i="1"/>
  <c r="J85" i="1"/>
  <c r="J86" i="1" l="1"/>
  <c r="I86" i="1"/>
  <c r="B88" i="1"/>
  <c r="F88" i="1" s="1"/>
  <c r="H87" i="1"/>
  <c r="I87" i="1" l="1"/>
  <c r="J87" i="1"/>
  <c r="B89" i="1"/>
  <c r="F89" i="1" s="1"/>
  <c r="H88" i="1"/>
  <c r="I88" i="1" l="1"/>
  <c r="J88" i="1"/>
  <c r="H89" i="1"/>
  <c r="B90" i="1"/>
  <c r="F90" i="1" s="1"/>
  <c r="H90" i="1" l="1"/>
  <c r="B91" i="1"/>
  <c r="F91" i="1" s="1"/>
  <c r="I89" i="1"/>
  <c r="J89" i="1"/>
  <c r="H91" i="1" l="1"/>
  <c r="B92" i="1"/>
  <c r="F92" i="1" s="1"/>
  <c r="I90" i="1"/>
  <c r="J90" i="1"/>
  <c r="H92" i="1" l="1"/>
  <c r="B93" i="1"/>
  <c r="F93" i="1" s="1"/>
  <c r="I91" i="1"/>
  <c r="J91" i="1"/>
  <c r="B94" i="1" l="1"/>
  <c r="F94" i="1" s="1"/>
  <c r="H93" i="1"/>
  <c r="I92" i="1"/>
  <c r="J92" i="1"/>
  <c r="I93" i="1" l="1"/>
  <c r="J93" i="1"/>
  <c r="B95" i="1"/>
  <c r="F95" i="1" s="1"/>
  <c r="H94" i="1"/>
  <c r="I94" i="1" l="1"/>
  <c r="J94" i="1"/>
  <c r="B96" i="1"/>
  <c r="F96" i="1" s="1"/>
  <c r="H96" i="1" s="1"/>
  <c r="H95" i="1"/>
  <c r="I95" i="1" l="1"/>
  <c r="J95" i="1"/>
  <c r="I96" i="1"/>
  <c r="J96" i="1"/>
</calcChain>
</file>

<file path=xl/sharedStrings.xml><?xml version="1.0" encoding="utf-8"?>
<sst xmlns="http://schemas.openxmlformats.org/spreadsheetml/2006/main" count="245" uniqueCount="89">
  <si>
    <t>Ngày</t>
  </si>
  <si>
    <t>Điều chỉnh +/-</t>
  </si>
  <si>
    <t>Dư/Thiếu</t>
  </si>
  <si>
    <t>Trạng thái</t>
  </si>
  <si>
    <t>Ghi chú</t>
  </si>
  <si>
    <t/>
  </si>
  <si>
    <t>GIAO_DICH — FORM GIỮ NGUYÊN THEO FILE KIOT</t>
  </si>
  <si>
    <t>Để cập nhật: copy dữ liệu từ file Kiot (không lấy hàng tiêu đề) và paste vào ô A4. Không đổi thứ tự 9 cột; không cần tách Nhập/Xuất.</t>
  </si>
  <si>
    <t>Chứng từ</t>
  </si>
  <si>
    <t>Thời gian</t>
  </si>
  <si>
    <t>Loại giao dịch</t>
  </si>
  <si>
    <t>Giá giao dịch</t>
  </si>
  <si>
    <t>Giá vốn</t>
  </si>
  <si>
    <t>Số lượng</t>
  </si>
  <si>
    <t>Tồn cuối</t>
  </si>
  <si>
    <t>Đối tác</t>
  </si>
  <si>
    <t>Tồn thực tế</t>
  </si>
  <si>
    <t>PN002474</t>
  </si>
  <si>
    <t>Nhập hàng</t>
  </si>
  <si>
    <t>TRF000210</t>
  </si>
  <si>
    <t>Chuyển hàng</t>
  </si>
  <si>
    <t>HD048176.01</t>
  </si>
  <si>
    <t>Bán hàng</t>
  </si>
  <si>
    <t>YAGAMI BẠC LIÊU</t>
  </si>
  <si>
    <t>HD048169</t>
  </si>
  <si>
    <t>YAGAMI ĐẠI HỌC</t>
  </si>
  <si>
    <t>HD048166</t>
  </si>
  <si>
    <t>YAGAMI PHÚ TÂN</t>
  </si>
  <si>
    <t>HD048165</t>
  </si>
  <si>
    <t>YAGAMI CÁI TÀU HẠ</t>
  </si>
  <si>
    <t>HD048144</t>
  </si>
  <si>
    <t>YAGAMI TÂN THẠNH</t>
  </si>
  <si>
    <t>HD048130</t>
  </si>
  <si>
    <t>YAGAMI THÁP MƯỜI</t>
  </si>
  <si>
    <t>HD048122</t>
  </si>
  <si>
    <t>YAGAMI NĂM CĂN</t>
  </si>
  <si>
    <t>HD048121</t>
  </si>
  <si>
    <t>KK000770</t>
  </si>
  <si>
    <t>Kiểm hàng</t>
  </si>
  <si>
    <t>HD048087.02</t>
  </si>
  <si>
    <t>YAGAMI MỘT NGÀN</t>
  </si>
  <si>
    <t>HD048080</t>
  </si>
  <si>
    <t>YAGAMI THỐT NỐT</t>
  </si>
  <si>
    <t>HD048076</t>
  </si>
  <si>
    <t>HD048049</t>
  </si>
  <si>
    <t>YAGAMI AN PHÚ</t>
  </si>
  <si>
    <t>HD048041</t>
  </si>
  <si>
    <t>YAGAMI CHÂU PHÚ</t>
  </si>
  <si>
    <t>HD048038</t>
  </si>
  <si>
    <t>HD048027</t>
  </si>
  <si>
    <t>YAGAMI RẠCH SỎI</t>
  </si>
  <si>
    <t>HD047990</t>
  </si>
  <si>
    <t>HD047989</t>
  </si>
  <si>
    <t>HD047915</t>
  </si>
  <si>
    <t>TRF000205</t>
  </si>
  <si>
    <t>PN002451</t>
  </si>
  <si>
    <t>TRF000204</t>
  </si>
  <si>
    <t>HD047899</t>
  </si>
  <si>
    <t>HD047883</t>
  </si>
  <si>
    <t>YAGAMI MỸ LUÔNG</t>
  </si>
  <si>
    <t>HD047864</t>
  </si>
  <si>
    <t>HD047836</t>
  </si>
  <si>
    <t>HD047828</t>
  </si>
  <si>
    <t>HD047811</t>
  </si>
  <si>
    <t>HD047794</t>
  </si>
  <si>
    <t>YAGAMI LẤP VÒ</t>
  </si>
  <si>
    <t>HD047787</t>
  </si>
  <si>
    <t>HD047778</t>
  </si>
  <si>
    <t>HD047776.01</t>
  </si>
  <si>
    <t>YAGAMI TRUNG AN</t>
  </si>
  <si>
    <t>HD047763</t>
  </si>
  <si>
    <t>YAGAMI QUỐC THÁI</t>
  </si>
  <si>
    <t>HD047748</t>
  </si>
  <si>
    <t>HD047747.01</t>
  </si>
  <si>
    <t>HD047728.01</t>
  </si>
  <si>
    <t>HD047725</t>
  </si>
  <si>
    <t>HD047695</t>
  </si>
  <si>
    <t>HD047693</t>
  </si>
  <si>
    <t>CÁCH PASTE FILE KIOT</t>
  </si>
  <si>
    <t>1. Mở file Kiot, bỏ dòng tiêu đề và copy 9 cột dữ liệu: Chứng từ đến Tồn thực tế.</t>
  </si>
  <si>
    <t>2. Mở sheet GIAO_DICH, chọn ô A4 và paste. Tuyệt đối không chèn/xóa/đổi thứ tự cột.</t>
  </si>
  <si>
    <t>3. Bảng tổng hợp nhận ngày từ cột Thời gian (bao gồm cả giờ), nên không bị lỗi do điều kiện ngày có giờ.</t>
  </si>
  <si>
    <t>4. Nhập sổ = số lượng dương trừ Kiểm hàng; Xuất sổ = trị tuyệt đối số lượng âm trừ Kiểm hàng; Kiểm hàng vào Điều chỉnh.</t>
  </si>
  <si>
    <t>TỔNG HỢP THEO NGÀY</t>
  </si>
  <si>
    <t>HD048201</t>
  </si>
  <si>
    <t>Lệch trong ngày</t>
  </si>
  <si>
    <t>Tồn đầu</t>
  </si>
  <si>
    <t>Nhập</t>
  </si>
  <si>
    <t>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</si>
</sst>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dd/mm/yyyy\ hh:mm:ss"/>
    <numFmt numFmtId="166" formatCode="#,##0;[Red]\-#,##0;\–"/>
    <numFmt numFmtId="167" formatCode="#,##0.0####"/>
    <numFmt numFmtId="168" formatCode="#,##0.0##"/>
  </numFmts>
  <fonts count="6">
    <font>
      <sz val="11"/>
      <name val="Calibri"/>
    </font>
    <font>
      <b/>
      <sz val="11"/>
      <color rgb="FFFFFFFF"/>
      <name val="Calibri"/>
    </font>
    <font>
      <b/>
      <sz val="16"/>
      <color rgb="FF1F4E78"/>
      <name val="Calibri"/>
    </font>
    <font>
      <b/>
      <sz val="16"/>
      <color rgb="FF1F4E7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6" fontId="0" fillId="3" borderId="1" xfId="0" applyNumberFormat="1" applyFill="1" applyBorder="1"/>
    <xf numFmtId="166" fontId="0" fillId="4" borderId="1" xfId="0" applyNumberFormat="1" applyFill="1" applyBorder="1"/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/>
    <xf numFmtId="0" fontId="0" fillId="0" borderId="0" xfId="0" applyAlignment="1">
      <alignment vertical="center" wrapText="1"/>
    </xf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tabSelected="1" workbookViewId="0">
      <pane ySplit="2" topLeftCell="A3" activePane="bottomLeft" state="frozen"/>
      <selection pane="bottomLeft" activeCell="P7" sqref="P7"/>
    </sheetView>
  </sheetViews>
  <sheetFormatPr defaultRowHeight="15"/>
  <cols>
    <col min="1" max="1" width="13" customWidth="1"/>
    <col min="2" max="9" width="16" customWidth="1"/>
    <col min="10" max="10" width="15" customWidth="1"/>
    <col min="11" max="11" width="32" customWidth="1"/>
  </cols>
  <sheetData>
    <row r="1" spans="1:11" ht="27.95" customHeight="1">
      <c r="A1" s="13" t="s">
        <v>83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8.1" customHeight="1">
      <c r="A2" s="1" t="s">
        <v>0</v>
      </c>
      <c r="B2" s="16" t="s">
        <v>86</v>
      </c>
      <c r="C2" s="16" t="s">
        <v>87</v>
      </c>
      <c r="D2" s="16" t="s">
        <v>88</v>
      </c>
      <c r="E2" s="1" t="s">
        <v>1</v>
      </c>
      <c r="F2" s="16" t="s">
        <v>14</v>
      </c>
      <c r="G2" s="16" t="s">
        <v>16</v>
      </c>
      <c r="H2" s="1" t="s">
        <v>2</v>
      </c>
      <c r="I2" s="16" t="s">
        <v>85</v>
      </c>
      <c r="J2" s="1" t="s">
        <v>3</v>
      </c>
      <c r="K2" s="1" t="s">
        <v>4</v>
      </c>
    </row>
    <row r="3" spans="1:11">
      <c r="A3" s="2">
        <v>46292</v>
      </c>
      <c r="B3" s="3">
        <v>129</v>
      </c>
      <c r="C3" s="4">
        <f>SUMIFS(GIAO_DICH!$F$4:$F$13581,GIAO_DICH!$B$4:$B$13581,"&gt;="&amp;A3,GIAO_DICH!$B$4:$B$13581,"&lt;"&amp;A3+1,GIAO_DICH!$F$4:$F$13581,"&gt;0",GIAO_DICH!$C$4:$C$13581,"&lt;&gt;Kiểm hàng")</f>
        <v>70</v>
      </c>
      <c r="D3" s="4">
        <f>-SUMIFS(GIAO_DICH!$F$4:$F$13581,GIAO_DICH!$B$4:$B$13581,"&gt;="&amp;A3,GIAO_DICH!$B$4:$B$13581,"&lt;"&amp;A3+1,GIAO_DICH!$F$4:$F$13581,"&lt;0",GIAO_DICH!$C$4:$C$13581,"&lt;&gt;Kiểm hàng")</f>
        <v>73</v>
      </c>
      <c r="E3" s="4">
        <f>SUMIFS(GIAO_DICH!$F$4:$F$13581,GIAO_DICH!$B$4:$B$13581,"&gt;="&amp;A3,GIAO_DICH!$B$4:$B$13581,"&lt;"&amp;A3+1,GIAO_DICH!$C$4:$C$13581,"Kiểm hàng")</f>
        <v>0</v>
      </c>
      <c r="F3" s="4">
        <f t="shared" ref="F3:F9" si="0">B3+C3-D3+E3</f>
        <v>126</v>
      </c>
      <c r="G3" s="3">
        <v>126</v>
      </c>
      <c r="H3" s="4">
        <f t="shared" ref="H3:H9" si="1">IF(G3="","",G3-F3)</f>
        <v>0</v>
      </c>
      <c r="I3" s="4">
        <f>IF(H3="","",H3)</f>
        <v>0</v>
      </c>
      <c r="J3" s="15" t="str">
        <f t="shared" ref="J3:J9" si="2">IF(G3="","CHƯA KIỂM",IF(H3=0,"KHỚP",IF(H3&gt;0,"DƯ","THIẾU")))</f>
        <v>KHỚP</v>
      </c>
      <c r="K3" s="3" t="s">
        <v>5</v>
      </c>
    </row>
    <row r="4" spans="1:11">
      <c r="A4" s="2">
        <v>46293</v>
      </c>
      <c r="B4" s="4">
        <f t="shared" ref="B4:B9" si="3">F3</f>
        <v>126</v>
      </c>
      <c r="C4" s="4">
        <f>SUMIFS(GIAO_DICH!$F$4:$F$13581,GIAO_DICH!$B$4:$B$13581,"&gt;="&amp;A4,GIAO_DICH!$B$4:$B$13581,"&lt;"&amp;A4+1,GIAO_DICH!$F$4:$F$13581,"&gt;0",GIAO_DICH!$C$4:$C$13581,"&lt;&gt;Kiểm hàng")</f>
        <v>0</v>
      </c>
      <c r="D4" s="4">
        <f>-SUMIFS(GIAO_DICH!$F$4:$F$13581,GIAO_DICH!$B$4:$B$13581,"&gt;="&amp;A4,GIAO_DICH!$B$4:$B$13581,"&lt;"&amp;A4+1,GIAO_DICH!$F$4:$F$13581,"&lt;0",GIAO_DICH!$C$4:$C$13581,"&lt;&gt;Kiểm hàng")</f>
        <v>2</v>
      </c>
      <c r="E4" s="4">
        <f>SUMIFS(GIAO_DICH!$F$4:$F$13581,GIAO_DICH!$B$4:$B$13581,"&gt;="&amp;A4,GIAO_DICH!$B$4:$B$13581,"&lt;"&amp;A4+1,GIAO_DICH!$C$4:$C$13581,"Kiểm hàng")</f>
        <v>0</v>
      </c>
      <c r="F4" s="4">
        <f t="shared" si="0"/>
        <v>124</v>
      </c>
      <c r="G4" s="3">
        <v>124</v>
      </c>
      <c r="H4" s="4">
        <f t="shared" si="1"/>
        <v>0</v>
      </c>
      <c r="I4" s="4">
        <f t="shared" ref="I4:I67" si="4">IF(H4="","",H4-H3)</f>
        <v>0</v>
      </c>
      <c r="J4" s="15" t="str">
        <f t="shared" si="2"/>
        <v>KHỚP</v>
      </c>
      <c r="K4" s="3" t="s">
        <v>5</v>
      </c>
    </row>
    <row r="5" spans="1:11">
      <c r="A5" s="2">
        <v>46294</v>
      </c>
      <c r="B5" s="4">
        <f t="shared" si="3"/>
        <v>124</v>
      </c>
      <c r="C5" s="4">
        <f>SUMIFS(GIAO_DICH!$F$4:$F$13581,GIAO_DICH!$B$4:$B$13581,"&gt;="&amp;A5,GIAO_DICH!$B$4:$B$13581,"&lt;"&amp;A5+1,GIAO_DICH!$F$4:$F$13581,"&gt;0",GIAO_DICH!$C$4:$C$13581,"&lt;&gt;Kiểm hàng")</f>
        <v>0</v>
      </c>
      <c r="D5" s="4">
        <f>-SUMIFS(GIAO_DICH!$F$4:$F$13581,GIAO_DICH!$B$4:$B$13581,"&gt;="&amp;A5,GIAO_DICH!$B$4:$B$13581,"&lt;"&amp;A5+1,GIAO_DICH!$F$4:$F$13581,"&lt;0",GIAO_DICH!$C$4:$C$13581,"&lt;&gt;Kiểm hàng")</f>
        <v>6</v>
      </c>
      <c r="E5" s="4">
        <f>SUMIFS(GIAO_DICH!$F$4:$F$13581,GIAO_DICH!$B$4:$B$13581,"&gt;="&amp;A5,GIAO_DICH!$B$4:$B$13581,"&lt;"&amp;A5+1,GIAO_DICH!$C$4:$C$13581,"Kiểm hàng")</f>
        <v>0</v>
      </c>
      <c r="F5" s="4">
        <f t="shared" si="0"/>
        <v>118</v>
      </c>
      <c r="G5" s="3">
        <v>118</v>
      </c>
      <c r="H5" s="4">
        <f t="shared" si="1"/>
        <v>0</v>
      </c>
      <c r="I5" s="4">
        <f t="shared" si="4"/>
        <v>0</v>
      </c>
      <c r="J5" s="15" t="str">
        <f t="shared" si="2"/>
        <v>KHỚP</v>
      </c>
      <c r="K5" s="3" t="s">
        <v>5</v>
      </c>
    </row>
    <row r="6" spans="1:11">
      <c r="A6" s="2">
        <v>46295</v>
      </c>
      <c r="B6" s="4">
        <f t="shared" si="3"/>
        <v>118</v>
      </c>
      <c r="C6" s="4">
        <f>SUMIFS(GIAO_DICH!$F$4:$F$13581,GIAO_DICH!$B$4:$B$13581,"&gt;="&amp;A6,GIAO_DICH!$B$4:$B$13581,"&lt;"&amp;A6+1,GIAO_DICH!$F$4:$F$13581,"&gt;0",GIAO_DICH!$C$4:$C$13581,"&lt;&gt;Kiểm hàng")</f>
        <v>0</v>
      </c>
      <c r="D6" s="4">
        <f>-SUMIFS(GIAO_DICH!$F$4:$F$13581,GIAO_DICH!$B$4:$B$13581,"&gt;="&amp;A6,GIAO_DICH!$B$4:$B$13581,"&lt;"&amp;A6+1,GIAO_DICH!$F$4:$F$13581,"&lt;0",GIAO_DICH!$C$4:$C$13581,"&lt;&gt;Kiểm hàng")</f>
        <v>29</v>
      </c>
      <c r="E6" s="4">
        <f>SUMIFS(GIAO_DICH!$F$4:$F$13581,GIAO_DICH!$B$4:$B$13581,"&gt;="&amp;A6,GIAO_DICH!$B$4:$B$13581,"&lt;"&amp;A6+1,GIAO_DICH!$C$4:$C$13581,"Kiểm hàng")</f>
        <v>0</v>
      </c>
      <c r="F6" s="4">
        <f t="shared" si="0"/>
        <v>89</v>
      </c>
      <c r="G6" s="3">
        <v>89</v>
      </c>
      <c r="H6" s="4">
        <f t="shared" si="1"/>
        <v>0</v>
      </c>
      <c r="I6" s="4">
        <f t="shared" si="4"/>
        <v>0</v>
      </c>
      <c r="J6" s="15" t="str">
        <f t="shared" si="2"/>
        <v>KHỚP</v>
      </c>
      <c r="K6" s="3" t="s">
        <v>5</v>
      </c>
    </row>
    <row r="7" spans="1:11">
      <c r="A7" s="2">
        <v>46296</v>
      </c>
      <c r="B7" s="4">
        <f t="shared" si="3"/>
        <v>89</v>
      </c>
      <c r="C7" s="4">
        <f>SUMIFS(GIAO_DICH!$F$4:$F$13581,GIAO_DICH!$B$4:$B$13581,"&gt;="&amp;A7,GIAO_DICH!$B$4:$B$13581,"&lt;"&amp;A7+1,GIAO_DICH!$F$4:$F$13581,"&gt;0",GIAO_DICH!$C$4:$C$13581,"&lt;&gt;Kiểm hàng")</f>
        <v>0</v>
      </c>
      <c r="D7" s="4">
        <f>-SUMIFS(GIAO_DICH!$F$4:$F$13581,GIAO_DICH!$B$4:$B$13581,"&gt;="&amp;A7,GIAO_DICH!$B$4:$B$13581,"&lt;"&amp;A7+1,GIAO_DICH!$F$4:$F$13581,"&lt;0",GIAO_DICH!$C$4:$C$13581,"&lt;&gt;Kiểm hàng")</f>
        <v>34</v>
      </c>
      <c r="E7" s="4">
        <f>SUMIFS(GIAO_DICH!$F$4:$F$13581,GIAO_DICH!$B$4:$B$13581,"&gt;="&amp;A7,GIAO_DICH!$B$4:$B$13581,"&lt;"&amp;A7+1,GIAO_DICH!$C$4:$C$13581,"Kiểm hàng")</f>
        <v>-5</v>
      </c>
      <c r="F7" s="4">
        <f t="shared" si="0"/>
        <v>50</v>
      </c>
      <c r="G7" s="3">
        <v>50</v>
      </c>
      <c r="H7" s="4">
        <f t="shared" si="1"/>
        <v>0</v>
      </c>
      <c r="I7" s="4">
        <f t="shared" si="4"/>
        <v>0</v>
      </c>
      <c r="J7" s="15" t="str">
        <f t="shared" si="2"/>
        <v>KHỚP</v>
      </c>
      <c r="K7" s="3" t="s">
        <v>5</v>
      </c>
    </row>
    <row r="8" spans="1:11">
      <c r="A8" s="2">
        <v>46297</v>
      </c>
      <c r="B8" s="4">
        <f t="shared" si="3"/>
        <v>50</v>
      </c>
      <c r="C8" s="4">
        <f>SUMIFS(GIAO_DICH!$F$4:$F$13581,GIAO_DICH!$B$4:$B$13581,"&gt;="&amp;A8,GIAO_DICH!$B$4:$B$13581,"&lt;"&amp;A8+1,GIAO_DICH!$F$4:$F$13581,"&gt;0",GIAO_DICH!$C$4:$C$13581,"&lt;&gt;Kiểm hàng")</f>
        <v>0</v>
      </c>
      <c r="D8" s="4">
        <f>-SUMIFS(GIAO_DICH!$F$4:$F$13581,GIAO_DICH!$B$4:$B$13581,"&gt;="&amp;A8,GIAO_DICH!$B$4:$B$13581,"&lt;"&amp;A8+1,GIAO_DICH!$F$4:$F$13581,"&lt;0",GIAO_DICH!$C$4:$C$13581,"&lt;&gt;Kiểm hàng")</f>
        <v>38</v>
      </c>
      <c r="E8" s="4">
        <f>SUMIFS(GIAO_DICH!$F$4:$F$13581,GIAO_DICH!$B$4:$B$13581,"&gt;="&amp;A8,GIAO_DICH!$B$4:$B$13581,"&lt;"&amp;A8+1,GIAO_DICH!$C$4:$C$13581,"Kiểm hàng")</f>
        <v>0</v>
      </c>
      <c r="F8" s="4">
        <f t="shared" si="0"/>
        <v>12</v>
      </c>
      <c r="G8" s="3">
        <v>15</v>
      </c>
      <c r="H8" s="4">
        <f t="shared" si="1"/>
        <v>3</v>
      </c>
      <c r="I8" s="4">
        <f t="shared" si="4"/>
        <v>3</v>
      </c>
      <c r="J8" s="15" t="str">
        <f t="shared" si="2"/>
        <v>DƯ</v>
      </c>
      <c r="K8" s="3" t="s">
        <v>5</v>
      </c>
    </row>
    <row r="9" spans="1:11">
      <c r="A9" s="2">
        <v>46298</v>
      </c>
      <c r="B9" s="4">
        <f t="shared" si="3"/>
        <v>12</v>
      </c>
      <c r="C9" s="4">
        <f>SUMIFS(GIAO_DICH!$F$4:$F$13581,GIAO_DICH!$B$4:$B$13581,"&gt;="&amp;A9,GIAO_DICH!$B$4:$B$13581,"&lt;"&amp;A9+1,GIAO_DICH!$F$4:$F$13581,"&gt;0",GIAO_DICH!$C$4:$C$13581,"&lt;&gt;Kiểm hàng")</f>
        <v>200</v>
      </c>
      <c r="D9" s="4">
        <f>-SUMIFS(GIAO_DICH!$F$4:$F$13581,GIAO_DICH!$B$4:$B$13581,"&gt;="&amp;A9,GIAO_DICH!$B$4:$B$13581,"&lt;"&amp;A9+1,GIAO_DICH!$F$4:$F$13581,"&lt;0",GIAO_DICH!$C$4:$C$13581,"&lt;&gt;Kiểm hàng")</f>
        <v>122</v>
      </c>
      <c r="E9" s="4">
        <f>SUMIFS(GIAO_DICH!$F$4:$F$13581,GIAO_DICH!$B$4:$B$13581,"&gt;="&amp;A9,GIAO_DICH!$B$4:$B$13581,"&lt;"&amp;A9+1,GIAO_DICH!$C$4:$C$13581,"Kiểm hàng")</f>
        <v>0</v>
      </c>
      <c r="F9" s="4">
        <f t="shared" si="0"/>
        <v>90</v>
      </c>
      <c r="G9" s="3">
        <v>85</v>
      </c>
      <c r="H9" s="4">
        <f t="shared" si="1"/>
        <v>-5</v>
      </c>
      <c r="I9" s="4">
        <f t="shared" si="4"/>
        <v>-8</v>
      </c>
      <c r="J9" s="15" t="str">
        <f t="shared" si="2"/>
        <v>THIẾU</v>
      </c>
      <c r="K9" s="3" t="s">
        <v>5</v>
      </c>
    </row>
    <row r="10" spans="1:11">
      <c r="A10" s="2">
        <v>46299</v>
      </c>
      <c r="B10" s="4">
        <f t="shared" ref="B10:B73" si="5">F9</f>
        <v>90</v>
      </c>
      <c r="C10" s="4">
        <f>SUMIFS(GIAO_DICH!$F$4:$F$13581,GIAO_DICH!$B$4:$B$13581,"&gt;="&amp;A10,GIAO_DICH!$B$4:$B$13581,"&lt;"&amp;A10+1,GIAO_DICH!$F$4:$F$13581,"&gt;0",GIAO_DICH!$C$4:$C$13581,"&lt;&gt;Kiểm hàng")</f>
        <v>0</v>
      </c>
      <c r="D10" s="4">
        <f>-SUMIFS(GIAO_DICH!$F$4:$F$13581,GIAO_DICH!$B$4:$B$13581,"&gt;="&amp;A10,GIAO_DICH!$B$4:$B$13581,"&lt;"&amp;A10+1,GIAO_DICH!$F$4:$F$13581,"&lt;0",GIAO_DICH!$C$4:$C$13581,"&lt;&gt;Kiểm hàng")</f>
        <v>2</v>
      </c>
      <c r="E10" s="4">
        <f>SUMIFS(GIAO_DICH!$F$4:$F$13581,GIAO_DICH!$B$4:$B$13581,"&gt;="&amp;A10,GIAO_DICH!$B$4:$B$13581,"&lt;"&amp;A10+1,GIAO_DICH!$C$4:$C$13581,"Kiểm hàng")</f>
        <v>0</v>
      </c>
      <c r="F10" s="4">
        <f t="shared" ref="F10:F73" si="6">B10+C10-D10+E10</f>
        <v>88</v>
      </c>
      <c r="G10" s="3">
        <v>83</v>
      </c>
      <c r="H10" s="4">
        <f t="shared" ref="H10:H73" si="7">IF(G10="","",G10-F10)</f>
        <v>-5</v>
      </c>
      <c r="I10" s="4">
        <f t="shared" si="4"/>
        <v>0</v>
      </c>
      <c r="J10" s="15" t="str">
        <f t="shared" ref="J10:J73" si="8">IF(G10="","CHƯA KIỂM",IF(H10=0,"KHỚP",IF(H10&gt;0,"DƯ","THIẾU")))</f>
        <v>THIẾU</v>
      </c>
      <c r="K10" s="3" t="s">
        <v>5</v>
      </c>
    </row>
    <row r="11" spans="1:11">
      <c r="A11" s="2">
        <v>46300</v>
      </c>
      <c r="B11" s="4">
        <f t="shared" si="5"/>
        <v>88</v>
      </c>
      <c r="C11" s="4">
        <f>SUMIFS(GIAO_DICH!$F$4:$F$13581,GIAO_DICH!$B$4:$B$13581,"&gt;="&amp;A11,GIAO_DICH!$B$4:$B$13581,"&lt;"&amp;A11+1,GIAO_DICH!$F$4:$F$13581,"&gt;0",GIAO_DICH!$C$4:$C$13581,"&lt;&gt;Kiểm hàng")</f>
        <v>0</v>
      </c>
      <c r="D11" s="4">
        <f>-SUMIFS(GIAO_DICH!$F$4:$F$13581,GIAO_DICH!$B$4:$B$13581,"&gt;="&amp;A11,GIAO_DICH!$B$4:$B$13581,"&lt;"&amp;A11+1,GIAO_DICH!$F$4:$F$13581,"&lt;0",GIAO_DICH!$C$4:$C$13581,"&lt;&gt;Kiểm hàng")</f>
        <v>0</v>
      </c>
      <c r="E11" s="4">
        <f>SUMIFS(GIAO_DICH!$F$4:$F$13581,GIAO_DICH!$B$4:$B$13581,"&gt;="&amp;A11,GIAO_DICH!$B$4:$B$13581,"&lt;"&amp;A11+1,GIAO_DICH!$C$4:$C$13581,"Kiểm hàng")</f>
        <v>0</v>
      </c>
      <c r="F11" s="4">
        <f t="shared" si="6"/>
        <v>88</v>
      </c>
      <c r="G11" s="3"/>
      <c r="H11" s="4" t="str">
        <f t="shared" si="7"/>
        <v/>
      </c>
      <c r="I11" s="4" t="str">
        <f t="shared" si="4"/>
        <v/>
      </c>
      <c r="J11" s="15" t="str">
        <f t="shared" si="8"/>
        <v>CHƯA KIỂM</v>
      </c>
      <c r="K11" s="3" t="s">
        <v>5</v>
      </c>
    </row>
    <row r="12" spans="1:11">
      <c r="A12" s="2">
        <v>46301</v>
      </c>
      <c r="B12" s="4">
        <f t="shared" si="5"/>
        <v>88</v>
      </c>
      <c r="C12" s="4">
        <f>SUMIFS(GIAO_DICH!$F$4:$F$13581,GIAO_DICH!$B$4:$B$13581,"&gt;="&amp;A12,GIAO_DICH!$B$4:$B$13581,"&lt;"&amp;A12+1,GIAO_DICH!$F$4:$F$13581,"&gt;0",GIAO_DICH!$C$4:$C$13581,"&lt;&gt;Kiểm hàng")</f>
        <v>0</v>
      </c>
      <c r="D12" s="4">
        <f>-SUMIFS(GIAO_DICH!$F$4:$F$13581,GIAO_DICH!$B$4:$B$13581,"&gt;="&amp;A12,GIAO_DICH!$B$4:$B$13581,"&lt;"&amp;A12+1,GIAO_DICH!$F$4:$F$13581,"&lt;0",GIAO_DICH!$C$4:$C$13581,"&lt;&gt;Kiểm hàng")</f>
        <v>0</v>
      </c>
      <c r="E12" s="4">
        <f>SUMIFS(GIAO_DICH!$F$4:$F$13581,GIAO_DICH!$B$4:$B$13581,"&gt;="&amp;A12,GIAO_DICH!$B$4:$B$13581,"&lt;"&amp;A12+1,GIAO_DICH!$C$4:$C$13581,"Kiểm hàng")</f>
        <v>0</v>
      </c>
      <c r="F12" s="4">
        <f t="shared" si="6"/>
        <v>88</v>
      </c>
      <c r="G12" s="3"/>
      <c r="H12" s="4" t="str">
        <f t="shared" si="7"/>
        <v/>
      </c>
      <c r="I12" s="4" t="str">
        <f t="shared" si="4"/>
        <v/>
      </c>
      <c r="J12" s="15" t="str">
        <f t="shared" si="8"/>
        <v>CHƯA KIỂM</v>
      </c>
      <c r="K12" s="3" t="s">
        <v>5</v>
      </c>
    </row>
    <row r="13" spans="1:11">
      <c r="A13" s="2">
        <v>46302</v>
      </c>
      <c r="B13" s="4">
        <f t="shared" si="5"/>
        <v>88</v>
      </c>
      <c r="C13" s="4">
        <f>SUMIFS(GIAO_DICH!$F$4:$F$13581,GIAO_DICH!$B$4:$B$13581,"&gt;="&amp;A13,GIAO_DICH!$B$4:$B$13581,"&lt;"&amp;A13+1,GIAO_DICH!$F$4:$F$13581,"&gt;0",GIAO_DICH!$C$4:$C$13581,"&lt;&gt;Kiểm hàng")</f>
        <v>0</v>
      </c>
      <c r="D13" s="4">
        <f>-SUMIFS(GIAO_DICH!$F$4:$F$13581,GIAO_DICH!$B$4:$B$13581,"&gt;="&amp;A13,GIAO_DICH!$B$4:$B$13581,"&lt;"&amp;A13+1,GIAO_DICH!$F$4:$F$13581,"&lt;0",GIAO_DICH!$C$4:$C$13581,"&lt;&gt;Kiểm hàng")</f>
        <v>0</v>
      </c>
      <c r="E13" s="4">
        <f>SUMIFS(GIAO_DICH!$F$4:$F$13581,GIAO_DICH!$B$4:$B$13581,"&gt;="&amp;A13,GIAO_DICH!$B$4:$B$13581,"&lt;"&amp;A13+1,GIAO_DICH!$C$4:$C$13581,"Kiểm hàng")</f>
        <v>0</v>
      </c>
      <c r="F13" s="4">
        <f t="shared" si="6"/>
        <v>88</v>
      </c>
      <c r="G13" s="3"/>
      <c r="H13" s="4" t="str">
        <f t="shared" si="7"/>
        <v/>
      </c>
      <c r="I13" s="4" t="str">
        <f t="shared" si="4"/>
        <v/>
      </c>
      <c r="J13" s="15" t="str">
        <f t="shared" si="8"/>
        <v>CHƯA KIỂM</v>
      </c>
      <c r="K13" s="3" t="s">
        <v>5</v>
      </c>
    </row>
    <row r="14" spans="1:11">
      <c r="A14" s="2">
        <v>46303</v>
      </c>
      <c r="B14" s="4">
        <f t="shared" si="5"/>
        <v>88</v>
      </c>
      <c r="C14" s="4">
        <f>SUMIFS(GIAO_DICH!$F$4:$F$13581,GIAO_DICH!$B$4:$B$13581,"&gt;="&amp;A14,GIAO_DICH!$B$4:$B$13581,"&lt;"&amp;A14+1,GIAO_DICH!$F$4:$F$13581,"&gt;0",GIAO_DICH!$C$4:$C$13581,"&lt;&gt;Kiểm hàng")</f>
        <v>0</v>
      </c>
      <c r="D14" s="4">
        <f>-SUMIFS(GIAO_DICH!$F$4:$F$13581,GIAO_DICH!$B$4:$B$13581,"&gt;="&amp;A14,GIAO_DICH!$B$4:$B$13581,"&lt;"&amp;A14+1,GIAO_DICH!$F$4:$F$13581,"&lt;0",GIAO_DICH!$C$4:$C$13581,"&lt;&gt;Kiểm hàng")</f>
        <v>0</v>
      </c>
      <c r="E14" s="4">
        <f>SUMIFS(GIAO_DICH!$F$4:$F$13581,GIAO_DICH!$B$4:$B$13581,"&gt;="&amp;A14,GIAO_DICH!$B$4:$B$13581,"&lt;"&amp;A14+1,GIAO_DICH!$C$4:$C$13581,"Kiểm hàng")</f>
        <v>0</v>
      </c>
      <c r="F14" s="4">
        <f t="shared" si="6"/>
        <v>88</v>
      </c>
      <c r="G14" s="3"/>
      <c r="H14" s="4" t="str">
        <f t="shared" si="7"/>
        <v/>
      </c>
      <c r="I14" s="4" t="str">
        <f t="shared" si="4"/>
        <v/>
      </c>
      <c r="J14" s="15" t="str">
        <f t="shared" si="8"/>
        <v>CHƯA KIỂM</v>
      </c>
      <c r="K14" s="3" t="s">
        <v>5</v>
      </c>
    </row>
    <row r="15" spans="1:11">
      <c r="A15" s="2">
        <v>46304</v>
      </c>
      <c r="B15" s="4">
        <f t="shared" si="5"/>
        <v>88</v>
      </c>
      <c r="C15" s="4">
        <f>SUMIFS(GIAO_DICH!$F$4:$F$13581,GIAO_DICH!$B$4:$B$13581,"&gt;="&amp;A15,GIAO_DICH!$B$4:$B$13581,"&lt;"&amp;A15+1,GIAO_DICH!$F$4:$F$13581,"&gt;0",GIAO_DICH!$C$4:$C$13581,"&lt;&gt;Kiểm hàng")</f>
        <v>0</v>
      </c>
      <c r="D15" s="4">
        <f>-SUMIFS(GIAO_DICH!$F$4:$F$13581,GIAO_DICH!$B$4:$B$13581,"&gt;="&amp;A15,GIAO_DICH!$B$4:$B$13581,"&lt;"&amp;A15+1,GIAO_DICH!$F$4:$F$13581,"&lt;0",GIAO_DICH!$C$4:$C$13581,"&lt;&gt;Kiểm hàng")</f>
        <v>0</v>
      </c>
      <c r="E15" s="4">
        <f>SUMIFS(GIAO_DICH!$F$4:$F$13581,GIAO_DICH!$B$4:$B$13581,"&gt;="&amp;A15,GIAO_DICH!$B$4:$B$13581,"&lt;"&amp;A15+1,GIAO_DICH!$C$4:$C$13581,"Kiểm hàng")</f>
        <v>0</v>
      </c>
      <c r="F15" s="4">
        <f t="shared" si="6"/>
        <v>88</v>
      </c>
      <c r="G15" s="3"/>
      <c r="H15" s="4" t="str">
        <f t="shared" si="7"/>
        <v/>
      </c>
      <c r="I15" s="4" t="str">
        <f t="shared" si="4"/>
        <v/>
      </c>
      <c r="J15" s="15" t="str">
        <f t="shared" si="8"/>
        <v>CHƯA KIỂM</v>
      </c>
      <c r="K15" s="3" t="s">
        <v>5</v>
      </c>
    </row>
    <row r="16" spans="1:11">
      <c r="A16" s="2">
        <v>46305</v>
      </c>
      <c r="B16" s="4">
        <f t="shared" si="5"/>
        <v>88</v>
      </c>
      <c r="C16" s="4">
        <f>SUMIFS(GIAO_DICH!$F$4:$F$13581,GIAO_DICH!$B$4:$B$13581,"&gt;="&amp;A16,GIAO_DICH!$B$4:$B$13581,"&lt;"&amp;A16+1,GIAO_DICH!$F$4:$F$13581,"&gt;0",GIAO_DICH!$C$4:$C$13581,"&lt;&gt;Kiểm hàng")</f>
        <v>0</v>
      </c>
      <c r="D16" s="4">
        <f>-SUMIFS(GIAO_DICH!$F$4:$F$13581,GIAO_DICH!$B$4:$B$13581,"&gt;="&amp;A16,GIAO_DICH!$B$4:$B$13581,"&lt;"&amp;A16+1,GIAO_DICH!$F$4:$F$13581,"&lt;0",GIAO_DICH!$C$4:$C$13581,"&lt;&gt;Kiểm hàng")</f>
        <v>0</v>
      </c>
      <c r="E16" s="4">
        <f>SUMIFS(GIAO_DICH!$F$4:$F$13581,GIAO_DICH!$B$4:$B$13581,"&gt;="&amp;A16,GIAO_DICH!$B$4:$B$13581,"&lt;"&amp;A16+1,GIAO_DICH!$C$4:$C$13581,"Kiểm hàng")</f>
        <v>0</v>
      </c>
      <c r="F16" s="4">
        <f t="shared" si="6"/>
        <v>88</v>
      </c>
      <c r="G16" s="3"/>
      <c r="H16" s="4" t="str">
        <f t="shared" si="7"/>
        <v/>
      </c>
      <c r="I16" s="4" t="str">
        <f t="shared" si="4"/>
        <v/>
      </c>
      <c r="J16" s="15" t="str">
        <f t="shared" si="8"/>
        <v>CHƯA KIỂM</v>
      </c>
      <c r="K16" s="3" t="s">
        <v>5</v>
      </c>
    </row>
    <row r="17" spans="1:11">
      <c r="A17" s="2">
        <v>46306</v>
      </c>
      <c r="B17" s="4">
        <f t="shared" si="5"/>
        <v>88</v>
      </c>
      <c r="C17" s="4">
        <f>SUMIFS(GIAO_DICH!$F$4:$F$13581,GIAO_DICH!$B$4:$B$13581,"&gt;="&amp;A17,GIAO_DICH!$B$4:$B$13581,"&lt;"&amp;A17+1,GIAO_DICH!$F$4:$F$13581,"&gt;0",GIAO_DICH!$C$4:$C$13581,"&lt;&gt;Kiểm hàng")</f>
        <v>0</v>
      </c>
      <c r="D17" s="4">
        <f>-SUMIFS(GIAO_DICH!$F$4:$F$13581,GIAO_DICH!$B$4:$B$13581,"&gt;="&amp;A17,GIAO_DICH!$B$4:$B$13581,"&lt;"&amp;A17+1,GIAO_DICH!$F$4:$F$13581,"&lt;0",GIAO_DICH!$C$4:$C$13581,"&lt;&gt;Kiểm hàng")</f>
        <v>0</v>
      </c>
      <c r="E17" s="4">
        <f>SUMIFS(GIAO_DICH!$F$4:$F$13581,GIAO_DICH!$B$4:$B$13581,"&gt;="&amp;A17,GIAO_DICH!$B$4:$B$13581,"&lt;"&amp;A17+1,GIAO_DICH!$C$4:$C$13581,"Kiểm hàng")</f>
        <v>0</v>
      </c>
      <c r="F17" s="4">
        <f t="shared" si="6"/>
        <v>88</v>
      </c>
      <c r="G17" s="3"/>
      <c r="H17" s="4" t="str">
        <f t="shared" si="7"/>
        <v/>
      </c>
      <c r="I17" s="4" t="str">
        <f t="shared" si="4"/>
        <v/>
      </c>
      <c r="J17" s="15" t="str">
        <f t="shared" si="8"/>
        <v>CHƯA KIỂM</v>
      </c>
      <c r="K17" s="3" t="s">
        <v>5</v>
      </c>
    </row>
    <row r="18" spans="1:11">
      <c r="A18" s="2">
        <v>46307</v>
      </c>
      <c r="B18" s="4">
        <f t="shared" si="5"/>
        <v>88</v>
      </c>
      <c r="C18" s="4">
        <f>SUMIFS(GIAO_DICH!$F$4:$F$13581,GIAO_DICH!$B$4:$B$13581,"&gt;="&amp;A18,GIAO_DICH!$B$4:$B$13581,"&lt;"&amp;A18+1,GIAO_DICH!$F$4:$F$13581,"&gt;0",GIAO_DICH!$C$4:$C$13581,"&lt;&gt;Kiểm hàng")</f>
        <v>0</v>
      </c>
      <c r="D18" s="4">
        <f>-SUMIFS(GIAO_DICH!$F$4:$F$13581,GIAO_DICH!$B$4:$B$13581,"&gt;="&amp;A18,GIAO_DICH!$B$4:$B$13581,"&lt;"&amp;A18+1,GIAO_DICH!$F$4:$F$13581,"&lt;0",GIAO_DICH!$C$4:$C$13581,"&lt;&gt;Kiểm hàng")</f>
        <v>0</v>
      </c>
      <c r="E18" s="4">
        <f>SUMIFS(GIAO_DICH!$F$4:$F$13581,GIAO_DICH!$B$4:$B$13581,"&gt;="&amp;A18,GIAO_DICH!$B$4:$B$13581,"&lt;"&amp;A18+1,GIAO_DICH!$C$4:$C$13581,"Kiểm hàng")</f>
        <v>0</v>
      </c>
      <c r="F18" s="4">
        <f t="shared" si="6"/>
        <v>88</v>
      </c>
      <c r="G18" s="3"/>
      <c r="H18" s="4" t="str">
        <f t="shared" si="7"/>
        <v/>
      </c>
      <c r="I18" s="4" t="str">
        <f t="shared" si="4"/>
        <v/>
      </c>
      <c r="J18" s="15" t="str">
        <f t="shared" si="8"/>
        <v>CHƯA KIỂM</v>
      </c>
      <c r="K18" s="3" t="s">
        <v>5</v>
      </c>
    </row>
    <row r="19" spans="1:11">
      <c r="A19" s="2">
        <v>46308</v>
      </c>
      <c r="B19" s="4">
        <f t="shared" si="5"/>
        <v>88</v>
      </c>
      <c r="C19" s="4">
        <f>SUMIFS(GIAO_DICH!$F$4:$F$13581,GIAO_DICH!$B$4:$B$13581,"&gt;="&amp;A19,GIAO_DICH!$B$4:$B$13581,"&lt;"&amp;A19+1,GIAO_DICH!$F$4:$F$13581,"&gt;0",GIAO_DICH!$C$4:$C$13581,"&lt;&gt;Kiểm hàng")</f>
        <v>0</v>
      </c>
      <c r="D19" s="4">
        <f>-SUMIFS(GIAO_DICH!$F$4:$F$13581,GIAO_DICH!$B$4:$B$13581,"&gt;="&amp;A19,GIAO_DICH!$B$4:$B$13581,"&lt;"&amp;A19+1,GIAO_DICH!$F$4:$F$13581,"&lt;0",GIAO_DICH!$C$4:$C$13581,"&lt;&gt;Kiểm hàng")</f>
        <v>0</v>
      </c>
      <c r="E19" s="4">
        <f>SUMIFS(GIAO_DICH!$F$4:$F$13581,GIAO_DICH!$B$4:$B$13581,"&gt;="&amp;A19,GIAO_DICH!$B$4:$B$13581,"&lt;"&amp;A19+1,GIAO_DICH!$C$4:$C$13581,"Kiểm hàng")</f>
        <v>0</v>
      </c>
      <c r="F19" s="4">
        <f t="shared" si="6"/>
        <v>88</v>
      </c>
      <c r="G19" s="3"/>
      <c r="H19" s="4" t="str">
        <f t="shared" si="7"/>
        <v/>
      </c>
      <c r="I19" s="4" t="str">
        <f t="shared" si="4"/>
        <v/>
      </c>
      <c r="J19" s="15" t="str">
        <f t="shared" si="8"/>
        <v>CHƯA KIỂM</v>
      </c>
      <c r="K19" s="3" t="s">
        <v>5</v>
      </c>
    </row>
    <row r="20" spans="1:11">
      <c r="A20" s="2">
        <v>46309</v>
      </c>
      <c r="B20" s="4">
        <f t="shared" si="5"/>
        <v>88</v>
      </c>
      <c r="C20" s="4">
        <f>SUMIFS(GIAO_DICH!$F$4:$F$13581,GIAO_DICH!$B$4:$B$13581,"&gt;="&amp;A20,GIAO_DICH!$B$4:$B$13581,"&lt;"&amp;A20+1,GIAO_DICH!$F$4:$F$13581,"&gt;0",GIAO_DICH!$C$4:$C$13581,"&lt;&gt;Kiểm hàng")</f>
        <v>0</v>
      </c>
      <c r="D20" s="4">
        <f>-SUMIFS(GIAO_DICH!$F$4:$F$13581,GIAO_DICH!$B$4:$B$13581,"&gt;="&amp;A20,GIAO_DICH!$B$4:$B$13581,"&lt;"&amp;A20+1,GIAO_DICH!$F$4:$F$13581,"&lt;0",GIAO_DICH!$C$4:$C$13581,"&lt;&gt;Kiểm hàng")</f>
        <v>0</v>
      </c>
      <c r="E20" s="4">
        <f>SUMIFS(GIAO_DICH!$F$4:$F$13581,GIAO_DICH!$B$4:$B$13581,"&gt;="&amp;A20,GIAO_DICH!$B$4:$B$13581,"&lt;"&amp;A20+1,GIAO_DICH!$C$4:$C$13581,"Kiểm hàng")</f>
        <v>0</v>
      </c>
      <c r="F20" s="4">
        <f t="shared" si="6"/>
        <v>88</v>
      </c>
      <c r="G20" s="3"/>
      <c r="H20" s="4" t="str">
        <f t="shared" si="7"/>
        <v/>
      </c>
      <c r="I20" s="4" t="str">
        <f t="shared" si="4"/>
        <v/>
      </c>
      <c r="J20" s="15" t="str">
        <f t="shared" si="8"/>
        <v>CHƯA KIỂM</v>
      </c>
      <c r="K20" s="3" t="s">
        <v>5</v>
      </c>
    </row>
    <row r="21" spans="1:11">
      <c r="A21" s="2">
        <v>46310</v>
      </c>
      <c r="B21" s="4">
        <f t="shared" si="5"/>
        <v>88</v>
      </c>
      <c r="C21" s="4">
        <f>SUMIFS(GIAO_DICH!$F$4:$F$13581,GIAO_DICH!$B$4:$B$13581,"&gt;="&amp;A21,GIAO_DICH!$B$4:$B$13581,"&lt;"&amp;A21+1,GIAO_DICH!$F$4:$F$13581,"&gt;0",GIAO_DICH!$C$4:$C$13581,"&lt;&gt;Kiểm hàng")</f>
        <v>0</v>
      </c>
      <c r="D21" s="4">
        <f>-SUMIFS(GIAO_DICH!$F$4:$F$13581,GIAO_DICH!$B$4:$B$13581,"&gt;="&amp;A21,GIAO_DICH!$B$4:$B$13581,"&lt;"&amp;A21+1,GIAO_DICH!$F$4:$F$13581,"&lt;0",GIAO_DICH!$C$4:$C$13581,"&lt;&gt;Kiểm hàng")</f>
        <v>0</v>
      </c>
      <c r="E21" s="4">
        <f>SUMIFS(GIAO_DICH!$F$4:$F$13581,GIAO_DICH!$B$4:$B$13581,"&gt;="&amp;A21,GIAO_DICH!$B$4:$B$13581,"&lt;"&amp;A21+1,GIAO_DICH!$C$4:$C$13581,"Kiểm hàng")</f>
        <v>0</v>
      </c>
      <c r="F21" s="4">
        <f t="shared" si="6"/>
        <v>88</v>
      </c>
      <c r="G21" s="3"/>
      <c r="H21" s="4" t="str">
        <f t="shared" si="7"/>
        <v/>
      </c>
      <c r="I21" s="4" t="str">
        <f t="shared" si="4"/>
        <v/>
      </c>
      <c r="J21" s="15" t="str">
        <f t="shared" si="8"/>
        <v>CHƯA KIỂM</v>
      </c>
      <c r="K21" s="3" t="s">
        <v>5</v>
      </c>
    </row>
    <row r="22" spans="1:11">
      <c r="A22" s="2">
        <v>46311</v>
      </c>
      <c r="B22" s="4">
        <f t="shared" si="5"/>
        <v>88</v>
      </c>
      <c r="C22" s="4">
        <f>SUMIFS(GIAO_DICH!$F$4:$F$13581,GIAO_DICH!$B$4:$B$13581,"&gt;="&amp;A22,GIAO_DICH!$B$4:$B$13581,"&lt;"&amp;A22+1,GIAO_DICH!$F$4:$F$13581,"&gt;0",GIAO_DICH!$C$4:$C$13581,"&lt;&gt;Kiểm hàng")</f>
        <v>0</v>
      </c>
      <c r="D22" s="4">
        <f>-SUMIFS(GIAO_DICH!$F$4:$F$13581,GIAO_DICH!$B$4:$B$13581,"&gt;="&amp;A22,GIAO_DICH!$B$4:$B$13581,"&lt;"&amp;A22+1,GIAO_DICH!$F$4:$F$13581,"&lt;0",GIAO_DICH!$C$4:$C$13581,"&lt;&gt;Kiểm hàng")</f>
        <v>0</v>
      </c>
      <c r="E22" s="4">
        <f>SUMIFS(GIAO_DICH!$F$4:$F$13581,GIAO_DICH!$B$4:$B$13581,"&gt;="&amp;A22,GIAO_DICH!$B$4:$B$13581,"&lt;"&amp;A22+1,GIAO_DICH!$C$4:$C$13581,"Kiểm hàng")</f>
        <v>0</v>
      </c>
      <c r="F22" s="4">
        <f t="shared" si="6"/>
        <v>88</v>
      </c>
      <c r="G22" s="3"/>
      <c r="H22" s="4" t="str">
        <f t="shared" si="7"/>
        <v/>
      </c>
      <c r="I22" s="4" t="str">
        <f t="shared" si="4"/>
        <v/>
      </c>
      <c r="J22" s="15" t="str">
        <f t="shared" si="8"/>
        <v>CHƯA KIỂM</v>
      </c>
      <c r="K22" s="3" t="s">
        <v>5</v>
      </c>
    </row>
    <row r="23" spans="1:11">
      <c r="A23" s="2">
        <v>46312</v>
      </c>
      <c r="B23" s="4">
        <f t="shared" si="5"/>
        <v>88</v>
      </c>
      <c r="C23" s="4">
        <f>SUMIFS(GIAO_DICH!$F$4:$F$13581,GIAO_DICH!$B$4:$B$13581,"&gt;="&amp;A23,GIAO_DICH!$B$4:$B$13581,"&lt;"&amp;A23+1,GIAO_DICH!$F$4:$F$13581,"&gt;0",GIAO_DICH!$C$4:$C$13581,"&lt;&gt;Kiểm hàng")</f>
        <v>0</v>
      </c>
      <c r="D23" s="4">
        <f>-SUMIFS(GIAO_DICH!$F$4:$F$13581,GIAO_DICH!$B$4:$B$13581,"&gt;="&amp;A23,GIAO_DICH!$B$4:$B$13581,"&lt;"&amp;A23+1,GIAO_DICH!$F$4:$F$13581,"&lt;0",GIAO_DICH!$C$4:$C$13581,"&lt;&gt;Kiểm hàng")</f>
        <v>0</v>
      </c>
      <c r="E23" s="4">
        <f>SUMIFS(GIAO_DICH!$F$4:$F$13581,GIAO_DICH!$B$4:$B$13581,"&gt;="&amp;A23,GIAO_DICH!$B$4:$B$13581,"&lt;"&amp;A23+1,GIAO_DICH!$C$4:$C$13581,"Kiểm hàng")</f>
        <v>0</v>
      </c>
      <c r="F23" s="4">
        <f t="shared" si="6"/>
        <v>88</v>
      </c>
      <c r="G23" s="3"/>
      <c r="H23" s="4" t="str">
        <f t="shared" si="7"/>
        <v/>
      </c>
      <c r="I23" s="4" t="str">
        <f t="shared" si="4"/>
        <v/>
      </c>
      <c r="J23" s="15" t="str">
        <f t="shared" si="8"/>
        <v>CHƯA KIỂM</v>
      </c>
      <c r="K23" s="3" t="s">
        <v>5</v>
      </c>
    </row>
    <row r="24" spans="1:11">
      <c r="A24" s="2">
        <v>46313</v>
      </c>
      <c r="B24" s="4">
        <f t="shared" si="5"/>
        <v>88</v>
      </c>
      <c r="C24" s="4">
        <f>SUMIFS(GIAO_DICH!$F$4:$F$13581,GIAO_DICH!$B$4:$B$13581,"&gt;="&amp;A24,GIAO_DICH!$B$4:$B$13581,"&lt;"&amp;A24+1,GIAO_DICH!$F$4:$F$13581,"&gt;0",GIAO_DICH!$C$4:$C$13581,"&lt;&gt;Kiểm hàng")</f>
        <v>0</v>
      </c>
      <c r="D24" s="4">
        <f>-SUMIFS(GIAO_DICH!$F$4:$F$13581,GIAO_DICH!$B$4:$B$13581,"&gt;="&amp;A24,GIAO_DICH!$B$4:$B$13581,"&lt;"&amp;A24+1,GIAO_DICH!$F$4:$F$13581,"&lt;0",GIAO_DICH!$C$4:$C$13581,"&lt;&gt;Kiểm hàng")</f>
        <v>0</v>
      </c>
      <c r="E24" s="4">
        <f>SUMIFS(GIAO_DICH!$F$4:$F$13581,GIAO_DICH!$B$4:$B$13581,"&gt;="&amp;A24,GIAO_DICH!$B$4:$B$13581,"&lt;"&amp;A24+1,GIAO_DICH!$C$4:$C$13581,"Kiểm hàng")</f>
        <v>0</v>
      </c>
      <c r="F24" s="4">
        <f t="shared" si="6"/>
        <v>88</v>
      </c>
      <c r="G24" s="3"/>
      <c r="H24" s="4" t="str">
        <f t="shared" si="7"/>
        <v/>
      </c>
      <c r="I24" s="4" t="str">
        <f t="shared" si="4"/>
        <v/>
      </c>
      <c r="J24" s="15" t="str">
        <f t="shared" si="8"/>
        <v>CHƯA KIỂM</v>
      </c>
      <c r="K24" s="3" t="s">
        <v>5</v>
      </c>
    </row>
    <row r="25" spans="1:11">
      <c r="A25" s="2">
        <v>46314</v>
      </c>
      <c r="B25" s="4">
        <f t="shared" si="5"/>
        <v>88</v>
      </c>
      <c r="C25" s="4">
        <f>SUMIFS(GIAO_DICH!$F$4:$F$13581,GIAO_DICH!$B$4:$B$13581,"&gt;="&amp;A25,GIAO_DICH!$B$4:$B$13581,"&lt;"&amp;A25+1,GIAO_DICH!$F$4:$F$13581,"&gt;0",GIAO_DICH!$C$4:$C$13581,"&lt;&gt;Kiểm hàng")</f>
        <v>0</v>
      </c>
      <c r="D25" s="4">
        <f>-SUMIFS(GIAO_DICH!$F$4:$F$13581,GIAO_DICH!$B$4:$B$13581,"&gt;="&amp;A25,GIAO_DICH!$B$4:$B$13581,"&lt;"&amp;A25+1,GIAO_DICH!$F$4:$F$13581,"&lt;0",GIAO_DICH!$C$4:$C$13581,"&lt;&gt;Kiểm hàng")</f>
        <v>0</v>
      </c>
      <c r="E25" s="4">
        <f>SUMIFS(GIAO_DICH!$F$4:$F$13581,GIAO_DICH!$B$4:$B$13581,"&gt;="&amp;A25,GIAO_DICH!$B$4:$B$13581,"&lt;"&amp;A25+1,GIAO_DICH!$C$4:$C$13581,"Kiểm hàng")</f>
        <v>0</v>
      </c>
      <c r="F25" s="4">
        <f t="shared" si="6"/>
        <v>88</v>
      </c>
      <c r="G25" s="3"/>
      <c r="H25" s="4" t="str">
        <f t="shared" si="7"/>
        <v/>
      </c>
      <c r="I25" s="4" t="str">
        <f t="shared" si="4"/>
        <v/>
      </c>
      <c r="J25" s="15" t="str">
        <f t="shared" si="8"/>
        <v>CHƯA KIỂM</v>
      </c>
      <c r="K25" s="3" t="s">
        <v>5</v>
      </c>
    </row>
    <row r="26" spans="1:11">
      <c r="A26" s="2">
        <v>46315</v>
      </c>
      <c r="B26" s="4">
        <f t="shared" si="5"/>
        <v>88</v>
      </c>
      <c r="C26" s="4">
        <f>SUMIFS(GIAO_DICH!$F$4:$F$13581,GIAO_DICH!$B$4:$B$13581,"&gt;="&amp;A26,GIAO_DICH!$B$4:$B$13581,"&lt;"&amp;A26+1,GIAO_DICH!$F$4:$F$13581,"&gt;0",GIAO_DICH!$C$4:$C$13581,"&lt;&gt;Kiểm hàng")</f>
        <v>0</v>
      </c>
      <c r="D26" s="4">
        <f>-SUMIFS(GIAO_DICH!$F$4:$F$13581,GIAO_DICH!$B$4:$B$13581,"&gt;="&amp;A26,GIAO_DICH!$B$4:$B$13581,"&lt;"&amp;A26+1,GIAO_DICH!$F$4:$F$13581,"&lt;0",GIAO_DICH!$C$4:$C$13581,"&lt;&gt;Kiểm hàng")</f>
        <v>0</v>
      </c>
      <c r="E26" s="4">
        <f>SUMIFS(GIAO_DICH!$F$4:$F$13581,GIAO_DICH!$B$4:$B$13581,"&gt;="&amp;A26,GIAO_DICH!$B$4:$B$13581,"&lt;"&amp;A26+1,GIAO_DICH!$C$4:$C$13581,"Kiểm hàng")</f>
        <v>0</v>
      </c>
      <c r="F26" s="4">
        <f t="shared" si="6"/>
        <v>88</v>
      </c>
      <c r="G26" s="3"/>
      <c r="H26" s="4" t="str">
        <f t="shared" si="7"/>
        <v/>
      </c>
      <c r="I26" s="4" t="str">
        <f t="shared" si="4"/>
        <v/>
      </c>
      <c r="J26" s="15" t="str">
        <f t="shared" si="8"/>
        <v>CHƯA KIỂM</v>
      </c>
      <c r="K26" s="3" t="s">
        <v>5</v>
      </c>
    </row>
    <row r="27" spans="1:11">
      <c r="A27" s="2">
        <v>46316</v>
      </c>
      <c r="B27" s="4">
        <f t="shared" si="5"/>
        <v>88</v>
      </c>
      <c r="C27" s="4">
        <f>SUMIFS(GIAO_DICH!$F$4:$F$13581,GIAO_DICH!$B$4:$B$13581,"&gt;="&amp;A27,GIAO_DICH!$B$4:$B$13581,"&lt;"&amp;A27+1,GIAO_DICH!$F$4:$F$13581,"&gt;0",GIAO_DICH!$C$4:$C$13581,"&lt;&gt;Kiểm hàng")</f>
        <v>0</v>
      </c>
      <c r="D27" s="4">
        <f>-SUMIFS(GIAO_DICH!$F$4:$F$13581,GIAO_DICH!$B$4:$B$13581,"&gt;="&amp;A27,GIAO_DICH!$B$4:$B$13581,"&lt;"&amp;A27+1,GIAO_DICH!$F$4:$F$13581,"&lt;0",GIAO_DICH!$C$4:$C$13581,"&lt;&gt;Kiểm hàng")</f>
        <v>0</v>
      </c>
      <c r="E27" s="4">
        <f>SUMIFS(GIAO_DICH!$F$4:$F$13581,GIAO_DICH!$B$4:$B$13581,"&gt;="&amp;A27,GIAO_DICH!$B$4:$B$13581,"&lt;"&amp;A27+1,GIAO_DICH!$C$4:$C$13581,"Kiểm hàng")</f>
        <v>0</v>
      </c>
      <c r="F27" s="4">
        <f t="shared" si="6"/>
        <v>88</v>
      </c>
      <c r="G27" s="3"/>
      <c r="H27" s="4" t="str">
        <f t="shared" si="7"/>
        <v/>
      </c>
      <c r="I27" s="4" t="str">
        <f t="shared" si="4"/>
        <v/>
      </c>
      <c r="J27" s="15" t="str">
        <f t="shared" si="8"/>
        <v>CHƯA KIỂM</v>
      </c>
      <c r="K27" s="3" t="s">
        <v>5</v>
      </c>
    </row>
    <row r="28" spans="1:11">
      <c r="A28" s="2">
        <v>46317</v>
      </c>
      <c r="B28" s="4">
        <f t="shared" si="5"/>
        <v>88</v>
      </c>
      <c r="C28" s="4">
        <f>SUMIFS(GIAO_DICH!$F$4:$F$13581,GIAO_DICH!$B$4:$B$13581,"&gt;="&amp;A28,GIAO_DICH!$B$4:$B$13581,"&lt;"&amp;A28+1,GIAO_DICH!$F$4:$F$13581,"&gt;0",GIAO_DICH!$C$4:$C$13581,"&lt;&gt;Kiểm hàng")</f>
        <v>0</v>
      </c>
      <c r="D28" s="4">
        <f>-SUMIFS(GIAO_DICH!$F$4:$F$13581,GIAO_DICH!$B$4:$B$13581,"&gt;="&amp;A28,GIAO_DICH!$B$4:$B$13581,"&lt;"&amp;A28+1,GIAO_DICH!$F$4:$F$13581,"&lt;0",GIAO_DICH!$C$4:$C$13581,"&lt;&gt;Kiểm hàng")</f>
        <v>0</v>
      </c>
      <c r="E28" s="4">
        <f>SUMIFS(GIAO_DICH!$F$4:$F$13581,GIAO_DICH!$B$4:$B$13581,"&gt;="&amp;A28,GIAO_DICH!$B$4:$B$13581,"&lt;"&amp;A28+1,GIAO_DICH!$C$4:$C$13581,"Kiểm hàng")</f>
        <v>0</v>
      </c>
      <c r="F28" s="4">
        <f t="shared" si="6"/>
        <v>88</v>
      </c>
      <c r="G28" s="3"/>
      <c r="H28" s="4" t="str">
        <f t="shared" si="7"/>
        <v/>
      </c>
      <c r="I28" s="4" t="str">
        <f t="shared" si="4"/>
        <v/>
      </c>
      <c r="J28" s="15" t="str">
        <f t="shared" si="8"/>
        <v>CHƯA KIỂM</v>
      </c>
      <c r="K28" s="3" t="s">
        <v>5</v>
      </c>
    </row>
    <row r="29" spans="1:11">
      <c r="A29" s="2">
        <v>46318</v>
      </c>
      <c r="B29" s="4">
        <f t="shared" si="5"/>
        <v>88</v>
      </c>
      <c r="C29" s="4">
        <f>SUMIFS(GIAO_DICH!$F$4:$F$13581,GIAO_DICH!$B$4:$B$13581,"&gt;="&amp;A29,GIAO_DICH!$B$4:$B$13581,"&lt;"&amp;A29+1,GIAO_DICH!$F$4:$F$13581,"&gt;0",GIAO_DICH!$C$4:$C$13581,"&lt;&gt;Kiểm hàng")</f>
        <v>0</v>
      </c>
      <c r="D29" s="4">
        <f>-SUMIFS(GIAO_DICH!$F$4:$F$13581,GIAO_DICH!$B$4:$B$13581,"&gt;="&amp;A29,GIAO_DICH!$B$4:$B$13581,"&lt;"&amp;A29+1,GIAO_DICH!$F$4:$F$13581,"&lt;0",GIAO_DICH!$C$4:$C$13581,"&lt;&gt;Kiểm hàng")</f>
        <v>0</v>
      </c>
      <c r="E29" s="4">
        <f>SUMIFS(GIAO_DICH!$F$4:$F$13581,GIAO_DICH!$B$4:$B$13581,"&gt;="&amp;A29,GIAO_DICH!$B$4:$B$13581,"&lt;"&amp;A29+1,GIAO_DICH!$C$4:$C$13581,"Kiểm hàng")</f>
        <v>0</v>
      </c>
      <c r="F29" s="4">
        <f t="shared" si="6"/>
        <v>88</v>
      </c>
      <c r="G29" s="3"/>
      <c r="H29" s="4" t="str">
        <f t="shared" si="7"/>
        <v/>
      </c>
      <c r="I29" s="4" t="str">
        <f t="shared" si="4"/>
        <v/>
      </c>
      <c r="J29" s="15" t="str">
        <f t="shared" si="8"/>
        <v>CHƯA KIỂM</v>
      </c>
      <c r="K29" s="3" t="s">
        <v>5</v>
      </c>
    </row>
    <row r="30" spans="1:11">
      <c r="A30" s="2">
        <v>46319</v>
      </c>
      <c r="B30" s="4">
        <f t="shared" si="5"/>
        <v>88</v>
      </c>
      <c r="C30" s="4">
        <f>SUMIFS(GIAO_DICH!$F$4:$F$13581,GIAO_DICH!$B$4:$B$13581,"&gt;="&amp;A30,GIAO_DICH!$B$4:$B$13581,"&lt;"&amp;A30+1,GIAO_DICH!$F$4:$F$13581,"&gt;0",GIAO_DICH!$C$4:$C$13581,"&lt;&gt;Kiểm hàng")</f>
        <v>0</v>
      </c>
      <c r="D30" s="4">
        <f>-SUMIFS(GIAO_DICH!$F$4:$F$13581,GIAO_DICH!$B$4:$B$13581,"&gt;="&amp;A30,GIAO_DICH!$B$4:$B$13581,"&lt;"&amp;A30+1,GIAO_DICH!$F$4:$F$13581,"&lt;0",GIAO_DICH!$C$4:$C$13581,"&lt;&gt;Kiểm hàng")</f>
        <v>0</v>
      </c>
      <c r="E30" s="4">
        <f>SUMIFS(GIAO_DICH!$F$4:$F$13581,GIAO_DICH!$B$4:$B$13581,"&gt;="&amp;A30,GIAO_DICH!$B$4:$B$13581,"&lt;"&amp;A30+1,GIAO_DICH!$C$4:$C$13581,"Kiểm hàng")</f>
        <v>0</v>
      </c>
      <c r="F30" s="4">
        <f t="shared" si="6"/>
        <v>88</v>
      </c>
      <c r="G30" s="3"/>
      <c r="H30" s="4" t="str">
        <f t="shared" si="7"/>
        <v/>
      </c>
      <c r="I30" s="4" t="str">
        <f t="shared" si="4"/>
        <v/>
      </c>
      <c r="J30" s="15" t="str">
        <f t="shared" si="8"/>
        <v>CHƯA KIỂM</v>
      </c>
      <c r="K30" s="3" t="s">
        <v>5</v>
      </c>
    </row>
    <row r="31" spans="1:11">
      <c r="A31" s="2">
        <v>46320</v>
      </c>
      <c r="B31" s="4">
        <f t="shared" si="5"/>
        <v>88</v>
      </c>
      <c r="C31" s="4">
        <f>SUMIFS(GIAO_DICH!$F$4:$F$13581,GIAO_DICH!$B$4:$B$13581,"&gt;="&amp;A31,GIAO_DICH!$B$4:$B$13581,"&lt;"&amp;A31+1,GIAO_DICH!$F$4:$F$13581,"&gt;0",GIAO_DICH!$C$4:$C$13581,"&lt;&gt;Kiểm hàng")</f>
        <v>0</v>
      </c>
      <c r="D31" s="4">
        <f>-SUMIFS(GIAO_DICH!$F$4:$F$13581,GIAO_DICH!$B$4:$B$13581,"&gt;="&amp;A31,GIAO_DICH!$B$4:$B$13581,"&lt;"&amp;A31+1,GIAO_DICH!$F$4:$F$13581,"&lt;0",GIAO_DICH!$C$4:$C$13581,"&lt;&gt;Kiểm hàng")</f>
        <v>0</v>
      </c>
      <c r="E31" s="4">
        <f>SUMIFS(GIAO_DICH!$F$4:$F$13581,GIAO_DICH!$B$4:$B$13581,"&gt;="&amp;A31,GIAO_DICH!$B$4:$B$13581,"&lt;"&amp;A31+1,GIAO_DICH!$C$4:$C$13581,"Kiểm hàng")</f>
        <v>0</v>
      </c>
      <c r="F31" s="4">
        <f t="shared" si="6"/>
        <v>88</v>
      </c>
      <c r="G31" s="3"/>
      <c r="H31" s="4" t="str">
        <f t="shared" si="7"/>
        <v/>
      </c>
      <c r="I31" s="4" t="str">
        <f t="shared" si="4"/>
        <v/>
      </c>
      <c r="J31" s="15" t="str">
        <f t="shared" si="8"/>
        <v>CHƯA KIỂM</v>
      </c>
      <c r="K31" s="3" t="s">
        <v>5</v>
      </c>
    </row>
    <row r="32" spans="1:11">
      <c r="A32" s="2">
        <v>46321</v>
      </c>
      <c r="B32" s="4">
        <f t="shared" si="5"/>
        <v>88</v>
      </c>
      <c r="C32" s="4">
        <f>SUMIFS(GIAO_DICH!$F$4:$F$13581,GIAO_DICH!$B$4:$B$13581,"&gt;="&amp;A32,GIAO_DICH!$B$4:$B$13581,"&lt;"&amp;A32+1,GIAO_DICH!$F$4:$F$13581,"&gt;0",GIAO_DICH!$C$4:$C$13581,"&lt;&gt;Kiểm hàng")</f>
        <v>0</v>
      </c>
      <c r="D32" s="4">
        <f>-SUMIFS(GIAO_DICH!$F$4:$F$13581,GIAO_DICH!$B$4:$B$13581,"&gt;="&amp;A32,GIAO_DICH!$B$4:$B$13581,"&lt;"&amp;A32+1,GIAO_DICH!$F$4:$F$13581,"&lt;0",GIAO_DICH!$C$4:$C$13581,"&lt;&gt;Kiểm hàng")</f>
        <v>0</v>
      </c>
      <c r="E32" s="4">
        <f>SUMIFS(GIAO_DICH!$F$4:$F$13581,GIAO_DICH!$B$4:$B$13581,"&gt;="&amp;A32,GIAO_DICH!$B$4:$B$13581,"&lt;"&amp;A32+1,GIAO_DICH!$C$4:$C$13581,"Kiểm hàng")</f>
        <v>0</v>
      </c>
      <c r="F32" s="4">
        <f t="shared" si="6"/>
        <v>88</v>
      </c>
      <c r="G32" s="3"/>
      <c r="H32" s="4" t="str">
        <f t="shared" si="7"/>
        <v/>
      </c>
      <c r="I32" s="4" t="str">
        <f t="shared" si="4"/>
        <v/>
      </c>
      <c r="J32" s="15" t="str">
        <f t="shared" si="8"/>
        <v>CHƯA KIỂM</v>
      </c>
      <c r="K32" s="3" t="s">
        <v>5</v>
      </c>
    </row>
    <row r="33" spans="1:11">
      <c r="A33" s="2">
        <v>46322</v>
      </c>
      <c r="B33" s="4">
        <f t="shared" si="5"/>
        <v>88</v>
      </c>
      <c r="C33" s="4">
        <f>SUMIFS(GIAO_DICH!$F$4:$F$13581,GIAO_DICH!$B$4:$B$13581,"&gt;="&amp;A33,GIAO_DICH!$B$4:$B$13581,"&lt;"&amp;A33+1,GIAO_DICH!$F$4:$F$13581,"&gt;0",GIAO_DICH!$C$4:$C$13581,"&lt;&gt;Kiểm hàng")</f>
        <v>0</v>
      </c>
      <c r="D33" s="4">
        <f>-SUMIFS(GIAO_DICH!$F$4:$F$13581,GIAO_DICH!$B$4:$B$13581,"&gt;="&amp;A33,GIAO_DICH!$B$4:$B$13581,"&lt;"&amp;A33+1,GIAO_DICH!$F$4:$F$13581,"&lt;0",GIAO_DICH!$C$4:$C$13581,"&lt;&gt;Kiểm hàng")</f>
        <v>0</v>
      </c>
      <c r="E33" s="4">
        <f>SUMIFS(GIAO_DICH!$F$4:$F$13581,GIAO_DICH!$B$4:$B$13581,"&gt;="&amp;A33,GIAO_DICH!$B$4:$B$13581,"&lt;"&amp;A33+1,GIAO_DICH!$C$4:$C$13581,"Kiểm hàng")</f>
        <v>0</v>
      </c>
      <c r="F33" s="4">
        <f t="shared" si="6"/>
        <v>88</v>
      </c>
      <c r="G33" s="3"/>
      <c r="H33" s="4" t="str">
        <f t="shared" si="7"/>
        <v/>
      </c>
      <c r="I33" s="4" t="str">
        <f t="shared" si="4"/>
        <v/>
      </c>
      <c r="J33" s="15" t="str">
        <f t="shared" si="8"/>
        <v>CHƯA KIỂM</v>
      </c>
      <c r="K33" s="3" t="s">
        <v>5</v>
      </c>
    </row>
    <row r="34" spans="1:11">
      <c r="A34" s="2">
        <v>46323</v>
      </c>
      <c r="B34" s="4">
        <f t="shared" si="5"/>
        <v>88</v>
      </c>
      <c r="C34" s="4">
        <f>SUMIFS(GIAO_DICH!$F$4:$F$13581,GIAO_DICH!$B$4:$B$13581,"&gt;="&amp;A34,GIAO_DICH!$B$4:$B$13581,"&lt;"&amp;A34+1,GIAO_DICH!$F$4:$F$13581,"&gt;0",GIAO_DICH!$C$4:$C$13581,"&lt;&gt;Kiểm hàng")</f>
        <v>0</v>
      </c>
      <c r="D34" s="4">
        <f>-SUMIFS(GIAO_DICH!$F$4:$F$13581,GIAO_DICH!$B$4:$B$13581,"&gt;="&amp;A34,GIAO_DICH!$B$4:$B$13581,"&lt;"&amp;A34+1,GIAO_DICH!$F$4:$F$13581,"&lt;0",GIAO_DICH!$C$4:$C$13581,"&lt;&gt;Kiểm hàng")</f>
        <v>0</v>
      </c>
      <c r="E34" s="4">
        <f>SUMIFS(GIAO_DICH!$F$4:$F$13581,GIAO_DICH!$B$4:$B$13581,"&gt;="&amp;A34,GIAO_DICH!$B$4:$B$13581,"&lt;"&amp;A34+1,GIAO_DICH!$C$4:$C$13581,"Kiểm hàng")</f>
        <v>0</v>
      </c>
      <c r="F34" s="4">
        <f t="shared" si="6"/>
        <v>88</v>
      </c>
      <c r="G34" s="3"/>
      <c r="H34" s="4" t="str">
        <f t="shared" si="7"/>
        <v/>
      </c>
      <c r="I34" s="4" t="str">
        <f t="shared" si="4"/>
        <v/>
      </c>
      <c r="J34" s="15" t="str">
        <f t="shared" si="8"/>
        <v>CHƯA KIỂM</v>
      </c>
      <c r="K34" s="3" t="s">
        <v>5</v>
      </c>
    </row>
    <row r="35" spans="1:11">
      <c r="A35" s="2">
        <v>46324</v>
      </c>
      <c r="B35" s="4">
        <f t="shared" si="5"/>
        <v>88</v>
      </c>
      <c r="C35" s="4">
        <f>SUMIFS(GIAO_DICH!$F$4:$F$13581,GIAO_DICH!$B$4:$B$13581,"&gt;="&amp;A35,GIAO_DICH!$B$4:$B$13581,"&lt;"&amp;A35+1,GIAO_DICH!$F$4:$F$13581,"&gt;0",GIAO_DICH!$C$4:$C$13581,"&lt;&gt;Kiểm hàng")</f>
        <v>0</v>
      </c>
      <c r="D35" s="4">
        <f>-SUMIFS(GIAO_DICH!$F$4:$F$13581,GIAO_DICH!$B$4:$B$13581,"&gt;="&amp;A35,GIAO_DICH!$B$4:$B$13581,"&lt;"&amp;A35+1,GIAO_DICH!$F$4:$F$13581,"&lt;0",GIAO_DICH!$C$4:$C$13581,"&lt;&gt;Kiểm hàng")</f>
        <v>0</v>
      </c>
      <c r="E35" s="4">
        <f>SUMIFS(GIAO_DICH!$F$4:$F$13581,GIAO_DICH!$B$4:$B$13581,"&gt;="&amp;A35,GIAO_DICH!$B$4:$B$13581,"&lt;"&amp;A35+1,GIAO_DICH!$C$4:$C$13581,"Kiểm hàng")</f>
        <v>0</v>
      </c>
      <c r="F35" s="4">
        <f t="shared" si="6"/>
        <v>88</v>
      </c>
      <c r="G35" s="3"/>
      <c r="H35" s="4" t="str">
        <f t="shared" si="7"/>
        <v/>
      </c>
      <c r="I35" s="4" t="str">
        <f t="shared" si="4"/>
        <v/>
      </c>
      <c r="J35" s="15" t="str">
        <f t="shared" si="8"/>
        <v>CHƯA KIỂM</v>
      </c>
      <c r="K35" s="3" t="s">
        <v>5</v>
      </c>
    </row>
    <row r="36" spans="1:11">
      <c r="A36" s="2">
        <v>46325</v>
      </c>
      <c r="B36" s="4">
        <f t="shared" si="5"/>
        <v>88</v>
      </c>
      <c r="C36" s="4">
        <f>SUMIFS(GIAO_DICH!$F$4:$F$13581,GIAO_DICH!$B$4:$B$13581,"&gt;="&amp;A36,GIAO_DICH!$B$4:$B$13581,"&lt;"&amp;A36+1,GIAO_DICH!$F$4:$F$13581,"&gt;0",GIAO_DICH!$C$4:$C$13581,"&lt;&gt;Kiểm hàng")</f>
        <v>0</v>
      </c>
      <c r="D36" s="4">
        <f>-SUMIFS(GIAO_DICH!$F$4:$F$13581,GIAO_DICH!$B$4:$B$13581,"&gt;="&amp;A36,GIAO_DICH!$B$4:$B$13581,"&lt;"&amp;A36+1,GIAO_DICH!$F$4:$F$13581,"&lt;0",GIAO_DICH!$C$4:$C$13581,"&lt;&gt;Kiểm hàng")</f>
        <v>0</v>
      </c>
      <c r="E36" s="4">
        <f>SUMIFS(GIAO_DICH!$F$4:$F$13581,GIAO_DICH!$B$4:$B$13581,"&gt;="&amp;A36,GIAO_DICH!$B$4:$B$13581,"&lt;"&amp;A36+1,GIAO_DICH!$C$4:$C$13581,"Kiểm hàng")</f>
        <v>0</v>
      </c>
      <c r="F36" s="4">
        <f t="shared" si="6"/>
        <v>88</v>
      </c>
      <c r="G36" s="3"/>
      <c r="H36" s="4" t="str">
        <f t="shared" si="7"/>
        <v/>
      </c>
      <c r="I36" s="4" t="str">
        <f t="shared" si="4"/>
        <v/>
      </c>
      <c r="J36" s="15" t="str">
        <f t="shared" si="8"/>
        <v>CHƯA KIỂM</v>
      </c>
      <c r="K36" s="3" t="s">
        <v>5</v>
      </c>
    </row>
    <row r="37" spans="1:11">
      <c r="A37" s="2">
        <v>46326</v>
      </c>
      <c r="B37" s="4">
        <f t="shared" si="5"/>
        <v>88</v>
      </c>
      <c r="C37" s="4">
        <f>SUMIFS(GIAO_DICH!$F$4:$F$13581,GIAO_DICH!$B$4:$B$13581,"&gt;="&amp;A37,GIAO_DICH!$B$4:$B$13581,"&lt;"&amp;A37+1,GIAO_DICH!$F$4:$F$13581,"&gt;0",GIAO_DICH!$C$4:$C$13581,"&lt;&gt;Kiểm hàng")</f>
        <v>0</v>
      </c>
      <c r="D37" s="4">
        <f>-SUMIFS(GIAO_DICH!$F$4:$F$13581,GIAO_DICH!$B$4:$B$13581,"&gt;="&amp;A37,GIAO_DICH!$B$4:$B$13581,"&lt;"&amp;A37+1,GIAO_DICH!$F$4:$F$13581,"&lt;0",GIAO_DICH!$C$4:$C$13581,"&lt;&gt;Kiểm hàng")</f>
        <v>0</v>
      </c>
      <c r="E37" s="4">
        <f>SUMIFS(GIAO_DICH!$F$4:$F$13581,GIAO_DICH!$B$4:$B$13581,"&gt;="&amp;A37,GIAO_DICH!$B$4:$B$13581,"&lt;"&amp;A37+1,GIAO_DICH!$C$4:$C$13581,"Kiểm hàng")</f>
        <v>0</v>
      </c>
      <c r="F37" s="4">
        <f t="shared" si="6"/>
        <v>88</v>
      </c>
      <c r="G37" s="3"/>
      <c r="H37" s="4" t="str">
        <f t="shared" si="7"/>
        <v/>
      </c>
      <c r="I37" s="4" t="str">
        <f t="shared" si="4"/>
        <v/>
      </c>
      <c r="J37" s="15" t="str">
        <f t="shared" si="8"/>
        <v>CHƯA KIỂM</v>
      </c>
      <c r="K37" s="3" t="s">
        <v>5</v>
      </c>
    </row>
    <row r="38" spans="1:11">
      <c r="A38" s="2">
        <v>46327</v>
      </c>
      <c r="B38" s="4">
        <f t="shared" si="5"/>
        <v>88</v>
      </c>
      <c r="C38" s="4">
        <f>SUMIFS(GIAO_DICH!$F$4:$F$13581,GIAO_DICH!$B$4:$B$13581,"&gt;="&amp;A38,GIAO_DICH!$B$4:$B$13581,"&lt;"&amp;A38+1,GIAO_DICH!$F$4:$F$13581,"&gt;0",GIAO_DICH!$C$4:$C$13581,"&lt;&gt;Kiểm hàng")</f>
        <v>0</v>
      </c>
      <c r="D38" s="4">
        <f>-SUMIFS(GIAO_DICH!$F$4:$F$13581,GIAO_DICH!$B$4:$B$13581,"&gt;="&amp;A38,GIAO_DICH!$B$4:$B$13581,"&lt;"&amp;A38+1,GIAO_DICH!$F$4:$F$13581,"&lt;0",GIAO_DICH!$C$4:$C$13581,"&lt;&gt;Kiểm hàng")</f>
        <v>0</v>
      </c>
      <c r="E38" s="4">
        <f>SUMIFS(GIAO_DICH!$F$4:$F$13581,GIAO_DICH!$B$4:$B$13581,"&gt;="&amp;A38,GIAO_DICH!$B$4:$B$13581,"&lt;"&amp;A38+1,GIAO_DICH!$C$4:$C$13581,"Kiểm hàng")</f>
        <v>0</v>
      </c>
      <c r="F38" s="4">
        <f t="shared" si="6"/>
        <v>88</v>
      </c>
      <c r="G38" s="3"/>
      <c r="H38" s="4" t="str">
        <f t="shared" si="7"/>
        <v/>
      </c>
      <c r="I38" s="4" t="str">
        <f t="shared" si="4"/>
        <v/>
      </c>
      <c r="J38" s="15" t="str">
        <f t="shared" si="8"/>
        <v>CHƯA KIỂM</v>
      </c>
      <c r="K38" s="3" t="s">
        <v>5</v>
      </c>
    </row>
    <row r="39" spans="1:11">
      <c r="A39" s="2">
        <v>46328</v>
      </c>
      <c r="B39" s="4">
        <f t="shared" si="5"/>
        <v>88</v>
      </c>
      <c r="C39" s="4">
        <f>SUMIFS(GIAO_DICH!$F$4:$F$13581,GIAO_DICH!$B$4:$B$13581,"&gt;="&amp;A39,GIAO_DICH!$B$4:$B$13581,"&lt;"&amp;A39+1,GIAO_DICH!$F$4:$F$13581,"&gt;0",GIAO_DICH!$C$4:$C$13581,"&lt;&gt;Kiểm hàng")</f>
        <v>0</v>
      </c>
      <c r="D39" s="4">
        <f>-SUMIFS(GIAO_DICH!$F$4:$F$13581,GIAO_DICH!$B$4:$B$13581,"&gt;="&amp;A39,GIAO_DICH!$B$4:$B$13581,"&lt;"&amp;A39+1,GIAO_DICH!$F$4:$F$13581,"&lt;0",GIAO_DICH!$C$4:$C$13581,"&lt;&gt;Kiểm hàng")</f>
        <v>0</v>
      </c>
      <c r="E39" s="4">
        <f>SUMIFS(GIAO_DICH!$F$4:$F$13581,GIAO_DICH!$B$4:$B$13581,"&gt;="&amp;A39,GIAO_DICH!$B$4:$B$13581,"&lt;"&amp;A39+1,GIAO_DICH!$C$4:$C$13581,"Kiểm hàng")</f>
        <v>0</v>
      </c>
      <c r="F39" s="4">
        <f t="shared" si="6"/>
        <v>88</v>
      </c>
      <c r="G39" s="3"/>
      <c r="H39" s="4" t="str">
        <f t="shared" si="7"/>
        <v/>
      </c>
      <c r="I39" s="4" t="str">
        <f t="shared" si="4"/>
        <v/>
      </c>
      <c r="J39" s="15" t="str">
        <f t="shared" si="8"/>
        <v>CHƯA KIỂM</v>
      </c>
      <c r="K39" s="3" t="s">
        <v>5</v>
      </c>
    </row>
    <row r="40" spans="1:11">
      <c r="A40" s="2">
        <v>46329</v>
      </c>
      <c r="B40" s="4">
        <f t="shared" si="5"/>
        <v>88</v>
      </c>
      <c r="C40" s="4">
        <f>SUMIFS(GIAO_DICH!$F$4:$F$13581,GIAO_DICH!$B$4:$B$13581,"&gt;="&amp;A40,GIAO_DICH!$B$4:$B$13581,"&lt;"&amp;A40+1,GIAO_DICH!$F$4:$F$13581,"&gt;0",GIAO_DICH!$C$4:$C$13581,"&lt;&gt;Kiểm hàng")</f>
        <v>0</v>
      </c>
      <c r="D40" s="4">
        <f>-SUMIFS(GIAO_DICH!$F$4:$F$13581,GIAO_DICH!$B$4:$B$13581,"&gt;="&amp;A40,GIAO_DICH!$B$4:$B$13581,"&lt;"&amp;A40+1,GIAO_DICH!$F$4:$F$13581,"&lt;0",GIAO_DICH!$C$4:$C$13581,"&lt;&gt;Kiểm hàng")</f>
        <v>0</v>
      </c>
      <c r="E40" s="4">
        <f>SUMIFS(GIAO_DICH!$F$4:$F$13581,GIAO_DICH!$B$4:$B$13581,"&gt;="&amp;A40,GIAO_DICH!$B$4:$B$13581,"&lt;"&amp;A40+1,GIAO_DICH!$C$4:$C$13581,"Kiểm hàng")</f>
        <v>0</v>
      </c>
      <c r="F40" s="4">
        <f t="shared" si="6"/>
        <v>88</v>
      </c>
      <c r="G40" s="3"/>
      <c r="H40" s="4" t="str">
        <f t="shared" si="7"/>
        <v/>
      </c>
      <c r="I40" s="4" t="str">
        <f t="shared" si="4"/>
        <v/>
      </c>
      <c r="J40" s="15" t="str">
        <f t="shared" si="8"/>
        <v>CHƯA KIỂM</v>
      </c>
      <c r="K40" s="3" t="s">
        <v>5</v>
      </c>
    </row>
    <row r="41" spans="1:11">
      <c r="A41" s="2">
        <v>46330</v>
      </c>
      <c r="B41" s="4">
        <f t="shared" si="5"/>
        <v>88</v>
      </c>
      <c r="C41" s="4">
        <f>SUMIFS(GIAO_DICH!$F$4:$F$13581,GIAO_DICH!$B$4:$B$13581,"&gt;="&amp;A41,GIAO_DICH!$B$4:$B$13581,"&lt;"&amp;A41+1,GIAO_DICH!$F$4:$F$13581,"&gt;0",GIAO_DICH!$C$4:$C$13581,"&lt;&gt;Kiểm hàng")</f>
        <v>0</v>
      </c>
      <c r="D41" s="4">
        <f>-SUMIFS(GIAO_DICH!$F$4:$F$13581,GIAO_DICH!$B$4:$B$13581,"&gt;="&amp;A41,GIAO_DICH!$B$4:$B$13581,"&lt;"&amp;A41+1,GIAO_DICH!$F$4:$F$13581,"&lt;0",GIAO_DICH!$C$4:$C$13581,"&lt;&gt;Kiểm hàng")</f>
        <v>0</v>
      </c>
      <c r="E41" s="4">
        <f>SUMIFS(GIAO_DICH!$F$4:$F$13581,GIAO_DICH!$B$4:$B$13581,"&gt;="&amp;A41,GIAO_DICH!$B$4:$B$13581,"&lt;"&amp;A41+1,GIAO_DICH!$C$4:$C$13581,"Kiểm hàng")</f>
        <v>0</v>
      </c>
      <c r="F41" s="4">
        <f t="shared" si="6"/>
        <v>88</v>
      </c>
      <c r="G41" s="3"/>
      <c r="H41" s="4" t="str">
        <f t="shared" si="7"/>
        <v/>
      </c>
      <c r="I41" s="4" t="str">
        <f t="shared" si="4"/>
        <v/>
      </c>
      <c r="J41" s="15" t="str">
        <f t="shared" si="8"/>
        <v>CHƯA KIỂM</v>
      </c>
      <c r="K41" s="3" t="s">
        <v>5</v>
      </c>
    </row>
    <row r="42" spans="1:11">
      <c r="A42" s="2">
        <v>46331</v>
      </c>
      <c r="B42" s="4">
        <f t="shared" si="5"/>
        <v>88</v>
      </c>
      <c r="C42" s="4">
        <f>SUMIFS(GIAO_DICH!$F$4:$F$13581,GIAO_DICH!$B$4:$B$13581,"&gt;="&amp;A42,GIAO_DICH!$B$4:$B$13581,"&lt;"&amp;A42+1,GIAO_DICH!$F$4:$F$13581,"&gt;0",GIAO_DICH!$C$4:$C$13581,"&lt;&gt;Kiểm hàng")</f>
        <v>0</v>
      </c>
      <c r="D42" s="4">
        <f>-SUMIFS(GIAO_DICH!$F$4:$F$13581,GIAO_DICH!$B$4:$B$13581,"&gt;="&amp;A42,GIAO_DICH!$B$4:$B$13581,"&lt;"&amp;A42+1,GIAO_DICH!$F$4:$F$13581,"&lt;0",GIAO_DICH!$C$4:$C$13581,"&lt;&gt;Kiểm hàng")</f>
        <v>0</v>
      </c>
      <c r="E42" s="4">
        <f>SUMIFS(GIAO_DICH!$F$4:$F$13581,GIAO_DICH!$B$4:$B$13581,"&gt;="&amp;A42,GIAO_DICH!$B$4:$B$13581,"&lt;"&amp;A42+1,GIAO_DICH!$C$4:$C$13581,"Kiểm hàng")</f>
        <v>0</v>
      </c>
      <c r="F42" s="4">
        <f t="shared" si="6"/>
        <v>88</v>
      </c>
      <c r="G42" s="3"/>
      <c r="H42" s="4" t="str">
        <f t="shared" si="7"/>
        <v/>
      </c>
      <c r="I42" s="4" t="str">
        <f t="shared" si="4"/>
        <v/>
      </c>
      <c r="J42" s="15" t="str">
        <f t="shared" si="8"/>
        <v>CHƯA KIỂM</v>
      </c>
      <c r="K42" s="3" t="s">
        <v>5</v>
      </c>
    </row>
    <row r="43" spans="1:11">
      <c r="A43" s="2">
        <v>46332</v>
      </c>
      <c r="B43" s="4">
        <f t="shared" si="5"/>
        <v>88</v>
      </c>
      <c r="C43" s="4">
        <f>SUMIFS(GIAO_DICH!$F$4:$F$13581,GIAO_DICH!$B$4:$B$13581,"&gt;="&amp;A43,GIAO_DICH!$B$4:$B$13581,"&lt;"&amp;A43+1,GIAO_DICH!$F$4:$F$13581,"&gt;0",GIAO_DICH!$C$4:$C$13581,"&lt;&gt;Kiểm hàng")</f>
        <v>0</v>
      </c>
      <c r="D43" s="4">
        <f>-SUMIFS(GIAO_DICH!$F$4:$F$13581,GIAO_DICH!$B$4:$B$13581,"&gt;="&amp;A43,GIAO_DICH!$B$4:$B$13581,"&lt;"&amp;A43+1,GIAO_DICH!$F$4:$F$13581,"&lt;0",GIAO_DICH!$C$4:$C$13581,"&lt;&gt;Kiểm hàng")</f>
        <v>0</v>
      </c>
      <c r="E43" s="4">
        <f>SUMIFS(GIAO_DICH!$F$4:$F$13581,GIAO_DICH!$B$4:$B$13581,"&gt;="&amp;A43,GIAO_DICH!$B$4:$B$13581,"&lt;"&amp;A43+1,GIAO_DICH!$C$4:$C$13581,"Kiểm hàng")</f>
        <v>0</v>
      </c>
      <c r="F43" s="4">
        <f t="shared" si="6"/>
        <v>88</v>
      </c>
      <c r="G43" s="3"/>
      <c r="H43" s="4" t="str">
        <f t="shared" si="7"/>
        <v/>
      </c>
      <c r="I43" s="4" t="str">
        <f t="shared" si="4"/>
        <v/>
      </c>
      <c r="J43" s="15" t="str">
        <f t="shared" si="8"/>
        <v>CHƯA KIỂM</v>
      </c>
      <c r="K43" s="3" t="s">
        <v>5</v>
      </c>
    </row>
    <row r="44" spans="1:11">
      <c r="A44" s="2">
        <v>46333</v>
      </c>
      <c r="B44" s="4">
        <f t="shared" si="5"/>
        <v>88</v>
      </c>
      <c r="C44" s="4">
        <f>SUMIFS(GIAO_DICH!$F$4:$F$13581,GIAO_DICH!$B$4:$B$13581,"&gt;="&amp;A44,GIAO_DICH!$B$4:$B$13581,"&lt;"&amp;A44+1,GIAO_DICH!$F$4:$F$13581,"&gt;0",GIAO_DICH!$C$4:$C$13581,"&lt;&gt;Kiểm hàng")</f>
        <v>0</v>
      </c>
      <c r="D44" s="4">
        <f>-SUMIFS(GIAO_DICH!$F$4:$F$13581,GIAO_DICH!$B$4:$B$13581,"&gt;="&amp;A44,GIAO_DICH!$B$4:$B$13581,"&lt;"&amp;A44+1,GIAO_DICH!$F$4:$F$13581,"&lt;0",GIAO_DICH!$C$4:$C$13581,"&lt;&gt;Kiểm hàng")</f>
        <v>0</v>
      </c>
      <c r="E44" s="4">
        <f>SUMIFS(GIAO_DICH!$F$4:$F$13581,GIAO_DICH!$B$4:$B$13581,"&gt;="&amp;A44,GIAO_DICH!$B$4:$B$13581,"&lt;"&amp;A44+1,GIAO_DICH!$C$4:$C$13581,"Kiểm hàng")</f>
        <v>0</v>
      </c>
      <c r="F44" s="4">
        <f t="shared" si="6"/>
        <v>88</v>
      </c>
      <c r="G44" s="3"/>
      <c r="H44" s="4" t="str">
        <f t="shared" si="7"/>
        <v/>
      </c>
      <c r="I44" s="4" t="str">
        <f t="shared" si="4"/>
        <v/>
      </c>
      <c r="J44" s="15" t="str">
        <f t="shared" si="8"/>
        <v>CHƯA KIỂM</v>
      </c>
      <c r="K44" s="3" t="s">
        <v>5</v>
      </c>
    </row>
    <row r="45" spans="1:11">
      <c r="A45" s="2">
        <v>46334</v>
      </c>
      <c r="B45" s="4">
        <f t="shared" si="5"/>
        <v>88</v>
      </c>
      <c r="C45" s="4">
        <f>SUMIFS(GIAO_DICH!$F$4:$F$13581,GIAO_DICH!$B$4:$B$13581,"&gt;="&amp;A45,GIAO_DICH!$B$4:$B$13581,"&lt;"&amp;A45+1,GIAO_DICH!$F$4:$F$13581,"&gt;0",GIAO_DICH!$C$4:$C$13581,"&lt;&gt;Kiểm hàng")</f>
        <v>0</v>
      </c>
      <c r="D45" s="4">
        <f>-SUMIFS(GIAO_DICH!$F$4:$F$13581,GIAO_DICH!$B$4:$B$13581,"&gt;="&amp;A45,GIAO_DICH!$B$4:$B$13581,"&lt;"&amp;A45+1,GIAO_DICH!$F$4:$F$13581,"&lt;0",GIAO_DICH!$C$4:$C$13581,"&lt;&gt;Kiểm hàng")</f>
        <v>0</v>
      </c>
      <c r="E45" s="4">
        <f>SUMIFS(GIAO_DICH!$F$4:$F$13581,GIAO_DICH!$B$4:$B$13581,"&gt;="&amp;A45,GIAO_DICH!$B$4:$B$13581,"&lt;"&amp;A45+1,GIAO_DICH!$C$4:$C$13581,"Kiểm hàng")</f>
        <v>0</v>
      </c>
      <c r="F45" s="4">
        <f t="shared" si="6"/>
        <v>88</v>
      </c>
      <c r="G45" s="3"/>
      <c r="H45" s="4" t="str">
        <f t="shared" si="7"/>
        <v/>
      </c>
      <c r="I45" s="4" t="str">
        <f t="shared" si="4"/>
        <v/>
      </c>
      <c r="J45" s="15" t="str">
        <f t="shared" si="8"/>
        <v>CHƯA KIỂM</v>
      </c>
      <c r="K45" s="3" t="s">
        <v>5</v>
      </c>
    </row>
    <row r="46" spans="1:11">
      <c r="A46" s="2">
        <v>46335</v>
      </c>
      <c r="B46" s="4">
        <f t="shared" si="5"/>
        <v>88</v>
      </c>
      <c r="C46" s="4">
        <f>SUMIFS(GIAO_DICH!$F$4:$F$13581,GIAO_DICH!$B$4:$B$13581,"&gt;="&amp;A46,GIAO_DICH!$B$4:$B$13581,"&lt;"&amp;A46+1,GIAO_DICH!$F$4:$F$13581,"&gt;0",GIAO_DICH!$C$4:$C$13581,"&lt;&gt;Kiểm hàng")</f>
        <v>0</v>
      </c>
      <c r="D46" s="4">
        <f>-SUMIFS(GIAO_DICH!$F$4:$F$13581,GIAO_DICH!$B$4:$B$13581,"&gt;="&amp;A46,GIAO_DICH!$B$4:$B$13581,"&lt;"&amp;A46+1,GIAO_DICH!$F$4:$F$13581,"&lt;0",GIAO_DICH!$C$4:$C$13581,"&lt;&gt;Kiểm hàng")</f>
        <v>0</v>
      </c>
      <c r="E46" s="4">
        <f>SUMIFS(GIAO_DICH!$F$4:$F$13581,GIAO_DICH!$B$4:$B$13581,"&gt;="&amp;A46,GIAO_DICH!$B$4:$B$13581,"&lt;"&amp;A46+1,GIAO_DICH!$C$4:$C$13581,"Kiểm hàng")</f>
        <v>0</v>
      </c>
      <c r="F46" s="4">
        <f t="shared" si="6"/>
        <v>88</v>
      </c>
      <c r="G46" s="3"/>
      <c r="H46" s="4" t="str">
        <f t="shared" si="7"/>
        <v/>
      </c>
      <c r="I46" s="4" t="str">
        <f t="shared" si="4"/>
        <v/>
      </c>
      <c r="J46" s="15" t="str">
        <f t="shared" si="8"/>
        <v>CHƯA KIỂM</v>
      </c>
      <c r="K46" s="3" t="s">
        <v>5</v>
      </c>
    </row>
    <row r="47" spans="1:11">
      <c r="A47" s="2">
        <v>46336</v>
      </c>
      <c r="B47" s="4">
        <f t="shared" si="5"/>
        <v>88</v>
      </c>
      <c r="C47" s="4">
        <f>SUMIFS(GIAO_DICH!$F$4:$F$13581,GIAO_DICH!$B$4:$B$13581,"&gt;="&amp;A47,GIAO_DICH!$B$4:$B$13581,"&lt;"&amp;A47+1,GIAO_DICH!$F$4:$F$13581,"&gt;0",GIAO_DICH!$C$4:$C$13581,"&lt;&gt;Kiểm hàng")</f>
        <v>0</v>
      </c>
      <c r="D47" s="4">
        <f>-SUMIFS(GIAO_DICH!$F$4:$F$13581,GIAO_DICH!$B$4:$B$13581,"&gt;="&amp;A47,GIAO_DICH!$B$4:$B$13581,"&lt;"&amp;A47+1,GIAO_DICH!$F$4:$F$13581,"&lt;0",GIAO_DICH!$C$4:$C$13581,"&lt;&gt;Kiểm hàng")</f>
        <v>0</v>
      </c>
      <c r="E47" s="4">
        <f>SUMIFS(GIAO_DICH!$F$4:$F$13581,GIAO_DICH!$B$4:$B$13581,"&gt;="&amp;A47,GIAO_DICH!$B$4:$B$13581,"&lt;"&amp;A47+1,GIAO_DICH!$C$4:$C$13581,"Kiểm hàng")</f>
        <v>0</v>
      </c>
      <c r="F47" s="4">
        <f t="shared" si="6"/>
        <v>88</v>
      </c>
      <c r="G47" s="3"/>
      <c r="H47" s="4" t="str">
        <f t="shared" si="7"/>
        <v/>
      </c>
      <c r="I47" s="4" t="str">
        <f t="shared" si="4"/>
        <v/>
      </c>
      <c r="J47" s="15" t="str">
        <f t="shared" si="8"/>
        <v>CHƯA KIỂM</v>
      </c>
      <c r="K47" s="3" t="s">
        <v>5</v>
      </c>
    </row>
    <row r="48" spans="1:11">
      <c r="A48" s="2">
        <v>46337</v>
      </c>
      <c r="B48" s="4">
        <f t="shared" si="5"/>
        <v>88</v>
      </c>
      <c r="C48" s="4">
        <f>SUMIFS(GIAO_DICH!$F$4:$F$13581,GIAO_DICH!$B$4:$B$13581,"&gt;="&amp;A48,GIAO_DICH!$B$4:$B$13581,"&lt;"&amp;A48+1,GIAO_DICH!$F$4:$F$13581,"&gt;0",GIAO_DICH!$C$4:$C$13581,"&lt;&gt;Kiểm hàng")</f>
        <v>0</v>
      </c>
      <c r="D48" s="4">
        <f>-SUMIFS(GIAO_DICH!$F$4:$F$13581,GIAO_DICH!$B$4:$B$13581,"&gt;="&amp;A48,GIAO_DICH!$B$4:$B$13581,"&lt;"&amp;A48+1,GIAO_DICH!$F$4:$F$13581,"&lt;0",GIAO_DICH!$C$4:$C$13581,"&lt;&gt;Kiểm hàng")</f>
        <v>0</v>
      </c>
      <c r="E48" s="4">
        <f>SUMIFS(GIAO_DICH!$F$4:$F$13581,GIAO_DICH!$B$4:$B$13581,"&gt;="&amp;A48,GIAO_DICH!$B$4:$B$13581,"&lt;"&amp;A48+1,GIAO_DICH!$C$4:$C$13581,"Kiểm hàng")</f>
        <v>0</v>
      </c>
      <c r="F48" s="4">
        <f t="shared" si="6"/>
        <v>88</v>
      </c>
      <c r="G48" s="3"/>
      <c r="H48" s="4" t="str">
        <f t="shared" si="7"/>
        <v/>
      </c>
      <c r="I48" s="4" t="str">
        <f t="shared" si="4"/>
        <v/>
      </c>
      <c r="J48" s="15" t="str">
        <f t="shared" si="8"/>
        <v>CHƯA KIỂM</v>
      </c>
      <c r="K48" s="3" t="s">
        <v>5</v>
      </c>
    </row>
    <row r="49" spans="1:11">
      <c r="A49" s="2">
        <v>46338</v>
      </c>
      <c r="B49" s="4">
        <f t="shared" si="5"/>
        <v>88</v>
      </c>
      <c r="C49" s="4">
        <f>SUMIFS(GIAO_DICH!$F$4:$F$13581,GIAO_DICH!$B$4:$B$13581,"&gt;="&amp;A49,GIAO_DICH!$B$4:$B$13581,"&lt;"&amp;A49+1,GIAO_DICH!$F$4:$F$13581,"&gt;0",GIAO_DICH!$C$4:$C$13581,"&lt;&gt;Kiểm hàng")</f>
        <v>0</v>
      </c>
      <c r="D49" s="4">
        <f>-SUMIFS(GIAO_DICH!$F$4:$F$13581,GIAO_DICH!$B$4:$B$13581,"&gt;="&amp;A49,GIAO_DICH!$B$4:$B$13581,"&lt;"&amp;A49+1,GIAO_DICH!$F$4:$F$13581,"&lt;0",GIAO_DICH!$C$4:$C$13581,"&lt;&gt;Kiểm hàng")</f>
        <v>0</v>
      </c>
      <c r="E49" s="4">
        <f>SUMIFS(GIAO_DICH!$F$4:$F$13581,GIAO_DICH!$B$4:$B$13581,"&gt;="&amp;A49,GIAO_DICH!$B$4:$B$13581,"&lt;"&amp;A49+1,GIAO_DICH!$C$4:$C$13581,"Kiểm hàng")</f>
        <v>0</v>
      </c>
      <c r="F49" s="4">
        <f t="shared" si="6"/>
        <v>88</v>
      </c>
      <c r="G49" s="3"/>
      <c r="H49" s="4" t="str">
        <f t="shared" si="7"/>
        <v/>
      </c>
      <c r="I49" s="4" t="str">
        <f t="shared" si="4"/>
        <v/>
      </c>
      <c r="J49" s="15" t="str">
        <f t="shared" si="8"/>
        <v>CHƯA KIỂM</v>
      </c>
      <c r="K49" s="3" t="s">
        <v>5</v>
      </c>
    </row>
    <row r="50" spans="1:11">
      <c r="A50" s="2">
        <v>46339</v>
      </c>
      <c r="B50" s="4">
        <f t="shared" si="5"/>
        <v>88</v>
      </c>
      <c r="C50" s="4">
        <f>SUMIFS(GIAO_DICH!$F$4:$F$13581,GIAO_DICH!$B$4:$B$13581,"&gt;="&amp;A50,GIAO_DICH!$B$4:$B$13581,"&lt;"&amp;A50+1,GIAO_DICH!$F$4:$F$13581,"&gt;0",GIAO_DICH!$C$4:$C$13581,"&lt;&gt;Kiểm hàng")</f>
        <v>0</v>
      </c>
      <c r="D50" s="4">
        <f>-SUMIFS(GIAO_DICH!$F$4:$F$13581,GIAO_DICH!$B$4:$B$13581,"&gt;="&amp;A50,GIAO_DICH!$B$4:$B$13581,"&lt;"&amp;A50+1,GIAO_DICH!$F$4:$F$13581,"&lt;0",GIAO_DICH!$C$4:$C$13581,"&lt;&gt;Kiểm hàng")</f>
        <v>0</v>
      </c>
      <c r="E50" s="4">
        <f>SUMIFS(GIAO_DICH!$F$4:$F$13581,GIAO_DICH!$B$4:$B$13581,"&gt;="&amp;A50,GIAO_DICH!$B$4:$B$13581,"&lt;"&amp;A50+1,GIAO_DICH!$C$4:$C$13581,"Kiểm hàng")</f>
        <v>0</v>
      </c>
      <c r="F50" s="4">
        <f t="shared" si="6"/>
        <v>88</v>
      </c>
      <c r="G50" s="3"/>
      <c r="H50" s="4" t="str">
        <f t="shared" si="7"/>
        <v/>
      </c>
      <c r="I50" s="4" t="str">
        <f t="shared" si="4"/>
        <v/>
      </c>
      <c r="J50" s="15" t="str">
        <f t="shared" si="8"/>
        <v>CHƯA KIỂM</v>
      </c>
      <c r="K50" s="3" t="s">
        <v>5</v>
      </c>
    </row>
    <row r="51" spans="1:11">
      <c r="A51" s="2">
        <v>46340</v>
      </c>
      <c r="B51" s="4">
        <f t="shared" si="5"/>
        <v>88</v>
      </c>
      <c r="C51" s="4">
        <f>SUMIFS(GIAO_DICH!$F$4:$F$13581,GIAO_DICH!$B$4:$B$13581,"&gt;="&amp;A51,GIAO_DICH!$B$4:$B$13581,"&lt;"&amp;A51+1,GIAO_DICH!$F$4:$F$13581,"&gt;0",GIAO_DICH!$C$4:$C$13581,"&lt;&gt;Kiểm hàng")</f>
        <v>0</v>
      </c>
      <c r="D51" s="4">
        <f>-SUMIFS(GIAO_DICH!$F$4:$F$13581,GIAO_DICH!$B$4:$B$13581,"&gt;="&amp;A51,GIAO_DICH!$B$4:$B$13581,"&lt;"&amp;A51+1,GIAO_DICH!$F$4:$F$13581,"&lt;0",GIAO_DICH!$C$4:$C$13581,"&lt;&gt;Kiểm hàng")</f>
        <v>0</v>
      </c>
      <c r="E51" s="4">
        <f>SUMIFS(GIAO_DICH!$F$4:$F$13581,GIAO_DICH!$B$4:$B$13581,"&gt;="&amp;A51,GIAO_DICH!$B$4:$B$13581,"&lt;"&amp;A51+1,GIAO_DICH!$C$4:$C$13581,"Kiểm hàng")</f>
        <v>0</v>
      </c>
      <c r="F51" s="4">
        <f t="shared" si="6"/>
        <v>88</v>
      </c>
      <c r="G51" s="3"/>
      <c r="H51" s="4" t="str">
        <f t="shared" si="7"/>
        <v/>
      </c>
      <c r="I51" s="4" t="str">
        <f t="shared" si="4"/>
        <v/>
      </c>
      <c r="J51" s="15" t="str">
        <f t="shared" si="8"/>
        <v>CHƯA KIỂM</v>
      </c>
      <c r="K51" s="3" t="s">
        <v>5</v>
      </c>
    </row>
    <row r="52" spans="1:11">
      <c r="A52" s="2">
        <v>46341</v>
      </c>
      <c r="B52" s="4">
        <f t="shared" si="5"/>
        <v>88</v>
      </c>
      <c r="C52" s="4">
        <f>SUMIFS(GIAO_DICH!$F$4:$F$13581,GIAO_DICH!$B$4:$B$13581,"&gt;="&amp;A52,GIAO_DICH!$B$4:$B$13581,"&lt;"&amp;A52+1,GIAO_DICH!$F$4:$F$13581,"&gt;0",GIAO_DICH!$C$4:$C$13581,"&lt;&gt;Kiểm hàng")</f>
        <v>0</v>
      </c>
      <c r="D52" s="4">
        <f>-SUMIFS(GIAO_DICH!$F$4:$F$13581,GIAO_DICH!$B$4:$B$13581,"&gt;="&amp;A52,GIAO_DICH!$B$4:$B$13581,"&lt;"&amp;A52+1,GIAO_DICH!$F$4:$F$13581,"&lt;0",GIAO_DICH!$C$4:$C$13581,"&lt;&gt;Kiểm hàng")</f>
        <v>0</v>
      </c>
      <c r="E52" s="4">
        <f>SUMIFS(GIAO_DICH!$F$4:$F$13581,GIAO_DICH!$B$4:$B$13581,"&gt;="&amp;A52,GIAO_DICH!$B$4:$B$13581,"&lt;"&amp;A52+1,GIAO_DICH!$C$4:$C$13581,"Kiểm hàng")</f>
        <v>0</v>
      </c>
      <c r="F52" s="4">
        <f t="shared" si="6"/>
        <v>88</v>
      </c>
      <c r="G52" s="3"/>
      <c r="H52" s="4" t="str">
        <f t="shared" si="7"/>
        <v/>
      </c>
      <c r="I52" s="4" t="str">
        <f t="shared" si="4"/>
        <v/>
      </c>
      <c r="J52" s="15" t="str">
        <f t="shared" si="8"/>
        <v>CHƯA KIỂM</v>
      </c>
      <c r="K52" s="3" t="s">
        <v>5</v>
      </c>
    </row>
    <row r="53" spans="1:11">
      <c r="A53" s="2">
        <v>46342</v>
      </c>
      <c r="B53" s="4">
        <f t="shared" si="5"/>
        <v>88</v>
      </c>
      <c r="C53" s="4">
        <f>SUMIFS(GIAO_DICH!$F$4:$F$13581,GIAO_DICH!$B$4:$B$13581,"&gt;="&amp;A53,GIAO_DICH!$B$4:$B$13581,"&lt;"&amp;A53+1,GIAO_DICH!$F$4:$F$13581,"&gt;0",GIAO_DICH!$C$4:$C$13581,"&lt;&gt;Kiểm hàng")</f>
        <v>0</v>
      </c>
      <c r="D53" s="4">
        <f>-SUMIFS(GIAO_DICH!$F$4:$F$13581,GIAO_DICH!$B$4:$B$13581,"&gt;="&amp;A53,GIAO_DICH!$B$4:$B$13581,"&lt;"&amp;A53+1,GIAO_DICH!$F$4:$F$13581,"&lt;0",GIAO_DICH!$C$4:$C$13581,"&lt;&gt;Kiểm hàng")</f>
        <v>0</v>
      </c>
      <c r="E53" s="4">
        <f>SUMIFS(GIAO_DICH!$F$4:$F$13581,GIAO_DICH!$B$4:$B$13581,"&gt;="&amp;A53,GIAO_DICH!$B$4:$B$13581,"&lt;"&amp;A53+1,GIAO_DICH!$C$4:$C$13581,"Kiểm hàng")</f>
        <v>0</v>
      </c>
      <c r="F53" s="4">
        <f t="shared" si="6"/>
        <v>88</v>
      </c>
      <c r="G53" s="3"/>
      <c r="H53" s="4" t="str">
        <f t="shared" si="7"/>
        <v/>
      </c>
      <c r="I53" s="4" t="str">
        <f t="shared" si="4"/>
        <v/>
      </c>
      <c r="J53" s="15" t="str">
        <f t="shared" si="8"/>
        <v>CHƯA KIỂM</v>
      </c>
      <c r="K53" s="3" t="s">
        <v>5</v>
      </c>
    </row>
    <row r="54" spans="1:11">
      <c r="A54" s="2">
        <v>46343</v>
      </c>
      <c r="B54" s="4">
        <f t="shared" si="5"/>
        <v>88</v>
      </c>
      <c r="C54" s="4">
        <f>SUMIFS(GIAO_DICH!$F$4:$F$13581,GIAO_DICH!$B$4:$B$13581,"&gt;="&amp;A54,GIAO_DICH!$B$4:$B$13581,"&lt;"&amp;A54+1,GIAO_DICH!$F$4:$F$13581,"&gt;0",GIAO_DICH!$C$4:$C$13581,"&lt;&gt;Kiểm hàng")</f>
        <v>0</v>
      </c>
      <c r="D54" s="4">
        <f>-SUMIFS(GIAO_DICH!$F$4:$F$13581,GIAO_DICH!$B$4:$B$13581,"&gt;="&amp;A54,GIAO_DICH!$B$4:$B$13581,"&lt;"&amp;A54+1,GIAO_DICH!$F$4:$F$13581,"&lt;0",GIAO_DICH!$C$4:$C$13581,"&lt;&gt;Kiểm hàng")</f>
        <v>0</v>
      </c>
      <c r="E54" s="4">
        <f>SUMIFS(GIAO_DICH!$F$4:$F$13581,GIAO_DICH!$B$4:$B$13581,"&gt;="&amp;A54,GIAO_DICH!$B$4:$B$13581,"&lt;"&amp;A54+1,GIAO_DICH!$C$4:$C$13581,"Kiểm hàng")</f>
        <v>0</v>
      </c>
      <c r="F54" s="4">
        <f t="shared" si="6"/>
        <v>88</v>
      </c>
      <c r="G54" s="3"/>
      <c r="H54" s="4" t="str">
        <f t="shared" si="7"/>
        <v/>
      </c>
      <c r="I54" s="4" t="str">
        <f t="shared" si="4"/>
        <v/>
      </c>
      <c r="J54" s="15" t="str">
        <f t="shared" si="8"/>
        <v>CHƯA KIỂM</v>
      </c>
      <c r="K54" s="3" t="s">
        <v>5</v>
      </c>
    </row>
    <row r="55" spans="1:11">
      <c r="A55" s="2">
        <v>46344</v>
      </c>
      <c r="B55" s="4">
        <f t="shared" si="5"/>
        <v>88</v>
      </c>
      <c r="C55" s="4">
        <f>SUMIFS(GIAO_DICH!$F$4:$F$13581,GIAO_DICH!$B$4:$B$13581,"&gt;="&amp;A55,GIAO_DICH!$B$4:$B$13581,"&lt;"&amp;A55+1,GIAO_DICH!$F$4:$F$13581,"&gt;0",GIAO_DICH!$C$4:$C$13581,"&lt;&gt;Kiểm hàng")</f>
        <v>0</v>
      </c>
      <c r="D55" s="4">
        <f>-SUMIFS(GIAO_DICH!$F$4:$F$13581,GIAO_DICH!$B$4:$B$13581,"&gt;="&amp;A55,GIAO_DICH!$B$4:$B$13581,"&lt;"&amp;A55+1,GIAO_DICH!$F$4:$F$13581,"&lt;0",GIAO_DICH!$C$4:$C$13581,"&lt;&gt;Kiểm hàng")</f>
        <v>0</v>
      </c>
      <c r="E55" s="4">
        <f>SUMIFS(GIAO_DICH!$F$4:$F$13581,GIAO_DICH!$B$4:$B$13581,"&gt;="&amp;A55,GIAO_DICH!$B$4:$B$13581,"&lt;"&amp;A55+1,GIAO_DICH!$C$4:$C$13581,"Kiểm hàng")</f>
        <v>0</v>
      </c>
      <c r="F55" s="4">
        <f t="shared" si="6"/>
        <v>88</v>
      </c>
      <c r="G55" s="3"/>
      <c r="H55" s="4" t="str">
        <f t="shared" si="7"/>
        <v/>
      </c>
      <c r="I55" s="4" t="str">
        <f t="shared" si="4"/>
        <v/>
      </c>
      <c r="J55" s="15" t="str">
        <f t="shared" si="8"/>
        <v>CHƯA KIỂM</v>
      </c>
      <c r="K55" s="3" t="s">
        <v>5</v>
      </c>
    </row>
    <row r="56" spans="1:11">
      <c r="A56" s="2">
        <v>46345</v>
      </c>
      <c r="B56" s="4">
        <f t="shared" si="5"/>
        <v>88</v>
      </c>
      <c r="C56" s="4">
        <f>SUMIFS(GIAO_DICH!$F$4:$F$13581,GIAO_DICH!$B$4:$B$13581,"&gt;="&amp;A56,GIAO_DICH!$B$4:$B$13581,"&lt;"&amp;A56+1,GIAO_DICH!$F$4:$F$13581,"&gt;0",GIAO_DICH!$C$4:$C$13581,"&lt;&gt;Kiểm hàng")</f>
        <v>0</v>
      </c>
      <c r="D56" s="4">
        <f>-SUMIFS(GIAO_DICH!$F$4:$F$13581,GIAO_DICH!$B$4:$B$13581,"&gt;="&amp;A56,GIAO_DICH!$B$4:$B$13581,"&lt;"&amp;A56+1,GIAO_DICH!$F$4:$F$13581,"&lt;0",GIAO_DICH!$C$4:$C$13581,"&lt;&gt;Kiểm hàng")</f>
        <v>0</v>
      </c>
      <c r="E56" s="4">
        <f>SUMIFS(GIAO_DICH!$F$4:$F$13581,GIAO_DICH!$B$4:$B$13581,"&gt;="&amp;A56,GIAO_DICH!$B$4:$B$13581,"&lt;"&amp;A56+1,GIAO_DICH!$C$4:$C$13581,"Kiểm hàng")</f>
        <v>0</v>
      </c>
      <c r="F56" s="4">
        <f t="shared" si="6"/>
        <v>88</v>
      </c>
      <c r="G56" s="3"/>
      <c r="H56" s="4" t="str">
        <f t="shared" si="7"/>
        <v/>
      </c>
      <c r="I56" s="4" t="str">
        <f t="shared" si="4"/>
        <v/>
      </c>
      <c r="J56" s="15" t="str">
        <f t="shared" si="8"/>
        <v>CHƯA KIỂM</v>
      </c>
      <c r="K56" s="3" t="s">
        <v>5</v>
      </c>
    </row>
    <row r="57" spans="1:11">
      <c r="A57" s="2">
        <v>46346</v>
      </c>
      <c r="B57" s="4">
        <f t="shared" si="5"/>
        <v>88</v>
      </c>
      <c r="C57" s="4">
        <f>SUMIFS(GIAO_DICH!$F$4:$F$13581,GIAO_DICH!$B$4:$B$13581,"&gt;="&amp;A57,GIAO_DICH!$B$4:$B$13581,"&lt;"&amp;A57+1,GIAO_DICH!$F$4:$F$13581,"&gt;0",GIAO_DICH!$C$4:$C$13581,"&lt;&gt;Kiểm hàng")</f>
        <v>0</v>
      </c>
      <c r="D57" s="4">
        <f>-SUMIFS(GIAO_DICH!$F$4:$F$13581,GIAO_DICH!$B$4:$B$13581,"&gt;="&amp;A57,GIAO_DICH!$B$4:$B$13581,"&lt;"&amp;A57+1,GIAO_DICH!$F$4:$F$13581,"&lt;0",GIAO_DICH!$C$4:$C$13581,"&lt;&gt;Kiểm hàng")</f>
        <v>0</v>
      </c>
      <c r="E57" s="4">
        <f>SUMIFS(GIAO_DICH!$F$4:$F$13581,GIAO_DICH!$B$4:$B$13581,"&gt;="&amp;A57,GIAO_DICH!$B$4:$B$13581,"&lt;"&amp;A57+1,GIAO_DICH!$C$4:$C$13581,"Kiểm hàng")</f>
        <v>0</v>
      </c>
      <c r="F57" s="4">
        <f t="shared" si="6"/>
        <v>88</v>
      </c>
      <c r="G57" s="3"/>
      <c r="H57" s="4" t="str">
        <f t="shared" si="7"/>
        <v/>
      </c>
      <c r="I57" s="4" t="str">
        <f t="shared" si="4"/>
        <v/>
      </c>
      <c r="J57" s="15" t="str">
        <f t="shared" si="8"/>
        <v>CHƯA KIỂM</v>
      </c>
      <c r="K57" s="3" t="s">
        <v>5</v>
      </c>
    </row>
    <row r="58" spans="1:11">
      <c r="A58" s="2">
        <v>46347</v>
      </c>
      <c r="B58" s="4">
        <f t="shared" si="5"/>
        <v>88</v>
      </c>
      <c r="C58" s="4">
        <f>SUMIFS(GIAO_DICH!$F$4:$F$13581,GIAO_DICH!$B$4:$B$13581,"&gt;="&amp;A58,GIAO_DICH!$B$4:$B$13581,"&lt;"&amp;A58+1,GIAO_DICH!$F$4:$F$13581,"&gt;0",GIAO_DICH!$C$4:$C$13581,"&lt;&gt;Kiểm hàng")</f>
        <v>0</v>
      </c>
      <c r="D58" s="4">
        <f>-SUMIFS(GIAO_DICH!$F$4:$F$13581,GIAO_DICH!$B$4:$B$13581,"&gt;="&amp;A58,GIAO_DICH!$B$4:$B$13581,"&lt;"&amp;A58+1,GIAO_DICH!$F$4:$F$13581,"&lt;0",GIAO_DICH!$C$4:$C$13581,"&lt;&gt;Kiểm hàng")</f>
        <v>0</v>
      </c>
      <c r="E58" s="4">
        <f>SUMIFS(GIAO_DICH!$F$4:$F$13581,GIAO_DICH!$B$4:$B$13581,"&gt;="&amp;A58,GIAO_DICH!$B$4:$B$13581,"&lt;"&amp;A58+1,GIAO_DICH!$C$4:$C$13581,"Kiểm hàng")</f>
        <v>0</v>
      </c>
      <c r="F58" s="4">
        <f t="shared" si="6"/>
        <v>88</v>
      </c>
      <c r="G58" s="3"/>
      <c r="H58" s="4" t="str">
        <f t="shared" si="7"/>
        <v/>
      </c>
      <c r="I58" s="4" t="str">
        <f t="shared" si="4"/>
        <v/>
      </c>
      <c r="J58" s="15" t="str">
        <f t="shared" si="8"/>
        <v>CHƯA KIỂM</v>
      </c>
      <c r="K58" s="3" t="s">
        <v>5</v>
      </c>
    </row>
    <row r="59" spans="1:11">
      <c r="A59" s="2">
        <v>46348</v>
      </c>
      <c r="B59" s="4">
        <f t="shared" si="5"/>
        <v>88</v>
      </c>
      <c r="C59" s="4">
        <f>SUMIFS(GIAO_DICH!$F$4:$F$13581,GIAO_DICH!$B$4:$B$13581,"&gt;="&amp;A59,GIAO_DICH!$B$4:$B$13581,"&lt;"&amp;A59+1,GIAO_DICH!$F$4:$F$13581,"&gt;0",GIAO_DICH!$C$4:$C$13581,"&lt;&gt;Kiểm hàng")</f>
        <v>0</v>
      </c>
      <c r="D59" s="4">
        <f>-SUMIFS(GIAO_DICH!$F$4:$F$13581,GIAO_DICH!$B$4:$B$13581,"&gt;="&amp;A59,GIAO_DICH!$B$4:$B$13581,"&lt;"&amp;A59+1,GIAO_DICH!$F$4:$F$13581,"&lt;0",GIAO_DICH!$C$4:$C$13581,"&lt;&gt;Kiểm hàng")</f>
        <v>0</v>
      </c>
      <c r="E59" s="4">
        <f>SUMIFS(GIAO_DICH!$F$4:$F$13581,GIAO_DICH!$B$4:$B$13581,"&gt;="&amp;A59,GIAO_DICH!$B$4:$B$13581,"&lt;"&amp;A59+1,GIAO_DICH!$C$4:$C$13581,"Kiểm hàng")</f>
        <v>0</v>
      </c>
      <c r="F59" s="4">
        <f t="shared" si="6"/>
        <v>88</v>
      </c>
      <c r="G59" s="3"/>
      <c r="H59" s="4" t="str">
        <f t="shared" si="7"/>
        <v/>
      </c>
      <c r="I59" s="4" t="str">
        <f t="shared" si="4"/>
        <v/>
      </c>
      <c r="J59" s="15" t="str">
        <f t="shared" si="8"/>
        <v>CHƯA KIỂM</v>
      </c>
      <c r="K59" s="3" t="s">
        <v>5</v>
      </c>
    </row>
    <row r="60" spans="1:11">
      <c r="A60" s="2">
        <v>46349</v>
      </c>
      <c r="B60" s="4">
        <f t="shared" si="5"/>
        <v>88</v>
      </c>
      <c r="C60" s="4">
        <f>SUMIFS(GIAO_DICH!$F$4:$F$13581,GIAO_DICH!$B$4:$B$13581,"&gt;="&amp;A60,GIAO_DICH!$B$4:$B$13581,"&lt;"&amp;A60+1,GIAO_DICH!$F$4:$F$13581,"&gt;0",GIAO_DICH!$C$4:$C$13581,"&lt;&gt;Kiểm hàng")</f>
        <v>0</v>
      </c>
      <c r="D60" s="4">
        <f>-SUMIFS(GIAO_DICH!$F$4:$F$13581,GIAO_DICH!$B$4:$B$13581,"&gt;="&amp;A60,GIAO_DICH!$B$4:$B$13581,"&lt;"&amp;A60+1,GIAO_DICH!$F$4:$F$13581,"&lt;0",GIAO_DICH!$C$4:$C$13581,"&lt;&gt;Kiểm hàng")</f>
        <v>0</v>
      </c>
      <c r="E60" s="4">
        <f>SUMIFS(GIAO_DICH!$F$4:$F$13581,GIAO_DICH!$B$4:$B$13581,"&gt;="&amp;A60,GIAO_DICH!$B$4:$B$13581,"&lt;"&amp;A60+1,GIAO_DICH!$C$4:$C$13581,"Kiểm hàng")</f>
        <v>0</v>
      </c>
      <c r="F60" s="4">
        <f t="shared" si="6"/>
        <v>88</v>
      </c>
      <c r="G60" s="3"/>
      <c r="H60" s="4" t="str">
        <f t="shared" si="7"/>
        <v/>
      </c>
      <c r="I60" s="4" t="str">
        <f t="shared" si="4"/>
        <v/>
      </c>
      <c r="J60" s="15" t="str">
        <f t="shared" si="8"/>
        <v>CHƯA KIỂM</v>
      </c>
      <c r="K60" s="3" t="s">
        <v>5</v>
      </c>
    </row>
    <row r="61" spans="1:11">
      <c r="A61" s="2">
        <v>46350</v>
      </c>
      <c r="B61" s="4">
        <f t="shared" si="5"/>
        <v>88</v>
      </c>
      <c r="C61" s="4">
        <f>SUMIFS(GIAO_DICH!$F$4:$F$13581,GIAO_DICH!$B$4:$B$13581,"&gt;="&amp;A61,GIAO_DICH!$B$4:$B$13581,"&lt;"&amp;A61+1,GIAO_DICH!$F$4:$F$13581,"&gt;0",GIAO_DICH!$C$4:$C$13581,"&lt;&gt;Kiểm hàng")</f>
        <v>0</v>
      </c>
      <c r="D61" s="4">
        <f>-SUMIFS(GIAO_DICH!$F$4:$F$13581,GIAO_DICH!$B$4:$B$13581,"&gt;="&amp;A61,GIAO_DICH!$B$4:$B$13581,"&lt;"&amp;A61+1,GIAO_DICH!$F$4:$F$13581,"&lt;0",GIAO_DICH!$C$4:$C$13581,"&lt;&gt;Kiểm hàng")</f>
        <v>0</v>
      </c>
      <c r="E61" s="4">
        <f>SUMIFS(GIAO_DICH!$F$4:$F$13581,GIAO_DICH!$B$4:$B$13581,"&gt;="&amp;A61,GIAO_DICH!$B$4:$B$13581,"&lt;"&amp;A61+1,GIAO_DICH!$C$4:$C$13581,"Kiểm hàng")</f>
        <v>0</v>
      </c>
      <c r="F61" s="4">
        <f t="shared" si="6"/>
        <v>88</v>
      </c>
      <c r="G61" s="3"/>
      <c r="H61" s="4" t="str">
        <f t="shared" si="7"/>
        <v/>
      </c>
      <c r="I61" s="4" t="str">
        <f t="shared" si="4"/>
        <v/>
      </c>
      <c r="J61" s="15" t="str">
        <f t="shared" si="8"/>
        <v>CHƯA KIỂM</v>
      </c>
      <c r="K61" s="3" t="s">
        <v>5</v>
      </c>
    </row>
    <row r="62" spans="1:11">
      <c r="A62" s="2">
        <v>46351</v>
      </c>
      <c r="B62" s="4">
        <f t="shared" si="5"/>
        <v>88</v>
      </c>
      <c r="C62" s="4">
        <f>SUMIFS(GIAO_DICH!$F$4:$F$13581,GIAO_DICH!$B$4:$B$13581,"&gt;="&amp;A62,GIAO_DICH!$B$4:$B$13581,"&lt;"&amp;A62+1,GIAO_DICH!$F$4:$F$13581,"&gt;0",GIAO_DICH!$C$4:$C$13581,"&lt;&gt;Kiểm hàng")</f>
        <v>0</v>
      </c>
      <c r="D62" s="4">
        <f>-SUMIFS(GIAO_DICH!$F$4:$F$13581,GIAO_DICH!$B$4:$B$13581,"&gt;="&amp;A62,GIAO_DICH!$B$4:$B$13581,"&lt;"&amp;A62+1,GIAO_DICH!$F$4:$F$13581,"&lt;0",GIAO_DICH!$C$4:$C$13581,"&lt;&gt;Kiểm hàng")</f>
        <v>0</v>
      </c>
      <c r="E62" s="4">
        <f>SUMIFS(GIAO_DICH!$F$4:$F$13581,GIAO_DICH!$B$4:$B$13581,"&gt;="&amp;A62,GIAO_DICH!$B$4:$B$13581,"&lt;"&amp;A62+1,GIAO_DICH!$C$4:$C$13581,"Kiểm hàng")</f>
        <v>0</v>
      </c>
      <c r="F62" s="4">
        <f t="shared" si="6"/>
        <v>88</v>
      </c>
      <c r="G62" s="3"/>
      <c r="H62" s="4" t="str">
        <f t="shared" si="7"/>
        <v/>
      </c>
      <c r="I62" s="4" t="str">
        <f t="shared" si="4"/>
        <v/>
      </c>
      <c r="J62" s="15" t="str">
        <f t="shared" si="8"/>
        <v>CHƯA KIỂM</v>
      </c>
      <c r="K62" s="3" t="s">
        <v>5</v>
      </c>
    </row>
    <row r="63" spans="1:11">
      <c r="A63" s="2">
        <v>46352</v>
      </c>
      <c r="B63" s="4">
        <f t="shared" si="5"/>
        <v>88</v>
      </c>
      <c r="C63" s="4">
        <f>SUMIFS(GIAO_DICH!$F$4:$F$13581,GIAO_DICH!$B$4:$B$13581,"&gt;="&amp;A63,GIAO_DICH!$B$4:$B$13581,"&lt;"&amp;A63+1,GIAO_DICH!$F$4:$F$13581,"&gt;0",GIAO_DICH!$C$4:$C$13581,"&lt;&gt;Kiểm hàng")</f>
        <v>0</v>
      </c>
      <c r="D63" s="4">
        <f>-SUMIFS(GIAO_DICH!$F$4:$F$13581,GIAO_DICH!$B$4:$B$13581,"&gt;="&amp;A63,GIAO_DICH!$B$4:$B$13581,"&lt;"&amp;A63+1,GIAO_DICH!$F$4:$F$13581,"&lt;0",GIAO_DICH!$C$4:$C$13581,"&lt;&gt;Kiểm hàng")</f>
        <v>0</v>
      </c>
      <c r="E63" s="4">
        <f>SUMIFS(GIAO_DICH!$F$4:$F$13581,GIAO_DICH!$B$4:$B$13581,"&gt;="&amp;A63,GIAO_DICH!$B$4:$B$13581,"&lt;"&amp;A63+1,GIAO_DICH!$C$4:$C$13581,"Kiểm hàng")</f>
        <v>0</v>
      </c>
      <c r="F63" s="4">
        <f t="shared" si="6"/>
        <v>88</v>
      </c>
      <c r="G63" s="3"/>
      <c r="H63" s="4" t="str">
        <f t="shared" si="7"/>
        <v/>
      </c>
      <c r="I63" s="4" t="str">
        <f t="shared" si="4"/>
        <v/>
      </c>
      <c r="J63" s="15" t="str">
        <f t="shared" si="8"/>
        <v>CHƯA KIỂM</v>
      </c>
      <c r="K63" s="3" t="s">
        <v>5</v>
      </c>
    </row>
    <row r="64" spans="1:11">
      <c r="A64" s="2">
        <v>46353</v>
      </c>
      <c r="B64" s="4">
        <f t="shared" si="5"/>
        <v>88</v>
      </c>
      <c r="C64" s="4">
        <f>SUMIFS(GIAO_DICH!$F$4:$F$13581,GIAO_DICH!$B$4:$B$13581,"&gt;="&amp;A64,GIAO_DICH!$B$4:$B$13581,"&lt;"&amp;A64+1,GIAO_DICH!$F$4:$F$13581,"&gt;0",GIAO_DICH!$C$4:$C$13581,"&lt;&gt;Kiểm hàng")</f>
        <v>0</v>
      </c>
      <c r="D64" s="4">
        <f>-SUMIFS(GIAO_DICH!$F$4:$F$13581,GIAO_DICH!$B$4:$B$13581,"&gt;="&amp;A64,GIAO_DICH!$B$4:$B$13581,"&lt;"&amp;A64+1,GIAO_DICH!$F$4:$F$13581,"&lt;0",GIAO_DICH!$C$4:$C$13581,"&lt;&gt;Kiểm hàng")</f>
        <v>0</v>
      </c>
      <c r="E64" s="4">
        <f>SUMIFS(GIAO_DICH!$F$4:$F$13581,GIAO_DICH!$B$4:$B$13581,"&gt;="&amp;A64,GIAO_DICH!$B$4:$B$13581,"&lt;"&amp;A64+1,GIAO_DICH!$C$4:$C$13581,"Kiểm hàng")</f>
        <v>0</v>
      </c>
      <c r="F64" s="4">
        <f t="shared" si="6"/>
        <v>88</v>
      </c>
      <c r="G64" s="3"/>
      <c r="H64" s="4" t="str">
        <f t="shared" si="7"/>
        <v/>
      </c>
      <c r="I64" s="4" t="str">
        <f t="shared" si="4"/>
        <v/>
      </c>
      <c r="J64" s="15" t="str">
        <f t="shared" si="8"/>
        <v>CHƯA KIỂM</v>
      </c>
      <c r="K64" s="3" t="s">
        <v>5</v>
      </c>
    </row>
    <row r="65" spans="1:11">
      <c r="A65" s="2">
        <v>46354</v>
      </c>
      <c r="B65" s="4">
        <f t="shared" si="5"/>
        <v>88</v>
      </c>
      <c r="C65" s="4">
        <f>SUMIFS(GIAO_DICH!$F$4:$F$13581,GIAO_DICH!$B$4:$B$13581,"&gt;="&amp;A65,GIAO_DICH!$B$4:$B$13581,"&lt;"&amp;A65+1,GIAO_DICH!$F$4:$F$13581,"&gt;0",GIAO_DICH!$C$4:$C$13581,"&lt;&gt;Kiểm hàng")</f>
        <v>0</v>
      </c>
      <c r="D65" s="4">
        <f>-SUMIFS(GIAO_DICH!$F$4:$F$13581,GIAO_DICH!$B$4:$B$13581,"&gt;="&amp;A65,GIAO_DICH!$B$4:$B$13581,"&lt;"&amp;A65+1,GIAO_DICH!$F$4:$F$13581,"&lt;0",GIAO_DICH!$C$4:$C$13581,"&lt;&gt;Kiểm hàng")</f>
        <v>0</v>
      </c>
      <c r="E65" s="4">
        <f>SUMIFS(GIAO_DICH!$F$4:$F$13581,GIAO_DICH!$B$4:$B$13581,"&gt;="&amp;A65,GIAO_DICH!$B$4:$B$13581,"&lt;"&amp;A65+1,GIAO_DICH!$C$4:$C$13581,"Kiểm hàng")</f>
        <v>0</v>
      </c>
      <c r="F65" s="4">
        <f t="shared" si="6"/>
        <v>88</v>
      </c>
      <c r="G65" s="3"/>
      <c r="H65" s="4" t="str">
        <f t="shared" si="7"/>
        <v/>
      </c>
      <c r="I65" s="4" t="str">
        <f t="shared" si="4"/>
        <v/>
      </c>
      <c r="J65" s="15" t="str">
        <f t="shared" si="8"/>
        <v>CHƯA KIỂM</v>
      </c>
      <c r="K65" s="3" t="s">
        <v>5</v>
      </c>
    </row>
    <row r="66" spans="1:11">
      <c r="A66" s="2">
        <v>46355</v>
      </c>
      <c r="B66" s="4">
        <f t="shared" si="5"/>
        <v>88</v>
      </c>
      <c r="C66" s="4">
        <f>SUMIFS(GIAO_DICH!$F$4:$F$13581,GIAO_DICH!$B$4:$B$13581,"&gt;="&amp;A66,GIAO_DICH!$B$4:$B$13581,"&lt;"&amp;A66+1,GIAO_DICH!$F$4:$F$13581,"&gt;0",GIAO_DICH!$C$4:$C$13581,"&lt;&gt;Kiểm hàng")</f>
        <v>0</v>
      </c>
      <c r="D66" s="4">
        <f>-SUMIFS(GIAO_DICH!$F$4:$F$13581,GIAO_DICH!$B$4:$B$13581,"&gt;="&amp;A66,GIAO_DICH!$B$4:$B$13581,"&lt;"&amp;A66+1,GIAO_DICH!$F$4:$F$13581,"&lt;0",GIAO_DICH!$C$4:$C$13581,"&lt;&gt;Kiểm hàng")</f>
        <v>0</v>
      </c>
      <c r="E66" s="4">
        <f>SUMIFS(GIAO_DICH!$F$4:$F$13581,GIAO_DICH!$B$4:$B$13581,"&gt;="&amp;A66,GIAO_DICH!$B$4:$B$13581,"&lt;"&amp;A66+1,GIAO_DICH!$C$4:$C$13581,"Kiểm hàng")</f>
        <v>0</v>
      </c>
      <c r="F66" s="4">
        <f t="shared" si="6"/>
        <v>88</v>
      </c>
      <c r="G66" s="3"/>
      <c r="H66" s="4" t="str">
        <f t="shared" si="7"/>
        <v/>
      </c>
      <c r="I66" s="4" t="str">
        <f t="shared" si="4"/>
        <v/>
      </c>
      <c r="J66" s="15" t="str">
        <f t="shared" si="8"/>
        <v>CHƯA KIỂM</v>
      </c>
      <c r="K66" s="3" t="s">
        <v>5</v>
      </c>
    </row>
    <row r="67" spans="1:11">
      <c r="A67" s="2">
        <v>46356</v>
      </c>
      <c r="B67" s="4">
        <f t="shared" si="5"/>
        <v>88</v>
      </c>
      <c r="C67" s="4">
        <f>SUMIFS(GIAO_DICH!$F$4:$F$13581,GIAO_DICH!$B$4:$B$13581,"&gt;="&amp;A67,GIAO_DICH!$B$4:$B$13581,"&lt;"&amp;A67+1,GIAO_DICH!$F$4:$F$13581,"&gt;0",GIAO_DICH!$C$4:$C$13581,"&lt;&gt;Kiểm hàng")</f>
        <v>0</v>
      </c>
      <c r="D67" s="4">
        <f>-SUMIFS(GIAO_DICH!$F$4:$F$13581,GIAO_DICH!$B$4:$B$13581,"&gt;="&amp;A67,GIAO_DICH!$B$4:$B$13581,"&lt;"&amp;A67+1,GIAO_DICH!$F$4:$F$13581,"&lt;0",GIAO_DICH!$C$4:$C$13581,"&lt;&gt;Kiểm hàng")</f>
        <v>0</v>
      </c>
      <c r="E67" s="4">
        <f>SUMIFS(GIAO_DICH!$F$4:$F$13581,GIAO_DICH!$B$4:$B$13581,"&gt;="&amp;A67,GIAO_DICH!$B$4:$B$13581,"&lt;"&amp;A67+1,GIAO_DICH!$C$4:$C$13581,"Kiểm hàng")</f>
        <v>0</v>
      </c>
      <c r="F67" s="4">
        <f t="shared" si="6"/>
        <v>88</v>
      </c>
      <c r="G67" s="3"/>
      <c r="H67" s="4" t="str">
        <f t="shared" si="7"/>
        <v/>
      </c>
      <c r="I67" s="4" t="str">
        <f t="shared" si="4"/>
        <v/>
      </c>
      <c r="J67" s="15" t="str">
        <f t="shared" si="8"/>
        <v>CHƯA KIỂM</v>
      </c>
      <c r="K67" s="3" t="s">
        <v>5</v>
      </c>
    </row>
    <row r="68" spans="1:11">
      <c r="A68" s="2">
        <v>46357</v>
      </c>
      <c r="B68" s="4">
        <f t="shared" si="5"/>
        <v>88</v>
      </c>
      <c r="C68" s="4">
        <f>SUMIFS(GIAO_DICH!$F$4:$F$13581,GIAO_DICH!$B$4:$B$13581,"&gt;="&amp;A68,GIAO_DICH!$B$4:$B$13581,"&lt;"&amp;A68+1,GIAO_DICH!$F$4:$F$13581,"&gt;0",GIAO_DICH!$C$4:$C$13581,"&lt;&gt;Kiểm hàng")</f>
        <v>0</v>
      </c>
      <c r="D68" s="4">
        <f>-SUMIFS(GIAO_DICH!$F$4:$F$13581,GIAO_DICH!$B$4:$B$13581,"&gt;="&amp;A68,GIAO_DICH!$B$4:$B$13581,"&lt;"&amp;A68+1,GIAO_DICH!$F$4:$F$13581,"&lt;0",GIAO_DICH!$C$4:$C$13581,"&lt;&gt;Kiểm hàng")</f>
        <v>0</v>
      </c>
      <c r="E68" s="4">
        <f>SUMIFS(GIAO_DICH!$F$4:$F$13581,GIAO_DICH!$B$4:$B$13581,"&gt;="&amp;A68,GIAO_DICH!$B$4:$B$13581,"&lt;"&amp;A68+1,GIAO_DICH!$C$4:$C$13581,"Kiểm hàng")</f>
        <v>0</v>
      </c>
      <c r="F68" s="4">
        <f t="shared" si="6"/>
        <v>88</v>
      </c>
      <c r="G68" s="3"/>
      <c r="H68" s="4" t="str">
        <f t="shared" si="7"/>
        <v/>
      </c>
      <c r="I68" s="4" t="str">
        <f t="shared" ref="I68:I96" si="9">IF(H68="","",H68-H67)</f>
        <v/>
      </c>
      <c r="J68" s="15" t="str">
        <f t="shared" si="8"/>
        <v>CHƯA KIỂM</v>
      </c>
      <c r="K68" s="3" t="s">
        <v>5</v>
      </c>
    </row>
    <row r="69" spans="1:11">
      <c r="A69" s="2">
        <v>46358</v>
      </c>
      <c r="B69" s="4">
        <f t="shared" si="5"/>
        <v>88</v>
      </c>
      <c r="C69" s="4">
        <f>SUMIFS(GIAO_DICH!$F$4:$F$13581,GIAO_DICH!$B$4:$B$13581,"&gt;="&amp;A69,GIAO_DICH!$B$4:$B$13581,"&lt;"&amp;A69+1,GIAO_DICH!$F$4:$F$13581,"&gt;0",GIAO_DICH!$C$4:$C$13581,"&lt;&gt;Kiểm hàng")</f>
        <v>0</v>
      </c>
      <c r="D69" s="4">
        <f>-SUMIFS(GIAO_DICH!$F$4:$F$13581,GIAO_DICH!$B$4:$B$13581,"&gt;="&amp;A69,GIAO_DICH!$B$4:$B$13581,"&lt;"&amp;A69+1,GIAO_DICH!$F$4:$F$13581,"&lt;0",GIAO_DICH!$C$4:$C$13581,"&lt;&gt;Kiểm hàng")</f>
        <v>0</v>
      </c>
      <c r="E69" s="4">
        <f>SUMIFS(GIAO_DICH!$F$4:$F$13581,GIAO_DICH!$B$4:$B$13581,"&gt;="&amp;A69,GIAO_DICH!$B$4:$B$13581,"&lt;"&amp;A69+1,GIAO_DICH!$C$4:$C$13581,"Kiểm hàng")</f>
        <v>0</v>
      </c>
      <c r="F69" s="4">
        <f t="shared" si="6"/>
        <v>88</v>
      </c>
      <c r="G69" s="3"/>
      <c r="H69" s="4" t="str">
        <f t="shared" si="7"/>
        <v/>
      </c>
      <c r="I69" s="4" t="str">
        <f t="shared" si="9"/>
        <v/>
      </c>
      <c r="J69" s="15" t="str">
        <f t="shared" si="8"/>
        <v>CHƯA KIỂM</v>
      </c>
      <c r="K69" s="3" t="s">
        <v>5</v>
      </c>
    </row>
    <row r="70" spans="1:11">
      <c r="A70" s="2">
        <v>46359</v>
      </c>
      <c r="B70" s="4">
        <f t="shared" si="5"/>
        <v>88</v>
      </c>
      <c r="C70" s="4">
        <f>SUMIFS(GIAO_DICH!$F$4:$F$13581,GIAO_DICH!$B$4:$B$13581,"&gt;="&amp;A70,GIAO_DICH!$B$4:$B$13581,"&lt;"&amp;A70+1,GIAO_DICH!$F$4:$F$13581,"&gt;0",GIAO_DICH!$C$4:$C$13581,"&lt;&gt;Kiểm hàng")</f>
        <v>0</v>
      </c>
      <c r="D70" s="4">
        <f>-SUMIFS(GIAO_DICH!$F$4:$F$13581,GIAO_DICH!$B$4:$B$13581,"&gt;="&amp;A70,GIAO_DICH!$B$4:$B$13581,"&lt;"&amp;A70+1,GIAO_DICH!$F$4:$F$13581,"&lt;0",GIAO_DICH!$C$4:$C$13581,"&lt;&gt;Kiểm hàng")</f>
        <v>0</v>
      </c>
      <c r="E70" s="4">
        <f>SUMIFS(GIAO_DICH!$F$4:$F$13581,GIAO_DICH!$B$4:$B$13581,"&gt;="&amp;A70,GIAO_DICH!$B$4:$B$13581,"&lt;"&amp;A70+1,GIAO_DICH!$C$4:$C$13581,"Kiểm hàng")</f>
        <v>0</v>
      </c>
      <c r="F70" s="4">
        <f t="shared" si="6"/>
        <v>88</v>
      </c>
      <c r="G70" s="3"/>
      <c r="H70" s="4" t="str">
        <f t="shared" si="7"/>
        <v/>
      </c>
      <c r="I70" s="4" t="str">
        <f t="shared" si="9"/>
        <v/>
      </c>
      <c r="J70" s="15" t="str">
        <f t="shared" si="8"/>
        <v>CHƯA KIỂM</v>
      </c>
      <c r="K70" s="3" t="s">
        <v>5</v>
      </c>
    </row>
    <row r="71" spans="1:11">
      <c r="A71" s="2">
        <v>46360</v>
      </c>
      <c r="B71" s="4">
        <f t="shared" si="5"/>
        <v>88</v>
      </c>
      <c r="C71" s="4">
        <f>SUMIFS(GIAO_DICH!$F$4:$F$13581,GIAO_DICH!$B$4:$B$13581,"&gt;="&amp;A71,GIAO_DICH!$B$4:$B$13581,"&lt;"&amp;A71+1,GIAO_DICH!$F$4:$F$13581,"&gt;0",GIAO_DICH!$C$4:$C$13581,"&lt;&gt;Kiểm hàng")</f>
        <v>0</v>
      </c>
      <c r="D71" s="4">
        <f>-SUMIFS(GIAO_DICH!$F$4:$F$13581,GIAO_DICH!$B$4:$B$13581,"&gt;="&amp;A71,GIAO_DICH!$B$4:$B$13581,"&lt;"&amp;A71+1,GIAO_DICH!$F$4:$F$13581,"&lt;0",GIAO_DICH!$C$4:$C$13581,"&lt;&gt;Kiểm hàng")</f>
        <v>0</v>
      </c>
      <c r="E71" s="4">
        <f>SUMIFS(GIAO_DICH!$F$4:$F$13581,GIAO_DICH!$B$4:$B$13581,"&gt;="&amp;A71,GIAO_DICH!$B$4:$B$13581,"&lt;"&amp;A71+1,GIAO_DICH!$C$4:$C$13581,"Kiểm hàng")</f>
        <v>0</v>
      </c>
      <c r="F71" s="4">
        <f t="shared" si="6"/>
        <v>88</v>
      </c>
      <c r="G71" s="3"/>
      <c r="H71" s="4" t="str">
        <f t="shared" si="7"/>
        <v/>
      </c>
      <c r="I71" s="4" t="str">
        <f t="shared" si="9"/>
        <v/>
      </c>
      <c r="J71" s="15" t="str">
        <f t="shared" si="8"/>
        <v>CHƯA KIỂM</v>
      </c>
      <c r="K71" s="3" t="s">
        <v>5</v>
      </c>
    </row>
    <row r="72" spans="1:11">
      <c r="A72" s="2">
        <v>46361</v>
      </c>
      <c r="B72" s="4">
        <f t="shared" si="5"/>
        <v>88</v>
      </c>
      <c r="C72" s="4">
        <f>SUMIFS(GIAO_DICH!$F$4:$F$13581,GIAO_DICH!$B$4:$B$13581,"&gt;="&amp;A72,GIAO_DICH!$B$4:$B$13581,"&lt;"&amp;A72+1,GIAO_DICH!$F$4:$F$13581,"&gt;0",GIAO_DICH!$C$4:$C$13581,"&lt;&gt;Kiểm hàng")</f>
        <v>0</v>
      </c>
      <c r="D72" s="4">
        <f>-SUMIFS(GIAO_DICH!$F$4:$F$13581,GIAO_DICH!$B$4:$B$13581,"&gt;="&amp;A72,GIAO_DICH!$B$4:$B$13581,"&lt;"&amp;A72+1,GIAO_DICH!$F$4:$F$13581,"&lt;0",GIAO_DICH!$C$4:$C$13581,"&lt;&gt;Kiểm hàng")</f>
        <v>0</v>
      </c>
      <c r="E72" s="4">
        <f>SUMIFS(GIAO_DICH!$F$4:$F$13581,GIAO_DICH!$B$4:$B$13581,"&gt;="&amp;A72,GIAO_DICH!$B$4:$B$13581,"&lt;"&amp;A72+1,GIAO_DICH!$C$4:$C$13581,"Kiểm hàng")</f>
        <v>0</v>
      </c>
      <c r="F72" s="4">
        <f t="shared" si="6"/>
        <v>88</v>
      </c>
      <c r="G72" s="3"/>
      <c r="H72" s="4" t="str">
        <f t="shared" si="7"/>
        <v/>
      </c>
      <c r="I72" s="4" t="str">
        <f t="shared" si="9"/>
        <v/>
      </c>
      <c r="J72" s="15" t="str">
        <f t="shared" si="8"/>
        <v>CHƯA KIỂM</v>
      </c>
      <c r="K72" s="3" t="s">
        <v>5</v>
      </c>
    </row>
    <row r="73" spans="1:11">
      <c r="A73" s="2">
        <v>46362</v>
      </c>
      <c r="B73" s="4">
        <f t="shared" si="5"/>
        <v>88</v>
      </c>
      <c r="C73" s="4">
        <f>SUMIFS(GIAO_DICH!$F$4:$F$13581,GIAO_DICH!$B$4:$B$13581,"&gt;="&amp;A73,GIAO_DICH!$B$4:$B$13581,"&lt;"&amp;A73+1,GIAO_DICH!$F$4:$F$13581,"&gt;0",GIAO_DICH!$C$4:$C$13581,"&lt;&gt;Kiểm hàng")</f>
        <v>0</v>
      </c>
      <c r="D73" s="4">
        <f>-SUMIFS(GIAO_DICH!$F$4:$F$13581,GIAO_DICH!$B$4:$B$13581,"&gt;="&amp;A73,GIAO_DICH!$B$4:$B$13581,"&lt;"&amp;A73+1,GIAO_DICH!$F$4:$F$13581,"&lt;0",GIAO_DICH!$C$4:$C$13581,"&lt;&gt;Kiểm hàng")</f>
        <v>0</v>
      </c>
      <c r="E73" s="4">
        <f>SUMIFS(GIAO_DICH!$F$4:$F$13581,GIAO_DICH!$B$4:$B$13581,"&gt;="&amp;A73,GIAO_DICH!$B$4:$B$13581,"&lt;"&amp;A73+1,GIAO_DICH!$C$4:$C$13581,"Kiểm hàng")</f>
        <v>0</v>
      </c>
      <c r="F73" s="4">
        <f t="shared" si="6"/>
        <v>88</v>
      </c>
      <c r="G73" s="3"/>
      <c r="H73" s="4" t="str">
        <f t="shared" si="7"/>
        <v/>
      </c>
      <c r="I73" s="4" t="str">
        <f t="shared" si="9"/>
        <v/>
      </c>
      <c r="J73" s="15" t="str">
        <f t="shared" si="8"/>
        <v>CHƯA KIỂM</v>
      </c>
      <c r="K73" s="3" t="s">
        <v>5</v>
      </c>
    </row>
    <row r="74" spans="1:11">
      <c r="A74" s="2">
        <v>46363</v>
      </c>
      <c r="B74" s="4">
        <f t="shared" ref="B74:B96" si="10">F73</f>
        <v>88</v>
      </c>
      <c r="C74" s="4">
        <f>SUMIFS(GIAO_DICH!$F$4:$F$13581,GIAO_DICH!$B$4:$B$13581,"&gt;="&amp;A74,GIAO_DICH!$B$4:$B$13581,"&lt;"&amp;A74+1,GIAO_DICH!$F$4:$F$13581,"&gt;0",GIAO_DICH!$C$4:$C$13581,"&lt;&gt;Kiểm hàng")</f>
        <v>0</v>
      </c>
      <c r="D74" s="4">
        <f>-SUMIFS(GIAO_DICH!$F$4:$F$13581,GIAO_DICH!$B$4:$B$13581,"&gt;="&amp;A74,GIAO_DICH!$B$4:$B$13581,"&lt;"&amp;A74+1,GIAO_DICH!$F$4:$F$13581,"&lt;0",GIAO_DICH!$C$4:$C$13581,"&lt;&gt;Kiểm hàng")</f>
        <v>0</v>
      </c>
      <c r="E74" s="4">
        <f>SUMIFS(GIAO_DICH!$F$4:$F$13581,GIAO_DICH!$B$4:$B$13581,"&gt;="&amp;A74,GIAO_DICH!$B$4:$B$13581,"&lt;"&amp;A74+1,GIAO_DICH!$C$4:$C$13581,"Kiểm hàng")</f>
        <v>0</v>
      </c>
      <c r="F74" s="4">
        <f t="shared" ref="F74:F96" si="11">B74+C74-D74+E74</f>
        <v>88</v>
      </c>
      <c r="G74" s="3"/>
      <c r="H74" s="4" t="str">
        <f t="shared" ref="H74:H96" si="12">IF(G74="","",G74-F74)</f>
        <v/>
      </c>
      <c r="I74" s="4" t="str">
        <f t="shared" si="9"/>
        <v/>
      </c>
      <c r="J74" s="15" t="str">
        <f t="shared" ref="J74:J96" si="13">IF(G74="","CHƯA KIỂM",IF(H74=0,"KHỚP",IF(H74&gt;0,"DƯ","THIẾU")))</f>
        <v>CHƯA KIỂM</v>
      </c>
      <c r="K74" s="3" t="s">
        <v>5</v>
      </c>
    </row>
    <row r="75" spans="1:11">
      <c r="A75" s="2">
        <v>46364</v>
      </c>
      <c r="B75" s="4">
        <f t="shared" si="10"/>
        <v>88</v>
      </c>
      <c r="C75" s="4">
        <f>SUMIFS(GIAO_DICH!$F$4:$F$13581,GIAO_DICH!$B$4:$B$13581,"&gt;="&amp;A75,GIAO_DICH!$B$4:$B$13581,"&lt;"&amp;A75+1,GIAO_DICH!$F$4:$F$13581,"&gt;0",GIAO_DICH!$C$4:$C$13581,"&lt;&gt;Kiểm hàng")</f>
        <v>0</v>
      </c>
      <c r="D75" s="4">
        <f>-SUMIFS(GIAO_DICH!$F$4:$F$13581,GIAO_DICH!$B$4:$B$13581,"&gt;="&amp;A75,GIAO_DICH!$B$4:$B$13581,"&lt;"&amp;A75+1,GIAO_DICH!$F$4:$F$13581,"&lt;0",GIAO_DICH!$C$4:$C$13581,"&lt;&gt;Kiểm hàng")</f>
        <v>0</v>
      </c>
      <c r="E75" s="4">
        <f>SUMIFS(GIAO_DICH!$F$4:$F$13581,GIAO_DICH!$B$4:$B$13581,"&gt;="&amp;A75,GIAO_DICH!$B$4:$B$13581,"&lt;"&amp;A75+1,GIAO_DICH!$C$4:$C$13581,"Kiểm hàng")</f>
        <v>0</v>
      </c>
      <c r="F75" s="4">
        <f t="shared" si="11"/>
        <v>88</v>
      </c>
      <c r="G75" s="3"/>
      <c r="H75" s="4" t="str">
        <f t="shared" si="12"/>
        <v/>
      </c>
      <c r="I75" s="4" t="str">
        <f t="shared" si="9"/>
        <v/>
      </c>
      <c r="J75" s="15" t="str">
        <f t="shared" si="13"/>
        <v>CHƯA KIỂM</v>
      </c>
      <c r="K75" s="3" t="s">
        <v>5</v>
      </c>
    </row>
    <row r="76" spans="1:11">
      <c r="A76" s="2">
        <v>46365</v>
      </c>
      <c r="B76" s="4">
        <f t="shared" si="10"/>
        <v>88</v>
      </c>
      <c r="C76" s="4">
        <f>SUMIFS(GIAO_DICH!$F$4:$F$13581,GIAO_DICH!$B$4:$B$13581,"&gt;="&amp;A76,GIAO_DICH!$B$4:$B$13581,"&lt;"&amp;A76+1,GIAO_DICH!$F$4:$F$13581,"&gt;0",GIAO_DICH!$C$4:$C$13581,"&lt;&gt;Kiểm hàng")</f>
        <v>0</v>
      </c>
      <c r="D76" s="4">
        <f>-SUMIFS(GIAO_DICH!$F$4:$F$13581,GIAO_DICH!$B$4:$B$13581,"&gt;="&amp;A76,GIAO_DICH!$B$4:$B$13581,"&lt;"&amp;A76+1,GIAO_DICH!$F$4:$F$13581,"&lt;0",GIAO_DICH!$C$4:$C$13581,"&lt;&gt;Kiểm hàng")</f>
        <v>0</v>
      </c>
      <c r="E76" s="4">
        <f>SUMIFS(GIAO_DICH!$F$4:$F$13581,GIAO_DICH!$B$4:$B$13581,"&gt;="&amp;A76,GIAO_DICH!$B$4:$B$13581,"&lt;"&amp;A76+1,GIAO_DICH!$C$4:$C$13581,"Kiểm hàng")</f>
        <v>0</v>
      </c>
      <c r="F76" s="4">
        <f t="shared" si="11"/>
        <v>88</v>
      </c>
      <c r="G76" s="3"/>
      <c r="H76" s="4" t="str">
        <f t="shared" si="12"/>
        <v/>
      </c>
      <c r="I76" s="4" t="str">
        <f t="shared" si="9"/>
        <v/>
      </c>
      <c r="J76" s="15" t="str">
        <f t="shared" si="13"/>
        <v>CHƯA KIỂM</v>
      </c>
      <c r="K76" s="3" t="s">
        <v>5</v>
      </c>
    </row>
    <row r="77" spans="1:11">
      <c r="A77" s="2">
        <v>46366</v>
      </c>
      <c r="B77" s="4">
        <f t="shared" si="10"/>
        <v>88</v>
      </c>
      <c r="C77" s="4">
        <f>SUMIFS(GIAO_DICH!$F$4:$F$13581,GIAO_DICH!$B$4:$B$13581,"&gt;="&amp;A77,GIAO_DICH!$B$4:$B$13581,"&lt;"&amp;A77+1,GIAO_DICH!$F$4:$F$13581,"&gt;0",GIAO_DICH!$C$4:$C$13581,"&lt;&gt;Kiểm hàng")</f>
        <v>0</v>
      </c>
      <c r="D77" s="4">
        <f>-SUMIFS(GIAO_DICH!$F$4:$F$13581,GIAO_DICH!$B$4:$B$13581,"&gt;="&amp;A77,GIAO_DICH!$B$4:$B$13581,"&lt;"&amp;A77+1,GIAO_DICH!$F$4:$F$13581,"&lt;0",GIAO_DICH!$C$4:$C$13581,"&lt;&gt;Kiểm hàng")</f>
        <v>0</v>
      </c>
      <c r="E77" s="4">
        <f>SUMIFS(GIAO_DICH!$F$4:$F$13581,GIAO_DICH!$B$4:$B$13581,"&gt;="&amp;A77,GIAO_DICH!$B$4:$B$13581,"&lt;"&amp;A77+1,GIAO_DICH!$C$4:$C$13581,"Kiểm hàng")</f>
        <v>0</v>
      </c>
      <c r="F77" s="4">
        <f t="shared" si="11"/>
        <v>88</v>
      </c>
      <c r="G77" s="3"/>
      <c r="H77" s="4" t="str">
        <f t="shared" si="12"/>
        <v/>
      </c>
      <c r="I77" s="4" t="str">
        <f t="shared" si="9"/>
        <v/>
      </c>
      <c r="J77" s="15" t="str">
        <f t="shared" si="13"/>
        <v>CHƯA KIỂM</v>
      </c>
      <c r="K77" s="3" t="s">
        <v>5</v>
      </c>
    </row>
    <row r="78" spans="1:11">
      <c r="A78" s="2">
        <v>46367</v>
      </c>
      <c r="B78" s="4">
        <f t="shared" si="10"/>
        <v>88</v>
      </c>
      <c r="C78" s="4">
        <f>SUMIFS(GIAO_DICH!$F$4:$F$13581,GIAO_DICH!$B$4:$B$13581,"&gt;="&amp;A78,GIAO_DICH!$B$4:$B$13581,"&lt;"&amp;A78+1,GIAO_DICH!$F$4:$F$13581,"&gt;0",GIAO_DICH!$C$4:$C$13581,"&lt;&gt;Kiểm hàng")</f>
        <v>0</v>
      </c>
      <c r="D78" s="4">
        <f>-SUMIFS(GIAO_DICH!$F$4:$F$13581,GIAO_DICH!$B$4:$B$13581,"&gt;="&amp;A78,GIAO_DICH!$B$4:$B$13581,"&lt;"&amp;A78+1,GIAO_DICH!$F$4:$F$13581,"&lt;0",GIAO_DICH!$C$4:$C$13581,"&lt;&gt;Kiểm hàng")</f>
        <v>0</v>
      </c>
      <c r="E78" s="4">
        <f>SUMIFS(GIAO_DICH!$F$4:$F$13581,GIAO_DICH!$B$4:$B$13581,"&gt;="&amp;A78,GIAO_DICH!$B$4:$B$13581,"&lt;"&amp;A78+1,GIAO_DICH!$C$4:$C$13581,"Kiểm hàng")</f>
        <v>0</v>
      </c>
      <c r="F78" s="4">
        <f t="shared" si="11"/>
        <v>88</v>
      </c>
      <c r="G78" s="3"/>
      <c r="H78" s="4" t="str">
        <f t="shared" si="12"/>
        <v/>
      </c>
      <c r="I78" s="4" t="str">
        <f t="shared" si="9"/>
        <v/>
      </c>
      <c r="J78" s="15" t="str">
        <f t="shared" si="13"/>
        <v>CHƯA KIỂM</v>
      </c>
      <c r="K78" s="3" t="s">
        <v>5</v>
      </c>
    </row>
    <row r="79" spans="1:11">
      <c r="A79" s="2">
        <v>46368</v>
      </c>
      <c r="B79" s="4">
        <f t="shared" si="10"/>
        <v>88</v>
      </c>
      <c r="C79" s="4">
        <f>SUMIFS(GIAO_DICH!$F$4:$F$13581,GIAO_DICH!$B$4:$B$13581,"&gt;="&amp;A79,GIAO_DICH!$B$4:$B$13581,"&lt;"&amp;A79+1,GIAO_DICH!$F$4:$F$13581,"&gt;0",GIAO_DICH!$C$4:$C$13581,"&lt;&gt;Kiểm hàng")</f>
        <v>0</v>
      </c>
      <c r="D79" s="4">
        <f>-SUMIFS(GIAO_DICH!$F$4:$F$13581,GIAO_DICH!$B$4:$B$13581,"&gt;="&amp;A79,GIAO_DICH!$B$4:$B$13581,"&lt;"&amp;A79+1,GIAO_DICH!$F$4:$F$13581,"&lt;0",GIAO_DICH!$C$4:$C$13581,"&lt;&gt;Kiểm hàng")</f>
        <v>0</v>
      </c>
      <c r="E79" s="4">
        <f>SUMIFS(GIAO_DICH!$F$4:$F$13581,GIAO_DICH!$B$4:$B$13581,"&gt;="&amp;A79,GIAO_DICH!$B$4:$B$13581,"&lt;"&amp;A79+1,GIAO_DICH!$C$4:$C$13581,"Kiểm hàng")</f>
        <v>0</v>
      </c>
      <c r="F79" s="4">
        <f t="shared" si="11"/>
        <v>88</v>
      </c>
      <c r="G79" s="3"/>
      <c r="H79" s="4" t="str">
        <f t="shared" si="12"/>
        <v/>
      </c>
      <c r="I79" s="4" t="str">
        <f t="shared" si="9"/>
        <v/>
      </c>
      <c r="J79" s="15" t="str">
        <f t="shared" si="13"/>
        <v>CHƯA KIỂM</v>
      </c>
      <c r="K79" s="3" t="s">
        <v>5</v>
      </c>
    </row>
    <row r="80" spans="1:11">
      <c r="A80" s="2">
        <v>46369</v>
      </c>
      <c r="B80" s="4">
        <f t="shared" si="10"/>
        <v>88</v>
      </c>
      <c r="C80" s="4">
        <f>SUMIFS(GIAO_DICH!$F$4:$F$13581,GIAO_DICH!$B$4:$B$13581,"&gt;="&amp;A80,GIAO_DICH!$B$4:$B$13581,"&lt;"&amp;A80+1,GIAO_DICH!$F$4:$F$13581,"&gt;0",GIAO_DICH!$C$4:$C$13581,"&lt;&gt;Kiểm hàng")</f>
        <v>0</v>
      </c>
      <c r="D80" s="4">
        <f>-SUMIFS(GIAO_DICH!$F$4:$F$13581,GIAO_DICH!$B$4:$B$13581,"&gt;="&amp;A80,GIAO_DICH!$B$4:$B$13581,"&lt;"&amp;A80+1,GIAO_DICH!$F$4:$F$13581,"&lt;0",GIAO_DICH!$C$4:$C$13581,"&lt;&gt;Kiểm hàng")</f>
        <v>0</v>
      </c>
      <c r="E80" s="4">
        <f>SUMIFS(GIAO_DICH!$F$4:$F$13581,GIAO_DICH!$B$4:$B$13581,"&gt;="&amp;A80,GIAO_DICH!$B$4:$B$13581,"&lt;"&amp;A80+1,GIAO_DICH!$C$4:$C$13581,"Kiểm hàng")</f>
        <v>0</v>
      </c>
      <c r="F80" s="4">
        <f t="shared" si="11"/>
        <v>88</v>
      </c>
      <c r="G80" s="3"/>
      <c r="H80" s="4" t="str">
        <f t="shared" si="12"/>
        <v/>
      </c>
      <c r="I80" s="4" t="str">
        <f t="shared" si="9"/>
        <v/>
      </c>
      <c r="J80" s="15" t="str">
        <f t="shared" si="13"/>
        <v>CHƯA KIỂM</v>
      </c>
      <c r="K80" s="3" t="s">
        <v>5</v>
      </c>
    </row>
    <row r="81" spans="1:11">
      <c r="A81" s="2">
        <v>46370</v>
      </c>
      <c r="B81" s="4">
        <f t="shared" si="10"/>
        <v>88</v>
      </c>
      <c r="C81" s="4">
        <f>SUMIFS(GIAO_DICH!$F$4:$F$13581,GIAO_DICH!$B$4:$B$13581,"&gt;="&amp;A81,GIAO_DICH!$B$4:$B$13581,"&lt;"&amp;A81+1,GIAO_DICH!$F$4:$F$13581,"&gt;0",GIAO_DICH!$C$4:$C$13581,"&lt;&gt;Kiểm hàng")</f>
        <v>0</v>
      </c>
      <c r="D81" s="4">
        <f>-SUMIFS(GIAO_DICH!$F$4:$F$13581,GIAO_DICH!$B$4:$B$13581,"&gt;="&amp;A81,GIAO_DICH!$B$4:$B$13581,"&lt;"&amp;A81+1,GIAO_DICH!$F$4:$F$13581,"&lt;0",GIAO_DICH!$C$4:$C$13581,"&lt;&gt;Kiểm hàng")</f>
        <v>0</v>
      </c>
      <c r="E81" s="4">
        <f>SUMIFS(GIAO_DICH!$F$4:$F$13581,GIAO_DICH!$B$4:$B$13581,"&gt;="&amp;A81,GIAO_DICH!$B$4:$B$13581,"&lt;"&amp;A81+1,GIAO_DICH!$C$4:$C$13581,"Kiểm hàng")</f>
        <v>0</v>
      </c>
      <c r="F81" s="4">
        <f t="shared" si="11"/>
        <v>88</v>
      </c>
      <c r="G81" s="3"/>
      <c r="H81" s="4" t="str">
        <f t="shared" si="12"/>
        <v/>
      </c>
      <c r="I81" s="4" t="str">
        <f t="shared" si="9"/>
        <v/>
      </c>
      <c r="J81" s="15" t="str">
        <f t="shared" si="13"/>
        <v>CHƯA KIỂM</v>
      </c>
      <c r="K81" s="3" t="s">
        <v>5</v>
      </c>
    </row>
    <row r="82" spans="1:11">
      <c r="A82" s="2">
        <v>46371</v>
      </c>
      <c r="B82" s="4">
        <f t="shared" si="10"/>
        <v>88</v>
      </c>
      <c r="C82" s="4">
        <f>SUMIFS(GIAO_DICH!$F$4:$F$13581,GIAO_DICH!$B$4:$B$13581,"&gt;="&amp;A82,GIAO_DICH!$B$4:$B$13581,"&lt;"&amp;A82+1,GIAO_DICH!$F$4:$F$13581,"&gt;0",GIAO_DICH!$C$4:$C$13581,"&lt;&gt;Kiểm hàng")</f>
        <v>0</v>
      </c>
      <c r="D82" s="4">
        <f>-SUMIFS(GIAO_DICH!$F$4:$F$13581,GIAO_DICH!$B$4:$B$13581,"&gt;="&amp;A82,GIAO_DICH!$B$4:$B$13581,"&lt;"&amp;A82+1,GIAO_DICH!$F$4:$F$13581,"&lt;0",GIAO_DICH!$C$4:$C$13581,"&lt;&gt;Kiểm hàng")</f>
        <v>0</v>
      </c>
      <c r="E82" s="4">
        <f>SUMIFS(GIAO_DICH!$F$4:$F$13581,GIAO_DICH!$B$4:$B$13581,"&gt;="&amp;A82,GIAO_DICH!$B$4:$B$13581,"&lt;"&amp;A82+1,GIAO_DICH!$C$4:$C$13581,"Kiểm hàng")</f>
        <v>0</v>
      </c>
      <c r="F82" s="4">
        <f t="shared" si="11"/>
        <v>88</v>
      </c>
      <c r="G82" s="3"/>
      <c r="H82" s="4" t="str">
        <f t="shared" si="12"/>
        <v/>
      </c>
      <c r="I82" s="4" t="str">
        <f t="shared" si="9"/>
        <v/>
      </c>
      <c r="J82" s="15" t="str">
        <f t="shared" si="13"/>
        <v>CHƯA KIỂM</v>
      </c>
      <c r="K82" s="3" t="s">
        <v>5</v>
      </c>
    </row>
    <row r="83" spans="1:11">
      <c r="A83" s="2">
        <v>46372</v>
      </c>
      <c r="B83" s="4">
        <f t="shared" si="10"/>
        <v>88</v>
      </c>
      <c r="C83" s="4">
        <f>SUMIFS(GIAO_DICH!$F$4:$F$13581,GIAO_DICH!$B$4:$B$13581,"&gt;="&amp;A83,GIAO_DICH!$B$4:$B$13581,"&lt;"&amp;A83+1,GIAO_DICH!$F$4:$F$13581,"&gt;0",GIAO_DICH!$C$4:$C$13581,"&lt;&gt;Kiểm hàng")</f>
        <v>0</v>
      </c>
      <c r="D83" s="4">
        <f>-SUMIFS(GIAO_DICH!$F$4:$F$13581,GIAO_DICH!$B$4:$B$13581,"&gt;="&amp;A83,GIAO_DICH!$B$4:$B$13581,"&lt;"&amp;A83+1,GIAO_DICH!$F$4:$F$13581,"&lt;0",GIAO_DICH!$C$4:$C$13581,"&lt;&gt;Kiểm hàng")</f>
        <v>0</v>
      </c>
      <c r="E83" s="4">
        <f>SUMIFS(GIAO_DICH!$F$4:$F$13581,GIAO_DICH!$B$4:$B$13581,"&gt;="&amp;A83,GIAO_DICH!$B$4:$B$13581,"&lt;"&amp;A83+1,GIAO_DICH!$C$4:$C$13581,"Kiểm hàng")</f>
        <v>0</v>
      </c>
      <c r="F83" s="4">
        <f t="shared" si="11"/>
        <v>88</v>
      </c>
      <c r="G83" s="3"/>
      <c r="H83" s="4" t="str">
        <f t="shared" si="12"/>
        <v/>
      </c>
      <c r="I83" s="4" t="str">
        <f t="shared" si="9"/>
        <v/>
      </c>
      <c r="J83" s="15" t="str">
        <f t="shared" si="13"/>
        <v>CHƯA KIỂM</v>
      </c>
      <c r="K83" s="3" t="s">
        <v>5</v>
      </c>
    </row>
    <row r="84" spans="1:11">
      <c r="A84" s="2">
        <v>46373</v>
      </c>
      <c r="B84" s="4">
        <f t="shared" si="10"/>
        <v>88</v>
      </c>
      <c r="C84" s="4">
        <f>SUMIFS(GIAO_DICH!$F$4:$F$13581,GIAO_DICH!$B$4:$B$13581,"&gt;="&amp;A84,GIAO_DICH!$B$4:$B$13581,"&lt;"&amp;A84+1,GIAO_DICH!$F$4:$F$13581,"&gt;0",GIAO_DICH!$C$4:$C$13581,"&lt;&gt;Kiểm hàng")</f>
        <v>0</v>
      </c>
      <c r="D84" s="4">
        <f>-SUMIFS(GIAO_DICH!$F$4:$F$13581,GIAO_DICH!$B$4:$B$13581,"&gt;="&amp;A84,GIAO_DICH!$B$4:$B$13581,"&lt;"&amp;A84+1,GIAO_DICH!$F$4:$F$13581,"&lt;0",GIAO_DICH!$C$4:$C$13581,"&lt;&gt;Kiểm hàng")</f>
        <v>0</v>
      </c>
      <c r="E84" s="4">
        <f>SUMIFS(GIAO_DICH!$F$4:$F$13581,GIAO_DICH!$B$4:$B$13581,"&gt;="&amp;A84,GIAO_DICH!$B$4:$B$13581,"&lt;"&amp;A84+1,GIAO_DICH!$C$4:$C$13581,"Kiểm hàng")</f>
        <v>0</v>
      </c>
      <c r="F84" s="4">
        <f t="shared" si="11"/>
        <v>88</v>
      </c>
      <c r="G84" s="3"/>
      <c r="H84" s="4" t="str">
        <f t="shared" si="12"/>
        <v/>
      </c>
      <c r="I84" s="4" t="str">
        <f t="shared" si="9"/>
        <v/>
      </c>
      <c r="J84" s="15" t="str">
        <f t="shared" si="13"/>
        <v>CHƯA KIỂM</v>
      </c>
      <c r="K84" s="3" t="s">
        <v>5</v>
      </c>
    </row>
    <row r="85" spans="1:11">
      <c r="A85" s="2">
        <v>46374</v>
      </c>
      <c r="B85" s="4">
        <f t="shared" si="10"/>
        <v>88</v>
      </c>
      <c r="C85" s="4">
        <f>SUMIFS(GIAO_DICH!$F$4:$F$13581,GIAO_DICH!$B$4:$B$13581,"&gt;="&amp;A85,GIAO_DICH!$B$4:$B$13581,"&lt;"&amp;A85+1,GIAO_DICH!$F$4:$F$13581,"&gt;0",GIAO_DICH!$C$4:$C$13581,"&lt;&gt;Kiểm hàng")</f>
        <v>0</v>
      </c>
      <c r="D85" s="4">
        <f>-SUMIFS(GIAO_DICH!$F$4:$F$13581,GIAO_DICH!$B$4:$B$13581,"&gt;="&amp;A85,GIAO_DICH!$B$4:$B$13581,"&lt;"&amp;A85+1,GIAO_DICH!$F$4:$F$13581,"&lt;0",GIAO_DICH!$C$4:$C$13581,"&lt;&gt;Kiểm hàng")</f>
        <v>0</v>
      </c>
      <c r="E85" s="4">
        <f>SUMIFS(GIAO_DICH!$F$4:$F$13581,GIAO_DICH!$B$4:$B$13581,"&gt;="&amp;A85,GIAO_DICH!$B$4:$B$13581,"&lt;"&amp;A85+1,GIAO_DICH!$C$4:$C$13581,"Kiểm hàng")</f>
        <v>0</v>
      </c>
      <c r="F85" s="4">
        <f t="shared" si="11"/>
        <v>88</v>
      </c>
      <c r="G85" s="3"/>
      <c r="H85" s="4" t="str">
        <f t="shared" si="12"/>
        <v/>
      </c>
      <c r="I85" s="4" t="str">
        <f t="shared" si="9"/>
        <v/>
      </c>
      <c r="J85" s="15" t="str">
        <f t="shared" si="13"/>
        <v>CHƯA KIỂM</v>
      </c>
      <c r="K85" s="3" t="s">
        <v>5</v>
      </c>
    </row>
    <row r="86" spans="1:11">
      <c r="A86" s="2">
        <v>46375</v>
      </c>
      <c r="B86" s="4">
        <f t="shared" si="10"/>
        <v>88</v>
      </c>
      <c r="C86" s="4">
        <f>SUMIFS(GIAO_DICH!$F$4:$F$13581,GIAO_DICH!$B$4:$B$13581,"&gt;="&amp;A86,GIAO_DICH!$B$4:$B$13581,"&lt;"&amp;A86+1,GIAO_DICH!$F$4:$F$13581,"&gt;0",GIAO_DICH!$C$4:$C$13581,"&lt;&gt;Kiểm hàng")</f>
        <v>0</v>
      </c>
      <c r="D86" s="4">
        <f>-SUMIFS(GIAO_DICH!$F$4:$F$13581,GIAO_DICH!$B$4:$B$13581,"&gt;="&amp;A86,GIAO_DICH!$B$4:$B$13581,"&lt;"&amp;A86+1,GIAO_DICH!$F$4:$F$13581,"&lt;0",GIAO_DICH!$C$4:$C$13581,"&lt;&gt;Kiểm hàng")</f>
        <v>0</v>
      </c>
      <c r="E86" s="4">
        <f>SUMIFS(GIAO_DICH!$F$4:$F$13581,GIAO_DICH!$B$4:$B$13581,"&gt;="&amp;A86,GIAO_DICH!$B$4:$B$13581,"&lt;"&amp;A86+1,GIAO_DICH!$C$4:$C$13581,"Kiểm hàng")</f>
        <v>0</v>
      </c>
      <c r="F86" s="4">
        <f t="shared" si="11"/>
        <v>88</v>
      </c>
      <c r="G86" s="3"/>
      <c r="H86" s="4" t="str">
        <f t="shared" si="12"/>
        <v/>
      </c>
      <c r="I86" s="4" t="str">
        <f t="shared" si="9"/>
        <v/>
      </c>
      <c r="J86" s="15" t="str">
        <f t="shared" si="13"/>
        <v>CHƯA KIỂM</v>
      </c>
      <c r="K86" s="3" t="s">
        <v>5</v>
      </c>
    </row>
    <row r="87" spans="1:11">
      <c r="A87" s="2">
        <v>46376</v>
      </c>
      <c r="B87" s="4">
        <f t="shared" si="10"/>
        <v>88</v>
      </c>
      <c r="C87" s="4">
        <f>SUMIFS(GIAO_DICH!$F$4:$F$13581,GIAO_DICH!$B$4:$B$13581,"&gt;="&amp;A87,GIAO_DICH!$B$4:$B$13581,"&lt;"&amp;A87+1,GIAO_DICH!$F$4:$F$13581,"&gt;0",GIAO_DICH!$C$4:$C$13581,"&lt;&gt;Kiểm hàng")</f>
        <v>0</v>
      </c>
      <c r="D87" s="4">
        <f>-SUMIFS(GIAO_DICH!$F$4:$F$13581,GIAO_DICH!$B$4:$B$13581,"&gt;="&amp;A87,GIAO_DICH!$B$4:$B$13581,"&lt;"&amp;A87+1,GIAO_DICH!$F$4:$F$13581,"&lt;0",GIAO_DICH!$C$4:$C$13581,"&lt;&gt;Kiểm hàng")</f>
        <v>0</v>
      </c>
      <c r="E87" s="4">
        <f>SUMIFS(GIAO_DICH!$F$4:$F$13581,GIAO_DICH!$B$4:$B$13581,"&gt;="&amp;A87,GIAO_DICH!$B$4:$B$13581,"&lt;"&amp;A87+1,GIAO_DICH!$C$4:$C$13581,"Kiểm hàng")</f>
        <v>0</v>
      </c>
      <c r="F87" s="4">
        <f t="shared" si="11"/>
        <v>88</v>
      </c>
      <c r="G87" s="3"/>
      <c r="H87" s="4" t="str">
        <f t="shared" si="12"/>
        <v/>
      </c>
      <c r="I87" s="4" t="str">
        <f t="shared" si="9"/>
        <v/>
      </c>
      <c r="J87" s="15" t="str">
        <f t="shared" si="13"/>
        <v>CHƯA KIỂM</v>
      </c>
      <c r="K87" s="3" t="s">
        <v>5</v>
      </c>
    </row>
    <row r="88" spans="1:11">
      <c r="A88" s="2">
        <v>46377</v>
      </c>
      <c r="B88" s="4">
        <f t="shared" si="10"/>
        <v>88</v>
      </c>
      <c r="C88" s="4">
        <f>SUMIFS(GIAO_DICH!$F$4:$F$13581,GIAO_DICH!$B$4:$B$13581,"&gt;="&amp;A88,GIAO_DICH!$B$4:$B$13581,"&lt;"&amp;A88+1,GIAO_DICH!$F$4:$F$13581,"&gt;0",GIAO_DICH!$C$4:$C$13581,"&lt;&gt;Kiểm hàng")</f>
        <v>0</v>
      </c>
      <c r="D88" s="4">
        <f>-SUMIFS(GIAO_DICH!$F$4:$F$13581,GIAO_DICH!$B$4:$B$13581,"&gt;="&amp;A88,GIAO_DICH!$B$4:$B$13581,"&lt;"&amp;A88+1,GIAO_DICH!$F$4:$F$13581,"&lt;0",GIAO_DICH!$C$4:$C$13581,"&lt;&gt;Kiểm hàng")</f>
        <v>0</v>
      </c>
      <c r="E88" s="4">
        <f>SUMIFS(GIAO_DICH!$F$4:$F$13581,GIAO_DICH!$B$4:$B$13581,"&gt;="&amp;A88,GIAO_DICH!$B$4:$B$13581,"&lt;"&amp;A88+1,GIAO_DICH!$C$4:$C$13581,"Kiểm hàng")</f>
        <v>0</v>
      </c>
      <c r="F88" s="4">
        <f t="shared" si="11"/>
        <v>88</v>
      </c>
      <c r="G88" s="3"/>
      <c r="H88" s="4" t="str">
        <f t="shared" si="12"/>
        <v/>
      </c>
      <c r="I88" s="4" t="str">
        <f t="shared" si="9"/>
        <v/>
      </c>
      <c r="J88" s="15" t="str">
        <f t="shared" si="13"/>
        <v>CHƯA KIỂM</v>
      </c>
      <c r="K88" s="3" t="s">
        <v>5</v>
      </c>
    </row>
    <row r="89" spans="1:11">
      <c r="A89" s="2">
        <v>46378</v>
      </c>
      <c r="B89" s="4">
        <f t="shared" si="10"/>
        <v>88</v>
      </c>
      <c r="C89" s="4">
        <f>SUMIFS(GIAO_DICH!$F$4:$F$13581,GIAO_DICH!$B$4:$B$13581,"&gt;="&amp;A89,GIAO_DICH!$B$4:$B$13581,"&lt;"&amp;A89+1,GIAO_DICH!$F$4:$F$13581,"&gt;0",GIAO_DICH!$C$4:$C$13581,"&lt;&gt;Kiểm hàng")</f>
        <v>0</v>
      </c>
      <c r="D89" s="4">
        <f>-SUMIFS(GIAO_DICH!$F$4:$F$13581,GIAO_DICH!$B$4:$B$13581,"&gt;="&amp;A89,GIAO_DICH!$B$4:$B$13581,"&lt;"&amp;A89+1,GIAO_DICH!$F$4:$F$13581,"&lt;0",GIAO_DICH!$C$4:$C$13581,"&lt;&gt;Kiểm hàng")</f>
        <v>0</v>
      </c>
      <c r="E89" s="4">
        <f>SUMIFS(GIAO_DICH!$F$4:$F$13581,GIAO_DICH!$B$4:$B$13581,"&gt;="&amp;A89,GIAO_DICH!$B$4:$B$13581,"&lt;"&amp;A89+1,GIAO_DICH!$C$4:$C$13581,"Kiểm hàng")</f>
        <v>0</v>
      </c>
      <c r="F89" s="4">
        <f t="shared" si="11"/>
        <v>88</v>
      </c>
      <c r="G89" s="3"/>
      <c r="H89" s="4" t="str">
        <f t="shared" si="12"/>
        <v/>
      </c>
      <c r="I89" s="4" t="str">
        <f t="shared" si="9"/>
        <v/>
      </c>
      <c r="J89" s="15" t="str">
        <f t="shared" si="13"/>
        <v>CHƯA KIỂM</v>
      </c>
      <c r="K89" s="3" t="s">
        <v>5</v>
      </c>
    </row>
    <row r="90" spans="1:11">
      <c r="A90" s="2">
        <v>46379</v>
      </c>
      <c r="B90" s="4">
        <f t="shared" si="10"/>
        <v>88</v>
      </c>
      <c r="C90" s="4">
        <f>SUMIFS(GIAO_DICH!$F$4:$F$13581,GIAO_DICH!$B$4:$B$13581,"&gt;="&amp;A90,GIAO_DICH!$B$4:$B$13581,"&lt;"&amp;A90+1,GIAO_DICH!$F$4:$F$13581,"&gt;0",GIAO_DICH!$C$4:$C$13581,"&lt;&gt;Kiểm hàng")</f>
        <v>0</v>
      </c>
      <c r="D90" s="4">
        <f>-SUMIFS(GIAO_DICH!$F$4:$F$13581,GIAO_DICH!$B$4:$B$13581,"&gt;="&amp;A90,GIAO_DICH!$B$4:$B$13581,"&lt;"&amp;A90+1,GIAO_DICH!$F$4:$F$13581,"&lt;0",GIAO_DICH!$C$4:$C$13581,"&lt;&gt;Kiểm hàng")</f>
        <v>0</v>
      </c>
      <c r="E90" s="4">
        <f>SUMIFS(GIAO_DICH!$F$4:$F$13581,GIAO_DICH!$B$4:$B$13581,"&gt;="&amp;A90,GIAO_DICH!$B$4:$B$13581,"&lt;"&amp;A90+1,GIAO_DICH!$C$4:$C$13581,"Kiểm hàng")</f>
        <v>0</v>
      </c>
      <c r="F90" s="4">
        <f t="shared" si="11"/>
        <v>88</v>
      </c>
      <c r="G90" s="3"/>
      <c r="H90" s="4" t="str">
        <f t="shared" si="12"/>
        <v/>
      </c>
      <c r="I90" s="4" t="str">
        <f t="shared" si="9"/>
        <v/>
      </c>
      <c r="J90" s="15" t="str">
        <f t="shared" si="13"/>
        <v>CHƯA KIỂM</v>
      </c>
      <c r="K90" s="3" t="s">
        <v>5</v>
      </c>
    </row>
    <row r="91" spans="1:11">
      <c r="A91" s="2">
        <v>46380</v>
      </c>
      <c r="B91" s="4">
        <f t="shared" si="10"/>
        <v>88</v>
      </c>
      <c r="C91" s="4">
        <f>SUMIFS(GIAO_DICH!$F$4:$F$13581,GIAO_DICH!$B$4:$B$13581,"&gt;="&amp;A91,GIAO_DICH!$B$4:$B$13581,"&lt;"&amp;A91+1,GIAO_DICH!$F$4:$F$13581,"&gt;0",GIAO_DICH!$C$4:$C$13581,"&lt;&gt;Kiểm hàng")</f>
        <v>0</v>
      </c>
      <c r="D91" s="4">
        <f>-SUMIFS(GIAO_DICH!$F$4:$F$13581,GIAO_DICH!$B$4:$B$13581,"&gt;="&amp;A91,GIAO_DICH!$B$4:$B$13581,"&lt;"&amp;A91+1,GIAO_DICH!$F$4:$F$13581,"&lt;0",GIAO_DICH!$C$4:$C$13581,"&lt;&gt;Kiểm hàng")</f>
        <v>0</v>
      </c>
      <c r="E91" s="4">
        <f>SUMIFS(GIAO_DICH!$F$4:$F$13581,GIAO_DICH!$B$4:$B$13581,"&gt;="&amp;A91,GIAO_DICH!$B$4:$B$13581,"&lt;"&amp;A91+1,GIAO_DICH!$C$4:$C$13581,"Kiểm hàng")</f>
        <v>0</v>
      </c>
      <c r="F91" s="4">
        <f t="shared" si="11"/>
        <v>88</v>
      </c>
      <c r="G91" s="3"/>
      <c r="H91" s="4" t="str">
        <f t="shared" si="12"/>
        <v/>
      </c>
      <c r="I91" s="4" t="str">
        <f t="shared" si="9"/>
        <v/>
      </c>
      <c r="J91" s="15" t="str">
        <f t="shared" si="13"/>
        <v>CHƯA KIỂM</v>
      </c>
      <c r="K91" s="3" t="s">
        <v>5</v>
      </c>
    </row>
    <row r="92" spans="1:11">
      <c r="A92" s="2">
        <v>46381</v>
      </c>
      <c r="B92" s="4">
        <f t="shared" si="10"/>
        <v>88</v>
      </c>
      <c r="C92" s="4">
        <f>SUMIFS(GIAO_DICH!$F$4:$F$13581,GIAO_DICH!$B$4:$B$13581,"&gt;="&amp;A92,GIAO_DICH!$B$4:$B$13581,"&lt;"&amp;A92+1,GIAO_DICH!$F$4:$F$13581,"&gt;0",GIAO_DICH!$C$4:$C$13581,"&lt;&gt;Kiểm hàng")</f>
        <v>0</v>
      </c>
      <c r="D92" s="4">
        <f>-SUMIFS(GIAO_DICH!$F$4:$F$13581,GIAO_DICH!$B$4:$B$13581,"&gt;="&amp;A92,GIAO_DICH!$B$4:$B$13581,"&lt;"&amp;A92+1,GIAO_DICH!$F$4:$F$13581,"&lt;0",GIAO_DICH!$C$4:$C$13581,"&lt;&gt;Kiểm hàng")</f>
        <v>0</v>
      </c>
      <c r="E92" s="4">
        <f>SUMIFS(GIAO_DICH!$F$4:$F$13581,GIAO_DICH!$B$4:$B$13581,"&gt;="&amp;A92,GIAO_DICH!$B$4:$B$13581,"&lt;"&amp;A92+1,GIAO_DICH!$C$4:$C$13581,"Kiểm hàng")</f>
        <v>0</v>
      </c>
      <c r="F92" s="4">
        <f t="shared" si="11"/>
        <v>88</v>
      </c>
      <c r="G92" s="3"/>
      <c r="H92" s="4" t="str">
        <f t="shared" si="12"/>
        <v/>
      </c>
      <c r="I92" s="4" t="str">
        <f t="shared" si="9"/>
        <v/>
      </c>
      <c r="J92" s="15" t="str">
        <f t="shared" si="13"/>
        <v>CHƯA KIỂM</v>
      </c>
      <c r="K92" s="3" t="s">
        <v>5</v>
      </c>
    </row>
    <row r="93" spans="1:11">
      <c r="A93" s="2">
        <v>46382</v>
      </c>
      <c r="B93" s="4">
        <f t="shared" si="10"/>
        <v>88</v>
      </c>
      <c r="C93" s="4">
        <f>SUMIFS(GIAO_DICH!$F$4:$F$13581,GIAO_DICH!$B$4:$B$13581,"&gt;="&amp;A93,GIAO_DICH!$B$4:$B$13581,"&lt;"&amp;A93+1,GIAO_DICH!$F$4:$F$13581,"&gt;0",GIAO_DICH!$C$4:$C$13581,"&lt;&gt;Kiểm hàng")</f>
        <v>0</v>
      </c>
      <c r="D93" s="4">
        <f>-SUMIFS(GIAO_DICH!$F$4:$F$13581,GIAO_DICH!$B$4:$B$13581,"&gt;="&amp;A93,GIAO_DICH!$B$4:$B$13581,"&lt;"&amp;A93+1,GIAO_DICH!$F$4:$F$13581,"&lt;0",GIAO_DICH!$C$4:$C$13581,"&lt;&gt;Kiểm hàng")</f>
        <v>0</v>
      </c>
      <c r="E93" s="4">
        <f>SUMIFS(GIAO_DICH!$F$4:$F$13581,GIAO_DICH!$B$4:$B$13581,"&gt;="&amp;A93,GIAO_DICH!$B$4:$B$13581,"&lt;"&amp;A93+1,GIAO_DICH!$C$4:$C$13581,"Kiểm hàng")</f>
        <v>0</v>
      </c>
      <c r="F93" s="4">
        <f t="shared" si="11"/>
        <v>88</v>
      </c>
      <c r="G93" s="3"/>
      <c r="H93" s="4" t="str">
        <f t="shared" si="12"/>
        <v/>
      </c>
      <c r="I93" s="4" t="str">
        <f t="shared" si="9"/>
        <v/>
      </c>
      <c r="J93" s="15" t="str">
        <f t="shared" si="13"/>
        <v>CHƯA KIỂM</v>
      </c>
      <c r="K93" s="3" t="s">
        <v>5</v>
      </c>
    </row>
    <row r="94" spans="1:11">
      <c r="A94" s="2">
        <v>46383</v>
      </c>
      <c r="B94" s="4">
        <f t="shared" si="10"/>
        <v>88</v>
      </c>
      <c r="C94" s="4">
        <f>SUMIFS(GIAO_DICH!$F$4:$F$13581,GIAO_DICH!$B$4:$B$13581,"&gt;="&amp;A94,GIAO_DICH!$B$4:$B$13581,"&lt;"&amp;A94+1,GIAO_DICH!$F$4:$F$13581,"&gt;0",GIAO_DICH!$C$4:$C$13581,"&lt;&gt;Kiểm hàng")</f>
        <v>0</v>
      </c>
      <c r="D94" s="4">
        <f>-SUMIFS(GIAO_DICH!$F$4:$F$13581,GIAO_DICH!$B$4:$B$13581,"&gt;="&amp;A94,GIAO_DICH!$B$4:$B$13581,"&lt;"&amp;A94+1,GIAO_DICH!$F$4:$F$13581,"&lt;0",GIAO_DICH!$C$4:$C$13581,"&lt;&gt;Kiểm hàng")</f>
        <v>0</v>
      </c>
      <c r="E94" s="4">
        <f>SUMIFS(GIAO_DICH!$F$4:$F$13581,GIAO_DICH!$B$4:$B$13581,"&gt;="&amp;A94,GIAO_DICH!$B$4:$B$13581,"&lt;"&amp;A94+1,GIAO_DICH!$C$4:$C$13581,"Kiểm hàng")</f>
        <v>0</v>
      </c>
      <c r="F94" s="4">
        <f t="shared" si="11"/>
        <v>88</v>
      </c>
      <c r="G94" s="3"/>
      <c r="H94" s="4" t="str">
        <f t="shared" si="12"/>
        <v/>
      </c>
      <c r="I94" s="4" t="str">
        <f t="shared" si="9"/>
        <v/>
      </c>
      <c r="J94" s="15" t="str">
        <f t="shared" si="13"/>
        <v>CHƯA KIỂM</v>
      </c>
      <c r="K94" s="3" t="s">
        <v>5</v>
      </c>
    </row>
    <row r="95" spans="1:11">
      <c r="A95" s="2">
        <v>46384</v>
      </c>
      <c r="B95" s="4">
        <f t="shared" si="10"/>
        <v>88</v>
      </c>
      <c r="C95" s="4">
        <f>SUMIFS(GIAO_DICH!$F$4:$F$13581,GIAO_DICH!$B$4:$B$13581,"&gt;="&amp;A95,GIAO_DICH!$B$4:$B$13581,"&lt;"&amp;A95+1,GIAO_DICH!$F$4:$F$13581,"&gt;0",GIAO_DICH!$C$4:$C$13581,"&lt;&gt;Kiểm hàng")</f>
        <v>0</v>
      </c>
      <c r="D95" s="4">
        <f>-SUMIFS(GIAO_DICH!$F$4:$F$13581,GIAO_DICH!$B$4:$B$13581,"&gt;="&amp;A95,GIAO_DICH!$B$4:$B$13581,"&lt;"&amp;A95+1,GIAO_DICH!$F$4:$F$13581,"&lt;0",GIAO_DICH!$C$4:$C$13581,"&lt;&gt;Kiểm hàng")</f>
        <v>0</v>
      </c>
      <c r="E95" s="4">
        <f>SUMIFS(GIAO_DICH!$F$4:$F$13581,GIAO_DICH!$B$4:$B$13581,"&gt;="&amp;A95,GIAO_DICH!$B$4:$B$13581,"&lt;"&amp;A95+1,GIAO_DICH!$C$4:$C$13581,"Kiểm hàng")</f>
        <v>0</v>
      </c>
      <c r="F95" s="4">
        <f t="shared" si="11"/>
        <v>88</v>
      </c>
      <c r="G95" s="3"/>
      <c r="H95" s="4" t="str">
        <f t="shared" si="12"/>
        <v/>
      </c>
      <c r="I95" s="4" t="str">
        <f t="shared" si="9"/>
        <v/>
      </c>
      <c r="J95" s="15" t="str">
        <f t="shared" si="13"/>
        <v>CHƯA KIỂM</v>
      </c>
      <c r="K95" s="3" t="s">
        <v>5</v>
      </c>
    </row>
    <row r="96" spans="1:11">
      <c r="A96" s="2">
        <v>46385</v>
      </c>
      <c r="B96" s="4">
        <f t="shared" si="10"/>
        <v>88</v>
      </c>
      <c r="C96" s="4">
        <f>SUMIFS(GIAO_DICH!$F$4:$F$13581,GIAO_DICH!$B$4:$B$13581,"&gt;="&amp;A96,GIAO_DICH!$B$4:$B$13581,"&lt;"&amp;A96+1,GIAO_DICH!$F$4:$F$13581,"&gt;0",GIAO_DICH!$C$4:$C$13581,"&lt;&gt;Kiểm hàng")</f>
        <v>0</v>
      </c>
      <c r="D96" s="4">
        <f>-SUMIFS(GIAO_DICH!$F$4:$F$13581,GIAO_DICH!$B$4:$B$13581,"&gt;="&amp;A96,GIAO_DICH!$B$4:$B$13581,"&lt;"&amp;A96+1,GIAO_DICH!$F$4:$F$13581,"&lt;0",GIAO_DICH!$C$4:$C$13581,"&lt;&gt;Kiểm hàng")</f>
        <v>0</v>
      </c>
      <c r="E96" s="4">
        <f>SUMIFS(GIAO_DICH!$F$4:$F$13581,GIAO_DICH!$B$4:$B$13581,"&gt;="&amp;A96,GIAO_DICH!$B$4:$B$13581,"&lt;"&amp;A96+1,GIAO_DICH!$C$4:$C$13581,"Kiểm hàng")</f>
        <v>0</v>
      </c>
      <c r="F96" s="4">
        <f t="shared" si="11"/>
        <v>88</v>
      </c>
      <c r="G96" s="3"/>
      <c r="H96" s="4" t="str">
        <f t="shared" si="12"/>
        <v/>
      </c>
      <c r="I96" s="4" t="str">
        <f t="shared" si="9"/>
        <v/>
      </c>
      <c r="J96" s="15" t="str">
        <f t="shared" si="13"/>
        <v>CHƯA KIỂM</v>
      </c>
      <c r="K96" s="3" t="s">
        <v>5</v>
      </c>
    </row>
  </sheetData>
  <mergeCells count="1">
    <mergeCell ref="A1:K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3" topLeftCell="A4" activePane="bottomLeft" state="frozen"/>
      <selection pane="bottomLeft" activeCell="A4" sqref="A4:H4"/>
    </sheetView>
  </sheetViews>
  <sheetFormatPr defaultRowHeight="15"/>
  <cols>
    <col min="1" max="1" width="18" customWidth="1"/>
    <col min="2" max="2" width="20" customWidth="1"/>
    <col min="3" max="3" width="18" customWidth="1"/>
    <col min="4" max="7" width="16" customWidth="1"/>
    <col min="8" max="8" width="32" customWidth="1"/>
  </cols>
  <sheetData>
    <row r="1" spans="1:8" ht="27.95" customHeight="1">
      <c r="A1" s="7" t="s">
        <v>6</v>
      </c>
      <c r="B1" s="8"/>
      <c r="C1" s="8"/>
      <c r="D1" s="8"/>
      <c r="E1" s="8"/>
      <c r="F1" s="8"/>
      <c r="G1" s="8"/>
      <c r="H1" s="8"/>
    </row>
    <row r="2" spans="1:8" ht="32.1" customHeight="1">
      <c r="A2" s="9" t="s">
        <v>7</v>
      </c>
      <c r="B2" s="8"/>
      <c r="C2" s="8"/>
      <c r="D2" s="8"/>
      <c r="E2" s="8"/>
      <c r="F2" s="8"/>
      <c r="G2" s="8"/>
      <c r="H2" s="8"/>
    </row>
    <row r="3" spans="1:8" ht="38.1" customHeight="1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>
      <c r="A4" t="s">
        <v>84</v>
      </c>
      <c r="B4" s="10">
        <v>46299.380555555559</v>
      </c>
      <c r="C4" t="s">
        <v>22</v>
      </c>
      <c r="D4" s="11">
        <v>200000</v>
      </c>
      <c r="E4" s="11">
        <v>0</v>
      </c>
      <c r="F4" s="12">
        <v>-2</v>
      </c>
      <c r="G4" s="12">
        <v>88</v>
      </c>
      <c r="H4" t="s">
        <v>25</v>
      </c>
    </row>
    <row r="5" spans="1:8">
      <c r="A5" t="s">
        <v>17</v>
      </c>
      <c r="B5" s="10">
        <v>46298.648129166664</v>
      </c>
      <c r="C5" t="s">
        <v>18</v>
      </c>
      <c r="D5" s="11">
        <v>0</v>
      </c>
      <c r="E5" s="11">
        <v>0</v>
      </c>
      <c r="F5" s="12">
        <v>200</v>
      </c>
      <c r="G5" s="12">
        <v>90</v>
      </c>
    </row>
    <row r="6" spans="1:8">
      <c r="A6" t="s">
        <v>19</v>
      </c>
      <c r="B6" s="10">
        <v>46298.586762002313</v>
      </c>
      <c r="C6" t="s">
        <v>20</v>
      </c>
      <c r="D6" s="11"/>
      <c r="E6" s="11">
        <v>0</v>
      </c>
      <c r="F6" s="12">
        <v>-70</v>
      </c>
      <c r="G6" s="12">
        <v>-110</v>
      </c>
      <c r="H6" t="s">
        <v>5</v>
      </c>
    </row>
    <row r="7" spans="1:8">
      <c r="A7" t="s">
        <v>21</v>
      </c>
      <c r="B7" s="10">
        <v>46298.579542476851</v>
      </c>
      <c r="C7" t="s">
        <v>22</v>
      </c>
      <c r="D7" s="11">
        <v>205000</v>
      </c>
      <c r="E7" s="11">
        <v>0</v>
      </c>
      <c r="F7" s="12">
        <v>-5</v>
      </c>
      <c r="G7" s="12">
        <v>-40</v>
      </c>
      <c r="H7" t="s">
        <v>23</v>
      </c>
    </row>
    <row r="8" spans="1:8">
      <c r="A8" t="s">
        <v>24</v>
      </c>
      <c r="B8" s="10">
        <v>46298.416119560185</v>
      </c>
      <c r="C8" t="s">
        <v>22</v>
      </c>
      <c r="D8" s="11">
        <v>200000</v>
      </c>
      <c r="E8" s="11">
        <v>0</v>
      </c>
      <c r="F8" s="12">
        <v>-2</v>
      </c>
      <c r="G8" s="12">
        <v>-35</v>
      </c>
      <c r="H8" t="s">
        <v>25</v>
      </c>
    </row>
    <row r="9" spans="1:8">
      <c r="A9" t="s">
        <v>26</v>
      </c>
      <c r="B9" s="10">
        <v>46298.409266122682</v>
      </c>
      <c r="C9" t="s">
        <v>22</v>
      </c>
      <c r="D9" s="11">
        <v>205000</v>
      </c>
      <c r="E9" s="11">
        <v>0</v>
      </c>
      <c r="F9" s="12">
        <v>-40</v>
      </c>
      <c r="G9" s="12">
        <v>-33</v>
      </c>
      <c r="H9" t="s">
        <v>27</v>
      </c>
    </row>
    <row r="10" spans="1:8">
      <c r="A10" t="s">
        <v>28</v>
      </c>
      <c r="B10" s="10">
        <v>46298.31150625</v>
      </c>
      <c r="C10" t="s">
        <v>22</v>
      </c>
      <c r="D10" s="11">
        <v>205000</v>
      </c>
      <c r="E10" s="11">
        <v>0</v>
      </c>
      <c r="F10" s="12">
        <v>-5</v>
      </c>
      <c r="G10" s="12">
        <v>7</v>
      </c>
      <c r="H10" t="s">
        <v>29</v>
      </c>
    </row>
    <row r="11" spans="1:8">
      <c r="A11" t="s">
        <v>30</v>
      </c>
      <c r="B11" s="10">
        <v>46297.585745601849</v>
      </c>
      <c r="C11" t="s">
        <v>22</v>
      </c>
      <c r="D11" s="11">
        <v>205000</v>
      </c>
      <c r="E11" s="11">
        <v>0</v>
      </c>
      <c r="F11" s="12">
        <v>-10</v>
      </c>
      <c r="G11" s="12">
        <v>12</v>
      </c>
      <c r="H11" t="s">
        <v>31</v>
      </c>
    </row>
    <row r="12" spans="1:8">
      <c r="A12" t="s">
        <v>32</v>
      </c>
      <c r="B12" s="10">
        <v>46297.465183333334</v>
      </c>
      <c r="C12" t="s">
        <v>22</v>
      </c>
      <c r="D12" s="11">
        <v>205000</v>
      </c>
      <c r="E12" s="11">
        <v>0</v>
      </c>
      <c r="F12" s="12">
        <v>-20</v>
      </c>
      <c r="G12" s="12">
        <v>22</v>
      </c>
      <c r="H12" t="s">
        <v>33</v>
      </c>
    </row>
    <row r="13" spans="1:8">
      <c r="A13" t="s">
        <v>34</v>
      </c>
      <c r="B13" s="10">
        <v>46297.452894594906</v>
      </c>
      <c r="C13" t="s">
        <v>22</v>
      </c>
      <c r="D13" s="11">
        <v>205000</v>
      </c>
      <c r="E13" s="11">
        <v>0</v>
      </c>
      <c r="F13" s="12">
        <v>-5</v>
      </c>
      <c r="G13" s="12">
        <v>42</v>
      </c>
      <c r="H13" t="s">
        <v>35</v>
      </c>
    </row>
    <row r="14" spans="1:8">
      <c r="A14" t="s">
        <v>36</v>
      </c>
      <c r="B14" s="10">
        <v>46297.443877199075</v>
      </c>
      <c r="C14" t="s">
        <v>22</v>
      </c>
      <c r="D14" s="11">
        <v>200000</v>
      </c>
      <c r="E14" s="11">
        <v>0</v>
      </c>
      <c r="F14" s="12">
        <v>-3</v>
      </c>
      <c r="G14" s="12">
        <v>47</v>
      </c>
      <c r="H14" t="s">
        <v>25</v>
      </c>
    </row>
    <row r="15" spans="1:8">
      <c r="A15" t="s">
        <v>37</v>
      </c>
      <c r="B15" s="10">
        <v>46296.667562418981</v>
      </c>
      <c r="C15" t="s">
        <v>38</v>
      </c>
      <c r="D15" s="11"/>
      <c r="E15" s="11">
        <v>0</v>
      </c>
      <c r="F15" s="12">
        <v>-5</v>
      </c>
      <c r="G15" s="12">
        <v>50</v>
      </c>
      <c r="H15" t="s">
        <v>5</v>
      </c>
    </row>
    <row r="16" spans="1:8">
      <c r="A16" t="s">
        <v>39</v>
      </c>
      <c r="B16" s="10">
        <v>46296.583604201391</v>
      </c>
      <c r="C16" t="s">
        <v>22</v>
      </c>
      <c r="D16" s="11">
        <v>205000</v>
      </c>
      <c r="E16" s="11">
        <v>0</v>
      </c>
      <c r="F16" s="12">
        <v>-1</v>
      </c>
      <c r="G16" s="12">
        <v>55</v>
      </c>
      <c r="H16" t="s">
        <v>40</v>
      </c>
    </row>
    <row r="17" spans="1:8">
      <c r="A17" t="s">
        <v>41</v>
      </c>
      <c r="B17" s="10">
        <v>46296.579390162035</v>
      </c>
      <c r="C17" t="s">
        <v>22</v>
      </c>
      <c r="D17" s="11">
        <v>205000</v>
      </c>
      <c r="E17" s="11">
        <v>0</v>
      </c>
      <c r="F17" s="12">
        <v>-30</v>
      </c>
      <c r="G17" s="12">
        <v>56</v>
      </c>
      <c r="H17" t="s">
        <v>42</v>
      </c>
    </row>
    <row r="18" spans="1:8">
      <c r="A18" t="s">
        <v>43</v>
      </c>
      <c r="B18" s="10">
        <v>46296.573181481479</v>
      </c>
      <c r="C18" t="s">
        <v>22</v>
      </c>
      <c r="D18" s="11">
        <v>200000</v>
      </c>
      <c r="E18" s="11">
        <v>0</v>
      </c>
      <c r="F18" s="12">
        <v>-3</v>
      </c>
      <c r="G18" s="12">
        <v>86</v>
      </c>
      <c r="H18" t="s">
        <v>25</v>
      </c>
    </row>
    <row r="19" spans="1:8">
      <c r="A19" t="s">
        <v>44</v>
      </c>
      <c r="B19" s="10">
        <v>46295.464641203704</v>
      </c>
      <c r="C19" t="s">
        <v>22</v>
      </c>
      <c r="D19" s="11">
        <v>205000</v>
      </c>
      <c r="E19" s="11">
        <v>0</v>
      </c>
      <c r="F19" s="12">
        <v>-10</v>
      </c>
      <c r="G19" s="12">
        <v>89</v>
      </c>
      <c r="H19" t="s">
        <v>45</v>
      </c>
    </row>
    <row r="20" spans="1:8">
      <c r="A20" t="s">
        <v>46</v>
      </c>
      <c r="B20" s="10">
        <v>46295.457547800928</v>
      </c>
      <c r="C20" t="s">
        <v>22</v>
      </c>
      <c r="D20" s="11">
        <v>205000</v>
      </c>
      <c r="E20" s="11">
        <v>0</v>
      </c>
      <c r="F20" s="12">
        <v>-15</v>
      </c>
      <c r="G20" s="12">
        <v>99</v>
      </c>
      <c r="H20" t="s">
        <v>47</v>
      </c>
    </row>
    <row r="21" spans="1:8">
      <c r="A21" t="s">
        <v>48</v>
      </c>
      <c r="B21" s="10">
        <v>46295.454900381941</v>
      </c>
      <c r="C21" t="s">
        <v>22</v>
      </c>
      <c r="D21" s="11">
        <v>200000</v>
      </c>
      <c r="E21" s="11">
        <v>0</v>
      </c>
      <c r="F21" s="12">
        <v>-2</v>
      </c>
      <c r="G21" s="12">
        <v>114</v>
      </c>
      <c r="H21" t="s">
        <v>25</v>
      </c>
    </row>
    <row r="22" spans="1:8">
      <c r="A22" t="s">
        <v>49</v>
      </c>
      <c r="B22" s="10">
        <v>46295.386776817133</v>
      </c>
      <c r="C22" t="s">
        <v>22</v>
      </c>
      <c r="D22" s="11">
        <v>205000</v>
      </c>
      <c r="E22" s="11">
        <v>0</v>
      </c>
      <c r="F22" s="12">
        <v>-2</v>
      </c>
      <c r="G22" s="12">
        <v>116</v>
      </c>
      <c r="H22" t="s">
        <v>50</v>
      </c>
    </row>
    <row r="23" spans="1:8">
      <c r="A23" t="s">
        <v>51</v>
      </c>
      <c r="B23" s="10">
        <v>46294.573411886573</v>
      </c>
      <c r="C23" t="s">
        <v>22</v>
      </c>
      <c r="D23" s="11">
        <v>205000</v>
      </c>
      <c r="E23" s="11">
        <v>0</v>
      </c>
      <c r="F23" s="12">
        <v>-3</v>
      </c>
      <c r="G23" s="12">
        <v>118</v>
      </c>
      <c r="H23" t="s">
        <v>29</v>
      </c>
    </row>
    <row r="24" spans="1:8">
      <c r="A24" t="s">
        <v>52</v>
      </c>
      <c r="B24" s="10">
        <v>46294.572936342593</v>
      </c>
      <c r="C24" t="s">
        <v>22</v>
      </c>
      <c r="D24" s="11">
        <v>200000</v>
      </c>
      <c r="E24" s="11">
        <v>0</v>
      </c>
      <c r="F24" s="12">
        <v>-3</v>
      </c>
      <c r="G24" s="12">
        <v>121</v>
      </c>
      <c r="H24" t="s">
        <v>25</v>
      </c>
    </row>
    <row r="25" spans="1:8">
      <c r="A25" t="s">
        <v>53</v>
      </c>
      <c r="B25" s="10">
        <v>46293.438716550925</v>
      </c>
      <c r="C25" t="s">
        <v>22</v>
      </c>
      <c r="D25" s="11">
        <v>200000</v>
      </c>
      <c r="E25" s="11">
        <v>0</v>
      </c>
      <c r="F25" s="12">
        <v>-2</v>
      </c>
      <c r="G25" s="12">
        <v>124</v>
      </c>
      <c r="H25" t="s">
        <v>25</v>
      </c>
    </row>
    <row r="26" spans="1:8">
      <c r="A26" t="s">
        <v>54</v>
      </c>
      <c r="B26" s="10">
        <v>46292.633071608798</v>
      </c>
      <c r="C26" t="s">
        <v>20</v>
      </c>
      <c r="D26" s="11"/>
      <c r="E26" s="11">
        <v>0</v>
      </c>
      <c r="F26" s="12">
        <v>-40</v>
      </c>
      <c r="G26" s="12">
        <v>126</v>
      </c>
      <c r="H26" t="s">
        <v>5</v>
      </c>
    </row>
    <row r="27" spans="1:8">
      <c r="A27" t="s">
        <v>55</v>
      </c>
      <c r="B27" s="10">
        <v>46292.623606909721</v>
      </c>
      <c r="C27" t="s">
        <v>18</v>
      </c>
      <c r="D27" s="11">
        <v>0</v>
      </c>
      <c r="E27" s="11">
        <v>0</v>
      </c>
      <c r="F27" s="12">
        <v>70</v>
      </c>
      <c r="G27" s="12">
        <v>166</v>
      </c>
    </row>
    <row r="28" spans="1:8">
      <c r="A28" t="s">
        <v>56</v>
      </c>
      <c r="B28" s="10">
        <v>46292.410498807869</v>
      </c>
      <c r="C28" t="s">
        <v>20</v>
      </c>
      <c r="D28" s="11"/>
      <c r="E28" s="11">
        <v>0</v>
      </c>
      <c r="F28" s="12">
        <v>-30</v>
      </c>
      <c r="G28" s="12">
        <v>96</v>
      </c>
      <c r="H28" t="s">
        <v>5</v>
      </c>
    </row>
    <row r="29" spans="1:8">
      <c r="A29" t="s">
        <v>57</v>
      </c>
      <c r="B29" s="10">
        <v>46292.410359409725</v>
      </c>
      <c r="C29" t="s">
        <v>22</v>
      </c>
      <c r="D29" s="11">
        <v>200000</v>
      </c>
      <c r="E29" s="11">
        <v>0</v>
      </c>
      <c r="F29" s="12">
        <v>-3</v>
      </c>
      <c r="G29" s="12">
        <v>126</v>
      </c>
      <c r="H29" t="s">
        <v>25</v>
      </c>
    </row>
    <row r="30" spans="1:8">
      <c r="A30" t="s">
        <v>58</v>
      </c>
      <c r="B30" s="10">
        <v>46291.585553969904</v>
      </c>
      <c r="C30" t="s">
        <v>22</v>
      </c>
      <c r="D30" s="11">
        <v>205000</v>
      </c>
      <c r="E30" s="11">
        <v>0</v>
      </c>
      <c r="F30" s="12">
        <v>-5</v>
      </c>
      <c r="G30" s="12">
        <v>129</v>
      </c>
      <c r="H30" t="s">
        <v>59</v>
      </c>
    </row>
    <row r="31" spans="1:8">
      <c r="A31" t="s">
        <v>60</v>
      </c>
      <c r="B31" s="10">
        <v>46291.450065011573</v>
      </c>
      <c r="C31" t="s">
        <v>22</v>
      </c>
      <c r="D31" s="11">
        <v>200000</v>
      </c>
      <c r="E31" s="11">
        <v>0</v>
      </c>
      <c r="F31" s="12">
        <v>-3</v>
      </c>
      <c r="G31" s="12">
        <v>134</v>
      </c>
      <c r="H31" t="s">
        <v>25</v>
      </c>
    </row>
    <row r="32" spans="1:8">
      <c r="A32" t="s">
        <v>61</v>
      </c>
      <c r="B32" s="10">
        <v>46290.578909953707</v>
      </c>
      <c r="C32" t="s">
        <v>22</v>
      </c>
      <c r="D32" s="11">
        <v>205000</v>
      </c>
      <c r="E32" s="11">
        <v>0</v>
      </c>
      <c r="F32" s="12">
        <v>-5</v>
      </c>
      <c r="G32" s="12">
        <v>137</v>
      </c>
      <c r="H32" t="s">
        <v>33</v>
      </c>
    </row>
    <row r="33" spans="1:8">
      <c r="A33" t="s">
        <v>62</v>
      </c>
      <c r="B33" s="10">
        <v>46290.571166747686</v>
      </c>
      <c r="C33" t="s">
        <v>22</v>
      </c>
      <c r="D33" s="11">
        <v>200000</v>
      </c>
      <c r="E33" s="11">
        <v>0</v>
      </c>
      <c r="F33" s="12">
        <v>-3</v>
      </c>
      <c r="G33" s="12">
        <v>142</v>
      </c>
      <c r="H33" t="s">
        <v>25</v>
      </c>
    </row>
    <row r="34" spans="1:8">
      <c r="A34" t="s">
        <v>63</v>
      </c>
      <c r="B34" s="10">
        <v>46289.599543402779</v>
      </c>
      <c r="C34" t="s">
        <v>22</v>
      </c>
      <c r="D34" s="11">
        <v>205000</v>
      </c>
      <c r="E34" s="11">
        <v>0</v>
      </c>
      <c r="F34" s="12">
        <v>-30</v>
      </c>
      <c r="G34" s="12">
        <v>145</v>
      </c>
      <c r="H34" t="s">
        <v>42</v>
      </c>
    </row>
    <row r="35" spans="1:8">
      <c r="A35" t="s">
        <v>64</v>
      </c>
      <c r="B35" s="10">
        <v>46289.586681168985</v>
      </c>
      <c r="C35" t="s">
        <v>22</v>
      </c>
      <c r="D35" s="11">
        <v>205000</v>
      </c>
      <c r="E35" s="11">
        <v>0</v>
      </c>
      <c r="F35" s="12">
        <v>-4</v>
      </c>
      <c r="G35" s="12">
        <v>175</v>
      </c>
      <c r="H35" t="s">
        <v>65</v>
      </c>
    </row>
    <row r="36" spans="1:8">
      <c r="A36" t="s">
        <v>66</v>
      </c>
      <c r="B36" s="10">
        <v>46289.581212303237</v>
      </c>
      <c r="C36" t="s">
        <v>22</v>
      </c>
      <c r="D36" s="11">
        <v>200000</v>
      </c>
      <c r="E36" s="11">
        <v>0</v>
      </c>
      <c r="F36" s="12">
        <v>-3</v>
      </c>
      <c r="G36" s="12">
        <v>179</v>
      </c>
      <c r="H36" t="s">
        <v>25</v>
      </c>
    </row>
    <row r="37" spans="1:8">
      <c r="A37" t="s">
        <v>67</v>
      </c>
      <c r="B37" s="10">
        <v>46289.406738576392</v>
      </c>
      <c r="C37" t="s">
        <v>22</v>
      </c>
      <c r="D37" s="11">
        <v>205000</v>
      </c>
      <c r="E37" s="11">
        <v>0</v>
      </c>
      <c r="F37" s="12">
        <v>-1</v>
      </c>
      <c r="G37" s="12">
        <v>182</v>
      </c>
      <c r="H37" t="s">
        <v>40</v>
      </c>
    </row>
    <row r="38" spans="1:8">
      <c r="A38" t="s">
        <v>68</v>
      </c>
      <c r="B38" s="10">
        <v>46289.388115011578</v>
      </c>
      <c r="C38" t="s">
        <v>22</v>
      </c>
      <c r="D38" s="11">
        <v>205000</v>
      </c>
      <c r="E38" s="11">
        <v>0</v>
      </c>
      <c r="F38" s="12">
        <v>-4</v>
      </c>
      <c r="G38" s="12">
        <v>183</v>
      </c>
      <c r="H38" t="s">
        <v>69</v>
      </c>
    </row>
    <row r="39" spans="1:8">
      <c r="A39" t="s">
        <v>70</v>
      </c>
      <c r="B39" s="10">
        <v>46288.600610729169</v>
      </c>
      <c r="C39" t="s">
        <v>22</v>
      </c>
      <c r="D39" s="11">
        <v>205000</v>
      </c>
      <c r="E39" s="11">
        <v>0</v>
      </c>
      <c r="F39" s="12">
        <v>-1</v>
      </c>
      <c r="G39" s="12">
        <v>187</v>
      </c>
      <c r="H39" t="s">
        <v>71</v>
      </c>
    </row>
    <row r="40" spans="1:8">
      <c r="A40" t="s">
        <v>72</v>
      </c>
      <c r="B40" s="10">
        <v>46288.58960821759</v>
      </c>
      <c r="C40" t="s">
        <v>22</v>
      </c>
      <c r="D40" s="11">
        <v>205000</v>
      </c>
      <c r="E40" s="11">
        <v>0</v>
      </c>
      <c r="F40" s="12">
        <v>-20</v>
      </c>
      <c r="G40" s="12">
        <v>188</v>
      </c>
      <c r="H40" t="s">
        <v>29</v>
      </c>
    </row>
    <row r="41" spans="1:8">
      <c r="A41" t="s">
        <v>73</v>
      </c>
      <c r="B41" s="10">
        <v>46288.589477280089</v>
      </c>
      <c r="C41" t="s">
        <v>22</v>
      </c>
      <c r="D41" s="11">
        <v>205000</v>
      </c>
      <c r="E41" s="11">
        <v>0</v>
      </c>
      <c r="F41" s="12">
        <v>-3</v>
      </c>
      <c r="G41" s="12">
        <v>208</v>
      </c>
      <c r="H41" t="s">
        <v>50</v>
      </c>
    </row>
    <row r="42" spans="1:8">
      <c r="A42" t="s">
        <v>74</v>
      </c>
      <c r="B42" s="10">
        <v>46288.437585034721</v>
      </c>
      <c r="C42" t="s">
        <v>22</v>
      </c>
      <c r="D42" s="11">
        <v>205000</v>
      </c>
      <c r="E42" s="11">
        <v>0</v>
      </c>
      <c r="F42" s="12">
        <v>-20</v>
      </c>
      <c r="G42" s="12">
        <v>211</v>
      </c>
      <c r="H42" t="s">
        <v>47</v>
      </c>
    </row>
    <row r="43" spans="1:8">
      <c r="A43" t="s">
        <v>75</v>
      </c>
      <c r="B43" s="10">
        <v>46288.433348113424</v>
      </c>
      <c r="C43" t="s">
        <v>22</v>
      </c>
      <c r="D43" s="11">
        <v>200000</v>
      </c>
      <c r="E43" s="11">
        <v>0</v>
      </c>
      <c r="F43" s="12">
        <v>-4</v>
      </c>
      <c r="G43" s="12">
        <v>231</v>
      </c>
      <c r="H43" t="s">
        <v>25</v>
      </c>
    </row>
    <row r="44" spans="1:8">
      <c r="A44" t="s">
        <v>76</v>
      </c>
      <c r="B44" s="10">
        <v>46287.579120451388</v>
      </c>
      <c r="C44" t="s">
        <v>22</v>
      </c>
      <c r="D44" s="11">
        <v>205000</v>
      </c>
      <c r="E44" s="11">
        <v>0</v>
      </c>
      <c r="F44" s="12">
        <v>-5</v>
      </c>
      <c r="G44" s="12">
        <v>235</v>
      </c>
      <c r="H44" t="s">
        <v>29</v>
      </c>
    </row>
    <row r="45" spans="1:8">
      <c r="A45" t="s">
        <v>77</v>
      </c>
      <c r="B45" s="10">
        <v>46287.575770057869</v>
      </c>
      <c r="C45" t="s">
        <v>22</v>
      </c>
      <c r="D45" s="11">
        <v>200000</v>
      </c>
      <c r="E45" s="11">
        <v>0</v>
      </c>
      <c r="F45" s="12">
        <v>-2</v>
      </c>
      <c r="G45" s="12">
        <v>240</v>
      </c>
      <c r="H45" t="s">
        <v>25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9" sqref="A9"/>
    </sheetView>
  </sheetViews>
  <sheetFormatPr defaultRowHeight="15"/>
  <cols>
    <col min="1" max="1" width="105" customWidth="1"/>
  </cols>
  <sheetData>
    <row r="1" spans="1:1" ht="27.95" customHeight="1">
      <c r="A1" s="5" t="s">
        <v>78</v>
      </c>
    </row>
    <row r="2" spans="1:1">
      <c r="A2" s="6" t="s">
        <v>79</v>
      </c>
    </row>
    <row r="3" spans="1:1">
      <c r="A3" s="6" t="s">
        <v>80</v>
      </c>
    </row>
    <row r="4" spans="1:1">
      <c r="A4" s="6" t="s">
        <v>81</v>
      </c>
    </row>
    <row r="5" spans="1:1" ht="30">
      <c r="A5" s="6" t="s">
        <v>82</v>
      </c>
    </row>
    <row r="6" spans="1:1">
      <c r="A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TONG_HOP_NGAY</vt:lpstr>
      <vt:lpstr>GIAO_DICH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Anh Khoa</cp:lastModifiedBy>
  <dcterms:modified xsi:type="dcterms:W3CDTF">2026-10-04T06:38:34Z</dcterms:modified>
</cp:coreProperties>
</file>