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ÁNG 12" sheetId="1" r:id="rId4"/>
    <sheet state="hidden" name="THÁNG 1" sheetId="2" r:id="rId5"/>
    <sheet state="hidden" name="THÁNG 2" sheetId="3" r:id="rId6"/>
    <sheet state="hidden" name="THÁNG 3" sheetId="4" r:id="rId7"/>
    <sheet state="hidden" name="THÁNG 4" sheetId="5" r:id="rId8"/>
    <sheet state="hidden" name="THÁNG 5" sheetId="6" r:id="rId9"/>
    <sheet state="hidden" name="THÁNG 7" sheetId="7" r:id="rId10"/>
    <sheet state="hidden" name="THÁNG 8" sheetId="8" r:id="rId11"/>
    <sheet state="hidden" name="THÁNG 9" sheetId="9" r:id="rId12"/>
    <sheet state="hidden" name="THANG 10" sheetId="10" r:id="rId13"/>
    <sheet state="hidden" name="THÁNG 11" sheetId="11" r:id="rId14"/>
    <sheet state="visible" name="TRINH" sheetId="12" r:id="rId15"/>
    <sheet state="visible" name="CHUYẾN XE" sheetId="13" r:id="rId16"/>
    <sheet state="visible" name="THÁNG 1 -2026" sheetId="14" r:id="rId17"/>
    <sheet state="visible" name="THÁNG 2 (PHƯỢNG)" sheetId="15" r:id="rId18"/>
    <sheet state="visible" name="Ngọc Sang" sheetId="16" r:id="rId19"/>
    <sheet state="visible" name="THÁNG 6 -2026 (HÍ NÈ)" sheetId="17" r:id="rId20"/>
    <sheet state="hidden" name="DANH SÁCH CHI NHÁNH MƯỢN TỦ MÁT" sheetId="18" r:id="rId21"/>
  </sheets>
  <definedNames>
    <definedName hidden="1" localSheetId="2" name="_xlnm._FilterDatabase">'THÁNG 2'!$A$3:$X$648</definedName>
    <definedName hidden="1" localSheetId="3" name="_xlnm._FilterDatabase">'THÁNG 3'!$A$3:$X$708</definedName>
    <definedName hidden="1" localSheetId="16" name="_xlnm._FilterDatabase">'THÁNG 6 -2026 (HÍ NÈ)'!$A$3:$D$124</definedName>
  </definedNames>
  <calcPr/>
  <extLst>
    <ext uri="GoogleSheetsCustomDataVersion2">
      <go:sheetsCustomData xmlns:go="http://customooxmlschemas.google.com/" r:id="rId22" roundtripDataChecksum="8INt2gquw+2AGO8263amKkzeLEwlW288ZtvbdbT1uk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7">
      <text>
        <t xml:space="preserve">cẩm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7">
      <text>
        <t xml:space="preserve">cẩm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4">
      <text>
        <t xml:space="preserve">cẩm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4">
      <text>
        <t xml:space="preserve">cẩm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7">
      <text>
        <t xml:space="preserve">cẩm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3">
      <text>
        <t xml:space="preserve">cẩm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9">
      <text>
        <t xml:space="preserve">cẩm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3">
      <text>
        <t xml:space="preserve">cẩm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8">
      <text>
        <t xml:space="preserve">cẩm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12">
      <text>
        <t xml:space="preserve">cẩm
======</t>
      </text>
    </comment>
    <comment authorId="0" ref="C278">
      <text>
        <t xml:space="preserve">LỆCH GIÁ BÒ ÚC HÓA ĐƠN NGÀY 24/12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cẩm
======</t>
      </text>
    </comment>
  </commentList>
</comments>
</file>

<file path=xl/sharedStrings.xml><?xml version="1.0" encoding="utf-8"?>
<sst xmlns="http://schemas.openxmlformats.org/spreadsheetml/2006/main" count="12478" uniqueCount="1375">
  <si>
    <t>BẢNG CÔNG NỢ THÁNG 10</t>
  </si>
  <si>
    <t>CHI NHÁNH</t>
  </si>
  <si>
    <t>SỐ TIỀN</t>
  </si>
  <si>
    <t>ĐÃ CK/NGÀY</t>
  </si>
  <si>
    <t>CÔNG NỢ THÁNG</t>
  </si>
  <si>
    <t>BẾN TRE</t>
  </si>
  <si>
    <t>TUẦN 1/12</t>
  </si>
  <si>
    <t>R</t>
  </si>
  <si>
    <t>TUẦN 2/12</t>
  </si>
  <si>
    <t>TUẦN 3/12</t>
  </si>
  <si>
    <t>TUẦN 4/12</t>
  </si>
  <si>
    <t>CÁI BÈ</t>
  </si>
  <si>
    <t>Tháng 11</t>
  </si>
  <si>
    <t>Tuần 1/12</t>
  </si>
  <si>
    <t xml:space="preserve">Tuần 2/12 </t>
  </si>
  <si>
    <t xml:space="preserve">Tuần 3/12 </t>
  </si>
  <si>
    <t>CAI LẬY</t>
  </si>
  <si>
    <t>Tuần 3/12</t>
  </si>
  <si>
    <t>TÂN AN</t>
  </si>
  <si>
    <t>THỦ ĐỨC</t>
  </si>
  <si>
    <t>THANH BÌNH</t>
  </si>
  <si>
    <t xml:space="preserve">CÒN N31/12 </t>
  </si>
  <si>
    <t>TÂN BÌNH</t>
  </si>
  <si>
    <t>AN LONG</t>
  </si>
  <si>
    <t>Tuần 2/12</t>
  </si>
  <si>
    <t>BÚN ĐẬU</t>
  </si>
  <si>
    <t>HỒNG NGỰ</t>
  </si>
  <si>
    <t xml:space="preserve">Tuần 1/12 </t>
  </si>
  <si>
    <t xml:space="preserve">CÒN DUY NHẤT N30/12 </t>
  </si>
  <si>
    <t>TÂN HỒNG</t>
  </si>
  <si>
    <t>TAM NÔNG</t>
  </si>
  <si>
    <t>LONG MỸ</t>
  </si>
  <si>
    <t>NGÃ 5 - SÓC TRĂNG</t>
  </si>
  <si>
    <t>SA ĐÉC</t>
  </si>
  <si>
    <t>TUẦN SAU TÍNH 50 TH MÌ 32TR500</t>
  </si>
  <si>
    <t>CÁI TÀU HẠ</t>
  </si>
  <si>
    <t xml:space="preserve"> HÒA PHÚ-VĨNH LONG</t>
  </si>
  <si>
    <t>THỐT NỐT</t>
  </si>
  <si>
    <t>Tháng 10</t>
  </si>
  <si>
    <t>LAI VUNG</t>
  </si>
  <si>
    <t>LẤP VÒ</t>
  </si>
  <si>
    <t>ĐẠI HỌC</t>
  </si>
  <si>
    <t>KIẾN TƯỜNG</t>
  </si>
  <si>
    <t>PHÚ TÂN</t>
  </si>
  <si>
    <t>CHỢ MỚI</t>
  </si>
  <si>
    <t>MỸ LUÔNG</t>
  </si>
  <si>
    <t>LONG XUYÊN</t>
  </si>
  <si>
    <t>NGÃ 7</t>
  </si>
  <si>
    <t xml:space="preserve">Tháng 10 </t>
  </si>
  <si>
    <t>DH N25/11</t>
  </si>
  <si>
    <t xml:space="preserve"> </t>
  </si>
  <si>
    <t>Tuần 1</t>
  </si>
  <si>
    <t>DH N3/12</t>
  </si>
  <si>
    <t>Tuần 2</t>
  </si>
  <si>
    <t>DH N23/12</t>
  </si>
  <si>
    <t>Tuần 3</t>
  </si>
  <si>
    <t>CHÂU ĐỐC</t>
  </si>
  <si>
    <t>Tuần 4</t>
  </si>
  <si>
    <t>GÒ DẦU</t>
  </si>
  <si>
    <t xml:space="preserve">Tháng 11 </t>
  </si>
  <si>
    <t>GÒ CÔNG</t>
  </si>
  <si>
    <t>NGÃI GIAO</t>
  </si>
  <si>
    <t>TH</t>
  </si>
  <si>
    <t>CÀ MAU</t>
  </si>
  <si>
    <t>RẠCH GIÁ</t>
  </si>
  <si>
    <t>HAKIMI VL</t>
  </si>
  <si>
    <t>tuan 2/12</t>
  </si>
  <si>
    <t>Tuần 4/12</t>
  </si>
  <si>
    <t>CỜ ĐỎ</t>
  </si>
  <si>
    <t>TỔNG</t>
  </si>
  <si>
    <t>HAKIMI THỦ DẦU 1</t>
  </si>
  <si>
    <t>THÁNG 4</t>
  </si>
  <si>
    <t>THÁNG 5</t>
  </si>
  <si>
    <t>THÁNG 6</t>
  </si>
  <si>
    <t>THÁNG 7</t>
  </si>
  <si>
    <t>TRÀ ÔN</t>
  </si>
  <si>
    <t>THÁNG 8</t>
  </si>
  <si>
    <t>Tuần 3/9</t>
  </si>
  <si>
    <t xml:space="preserve">TỔNG </t>
  </si>
  <si>
    <t>MỸ THO</t>
  </si>
  <si>
    <t>VỊ THANH</t>
  </si>
  <si>
    <t>THÁNG 11</t>
  </si>
  <si>
    <t>HKM SÓC TRĂNG'</t>
  </si>
  <si>
    <t>Tháng 07</t>
  </si>
  <si>
    <t>Tháng 08</t>
  </si>
  <si>
    <t>Tháng 09</t>
  </si>
  <si>
    <t>BA TRI</t>
  </si>
  <si>
    <t>HAKIMI CAO LÃNH</t>
  </si>
  <si>
    <t>TUẦN 1</t>
  </si>
  <si>
    <t>TUẦN 3</t>
  </si>
  <si>
    <t>BÌNH ĐẠI</t>
  </si>
  <si>
    <t>YAGAMI KIÊN LƯƠNG</t>
  </si>
  <si>
    <t>THÁNG 10</t>
  </si>
  <si>
    <t>BÀ RỊA</t>
  </si>
  <si>
    <t>ĐH 26/11</t>
  </si>
  <si>
    <t>TUẦN 1 THÁNG 12</t>
  </si>
  <si>
    <t>MỎ CÀY NAM</t>
  </si>
  <si>
    <t>tuan  3/12</t>
  </si>
  <si>
    <t>tuan 4/12</t>
  </si>
  <si>
    <t>TỔNG CỘNG</t>
  </si>
  <si>
    <t>KHO TRÀ VINH</t>
  </si>
  <si>
    <t>AN BIÊN</t>
  </si>
  <si>
    <t>ĐH 20/12</t>
  </si>
  <si>
    <t>ĐH 22/12</t>
  </si>
  <si>
    <t>ĐH 26/12</t>
  </si>
  <si>
    <t>Tuần 3/11</t>
  </si>
  <si>
    <t>Tuần 4/11</t>
  </si>
  <si>
    <t>THỚI LAI</t>
  </si>
  <si>
    <t>TRI TÔN</t>
  </si>
  <si>
    <t>TÂY NINH</t>
  </si>
  <si>
    <t>TP.TÂY NINH</t>
  </si>
  <si>
    <t>24 hủ sốt hải sản</t>
  </si>
  <si>
    <t>GÒ ĐEN</t>
  </si>
  <si>
    <t>6 bộ bàn</t>
  </si>
  <si>
    <t>Tổng cộng</t>
  </si>
  <si>
    <t>VĨNH CHÂU</t>
  </si>
  <si>
    <t>PHƯỚC LONG</t>
  </si>
  <si>
    <t>NĂM CĂN</t>
  </si>
  <si>
    <t>CÁI TẮC</t>
  </si>
  <si>
    <t>THOẠI SƠN</t>
  </si>
  <si>
    <t>GIÁ RAI</t>
  </si>
  <si>
    <t>NHÀ BÀNG</t>
  </si>
  <si>
    <t>THÁP MƯỜI</t>
  </si>
  <si>
    <t>HÒN ĐẤT</t>
  </si>
  <si>
    <t>SÔNG ĐỐC</t>
  </si>
  <si>
    <t xml:space="preserve">BẢNG </t>
  </si>
  <si>
    <t>TIỂU CẦN</t>
  </si>
  <si>
    <t>TÂN CHÂU</t>
  </si>
  <si>
    <t>GÀNH HÀO</t>
  </si>
  <si>
    <t>HÒA BÌNH</t>
  </si>
  <si>
    <t>TÂN HIỆP</t>
  </si>
  <si>
    <t>AN CHÂU</t>
  </si>
  <si>
    <t xml:space="preserve">R </t>
  </si>
  <si>
    <t>ĐH TUẦN 1 THÁNG 12</t>
  </si>
  <si>
    <t>ĐH TUẦN 2 THÁNG 12</t>
  </si>
  <si>
    <t>ĐH TUẦN 3 THÁNG 12</t>
  </si>
  <si>
    <t>TRẢNG BÀNG</t>
  </si>
  <si>
    <t>ĐH TUẦN 4 THÁNG 12</t>
  </si>
  <si>
    <t>NÀNG MAU</t>
  </si>
  <si>
    <t>CHỢ GẠO</t>
  </si>
  <si>
    <t>ĐẦM DƠI</t>
  </si>
  <si>
    <t>PHÚ HÒA</t>
  </si>
  <si>
    <t>TP.SÓC TRĂNG</t>
  </si>
  <si>
    <t>TRẦN ĐỀ</t>
  </si>
  <si>
    <t>XUYÊN MỘC</t>
  </si>
  <si>
    <t>PHONG ĐIỀN</t>
  </si>
  <si>
    <t>ĐỨC HÒA</t>
  </si>
  <si>
    <t xml:space="preserve">ĐỨC HÒA </t>
  </si>
  <si>
    <t>PHÚ QUỐC</t>
  </si>
  <si>
    <t>TÂN HƯNG</t>
  </si>
  <si>
    <t>AN PHÚ</t>
  </si>
  <si>
    <t>ĐƠN KHAI TRƯƠNG</t>
  </si>
  <si>
    <t>TỔNG CÔNG NỢ</t>
  </si>
  <si>
    <t>TP. VĨNH LONG</t>
  </si>
  <si>
    <t>CẦN ĐƯỚC</t>
  </si>
  <si>
    <t>PHÚ MỸ</t>
  </si>
  <si>
    <t>CHÂU PHÚ</t>
  </si>
  <si>
    <t>ĐƠN KHAI TRƯƠNG
 CHÂU PHÚ</t>
  </si>
  <si>
    <t>QUỐC THÁI</t>
  </si>
  <si>
    <t>LAGI</t>
  </si>
  <si>
    <t>QUẬN 12</t>
  </si>
  <si>
    <t>ĐƠN HÀNG KHAI TRƯƠNG</t>
  </si>
  <si>
    <t>ĐH 1-15/10</t>
  </si>
  <si>
    <t>ĐH 16-31/10</t>
  </si>
  <si>
    <t>ĐH THÁNG 11</t>
  </si>
  <si>
    <t>ĐH 22,29/11</t>
  </si>
  <si>
    <t>TT 12/11</t>
  </si>
  <si>
    <t>VĨNH HƯNG</t>
  </si>
  <si>
    <t>TRẢ ĐƠN ĐỒ BẾP</t>
  </si>
  <si>
    <t>ĐƠN KHAI TRƯƠNG
 LONG HẢI</t>
  </si>
  <si>
    <t>ĐƠN MÁY LẠNH</t>
  </si>
  <si>
    <t>HÀNG TRẢ</t>
  </si>
  <si>
    <t>LONG HẢI</t>
  </si>
  <si>
    <t xml:space="preserve">   - 2 Thùng vuông 220L DT</t>
  </si>
  <si>
    <t xml:space="preserve">   - 100 ly 26 nâu</t>
  </si>
  <si>
    <t>ĐH 31/12</t>
  </si>
  <si>
    <t xml:space="preserve">   - 2 kệ 2 tầng</t>
  </si>
  <si>
    <t xml:space="preserve">   - 100 dĩa 9 cạn</t>
  </si>
  <si>
    <t>BÌNH MINH</t>
  </si>
  <si>
    <t xml:space="preserve">   -5B tương miso</t>
  </si>
  <si>
    <t xml:space="preserve">   - 2 thùng giấy in bill</t>
  </si>
  <si>
    <t xml:space="preserve">   - 10b súp miso</t>
  </si>
  <si>
    <t>THẠNH PHÚ</t>
  </si>
  <si>
    <t>ĐƠN KHAI TRƯƠNG
 BÌNH MINH</t>
  </si>
  <si>
    <t>GÒ QUAO</t>
  </si>
  <si>
    <t>ĐƠN KHAI TRƯƠNG
 GÒ QUAO</t>
  </si>
  <si>
    <t>Trừ 18 chân bàn đơn inox</t>
  </si>
  <si>
    <t>Trả 1 mặt bàn đơn</t>
  </si>
  <si>
    <t>LONG THÀNH</t>
  </si>
  <si>
    <t>ĐƠN HÀNG HÒA THÀNH</t>
  </si>
  <si>
    <t>HÒA THÀNH</t>
  </si>
  <si>
    <t>ĐƠN HÀNG CỦ CHI</t>
  </si>
  <si>
    <t>CỦ CHI</t>
  </si>
  <si>
    <t>ĐH MÌ 15/12</t>
  </si>
  <si>
    <t>TRỪ LẠI:
tiền lãng hoa 4.800k
Tiền lộp tôn 3.572k
Thùng giấy mì 150k
10 đế pizza lớn 1.350k
60 cành đào 1.500k
4 ghế 2.800k</t>
  </si>
  <si>
    <t>đh 15/12</t>
  </si>
  <si>
    <t>THỐNG NHẤT</t>
  </si>
  <si>
    <t>ĐƠN KHAI TRƯƠNG
 THỐNG NHẤT</t>
  </si>
  <si>
    <t>THANH TOÁN ĐH 28/11</t>
  </si>
  <si>
    <t>PHÍ DỊCH VỤ THÁNG 11</t>
  </si>
  <si>
    <t>TP.VŨNG TÀU</t>
  </si>
  <si>
    <t>ĐƠN HÀNG VŨNG TÀU</t>
  </si>
  <si>
    <t>PHAN THIẾT</t>
  </si>
  <si>
    <t>TRỪ: lãng hoa, quảng cáo, ks hổ trợ, múa lân</t>
  </si>
  <si>
    <t>ĐƠN HÀNG BÌNH TÂN</t>
  </si>
  <si>
    <t>BÌNH TÂN</t>
  </si>
  <si>
    <t>TRỪ: 6 Thơm sun up 720k, 100k tiền lỗi, thùng giấy 223k</t>
  </si>
  <si>
    <t>CHÂU THÀNH</t>
  </si>
  <si>
    <t>ĐƠN HÀNG KHAI TRƯƠNG
 CHÂU THÀNH</t>
  </si>
  <si>
    <t>MƯỢN NHÂN VIÊN HỔ TRỢ BÊN GIÁ RAI</t>
  </si>
  <si>
    <t>TRỪ: 1 bịch ly 200k, 1 lồng đèn trắng 650k,
 36 nệm ngồi bệt 4.680k</t>
  </si>
  <si>
    <t>HẬU NGHĨA</t>
  </si>
  <si>
    <t>ĐƠN HÀNG KHAI TRƯƠNG
 HẬU NGHĨA</t>
  </si>
  <si>
    <t>TRỪ TIỀN LÃNG HOA</t>
  </si>
  <si>
    <t>TRỪ: thố giấy Yagami 1.650k
 (+ 2 xấp thấm dầu 100k)</t>
  </si>
  <si>
    <t>AN PHONG</t>
  </si>
  <si>
    <t>RẠCH SỎI</t>
  </si>
  <si>
    <t>BẢNG CÔNG NỢ THÁNG 1</t>
  </si>
  <si>
    <t>THÁNG 1 Tuần 1</t>
  </si>
  <si>
    <t>TUẦN 2</t>
  </si>
  <si>
    <t>TUẦN 4</t>
  </si>
  <si>
    <t>Khô- Tết</t>
  </si>
  <si>
    <t>THÁNG 1</t>
  </si>
  <si>
    <t>r</t>
  </si>
  <si>
    <t>ĐH TẾT</t>
  </si>
  <si>
    <t>ĐƠN HÀNG TẾT</t>
  </si>
  <si>
    <t>DH N13/01</t>
  </si>
  <si>
    <t>DH N23/01</t>
  </si>
  <si>
    <t>THÁNG 12</t>
  </si>
  <si>
    <t>ĐH 10/1</t>
  </si>
  <si>
    <t>ĐƠN HÀNG TẾT(MÌ)</t>
  </si>
  <si>
    <t>ĐH TUẦN 1 T2</t>
  </si>
  <si>
    <t>THANH TOÁN 4/2</t>
  </si>
  <si>
    <t>CÒN LẠI</t>
  </si>
  <si>
    <t>Tháng 12</t>
  </si>
  <si>
    <t>THANH TOÁN 12/2</t>
  </si>
  <si>
    <t>tuần 4/12</t>
  </si>
  <si>
    <t>THANH TOÁN 8/2</t>
  </si>
  <si>
    <t>ĐỒ KHÔ TẾT</t>
  </si>
  <si>
    <t>ĐỒ ĐÔNG TẾT</t>
  </si>
  <si>
    <t>TRÀ VINH</t>
  </si>
  <si>
    <t>ĐH 27/1</t>
  </si>
  <si>
    <t>NỘI THẤT</t>
  </si>
  <si>
    <t>ĐH 31/1</t>
  </si>
  <si>
    <t xml:space="preserve">ĐỒ KHÔ TẾT </t>
  </si>
  <si>
    <t>Tuần 1/1</t>
  </si>
  <si>
    <t>Tuần 2/1</t>
  </si>
  <si>
    <t xml:space="preserve">Tuần 3/1 </t>
  </si>
  <si>
    <t>Tuần 4/1</t>
  </si>
  <si>
    <t>ĐH 29/1</t>
  </si>
  <si>
    <t xml:space="preserve">Tuần 2/1 </t>
  </si>
  <si>
    <t>Tuần 3/1</t>
  </si>
  <si>
    <t>ĐH 3/2</t>
  </si>
  <si>
    <t>SÓC TRĂNG</t>
  </si>
  <si>
    <t>ĐỒ TẾT</t>
  </si>
  <si>
    <t>đh 29/1</t>
  </si>
  <si>
    <t>đh 31/1</t>
  </si>
  <si>
    <t>ĐƠN HÀNG ĐÔNG TẾT</t>
  </si>
  <si>
    <t>Tiền lương nv hổ trợ</t>
  </si>
  <si>
    <t>Tuần 1( 31/12)</t>
  </si>
  <si>
    <t>LONG  HẢI ĐÃ TT ĐƠN KHAI TRƯƠNG</t>
  </si>
  <si>
    <t>BÌNH MINH ĐÃ TT ĐƠN KHAI TRƯƠNG</t>
  </si>
  <si>
    <t>ĐƠN KHAI TRƯƠNG
 THẠNH PHÚ</t>
  </si>
  <si>
    <t>TUẦN 1 THÁNG 1</t>
  </si>
  <si>
    <t>THANH TOÁN 10/1</t>
  </si>
  <si>
    <t>TUẦN 2 THÁNG 1</t>
  </si>
  <si>
    <t>Tuần 3 T1</t>
  </si>
  <si>
    <t xml:space="preserve"> Tuần 4 T1</t>
  </si>
  <si>
    <t>THANH TOÁN 23/11</t>
  </si>
  <si>
    <t>THANH TOÁN 25/12</t>
  </si>
  <si>
    <t>ĐH KHAI TRƯƠNG</t>
  </si>
  <si>
    <t>ĐƠN KHAI TRƯƠNG
 HÒA THÀNH</t>
  </si>
  <si>
    <t xml:space="preserve">Tuần 1 </t>
  </si>
  <si>
    <t>ĐƠN KHAI TRƯƠNG
 CỦ CHI</t>
  </si>
  <si>
    <t>ĐƠN HÀNG KHÔ TẾT</t>
  </si>
  <si>
    <t>TRỪ:
50KG CÁ VIÊN 2TR7
12KG KIMCHI 660K</t>
  </si>
  <si>
    <t>VŨNG TÀU</t>
  </si>
  <si>
    <t>ĐƠN KHAI TRƯƠNG
 VŨNG TÀU</t>
  </si>
  <si>
    <t>ĐH TUẦN 1 T1</t>
  </si>
  <si>
    <t>TRỪ: lãng hoa, múa lân, quảng cáo
ks cho nv hổ trợ</t>
  </si>
  <si>
    <t>TÂN CHÂU - AG</t>
  </si>
  <si>
    <t>ĐƠN KHAI TRƯƠNG
 TÂN CHÂU - AG</t>
  </si>
  <si>
    <t>Tiền xe</t>
  </si>
  <si>
    <t>Chi phí chạy quảng cáo</t>
  </si>
  <si>
    <t>TRỪ:
- 60TH GIẤY: 180K
- 15.5KG THỊT ĐÒN 1.705K
- 2.8KG CỐM: 378K
- 4KG NEM: 620K</t>
  </si>
  <si>
    <t>Trừ lại:
10b Súp mì nhỏ 1tr9, 
3h hộp gỗ đũa muỗng 570k
21th giấy 63k</t>
  </si>
  <si>
    <t>ĐƠN HÀNG KHÔ TẾT (11/1)</t>
  </si>
  <si>
    <t>THANH TOÁN 25/1</t>
  </si>
  <si>
    <t>Tuần 4 T12</t>
  </si>
  <si>
    <t>BÌNH TÂN ĐÃ TT ĐƠN KHAI TRƯƠNG</t>
  </si>
  <si>
    <t>CHƠN THÀNH</t>
  </si>
  <si>
    <t>10B SÚP LẨU CHAY
10B MÌ CHAY
150C DĨA LÓT</t>
  </si>
  <si>
    <t>GIỒNG RIỀNG</t>
  </si>
  <si>
    <t>PHAN RANG</t>
  </si>
  <si>
    <t>TRỪ 1 BẾP 8</t>
  </si>
  <si>
    <t>TIỀN LƯƠNG NV HỔ TRỢ</t>
  </si>
  <si>
    <t>TAM BÌNH</t>
  </si>
  <si>
    <t>CHÂU THÀNH ĐÃ THANH TOÁN ĐƠN KHAI TRƯƠNG</t>
  </si>
  <si>
    <t>THANH TOÁN NGÀY 2/1</t>
  </si>
  <si>
    <t xml:space="preserve">Tuần 4  </t>
  </si>
  <si>
    <t>Tiền lương hỗ trợ nhân viên</t>
  </si>
  <si>
    <t>Trừ 68th giấy, 6th sốp</t>
  </si>
  <si>
    <t>CÁI NƯỚC</t>
  </si>
  <si>
    <t>ĐƠN HÀNG KHAI TRƯƠNG
CÁI NƯỚC</t>
  </si>
  <si>
    <t>Trả hàng 26/1</t>
  </si>
  <si>
    <t>ĐƠN HÀNG KHAI TRƯƠNG
 AN PHONG</t>
  </si>
  <si>
    <t>THANH TOÁN 7/1</t>
  </si>
  <si>
    <t>ĐH 30/1</t>
  </si>
  <si>
    <t>RS ĐÃ TT ĐƠN KHAI TRƯƠNG</t>
  </si>
  <si>
    <t>Trừ 2th redbull hết hạn</t>
  </si>
  <si>
    <t>Tuần 1 T2</t>
  </si>
  <si>
    <t>BẢNG CÔNG NỢ THÁNG 2</t>
  </si>
  <si>
    <t>Tuần 3/2</t>
  </si>
  <si>
    <t>Tuần 4/2</t>
  </si>
  <si>
    <t>Tuần 2/2</t>
  </si>
  <si>
    <t>Tuần 1/2</t>
  </si>
  <si>
    <t>DH N1/2 -9/2</t>
  </si>
  <si>
    <t>DH N31/1-9/2</t>
  </si>
  <si>
    <t xml:space="preserve">Tuần 2/2 </t>
  </si>
  <si>
    <t xml:space="preserve">Tuần 1/2 </t>
  </si>
  <si>
    <t>DH T1/2 DẾN 3/2 (1/2-9/2)</t>
  </si>
  <si>
    <t xml:space="preserve">DH(2/2-9/2) N1/2 -9/2 </t>
  </si>
  <si>
    <t>DH N3/2 -4/2 (1/2 -9/2)</t>
  </si>
  <si>
    <t>TUẦN 4/1</t>
  </si>
  <si>
    <t>DH N1/2 - 5/2(12-9/2)</t>
  </si>
  <si>
    <t>DH N17/02</t>
  </si>
  <si>
    <t xml:space="preserve">DH N3/2 </t>
  </si>
  <si>
    <t>DH N2/2(T1/2-9/2)</t>
  </si>
  <si>
    <t>n 24/2-28/2</t>
  </si>
  <si>
    <t>còn lại</t>
  </si>
  <si>
    <t>n 24/2 -28/2</t>
  </si>
  <si>
    <t>BÙ 11C GHẾ</t>
  </si>
  <si>
    <t>,3tr menu</t>
  </si>
  <si>
    <t>ĐH 12/2</t>
  </si>
  <si>
    <t>ĐH 13/2</t>
  </si>
  <si>
    <t>ĐH 20/2</t>
  </si>
  <si>
    <t>ĐH 25/2</t>
  </si>
  <si>
    <t>ĐH 27/2</t>
  </si>
  <si>
    <t>1tr5 menu</t>
  </si>
  <si>
    <t>Thanh toán trả hàng</t>
  </si>
  <si>
    <t>ĐH 28/1</t>
  </si>
  <si>
    <t>Trừ 5 thùng xốp (5/3)</t>
  </si>
  <si>
    <t>trả mỗi tuần, k cần xuất công nợ</t>
  </si>
  <si>
    <t>500đ</t>
  </si>
  <si>
    <t xml:space="preserve">Tuần 3 </t>
  </si>
  <si>
    <t>Trừ thùng mút 5 (18/2), 20 (27/2)</t>
  </si>
  <si>
    <t xml:space="preserve">Trừ tiền hỗ trợ menu </t>
  </si>
  <si>
    <t>Thanh toán 22/2</t>
  </si>
  <si>
    <t>Trừ 93 thùng giấy 21/2</t>
  </si>
  <si>
    <t>Thanh toán 1/3</t>
  </si>
  <si>
    <t>hẹn 9/3</t>
  </si>
  <si>
    <t>Đơn cũ</t>
  </si>
  <si>
    <t>chưa trừ 10 chân bàn chữ C</t>
  </si>
  <si>
    <t>Trừ tiền băng rôn, quảng cáo</t>
  </si>
  <si>
    <t>Trừ 18 thùng giấy 19/2</t>
  </si>
  <si>
    <t>Trừ 14 thùng giấy 26/2</t>
  </si>
  <si>
    <t>Trừ 15 thùng giấy 5/3</t>
  </si>
  <si>
    <t>lệch 500đ</t>
  </si>
  <si>
    <t>THANH TOÁN 21/2</t>
  </si>
  <si>
    <t>Trừ 57 thùng giấy 19/2</t>
  </si>
  <si>
    <t>LỆCH 2K</t>
  </si>
  <si>
    <t>CUỐI THÁNG MỚI TRẢ</t>
  </si>
  <si>
    <t xml:space="preserve">Tuần 2 </t>
  </si>
  <si>
    <t xml:space="preserve"> Tuần 4 t1</t>
  </si>
  <si>
    <t>Trừ tiền 3th xốp</t>
  </si>
  <si>
    <t>Thanh toán 20/2</t>
  </si>
  <si>
    <t>th</t>
  </si>
  <si>
    <t>TÂN CHÂU AG</t>
  </si>
  <si>
    <t>nợ lại 4 cái chưa giao</t>
  </si>
  <si>
    <t>đặt thêm 4 cái</t>
  </si>
  <si>
    <t>(trừ 3 bịch súp lỗi)</t>
  </si>
  <si>
    <t>đổi thêm 13 cái</t>
  </si>
  <si>
    <t>Tuần 4 t1 còn lại</t>
  </si>
  <si>
    <t>ĐƠN KHAI TRƯƠNG
 PHAN THIẾT</t>
  </si>
  <si>
    <t xml:space="preserve">Trừ tiền 75th giấy </t>
  </si>
  <si>
    <t xml:space="preserve">Trừ 140h piza nhỏ </t>
  </si>
  <si>
    <t xml:space="preserve">Trừ 70h piza lớn </t>
  </si>
  <si>
    <t xml:space="preserve">Trừ tiền 30th giấy </t>
  </si>
  <si>
    <t>Trừ 10kg bò viên hđ ngày 24/2</t>
  </si>
  <si>
    <t xml:space="preserve">Trừ 16th xốp </t>
  </si>
  <si>
    <t>Trừ 35th giấy</t>
  </si>
  <si>
    <t>Trừ 5 ghế nệm gỗ</t>
  </si>
  <si>
    <t>Tuần 2( trừ 630 tt dư đơn tết)</t>
  </si>
  <si>
    <t>Tuần 4 T1( còn lại ngày 27,30)</t>
  </si>
  <si>
    <r>
      <rPr>
        <rFont val="Calibri"/>
        <color theme="1"/>
        <sz val="14.0"/>
      </rPr>
      <t>R</t>
    </r>
    <r>
      <rPr>
        <rFont val="Calibri"/>
        <color theme="1"/>
        <sz val="11.0"/>
      </rPr>
      <t xml:space="preserve"> </t>
    </r>
  </si>
  <si>
    <t>Tiền vận chuyển</t>
  </si>
  <si>
    <t>DO DO</t>
  </si>
  <si>
    <t>6/3 ĐX</t>
  </si>
  <si>
    <t>6/3 HCM</t>
  </si>
  <si>
    <t>SỐT LỖI</t>
  </si>
  <si>
    <t>HÀNG LỖI, ĐỔI</t>
  </si>
  <si>
    <t>8B</t>
  </si>
  <si>
    <t xml:space="preserve">BỂ </t>
  </si>
  <si>
    <t>R (CH NHẬN VỀ)</t>
  </si>
  <si>
    <t>6 BỊCH</t>
  </si>
  <si>
    <t>CHỦ NHẬT</t>
  </si>
  <si>
    <t>R(CH NHẬN VỀ)</t>
  </si>
  <si>
    <t xml:space="preserve">TRẦN ĐỀ </t>
  </si>
  <si>
    <t>4 BỊCH</t>
  </si>
  <si>
    <t>THỨ 2</t>
  </si>
  <si>
    <t>THỨ 5</t>
  </si>
  <si>
    <t>3bR(CH NHẬN VỀ)</t>
  </si>
  <si>
    <t xml:space="preserve">TÂN HƯNG </t>
  </si>
  <si>
    <t>THỨ 3</t>
  </si>
  <si>
    <t>BÒ MỸ MỠ</t>
  </si>
  <si>
    <t>0.5KG</t>
  </si>
  <si>
    <t>BẢNG CÔNG NỢ THÁNG 3</t>
  </si>
  <si>
    <t>Tuần 1/3</t>
  </si>
  <si>
    <t>Tuần 2/3</t>
  </si>
  <si>
    <t>Tuần 3/3</t>
  </si>
  <si>
    <t>Tuần 4/3</t>
  </si>
  <si>
    <t xml:space="preserve">CÒN NGÀY 31 </t>
  </si>
  <si>
    <t xml:space="preserve">CÒN DH N31/3 </t>
  </si>
  <si>
    <t>CÒN NGÀY 31</t>
  </si>
  <si>
    <t>tuần 4/4</t>
  </si>
  <si>
    <t>tuần 1/4</t>
  </si>
  <si>
    <t>tuần 2/4</t>
  </si>
  <si>
    <t>dh n 7/4</t>
  </si>
  <si>
    <t>dh n 21/30</t>
  </si>
  <si>
    <t>tuần 3/4</t>
  </si>
  <si>
    <t xml:space="preserve">Gò Dầu </t>
  </si>
  <si>
    <t xml:space="preserve">tổng </t>
  </si>
  <si>
    <t>Vị THANH</t>
  </si>
  <si>
    <t>THÁNG 3</t>
  </si>
  <si>
    <t>Trừ tiền hổ trợ menu</t>
  </si>
  <si>
    <t xml:space="preserve">ĐH 13/3 </t>
  </si>
  <si>
    <t>ĐH 20/3</t>
  </si>
  <si>
    <t>ĐH 22/3</t>
  </si>
  <si>
    <t>ĐH 27/3</t>
  </si>
  <si>
    <t>ĐH 28/3</t>
  </si>
  <si>
    <t xml:space="preserve">Tiền hổ trợ menu </t>
  </si>
  <si>
    <t>TRỪ: 2 lồng đèn đỏ</t>
  </si>
  <si>
    <t>Trừ: 4 lòng đèn(2 đỏ, 2 vàng)</t>
  </si>
  <si>
    <t xml:space="preserve"> trừ 3C vani</t>
  </si>
  <si>
    <t>Trừ 1b sốt trộn tương đỏ</t>
  </si>
  <si>
    <t>gửi hình công nợ, không đòi</t>
  </si>
  <si>
    <t>31/3 có đơn, dồn qua tháng 4</t>
  </si>
  <si>
    <t>Tuần 2/2, 3/2, 4/2</t>
  </si>
  <si>
    <t>Trừ 4 thùng giấy (6/3)</t>
  </si>
  <si>
    <t>Trừ thùng giấy 16t (20/3), 10t (27/3)</t>
  </si>
  <si>
    <t>4/3 trả 10 thùng giấy</t>
  </si>
  <si>
    <t>Trả về 1 bịch súp mì nhỏ</t>
  </si>
  <si>
    <t>Tuần 1/2, 2/2, 3/2, 4/2</t>
  </si>
  <si>
    <t>gửi hình lên nhóm, nt nhắc nợ riêng Phúc Phạm</t>
  </si>
  <si>
    <t>Trừ thùng giấy 8t (17/3), 9t (24/3)</t>
  </si>
  <si>
    <t>Trừ thùng giấy 9t (31/3)</t>
  </si>
  <si>
    <t>1/4 trả 2 thùng xốp</t>
  </si>
  <si>
    <t>Trừ tiền hỗ trợ menu</t>
  </si>
  <si>
    <t>Trừ thùng mút 14 (13/3)</t>
  </si>
  <si>
    <t>Trừ 10 thùng giấy (20/3)</t>
  </si>
  <si>
    <t>4/3 trả 15t xốp</t>
  </si>
  <si>
    <t>chưa trừ 10 chân bàn chữ C 24/2</t>
  </si>
  <si>
    <t>Trừ 65 thùng giấy (21/3)</t>
  </si>
  <si>
    <t>Tuần 3/2, 4/2</t>
  </si>
  <si>
    <t>lệch 10k</t>
  </si>
  <si>
    <t>Trừ thùng giấy 15t (5/3)</t>
  </si>
  <si>
    <t>Trừ thùng giấy 14t (12/3)</t>
  </si>
  <si>
    <t>Trừ thùng giấy 16t (19/3)</t>
  </si>
  <si>
    <t>Trừ thùng giấy 15t (26/3)</t>
  </si>
  <si>
    <t>2/4 17t giấy 3t xốp</t>
  </si>
  <si>
    <t>30kg xx, thiếu 1,5kg</t>
  </si>
  <si>
    <t>Trừ thùng giấy 40t (12/3)</t>
  </si>
  <si>
    <t>Trừ thùng giấy 18t, xốp 3t (19/3)</t>
  </si>
  <si>
    <t>Trừ thùng giấy 23t (12/3)</t>
  </si>
  <si>
    <t>Trừ thùng giấy 16t (26/3)</t>
  </si>
  <si>
    <t>TỔNG THÁNG 1</t>
  </si>
  <si>
    <r>
      <rPr>
        <rFont val="Calibri"/>
        <color theme="1"/>
        <sz val="14.0"/>
      </rPr>
      <t>TỔNG THÁNG 2 (</t>
    </r>
    <r>
      <rPr>
        <rFont val="Calibri"/>
        <color theme="1"/>
        <sz val="12.0"/>
      </rPr>
      <t>đã trừ tiền hỗ trợ menu 1tr5</t>
    </r>
    <r>
      <rPr>
        <rFont val="Calibri"/>
        <color theme="1"/>
        <sz val="14.0"/>
      </rPr>
      <t>)</t>
    </r>
  </si>
  <si>
    <t>thanh toán ngày 15/3</t>
  </si>
  <si>
    <t>thanh toán ngày 20/3</t>
  </si>
  <si>
    <t>Còn lại</t>
  </si>
  <si>
    <t>Tuần 1 t3</t>
  </si>
  <si>
    <t>Tuần 2 t3</t>
  </si>
  <si>
    <t>Tuần 3 t3</t>
  </si>
  <si>
    <t>Tuần 4 t3</t>
  </si>
  <si>
    <t>THÁNG 2</t>
  </si>
  <si>
    <t>Trừ 4b súp lẩu</t>
  </si>
  <si>
    <t>Tuần 2 T2</t>
  </si>
  <si>
    <t>Tuần 3 T2</t>
  </si>
  <si>
    <t>Tuần 4 T2</t>
  </si>
  <si>
    <t>Trừ 16th xốp</t>
  </si>
  <si>
    <t>trừ 22lg vị mì ngày 3/3</t>
  </si>
  <si>
    <t>trừ 3th xốp</t>
  </si>
  <si>
    <t xml:space="preserve">trừ 1b bột sữa </t>
  </si>
  <si>
    <t>(Tt còn lại)</t>
  </si>
  <si>
    <t>TRỪ 40TH GIẤY</t>
  </si>
  <si>
    <t>Trừ 11th giấy</t>
  </si>
  <si>
    <t>trừ 65th giấy</t>
  </si>
  <si>
    <t>TRỪ 1 CAN MẮM TÔM LỚN</t>
  </si>
  <si>
    <t>cộng 100k nợ lại Tháng 2</t>
  </si>
  <si>
    <t>cộng  vào tháng 4</t>
  </si>
  <si>
    <t>trừ 65th giấy, 10th xốp</t>
  </si>
  <si>
    <t>trừ 1th mỳ ý</t>
  </si>
  <si>
    <t>trừ 24th giấy</t>
  </si>
  <si>
    <t>trừ 18th xốp</t>
  </si>
  <si>
    <t>trừ 12b trà lài thái xanh</t>
  </si>
  <si>
    <t>trừ 30th giấy, 7th xốp</t>
  </si>
  <si>
    <t>trừ 1th MVH</t>
  </si>
  <si>
    <t>TRỪ 10B SÚP LẨU</t>
  </si>
  <si>
    <t>trừ 25h kim bắp</t>
  </si>
  <si>
    <t>trừ 6 chai vải be</t>
  </si>
  <si>
    <t>TRỪ 45TH GIẤY</t>
  </si>
  <si>
    <t>TRỪ 4KG BCH</t>
  </si>
  <si>
    <t>TRỪ 2 VẢI LON</t>
  </si>
  <si>
    <t>ĐƠN HÀNG KHAI TRƯƠNG
HẬU  NGHĨA</t>
  </si>
  <si>
    <t>TRỪ HÀNG THIẾU</t>
  </si>
  <si>
    <t>THANH TOÁN 17/1</t>
  </si>
  <si>
    <t>trừ 25th giấy</t>
  </si>
  <si>
    <t>trừ 11b súp nấm</t>
  </si>
  <si>
    <t>trừ 10th giấy, 2th xốp</t>
  </si>
  <si>
    <t>AP ĐÃ TT KHAI TRƯƠNG</t>
  </si>
  <si>
    <t>HÀ TIÊN</t>
  </si>
  <si>
    <t>trừ 5th xốp</t>
  </si>
  <si>
    <t>trừ 43b puding khoai môn</t>
  </si>
  <si>
    <t>VĨNH THẠNH</t>
  </si>
  <si>
    <t>tiền xăng xe tải chở máy phát điện</t>
  </si>
  <si>
    <t>tiền thuê máy phát</t>
  </si>
  <si>
    <t>trừ sốt mỳ ý</t>
  </si>
  <si>
    <t>trừ 5 lãng hoa</t>
  </si>
  <si>
    <t>TÂN UYÊN</t>
  </si>
  <si>
    <t>đã trừ 200piza</t>
  </si>
  <si>
    <t>BẢNG CÔNG NỢ THÁNG 4</t>
  </si>
  <si>
    <t xml:space="preserve">tuần 2/4 </t>
  </si>
  <si>
    <t xml:space="preserve">tuần 3/4 </t>
  </si>
  <si>
    <t xml:space="preserve">tuần 4/4 </t>
  </si>
  <si>
    <t xml:space="preserve">tuần 1/4 </t>
  </si>
  <si>
    <t>Tuần 1/4</t>
  </si>
  <si>
    <t>Tuần 2/4</t>
  </si>
  <si>
    <t>tuần 1/3</t>
  </si>
  <si>
    <t>tuần 2/3</t>
  </si>
  <si>
    <t>tuần 3/3</t>
  </si>
  <si>
    <t>tuần 4/3</t>
  </si>
  <si>
    <t>trả 29/3</t>
  </si>
  <si>
    <t>ĐH 17/4</t>
  </si>
  <si>
    <t xml:space="preserve">ĐH 24/4 </t>
  </si>
  <si>
    <t>\</t>
  </si>
  <si>
    <t>Tuần 3/4</t>
  </si>
  <si>
    <t>Tuần 4/4</t>
  </si>
  <si>
    <t>Tháng 3</t>
  </si>
  <si>
    <t>thanh toán 15/4</t>
  </si>
  <si>
    <t>thanh toán 21/4</t>
  </si>
  <si>
    <t>thanh toán 28/4</t>
  </si>
  <si>
    <t>đã trừ 5th xốp</t>
  </si>
  <si>
    <t>còn đơn 1/5</t>
  </si>
  <si>
    <t>thanh toán 9/4</t>
  </si>
  <si>
    <t>thanh toán 24/4</t>
  </si>
  <si>
    <t>trừ 10th giấy</t>
  </si>
  <si>
    <t>thanh toán 22/4</t>
  </si>
  <si>
    <t>cộng vào tuần 1 T5</t>
  </si>
  <si>
    <t>thanh toán 14/4</t>
  </si>
  <si>
    <t>trừ 12th giấy 36.000</t>
  </si>
  <si>
    <t>trừ 10th giấy 30.000</t>
  </si>
  <si>
    <t>trừ 11th giấy 33.000</t>
  </si>
  <si>
    <t>trừ 2th xốp</t>
  </si>
  <si>
    <t>thanh toán 7/4</t>
  </si>
  <si>
    <t>thanh toán 13/4</t>
  </si>
  <si>
    <t>thanh toán 8/4</t>
  </si>
  <si>
    <t>trừ 15th xốp</t>
  </si>
  <si>
    <t>thanh toán 12/4</t>
  </si>
  <si>
    <t>thanh toán 19/4</t>
  </si>
  <si>
    <t>thanh toán 23/4</t>
  </si>
  <si>
    <t>trừ 55th giấy 165.000</t>
  </si>
  <si>
    <t>Tháng 2 + đơn cũ 941.300 - băng rôn qc</t>
  </si>
  <si>
    <t>Thanh toán 9/4</t>
  </si>
  <si>
    <t>ĐH 28/4 ĐẾN 1/5</t>
  </si>
  <si>
    <t>A ĐIỀN</t>
  </si>
  <si>
    <t>thanh toán 10/4</t>
  </si>
  <si>
    <t>thanh toán 16/4</t>
  </si>
  <si>
    <t>thanh toán 27/4</t>
  </si>
  <si>
    <t>Thanh toán còn lại</t>
  </si>
  <si>
    <t xml:space="preserve">thanh toán 14/4 </t>
  </si>
  <si>
    <t>Tháng 2</t>
  </si>
  <si>
    <t>đã trừ 3th xốp 30.000</t>
  </si>
  <si>
    <t>TRỪ 1TH XỐP 10.000</t>
  </si>
  <si>
    <t>A PHÚC</t>
  </si>
  <si>
    <t>trừ 2.5kg ba chỉ heo 325k</t>
  </si>
  <si>
    <t>đã trừ 22th giấy 66.000</t>
  </si>
  <si>
    <t>thanh toán 17/4</t>
  </si>
  <si>
    <t>thanh toán 30/4</t>
  </si>
  <si>
    <t>trừ 3b súp lớn bể</t>
  </si>
  <si>
    <t>trừ 40th giấy, 10th xốp</t>
  </si>
  <si>
    <t>(trừ 15th giấy 45.000)</t>
  </si>
  <si>
    <t>còn đơn 29 qua tháng 5</t>
  </si>
  <si>
    <t>trừ 30th xốp</t>
  </si>
  <si>
    <t>đã trừ 300k tt dư tuần2</t>
  </si>
  <si>
    <t>đã trừ 12th xốp 120.000</t>
  </si>
  <si>
    <t>trừ 1b súp lớn ,1b súp nấm</t>
  </si>
  <si>
    <t xml:space="preserve">trừ 70th giấy </t>
  </si>
  <si>
    <t>còn đơn 29 qua t5</t>
  </si>
  <si>
    <t>trừ 2b miến ,piza lỗi</t>
  </si>
  <si>
    <t>thanh toán 1/5</t>
  </si>
  <si>
    <t>đơn 31/3 cộng  vào tháng 4</t>
  </si>
  <si>
    <t>Đã trừ 50th giấy 10th xốp</t>
  </si>
  <si>
    <t>Trả hàng: 25h kimpap chiên</t>
  </si>
  <si>
    <t>CHI PHÍ NV HỔ TRỢ KHAI TRƯƠNG</t>
  </si>
  <si>
    <t>tuần 1/5</t>
  </si>
  <si>
    <t>tuần  2/5</t>
  </si>
  <si>
    <t>tuần 3/5</t>
  </si>
  <si>
    <t>tuần 4/5</t>
  </si>
  <si>
    <t>tháng 2</t>
  </si>
  <si>
    <t>tháng 3</t>
  </si>
  <si>
    <t>tháng 4</t>
  </si>
  <si>
    <t>thàng 4</t>
  </si>
  <si>
    <t>28/4 đền 4/5</t>
  </si>
  <si>
    <t>50 mì</t>
  </si>
  <si>
    <t>TRỪ LẠI TỦ ĐÔNG</t>
  </si>
  <si>
    <t>tháng 10</t>
  </si>
  <si>
    <t>dh ngày 7/4</t>
  </si>
  <si>
    <t>dh ngày 21/30</t>
  </si>
  <si>
    <t>dh ngày 26/31</t>
  </si>
  <si>
    <t>28/4 đến 4/5</t>
  </si>
  <si>
    <t>KIÊN LƯƠNG</t>
  </si>
  <si>
    <t>thang 4</t>
  </si>
  <si>
    <t>ĐH 1/5</t>
  </si>
  <si>
    <t>ĐH 8/5</t>
  </si>
  <si>
    <t>ĐH 11/5</t>
  </si>
  <si>
    <t>ĐH 15/5</t>
  </si>
  <si>
    <t>ĐH 20/5</t>
  </si>
  <si>
    <t>ĐH 22/5</t>
  </si>
  <si>
    <t>ĐH 24/5</t>
  </si>
  <si>
    <t>ĐH 29/5</t>
  </si>
  <si>
    <t>TP. TÂY NINH</t>
  </si>
  <si>
    <t>TÂN CHÂU TN</t>
  </si>
  <si>
    <t>ĐƠN CŨ</t>
  </si>
  <si>
    <t xml:space="preserve">ĐƠN CŨ </t>
  </si>
  <si>
    <t>Tháng 4</t>
  </si>
  <si>
    <t xml:space="preserve">                                                                                                                       </t>
  </si>
  <si>
    <r>
      <rPr>
        <rFont val="Calibri"/>
        <color theme="1"/>
        <sz val="14.0"/>
      </rPr>
      <t>THÁNG 3 + (</t>
    </r>
    <r>
      <rPr>
        <rFont val="Calibri"/>
        <color theme="1"/>
        <sz val="14.0"/>
      </rPr>
      <t>1.000.000 tt còn xót)</t>
    </r>
  </si>
  <si>
    <t>TUẦN 1 (thanh toán còn lại)</t>
  </si>
  <si>
    <t>ĐH 29/4</t>
  </si>
  <si>
    <t>ĐH 6/5</t>
  </si>
  <si>
    <t>ĐH 13/5</t>
  </si>
  <si>
    <t>ĐH 27/5</t>
  </si>
  <si>
    <t>8B MIẾN HQ, 10TH GIẤY</t>
  </si>
  <si>
    <t>ĐH 30/4</t>
  </si>
  <si>
    <t>MỘT NGÀN</t>
  </si>
  <si>
    <t>THỚI BÌNH</t>
  </si>
  <si>
    <t>VĨNH BÌNH</t>
  </si>
  <si>
    <t>ĐH 19/4</t>
  </si>
  <si>
    <t>ĐH 24/4</t>
  </si>
  <si>
    <t>ĐH 27/4</t>
  </si>
  <si>
    <t>THỦ DẦU MỘT</t>
  </si>
  <si>
    <t>LƯƠNG NV HỔ TRỢ</t>
  </si>
  <si>
    <t>BÌNH LONG</t>
  </si>
  <si>
    <t>TRUNG AN</t>
  </si>
  <si>
    <t xml:space="preserve">TRẢ HÀNG:
15th giấy 45k
8h đựng đũa gỗ 2tr </t>
  </si>
  <si>
    <t>BẢNG CÔNG NỢ THÁNG 7</t>
  </si>
  <si>
    <t>CHỢ LÁCH</t>
  </si>
  <si>
    <t>tuần 3/7</t>
  </si>
  <si>
    <t>tuần 4/7</t>
  </si>
  <si>
    <t>tuần 5/7</t>
  </si>
  <si>
    <t xml:space="preserve">cái bè </t>
  </si>
  <si>
    <t>tháng 6</t>
  </si>
  <si>
    <t>tuần  1/7</t>
  </si>
  <si>
    <t>tuần 2/7</t>
  </si>
  <si>
    <t xml:space="preserve">cái lậy </t>
  </si>
  <si>
    <t>tháng 5</t>
  </si>
  <si>
    <t>tuần 4/6</t>
  </si>
  <si>
    <t xml:space="preserve">thanh toán rồi </t>
  </si>
  <si>
    <t>còn đơn 31/7</t>
  </si>
  <si>
    <t xml:space="preserve">tân hồng </t>
  </si>
  <si>
    <t xml:space="preserve">long mỹ </t>
  </si>
  <si>
    <t xml:space="preserve">ngã 5 - sóc trang </t>
  </si>
  <si>
    <t>còn 50 mì + vô  8</t>
  </si>
  <si>
    <t>lai vung</t>
  </si>
  <si>
    <t>hổ trợ khai trương</t>
  </si>
  <si>
    <t xml:space="preserve">đại học </t>
  </si>
  <si>
    <t xml:space="preserve">long xuyên </t>
  </si>
  <si>
    <t>dh  ngày 16/22</t>
  </si>
  <si>
    <t>dh ngày  7/13</t>
  </si>
  <si>
    <t>dh ngày 28/31</t>
  </si>
  <si>
    <t xml:space="preserve">gò dầu </t>
  </si>
  <si>
    <t>CAO LANH</t>
  </si>
  <si>
    <t>tuần 5/7 để va 1/8</t>
  </si>
  <si>
    <t>hakimi vl</t>
  </si>
  <si>
    <t>tuần 5/7 để vào 1/8</t>
  </si>
  <si>
    <t>vị thanh</t>
  </si>
  <si>
    <t>Tuần 1/8</t>
  </si>
  <si>
    <t>Tuần 2/8</t>
  </si>
  <si>
    <t>Tuần 3/8</t>
  </si>
  <si>
    <t>Tuần 4/8</t>
  </si>
  <si>
    <t>tuần 3/8</t>
  </si>
  <si>
    <t xml:space="preserve">TTR </t>
  </si>
  <si>
    <t>Tuần 3/7</t>
  </si>
  <si>
    <t>Tháng 7</t>
  </si>
  <si>
    <t>TTR</t>
  </si>
  <si>
    <t>ĐH 6/8</t>
  </si>
  <si>
    <t>ĐH 14/8</t>
  </si>
  <si>
    <t>ĐH 21/8</t>
  </si>
  <si>
    <t>ĐH 28/8</t>
  </si>
  <si>
    <t>chưa thanh toán 3 phần mềm 13,840</t>
  </si>
  <si>
    <t>chưa suất vocher ưu đãi</t>
  </si>
  <si>
    <t>ttr</t>
  </si>
  <si>
    <t>X</t>
  </si>
  <si>
    <t>Tuần 5</t>
  </si>
  <si>
    <t>ĐƠN 31 QUA THÁNG 8</t>
  </si>
  <si>
    <r>
      <rPr>
        <rFont val="Times New Roman"/>
        <color theme="1"/>
        <sz val="18.0"/>
      </rPr>
      <t>THÁNG 3 + (</t>
    </r>
    <r>
      <rPr>
        <rFont val="Times New Roman"/>
        <color theme="1"/>
        <sz val="18.0"/>
      </rPr>
      <t>1.000.000 tt còn xót)</t>
    </r>
  </si>
  <si>
    <t>Tháng 5</t>
  </si>
  <si>
    <t>TUẦN 5</t>
  </si>
  <si>
    <t>31 QUA THÁNG 8</t>
  </si>
  <si>
    <t xml:space="preserve">TUẦN 1 </t>
  </si>
  <si>
    <t>TT RỒI</t>
  </si>
  <si>
    <t>còn đơn 30/7</t>
  </si>
  <si>
    <t>GHI CHÚ</t>
  </si>
  <si>
    <t xml:space="preserve">NGÃ 5 </t>
  </si>
  <si>
    <t>NỢ LÂU KHÓ ĐÒI</t>
  </si>
  <si>
    <t>HKM VĨNH LONG</t>
  </si>
  <si>
    <t>CÓ TRẢ NHƯNG CÒN NỢ LẠI NHIỀU</t>
  </si>
  <si>
    <t>TP SÓC TRĂNG</t>
  </si>
  <si>
    <t xml:space="preserve">HẬU NGHĨA </t>
  </si>
  <si>
    <t>THUẬN GIAO</t>
  </si>
  <si>
    <t>VĨNH TÂN</t>
  </si>
  <si>
    <t>TRẢNG BOM</t>
  </si>
  <si>
    <t>AN TÂY</t>
  </si>
  <si>
    <t>Trừ 30kg mực tươi</t>
  </si>
  <si>
    <t>MÁI DẦM</t>
  </si>
  <si>
    <t>BÀU BÀNG</t>
  </si>
  <si>
    <t>Ô MÔN</t>
  </si>
  <si>
    <t>đh 31/7</t>
  </si>
  <si>
    <t>CHI LĂNG</t>
  </si>
  <si>
    <t>NGAN DỪA</t>
  </si>
  <si>
    <t>DƯƠNG MINH CHÂU</t>
  </si>
  <si>
    <t>BẢNG CÔNG NỢ THÁNG 8</t>
  </si>
  <si>
    <t>tuấn 4/8</t>
  </si>
  <si>
    <t>tháng 7</t>
  </si>
  <si>
    <t>tuần 1/8</t>
  </si>
  <si>
    <t>tuần 2/8</t>
  </si>
  <si>
    <t>còn dh ngày 29/8 dva 1/9</t>
  </si>
  <si>
    <t>dh ngày 11/17/8</t>
  </si>
  <si>
    <t>dh ngày 25/31/8</t>
  </si>
  <si>
    <t>Tháng 8</t>
  </si>
  <si>
    <t>Tuần 1/9</t>
  </si>
  <si>
    <t>Tuần 2/9</t>
  </si>
  <si>
    <t>Tuần 4/9</t>
  </si>
  <si>
    <t>chưa tính công nợ từ ngày 30-31 tháng 8</t>
  </si>
  <si>
    <t>ĐƠN PHẦN MỀM:
BADO</t>
  </si>
  <si>
    <t>dư 11tr</t>
  </si>
  <si>
    <t>ĐƠN 31</t>
  </si>
  <si>
    <t>TUẦN 4/8</t>
  </si>
  <si>
    <t xml:space="preserve">TUẦN 2 </t>
  </si>
  <si>
    <t>CẨM</t>
  </si>
  <si>
    <t>MỸ PHƯỚC 1</t>
  </si>
  <si>
    <t>ĐH 31/8 CHUYỂN T9</t>
  </si>
  <si>
    <t>BẾN LỨC</t>
  </si>
  <si>
    <t>VĨNH THUẬN</t>
  </si>
  <si>
    <t>NGÃ 6</t>
  </si>
  <si>
    <t>ĐỒNG XOÀI</t>
  </si>
  <si>
    <t>5 Đế pizza lớn</t>
  </si>
  <si>
    <t>3b Sốt mì ý</t>
  </si>
  <si>
    <t>2kg Sốt gà cay</t>
  </si>
  <si>
    <t>1 Lồng đèn đen lùn</t>
  </si>
  <si>
    <t>ÔNG BẦU</t>
  </si>
  <si>
    <t>4 Lồng đèn treo cây đào</t>
  </si>
  <si>
    <t>CẦN ĐĂNG</t>
  </si>
  <si>
    <t>TẮC VÂN</t>
  </si>
  <si>
    <t>BẢNG CÔNG NỢ THÁNG 9</t>
  </si>
  <si>
    <t>tuần 2/9</t>
  </si>
  <si>
    <t>tuần 3/9</t>
  </si>
  <si>
    <t>tuần 4/9</t>
  </si>
  <si>
    <t>tháng  8</t>
  </si>
  <si>
    <t>tuần 1/9</t>
  </si>
  <si>
    <t>tháng 8</t>
  </si>
  <si>
    <t xml:space="preserve">                    </t>
  </si>
  <si>
    <t>tuần 1/10</t>
  </si>
  <si>
    <t>mì 50 tqt 10</t>
  </si>
  <si>
    <t>dh ngày 8/14/9</t>
  </si>
  <si>
    <t>dh ngày 22/9</t>
  </si>
  <si>
    <t>Tuần 1/10</t>
  </si>
  <si>
    <t>Tuần 2/10</t>
  </si>
  <si>
    <t>Tuần 3/10</t>
  </si>
  <si>
    <t>Tuần 4/10</t>
  </si>
  <si>
    <t>THÁNG 9</t>
  </si>
  <si>
    <t>Tháng 9</t>
  </si>
  <si>
    <t>cộng 950k tiền bò úc</t>
  </si>
  <si>
    <t>ngày 30 chưa tính công nợ</t>
  </si>
  <si>
    <t>ĐH 4/9</t>
  </si>
  <si>
    <t>ĐH 8/9</t>
  </si>
  <si>
    <t>ĐH 18/9</t>
  </si>
  <si>
    <t>ĐH 25/9</t>
  </si>
  <si>
    <t>550k tuần 4/8 giá rai tự trừ 1 thùng khoai tây</t>
  </si>
  <si>
    <t>0939030504 tư</t>
  </si>
  <si>
    <t>0353779599 đạt</t>
  </si>
  <si>
    <t>0932915385 nga</t>
  </si>
  <si>
    <t>0767999279</t>
  </si>
  <si>
    <t>0798 002 686 thuận</t>
  </si>
  <si>
    <t>0345699162</t>
  </si>
  <si>
    <t>0348622221</t>
  </si>
  <si>
    <t>070.4888.980 nhân</t>
  </si>
  <si>
    <t>0347323335 h.anh</t>
  </si>
  <si>
    <t>0902395715</t>
  </si>
  <si>
    <t>CÒN ĐƠN 29,30</t>
  </si>
  <si>
    <t>0708369439</t>
  </si>
  <si>
    <t>0826106106</t>
  </si>
  <si>
    <t>0984147491 q.tuấn</t>
  </si>
  <si>
    <t>0703302099</t>
  </si>
  <si>
    <t>0347198149</t>
  </si>
  <si>
    <t>0328521752</t>
  </si>
  <si>
    <t>0856144886</t>
  </si>
  <si>
    <t>0848606139</t>
  </si>
  <si>
    <t>SỐ TIỀN ĐƠN CŨ</t>
  </si>
  <si>
    <t>cộng tiền chỉnh giá bò úc</t>
  </si>
  <si>
    <t>0854647479</t>
  </si>
  <si>
    <t>0878863939</t>
  </si>
  <si>
    <t>0382071830</t>
  </si>
  <si>
    <t>0378787912</t>
  </si>
  <si>
    <t>0569125125</t>
  </si>
  <si>
    <t>CÒN NGÀY 30</t>
  </si>
  <si>
    <t>10/9 thanh toán</t>
  </si>
  <si>
    <t>12/9 thanh toán</t>
  </si>
  <si>
    <t>17/9 thanh toán</t>
  </si>
  <si>
    <t>0706555798</t>
  </si>
  <si>
    <t>22/9 thanh toán</t>
  </si>
  <si>
    <t>25/9 thanh toán</t>
  </si>
  <si>
    <t>3/10 thanh toán</t>
  </si>
  <si>
    <t>0383519126</t>
  </si>
  <si>
    <t>0962.962.573</t>
  </si>
  <si>
    <t>0386839840</t>
  </si>
  <si>
    <t>0706750296</t>
  </si>
  <si>
    <t>0869.409.405</t>
  </si>
  <si>
    <t>ĐƠN PHẦN MỀM CÒN LẠI</t>
  </si>
  <si>
    <t>0376408424</t>
  </si>
  <si>
    <t>ĐH 29/9</t>
  </si>
  <si>
    <t>TUẦN 2/9</t>
  </si>
  <si>
    <t>ĐH 23/9</t>
  </si>
  <si>
    <t>ĐH 30/9</t>
  </si>
  <si>
    <t>Lương nv hổ trợ
khai trương</t>
  </si>
  <si>
    <t>4TH 140L</t>
  </si>
  <si>
    <t>2TH 120L</t>
  </si>
  <si>
    <t>1 BÀN VUÔNG</t>
  </si>
  <si>
    <t>1 BÀN INOX 2M4</t>
  </si>
  <si>
    <t>ĐƠN KHAI TRƯƠNG CÒN LẠI</t>
  </si>
  <si>
    <t>trừ lãng hoa cty</t>
  </si>
  <si>
    <t>TC</t>
  </si>
  <si>
    <t>tuần  2/10</t>
  </si>
  <si>
    <t xml:space="preserve">Tuần 3/10 </t>
  </si>
  <si>
    <t>0352909819 lương quang</t>
  </si>
  <si>
    <t>tuần 4/10</t>
  </si>
  <si>
    <t>tuần 5/10</t>
  </si>
  <si>
    <t>NHI</t>
  </si>
  <si>
    <t>tháng 9</t>
  </si>
  <si>
    <t xml:space="preserve">0989969719 minh thiện </t>
  </si>
  <si>
    <t xml:space="preserve">Cai lậy </t>
  </si>
  <si>
    <t>0868762644 thiện</t>
  </si>
  <si>
    <t>0937743386 hà nhung</t>
  </si>
  <si>
    <t xml:space="preserve">TUẦN 3/10 </t>
  </si>
  <si>
    <t>còn đơn khai trương</t>
  </si>
  <si>
    <t xml:space="preserve">0368930139 tiểu tư </t>
  </si>
  <si>
    <t>0866825139 tiểu tư</t>
  </si>
  <si>
    <t xml:space="preserve">TUẦN 4/10 </t>
  </si>
  <si>
    <t>HUYỀN</t>
  </si>
  <si>
    <t xml:space="preserve">02776500995 hân </t>
  </si>
  <si>
    <t>HUYỀN'</t>
  </si>
  <si>
    <t xml:space="preserve">0908086200 huỳnh nam </t>
  </si>
  <si>
    <t xml:space="preserve">0888151938 bích thuận </t>
  </si>
  <si>
    <t>0343576979 ngân</t>
  </si>
  <si>
    <t xml:space="preserve">02996511238 dương </t>
  </si>
  <si>
    <t xml:space="preserve">0866535657 phúc lợi </t>
  </si>
  <si>
    <t>VY</t>
  </si>
  <si>
    <t xml:space="preserve">02706525354 hân </t>
  </si>
  <si>
    <t xml:space="preserve">0946754297 điền </t>
  </si>
  <si>
    <t>tuần  3/10</t>
  </si>
  <si>
    <t xml:space="preserve">0798024519 điền </t>
  </si>
  <si>
    <t>TUẦN 1 T11</t>
  </si>
  <si>
    <t xml:space="preserve">0373130168 điền </t>
  </si>
  <si>
    <t xml:space="preserve">0984255034 vũ </t>
  </si>
  <si>
    <t xml:space="preserve">0932808239 tấn đạt </t>
  </si>
  <si>
    <t xml:space="preserve">04916040949 diệu hiền </t>
  </si>
  <si>
    <t>ĐH 6/10</t>
  </si>
  <si>
    <t>ĐH 21/10</t>
  </si>
  <si>
    <t xml:space="preserve">0977727797 duyên </t>
  </si>
  <si>
    <t>Tuần  2/10</t>
  </si>
  <si>
    <t>0777846226 lộc</t>
  </si>
  <si>
    <t>294,388,100</t>
  </si>
  <si>
    <t>0964629138 kim su</t>
  </si>
  <si>
    <t>0338886786 trinh</t>
  </si>
  <si>
    <t>0968818142 ngân</t>
  </si>
  <si>
    <t>HAKIMI VĨNH LONG</t>
  </si>
  <si>
    <t>Tuần 1/11</t>
  </si>
  <si>
    <t>0353693879 dương</t>
  </si>
  <si>
    <t>chưa tính công nợ  30/10</t>
  </si>
  <si>
    <t xml:space="preserve">0368858158 tiểu tư </t>
  </si>
  <si>
    <t xml:space="preserve">02706291992 giang </t>
  </si>
  <si>
    <t xml:space="preserve">02736585818 thuat </t>
  </si>
  <si>
    <t>Tuần  1/11</t>
  </si>
  <si>
    <t>Tuần 2/11</t>
  </si>
  <si>
    <t>0356997159(Huỳnh Như)</t>
  </si>
  <si>
    <t>0788726878(Kim Anh)</t>
  </si>
  <si>
    <t>0933871740(Bằng Nguyễn)</t>
  </si>
  <si>
    <t>0924238538(Hoàng Bi)</t>
  </si>
  <si>
    <t>ĐH 9/10</t>
  </si>
  <si>
    <t>ĐH 16/10</t>
  </si>
  <si>
    <t>02946278888(Văn Dũng)</t>
  </si>
  <si>
    <t>ĐH 23/10</t>
  </si>
  <si>
    <t>ĐH 30/10</t>
  </si>
  <si>
    <t>ĐH 6/11</t>
  </si>
  <si>
    <t>0676949838(Kiều)</t>
  </si>
  <si>
    <t>0338572772 (Tiểu Tư)</t>
  </si>
  <si>
    <t>chưa tính công 30/10</t>
  </si>
  <si>
    <t>Tuần 5/10</t>
  </si>
  <si>
    <t>0979837293 (Như Như)</t>
  </si>
  <si>
    <t>0947763648 (Thúy Vân)</t>
  </si>
  <si>
    <t>cộng thêm 250k đh tuần trc</t>
  </si>
  <si>
    <t>0819222686 (A Bá Lộc)</t>
  </si>
  <si>
    <t>0898507736</t>
  </si>
  <si>
    <t>chưa tính công nợ 29/10</t>
  </si>
  <si>
    <t>THÁNG CŨ</t>
  </si>
  <si>
    <t>0868.504.104</t>
  </si>
  <si>
    <t>đh 30/10 tính vào tháng 11 (chưa trừ 9 thùng sốp)</t>
  </si>
  <si>
    <t>THÁNG 6,7,8</t>
  </si>
  <si>
    <t>TUẦN 1/10</t>
  </si>
  <si>
    <t>TUẦN 2/10</t>
  </si>
  <si>
    <t>TUẦN 3/10</t>
  </si>
  <si>
    <t>TUẦN 4/10</t>
  </si>
  <si>
    <t>TUẦN 5/10</t>
  </si>
  <si>
    <t>TUẦN 1/11</t>
  </si>
  <si>
    <t>TUẦN 2/11</t>
  </si>
  <si>
    <t>TUẦN 3/11</t>
  </si>
  <si>
    <t>TUẦN 4/11</t>
  </si>
  <si>
    <t>0944427268 (Hải Yến)</t>
  </si>
  <si>
    <t>0357838131 (Tiểu Tư)</t>
  </si>
  <si>
    <t>0367401141(Thảo)</t>
  </si>
  <si>
    <t>0796666346(Đạt Phan)</t>
  </si>
  <si>
    <t>0393252352 (Hải Yến)</t>
  </si>
  <si>
    <t>ĐH 7/10</t>
  </si>
  <si>
    <t>ĐH 14/10</t>
  </si>
  <si>
    <t>0704888980 (Mỹ Nhân)</t>
  </si>
  <si>
    <t>ĐH 28/10</t>
  </si>
  <si>
    <t>0918515117 (Gas Muông)</t>
  </si>
  <si>
    <t>0327576156(Hoài Nhân)</t>
  </si>
  <si>
    <t>0939792611(Đạt Cỏ)</t>
  </si>
  <si>
    <t>0911080900( Ô Môn)</t>
  </si>
  <si>
    <t>0916200891(Ha Ngo)</t>
  </si>
  <si>
    <t>0706619278(Hồng Thắm)</t>
  </si>
  <si>
    <t>0767987939(Bích Thuận)</t>
  </si>
  <si>
    <t>0852246168(Xuyên Trần)</t>
  </si>
  <si>
    <t>0867673952(Thanh Space)</t>
  </si>
  <si>
    <t>0834562995(Diệu Nguyễn)</t>
  </si>
  <si>
    <t>MINH LƯƠNG</t>
  </si>
  <si>
    <t>0981505949(Hạnh Lợi)</t>
  </si>
  <si>
    <t>ÓC EO</t>
  </si>
  <si>
    <t>818345899(Bin)</t>
  </si>
  <si>
    <t>THẠNH HÓA</t>
  </si>
  <si>
    <t>0332446256(Tân Nguyễn)</t>
  </si>
  <si>
    <t>TÂN HƯƠNG</t>
  </si>
  <si>
    <t>XÉM NƯỚNG</t>
  </si>
  <si>
    <t>TRẦN VĂN THỜI</t>
  </si>
  <si>
    <t>ĐH 31/10 TÍNH T11</t>
  </si>
  <si>
    <t>NGÃ 5 TÂN THÀNH</t>
  </si>
  <si>
    <t>KẾ SÁCH</t>
  </si>
  <si>
    <t>5 pizza pm lớn</t>
  </si>
  <si>
    <t>3 pizza hs lớn</t>
  </si>
  <si>
    <t>3b sa tế tôm</t>
  </si>
  <si>
    <t>BẢNG CÔNG NỢ THÁNG 11</t>
  </si>
  <si>
    <t>Chợ lách</t>
  </si>
  <si>
    <t xml:space="preserve">Cái bè </t>
  </si>
  <si>
    <t>THÁNG 9 + 10</t>
  </si>
  <si>
    <t xml:space="preserve">THÁNG 7 </t>
  </si>
  <si>
    <t>Tân an</t>
  </si>
  <si>
    <t>Thanh bình</t>
  </si>
  <si>
    <t>đơn 118.386 tt 121.591</t>
  </si>
  <si>
    <t>Tân bình</t>
  </si>
  <si>
    <t>An long</t>
  </si>
  <si>
    <t>Hồng ngự</t>
  </si>
  <si>
    <t>Tân hồng</t>
  </si>
  <si>
    <t>Tam nông</t>
  </si>
  <si>
    <t xml:space="preserve">Long mỹ </t>
  </si>
  <si>
    <t>TUẦN 4 T11</t>
  </si>
  <si>
    <t>KHAI TRƯƠNG</t>
  </si>
  <si>
    <t>Ngã 5 - Sóc Trăng</t>
  </si>
  <si>
    <t>Sa đéc</t>
  </si>
  <si>
    <t>Cái tàu hạ</t>
  </si>
  <si>
    <t xml:space="preserve"> Hoà phú- Vĩnh Long</t>
  </si>
  <si>
    <t>Thốt nốt</t>
  </si>
  <si>
    <t>Lai vung</t>
  </si>
  <si>
    <t>Lấp vò</t>
  </si>
  <si>
    <t xml:space="preserve">Đại học </t>
  </si>
  <si>
    <t>Kiến tường</t>
  </si>
  <si>
    <t>Phú tân</t>
  </si>
  <si>
    <t>Chợ mới</t>
  </si>
  <si>
    <t>Mỹ luông</t>
  </si>
  <si>
    <t>Long xuyên</t>
  </si>
  <si>
    <t>Ngã 7</t>
  </si>
  <si>
    <t>ĐH 10/11</t>
  </si>
  <si>
    <t>ĐH 27/11</t>
  </si>
  <si>
    <t>Châu đốc</t>
  </si>
  <si>
    <t>Cao lãnh</t>
  </si>
  <si>
    <t>310,861,300</t>
  </si>
  <si>
    <t>269,570,600</t>
  </si>
  <si>
    <t>348,697,800</t>
  </si>
  <si>
    <t>250,345,300</t>
  </si>
  <si>
    <t>Cà mau</t>
  </si>
  <si>
    <t>Rạch giá</t>
  </si>
  <si>
    <t>ĐH 13/11</t>
  </si>
  <si>
    <t>ĐH 20/11</t>
  </si>
  <si>
    <t>ĐH 4/12</t>
  </si>
  <si>
    <t>CÔNG NỢ THÁNG 11</t>
  </si>
  <si>
    <t>37944000</t>
  </si>
  <si>
    <t>127092500</t>
  </si>
  <si>
    <t>102930500</t>
  </si>
  <si>
    <t>THÁNG 6,7,'8</t>
  </si>
  <si>
    <t>Lương nv hổ trợ</t>
  </si>
  <si>
    <t>TÂN THẠNH</t>
  </si>
  <si>
    <t>HUỲNH HỮU NGHĨA</t>
  </si>
  <si>
    <t>BẠC LIÊU</t>
  </si>
  <si>
    <t>ĐỨC HUỆ</t>
  </si>
  <si>
    <t>TUẦN 1/6</t>
  </si>
  <si>
    <t>TUẦN 2/6</t>
  </si>
  <si>
    <t>TUẦN 2/5</t>
  </si>
  <si>
    <t>TUÂN 3/5</t>
  </si>
  <si>
    <t>TUÂN 4/5</t>
  </si>
  <si>
    <t>Giồng riềng</t>
  </si>
  <si>
    <t>dh ngày 25/5</t>
  </si>
  <si>
    <t>TUẦN 4/4</t>
  </si>
  <si>
    <t>TUẦN 5/4</t>
  </si>
  <si>
    <t>TUẦN 1/5</t>
  </si>
  <si>
    <t>TUẦN 3/5</t>
  </si>
  <si>
    <t>ĐH TUẦN 4 T5</t>
  </si>
  <si>
    <t>ĐH TUẦN 3 T5</t>
  </si>
  <si>
    <t xml:space="preserve">kiểm hàng ngày </t>
  </si>
  <si>
    <t>ĐH TUẦN 1 T5</t>
  </si>
  <si>
    <t>ĐH TUẦN 2 T5</t>
  </si>
  <si>
    <t>coi xúc xích giá  69k</t>
  </si>
  <si>
    <t>ĐH TUẦN 4 T4</t>
  </si>
  <si>
    <t>ĐH TUẦN 3 T4</t>
  </si>
  <si>
    <t>coi xúc xích 69k</t>
  </si>
  <si>
    <t>LONG PHÚ</t>
  </si>
  <si>
    <t>CHIBA cao lãnh</t>
  </si>
  <si>
    <t>kiểm hàng ngày</t>
  </si>
  <si>
    <t>cuối tháng tổng gửi phai</t>
  </si>
  <si>
    <t>TỔNG KHO YAGAMI CAO LÃNH</t>
  </si>
  <si>
    <t>THỨ 4</t>
  </si>
  <si>
    <t>THỨ 6</t>
  </si>
  <si>
    <t>THỨ 7</t>
  </si>
  <si>
    <t>GỬI XE NGOÀI</t>
  </si>
  <si>
    <t>TRINH</t>
  </si>
  <si>
    <r>
      <rPr>
        <rFont val="&quot;Times New Roman&quot;, serif"/>
        <b/>
        <color rgb="FF000000"/>
        <sz val="13.0"/>
      </rPr>
      <t>KHO BD (</t>
    </r>
    <r>
      <rPr>
        <rFont val="&quot;Times New Roman&quot;, serif"/>
        <b/>
        <color rgb="FF000000"/>
        <sz val="10.0"/>
      </rPr>
      <t>HÀNG ĐÔNG</t>
    </r>
    <r>
      <rPr>
        <rFont val="&quot;Times New Roman&quot;, serif"/>
        <b/>
        <color rgb="FF000000"/>
        <sz val="13.0"/>
      </rPr>
      <t>)</t>
    </r>
  </si>
  <si>
    <r>
      <rPr>
        <rFont val="&quot;Times New Roman&quot;, serif"/>
        <b/>
        <color rgb="FF000000"/>
        <sz val="13.0"/>
      </rPr>
      <t>KHO BD (</t>
    </r>
    <r>
      <rPr>
        <rFont val="&quot;Times New Roman&quot;, serif"/>
        <b/>
        <color rgb="FF000000"/>
        <sz val="10.0"/>
      </rPr>
      <t>SÚP</t>
    </r>
    <r>
      <rPr>
        <rFont val="&quot;Times New Roman&quot;, serif"/>
        <b/>
        <color rgb="FF000000"/>
        <sz val="13.0"/>
      </rPr>
      <t>)</t>
    </r>
  </si>
  <si>
    <t>CÁI TÀU</t>
  </si>
  <si>
    <t>SANG</t>
  </si>
  <si>
    <t>HÒA PHÚ</t>
  </si>
  <si>
    <t>THẠNH HOÁ</t>
  </si>
  <si>
    <t>THÚY</t>
  </si>
  <si>
    <t>MỎ CÀY</t>
  </si>
  <si>
    <t>TRƯỜNG XUÂN</t>
  </si>
  <si>
    <t>TÂN THÀNH</t>
  </si>
  <si>
    <t>TIÊU CẦN</t>
  </si>
  <si>
    <t>CAO LÃNH</t>
  </si>
  <si>
    <t>VĨNH LONG</t>
  </si>
  <si>
    <t>NGÃ 5 SÓC TRĂNG</t>
  </si>
  <si>
    <t>CHIBA CAO LÃNH</t>
  </si>
  <si>
    <t>PHÚ LỘC</t>
  </si>
  <si>
    <t>TP CẦN THƠ</t>
  </si>
  <si>
    <t>CHÂU THÀNH - ST</t>
  </si>
  <si>
    <t>GIỒNG TRÔM</t>
  </si>
  <si>
    <t>T.T THỨ 11</t>
  </si>
  <si>
    <t>CHỢ VÀM</t>
  </si>
  <si>
    <t>CHIBA TÂN CHÂU</t>
  </si>
  <si>
    <t>H.HỮU NGHĨA</t>
  </si>
  <si>
    <t>AN THẠNH</t>
  </si>
  <si>
    <t>PHÚ TÂM</t>
  </si>
  <si>
    <t>GIA THUẬN</t>
  </si>
  <si>
    <t>CÂY DƯƠNG</t>
  </si>
  <si>
    <t xml:space="preserve">GÀNH HÀO </t>
  </si>
  <si>
    <t>BẢNG XE TẢI KHO BÌNH DƯƠNG</t>
  </si>
  <si>
    <t>ĐỊNH QUÁN</t>
  </si>
  <si>
    <t>ĐẠI PHƯỚC</t>
  </si>
  <si>
    <t>LỘC NINH</t>
  </si>
  <si>
    <t>ĐỨC TRỌNG</t>
  </si>
  <si>
    <t>PHƯỚC ĐÔNG</t>
  </si>
  <si>
    <t>TAM PHƯỚC</t>
  </si>
  <si>
    <t>MỸ HẠNH NAM</t>
  </si>
  <si>
    <t>DODO</t>
  </si>
  <si>
    <t>HỘI NGHĨA</t>
  </si>
  <si>
    <t>MONO</t>
  </si>
  <si>
    <t>PHÚ CHÁNH</t>
  </si>
  <si>
    <t>THỦ DẦU 1</t>
  </si>
  <si>
    <t>T12</t>
  </si>
  <si>
    <t xml:space="preserve">TUẦN 5 </t>
  </si>
  <si>
    <t>KHÔ TẾT</t>
  </si>
  <si>
    <t>ĐÔNG TẾT</t>
  </si>
  <si>
    <t>ĐH 19/12</t>
  </si>
  <si>
    <t>ĐH 2/1</t>
  </si>
  <si>
    <r>
      <rPr>
        <rFont val="Times New Roman"/>
        <color theme="1"/>
        <sz val="18.0"/>
      </rPr>
      <t>ĐH 16/1(</t>
    </r>
    <r>
      <rPr>
        <rFont val="Times New Roman"/>
        <b/>
        <color theme="1"/>
        <sz val="11.0"/>
      </rPr>
      <t>TRỪ 22TH GIẤY</t>
    </r>
    <r>
      <rPr>
        <rFont val="Times New Roman"/>
        <color theme="1"/>
        <sz val="18.0"/>
      </rPr>
      <t>)</t>
    </r>
  </si>
  <si>
    <t>DH 30/1</t>
  </si>
  <si>
    <t>862819963 NGÂN</t>
  </si>
  <si>
    <t>ĐH 7/5</t>
  </si>
  <si>
    <t>ĐH 14/5</t>
  </si>
  <si>
    <t>ĐH 21/5</t>
  </si>
  <si>
    <t>ĐH 28/5</t>
  </si>
  <si>
    <t>ĐH 4/6</t>
  </si>
  <si>
    <t>ĐH 11/6</t>
  </si>
  <si>
    <t>làm công nợ tuần 2/6 rồi</t>
  </si>
  <si>
    <t>0969669902 VƯƠNG</t>
  </si>
  <si>
    <t>0909629668 TIẾN</t>
  </si>
  <si>
    <t>PHƯỢNG</t>
  </si>
  <si>
    <t>02916270093 NHƯ</t>
  </si>
  <si>
    <t>0356581500 TÚ</t>
  </si>
  <si>
    <t>ĐẠT PHAN</t>
  </si>
  <si>
    <t>0357284637 CÔNG VINH</t>
  </si>
  <si>
    <t>0328521752 THIÊN LỘC</t>
  </si>
  <si>
    <t>chưa tính công nợ ngày 30/5(46,668,000)</t>
  </si>
  <si>
    <t>318466500</t>
  </si>
  <si>
    <t>417396500</t>
  </si>
  <si>
    <t>Trừ 39kg kim chi vào công nợ 3/1</t>
  </si>
  <si>
    <t xml:space="preserve">THÁNG </t>
  </si>
  <si>
    <t xml:space="preserve">TUẦN 2/1 </t>
  </si>
  <si>
    <t>Phú hoà trả về 2 thùng vị mỳ 35kg (14/1)</t>
  </si>
  <si>
    <t>TUẦN 1/1</t>
  </si>
  <si>
    <t>Trần đề gửi về 7 thùng giấy</t>
  </si>
  <si>
    <t>TUẦN 1/2</t>
  </si>
  <si>
    <t>TUẦN 2/1</t>
  </si>
  <si>
    <t>An phú gửi về 28 thùng giấy (7/1)</t>
  </si>
  <si>
    <t>TUẦN 3/1</t>
  </si>
  <si>
    <t>An Phú gửi về 28 thùng giấy (21/1)</t>
  </si>
  <si>
    <t>TUẦN 5/1</t>
  </si>
  <si>
    <t>TUẦN 2/1 (30/12-10/1)</t>
  </si>
  <si>
    <t>châu phú trả về 46 thùng giấy (7/1)</t>
  </si>
  <si>
    <t xml:space="preserve">Châu phú gửi về 33 thùng giấy (29/1)
</t>
  </si>
  <si>
    <t>Quốc thái gửi về 25 thùng giấy (6/1)</t>
  </si>
  <si>
    <t>Quốc Thái gửi về 19 thùng giấy (21/1)</t>
  </si>
  <si>
    <t xml:space="preserve">TRỪ 18KG CÁ VIÊN </t>
  </si>
  <si>
    <t>TUẦN 5/12</t>
  </si>
  <si>
    <t>DH T1</t>
  </si>
  <si>
    <t>TÍNH VÀO CN T1</t>
  </si>
  <si>
    <t>tính vào t1</t>
  </si>
  <si>
    <t>ĐƠN TẾT (khô)</t>
  </si>
  <si>
    <t>TUẦN 1 (6/1)</t>
  </si>
  <si>
    <t>TUẦN 1 (5/1)</t>
  </si>
  <si>
    <t>TUẦN 1 T12</t>
  </si>
  <si>
    <t>TUẦN 2 T12</t>
  </si>
  <si>
    <t>TUẦN 4 T12</t>
  </si>
  <si>
    <t>TUẦN 5 T12</t>
  </si>
  <si>
    <t>TUẦN 3 T1</t>
  </si>
  <si>
    <t>Thanh toán múa lân</t>
  </si>
  <si>
    <t>CHIBA</t>
  </si>
  <si>
    <t>TT THỨ 11</t>
  </si>
  <si>
    <t>ĐH TUẦN 1 T6</t>
  </si>
  <si>
    <t>ĐH TUẦN 2 T6</t>
  </si>
  <si>
    <t>QUÁN LẨU A LONG</t>
  </si>
  <si>
    <t>ĐH THÁNG 5</t>
  </si>
  <si>
    <t>ĐƠN KHAI TRƯƠNG
 PHƯỚC ĐÔNG</t>
  </si>
  <si>
    <t>Thanh toán 17/1</t>
  </si>
  <si>
    <t>ĐƠN HÀNG CÒN LẠI</t>
  </si>
  <si>
    <t>ĐƠN KHAI TRƯƠNG
 MINH LƯƠNG</t>
  </si>
  <si>
    <t>Thanh toán</t>
  </si>
  <si>
    <t>ĐƠN KHAI TRƯƠNG
 PHÚ CHÁNH</t>
  </si>
  <si>
    <t>Thanh toán 31/10</t>
  </si>
  <si>
    <t>Thanh toán 22/11</t>
  </si>
  <si>
    <t>Trừ tiền lãng hoa Công ty</t>
  </si>
  <si>
    <t>THANH TOÁN</t>
  </si>
  <si>
    <t>ĐƠN KHAI TRƯƠNG
 TRẦN VĂN THỜI</t>
  </si>
  <si>
    <t>Hổ trợ tiền múa lân</t>
  </si>
  <si>
    <t>Thanh toán lãng hoa</t>
  </si>
  <si>
    <t>TT 23/1</t>
  </si>
  <si>
    <t>ĐƠN KHAI TRƯƠNG
 ÓC EO</t>
  </si>
  <si>
    <t>Thanh toán 9/10</t>
  </si>
  <si>
    <t>Thanh toán 24/11</t>
  </si>
  <si>
    <t>ĐƠN KHAI TRƯƠNG
 THẠNH HÓA</t>
  </si>
  <si>
    <t>Thanh toán 28/10</t>
  </si>
  <si>
    <t>Thanh toán 02/11</t>
  </si>
  <si>
    <t>ĐƠN KHAI TRƯƠNG
 TÂN HƯƠNG</t>
  </si>
  <si>
    <t>Lương hổ trợ 4 ngày
 (nv Tân Châu)</t>
  </si>
  <si>
    <t>Tiền ăn nv hổ trợ</t>
  </si>
  <si>
    <t>Tiền ks nv hổ trợ</t>
  </si>
  <si>
    <t>Lãng hoa chi nhánh</t>
  </si>
  <si>
    <t>Hổ trợ 50% múa lân</t>
  </si>
  <si>
    <t>20% Anh Ân</t>
  </si>
  <si>
    <t>THANH TOÁN 12/12</t>
  </si>
  <si>
    <t>ĐƠN KHAI TRƯƠNG
 ĐẠI PHƯỚC</t>
  </si>
  <si>
    <t>Thanh tóan</t>
  </si>
  <si>
    <t>ĐƠN KHAI TRƯƠNG
 PHƯỚC LONG</t>
  </si>
  <si>
    <t>Trừ 4 lồng đèn vàng cong</t>
  </si>
  <si>
    <t>Lãng hoa</t>
  </si>
  <si>
    <t>Đơn đồ bếp</t>
  </si>
  <si>
    <t>Thanh toán 4/11</t>
  </si>
  <si>
    <t>Thanh toán 15/12</t>
  </si>
  <si>
    <t>Thanh toán 2/1</t>
  </si>
  <si>
    <t>ĐƠN KHAI TRƯƠNG
 NGÃ 5 TÂN THÀNH</t>
  </si>
  <si>
    <t>TT 20/1</t>
  </si>
  <si>
    <t>ĐƠN KHAI TRƯƠNG
 KẾ SÁCH</t>
  </si>
  <si>
    <t>Thanh toán 26/9</t>
  </si>
  <si>
    <t>Thanh toán 27/9</t>
  </si>
  <si>
    <t>Thanh toán 6/10</t>
  </si>
  <si>
    <t>Thanh toán 3/11</t>
  </si>
  <si>
    <t>Thanh toán 16/11</t>
  </si>
  <si>
    <t>Thanh toán 2/12</t>
  </si>
  <si>
    <t>ĐƠN KHAI TRƯƠNG
 TÂN AN</t>
  </si>
  <si>
    <t>Trừ đơn QC FB</t>
  </si>
  <si>
    <t>Trừ chênh lệch
 hộp khăn giấy</t>
  </si>
  <si>
    <t>30tr tiền cọc, 3 lẵng hoa</t>
  </si>
  <si>
    <t>THANH TOÁN 12/1</t>
  </si>
  <si>
    <t>ĐƠN KHAI TRƯƠNG
 THANH BÌNH</t>
  </si>
  <si>
    <t>Vật tư xây dựng</t>
  </si>
  <si>
    <t>Bảng hiệu Yagami</t>
  </si>
  <si>
    <t>Tổng tiền công và
 vật tư điện</t>
  </si>
  <si>
    <t>TRỪ 10 NỒI 2 NGĂN</t>
  </si>
  <si>
    <t>TRỪ 1 TỦ MÁT</t>
  </si>
  <si>
    <t>TRỪ GHẾ CHỜ</t>
  </si>
  <si>
    <t>TRỪ 1 MẶT BÀN 60x1M2</t>
  </si>
  <si>
    <t>ĐƠN KHAI TRƯƠNG
HUỲNH HỮU NGHĨA</t>
  </si>
  <si>
    <t>TRỪ LẠI 5TR TIỀN LẺ</t>
  </si>
  <si>
    <t>LÃNG HOA CÔNG TY</t>
  </si>
  <si>
    <t>TRỪ LẠI TIỀN NV HỔ TRỢ</t>
  </si>
  <si>
    <t>BĂNG RÔN
SẮP KHAI TRƯƠNG</t>
  </si>
  <si>
    <t>HỔ TRỢ 50% TIỀN MÚA LÂN</t>
  </si>
  <si>
    <t>ĐƠN KHAI TRƯƠNG
 TAM PHƯỚC</t>
  </si>
  <si>
    <t>ĐƠN KHAI TRƯƠNG
 MỸ HẠNH NAM</t>
  </si>
  <si>
    <t>ĐƠN KHAI TRƯƠNG
 ĐỨC HUỆ</t>
  </si>
  <si>
    <t>Trừ 1 ghế sofa</t>
  </si>
  <si>
    <t>TT 27/1</t>
  </si>
  <si>
    <t>ĐƠN KHAI TRƯƠNG
 BẠC LIÊU</t>
  </si>
  <si>
    <t>Thanh toán 27/12</t>
  </si>
  <si>
    <t>ĐƠN KHAI TRƯƠNG
 LONG PHÚ</t>
  </si>
  <si>
    <t>TRỪ LẠI HÀNG TRẢ:</t>
  </si>
  <si>
    <t>40 bình nước Yagami</t>
  </si>
  <si>
    <t>22 hộp ống đũa gỗ</t>
  </si>
  <si>
    <t>6 hộp khăn giấy gỗ</t>
  </si>
  <si>
    <t>14 lồng đèn đen lùn</t>
  </si>
  <si>
    <t>4 lồng đèn xám</t>
  </si>
  <si>
    <t>2 bếp chiên điện</t>
  </si>
  <si>
    <t>THANH TOÁN 15/1</t>
  </si>
  <si>
    <t>THANH TOÁN 22/1</t>
  </si>
  <si>
    <t>THANH TOÁN 15/2</t>
  </si>
  <si>
    <t>ĐƠN KHAI TRƯƠNG
 ĐỊNH QUÁN</t>
  </si>
  <si>
    <t>ĐƠN KHAI TRƯƠNG
 HỘI NGHĨA</t>
  </si>
  <si>
    <t>ĐƠN KHAI TRƯƠNG
  TT THỨ 11</t>
  </si>
  <si>
    <t>Trừ tiền lãng hoa</t>
  </si>
  <si>
    <t>Trừ 5tr tiền lẻ</t>
  </si>
  <si>
    <t>ĐƠN KHAI TRƯƠNG
  TÂN THẠNH</t>
  </si>
  <si>
    <t>ĐƠN KHAI TRƯƠNG LẠI
  SÔNG ĐỐC</t>
  </si>
  <si>
    <t>THANH TOÁN 16/4</t>
  </si>
  <si>
    <t>ĐƠN KHAI TRƯƠNG LẠI
  CẦN ĐƯỚC</t>
  </si>
  <si>
    <t>THANH TOÁN 2/3</t>
  </si>
  <si>
    <t>THANH TOÁN 2/4</t>
  </si>
  <si>
    <t>ĐƠN KHAI TRƯƠNG
  ĐỨC TRỌNG</t>
  </si>
  <si>
    <t>TRỪ TIỀN CỌC</t>
  </si>
  <si>
    <t>Trả đơn combo bọc ly</t>
  </si>
  <si>
    <t>THANH TOÁN 10/2</t>
  </si>
  <si>
    <t>CHỈNH LẠI NỘI THẤT</t>
  </si>
  <si>
    <t>THANH TOÁN 17/4</t>
  </si>
  <si>
    <t>ĐƠN KHAI TRƯƠNG
  CẦN THƠ</t>
  </si>
  <si>
    <t>ĐƠN KHAI TRƯƠNG
  AN THẠNH</t>
  </si>
  <si>
    <t>THANH TOÁN 24/2</t>
  </si>
  <si>
    <t>THANH TOÁN 25/2</t>
  </si>
  <si>
    <t>THANH TOÁN 22/4</t>
  </si>
  <si>
    <t>ĐƠN KHAI TRƯƠNG
  PHÚ TÂM</t>
  </si>
  <si>
    <t>Thanh toán wifi máy tính</t>
  </si>
  <si>
    <t>THANH TOÁN 7/3</t>
  </si>
  <si>
    <t>ĐƠN KHAI TRƯƠNG
  PHÚ LỘC</t>
  </si>
  <si>
    <t>Trừ 2 dao cắt bánh pizza</t>
  </si>
  <si>
    <t>Trừ lại nv hổ trợ</t>
  </si>
  <si>
    <t>THANH TOÁN 13/2</t>
  </si>
  <si>
    <t>THANH TOÁN 6/3</t>
  </si>
  <si>
    <t>THANH TOÁN 15/3</t>
  </si>
  <si>
    <t>THANH TOÁN 23/4</t>
  </si>
  <si>
    <t>THANH TOÁN 29/5</t>
  </si>
  <si>
    <t>ĐƠN KHAI TRƯƠNG LẠI
  CÁI TẮC</t>
  </si>
  <si>
    <t>THANH TOÁN 16/2</t>
  </si>
  <si>
    <t>TRỪ LẠI TIỀN XE</t>
  </si>
  <si>
    <t>LẴNG HOA</t>
  </si>
  <si>
    <t>TT 12/3</t>
  </si>
  <si>
    <t>ĐƠN KHAI TRƯƠNG LẠI
  GIÁ RAI</t>
  </si>
  <si>
    <t>ĐƠN KHAI TRƯƠNG LẠI
  SA ĐÉC</t>
  </si>
  <si>
    <t>THANH TOÁN 10/4</t>
  </si>
  <si>
    <t>THANH TOÁN 11/6</t>
  </si>
  <si>
    <t>KAZAN HỒNG NGỰ</t>
  </si>
  <si>
    <t>ĐH 5/1</t>
  </si>
  <si>
    <t>ĐH 6/1</t>
  </si>
  <si>
    <t>Lãng hoa mừng khai trương
(Chiba, Cần Thơ)</t>
  </si>
  <si>
    <t>THANH TOÁN 18/5</t>
  </si>
  <si>
    <t>ĐƠN KHAI TRƯƠNG
  TUY HÒA</t>
  </si>
  <si>
    <t>Thanh toán 24/3</t>
  </si>
  <si>
    <t>Thanh toán 14/4</t>
  </si>
  <si>
    <t>ĐƠN KHAI TRƯƠNG
  TRẢNG DÀI</t>
  </si>
  <si>
    <t>THANH TOÁN 19/4</t>
  </si>
  <si>
    <t>50% tiền quảng cáo</t>
  </si>
  <si>
    <t>Lẵng hoa khai trương</t>
  </si>
  <si>
    <t>2 lồng đèn xám</t>
  </si>
  <si>
    <t>Tiền lắp mặt bàn</t>
  </si>
  <si>
    <t>THANH TOÁN 5/5</t>
  </si>
  <si>
    <t>ĐƠN KHAI TRƯƠNG
  TÂN BIÊN</t>
  </si>
  <si>
    <t>THANH TOÁN 26/5</t>
  </si>
  <si>
    <t>ĐƠN KHAI TRƯƠNG
  TRƯỜNG XUÂN</t>
  </si>
  <si>
    <t>Trừ lại chệnh lệch tiền vách</t>
  </si>
  <si>
    <t>ĐƠN KHAI TRƯƠNG
  CHỢ VÀM</t>
  </si>
  <si>
    <t>LÃNG HOA KHAI TRƯƠNG</t>
  </si>
  <si>
    <t>Trừ:
1 lồng đèn đỏ CNC 800k
8b súp nấm 1.040k
12b gà cuộn rong biển 1.680k
1 chai vani 185k
1 chai caramel 185k</t>
  </si>
  <si>
    <t>ĐƠN KHAI TRƯƠNG LẠI
  TRI TÔN</t>
  </si>
  <si>
    <t>THANH TOÁN 3/6</t>
  </si>
  <si>
    <t>ĐƠN KHAI TRƯƠNG
  GIỒNG TRÔM</t>
  </si>
  <si>
    <t>TRẢ 1 THÙNG RÁC 240L</t>
  </si>
  <si>
    <t>THANH TOÁN 13/4</t>
  </si>
  <si>
    <t>TRỪ: 
5b sốt gà cay 700k
80h pizza lớn 304k</t>
  </si>
  <si>
    <t>THANH TOÁN 20/4</t>
  </si>
  <si>
    <t>THANH TOÁN 21/4</t>
  </si>
  <si>
    <t>Lãng hoa Công Ty</t>
  </si>
  <si>
    <t>THANH TOÁN 19/5</t>
  </si>
  <si>
    <t>ĐƠN KHAI TRƯƠNG LẠI
  BÀ RỊA</t>
  </si>
  <si>
    <t>ĐƠN KHAI TRƯƠNG
  CHIBA TÂN CHÂU</t>
  </si>
  <si>
    <t>BỔ SUNG</t>
  </si>
  <si>
    <t>1. Phát sinh nội thất</t>
  </si>
  <si>
    <t>2. Cọc máy rửa chén</t>
  </si>
  <si>
    <t>3. Bill cửa kính</t>
  </si>
  <si>
    <t>4. Thanh toán đơn máy tính, mạng, camera</t>
  </si>
  <si>
    <t>TRỪ LẠI</t>
  </si>
  <si>
    <t>1. Múa lân (hổ trợ 50%)</t>
  </si>
  <si>
    <t>2. Áo quản lý</t>
  </si>
  <si>
    <t>3. Lãng hoa khai trương</t>
  </si>
  <si>
    <t>4. 6 hủ gạo Trung</t>
  </si>
  <si>
    <t>5. 3 lồng đèn chữ Nhật</t>
  </si>
  <si>
    <t>TIỀN NV HỔ TRỢ</t>
  </si>
  <si>
    <t>ĐƠN HÀNG</t>
  </si>
  <si>
    <t>ĐƠN KHAI TRƯƠNG
  CÂY DƯƠNG</t>
  </si>
  <si>
    <t>THANH TOÁN 2/6</t>
  </si>
  <si>
    <t>THANH TOÁN 7/6</t>
  </si>
  <si>
    <t>THANH TOÁN 9/6</t>
  </si>
  <si>
    <t>THANH TOÁN 12/6</t>
  </si>
  <si>
    <t>ĐƠN KHAI TRƯƠNG
  MŨI NÉ</t>
  </si>
  <si>
    <t>ĐƠN KHAI TRƯƠNG LẠI
  ĐẦM DƠI</t>
  </si>
  <si>
    <t>ĐƠN KHAI TRƯƠNG LẠI
  BÌNH MINH</t>
  </si>
  <si>
    <t>ĐƠN KHAI TRƯƠNG LẠI
  HÒA BÌNH</t>
  </si>
  <si>
    <t>T5</t>
  </si>
  <si>
    <t>Ngã 5 - ST</t>
  </si>
  <si>
    <t>Sa Đéc</t>
  </si>
  <si>
    <t>TT TIỀN BẢNG HIỆU, CỬA KÍNH 25/2</t>
  </si>
  <si>
    <t>Cái Tàu Hạ</t>
  </si>
  <si>
    <t>Hòa Phú - VL</t>
  </si>
  <si>
    <t xml:space="preserve">Thốt Nốt </t>
  </si>
  <si>
    <t>T4</t>
  </si>
  <si>
    <t xml:space="preserve">TUẦN 4 </t>
  </si>
  <si>
    <t>Lai Vung</t>
  </si>
  <si>
    <t>Lấp Vò</t>
  </si>
  <si>
    <t>Kiến Tường</t>
  </si>
  <si>
    <t>T2</t>
  </si>
  <si>
    <t>T3</t>
  </si>
  <si>
    <t>Chợ Mới</t>
  </si>
  <si>
    <t>Tiền nhân viên hỗ trợ</t>
  </si>
  <si>
    <t>Mỹ Luông</t>
  </si>
  <si>
    <t>Long Xuyên</t>
  </si>
  <si>
    <t>ĐH 7/2</t>
  </si>
  <si>
    <t>ĐH 4/3</t>
  </si>
  <si>
    <t>ĐH 3/4</t>
  </si>
  <si>
    <t>ĐH 2/6</t>
  </si>
  <si>
    <t>Châu Đốc</t>
  </si>
  <si>
    <t>Cà Mau</t>
  </si>
  <si>
    <t>Rạch Gía</t>
  </si>
  <si>
    <t>BẢNG CÔNG NỢ THÁNG 6</t>
  </si>
  <si>
    <t>TUẦN 4/5</t>
  </si>
  <si>
    <t>TUÀN 3/5</t>
  </si>
  <si>
    <t>TUẦN  2/6</t>
  </si>
  <si>
    <t xml:space="preserve">0369057951 </t>
  </si>
  <si>
    <t>TUẦN 2/4</t>
  </si>
  <si>
    <t>TUẦN 3/4</t>
  </si>
  <si>
    <t>An phú gửi về 19 thùng giaya</t>
  </si>
  <si>
    <t>DS CHI NHÁNH MƯỢN TỦ MÁT</t>
  </si>
  <si>
    <t>STT</t>
  </si>
  <si>
    <t>TÊN CHI NHÁNH</t>
  </si>
  <si>
    <t>NGÀY MƯỢN</t>
  </si>
  <si>
    <t>NGÀY TRẢ</t>
  </si>
  <si>
    <t>mua</t>
  </si>
  <si>
    <t>trả về</t>
  </si>
  <si>
    <t>sóc trăng</t>
  </si>
  <si>
    <t>Mua</t>
  </si>
  <si>
    <t>tân châu</t>
  </si>
  <si>
    <t>Thốt Nốt</t>
  </si>
  <si>
    <t>33 QUẢN LÝ XÁM</t>
  </si>
  <si>
    <t>Sông Đốc</t>
  </si>
  <si>
    <t>30 ÁO VÀNG TAY TRẮNG</t>
  </si>
  <si>
    <t>36 ĐEN VIỀN ĐỎ</t>
  </si>
  <si>
    <t>Vũng Tàu</t>
  </si>
  <si>
    <t>222 ĐEN VIỀN VÀNG</t>
  </si>
  <si>
    <t>30 ÁO ĐỎ TAY TRẮNG</t>
  </si>
  <si>
    <t>bao lì xì</t>
  </si>
  <si>
    <t>Đã giao</t>
  </si>
  <si>
    <t>đã giao</t>
  </si>
  <si>
    <t>ĐÃ GIAO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</si>
</sst>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\ [$đ-42A]"/>
    <numFmt numFmtId="165" formatCode="d/m"/>
    <numFmt numFmtId="166" formatCode="&quot;NGÀY &quot;d/m"/>
    <numFmt numFmtId="167" formatCode="&quot;Ngày &quot;d/m"/>
    <numFmt numFmtId="168" formatCode="0000000000"/>
    <numFmt numFmtId="169" formatCode="#,##0.00\ [$đ-42A]"/>
    <numFmt numFmtId="170" formatCode="d/m/yyyy"/>
  </numFmts>
  <fonts count="75">
    <font>
      <sz val="11.0"/>
      <color theme="1"/>
      <name val="Calibri"/>
      <scheme val="minor"/>
    </font>
    <font>
      <color theme="1"/>
      <name val="Calibri"/>
    </font>
    <font>
      <b/>
      <sz val="14.0"/>
      <color theme="1"/>
      <name val="Calibri"/>
    </font>
    <font/>
    <font>
      <sz val="14.0"/>
      <color theme="1"/>
      <name val="Calibri"/>
    </font>
    <font>
      <sz val="14.0"/>
      <color rgb="FF000000"/>
      <name val="Calibri"/>
    </font>
    <font>
      <sz val="15.0"/>
      <color theme="1"/>
      <name val="Calibri"/>
    </font>
    <font>
      <sz val="13.0"/>
      <color theme="1"/>
      <name val="Calibri"/>
    </font>
    <font>
      <sz val="11.0"/>
      <color rgb="FF000000"/>
      <name val="Calibri"/>
    </font>
    <font>
      <sz val="16.0"/>
      <color theme="1"/>
      <name val="Calibri"/>
    </font>
    <font>
      <color theme="1"/>
      <name val="Calibri"/>
      <scheme val="minor"/>
    </font>
    <font>
      <sz val="14.0"/>
      <color rgb="FFFF0000"/>
      <name val="Calibri"/>
    </font>
    <font>
      <b/>
      <sz val="14.0"/>
      <color rgb="FFFF0000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color rgb="FFFF0000"/>
      <name val="Calibri"/>
      <scheme val="minor"/>
    </font>
    <font>
      <color rgb="FF000000"/>
      <name val="Calibri"/>
    </font>
    <font>
      <sz val="9.0"/>
      <color theme="1"/>
      <name val="Calibri"/>
    </font>
    <font>
      <b/>
      <sz val="10.0"/>
      <color theme="1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i/>
      <sz val="11.0"/>
      <color theme="1"/>
      <name val="Calibri"/>
    </font>
    <font>
      <b/>
      <color rgb="FFFF0000"/>
      <name val="Calibri"/>
      <scheme val="minor"/>
    </font>
    <font>
      <b/>
      <color theme="1"/>
      <name val="Calibri"/>
      <scheme val="minor"/>
    </font>
    <font>
      <sz val="15.0"/>
      <color rgb="FF000000"/>
      <name val="Calibri"/>
    </font>
    <font>
      <sz val="15.0"/>
      <color theme="1"/>
      <name val="Calibri"/>
      <scheme val="minor"/>
    </font>
    <font>
      <i/>
      <sz val="14.0"/>
      <color theme="1"/>
      <name val="Calibri"/>
    </font>
    <font>
      <b/>
      <sz val="14.0"/>
      <color theme="1"/>
      <name val="Calibri"/>
      <scheme val="minor"/>
    </font>
    <font>
      <sz val="14.0"/>
      <color rgb="FF000000"/>
      <name val="&quot;Times New Roman&quot;"/>
    </font>
    <font>
      <sz val="12.0"/>
      <color theme="1"/>
      <name val="Calibri"/>
    </font>
    <font>
      <sz val="12.0"/>
      <color theme="1"/>
      <name val="Calibri"/>
      <scheme val="minor"/>
    </font>
    <font>
      <sz val="10.0"/>
      <color theme="1"/>
      <name val="Calibri"/>
    </font>
    <font>
      <sz val="10.0"/>
      <color theme="1"/>
      <name val="Calibri"/>
      <scheme val="minor"/>
    </font>
    <font>
      <sz val="13.0"/>
      <color theme="1"/>
      <name val="Calibri"/>
      <scheme val="minor"/>
    </font>
    <font>
      <b/>
      <sz val="14.0"/>
      <color rgb="FF000000"/>
      <name val="Calibri"/>
    </font>
    <font>
      <sz val="14.0"/>
      <color rgb="FFFF0000"/>
      <name val="Calibri"/>
      <scheme val="minor"/>
    </font>
    <font>
      <b/>
      <sz val="14.0"/>
      <color rgb="FFFF0000"/>
      <name val="Calibri"/>
      <scheme val="minor"/>
    </font>
    <font>
      <sz val="18.0"/>
      <color theme="1"/>
      <name val="Times New Roman"/>
    </font>
    <font>
      <b/>
      <sz val="18.0"/>
      <color theme="1"/>
      <name val="Times New Roman"/>
    </font>
    <font>
      <sz val="18.0"/>
      <color rgb="FF000000"/>
      <name val="Times New Roman"/>
    </font>
    <font>
      <sz val="36.0"/>
      <color theme="1"/>
      <name val="Times New Roman"/>
    </font>
    <font>
      <b/>
      <sz val="18.0"/>
      <color rgb="FF000000"/>
      <name val="Times New Roman"/>
    </font>
    <font>
      <i/>
      <sz val="18.0"/>
      <color theme="1"/>
      <name val="Times New Roman"/>
    </font>
    <font>
      <sz val="17.0"/>
      <color theme="1"/>
      <name val="Calibri"/>
      <scheme val="minor"/>
    </font>
    <font>
      <sz val="18.0"/>
      <color theme="1"/>
      <name val="Calibri"/>
      <scheme val="minor"/>
    </font>
    <font>
      <sz val="16.0"/>
      <color theme="1"/>
      <name val="Calibri"/>
      <scheme val="minor"/>
    </font>
    <font>
      <sz val="17.0"/>
      <color theme="1"/>
      <name val="Times New Roman"/>
    </font>
    <font>
      <sz val="16.0"/>
      <color theme="1"/>
      <name val="Times New Roman"/>
    </font>
    <font>
      <sz val="18.0"/>
      <color rgb="FFFF0000"/>
      <name val="Times New Roman"/>
    </font>
    <font>
      <sz val="15.0"/>
      <color theme="1"/>
      <name val="Times New Roman"/>
    </font>
    <font>
      <sz val="19.0"/>
      <color theme="1"/>
      <name val="Calibri"/>
      <scheme val="minor"/>
    </font>
    <font>
      <sz val="18.0"/>
      <color rgb="FF000000"/>
      <name val="Calibri"/>
    </font>
    <font>
      <b/>
      <sz val="12.0"/>
      <color rgb="FF000000"/>
      <name val="Calibri"/>
    </font>
    <font>
      <sz val="17.0"/>
      <color rgb="FF000000"/>
      <name val="Calibri"/>
    </font>
    <font>
      <sz val="22.0"/>
      <color rgb="FF000000"/>
      <name val="Pacifico"/>
    </font>
    <font>
      <sz val="10.0"/>
      <color theme="1"/>
      <name val="Times New Roman"/>
    </font>
    <font>
      <sz val="19.0"/>
      <color theme="1"/>
      <name val="Calibri"/>
    </font>
    <font>
      <sz val="20.0"/>
      <color theme="1"/>
      <name val="Calibri"/>
      <scheme val="minor"/>
    </font>
    <font>
      <sz val="18.0"/>
      <color theme="1"/>
      <name val="Lora"/>
    </font>
    <font>
      <sz val="20.0"/>
      <color theme="1"/>
      <name val="Times New Roman"/>
    </font>
    <font>
      <b/>
      <sz val="18.0"/>
      <color rgb="FF980000"/>
      <name val="Lobster"/>
    </font>
    <font>
      <b/>
      <i/>
      <sz val="18.0"/>
      <color rgb="FF980000"/>
      <name val="Lobster"/>
    </font>
    <font>
      <b/>
      <i/>
      <sz val="18.0"/>
      <color theme="1"/>
      <name val="Times New Roman"/>
    </font>
    <font>
      <sz val="18.0"/>
      <color rgb="FF980000"/>
      <name val="Times New Roman"/>
    </font>
    <font>
      <b/>
      <sz val="13.0"/>
      <color rgb="FF000000"/>
      <name val="&quot;Times New Roman&quot;"/>
    </font>
    <font>
      <b/>
      <sz val="15.0"/>
      <color rgb="FF000000"/>
      <name val="&quot;Times New Roman&quot;"/>
    </font>
    <font>
      <b/>
      <sz val="12.0"/>
      <color rgb="FF000000"/>
      <name val="&quot;Times New Roman&quot;"/>
    </font>
    <font>
      <b/>
      <sz val="14.0"/>
      <color rgb="FF000000"/>
      <name val="&quot;Times New Roman&quot;"/>
    </font>
    <font>
      <sz val="18.0"/>
      <color theme="1"/>
      <name val="Calibri"/>
    </font>
    <font>
      <sz val="19.0"/>
      <color theme="1"/>
      <name val="Times New Roman"/>
    </font>
    <font>
      <b/>
      <sz val="12.0"/>
      <color theme="1"/>
      <name val="Calibri"/>
      <scheme val="minor"/>
    </font>
    <font>
      <color theme="1"/>
      <name val="Times New Roman"/>
    </font>
    <font>
      <b/>
      <sz val="18.0"/>
      <color rgb="FF980000"/>
      <name val="Times New Roman"/>
    </font>
    <font>
      <b/>
      <i/>
      <sz val="18.0"/>
      <color rgb="FF980000"/>
      <name val="Times New Roman"/>
    </font>
    <font>
      <b/>
      <color theme="1"/>
      <name val="Times New Roman"/>
    </font>
  </fonts>
  <fills count="2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ABF5AD"/>
        <bgColor rgb="FFABF5AD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F79646"/>
        <bgColor rgb="FFF7964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</fills>
  <borders count="6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double">
        <color rgb="FF4F81BD"/>
      </right>
      <top style="thick">
        <color rgb="FF000000"/>
      </top>
    </border>
    <border>
      <left style="double">
        <color rgb="FF4F81BD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4F81BD"/>
      </right>
      <top style="double">
        <color rgb="FF000000"/>
      </top>
      <bottom style="double">
        <color rgb="FF000000"/>
      </bottom>
    </border>
    <border>
      <left style="double">
        <color rgb="FF4F81BD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4F81BD"/>
      </right>
    </border>
    <border>
      <left style="double">
        <color rgb="FF4F81BD"/>
      </left>
      <right style="thick">
        <color rgb="FF000000"/>
      </right>
    </border>
    <border>
      <left style="thick">
        <color rgb="FF000000"/>
      </left>
      <right style="double">
        <color rgb="FF4F81BD"/>
      </right>
      <bottom style="thick">
        <color rgb="FF000000"/>
      </bottom>
    </border>
    <border>
      <left style="double">
        <color rgb="FF4F81BD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thick">
        <color rgb="FF000000"/>
      </right>
    </border>
    <border>
      <left style="double">
        <color rgb="FF4F81BD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thick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ck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</border>
    <border>
      <right style="double">
        <color rgb="FF000000"/>
      </right>
      <top style="double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double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ck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double">
        <color rgb="FF4F81BD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10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3" xfId="0" applyFont="1" applyNumberFormat="1"/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ont="1">
      <alignment horizontal="center"/>
    </xf>
    <xf borderId="4" fillId="3" fontId="2" numFmtId="3" xfId="0" applyAlignment="1" applyBorder="1" applyFont="1" applyNumberFormat="1">
      <alignment horizontal="center"/>
    </xf>
    <xf borderId="0" fillId="4" fontId="4" numFmtId="49" xfId="0" applyAlignment="1" applyFill="1" applyFont="1" applyNumberFormat="1">
      <alignment horizontal="center" vertical="center"/>
    </xf>
    <xf borderId="0" fillId="2" fontId="4" numFmtId="0" xfId="0" applyFont="1"/>
    <xf borderId="0" fillId="2" fontId="4" numFmtId="3" xfId="0" applyFont="1" applyNumberFormat="1"/>
    <xf borderId="0" fillId="0" fontId="4" numFmtId="3" xfId="0" applyAlignment="1" applyFont="1" applyNumberFormat="1">
      <alignment horizontal="center" vertical="center"/>
    </xf>
    <xf borderId="5" fillId="5" fontId="4" numFmtId="49" xfId="0" applyAlignment="1" applyBorder="1" applyFill="1" applyFont="1" applyNumberFormat="1">
      <alignment horizontal="center" vertical="center"/>
    </xf>
    <xf borderId="6" fillId="4" fontId="5" numFmtId="0" xfId="0" applyAlignment="1" applyBorder="1" applyFont="1">
      <alignment shrinkToFit="0" vertical="bottom" wrapText="0"/>
    </xf>
    <xf borderId="4" fillId="4" fontId="5" numFmtId="3" xfId="0" applyAlignment="1" applyBorder="1" applyFont="1" applyNumberFormat="1">
      <alignment horizontal="center" shrinkToFit="0" wrapText="0"/>
    </xf>
    <xf borderId="3" fillId="0" fontId="5" numFmtId="3" xfId="0" applyAlignment="1" applyBorder="1" applyFont="1" applyNumberFormat="1">
      <alignment horizontal="left" shrinkToFit="0" vertical="bottom" wrapText="0"/>
    </xf>
    <xf borderId="7" fillId="5" fontId="4" numFmtId="3" xfId="0" applyAlignment="1" applyBorder="1" applyFont="1" applyNumberFormat="1">
      <alignment horizontal="center" vertical="center"/>
    </xf>
    <xf borderId="0" fillId="0" fontId="4" numFmtId="3" xfId="0" applyFont="1" applyNumberFormat="1"/>
    <xf borderId="5" fillId="0" fontId="3" numFmtId="0" xfId="0" applyBorder="1" applyFont="1"/>
    <xf borderId="4" fillId="0" fontId="4" numFmtId="3" xfId="0" applyBorder="1" applyFont="1" applyNumberFormat="1"/>
    <xf borderId="0" fillId="0" fontId="1" numFmtId="0" xfId="0" applyFont="1"/>
    <xf borderId="6" fillId="0" fontId="5" numFmtId="3" xfId="0" applyAlignment="1" applyBorder="1" applyFont="1" applyNumberFormat="1">
      <alignment shrinkToFit="0" vertical="bottom" wrapText="0"/>
    </xf>
    <xf borderId="8" fillId="0" fontId="3" numFmtId="0" xfId="0" applyBorder="1" applyFont="1"/>
    <xf borderId="4" fillId="4" fontId="5" numFmtId="0" xfId="0" applyAlignment="1" applyBorder="1" applyFont="1">
      <alignment shrinkToFit="0" vertical="bottom" wrapText="0"/>
    </xf>
    <xf borderId="4" fillId="4" fontId="4" numFmtId="3" xfId="0" applyBorder="1" applyFont="1" applyNumberFormat="1"/>
    <xf borderId="6" fillId="4" fontId="5" numFmtId="3" xfId="0" applyAlignment="1" applyBorder="1" applyFont="1" applyNumberFormat="1">
      <alignment shrinkToFit="0" vertical="bottom" wrapText="0"/>
    </xf>
    <xf borderId="0" fillId="4" fontId="1" numFmtId="0" xfId="0" applyAlignment="1" applyFont="1">
      <alignment readingOrder="0"/>
    </xf>
    <xf borderId="0" fillId="4" fontId="4" numFmtId="0" xfId="0" applyFont="1"/>
    <xf borderId="0" fillId="4" fontId="4" numFmtId="3" xfId="0" applyFont="1" applyNumberFormat="1"/>
    <xf borderId="0" fillId="4" fontId="1" numFmtId="0" xfId="0" applyFont="1"/>
    <xf borderId="4" fillId="0" fontId="4" numFmtId="0" xfId="0" applyBorder="1" applyFont="1"/>
    <xf borderId="3" fillId="0" fontId="5" numFmtId="3" xfId="0" applyAlignment="1" applyBorder="1" applyFont="1" applyNumberFormat="1">
      <alignment shrinkToFit="0" vertical="bottom" wrapText="0"/>
    </xf>
    <xf borderId="0" fillId="2" fontId="4" numFmtId="0" xfId="0" applyAlignment="1" applyFont="1">
      <alignment horizontal="center" vertical="center"/>
    </xf>
    <xf borderId="4" fillId="0" fontId="1" numFmtId="0" xfId="0" applyBorder="1" applyFont="1"/>
    <xf borderId="4" fillId="0" fontId="5" numFmtId="3" xfId="0" applyAlignment="1" applyBorder="1" applyFont="1" applyNumberFormat="1">
      <alignment shrinkToFit="0" vertical="bottom" wrapText="0"/>
    </xf>
    <xf borderId="8" fillId="4" fontId="5" numFmtId="0" xfId="0" applyAlignment="1" applyBorder="1" applyFont="1">
      <alignment shrinkToFit="0" vertical="bottom" wrapText="0"/>
    </xf>
    <xf borderId="6" fillId="0" fontId="5" numFmtId="3" xfId="0" applyAlignment="1" applyBorder="1" applyFont="1" applyNumberFormat="1">
      <alignment horizontal="right" shrinkToFit="0" vertical="bottom" wrapText="0"/>
    </xf>
    <xf borderId="3" fillId="4" fontId="5" numFmtId="0" xfId="0" applyAlignment="1" applyBorder="1" applyFont="1">
      <alignment shrinkToFit="0" vertical="bottom" wrapText="0"/>
    </xf>
    <xf borderId="0" fillId="0" fontId="4" numFmtId="3" xfId="0" applyAlignment="1" applyFont="1" applyNumberFormat="1">
      <alignment horizontal="center"/>
    </xf>
    <xf borderId="6" fillId="0" fontId="5" numFmtId="3" xfId="0" applyAlignment="1" applyBorder="1" applyFont="1" applyNumberFormat="1">
      <alignment horizontal="left" shrinkToFit="0" vertical="bottom" wrapText="0"/>
    </xf>
    <xf borderId="0" fillId="0" fontId="6" numFmtId="0" xfId="0" applyFont="1"/>
    <xf borderId="4" fillId="0" fontId="5" numFmtId="0" xfId="0" applyAlignment="1" applyBorder="1" applyFont="1">
      <alignment shrinkToFit="0" vertical="bottom" wrapText="0"/>
    </xf>
    <xf borderId="0" fillId="2" fontId="4" numFmtId="49" xfId="0" applyAlignment="1" applyFont="1" applyNumberFormat="1">
      <alignment horizontal="center" vertical="center"/>
    </xf>
    <xf borderId="0" fillId="2" fontId="5" numFmtId="3" xfId="0" applyAlignment="1" applyFont="1" applyNumberFormat="1">
      <alignment horizontal="right" shrinkToFit="0" vertical="bottom" wrapText="0"/>
    </xf>
    <xf borderId="8" fillId="2" fontId="5" numFmtId="0" xfId="0" applyAlignment="1" applyBorder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7" fillId="3" fontId="4" numFmtId="49" xfId="0" applyAlignment="1" applyBorder="1" applyFont="1" applyNumberFormat="1">
      <alignment horizontal="center" vertical="center"/>
    </xf>
    <xf borderId="4" fillId="0" fontId="4" numFmtId="3" xfId="0" applyAlignment="1" applyBorder="1" applyFont="1" applyNumberFormat="1">
      <alignment vertical="center"/>
    </xf>
    <xf borderId="7" fillId="5" fontId="4" numFmtId="49" xfId="0" applyAlignment="1" applyBorder="1" applyFont="1" applyNumberFormat="1">
      <alignment horizontal="center" vertical="center"/>
    </xf>
    <xf borderId="0" fillId="2" fontId="4" numFmtId="3" xfId="0" applyAlignment="1" applyFont="1" applyNumberFormat="1">
      <alignment horizontal="center" vertical="center"/>
    </xf>
    <xf borderId="4" fillId="3" fontId="4" numFmtId="3" xfId="0" applyAlignment="1" applyBorder="1" applyFont="1" applyNumberFormat="1">
      <alignment vertical="center"/>
    </xf>
    <xf borderId="0" fillId="3" fontId="4" numFmtId="49" xfId="0" applyAlignment="1" applyFont="1" applyNumberFormat="1">
      <alignment horizontal="center" vertical="center"/>
    </xf>
    <xf borderId="0" fillId="0" fontId="4" numFmtId="0" xfId="0" applyFont="1"/>
    <xf borderId="0" fillId="2" fontId="4" numFmtId="3" xfId="0" applyAlignment="1" applyFont="1" applyNumberFormat="1">
      <alignment vertical="center"/>
    </xf>
    <xf borderId="4" fillId="0" fontId="5" numFmtId="3" xfId="0" applyAlignment="1" applyBorder="1" applyFont="1" applyNumberFormat="1">
      <alignment horizontal="right" shrinkToFit="0" vertical="bottom" wrapText="0"/>
    </xf>
    <xf borderId="4" fillId="2" fontId="4" numFmtId="0" xfId="0" applyBorder="1" applyFont="1"/>
    <xf borderId="4" fillId="2" fontId="4" numFmtId="3" xfId="0" applyBorder="1" applyFont="1" applyNumberFormat="1"/>
    <xf borderId="4" fillId="5" fontId="4" numFmtId="3" xfId="0" applyBorder="1" applyFont="1" applyNumberFormat="1"/>
    <xf borderId="7" fillId="2" fontId="4" numFmtId="49" xfId="0" applyAlignment="1" applyBorder="1" applyFont="1" applyNumberFormat="1">
      <alignment horizontal="center" vertical="center"/>
    </xf>
    <xf borderId="4" fillId="2" fontId="5" numFmtId="3" xfId="0" applyAlignment="1" applyBorder="1" applyFont="1" applyNumberFormat="1">
      <alignment horizontal="right" shrinkToFit="0" vertical="bottom" wrapText="0"/>
    </xf>
    <xf borderId="6" fillId="2" fontId="5" numFmtId="3" xfId="0" applyAlignment="1" applyBorder="1" applyFont="1" applyNumberFormat="1">
      <alignment horizontal="right" shrinkToFit="0" vertical="bottom" wrapText="0"/>
    </xf>
    <xf borderId="4" fillId="2" fontId="5" numFmtId="3" xfId="0" applyAlignment="1" applyBorder="1" applyFont="1" applyNumberFormat="1">
      <alignment horizontal="center" shrinkToFit="0" wrapText="0"/>
    </xf>
    <xf borderId="4" fillId="2" fontId="4" numFmtId="49" xfId="0" applyAlignment="1" applyBorder="1" applyFont="1" applyNumberFormat="1">
      <alignment horizontal="center" vertical="center"/>
    </xf>
    <xf borderId="4" fillId="0" fontId="5" numFmtId="3" xfId="0" applyAlignment="1" applyBorder="1" applyFont="1" applyNumberFormat="1">
      <alignment horizontal="left" shrinkToFit="0" vertical="bottom" wrapText="0"/>
    </xf>
    <xf borderId="4" fillId="0" fontId="7" numFmtId="0" xfId="0" applyBorder="1" applyFont="1"/>
    <xf borderId="8" fillId="5" fontId="4" numFmtId="49" xfId="0" applyAlignment="1" applyBorder="1" applyFont="1" applyNumberFormat="1">
      <alignment horizontal="center" vertical="center"/>
    </xf>
    <xf borderId="3" fillId="0" fontId="1" numFmtId="0" xfId="0" applyBorder="1" applyFont="1"/>
    <xf borderId="4" fillId="5" fontId="4" numFmtId="3" xfId="0" applyAlignment="1" applyBorder="1" applyFont="1" applyNumberFormat="1">
      <alignment horizontal="center" vertical="center"/>
    </xf>
    <xf borderId="7" fillId="2" fontId="5" numFmtId="3" xfId="0" applyAlignment="1" applyBorder="1" applyFont="1" applyNumberFormat="1">
      <alignment horizontal="center" shrinkToFit="0" vertical="center" wrapText="0"/>
    </xf>
    <xf borderId="4" fillId="2" fontId="5" numFmtId="3" xfId="0" applyAlignment="1" applyBorder="1" applyFont="1" applyNumberFormat="1">
      <alignment horizontal="left" shrinkToFit="0" vertical="bottom" wrapText="0"/>
    </xf>
    <xf borderId="4" fillId="2" fontId="4" numFmtId="3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shrinkToFit="0" vertical="bottom" wrapText="0"/>
    </xf>
    <xf borderId="5" fillId="2" fontId="4" numFmtId="49" xfId="0" applyAlignment="1" applyBorder="1" applyFont="1" applyNumberFormat="1">
      <alignment horizontal="center" vertical="center"/>
    </xf>
    <xf borderId="6" fillId="4" fontId="5" numFmtId="3" xfId="0" applyAlignment="1" applyBorder="1" applyFont="1" applyNumberFormat="1">
      <alignment horizontal="right" shrinkToFit="0" vertical="bottom" wrapText="0"/>
    </xf>
    <xf borderId="8" fillId="2" fontId="4" numFmtId="49" xfId="0" applyAlignment="1" applyBorder="1" applyFont="1" applyNumberFormat="1">
      <alignment horizontal="center" vertical="center"/>
    </xf>
    <xf borderId="0" fillId="2" fontId="4" numFmtId="49" xfId="0" applyFont="1" applyNumberFormat="1"/>
    <xf borderId="4" fillId="0" fontId="4" numFmtId="3" xfId="0" applyAlignment="1" applyBorder="1" applyFont="1" applyNumberFormat="1">
      <alignment shrinkToFit="0" wrapText="1"/>
    </xf>
    <xf borderId="7" fillId="0" fontId="4" numFmtId="3" xfId="0" applyBorder="1" applyFont="1" applyNumberFormat="1"/>
    <xf borderId="7" fillId="4" fontId="4" numFmtId="0" xfId="0" applyAlignment="1" applyBorder="1" applyFont="1">
      <alignment horizontal="center" vertical="center"/>
    </xf>
    <xf borderId="4" fillId="4" fontId="4" numFmtId="0" xfId="0" applyBorder="1" applyFont="1"/>
    <xf borderId="4" fillId="4" fontId="4" numFmtId="3" xfId="0" applyAlignment="1" applyBorder="1" applyFont="1" applyNumberFormat="1">
      <alignment horizontal="right"/>
    </xf>
    <xf borderId="9" fillId="4" fontId="4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6" fillId="0" fontId="3" numFmtId="0" xfId="0" applyBorder="1" applyFont="1"/>
    <xf borderId="7" fillId="5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right" shrinkToFit="0" vertical="bottom" wrapText="0"/>
    </xf>
    <xf borderId="6" fillId="2" fontId="4" numFmtId="0" xfId="0" applyBorder="1" applyFont="1"/>
    <xf borderId="4" fillId="0" fontId="9" numFmtId="3" xfId="0" applyBorder="1" applyFont="1" applyNumberFormat="1"/>
    <xf borderId="7" fillId="3" fontId="4" numFmtId="3" xfId="0" applyAlignment="1" applyBorder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7" fillId="4" fontId="4" numFmtId="3" xfId="0" applyAlignment="1" applyBorder="1" applyFont="1" applyNumberFormat="1">
      <alignment horizontal="center" vertical="center"/>
    </xf>
    <xf borderId="8" fillId="2" fontId="4" numFmtId="0" xfId="0" applyBorder="1" applyFont="1"/>
    <xf borderId="8" fillId="0" fontId="4" numFmtId="3" xfId="0" applyBorder="1" applyFont="1" applyNumberFormat="1"/>
    <xf borderId="4" fillId="3" fontId="2" numFmtId="3" xfId="0" applyBorder="1" applyFont="1" applyNumberFormat="1"/>
    <xf borderId="7" fillId="0" fontId="4" numFmtId="3" xfId="0" applyAlignment="1" applyBorder="1" applyFont="1" applyNumberFormat="1">
      <alignment horizontal="center" vertical="center"/>
    </xf>
    <xf borderId="4" fillId="4" fontId="4" numFmtId="3" xfId="0" applyAlignment="1" applyBorder="1" applyFont="1" applyNumberFormat="1">
      <alignment vertical="center"/>
    </xf>
    <xf borderId="7" fillId="6" fontId="4" numFmtId="49" xfId="0" applyAlignment="1" applyBorder="1" applyFill="1" applyFont="1" applyNumberFormat="1">
      <alignment horizontal="center" vertical="center"/>
    </xf>
    <xf borderId="7" fillId="7" fontId="4" numFmtId="49" xfId="0" applyAlignment="1" applyBorder="1" applyFill="1" applyFont="1" applyNumberFormat="1">
      <alignment horizontal="center" vertical="center"/>
    </xf>
    <xf borderId="7" fillId="0" fontId="4" numFmtId="3" xfId="0" applyAlignment="1" applyBorder="1" applyFont="1" applyNumberFormat="1">
      <alignment horizontal="center" readingOrder="0" vertical="center"/>
    </xf>
    <xf borderId="7" fillId="7" fontId="4" numFmtId="49" xfId="0" applyAlignment="1" applyBorder="1" applyFont="1" applyNumberFormat="1">
      <alignment horizontal="center"/>
    </xf>
    <xf borderId="3" fillId="4" fontId="4" numFmtId="0" xfId="0" applyAlignment="1" applyBorder="1" applyFont="1">
      <alignment vertical="bottom"/>
    </xf>
    <xf borderId="3" fillId="0" fontId="4" numFmtId="3" xfId="0" applyAlignment="1" applyBorder="1" applyFont="1" applyNumberFormat="1">
      <alignment horizontal="right"/>
    </xf>
    <xf borderId="6" fillId="4" fontId="4" numFmtId="0" xfId="0" applyAlignment="1" applyBorder="1" applyFont="1">
      <alignment vertical="bottom"/>
    </xf>
    <xf borderId="6" fillId="0" fontId="4" numFmtId="3" xfId="0" applyAlignment="1" applyBorder="1" applyFont="1" applyNumberFormat="1">
      <alignment horizontal="right"/>
    </xf>
    <xf borderId="4" fillId="0" fontId="4" numFmtId="3" xfId="0" applyAlignment="1" applyBorder="1" applyFont="1" applyNumberFormat="1">
      <alignment readingOrder="0"/>
    </xf>
    <xf borderId="7" fillId="4" fontId="4" numFmtId="3" xfId="0" applyAlignment="1" applyBorder="1" applyFont="1" applyNumberFormat="1">
      <alignment horizontal="center" readingOrder="0" vertical="center"/>
    </xf>
    <xf borderId="6" fillId="4" fontId="4" numFmtId="164" xfId="0" applyAlignment="1" applyBorder="1" applyFont="1" applyNumberFormat="1">
      <alignment horizontal="right" vertical="bottom"/>
    </xf>
    <xf borderId="6" fillId="3" fontId="2" numFmtId="164" xfId="0" applyAlignment="1" applyBorder="1" applyFont="1" applyNumberFormat="1">
      <alignment horizontal="right" vertical="bottom"/>
    </xf>
    <xf borderId="7" fillId="7" fontId="4" numFmtId="0" xfId="0" applyAlignment="1" applyBorder="1" applyFont="1">
      <alignment horizontal="center" vertical="center"/>
    </xf>
    <xf borderId="4" fillId="0" fontId="4" numFmtId="3" xfId="0" applyAlignment="1" applyBorder="1" applyFont="1" applyNumberFormat="1">
      <alignment readingOrder="0" vertical="center"/>
    </xf>
    <xf borderId="4" fillId="4" fontId="4" numFmtId="0" xfId="0" applyAlignment="1" applyBorder="1" applyFont="1">
      <alignment vertical="bottom"/>
    </xf>
    <xf borderId="4" fillId="0" fontId="4" numFmtId="3" xfId="0" applyAlignment="1" applyBorder="1" applyFont="1" applyNumberFormat="1">
      <alignment horizontal="right"/>
    </xf>
    <xf borderId="3" fillId="0" fontId="5" numFmtId="3" xfId="0" applyAlignment="1" applyBorder="1" applyFont="1" applyNumberFormat="1">
      <alignment horizontal="right" shrinkToFit="0" vertical="bottom" wrapText="0"/>
    </xf>
    <xf borderId="4" fillId="4" fontId="4" numFmtId="3" xfId="0" applyAlignment="1" applyBorder="1" applyFont="1" applyNumberFormat="1">
      <alignment readingOrder="0" vertical="center"/>
    </xf>
    <xf borderId="7" fillId="0" fontId="4" numFmtId="3" xfId="0" applyAlignment="1" applyBorder="1" applyFont="1" applyNumberFormat="1">
      <alignment vertical="center"/>
    </xf>
    <xf borderId="7" fillId="7" fontId="4" numFmtId="3" xfId="0" applyAlignment="1" applyBorder="1" applyFont="1" applyNumberFormat="1">
      <alignment horizontal="center" vertical="center"/>
    </xf>
    <xf borderId="4" fillId="3" fontId="4" numFmtId="3" xfId="0" applyBorder="1" applyFont="1" applyNumberFormat="1"/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/>
    </xf>
    <xf borderId="7" fillId="8" fontId="4" numFmtId="49" xfId="0" applyAlignment="1" applyBorder="1" applyFill="1" applyFont="1" applyNumberFormat="1">
      <alignment horizontal="center" vertical="center"/>
    </xf>
    <xf borderId="4" fillId="0" fontId="4" numFmtId="3" xfId="0" applyAlignment="1" applyBorder="1" applyFont="1" applyNumberFormat="1">
      <alignment horizontal="right" vertical="center"/>
    </xf>
    <xf borderId="0" fillId="0" fontId="10" numFmtId="0" xfId="0" applyFont="1"/>
    <xf borderId="7" fillId="7" fontId="11" numFmtId="49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readingOrder="0"/>
    </xf>
    <xf borderId="4" fillId="3" fontId="4" numFmtId="3" xfId="0" applyAlignment="1" applyBorder="1" applyFont="1" applyNumberFormat="1">
      <alignment readingOrder="0"/>
    </xf>
    <xf borderId="0" fillId="0" fontId="10" numFmtId="3" xfId="0" applyFont="1" applyNumberFormat="1"/>
    <xf borderId="5" fillId="7" fontId="4" numFmtId="3" xfId="0" applyAlignment="1" applyBorder="1" applyFont="1" applyNumberFormat="1">
      <alignment horizontal="center" vertical="center"/>
    </xf>
    <xf borderId="4" fillId="3" fontId="4" numFmtId="0" xfId="0" applyBorder="1" applyFont="1"/>
    <xf borderId="0" fillId="0" fontId="10" numFmtId="0" xfId="0" applyAlignment="1" applyFont="1">
      <alignment readingOrder="0"/>
    </xf>
    <xf borderId="7" fillId="9" fontId="4" numFmtId="49" xfId="0" applyAlignment="1" applyBorder="1" applyFill="1" applyFont="1" applyNumberFormat="1">
      <alignment horizontal="center" vertical="center"/>
    </xf>
    <xf borderId="7" fillId="7" fontId="4" numFmtId="3" xfId="0" applyAlignment="1" applyBorder="1" applyFont="1" applyNumberFormat="1">
      <alignment horizontal="center" readingOrder="0" vertical="center"/>
    </xf>
    <xf borderId="7" fillId="8" fontId="11" numFmtId="49" xfId="0" applyAlignment="1" applyBorder="1" applyFont="1" applyNumberFormat="1">
      <alignment horizontal="center" vertical="center"/>
    </xf>
    <xf borderId="4" fillId="9" fontId="4" numFmtId="0" xfId="0" applyBorder="1" applyFont="1"/>
    <xf borderId="4" fillId="9" fontId="4" numFmtId="3" xfId="0" applyBorder="1" applyFont="1" applyNumberFormat="1"/>
    <xf borderId="0" fillId="9" fontId="4" numFmtId="49" xfId="0" applyAlignment="1" applyFont="1" applyNumberFormat="1">
      <alignment horizontal="center" vertical="center"/>
    </xf>
    <xf borderId="0" fillId="3" fontId="4" numFmtId="0" xfId="0" applyFont="1"/>
    <xf borderId="0" fillId="3" fontId="4" numFmtId="3" xfId="0" applyAlignment="1" applyFont="1" applyNumberFormat="1">
      <alignment vertical="center"/>
    </xf>
    <xf borderId="4" fillId="9" fontId="4" numFmtId="49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/>
    </xf>
    <xf borderId="7" fillId="8" fontId="4" numFmtId="3" xfId="0" applyAlignment="1" applyBorder="1" applyFont="1" applyNumberFormat="1">
      <alignment horizontal="center" vertical="center"/>
    </xf>
    <xf borderId="4" fillId="3" fontId="11" numFmtId="3" xfId="0" applyBorder="1" applyFont="1" applyNumberFormat="1"/>
    <xf borderId="4" fillId="3" fontId="12" numFmtId="3" xfId="0" applyBorder="1" applyFont="1" applyNumberFormat="1"/>
    <xf borderId="0" fillId="0" fontId="13" numFmtId="0" xfId="0" applyAlignment="1" applyFont="1">
      <alignment vertical="bottom"/>
    </xf>
    <xf borderId="1" fillId="3" fontId="2" numFmtId="0" xfId="0" applyAlignment="1" applyBorder="1" applyFont="1">
      <alignment horizontal="center" readingOrder="0"/>
    </xf>
    <xf borderId="6" fillId="4" fontId="4" numFmtId="3" xfId="0" applyAlignment="1" applyBorder="1" applyFont="1" applyNumberFormat="1">
      <alignment vertical="bottom"/>
    </xf>
    <xf borderId="4" fillId="0" fontId="4" numFmtId="3" xfId="0" applyAlignment="1" applyBorder="1" applyFont="1" applyNumberFormat="1">
      <alignment horizontal="right" vertical="bottom"/>
    </xf>
    <xf borderId="3" fillId="0" fontId="5" numFmtId="3" xfId="0" applyAlignment="1" applyBorder="1" applyFont="1" applyNumberFormat="1">
      <alignment horizontal="left" readingOrder="0" shrinkToFit="0" vertical="bottom" wrapText="0"/>
    </xf>
    <xf borderId="7" fillId="5" fontId="4" numFmtId="3" xfId="0" applyAlignment="1" applyBorder="1" applyFont="1" applyNumberFormat="1">
      <alignment horizontal="center" readingOrder="0" vertical="center"/>
    </xf>
    <xf borderId="6" fillId="4" fontId="4" numFmtId="3" xfId="0" applyAlignment="1" applyBorder="1" applyFont="1" applyNumberFormat="1">
      <alignment readingOrder="0" vertical="bottom"/>
    </xf>
    <xf borderId="4" fillId="0" fontId="4" numFmtId="3" xfId="0" applyAlignment="1" applyBorder="1" applyFont="1" applyNumberFormat="1">
      <alignment horizontal="right" readingOrder="0" vertical="bottom"/>
    </xf>
    <xf borderId="4" fillId="0" fontId="5" numFmtId="3" xfId="0" applyAlignment="1" applyBorder="1" applyFont="1" applyNumberFormat="1">
      <alignment readingOrder="0" shrinkToFit="0" vertical="bottom" wrapText="0"/>
    </xf>
    <xf borderId="4" fillId="0" fontId="10" numFmtId="0" xfId="0" applyBorder="1" applyFont="1"/>
    <xf borderId="4" fillId="0" fontId="14" numFmtId="0" xfId="0" applyBorder="1" applyFont="1"/>
    <xf borderId="4" fillId="4" fontId="4" numFmtId="0" xfId="0" applyAlignment="1" applyBorder="1" applyFont="1">
      <alignment vertical="bottom"/>
    </xf>
    <xf borderId="4" fillId="4" fontId="4" numFmtId="3" xfId="0" applyAlignment="1" applyBorder="1" applyFont="1" applyNumberFormat="1">
      <alignment readingOrder="0" vertical="bottom"/>
    </xf>
    <xf borderId="8" fillId="10" fontId="4" numFmtId="0" xfId="0" applyAlignment="1" applyBorder="1" applyFill="1" applyFont="1">
      <alignment vertical="bottom"/>
    </xf>
    <xf borderId="4" fillId="11" fontId="4" numFmtId="3" xfId="0" applyAlignment="1" applyBorder="1" applyFill="1" applyFont="1" applyNumberFormat="1">
      <alignment horizontal="right" readingOrder="0" vertical="bottom"/>
    </xf>
    <xf borderId="6" fillId="4" fontId="5" numFmtId="3" xfId="0" applyAlignment="1" applyBorder="1" applyFont="1" applyNumberFormat="1">
      <alignment readingOrder="0" shrinkToFit="0" vertical="bottom" wrapText="0"/>
    </xf>
    <xf borderId="4" fillId="4" fontId="4" numFmtId="3" xfId="0" applyAlignment="1" applyBorder="1" applyFont="1" applyNumberFormat="1">
      <alignment horizontal="right" vertical="bottom"/>
    </xf>
    <xf borderId="4" fillId="0" fontId="13" numFmtId="3" xfId="0" applyAlignment="1" applyBorder="1" applyFont="1" applyNumberFormat="1">
      <alignment horizontal="right" vertical="bottom"/>
    </xf>
    <xf borderId="8" fillId="10" fontId="4" numFmtId="0" xfId="0" applyAlignment="1" applyBorder="1" applyFont="1">
      <alignment vertical="bottom"/>
    </xf>
    <xf borderId="4" fillId="10" fontId="4" numFmtId="3" xfId="0" applyAlignment="1" applyBorder="1" applyFont="1" applyNumberFormat="1">
      <alignment readingOrder="0" vertical="bottom"/>
    </xf>
    <xf borderId="6" fillId="0" fontId="5" numFmtId="3" xfId="0" applyAlignment="1" applyBorder="1" applyFont="1" applyNumberFormat="1">
      <alignment readingOrder="0" shrinkToFit="0" vertical="bottom" wrapText="0"/>
    </xf>
    <xf borderId="4" fillId="0" fontId="10" numFmtId="0" xfId="0" applyAlignment="1" applyBorder="1" applyFont="1">
      <alignment readingOrder="0"/>
    </xf>
    <xf borderId="6" fillId="10" fontId="4" numFmtId="3" xfId="0" applyAlignment="1" applyBorder="1" applyFont="1" applyNumberFormat="1">
      <alignment readingOrder="0" vertical="bottom"/>
    </xf>
    <xf borderId="4" fillId="11" fontId="4" numFmtId="3" xfId="0" applyAlignment="1" applyBorder="1" applyFont="1" applyNumberFormat="1">
      <alignment readingOrder="0" vertical="bottom"/>
    </xf>
    <xf borderId="3" fillId="0" fontId="5" numFmtId="3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/>
    </xf>
    <xf borderId="4" fillId="4" fontId="13" numFmtId="3" xfId="0" applyAlignment="1" applyBorder="1" applyFont="1" applyNumberFormat="1">
      <alignment readingOrder="0" vertical="bottom"/>
    </xf>
    <xf borderId="4" fillId="0" fontId="13" numFmtId="0" xfId="0" applyAlignment="1" applyBorder="1" applyFont="1">
      <alignment vertical="bottom"/>
    </xf>
    <xf borderId="4" fillId="0" fontId="13" numFmtId="3" xfId="0" applyAlignment="1" applyBorder="1" applyFont="1" applyNumberFormat="1">
      <alignment vertical="bottom"/>
    </xf>
    <xf borderId="8" fillId="4" fontId="4" numFmtId="0" xfId="0" applyAlignment="1" applyBorder="1" applyFont="1">
      <alignment vertical="bottom"/>
    </xf>
    <xf borderId="6" fillId="0" fontId="4" numFmtId="3" xfId="0" applyAlignment="1" applyBorder="1" applyFont="1" applyNumberFormat="1">
      <alignment readingOrder="0" vertical="bottom"/>
    </xf>
    <xf borderId="6" fillId="0" fontId="5" numFmtId="3" xfId="0" applyAlignment="1" applyBorder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4" fillId="1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8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readingOrder="0" vertical="bottom"/>
    </xf>
    <xf borderId="4" fillId="0" fontId="4" numFmtId="3" xfId="0" applyAlignment="1" applyBorder="1" applyFont="1" applyNumberFormat="1">
      <alignment readingOrder="0" vertical="bottom"/>
    </xf>
    <xf borderId="8" fillId="11" fontId="4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8" fillId="10" fontId="4" numFmtId="0" xfId="0" applyAlignment="1" applyBorder="1" applyFont="1">
      <alignment readingOrder="0" vertical="bottom"/>
    </xf>
    <xf borderId="6" fillId="0" fontId="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/>
    </xf>
    <xf borderId="6" fillId="0" fontId="1" numFmtId="0" xfId="0" applyBorder="1" applyFont="1"/>
    <xf borderId="4" fillId="0" fontId="14" numFmtId="0" xfId="0" applyAlignment="1" applyBorder="1" applyFont="1">
      <alignment readingOrder="0"/>
    </xf>
    <xf borderId="4" fillId="0" fontId="5" numFmtId="3" xfId="0" applyAlignment="1" applyBorder="1" applyFont="1" applyNumberFormat="1">
      <alignment horizontal="left" readingOrder="0" shrinkToFit="0" vertical="bottom" wrapText="0"/>
    </xf>
    <xf borderId="4" fillId="0" fontId="7" numFmtId="0" xfId="0" applyAlignment="1" applyBorder="1" applyFont="1">
      <alignment readingOrder="0"/>
    </xf>
    <xf borderId="6" fillId="11" fontId="4" numFmtId="3" xfId="0" applyAlignment="1" applyBorder="1" applyFont="1" applyNumberFormat="1">
      <alignment readingOrder="0" vertical="bottom"/>
    </xf>
    <xf borderId="6" fillId="10" fontId="13" numFmtId="3" xfId="0" applyAlignment="1" applyBorder="1" applyFont="1" applyNumberFormat="1">
      <alignment vertical="bottom"/>
    </xf>
    <xf borderId="6" fillId="4" fontId="4" numFmtId="3" xfId="0" applyAlignment="1" applyBorder="1" applyFont="1" applyNumberFormat="1">
      <alignment horizontal="right" vertical="bottom"/>
    </xf>
    <xf borderId="4" fillId="4" fontId="4" numFmtId="3" xfId="0" applyAlignment="1" applyBorder="1" applyFont="1" applyNumberFormat="1">
      <alignment readingOrder="0"/>
    </xf>
    <xf borderId="6" fillId="4" fontId="4" numFmtId="3" xfId="0" applyAlignment="1" applyBorder="1" applyFont="1" applyNumberFormat="1">
      <alignment horizontal="right" readingOrder="0" vertical="bottom"/>
    </xf>
    <xf borderId="6" fillId="0" fontId="4" numFmtId="3" xfId="0" applyAlignment="1" applyBorder="1" applyFont="1" applyNumberFormat="1">
      <alignment horizontal="right" readingOrder="0" vertical="bottom"/>
    </xf>
    <xf borderId="8" fillId="4" fontId="4" numFmtId="0" xfId="0" applyAlignment="1" applyBorder="1" applyFont="1">
      <alignment vertical="bottom"/>
    </xf>
    <xf borderId="4" fillId="10" fontId="13" numFmtId="3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4" fillId="4" fontId="13" numFmtId="0" xfId="0" applyAlignment="1" applyBorder="1" applyFont="1">
      <alignment vertical="bottom"/>
    </xf>
    <xf borderId="7" fillId="0" fontId="4" numFmtId="3" xfId="0" applyAlignment="1" applyBorder="1" applyFont="1" applyNumberFormat="1">
      <alignment readingOrder="0"/>
    </xf>
    <xf borderId="0" fillId="0" fontId="13" numFmtId="3" xfId="0" applyAlignment="1" applyFont="1" applyNumberFormat="1">
      <alignment vertical="bottom"/>
    </xf>
    <xf borderId="4" fillId="4" fontId="4" numFmtId="3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4" fillId="0" fontId="6" numFmtId="3" xfId="0" applyAlignment="1" applyBorder="1" applyFont="1" applyNumberFormat="1">
      <alignment readingOrder="0" vertical="bottom"/>
    </xf>
    <xf borderId="4" fillId="0" fontId="9" numFmtId="3" xfId="0" applyAlignment="1" applyBorder="1" applyFont="1" applyNumberFormat="1">
      <alignment readingOrder="0"/>
    </xf>
    <xf borderId="4" fillId="0" fontId="13" numFmtId="3" xfId="0" applyAlignment="1" applyBorder="1" applyFont="1" applyNumberFormat="1">
      <alignment readingOrder="0"/>
    </xf>
    <xf borderId="8" fillId="10" fontId="4" numFmtId="3" xfId="0" applyAlignment="1" applyBorder="1" applyFont="1" applyNumberFormat="1">
      <alignment readingOrder="0"/>
    </xf>
    <xf borderId="4" fillId="4" fontId="13" numFmtId="3" xfId="0" applyAlignment="1" applyBorder="1" applyFont="1" applyNumberFormat="1">
      <alignment readingOrder="0"/>
    </xf>
    <xf borderId="4" fillId="10" fontId="13" numFmtId="3" xfId="0" applyBorder="1" applyFont="1" applyNumberFormat="1"/>
    <xf borderId="4" fillId="10" fontId="4" numFmtId="3" xfId="0" applyAlignment="1" applyBorder="1" applyFont="1" applyNumberFormat="1">
      <alignment readingOrder="0"/>
    </xf>
    <xf borderId="7" fillId="5" fontId="5" numFmtId="49" xfId="0" applyAlignment="1" applyBorder="1" applyFont="1" applyNumberFormat="1">
      <alignment horizontal="center" vertical="center"/>
    </xf>
    <xf borderId="4" fillId="10" fontId="4" numFmtId="0" xfId="0" applyAlignment="1" applyBorder="1" applyFont="1">
      <alignment readingOrder="0" vertical="bottom"/>
    </xf>
    <xf borderId="0" fillId="7" fontId="4" numFmtId="49" xfId="0" applyAlignment="1" applyFont="1" applyNumberFormat="1">
      <alignment horizontal="center" vertical="center"/>
    </xf>
    <xf borderId="0" fillId="4" fontId="4" numFmtId="3" xfId="0" applyAlignment="1" applyFont="1" applyNumberFormat="1">
      <alignment vertical="center"/>
    </xf>
    <xf borderId="4" fillId="6" fontId="4" numFmtId="0" xfId="0" applyAlignment="1" applyBorder="1" applyFont="1">
      <alignment readingOrder="0" vertical="bottom"/>
    </xf>
    <xf borderId="4" fillId="6" fontId="4" numFmtId="3" xfId="0" applyAlignment="1" applyBorder="1" applyFont="1" applyNumberFormat="1">
      <alignment readingOrder="0" vertical="center"/>
    </xf>
    <xf borderId="7" fillId="2" fontId="4" numFmtId="3" xfId="0" applyAlignment="1" applyBorder="1" applyFont="1" applyNumberFormat="1">
      <alignment horizontal="center" readingOrder="0" vertical="center"/>
    </xf>
    <xf borderId="7" fillId="7" fontId="4" numFmtId="49" xfId="0" applyAlignment="1" applyBorder="1" applyFont="1" applyNumberFormat="1">
      <alignment horizontal="center" readingOrder="0" vertical="center"/>
    </xf>
    <xf borderId="4" fillId="2" fontId="4" numFmtId="3" xfId="0" applyAlignment="1" applyBorder="1" applyFont="1" applyNumberFormat="1">
      <alignment readingOrder="0" vertical="center"/>
    </xf>
    <xf borderId="4" fillId="6" fontId="4" numFmtId="49" xfId="0" applyAlignment="1" applyBorder="1" applyFont="1" applyNumberFormat="1">
      <alignment horizontal="left" vertical="center"/>
    </xf>
    <xf borderId="4" fillId="6" fontId="4" numFmtId="3" xfId="0" applyAlignment="1" applyBorder="1" applyFont="1" applyNumberFormat="1">
      <alignment horizontal="right" vertical="center"/>
    </xf>
    <xf borderId="4" fillId="6" fontId="4" numFmtId="3" xfId="0" applyAlignment="1" applyBorder="1" applyFont="1" applyNumberFormat="1">
      <alignment horizontal="right" readingOrder="0" vertical="center"/>
    </xf>
    <xf borderId="0" fillId="4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4" fillId="12" fontId="4" numFmtId="0" xfId="0" applyAlignment="1" applyBorder="1" applyFill="1" applyFont="1">
      <alignment readingOrder="0"/>
    </xf>
    <xf borderId="4" fillId="12" fontId="4" numFmtId="3" xfId="0" applyAlignment="1" applyBorder="1" applyFont="1" applyNumberFormat="1">
      <alignment readingOrder="0" vertical="center"/>
    </xf>
    <xf borderId="4" fillId="3" fontId="4" numFmtId="0" xfId="0" applyAlignment="1" applyBorder="1" applyFont="1">
      <alignment readingOrder="0" vertical="bottom"/>
    </xf>
    <xf borderId="4" fillId="3" fontId="4" numFmtId="3" xfId="0" applyAlignment="1" applyBorder="1" applyFont="1" applyNumberFormat="1">
      <alignment readingOrder="0" vertical="center"/>
    </xf>
    <xf borderId="0" fillId="3" fontId="2" numFmtId="3" xfId="0" applyFont="1" applyNumberFormat="1"/>
    <xf borderId="4" fillId="2" fontId="4" numFmtId="0" xfId="0" applyAlignment="1" applyBorder="1" applyFont="1">
      <alignment readingOrder="0" vertical="bottom"/>
    </xf>
    <xf borderId="4" fillId="12" fontId="4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left"/>
    </xf>
    <xf borderId="4" fillId="7" fontId="4" numFmtId="3" xfId="0" applyAlignment="1" applyBorder="1" applyFont="1" applyNumberFormat="1">
      <alignment readingOrder="0" vertical="center"/>
    </xf>
    <xf borderId="1" fillId="7" fontId="4" numFmtId="0" xfId="0" applyAlignment="1" applyBorder="1" applyFont="1">
      <alignment horizontal="left" readingOrder="0"/>
    </xf>
    <xf borderId="7" fillId="7" fontId="11" numFmtId="49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left"/>
    </xf>
    <xf borderId="8" fillId="0" fontId="4" numFmtId="3" xfId="0" applyAlignment="1" applyBorder="1" applyFont="1" applyNumberFormat="1">
      <alignment horizontal="center" vertical="center"/>
    </xf>
    <xf borderId="5" fillId="7" fontId="4" numFmtId="3" xfId="0" applyAlignment="1" applyBorder="1" applyFont="1" applyNumberFormat="1">
      <alignment horizontal="center" readingOrder="0" vertical="center"/>
    </xf>
    <xf borderId="4" fillId="7" fontId="4" numFmtId="0" xfId="0" applyAlignment="1" applyBorder="1" applyFont="1">
      <alignment readingOrder="0"/>
    </xf>
    <xf borderId="0" fillId="0" fontId="15" numFmtId="0" xfId="0" applyFont="1"/>
    <xf borderId="4" fillId="7" fontId="11" numFmtId="49" xfId="0" applyAlignment="1" applyBorder="1" applyFont="1" applyNumberFormat="1">
      <alignment horizontal="center" vertical="center"/>
    </xf>
    <xf borderId="4" fillId="0" fontId="4" numFmtId="3" xfId="0" applyAlignment="1" applyBorder="1" applyFont="1" applyNumberFormat="1">
      <alignment horizontal="right" readingOrder="0" vertical="center"/>
    </xf>
    <xf borderId="5" fillId="4" fontId="4" numFmtId="3" xfId="0" applyAlignment="1" applyBorder="1" applyFont="1" applyNumberFormat="1">
      <alignment horizontal="center" vertical="center"/>
    </xf>
    <xf borderId="3" fillId="0" fontId="4" numFmtId="3" xfId="0" applyAlignment="1" applyBorder="1" applyFont="1" applyNumberFormat="1">
      <alignment horizontal="right" readingOrder="0"/>
    </xf>
    <xf borderId="3" fillId="7" fontId="4" numFmtId="3" xfId="0" applyAlignment="1" applyBorder="1" applyFont="1" applyNumberFormat="1">
      <alignment readingOrder="0" vertical="center"/>
    </xf>
    <xf borderId="3" fillId="4" fontId="4" numFmtId="3" xfId="0" applyAlignment="1" applyBorder="1" applyFont="1" applyNumberFormat="1">
      <alignment horizontal="right" readingOrder="0"/>
    </xf>
    <xf borderId="5" fillId="4" fontId="4" numFmtId="3" xfId="0" applyAlignment="1" applyBorder="1" applyFont="1" applyNumberFormat="1">
      <alignment horizontal="center" readingOrder="0" vertical="center"/>
    </xf>
    <xf borderId="7" fillId="7" fontId="5" numFmtId="49" xfId="0" applyAlignment="1" applyBorder="1" applyFont="1" applyNumberFormat="1">
      <alignment horizontal="center" vertical="center"/>
    </xf>
    <xf borderId="4" fillId="7" fontId="4" numFmtId="3" xfId="0" applyAlignment="1" applyBorder="1" applyFont="1" applyNumberFormat="1">
      <alignment horizontal="center" vertical="center"/>
    </xf>
    <xf borderId="0" fillId="0" fontId="16" numFmtId="0" xfId="0" applyFont="1"/>
    <xf borderId="4" fillId="13" fontId="4" numFmtId="0" xfId="0" applyAlignment="1" applyBorder="1" applyFill="1" applyFont="1">
      <alignment readingOrder="0"/>
    </xf>
    <xf borderId="4" fillId="13" fontId="4" numFmtId="3" xfId="0" applyAlignment="1" applyBorder="1" applyFont="1" applyNumberFormat="1">
      <alignment readingOrder="0"/>
    </xf>
    <xf borderId="7" fillId="8" fontId="5" numFmtId="49" xfId="0" applyAlignment="1" applyBorder="1" applyFont="1" applyNumberFormat="1">
      <alignment horizontal="center" vertical="center"/>
    </xf>
    <xf borderId="7" fillId="14" fontId="4" numFmtId="3" xfId="0" applyAlignment="1" applyBorder="1" applyFill="1" applyFont="1" applyNumberFormat="1">
      <alignment horizontal="center" readingOrder="0" vertical="center"/>
    </xf>
    <xf borderId="7" fillId="14" fontId="4" numFmtId="3" xfId="0" applyAlignment="1" applyBorder="1" applyFont="1" applyNumberFormat="1">
      <alignment horizontal="center" vertical="center"/>
    </xf>
    <xf borderId="7" fillId="9" fontId="4" numFmtId="49" xfId="0" applyAlignment="1" applyBorder="1" applyFont="1" applyNumberFormat="1">
      <alignment horizontal="center" readingOrder="0" vertical="center"/>
    </xf>
    <xf borderId="4" fillId="15" fontId="4" numFmtId="0" xfId="0" applyAlignment="1" applyBorder="1" applyFill="1" applyFont="1">
      <alignment readingOrder="0" vertical="bottom"/>
    </xf>
    <xf borderId="4" fillId="15" fontId="4" numFmtId="3" xfId="0" applyAlignment="1" applyBorder="1" applyFont="1" applyNumberFormat="1">
      <alignment horizontal="right" readingOrder="0" vertical="bottom"/>
    </xf>
    <xf borderId="4" fillId="15" fontId="4" numFmtId="0" xfId="0" applyAlignment="1" applyBorder="1" applyFont="1">
      <alignment vertical="bottom"/>
    </xf>
    <xf borderId="4" fillId="3" fontId="4" numFmtId="0" xfId="0" applyAlignment="1" applyBorder="1" applyFont="1">
      <alignment readingOrder="0"/>
    </xf>
    <xf borderId="4" fillId="0" fontId="17" numFmtId="3" xfId="0" applyAlignment="1" applyBorder="1" applyFont="1" applyNumberFormat="1">
      <alignment readingOrder="0" vertical="center"/>
    </xf>
    <xf borderId="7" fillId="8" fontId="11" numFmtId="49" xfId="0" applyAlignment="1" applyBorder="1" applyFont="1" applyNumberFormat="1">
      <alignment horizontal="center" readingOrder="0" vertical="center"/>
    </xf>
    <xf borderId="7" fillId="2" fontId="4" numFmtId="0" xfId="0" applyAlignment="1" applyBorder="1" applyFont="1">
      <alignment readingOrder="0"/>
    </xf>
    <xf borderId="4" fillId="2" fontId="4" numFmtId="165" xfId="0" applyAlignment="1" applyBorder="1" applyFont="1" applyNumberFormat="1">
      <alignment horizontal="left" readingOrder="0"/>
    </xf>
    <xf borderId="4" fillId="0" fontId="18" numFmtId="3" xfId="0" applyAlignment="1" applyBorder="1" applyFont="1" applyNumberFormat="1">
      <alignment horizontal="left" readingOrder="0" vertical="center"/>
    </xf>
    <xf borderId="5" fillId="8" fontId="4" numFmtId="49" xfId="0" applyAlignment="1" applyBorder="1" applyFont="1" applyNumberFormat="1">
      <alignment horizontal="center" vertical="center"/>
    </xf>
    <xf borderId="0" fillId="0" fontId="13" numFmtId="0" xfId="0" applyAlignment="1" applyFont="1">
      <alignment readingOrder="0" vertical="bottom"/>
    </xf>
    <xf borderId="0" fillId="0" fontId="4" numFmtId="3" xfId="0" applyAlignment="1" applyFont="1" applyNumberFormat="1">
      <alignment readingOrder="0" vertical="center"/>
    </xf>
    <xf borderId="4" fillId="4" fontId="4" numFmtId="165" xfId="0" applyAlignment="1" applyBorder="1" applyFont="1" applyNumberFormat="1">
      <alignment horizontal="left" readingOrder="0" vertical="bottom"/>
    </xf>
    <xf borderId="7" fillId="8" fontId="4" numFmtId="4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1" fillId="2" fontId="4" numFmtId="0" xfId="0" applyBorder="1" applyFont="1"/>
    <xf borderId="3" fillId="3" fontId="4" numFmtId="3" xfId="0" applyBorder="1" applyFont="1" applyNumberFormat="1"/>
    <xf borderId="1" fillId="3" fontId="2" numFmtId="0" xfId="0" applyAlignment="1" applyBorder="1" applyFont="1">
      <alignment horizontal="center" readingOrder="0" vertical="center"/>
    </xf>
    <xf borderId="0" fillId="4" fontId="4" numFmtId="3" xfId="0" applyAlignment="1" applyFont="1" applyNumberFormat="1">
      <alignment readingOrder="0" vertical="bottom"/>
    </xf>
    <xf borderId="3" fillId="4" fontId="5" numFmtId="3" xfId="0" applyAlignment="1" applyBorder="1" applyFont="1" applyNumberFormat="1">
      <alignment readingOrder="0" shrinkToFit="0" vertical="bottom" wrapText="0"/>
    </xf>
    <xf borderId="6" fillId="0" fontId="10" numFmtId="0" xfId="0" applyBorder="1" applyFont="1"/>
    <xf borderId="4" fillId="0" fontId="5" numFmtId="0" xfId="0" applyAlignment="1" applyBorder="1" applyFont="1">
      <alignment readingOrder="0" shrinkToFit="0" vertical="bottom" wrapText="0"/>
    </xf>
    <xf borderId="4" fillId="4" fontId="4" numFmtId="0" xfId="0" applyAlignment="1" applyBorder="1" applyFont="1">
      <alignment readingOrder="0"/>
    </xf>
    <xf borderId="4" fillId="0" fontId="5" numFmtId="3" xfId="0" applyAlignment="1" applyBorder="1" applyFont="1" applyNumberFormat="1">
      <alignment horizontal="right" readingOrder="0" shrinkToFit="0" vertical="bottom" wrapText="0"/>
    </xf>
    <xf borderId="4" fillId="4" fontId="5" numFmtId="3" xfId="0" applyAlignment="1" applyBorder="1" applyFont="1" applyNumberFormat="1">
      <alignment readingOrder="0" shrinkToFit="0" vertical="bottom" wrapText="0"/>
    </xf>
    <xf borderId="4" fillId="4" fontId="10" numFmtId="0" xfId="0" applyBorder="1" applyFont="1"/>
    <xf borderId="6" fillId="0" fontId="10" numFmtId="0" xfId="0" applyAlignment="1" applyBorder="1" applyFont="1">
      <alignment readingOrder="0"/>
    </xf>
    <xf borderId="0" fillId="2" fontId="5" numFmtId="3" xfId="0" applyAlignment="1" applyFont="1" applyNumberFormat="1">
      <alignment horizontal="center" shrinkToFit="0" vertical="center" wrapText="0"/>
    </xf>
    <xf borderId="0" fillId="2" fontId="5" numFmtId="3" xfId="0" applyAlignment="1" applyFont="1" applyNumberFormat="1">
      <alignment horizontal="left" shrinkToFit="0" vertical="bottom" wrapText="0"/>
    </xf>
    <xf borderId="4" fillId="10" fontId="4" numFmtId="0" xfId="0" applyAlignment="1" applyBorder="1" applyFont="1">
      <alignment vertical="bottom"/>
    </xf>
    <xf borderId="4" fillId="4" fontId="13" numFmtId="3" xfId="0" applyAlignment="1" applyBorder="1" applyFont="1" applyNumberFormat="1">
      <alignment vertical="bottom"/>
    </xf>
    <xf borderId="0" fillId="0" fontId="19" numFmtId="0" xfId="0" applyAlignment="1" applyFont="1">
      <alignment horizontal="center" readingOrder="0" vertical="bottom"/>
    </xf>
    <xf borderId="5" fillId="6" fontId="4" numFmtId="49" xfId="0" applyAlignment="1" applyBorder="1" applyFont="1" applyNumberFormat="1">
      <alignment horizontal="center" vertical="center"/>
    </xf>
    <xf borderId="0" fillId="0" fontId="19" numFmtId="0" xfId="0" applyAlignment="1" applyFont="1">
      <alignment horizontal="left" vertical="bottom"/>
    </xf>
    <xf borderId="0" fillId="0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right" shrinkToFit="0" vertical="top" wrapText="0"/>
    </xf>
    <xf borderId="4" fillId="0" fontId="4" numFmtId="3" xfId="0" applyAlignment="1" applyBorder="1" applyFont="1" applyNumberFormat="1">
      <alignment readingOrder="0" shrinkToFit="0" wrapText="1"/>
    </xf>
    <xf borderId="0" fillId="0" fontId="8" numFmtId="0" xfId="0" applyAlignment="1" applyFont="1">
      <alignment horizontal="left" readingOrder="0" shrinkToFit="0" vertical="top" wrapText="0"/>
    </xf>
    <xf borderId="0" fillId="0" fontId="20" numFmtId="0" xfId="0" applyAlignment="1" applyFont="1">
      <alignment horizontal="left" readingOrder="0" vertical="top"/>
    </xf>
    <xf borderId="0" fillId="0" fontId="8" numFmtId="0" xfId="0" applyAlignment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20" numFmtId="0" xfId="0" applyAlignment="1" applyFont="1">
      <alignment shrinkToFit="0" vertical="bottom" wrapText="0"/>
    </xf>
    <xf borderId="0" fillId="3" fontId="20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right" shrinkToFit="0" vertical="top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horizontal="right" readingOrder="0" shrinkToFit="0" wrapText="0"/>
    </xf>
    <xf borderId="3" fillId="0" fontId="20" numFmtId="0" xfId="0" applyAlignment="1" applyBorder="1" applyFont="1">
      <alignment horizontal="right" readingOrder="0"/>
    </xf>
    <xf borderId="3" fillId="0" fontId="20" numFmtId="0" xfId="0" applyAlignment="1" applyBorder="1" applyFont="1">
      <alignment horizontal="right" readingOrder="0" shrinkToFit="0" wrapText="0"/>
    </xf>
    <xf borderId="7" fillId="0" fontId="10" numFmtId="0" xfId="0" applyBorder="1" applyFont="1"/>
    <xf borderId="12" fillId="0" fontId="20" numFmtId="0" xfId="0" applyAlignment="1" applyBorder="1" applyFont="1">
      <alignment readingOrder="0" vertical="bottom"/>
    </xf>
    <xf borderId="0" fillId="0" fontId="20" numFmtId="0" xfId="0" applyAlignment="1" applyFont="1">
      <alignment readingOrder="0" vertical="bottom"/>
    </xf>
    <xf borderId="0" fillId="0" fontId="8" numFmtId="0" xfId="0" applyAlignment="1" applyFont="1">
      <alignment horizontal="right" readingOrder="0" shrinkToFit="0" vertical="bottom" wrapText="0"/>
    </xf>
    <xf borderId="13" fillId="0" fontId="8" numFmtId="0" xfId="0" applyAlignment="1" applyBorder="1" applyFont="1">
      <alignment shrinkToFit="0" vertical="bottom" wrapText="0"/>
    </xf>
    <xf borderId="12" fillId="0" fontId="21" numFmtId="0" xfId="0" applyAlignment="1" applyBorder="1" applyFont="1">
      <alignment shrinkToFit="0" vertical="bottom" wrapText="0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vertical="bottom"/>
    </xf>
    <xf borderId="13" fillId="0" fontId="21" numFmtId="0" xfId="0" applyAlignment="1" applyBorder="1" applyFont="1">
      <alignment shrinkToFit="0" vertical="bottom" wrapText="0"/>
    </xf>
    <xf borderId="0" fillId="0" fontId="4" numFmtId="3" xfId="0" applyAlignment="1" applyFont="1" applyNumberFormat="1">
      <alignment readingOrder="0" vertical="bottom"/>
    </xf>
    <xf borderId="0" fillId="0" fontId="21" numFmtId="3" xfId="0" applyAlignment="1" applyFont="1" applyNumberFormat="1">
      <alignment readingOrder="0" vertical="bottom"/>
    </xf>
    <xf borderId="7" fillId="2" fontId="4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/>
    </xf>
    <xf borderId="4" fillId="2" fontId="4" numFmtId="3" xfId="0" applyAlignment="1" applyBorder="1" applyFont="1" applyNumberFormat="1">
      <alignment readingOrder="0" vertical="bottom"/>
    </xf>
    <xf borderId="7" fillId="4" fontId="4" numFmtId="3" xfId="0" applyAlignment="1" applyBorder="1" applyFont="1" applyNumberFormat="1">
      <alignment horizontal="center" readingOrder="0" vertical="bottom"/>
    </xf>
    <xf borderId="8" fillId="0" fontId="4" numFmtId="3" xfId="0" applyAlignment="1" applyBorder="1" applyFont="1" applyNumberFormat="1">
      <alignment readingOrder="0"/>
    </xf>
    <xf borderId="7" fillId="6" fontId="5" numFmtId="49" xfId="0" applyAlignment="1" applyBorder="1" applyFont="1" applyNumberFormat="1">
      <alignment horizontal="center" vertical="center"/>
    </xf>
    <xf borderId="4" fillId="6" fontId="4" numFmtId="0" xfId="0" applyAlignment="1" applyBorder="1" applyFont="1">
      <alignment readingOrder="0"/>
    </xf>
    <xf borderId="0" fillId="7" fontId="4" numFmtId="49" xfId="0" applyAlignment="1" applyFont="1" applyNumberFormat="1">
      <alignment horizontal="center"/>
    </xf>
    <xf borderId="0" fillId="4" fontId="4" numFmtId="0" xfId="0" applyAlignment="1" applyFont="1">
      <alignment vertical="bottom"/>
    </xf>
    <xf borderId="0" fillId="0" fontId="4" numFmtId="3" xfId="0" applyAlignment="1" applyFont="1" applyNumberFormat="1">
      <alignment horizontal="right"/>
    </xf>
    <xf borderId="4" fillId="2" fontId="4" numFmtId="3" xfId="0" applyAlignment="1" applyBorder="1" applyFont="1" applyNumberFormat="1">
      <alignment horizontal="right" readingOrder="0" vertical="center"/>
    </xf>
    <xf borderId="4" fillId="2" fontId="4" numFmtId="3" xfId="0" applyAlignment="1" applyBorder="1" applyFont="1" applyNumberFormat="1">
      <alignment horizontal="left" readingOrder="0" vertical="center"/>
    </xf>
    <xf borderId="5" fillId="0" fontId="4" numFmtId="3" xfId="0" applyAlignment="1" applyBorder="1" applyFont="1" applyNumberFormat="1">
      <alignment horizontal="center" vertical="center"/>
    </xf>
    <xf borderId="0" fillId="0" fontId="10" numFmtId="1" xfId="0" applyFont="1" applyNumberFormat="1"/>
    <xf borderId="1" fillId="0" fontId="4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left" readingOrder="0"/>
    </xf>
    <xf borderId="7" fillId="16" fontId="11" numFmtId="49" xfId="0" applyAlignment="1" applyBorder="1" applyFill="1" applyFont="1" applyNumberFormat="1">
      <alignment horizontal="center" vertical="center"/>
    </xf>
    <xf borderId="7" fillId="16" fontId="5" numFmtId="49" xfId="0" applyAlignment="1" applyBorder="1" applyFont="1" applyNumberFormat="1">
      <alignment horizontal="center" vertical="center"/>
    </xf>
    <xf borderId="0" fillId="0" fontId="15" numFmtId="0" xfId="0" applyAlignment="1" applyFont="1">
      <alignment readingOrder="0"/>
    </xf>
    <xf borderId="0" fillId="0" fontId="8" numFmtId="164" xfId="0" applyAlignment="1" applyFont="1" applyNumberFormat="1">
      <alignment horizontal="right" readingOrder="0" shrinkToFit="0" vertical="bottom" wrapText="0"/>
    </xf>
    <xf borderId="7" fillId="4" fontId="5" numFmtId="3" xfId="0" applyAlignment="1" applyBorder="1" applyFont="1" applyNumberFormat="1">
      <alignment horizontal="center" readingOrder="0" vertical="center"/>
    </xf>
    <xf borderId="4" fillId="4" fontId="4" numFmtId="0" xfId="0" applyAlignment="1" applyBorder="1" applyFont="1">
      <alignment vertical="bottom"/>
    </xf>
    <xf borderId="7" fillId="16" fontId="5" numFmtId="49" xfId="0" applyAlignment="1" applyBorder="1" applyFont="1" applyNumberFormat="1">
      <alignment horizontal="center" readingOrder="0" vertical="center"/>
    </xf>
    <xf borderId="7" fillId="2" fontId="5" numFmtId="3" xfId="0" applyAlignment="1" applyBorder="1" applyFont="1" applyNumberFormat="1">
      <alignment horizontal="center" vertical="center"/>
    </xf>
    <xf borderId="7" fillId="7" fontId="5" numFmtId="49" xfId="0" applyAlignment="1" applyBorder="1" applyFont="1" applyNumberFormat="1">
      <alignment horizontal="center" readingOrder="0" vertical="center"/>
    </xf>
    <xf borderId="4" fillId="2" fontId="4" numFmtId="3" xfId="0" applyAlignment="1" applyBorder="1" applyFont="1" applyNumberFormat="1">
      <alignment readingOrder="0"/>
    </xf>
    <xf borderId="4" fillId="2" fontId="2" numFmtId="0" xfId="0" applyBorder="1" applyFont="1"/>
    <xf borderId="7" fillId="4" fontId="5" numFmtId="3" xfId="0" applyAlignment="1" applyBorder="1" applyFont="1" applyNumberFormat="1">
      <alignment horizontal="center" vertical="center"/>
    </xf>
    <xf borderId="5" fillId="4" fontId="5" numFmtId="3" xfId="0" applyAlignment="1" applyBorder="1" applyFont="1" applyNumberFormat="1">
      <alignment horizontal="center" readingOrder="0" vertical="center"/>
    </xf>
    <xf borderId="7" fillId="16" fontId="4" numFmtId="49" xfId="0" applyAlignment="1" applyBorder="1" applyFont="1" applyNumberFormat="1">
      <alignment horizontal="center" vertical="center"/>
    </xf>
    <xf borderId="0" fillId="0" fontId="22" numFmtId="0" xfId="0" applyAlignment="1" applyFont="1">
      <alignment readingOrder="0"/>
    </xf>
    <xf borderId="0" fillId="0" fontId="23" numFmtId="0" xfId="0" applyFont="1"/>
    <xf borderId="0" fillId="0" fontId="23" numFmtId="3" xfId="0" applyFont="1" applyNumberFormat="1"/>
    <xf borderId="7" fillId="17" fontId="24" numFmtId="49" xfId="0" applyAlignment="1" applyBorder="1" applyFill="1" applyFont="1" applyNumberFormat="1">
      <alignment horizontal="center" vertical="center"/>
    </xf>
    <xf borderId="7" fillId="17" fontId="6" numFmtId="3" xfId="0" applyAlignment="1" applyBorder="1" applyFont="1" applyNumberFormat="1">
      <alignment horizontal="center" readingOrder="0" vertical="center"/>
    </xf>
    <xf borderId="7" fillId="17" fontId="6" numFmtId="3" xfId="0" applyAlignment="1" applyBorder="1" applyFont="1" applyNumberFormat="1">
      <alignment horizontal="center" vertical="center"/>
    </xf>
    <xf borderId="4" fillId="17" fontId="4" numFmtId="0" xfId="0" applyAlignment="1" applyBorder="1" applyFont="1">
      <alignment readingOrder="0"/>
    </xf>
    <xf borderId="4" fillId="17" fontId="4" numFmtId="3" xfId="0" applyAlignment="1" applyBorder="1" applyFont="1" applyNumberFormat="1">
      <alignment readingOrder="0"/>
    </xf>
    <xf borderId="4" fillId="17" fontId="4" numFmtId="0" xfId="0" applyAlignment="1" applyBorder="1" applyFont="1">
      <alignment readingOrder="0" vertical="bottom"/>
    </xf>
    <xf borderId="4" fillId="17" fontId="4" numFmtId="3" xfId="0" applyAlignment="1" applyBorder="1" applyFont="1" applyNumberFormat="1">
      <alignment horizontal="right" readingOrder="0" vertical="bottom"/>
    </xf>
    <xf borderId="4" fillId="0" fontId="6" numFmtId="3" xfId="0" applyAlignment="1" applyBorder="1" applyFont="1" applyNumberFormat="1">
      <alignment readingOrder="0" vertical="center"/>
    </xf>
    <xf borderId="4" fillId="0" fontId="25" numFmtId="0" xfId="0" applyAlignment="1" applyBorder="1" applyFont="1">
      <alignment readingOrder="0"/>
    </xf>
    <xf borderId="7" fillId="17" fontId="24" numFmtId="49" xfId="0" applyAlignment="1" applyBorder="1" applyFont="1" applyNumberFormat="1">
      <alignment horizontal="center" readingOrder="0" vertical="center"/>
    </xf>
    <xf borderId="4" fillId="0" fontId="14" numFmtId="0" xfId="0" applyAlignment="1" applyBorder="1" applyFont="1">
      <alignment readingOrder="0" vertical="center"/>
    </xf>
    <xf borderId="0" fillId="2" fontId="10" numFmtId="0" xfId="0" applyFont="1"/>
    <xf borderId="0" fillId="2" fontId="4" numFmtId="3" xfId="0" applyAlignment="1" applyFont="1" applyNumberFormat="1">
      <alignment readingOrder="0"/>
    </xf>
    <xf borderId="11" fillId="9" fontId="4" numFmtId="49" xfId="0" applyAlignment="1" applyBorder="1" applyFont="1" applyNumberFormat="1">
      <alignment horizontal="center" readingOrder="0" vertical="center"/>
    </xf>
    <xf borderId="4" fillId="18" fontId="26" numFmtId="0" xfId="0" applyAlignment="1" applyBorder="1" applyFill="1" applyFont="1">
      <alignment readingOrder="0"/>
    </xf>
    <xf borderId="4" fillId="18" fontId="26" numFmtId="3" xfId="0" applyAlignment="1" applyBorder="1" applyFont="1" applyNumberFormat="1">
      <alignment readingOrder="0"/>
    </xf>
    <xf borderId="3" fillId="9" fontId="4" numFmtId="49" xfId="0" applyAlignment="1" applyBorder="1" applyFont="1" applyNumberFormat="1">
      <alignment horizontal="center" vertical="center"/>
    </xf>
    <xf borderId="4" fillId="18" fontId="4" numFmtId="0" xfId="0" applyAlignment="1" applyBorder="1" applyFont="1">
      <alignment vertical="bottom"/>
    </xf>
    <xf borderId="4" fillId="18" fontId="4" numFmtId="3" xfId="0" applyAlignment="1" applyBorder="1" applyFont="1" applyNumberFormat="1">
      <alignment horizontal="right" readingOrder="0" vertical="bottom"/>
    </xf>
    <xf borderId="4" fillId="18" fontId="4" numFmtId="3" xfId="0" applyAlignment="1" applyBorder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1" fillId="3" fontId="2" numFmtId="3" xfId="0" applyAlignment="1" applyBorder="1" applyFont="1" applyNumberFormat="1">
      <alignment horizontal="center" readingOrder="0"/>
    </xf>
    <xf borderId="1" fillId="3" fontId="27" numFmtId="0" xfId="0" applyAlignment="1" applyBorder="1" applyFon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4" fillId="0" fontId="4" numFmtId="3" xfId="0" applyAlignment="1" applyBorder="1" applyFont="1" applyNumberFormat="1">
      <alignment horizontal="center" readingOrder="0" vertical="center"/>
    </xf>
    <xf borderId="4" fillId="0" fontId="14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/>
    </xf>
    <xf borderId="4" fillId="2" fontId="1" numFmtId="0" xfId="0" applyBorder="1" applyFont="1"/>
    <xf borderId="4" fillId="4" fontId="5" numFmtId="3" xfId="0" applyAlignment="1" applyBorder="1" applyFont="1" applyNumberFormat="1">
      <alignment horizontal="center" readingOrder="0" shrinkToFit="0" wrapText="0"/>
    </xf>
    <xf borderId="13" fillId="6" fontId="4" numFmtId="3" xfId="0" applyAlignment="1" applyBorder="1" applyFont="1" applyNumberFormat="1">
      <alignment horizontal="center" readingOrder="0" vertical="center"/>
    </xf>
    <xf borderId="8" fillId="2" fontId="4" numFmtId="0" xfId="0" applyAlignment="1" applyBorder="1" applyFont="1">
      <alignment vertical="bottom"/>
    </xf>
    <xf borderId="7" fillId="0" fontId="10" numFmtId="0" xfId="0" applyAlignment="1" applyBorder="1" applyFont="1">
      <alignment readingOrder="0"/>
    </xf>
    <xf borderId="7" fillId="6" fontId="4" numFmtId="3" xfId="0" applyAlignment="1" applyBorder="1" applyFont="1" applyNumberFormat="1">
      <alignment horizontal="center" readingOrder="0" vertical="center"/>
    </xf>
    <xf borderId="12" fillId="2" fontId="21" numFmtId="0" xfId="0" applyAlignment="1" applyBorder="1" applyFont="1">
      <alignment shrinkToFit="0" vertical="bottom" wrapText="0"/>
    </xf>
    <xf borderId="0" fillId="2" fontId="21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4" fillId="2" fontId="4" numFmtId="0" xfId="0" applyAlignment="1" applyBorder="1" applyFont="1">
      <alignment vertical="bottom"/>
    </xf>
    <xf borderId="6" fillId="4" fontId="4" numFmtId="0" xfId="0" applyAlignment="1" applyBorder="1" applyFont="1">
      <alignment readingOrder="0" vertical="bottom"/>
    </xf>
    <xf borderId="7" fillId="6" fontId="4" numFmtId="49" xfId="0" applyAlignment="1" applyBorder="1" applyFont="1" applyNumberFormat="1">
      <alignment horizontal="center" readingOrder="0" vertical="center"/>
    </xf>
    <xf borderId="4" fillId="3" fontId="4" numFmtId="3" xfId="0" applyAlignment="1" applyBorder="1" applyFont="1" applyNumberFormat="1">
      <alignment horizontal="right" readingOrder="0" vertical="bottom"/>
    </xf>
    <xf borderId="4" fillId="2" fontId="4" numFmtId="3" xfId="0" applyAlignment="1" applyBorder="1" applyFont="1" applyNumberFormat="1">
      <alignment horizontal="center" readingOrder="0" vertical="center"/>
    </xf>
    <xf borderId="4" fillId="0" fontId="5" numFmtId="3" xfId="0" applyAlignment="1" applyBorder="1" applyFont="1" applyNumberFormat="1">
      <alignment readingOrder="0" vertical="center"/>
    </xf>
    <xf borderId="1" fillId="2" fontId="4" numFmtId="0" xfId="0" applyAlignment="1" applyBorder="1" applyFont="1">
      <alignment readingOrder="0"/>
    </xf>
    <xf borderId="4" fillId="0" fontId="28" numFmtId="0" xfId="0" applyAlignment="1" applyBorder="1" applyFont="1">
      <alignment readingOrder="0" shrinkToFit="0" vertical="bottom" wrapText="0"/>
    </xf>
    <xf borderId="3" fillId="0" fontId="28" numFmtId="3" xfId="0" applyAlignment="1" applyBorder="1" applyFont="1" applyNumberFormat="1">
      <alignment readingOrder="0" shrinkToFit="0" vertical="bottom" wrapText="0"/>
    </xf>
    <xf borderId="7" fillId="17" fontId="4" numFmtId="3" xfId="0" applyAlignment="1" applyBorder="1" applyFont="1" applyNumberFormat="1">
      <alignment horizontal="center" vertical="center"/>
    </xf>
    <xf borderId="8" fillId="0" fontId="28" numFmtId="0" xfId="0" applyAlignment="1" applyBorder="1" applyFont="1">
      <alignment readingOrder="0" shrinkToFit="0" vertical="bottom" wrapText="0"/>
    </xf>
    <xf borderId="6" fillId="0" fontId="28" numFmtId="3" xfId="0" applyAlignment="1" applyBorder="1" applyFont="1" applyNumberFormat="1">
      <alignment readingOrder="0" shrinkToFit="0" vertical="bottom" wrapText="0"/>
    </xf>
    <xf borderId="7" fillId="17" fontId="4" numFmtId="3" xfId="0" applyAlignment="1" applyBorder="1" applyFont="1" applyNumberFormat="1">
      <alignment horizontal="center" readingOrder="0" vertical="center"/>
    </xf>
    <xf borderId="6" fillId="0" fontId="4" numFmtId="3" xfId="0" applyAlignment="1" applyBorder="1" applyFont="1" applyNumberFormat="1">
      <alignment readingOrder="0" vertical="center"/>
    </xf>
    <xf borderId="6" fillId="0" fontId="28" numFmtId="3" xfId="0" applyAlignment="1" applyBorder="1" applyFont="1" applyNumberFormat="1">
      <alignment shrinkToFit="0" vertical="bottom" wrapText="0"/>
    </xf>
    <xf borderId="4" fillId="0" fontId="28" numFmtId="3" xfId="0" applyAlignment="1" applyBorder="1" applyFont="1" applyNumberFormat="1">
      <alignment readingOrder="0" shrinkToFit="0" vertical="bottom" wrapText="0"/>
    </xf>
    <xf borderId="7" fillId="17" fontId="5" numFmtId="3" xfId="0" applyAlignment="1" applyBorder="1" applyFont="1" applyNumberFormat="1">
      <alignment horizontal="center" readingOrder="0" vertical="center"/>
    </xf>
    <xf borderId="7" fillId="17" fontId="5" numFmtId="3" xfId="0" applyAlignment="1" applyBorder="1" applyFont="1" applyNumberFormat="1">
      <alignment horizontal="center" vertical="center"/>
    </xf>
    <xf borderId="3" fillId="0" fontId="28" numFmtId="3" xfId="0" applyAlignment="1" applyBorder="1" applyFont="1" applyNumberFormat="1">
      <alignment shrinkToFit="0" vertical="bottom" wrapText="0"/>
    </xf>
    <xf borderId="7" fillId="17" fontId="4" numFmtId="0" xfId="0" applyAlignment="1" applyBorder="1" applyFont="1">
      <alignment horizontal="center" readingOrder="0" vertical="center"/>
    </xf>
    <xf borderId="5" fillId="17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vertical="bottom"/>
    </xf>
    <xf borderId="0" fillId="0" fontId="4" numFmtId="3" xfId="0" applyAlignment="1" applyFont="1" applyNumberFormat="1">
      <alignment horizontal="right" readingOrder="0" vertical="bottom"/>
    </xf>
    <xf borderId="4" fillId="0" fontId="29" numFmtId="3" xfId="0" applyAlignment="1" applyBorder="1" applyFont="1" applyNumberFormat="1">
      <alignment readingOrder="0" vertical="center"/>
    </xf>
    <xf borderId="0" fillId="3" fontId="4" numFmtId="3" xfId="0" applyAlignment="1" applyFont="1" applyNumberFormat="1">
      <alignment readingOrder="0" vertical="center"/>
    </xf>
    <xf borderId="4" fillId="0" fontId="4" numFmtId="3" xfId="0" applyAlignment="1" applyBorder="1" applyFont="1" applyNumberFormat="1">
      <alignment horizontal="left" readingOrder="0" vertical="bottom"/>
    </xf>
    <xf borderId="4" fillId="0" fontId="13" numFmtId="3" xfId="0" applyAlignment="1" applyBorder="1" applyFont="1" applyNumberFormat="1">
      <alignment readingOrder="0" vertical="center"/>
    </xf>
    <xf borderId="4" fillId="9" fontId="4" numFmtId="49" xfId="0" applyAlignment="1" applyBorder="1" applyFont="1" applyNumberFormat="1">
      <alignment horizontal="center" readingOrder="0" vertical="center"/>
    </xf>
    <xf borderId="4" fillId="0" fontId="30" numFmtId="0" xfId="0" applyAlignment="1" applyBorder="1" applyFont="1">
      <alignment readingOrder="0"/>
    </xf>
    <xf borderId="7" fillId="10" fontId="24" numFmtId="49" xfId="0" applyAlignment="1" applyBorder="1" applyFont="1" applyNumberFormat="1">
      <alignment horizontal="center" readingOrder="0" vertical="center"/>
    </xf>
    <xf borderId="7" fillId="10" fontId="24" numFmtId="49" xfId="0" applyAlignment="1" applyBorder="1" applyFont="1" applyNumberFormat="1">
      <alignment horizontal="center" vertical="center"/>
    </xf>
    <xf borderId="0" fillId="9" fontId="4" numFmtId="49" xfId="0" applyAlignment="1" applyFont="1" applyNumberFormat="1">
      <alignment horizontal="center" readingOrder="0" vertical="center"/>
    </xf>
    <xf borderId="4" fillId="0" fontId="0" numFmtId="0" xfId="0" applyAlignment="1" applyBorder="1" applyFont="1">
      <alignment readingOrder="0"/>
    </xf>
    <xf borderId="4" fillId="2" fontId="6" numFmtId="0" xfId="0" applyAlignment="1" applyBorder="1" applyFont="1">
      <alignment readingOrder="0"/>
    </xf>
    <xf borderId="4" fillId="0" fontId="18" numFmtId="3" xfId="0" applyAlignment="1" applyBorder="1" applyFont="1" applyNumberFormat="1">
      <alignment readingOrder="0" vertical="center"/>
    </xf>
    <xf borderId="4" fillId="4" fontId="5" numFmtId="3" xfId="0" applyAlignment="1" applyBorder="1" applyFont="1" applyNumberFormat="1">
      <alignment shrinkToFit="0" vertical="bottom" wrapText="0"/>
    </xf>
    <xf borderId="7" fillId="6" fontId="4" numFmtId="3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vertical="center"/>
    </xf>
    <xf borderId="4" fillId="7" fontId="4" numFmtId="0" xfId="0" applyAlignment="1" applyBorder="1" applyFont="1">
      <alignment readingOrder="0" vertical="bottom"/>
    </xf>
    <xf borderId="4" fillId="7" fontId="4" numFmtId="3" xfId="0" applyAlignment="1" applyBorder="1" applyFont="1" applyNumberFormat="1">
      <alignment horizontal="right" readingOrder="0" vertical="bottom"/>
    </xf>
    <xf borderId="5" fillId="6" fontId="4" numFmtId="3" xfId="0" applyAlignment="1" applyBorder="1" applyFont="1" applyNumberFormat="1">
      <alignment horizontal="center" readingOrder="0" vertical="center"/>
    </xf>
    <xf borderId="4" fillId="0" fontId="7" numFmtId="3" xfId="0" applyAlignment="1" applyBorder="1" applyFont="1" applyNumberFormat="1">
      <alignment readingOrder="0" vertical="center"/>
    </xf>
    <xf borderId="8" fillId="0" fontId="5" numFmtId="0" xfId="0" applyAlignment="1" applyBorder="1" applyFont="1">
      <alignment readingOrder="0" shrinkToFit="0" vertical="bottom" wrapText="0"/>
    </xf>
    <xf borderId="7" fillId="17" fontId="24" numFmtId="3" xfId="0" applyAlignment="1" applyBorder="1" applyFont="1" applyNumberFormat="1">
      <alignment horizontal="center" readingOrder="0" vertical="center"/>
    </xf>
    <xf borderId="8" fillId="2" fontId="4" numFmtId="0" xfId="0" applyAlignment="1" applyBorder="1" applyFont="1">
      <alignment readingOrder="0"/>
    </xf>
    <xf borderId="7" fillId="17" fontId="24" numFmtId="3" xfId="0" applyAlignment="1" applyBorder="1" applyFont="1" applyNumberFormat="1">
      <alignment horizontal="center" vertical="center"/>
    </xf>
    <xf borderId="4" fillId="0" fontId="4" numFmtId="3" xfId="0" applyAlignment="1" applyBorder="1" applyFont="1" applyNumberFormat="1">
      <alignment vertical="bottom"/>
    </xf>
    <xf borderId="5" fillId="17" fontId="6" numFmtId="3" xfId="0" applyAlignment="1" applyBorder="1" applyFont="1" applyNumberFormat="1">
      <alignment horizontal="center" readingOrder="0" vertical="center"/>
    </xf>
    <xf borderId="4" fillId="0" fontId="31" numFmtId="3" xfId="0" applyAlignment="1" applyBorder="1" applyFont="1" applyNumberFormat="1">
      <alignment readingOrder="0" vertical="center"/>
    </xf>
    <xf borderId="4" fillId="0" fontId="32" numFmtId="0" xfId="0" applyAlignment="1" applyBorder="1" applyFont="1">
      <alignment readingOrder="0"/>
    </xf>
    <xf borderId="4" fillId="0" fontId="33" numFmtId="0" xfId="0" applyAlignment="1" applyBorder="1" applyFont="1">
      <alignment readingOrder="0"/>
    </xf>
    <xf borderId="4" fillId="4" fontId="29" numFmtId="0" xfId="0" applyAlignment="1" applyBorder="1" applyFont="1">
      <alignment readingOrder="0" vertical="bottom"/>
    </xf>
    <xf borderId="4" fillId="4" fontId="13" numFmtId="0" xfId="0" applyAlignment="1" applyBorder="1" applyFont="1">
      <alignment horizontal="left" readingOrder="0" vertical="bottom"/>
    </xf>
    <xf borderId="7" fillId="10" fontId="6" numFmtId="3" xfId="0" applyAlignment="1" applyBorder="1" applyFont="1" applyNumberFormat="1">
      <alignment horizontal="center" readingOrder="0" vertical="center"/>
    </xf>
    <xf borderId="7" fillId="10" fontId="6" numFmtId="3" xfId="0" applyAlignment="1" applyBorder="1" applyFont="1" applyNumberFormat="1">
      <alignment horizontal="center" vertical="center"/>
    </xf>
    <xf borderId="0" fillId="0" fontId="14" numFmtId="0" xfId="0" applyFont="1"/>
    <xf borderId="6" fillId="0" fontId="14" numFmtId="0" xfId="0" applyAlignment="1" applyBorder="1" applyFont="1">
      <alignment readingOrder="0"/>
    </xf>
    <xf borderId="6" fillId="3" fontId="4" numFmtId="3" xfId="0" applyAlignment="1" applyBorder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34" numFmtId="0" xfId="0" applyAlignment="1" applyFont="1">
      <alignment horizontal="left" vertical="bottom"/>
    </xf>
    <xf borderId="0" fillId="0" fontId="34" numFmtId="0" xfId="0" applyAlignment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0" fontId="34" numFmtId="0" xfId="0" applyAlignment="1" applyFont="1">
      <alignment horizontal="right" shrinkToFit="0" vertical="bottom" wrapText="0"/>
    </xf>
    <xf borderId="0" fillId="0" fontId="34" numFmtId="0" xfId="0" applyAlignment="1" applyFont="1">
      <alignment horizontal="right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34" numFmtId="0" xfId="0" applyAlignment="1" applyFont="1">
      <alignment horizontal="left" readingOrder="0" vertical="top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  <xf borderId="0" fillId="0" fontId="34" numFmtId="0" xfId="0" applyAlignment="1" applyFont="1">
      <alignment shrinkToFit="0" vertical="bottom" wrapText="0"/>
    </xf>
    <xf borderId="0" fillId="3" fontId="3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right" shrinkToFit="0" vertical="top" wrapText="0"/>
    </xf>
    <xf borderId="12" fillId="0" fontId="26" numFmtId="0" xfId="0" applyAlignment="1" applyBorder="1" applyFont="1">
      <alignment shrinkToFit="0" vertical="bottom" wrapText="0"/>
    </xf>
    <xf borderId="0" fillId="0" fontId="26" numFmtId="0" xfId="0" applyAlignment="1" applyFont="1">
      <alignment readingOrder="0" vertical="bottom"/>
    </xf>
    <xf borderId="0" fillId="0" fontId="26" numFmtId="0" xfId="0" applyAlignment="1" applyFont="1">
      <alignment horizontal="right" readingOrder="0" shrinkToFit="0" vertical="bottom" wrapText="0"/>
    </xf>
    <xf borderId="0" fillId="0" fontId="26" numFmtId="0" xfId="0" applyAlignment="1" applyFont="1">
      <alignment vertical="bottom"/>
    </xf>
    <xf borderId="13" fillId="0" fontId="26" numFmtId="0" xfId="0" applyAlignment="1" applyBorder="1" applyFont="1">
      <alignment shrinkToFit="0" vertical="bottom" wrapText="0"/>
    </xf>
    <xf borderId="12" fillId="2" fontId="26" numFmtId="0" xfId="0" applyAlignment="1" applyBorder="1" applyFont="1">
      <alignment shrinkToFit="0" vertical="bottom" wrapText="0"/>
    </xf>
    <xf borderId="0" fillId="0" fontId="26" numFmtId="3" xfId="0" applyAlignment="1" applyFont="1" applyNumberFormat="1">
      <alignment readingOrder="0" vertical="bottom"/>
    </xf>
    <xf borderId="0" fillId="2" fontId="26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4" numFmtId="1" xfId="0" applyFont="1" applyNumberFormat="1"/>
    <xf borderId="0" fillId="4" fontId="14" numFmtId="0" xfId="0" applyFont="1"/>
    <xf borderId="7" fillId="17" fontId="5" numFmtId="49" xfId="0" applyAlignment="1" applyBorder="1" applyFont="1" applyNumberFormat="1">
      <alignment horizontal="center" vertical="center"/>
    </xf>
    <xf borderId="0" fillId="0" fontId="35" numFmtId="0" xfId="0" applyAlignment="1" applyFont="1">
      <alignment readingOrder="0"/>
    </xf>
    <xf borderId="7" fillId="17" fontId="5" numFmtId="49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right" readingOrder="0" shrinkToFit="0" vertical="bottom" wrapText="0"/>
    </xf>
    <xf borderId="5" fillId="17" fontId="4" numFmtId="3" xfId="0" applyAlignment="1" applyBorder="1" applyFont="1" applyNumberFormat="1">
      <alignment horizontal="center" readingOrder="0" vertical="center"/>
    </xf>
    <xf borderId="0" fillId="0" fontId="36" numFmtId="0" xfId="0" applyAlignment="1" applyFont="1">
      <alignment readingOrder="0"/>
    </xf>
    <xf borderId="0" fillId="0" fontId="27" numFmtId="0" xfId="0" applyFont="1"/>
    <xf borderId="4" fillId="2" fontId="4" numFmtId="166" xfId="0" applyAlignment="1" applyBorder="1" applyFont="1" applyNumberFormat="1">
      <alignment horizontal="left" readingOrder="0"/>
    </xf>
    <xf borderId="4" fillId="2" fontId="4" numFmtId="0" xfId="0" applyAlignment="1" applyBorder="1" applyFont="1">
      <alignment horizontal="left" readingOrder="0"/>
    </xf>
    <xf borderId="4" fillId="4" fontId="4" numFmtId="0" xfId="0" applyAlignment="1" applyBorder="1" applyFont="1">
      <alignment horizontal="left" readingOrder="0" vertical="bottom"/>
    </xf>
    <xf borderId="7" fillId="10" fontId="5" numFmtId="49" xfId="0" applyAlignment="1" applyBorder="1" applyFont="1" applyNumberFormat="1">
      <alignment horizontal="center" readingOrder="0" vertical="center"/>
    </xf>
    <xf borderId="7" fillId="10" fontId="4" numFmtId="3" xfId="0" applyAlignment="1" applyBorder="1" applyFont="1" applyNumberFormat="1">
      <alignment horizontal="center" readingOrder="0" vertical="center"/>
    </xf>
    <xf borderId="7" fillId="10" fontId="5" numFmtId="49" xfId="0" applyAlignment="1" applyBorder="1" applyFont="1" applyNumberFormat="1">
      <alignment horizontal="center" vertical="center"/>
    </xf>
    <xf borderId="7" fillId="10" fontId="4" numFmtId="3" xfId="0" applyAlignment="1" applyBorder="1" applyFont="1" applyNumberFormat="1">
      <alignment horizontal="center" vertical="center"/>
    </xf>
    <xf borderId="0" fillId="2" fontId="37" numFmtId="0" xfId="0" applyAlignment="1" applyFont="1">
      <alignment readingOrder="0"/>
    </xf>
    <xf borderId="0" fillId="0" fontId="37" numFmtId="0" xfId="0" applyFont="1"/>
    <xf borderId="0" fillId="2" fontId="37" numFmtId="0" xfId="0" applyFont="1"/>
    <xf borderId="1" fillId="3" fontId="38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/>
    </xf>
    <xf borderId="0" fillId="2" fontId="37" numFmtId="3" xfId="0" applyFont="1" applyNumberFormat="1"/>
    <xf borderId="5" fillId="6" fontId="37" numFmtId="49" xfId="0" applyAlignment="1" applyBorder="1" applyFont="1" applyNumberFormat="1">
      <alignment horizontal="center" readingOrder="0" vertical="center"/>
    </xf>
    <xf borderId="4" fillId="4" fontId="37" numFmtId="3" xfId="0" applyAlignment="1" applyBorder="1" applyFont="1" applyNumberFormat="1">
      <alignment readingOrder="0" vertical="bottom"/>
    </xf>
    <xf borderId="4" fillId="0" fontId="37" numFmtId="3" xfId="0" applyAlignment="1" applyBorder="1" applyFont="1" applyNumberFormat="1">
      <alignment horizontal="right" readingOrder="0" vertical="bottom"/>
    </xf>
    <xf borderId="7" fillId="6" fontId="37" numFmtId="3" xfId="0" applyAlignment="1" applyBorder="1" applyFont="1" applyNumberFormat="1">
      <alignment horizontal="center" readingOrder="0" vertical="center"/>
    </xf>
    <xf borderId="0" fillId="4" fontId="37" numFmtId="0" xfId="0" applyFont="1"/>
    <xf borderId="0" fillId="4" fontId="37" numFmtId="3" xfId="0" applyFont="1" applyNumberFormat="1"/>
    <xf borderId="4" fillId="0" fontId="37" numFmtId="0" xfId="0" applyBorder="1" applyFont="1"/>
    <xf borderId="4" fillId="4" fontId="37" numFmtId="0" xfId="0" applyAlignment="1" applyBorder="1" applyFont="1">
      <alignment vertical="bottom"/>
    </xf>
    <xf borderId="7" fillId="6" fontId="37" numFmtId="3" xfId="0" applyAlignment="1" applyBorder="1" applyFont="1" applyNumberFormat="1">
      <alignment horizontal="center" vertical="center"/>
    </xf>
    <xf borderId="0" fillId="2" fontId="37" numFmtId="0" xfId="0" applyAlignment="1" applyFont="1">
      <alignment horizontal="center" vertical="center"/>
    </xf>
    <xf borderId="0" fillId="4" fontId="37" numFmtId="3" xfId="0" applyAlignment="1" applyFont="1" applyNumberFormat="1">
      <alignment readingOrder="0" vertical="bottom"/>
    </xf>
    <xf borderId="4" fillId="0" fontId="37" numFmtId="0" xfId="0" applyAlignment="1" applyBorder="1" applyFont="1">
      <alignment readingOrder="0"/>
    </xf>
    <xf borderId="0" fillId="0" fontId="37" numFmtId="0" xfId="0" applyFont="1"/>
    <xf borderId="0" fillId="4" fontId="37" numFmtId="49" xfId="0" applyAlignment="1" applyFont="1" applyNumberFormat="1">
      <alignment horizontal="center" vertical="center"/>
    </xf>
    <xf borderId="5" fillId="6" fontId="37" numFmtId="49" xfId="0" applyAlignment="1" applyBorder="1" applyFont="1" applyNumberFormat="1">
      <alignment horizontal="center" vertical="center"/>
    </xf>
    <xf borderId="0" fillId="0" fontId="37" numFmtId="3" xfId="0" applyAlignment="1" applyFont="1" applyNumberFormat="1">
      <alignment horizontal="center"/>
    </xf>
    <xf borderId="4" fillId="0" fontId="37" numFmtId="3" xfId="0" applyAlignment="1" applyBorder="1" applyFont="1" applyNumberFormat="1">
      <alignment readingOrder="0" vertical="bottom"/>
    </xf>
    <xf borderId="0" fillId="2" fontId="37" numFmtId="49" xfId="0" applyAlignment="1" applyFont="1" applyNumberFormat="1">
      <alignment horizontal="center" vertical="center"/>
    </xf>
    <xf borderId="0" fillId="2" fontId="39" numFmtId="3" xfId="0" applyAlignment="1" applyFont="1" applyNumberFormat="1">
      <alignment horizontal="right" shrinkToFit="0" vertical="bottom" wrapText="0"/>
    </xf>
    <xf borderId="0" fillId="2" fontId="39" numFmtId="0" xfId="0" applyAlignment="1" applyFont="1">
      <alignment shrinkToFit="0" vertical="bottom" wrapText="0"/>
    </xf>
    <xf borderId="0" fillId="0" fontId="39" numFmtId="3" xfId="0" applyAlignment="1" applyFont="1" applyNumberFormat="1">
      <alignment shrinkToFit="0" vertical="bottom" wrapText="0"/>
    </xf>
    <xf borderId="0" fillId="4" fontId="39" numFmtId="0" xfId="0" applyAlignment="1" applyFont="1">
      <alignment shrinkToFit="0" vertical="bottom" wrapText="0"/>
    </xf>
    <xf borderId="0" fillId="0" fontId="37" numFmtId="3" xfId="0" applyAlignment="1" applyFont="1" applyNumberFormat="1">
      <alignment vertical="center"/>
    </xf>
    <xf borderId="7" fillId="6" fontId="37" numFmtId="49" xfId="0" applyAlignment="1" applyBorder="1" applyFont="1" applyNumberFormat="1">
      <alignment horizontal="center" vertical="center"/>
    </xf>
    <xf borderId="7" fillId="5" fontId="37" numFmtId="49" xfId="0" applyAlignment="1" applyBorder="1" applyFont="1" applyNumberFormat="1">
      <alignment horizontal="center" vertical="center"/>
    </xf>
    <xf borderId="4" fillId="2" fontId="37" numFmtId="0" xfId="0" applyBorder="1" applyFont="1"/>
    <xf borderId="4" fillId="4" fontId="37" numFmtId="3" xfId="0" applyBorder="1" applyFont="1" applyNumberFormat="1"/>
    <xf borderId="4" fillId="0" fontId="37" numFmtId="3" xfId="0" applyBorder="1" applyFont="1" applyNumberFormat="1"/>
    <xf borderId="4" fillId="2" fontId="37" numFmtId="3" xfId="0" applyBorder="1" applyFont="1" applyNumberFormat="1"/>
    <xf borderId="4" fillId="0" fontId="37" numFmtId="0" xfId="0" applyBorder="1" applyFont="1"/>
    <xf borderId="0" fillId="0" fontId="40" numFmtId="0" xfId="0" applyFont="1"/>
    <xf borderId="6" fillId="0" fontId="37" numFmtId="3" xfId="0" applyAlignment="1" applyBorder="1" applyFont="1" applyNumberFormat="1">
      <alignment horizontal="right" readingOrder="0" vertical="bottom"/>
    </xf>
    <xf borderId="4" fillId="2" fontId="37" numFmtId="0" xfId="0" applyAlignment="1" applyBorder="1" applyFont="1">
      <alignment readingOrder="0" vertical="bottom"/>
    </xf>
    <xf borderId="4" fillId="2" fontId="37" numFmtId="3" xfId="0" applyAlignment="1" applyBorder="1" applyFont="1" applyNumberFormat="1">
      <alignment readingOrder="0" vertical="bottom"/>
    </xf>
    <xf borderId="4" fillId="2" fontId="37" numFmtId="0" xfId="0" applyAlignment="1" applyBorder="1" applyFont="1">
      <alignment readingOrder="0"/>
    </xf>
    <xf borderId="0" fillId="2" fontId="39" numFmtId="3" xfId="0" applyAlignment="1" applyFont="1" applyNumberFormat="1">
      <alignment horizontal="center" shrinkToFit="0" vertical="center" wrapText="0"/>
    </xf>
    <xf borderId="4" fillId="2" fontId="39" numFmtId="3" xfId="0" applyAlignment="1" applyBorder="1" applyFont="1" applyNumberFormat="1">
      <alignment horizontal="left" readingOrder="0" shrinkToFit="0" vertical="bottom" wrapText="0"/>
    </xf>
    <xf borderId="4" fillId="2" fontId="39" numFmtId="3" xfId="0" applyAlignment="1" applyBorder="1" applyFont="1" applyNumberFormat="1">
      <alignment horizontal="left" shrinkToFit="0" vertical="bottom" wrapText="0"/>
    </xf>
    <xf borderId="0" fillId="2" fontId="39" numFmtId="3" xfId="0" applyAlignment="1" applyFont="1" applyNumberFormat="1">
      <alignment horizontal="left" shrinkToFit="0" vertical="bottom" wrapText="0"/>
    </xf>
    <xf borderId="6" fillId="2" fontId="37" numFmtId="3" xfId="0" applyAlignment="1" applyBorder="1" applyFont="1" applyNumberFormat="1">
      <alignment readingOrder="0" vertical="bottom"/>
    </xf>
    <xf borderId="7" fillId="6" fontId="37" numFmtId="49" xfId="0" applyAlignment="1" applyBorder="1" applyFont="1" applyNumberFormat="1">
      <alignment horizontal="center" readingOrder="0" vertical="center"/>
    </xf>
    <xf borderId="4" fillId="3" fontId="37" numFmtId="0" xfId="0" applyAlignment="1" applyBorder="1" applyFont="1">
      <alignment readingOrder="0" vertical="bottom"/>
    </xf>
    <xf borderId="6" fillId="3" fontId="37" numFmtId="3" xfId="0" applyAlignment="1" applyBorder="1" applyFont="1" applyNumberFormat="1">
      <alignment readingOrder="0" vertical="bottom"/>
    </xf>
    <xf borderId="0" fillId="0" fontId="37" numFmtId="0" xfId="0" applyAlignment="1" applyFont="1">
      <alignment readingOrder="0"/>
    </xf>
    <xf borderId="0" fillId="0" fontId="37" numFmtId="3" xfId="0" applyFont="1" applyNumberFormat="1"/>
    <xf borderId="13" fillId="6" fontId="37" numFmtId="3" xfId="0" applyAlignment="1" applyBorder="1" applyFont="1" applyNumberFormat="1">
      <alignment horizontal="center" readingOrder="0" vertical="center"/>
    </xf>
    <xf borderId="0" fillId="0" fontId="41" numFmtId="0" xfId="0" applyAlignment="1" applyFont="1">
      <alignment horizontal="left" vertical="bottom"/>
    </xf>
    <xf borderId="0" fillId="0" fontId="41" numFmtId="0" xfId="0" applyAlignment="1" applyFont="1">
      <alignment horizontal="center" shrinkToFit="0" vertical="bottom" wrapText="0"/>
    </xf>
    <xf borderId="0" fillId="0" fontId="41" numFmtId="0" xfId="0" applyAlignment="1" applyFont="1">
      <alignment horizontal="center" shrinkToFit="0" vertical="bottom" wrapText="0"/>
    </xf>
    <xf borderId="0" fillId="0" fontId="41" numFmtId="0" xfId="0" applyAlignment="1" applyFont="1">
      <alignment horizontal="right" shrinkToFit="0" vertical="bottom" wrapText="0"/>
    </xf>
    <xf borderId="0" fillId="0" fontId="41" numFmtId="0" xfId="0" applyAlignment="1" applyFont="1">
      <alignment horizontal="right" shrinkToFit="0" vertical="top" wrapText="0"/>
    </xf>
    <xf borderId="6" fillId="0" fontId="37" numFmtId="3" xfId="0" applyAlignment="1" applyBorder="1" applyFont="1" applyNumberFormat="1">
      <alignment readingOrder="0" vertical="bottom"/>
    </xf>
    <xf borderId="0" fillId="0" fontId="39" numFmtId="0" xfId="0" applyAlignment="1" applyFont="1">
      <alignment horizontal="left" readingOrder="0" shrinkToFit="0" vertical="top" wrapText="0"/>
    </xf>
    <xf borderId="0" fillId="0" fontId="41" numFmtId="0" xfId="0" applyAlignment="1" applyFont="1">
      <alignment horizontal="left" readingOrder="0" vertical="top"/>
    </xf>
    <xf borderId="0" fillId="0" fontId="39" numFmtId="0" xfId="0" applyAlignment="1" applyFont="1">
      <alignment shrinkToFit="0" vertical="top" wrapText="0"/>
    </xf>
    <xf borderId="0" fillId="0" fontId="39" numFmtId="0" xfId="0" applyAlignment="1" applyFont="1">
      <alignment shrinkToFit="0" vertical="top" wrapText="0"/>
    </xf>
    <xf borderId="0" fillId="0" fontId="39" numFmtId="0" xfId="0" applyAlignment="1" applyFont="1">
      <alignment shrinkToFit="0" vertical="bottom" wrapText="0"/>
    </xf>
    <xf borderId="0" fillId="0" fontId="39" numFmtId="0" xfId="0" applyAlignment="1" applyFont="1">
      <alignment horizontal="left" readingOrder="0" shrinkToFit="0" vertical="bottom" wrapText="0"/>
    </xf>
    <xf borderId="0" fillId="0" fontId="39" numFmtId="0" xfId="0" applyAlignment="1" applyFont="1">
      <alignment horizontal="left" readingOrder="0" vertical="bottom"/>
    </xf>
    <xf borderId="0" fillId="0" fontId="39" numFmtId="0" xfId="0" applyAlignment="1" applyFont="1">
      <alignment horizontal="left" vertical="bottom"/>
    </xf>
    <xf borderId="0" fillId="0" fontId="41" numFmtId="0" xfId="0" applyAlignment="1" applyFont="1">
      <alignment shrinkToFit="0" vertical="bottom" wrapText="0"/>
    </xf>
    <xf borderId="0" fillId="3" fontId="41" numFmtId="0" xfId="0" applyAlignment="1" applyFont="1">
      <alignment horizontal="center" readingOrder="0" shrinkToFit="0" wrapText="0"/>
    </xf>
    <xf borderId="0" fillId="0" fontId="39" numFmtId="0" xfId="0" applyAlignment="1" applyFont="1">
      <alignment horizontal="right" shrinkToFit="0" vertical="top" wrapText="0"/>
    </xf>
    <xf borderId="12" fillId="0" fontId="42" numFmtId="0" xfId="0" applyAlignment="1" applyBorder="1" applyFont="1">
      <alignment shrinkToFit="0" vertical="bottom" wrapText="0"/>
    </xf>
    <xf borderId="0" fillId="0" fontId="42" numFmtId="0" xfId="0" applyAlignment="1" applyFont="1">
      <alignment readingOrder="0" vertical="bottom"/>
    </xf>
    <xf borderId="0" fillId="0" fontId="42" numFmtId="0" xfId="0" applyAlignment="1" applyFont="1">
      <alignment horizontal="right" readingOrder="0" shrinkToFit="0" vertical="bottom" wrapText="0"/>
    </xf>
    <xf borderId="0" fillId="0" fontId="42" numFmtId="0" xfId="0" applyAlignment="1" applyFont="1">
      <alignment vertical="bottom"/>
    </xf>
    <xf borderId="13" fillId="0" fontId="42" numFmtId="0" xfId="0" applyAlignment="1" applyBorder="1" applyFont="1">
      <alignment shrinkToFit="0" vertical="bottom" wrapText="0"/>
    </xf>
    <xf borderId="0" fillId="0" fontId="37" numFmtId="3" xfId="0" applyAlignment="1" applyFont="1" applyNumberFormat="1">
      <alignment readingOrder="0" vertical="bottom"/>
    </xf>
    <xf borderId="12" fillId="2" fontId="42" numFmtId="0" xfId="0" applyAlignment="1" applyBorder="1" applyFont="1">
      <alignment shrinkToFit="0" vertical="bottom" wrapText="0"/>
    </xf>
    <xf borderId="0" fillId="0" fontId="42" numFmtId="3" xfId="0" applyAlignment="1" applyFont="1" applyNumberFormat="1">
      <alignment readingOrder="0" vertical="bottom"/>
    </xf>
    <xf borderId="0" fillId="2" fontId="42" numFmtId="0" xfId="0" applyAlignment="1" applyFont="1">
      <alignment shrinkToFit="0" vertical="bottom" wrapText="0"/>
    </xf>
    <xf borderId="0" fillId="0" fontId="42" numFmtId="0" xfId="0" applyAlignment="1" applyFont="1">
      <alignment shrinkToFit="0" vertical="bottom" wrapText="0"/>
    </xf>
    <xf borderId="0" fillId="4" fontId="37" numFmtId="0" xfId="0" applyAlignment="1" applyFont="1">
      <alignment horizontal="center" vertical="center"/>
    </xf>
    <xf borderId="4" fillId="4" fontId="37" numFmtId="3" xfId="0" applyAlignment="1" applyBorder="1" applyFont="1" applyNumberFormat="1">
      <alignment horizontal="right" readingOrder="0" vertical="bottom"/>
    </xf>
    <xf borderId="4" fillId="4" fontId="37" numFmtId="0" xfId="0" applyAlignment="1" applyBorder="1" applyFont="1">
      <alignment readingOrder="0" vertical="bottom"/>
    </xf>
    <xf borderId="7" fillId="5" fontId="37" numFmtId="0" xfId="0" applyAlignment="1" applyBorder="1" applyFont="1">
      <alignment horizontal="center" vertical="center"/>
    </xf>
    <xf borderId="0" fillId="0" fontId="39" numFmtId="0" xfId="0" applyAlignment="1" applyFont="1">
      <alignment horizontal="right" shrinkToFit="0" vertical="bottom" wrapText="0"/>
    </xf>
    <xf borderId="4" fillId="2" fontId="37" numFmtId="3" xfId="0" applyAlignment="1" applyBorder="1" applyFont="1" applyNumberFormat="1">
      <alignment readingOrder="0"/>
    </xf>
    <xf borderId="7" fillId="4" fontId="37" numFmtId="0" xfId="0" applyAlignment="1" applyBorder="1" applyFont="1">
      <alignment horizontal="center" vertical="center"/>
    </xf>
    <xf borderId="4" fillId="0" fontId="37" numFmtId="3" xfId="0" applyAlignment="1" applyBorder="1" applyFont="1" applyNumberFormat="1">
      <alignment readingOrder="0"/>
    </xf>
    <xf borderId="4" fillId="3" fontId="38" numFmtId="3" xfId="0" applyBorder="1" applyFont="1" applyNumberFormat="1"/>
    <xf borderId="0" fillId="3" fontId="38" numFmtId="3" xfId="0" applyFont="1" applyNumberFormat="1"/>
    <xf borderId="4" fillId="4" fontId="37" numFmtId="3" xfId="0" applyAlignment="1" applyBorder="1" applyFont="1" applyNumberFormat="1">
      <alignment readingOrder="0"/>
    </xf>
    <xf borderId="7" fillId="6" fontId="39" numFmtId="49" xfId="0" applyAlignment="1" applyBorder="1" applyFont="1" applyNumberFormat="1">
      <alignment horizontal="center" vertical="center"/>
    </xf>
    <xf borderId="4" fillId="0" fontId="37" numFmtId="3" xfId="0" applyAlignment="1" applyBorder="1" applyFont="1" applyNumberFormat="1">
      <alignment readingOrder="0" vertical="center"/>
    </xf>
    <xf borderId="7" fillId="7" fontId="37" numFmtId="49" xfId="0" applyAlignment="1" applyBorder="1" applyFont="1" applyNumberFormat="1">
      <alignment horizontal="center" vertical="center"/>
    </xf>
    <xf borderId="4" fillId="0" fontId="37" numFmtId="3" xfId="0" applyAlignment="1" applyBorder="1" applyFont="1" applyNumberFormat="1">
      <alignment vertical="center"/>
    </xf>
    <xf borderId="0" fillId="7" fontId="37" numFmtId="49" xfId="0" applyAlignment="1" applyFont="1" applyNumberFormat="1">
      <alignment horizontal="center"/>
    </xf>
    <xf borderId="0" fillId="4" fontId="37" numFmtId="0" xfId="0" applyAlignment="1" applyFont="1">
      <alignment vertical="bottom"/>
    </xf>
    <xf borderId="0" fillId="0" fontId="37" numFmtId="3" xfId="0" applyAlignment="1" applyFont="1" applyNumberFormat="1">
      <alignment horizontal="right"/>
    </xf>
    <xf borderId="7" fillId="7" fontId="37" numFmtId="49" xfId="0" applyAlignment="1" applyBorder="1" applyFont="1" applyNumberFormat="1">
      <alignment horizontal="center"/>
    </xf>
    <xf borderId="3" fillId="4" fontId="37" numFmtId="0" xfId="0" applyAlignment="1" applyBorder="1" applyFont="1">
      <alignment vertical="bottom"/>
    </xf>
    <xf borderId="3" fillId="0" fontId="37" numFmtId="3" xfId="0" applyAlignment="1" applyBorder="1" applyFont="1" applyNumberFormat="1">
      <alignment horizontal="right"/>
    </xf>
    <xf borderId="6" fillId="4" fontId="37" numFmtId="0" xfId="0" applyAlignment="1" applyBorder="1" applyFont="1">
      <alignment vertical="bottom"/>
    </xf>
    <xf borderId="6" fillId="0" fontId="37" numFmtId="3" xfId="0" applyAlignment="1" applyBorder="1" applyFont="1" applyNumberFormat="1">
      <alignment horizontal="right"/>
    </xf>
    <xf borderId="7" fillId="7" fontId="37" numFmtId="49" xfId="0" applyAlignment="1" applyBorder="1" applyFont="1" applyNumberFormat="1">
      <alignment horizontal="center" readingOrder="0" vertical="center"/>
    </xf>
    <xf borderId="6" fillId="4" fontId="37" numFmtId="164" xfId="0" applyAlignment="1" applyBorder="1" applyFont="1" applyNumberFormat="1">
      <alignment horizontal="right" vertical="bottom"/>
    </xf>
    <xf borderId="6" fillId="3" fontId="38" numFmtId="164" xfId="0" applyAlignment="1" applyBorder="1" applyFont="1" applyNumberFormat="1">
      <alignment horizontal="right" vertical="bottom"/>
    </xf>
    <xf borderId="4" fillId="2" fontId="37" numFmtId="3" xfId="0" applyAlignment="1" applyBorder="1" applyFont="1" applyNumberFormat="1">
      <alignment horizontal="right" readingOrder="0" vertical="center"/>
    </xf>
    <xf borderId="7" fillId="7" fontId="37" numFmtId="0" xfId="0" applyAlignment="1" applyBorder="1" applyFont="1">
      <alignment horizontal="center" vertical="center"/>
    </xf>
    <xf borderId="4" fillId="4" fontId="37" numFmtId="0" xfId="0" applyAlignment="1" applyBorder="1" applyFont="1">
      <alignment vertical="bottom"/>
    </xf>
    <xf borderId="4" fillId="0" fontId="37" numFmtId="3" xfId="0" applyAlignment="1" applyBorder="1" applyFont="1" applyNumberFormat="1">
      <alignment horizontal="right"/>
    </xf>
    <xf borderId="0" fillId="4" fontId="37" numFmtId="3" xfId="0" applyAlignment="1" applyFont="1" applyNumberFormat="1">
      <alignment readingOrder="0" vertical="center"/>
    </xf>
    <xf borderId="4" fillId="4" fontId="37" numFmtId="3" xfId="0" applyAlignment="1" applyBorder="1" applyFont="1" applyNumberFormat="1">
      <alignment horizontal="right" readingOrder="0" vertical="center"/>
    </xf>
    <xf borderId="7" fillId="7" fontId="37" numFmtId="3" xfId="0" applyAlignment="1" applyBorder="1" applyFont="1" applyNumberFormat="1">
      <alignment horizontal="center" readingOrder="0" vertical="center"/>
    </xf>
    <xf borderId="4" fillId="4" fontId="39" numFmtId="3" xfId="0" applyAlignment="1" applyBorder="1" applyFont="1" applyNumberFormat="1">
      <alignment horizontal="right" readingOrder="0" shrinkToFit="0" vertical="bottom" wrapText="0"/>
    </xf>
    <xf borderId="4" fillId="0" fontId="43" numFmtId="3" xfId="0" applyAlignment="1" applyBorder="1" applyFont="1" applyNumberFormat="1">
      <alignment readingOrder="0"/>
    </xf>
    <xf borderId="4" fillId="4" fontId="39" numFmtId="3" xfId="0" applyAlignment="1" applyBorder="1" applyFont="1" applyNumberFormat="1">
      <alignment readingOrder="0" shrinkToFit="0" vertical="bottom" wrapText="0"/>
    </xf>
    <xf borderId="4" fillId="4" fontId="37" numFmtId="3" xfId="0" applyAlignment="1" applyBorder="1" applyFont="1" applyNumberFormat="1">
      <alignment readingOrder="0" vertical="center"/>
    </xf>
    <xf borderId="0" fillId="7" fontId="37" numFmtId="49" xfId="0" applyAlignment="1" applyFont="1" applyNumberFormat="1">
      <alignment horizontal="center" vertical="center"/>
    </xf>
    <xf borderId="4" fillId="4" fontId="37" numFmtId="3" xfId="0" applyAlignment="1" applyBorder="1" applyFont="1" applyNumberFormat="1">
      <alignment horizontal="center" readingOrder="0" vertical="center"/>
    </xf>
    <xf borderId="4" fillId="0" fontId="37" numFmtId="3" xfId="0" applyAlignment="1" applyBorder="1" applyFont="1" applyNumberFormat="1">
      <alignment horizontal="center" readingOrder="0" vertical="center"/>
    </xf>
    <xf borderId="0" fillId="0" fontId="37" numFmtId="0" xfId="0" applyAlignment="1" applyFont="1">
      <alignment horizontal="center"/>
    </xf>
    <xf borderId="4" fillId="0" fontId="37" numFmtId="3" xfId="0" applyAlignment="1" applyBorder="1" applyFont="1" applyNumberFormat="1">
      <alignment horizontal="right" readingOrder="0" vertical="center"/>
    </xf>
    <xf borderId="0" fillId="0" fontId="37" numFmtId="1" xfId="0" applyFont="1" applyNumberFormat="1"/>
    <xf borderId="0" fillId="0" fontId="43" numFmtId="0" xfId="0" applyAlignment="1" applyFont="1">
      <alignment readingOrder="0"/>
    </xf>
    <xf borderId="0" fillId="0" fontId="43" numFmtId="3" xfId="0" applyAlignment="1" applyFont="1" applyNumberFormat="1">
      <alignment readingOrder="0"/>
    </xf>
    <xf borderId="4" fillId="0" fontId="37" numFmtId="3" xfId="0" applyAlignment="1" applyBorder="1" applyFont="1" applyNumberFormat="1">
      <alignment horizontal="center" readingOrder="0"/>
    </xf>
    <xf borderId="5" fillId="7" fontId="37" numFmtId="3" xfId="0" applyAlignment="1" applyBorder="1" applyFont="1" applyNumberFormat="1">
      <alignment horizontal="center" readingOrder="0" vertical="center"/>
    </xf>
    <xf borderId="0" fillId="0" fontId="37" numFmtId="1" xfId="0" applyAlignment="1" applyFont="1" applyNumberFormat="1">
      <alignment readingOrder="0"/>
    </xf>
    <xf borderId="1" fillId="0" fontId="37" numFmtId="0" xfId="0" applyAlignment="1" applyBorder="1" applyFont="1">
      <alignment readingOrder="0"/>
    </xf>
    <xf borderId="0" fillId="0" fontId="37" numFmtId="3" xfId="0" applyAlignment="1" applyFont="1" applyNumberFormat="1">
      <alignment readingOrder="0"/>
    </xf>
    <xf borderId="4" fillId="0" fontId="43" numFmtId="0" xfId="0" applyAlignment="1" applyBorder="1" applyFont="1">
      <alignment readingOrder="0"/>
    </xf>
    <xf borderId="4" fillId="0" fontId="44" numFmtId="3" xfId="0" applyAlignment="1" applyBorder="1" applyFont="1" applyNumberFormat="1">
      <alignment readingOrder="0"/>
    </xf>
    <xf borderId="4" fillId="3" fontId="37" numFmtId="3" xfId="0" applyAlignment="1" applyBorder="1" applyFont="1" applyNumberFormat="1">
      <alignment readingOrder="0"/>
    </xf>
    <xf borderId="4" fillId="0" fontId="44" numFmtId="0" xfId="0" applyAlignment="1" applyBorder="1" applyFont="1">
      <alignment readingOrder="0"/>
    </xf>
    <xf borderId="4" fillId="0" fontId="44" numFmtId="3" xfId="0" applyAlignment="1" applyBorder="1" applyFont="1" applyNumberFormat="1">
      <alignment horizontal="center" readingOrder="0"/>
    </xf>
    <xf borderId="4" fillId="0" fontId="37" numFmtId="3" xfId="0" applyAlignment="1" applyBorder="1" applyFont="1" applyNumberFormat="1">
      <alignment horizontal="right" readingOrder="0"/>
    </xf>
    <xf borderId="4" fillId="0" fontId="45" numFmtId="3" xfId="0" applyAlignment="1" applyBorder="1" applyFont="1" applyNumberFormat="1">
      <alignment readingOrder="0"/>
    </xf>
    <xf borderId="0" fillId="0" fontId="37" numFmtId="3" xfId="0" applyAlignment="1" applyFont="1" applyNumberFormat="1">
      <alignment horizontal="center" readingOrder="0" vertical="center"/>
    </xf>
    <xf borderId="0" fillId="0" fontId="37" numFmtId="3" xfId="0" applyAlignment="1" applyFont="1" applyNumberFormat="1">
      <alignment readingOrder="0" vertical="center"/>
    </xf>
    <xf borderId="4" fillId="0" fontId="46" numFmtId="3" xfId="0" applyAlignment="1" applyBorder="1" applyFont="1" applyNumberFormat="1">
      <alignment horizontal="right" readingOrder="0" vertical="center"/>
    </xf>
    <xf borderId="0" fillId="0" fontId="37" numFmtId="3" xfId="0" applyAlignment="1" applyFont="1" applyNumberFormat="1">
      <alignment horizontal="right" readingOrder="0" vertical="bottom"/>
    </xf>
    <xf borderId="0" fillId="0" fontId="37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44" numFmtId="3" xfId="0" applyAlignment="1" applyFont="1" applyNumberFormat="1">
      <alignment readingOrder="0"/>
    </xf>
    <xf borderId="0" fillId="4" fontId="37" numFmtId="0" xfId="0" applyFont="1"/>
    <xf borderId="4" fillId="2" fontId="46" numFmtId="0" xfId="0" applyAlignment="1" applyBorder="1" applyFont="1">
      <alignment readingOrder="0"/>
    </xf>
    <xf borderId="7" fillId="17" fontId="37" numFmtId="3" xfId="0" applyAlignment="1" applyBorder="1" applyFont="1" applyNumberFormat="1">
      <alignment horizontal="center" readingOrder="0" vertical="center"/>
    </xf>
    <xf borderId="5" fillId="4" fontId="37" numFmtId="3" xfId="0" applyAlignment="1" applyBorder="1" applyFont="1" applyNumberFormat="1">
      <alignment horizontal="center" vertical="center"/>
    </xf>
    <xf borderId="7" fillId="17" fontId="39" numFmtId="49" xfId="0" applyAlignment="1" applyBorder="1" applyFont="1" applyNumberFormat="1">
      <alignment horizontal="center" vertical="center"/>
    </xf>
    <xf borderId="6" fillId="0" fontId="39" numFmtId="3" xfId="0" applyAlignment="1" applyBorder="1" applyFont="1" applyNumberFormat="1">
      <alignment readingOrder="0" shrinkToFit="0" vertical="bottom" wrapText="0"/>
    </xf>
    <xf borderId="7" fillId="17" fontId="37" numFmtId="3" xfId="0" applyAlignment="1" applyBorder="1" applyFont="1" applyNumberFormat="1">
      <alignment horizontal="center" vertical="center"/>
    </xf>
    <xf borderId="8" fillId="0" fontId="39" numFmtId="0" xfId="0" applyAlignment="1" applyBorder="1" applyFont="1">
      <alignment readingOrder="0" shrinkToFit="0" vertical="bottom" wrapText="0"/>
    </xf>
    <xf borderId="4" fillId="0" fontId="39" numFmtId="3" xfId="0" applyAlignment="1" applyBorder="1" applyFont="1" applyNumberFormat="1">
      <alignment readingOrder="0" shrinkToFit="0" vertical="bottom" wrapText="0"/>
    </xf>
    <xf borderId="6" fillId="0" fontId="37" numFmtId="3" xfId="0" applyAlignment="1" applyBorder="1" applyFont="1" applyNumberFormat="1">
      <alignment readingOrder="0" vertical="center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7" fillId="17" fontId="39" numFmtId="49" xfId="0" applyAlignment="1" applyBorder="1" applyFont="1" applyNumberFormat="1">
      <alignment horizontal="center" readingOrder="0" vertical="center"/>
    </xf>
    <xf borderId="0" fillId="0" fontId="39" numFmtId="164" xfId="0" applyAlignment="1" applyFont="1" applyNumberFormat="1">
      <alignment horizontal="right" readingOrder="0" shrinkToFit="0" vertical="bottom" wrapText="0"/>
    </xf>
    <xf borderId="7" fillId="17" fontId="39" numFmtId="3" xfId="0" applyAlignment="1" applyBorder="1" applyFont="1" applyNumberFormat="1">
      <alignment horizontal="center" readingOrder="0" vertical="center"/>
    </xf>
    <xf borderId="3" fillId="0" fontId="39" numFmtId="3" xfId="0" applyAlignment="1" applyBorder="1" applyFont="1" applyNumberFormat="1">
      <alignment readingOrder="0" shrinkToFit="0" vertical="bottom" wrapText="0"/>
    </xf>
    <xf borderId="7" fillId="17" fontId="39" numFmtId="3" xfId="0" applyAlignment="1" applyBorder="1" applyFont="1" applyNumberFormat="1">
      <alignment horizontal="center" vertical="center"/>
    </xf>
    <xf borderId="0" fillId="4" fontId="49" numFmtId="0" xfId="0" applyAlignment="1" applyFont="1">
      <alignment readingOrder="0"/>
    </xf>
    <xf borderId="0" fillId="4" fontId="37" numFmtId="0" xfId="0" applyAlignment="1" applyFont="1">
      <alignment readingOrder="0"/>
    </xf>
    <xf borderId="5" fillId="17" fontId="37" numFmtId="3" xfId="0" applyAlignment="1" applyBorder="1" applyFont="1" applyNumberFormat="1">
      <alignment horizontal="center" readingOrder="0" vertical="center"/>
    </xf>
    <xf borderId="4" fillId="4" fontId="37" numFmtId="0" xfId="0" applyAlignment="1" applyBorder="1" applyFont="1">
      <alignment vertical="bottom"/>
    </xf>
    <xf borderId="0" fillId="4" fontId="37" numFmtId="0" xfId="0" applyAlignment="1" applyFont="1">
      <alignment vertical="bottom"/>
    </xf>
    <xf borderId="4" fillId="2" fontId="37" numFmtId="0" xfId="0" applyAlignment="1" applyBorder="1" applyFont="1">
      <alignment horizontal="left" readingOrder="0"/>
    </xf>
    <xf borderId="4" fillId="2" fontId="37" numFmtId="166" xfId="0" applyAlignment="1" applyBorder="1" applyFont="1" applyNumberFormat="1">
      <alignment horizontal="left" readingOrder="0"/>
    </xf>
    <xf borderId="1" fillId="0" fontId="46" numFmtId="0" xfId="0" applyAlignment="1" applyBorder="1" applyFont="1">
      <alignment readingOrder="0"/>
    </xf>
    <xf borderId="4" fillId="0" fontId="46" numFmtId="0" xfId="0" applyAlignment="1" applyBorder="1" applyFont="1">
      <alignment readingOrder="0"/>
    </xf>
    <xf borderId="0" fillId="3" fontId="37" numFmtId="3" xfId="0" applyAlignment="1" applyFont="1" applyNumberFormat="1">
      <alignment readingOrder="0" vertical="center"/>
    </xf>
    <xf borderId="4" fillId="3" fontId="37" numFmtId="3" xfId="0" applyBorder="1" applyFont="1" applyNumberFormat="1"/>
    <xf borderId="7" fillId="10" fontId="39" numFmtId="49" xfId="0" applyAlignment="1" applyBorder="1" applyFont="1" applyNumberFormat="1">
      <alignment horizontal="center" readingOrder="0" vertical="center"/>
    </xf>
    <xf borderId="7" fillId="10" fontId="37" numFmtId="3" xfId="0" applyAlignment="1" applyBorder="1" applyFont="1" applyNumberFormat="1">
      <alignment horizontal="center" readingOrder="0" vertical="center"/>
    </xf>
    <xf borderId="7" fillId="10" fontId="39" numFmtId="49" xfId="0" applyAlignment="1" applyBorder="1" applyFont="1" applyNumberFormat="1">
      <alignment horizontal="center" vertical="center"/>
    </xf>
    <xf borderId="7" fillId="10" fontId="37" numFmtId="3" xfId="0" applyAlignment="1" applyBorder="1" applyFont="1" applyNumberFormat="1">
      <alignment horizontal="center" vertical="center"/>
    </xf>
    <xf borderId="4" fillId="3" fontId="37" numFmtId="0" xfId="0" applyAlignment="1" applyBorder="1" applyFont="1">
      <alignment horizontal="right" vertical="bottom"/>
    </xf>
    <xf borderId="4" fillId="4" fontId="37" numFmtId="3" xfId="0" applyAlignment="1" applyBorder="1" applyFont="1" applyNumberFormat="1">
      <alignment horizontal="right" vertical="bottom"/>
    </xf>
    <xf borderId="7" fillId="0" fontId="37" numFmtId="0" xfId="0" applyAlignment="1" applyBorder="1" applyFont="1">
      <alignment readingOrder="0" vertical="center"/>
    </xf>
    <xf borderId="7" fillId="0" fontId="37" numFmtId="0" xfId="0" applyAlignment="1" applyBorder="1" applyFont="1">
      <alignment horizontal="center" readingOrder="0" vertical="center"/>
    </xf>
    <xf borderId="4" fillId="0" fontId="37" numFmtId="0" xfId="0" applyAlignment="1" applyBorder="1" applyFont="1">
      <alignment vertical="bottom"/>
    </xf>
    <xf borderId="4" fillId="4" fontId="37" numFmtId="3" xfId="0" applyAlignment="1" applyBorder="1" applyFont="1" applyNumberFormat="1">
      <alignment vertical="bottom"/>
    </xf>
    <xf borderId="4" fillId="2" fontId="49" numFmtId="0" xfId="0" applyAlignment="1" applyBorder="1" applyFont="1">
      <alignment horizontal="left" readingOrder="0"/>
    </xf>
    <xf borderId="0" fillId="0" fontId="39" numFmtId="0" xfId="0" applyAlignment="1" applyFont="1">
      <alignment readingOrder="0"/>
    </xf>
    <xf borderId="0" fillId="4" fontId="46" numFmtId="0" xfId="0" applyAlignment="1" applyFont="1">
      <alignment readingOrder="0"/>
    </xf>
    <xf borderId="0" fillId="0" fontId="46" numFmtId="0" xfId="0" applyAlignment="1" applyFont="1">
      <alignment readingOrder="0"/>
    </xf>
    <xf borderId="1" fillId="0" fontId="37" numFmtId="0" xfId="0" applyAlignment="1" applyBorder="1" applyFont="1">
      <alignment horizontal="center" readingOrder="0"/>
    </xf>
    <xf borderId="0" fillId="0" fontId="37" numFmtId="0" xfId="0" applyAlignment="1" applyFont="1">
      <alignment horizontal="center"/>
    </xf>
    <xf borderId="0" fillId="2" fontId="37" numFmtId="0" xfId="0" applyFont="1"/>
    <xf borderId="4" fillId="0" fontId="44" numFmtId="3" xfId="0" applyAlignment="1" applyBorder="1" applyFont="1" applyNumberFormat="1">
      <alignment horizontal="right" readingOrder="0"/>
    </xf>
    <xf borderId="0" fillId="0" fontId="45" numFmtId="0" xfId="0" applyAlignment="1" applyFont="1">
      <alignment readingOrder="0"/>
    </xf>
    <xf borderId="4" fillId="0" fontId="50" numFmtId="0" xfId="0" applyAlignment="1" applyBorder="1" applyFont="1">
      <alignment readingOrder="0"/>
    </xf>
    <xf borderId="0" fillId="4" fontId="51" numFmtId="3" xfId="0" applyAlignment="1" applyFont="1" applyNumberFormat="1">
      <alignment horizontal="right" readingOrder="0" shrinkToFit="0" vertical="bottom" wrapText="0"/>
    </xf>
    <xf borderId="0" fillId="0" fontId="44" numFmtId="0" xfId="0" applyAlignment="1" applyFont="1">
      <alignment readingOrder="0"/>
    </xf>
    <xf borderId="0" fillId="0" fontId="37" numFmtId="49" xfId="0" applyAlignment="1" applyFont="1" applyNumberFormat="1">
      <alignment readingOrder="0"/>
    </xf>
    <xf borderId="4" fillId="2" fontId="49" numFmtId="0" xfId="0" applyAlignment="1" applyBorder="1" applyFont="1">
      <alignment readingOrder="0" shrinkToFit="0" vertical="center" wrapText="1"/>
    </xf>
    <xf borderId="4" fillId="0" fontId="49" numFmtId="3" xfId="0" applyAlignment="1" applyBorder="1" applyFont="1" applyNumberFormat="1">
      <alignment readingOrder="0"/>
    </xf>
    <xf borderId="0" fillId="3" fontId="37" numFmtId="0" xfId="0" applyAlignment="1" applyFont="1">
      <alignment readingOrder="0" vertical="bottom"/>
    </xf>
    <xf borderId="0" fillId="3" fontId="37" numFmtId="0" xfId="0" applyAlignment="1" applyFont="1">
      <alignment horizontal="right" vertical="bottom"/>
    </xf>
    <xf borderId="4" fillId="3" fontId="37" numFmtId="0" xfId="0" applyAlignment="1" applyBorder="1" applyFont="1">
      <alignment readingOrder="0"/>
    </xf>
    <xf borderId="4" fillId="3" fontId="37" numFmtId="3" xfId="0" applyAlignment="1" applyBorder="1" applyFont="1" applyNumberFormat="1">
      <alignment readingOrder="0" vertical="center"/>
    </xf>
    <xf borderId="0" fillId="3" fontId="52" numFmtId="3" xfId="0" applyAlignment="1" applyFont="1" applyNumberFormat="1">
      <alignment horizontal="right" readingOrder="0" shrinkToFit="0" vertical="bottom" wrapText="0"/>
    </xf>
    <xf borderId="4" fillId="0" fontId="50" numFmtId="3" xfId="0" applyAlignment="1" applyBorder="1" applyFont="1" applyNumberFormat="1">
      <alignment readingOrder="0"/>
    </xf>
    <xf borderId="4" fillId="0" fontId="45" numFmtId="0" xfId="0" applyAlignment="1" applyBorder="1" applyFont="1">
      <alignment readingOrder="0"/>
    </xf>
    <xf borderId="0" fillId="19" fontId="37" numFmtId="3" xfId="0" applyAlignment="1" applyFill="1" applyFont="1" applyNumberFormat="1">
      <alignment horizontal="center" readingOrder="0" vertical="center"/>
    </xf>
    <xf borderId="4" fillId="0" fontId="37" numFmtId="3" xfId="0" applyAlignment="1" applyBorder="1" applyFont="1" applyNumberFormat="1">
      <alignment horizontal="right" readingOrder="0" shrinkToFit="0" vertical="bottom" wrapText="1"/>
    </xf>
    <xf borderId="0" fillId="4" fontId="53" numFmtId="3" xfId="0" applyAlignment="1" applyFont="1" applyNumberFormat="1">
      <alignment horizontal="right" readingOrder="0" shrinkToFit="0" vertical="bottom" wrapText="0"/>
    </xf>
    <xf borderId="7" fillId="7" fontId="39" numFmtId="49" xfId="0" applyAlignment="1" applyBorder="1" applyFont="1" applyNumberFormat="1">
      <alignment horizontal="center" vertical="center"/>
    </xf>
    <xf borderId="7" fillId="7" fontId="37" numFmtId="3" xfId="0" applyAlignment="1" applyBorder="1" applyFont="1" applyNumberFormat="1">
      <alignment horizontal="center" vertical="center"/>
    </xf>
    <xf borderId="4" fillId="2" fontId="37" numFmtId="167" xfId="0" applyAlignment="1" applyBorder="1" applyFont="1" applyNumberFormat="1">
      <alignment horizontal="left" readingOrder="0"/>
    </xf>
    <xf borderId="7" fillId="7" fontId="39" numFmtId="49" xfId="0" applyAlignment="1" applyBorder="1" applyFont="1" applyNumberFormat="1">
      <alignment horizontal="center" readingOrder="0" vertical="center"/>
    </xf>
    <xf borderId="0" fillId="0" fontId="48" numFmtId="49" xfId="0" applyAlignment="1" applyFont="1" applyNumberFormat="1">
      <alignment readingOrder="0"/>
    </xf>
    <xf borderId="4" fillId="2" fontId="37" numFmtId="49" xfId="0" applyAlignment="1" applyBorder="1" applyFont="1" applyNumberFormat="1">
      <alignment readingOrder="0"/>
    </xf>
    <xf borderId="7" fillId="13" fontId="39" numFmtId="49" xfId="0" applyAlignment="1" applyBorder="1" applyFont="1" applyNumberFormat="1">
      <alignment horizontal="center" vertical="center"/>
    </xf>
    <xf borderId="7" fillId="13" fontId="39" numFmtId="3" xfId="0" applyAlignment="1" applyBorder="1" applyFont="1" applyNumberFormat="1">
      <alignment horizontal="center" readingOrder="0" vertical="center"/>
    </xf>
    <xf borderId="7" fillId="13" fontId="37" numFmtId="3" xfId="0" applyAlignment="1" applyBorder="1" applyFont="1" applyNumberFormat="1">
      <alignment horizontal="center" readingOrder="0" vertical="center"/>
    </xf>
    <xf borderId="7" fillId="13" fontId="39" numFmtId="49" xfId="0" applyAlignment="1" applyBorder="1" applyFont="1" applyNumberFormat="1">
      <alignment horizontal="center" readingOrder="0" vertical="center"/>
    </xf>
    <xf borderId="6" fillId="0" fontId="37" numFmtId="3" xfId="0" applyAlignment="1" applyBorder="1" applyFont="1" applyNumberFormat="1">
      <alignment readingOrder="0"/>
    </xf>
    <xf borderId="5" fillId="13" fontId="37" numFmtId="3" xfId="0" applyAlignment="1" applyBorder="1" applyFont="1" applyNumberFormat="1">
      <alignment horizontal="center" readingOrder="0" vertical="center"/>
    </xf>
    <xf borderId="7" fillId="3" fontId="39" numFmtId="49" xfId="0" applyAlignment="1" applyBorder="1" applyFont="1" applyNumberFormat="1">
      <alignment horizontal="center" vertical="center"/>
    </xf>
    <xf borderId="7" fillId="3" fontId="39" numFmtId="49" xfId="0" applyAlignment="1" applyBorder="1" applyFont="1" applyNumberFormat="1">
      <alignment horizontal="center" readingOrder="0" vertical="center"/>
    </xf>
    <xf borderId="7" fillId="3" fontId="37" numFmtId="3" xfId="0" applyAlignment="1" applyBorder="1" applyFont="1" applyNumberFormat="1">
      <alignment horizontal="center" readingOrder="0" vertical="center"/>
    </xf>
    <xf borderId="7" fillId="3" fontId="37" numFmtId="3" xfId="0" applyAlignment="1" applyBorder="1" applyFont="1" applyNumberFormat="1">
      <alignment horizontal="center" vertical="center"/>
    </xf>
    <xf borderId="0" fillId="0" fontId="37" numFmtId="168" xfId="0" applyAlignment="1" applyFont="1" applyNumberFormat="1">
      <alignment readingOrder="0"/>
    </xf>
    <xf borderId="5" fillId="17" fontId="54" numFmtId="49" xfId="0" applyAlignment="1" applyBorder="1" applyFont="1" applyNumberFormat="1">
      <alignment horizontal="center" readingOrder="0" vertical="center"/>
    </xf>
    <xf borderId="0" fillId="0" fontId="47" numFmtId="0" xfId="0" applyAlignment="1" applyFont="1">
      <alignment horizontal="center" readingOrder="0"/>
    </xf>
    <xf borderId="7" fillId="17" fontId="54" numFmtId="49" xfId="0" applyAlignment="1" applyBorder="1" applyFont="1" applyNumberFormat="1">
      <alignment horizontal="center" readingOrder="0" vertical="center"/>
    </xf>
    <xf borderId="4" fillId="17" fontId="37" numFmtId="3" xfId="0" applyAlignment="1" applyBorder="1" applyFont="1" applyNumberFormat="1">
      <alignment readingOrder="0" vertical="bottom"/>
    </xf>
    <xf borderId="6" fillId="0" fontId="55" numFmtId="3" xfId="0" applyAlignment="1" applyBorder="1" applyFont="1" applyNumberFormat="1">
      <alignment horizontal="right" readingOrder="0" vertical="bottom"/>
    </xf>
    <xf borderId="13" fillId="17" fontId="37" numFmtId="3" xfId="0" applyAlignment="1" applyBorder="1" applyFont="1" applyNumberFormat="1">
      <alignment horizontal="center" readingOrder="0" vertical="center"/>
    </xf>
    <xf borderId="4" fillId="3" fontId="52" numFmtId="3" xfId="0" applyAlignment="1" applyBorder="1" applyFont="1" applyNumberFormat="1">
      <alignment horizontal="right" readingOrder="0" shrinkToFit="0" vertical="bottom" wrapText="0"/>
    </xf>
    <xf borderId="4" fillId="0" fontId="44" numFmtId="0" xfId="0" applyBorder="1" applyFont="1"/>
    <xf borderId="0" fillId="0" fontId="44" numFmtId="0" xfId="0" applyFont="1"/>
    <xf borderId="0" fillId="4" fontId="37" numFmtId="3" xfId="0" applyAlignment="1" applyFont="1" applyNumberFormat="1">
      <alignment readingOrder="0"/>
    </xf>
    <xf borderId="4" fillId="0" fontId="43" numFmtId="3" xfId="0" applyAlignment="1" applyBorder="1" applyFont="1" applyNumberFormat="1">
      <alignment horizontal="right" readingOrder="0"/>
    </xf>
    <xf borderId="4" fillId="0" fontId="56" numFmtId="0" xfId="0" applyAlignment="1" applyBorder="1" applyFont="1">
      <alignment readingOrder="0" vertical="bottom"/>
    </xf>
    <xf borderId="4" fillId="0" fontId="57" numFmtId="0" xfId="0" applyAlignment="1" applyBorder="1" applyFont="1">
      <alignment readingOrder="0"/>
    </xf>
    <xf borderId="7" fillId="7" fontId="58" numFmtId="3" xfId="0" applyAlignment="1" applyBorder="1" applyFont="1" applyNumberFormat="1">
      <alignment horizontal="center" readingOrder="0" vertical="center"/>
    </xf>
    <xf borderId="4" fillId="2" fontId="59" numFmtId="0" xfId="0" applyAlignment="1" applyBorder="1" applyFont="1">
      <alignment readingOrder="0"/>
    </xf>
    <xf borderId="4" fillId="0" fontId="44" numFmtId="167" xfId="0" applyAlignment="1" applyBorder="1" applyFont="1" applyNumberFormat="1">
      <alignment horizontal="left" readingOrder="0"/>
    </xf>
    <xf borderId="4" fillId="0" fontId="44" numFmtId="0" xfId="0" applyAlignment="1" applyBorder="1" applyFont="1">
      <alignment horizontal="left"/>
    </xf>
    <xf borderId="7" fillId="2" fontId="37" numFmtId="0" xfId="0" applyAlignment="1" applyBorder="1" applyFont="1">
      <alignment readingOrder="0"/>
    </xf>
    <xf borderId="7" fillId="0" fontId="37" numFmtId="3" xfId="0" applyAlignment="1" applyBorder="1" applyFont="1" applyNumberFormat="1">
      <alignment readingOrder="0"/>
    </xf>
    <xf borderId="16" fillId="19" fontId="60" numFmtId="49" xfId="0" applyAlignment="1" applyBorder="1" applyFont="1" applyNumberFormat="1">
      <alignment horizontal="center" vertical="center"/>
    </xf>
    <xf borderId="17" fillId="19" fontId="37" numFmtId="0" xfId="0" applyAlignment="1" applyBorder="1" applyFont="1">
      <alignment readingOrder="0"/>
    </xf>
    <xf borderId="18" fillId="19" fontId="37" numFmtId="3" xfId="0" applyAlignment="1" applyBorder="1" applyFont="1" applyNumberFormat="1">
      <alignment readingOrder="0"/>
    </xf>
    <xf borderId="19" fillId="19" fontId="38" numFmtId="3" xfId="0" applyAlignment="1" applyBorder="1" applyFont="1" applyNumberFormat="1">
      <alignment horizontal="center" readingOrder="0" vertical="center"/>
    </xf>
    <xf borderId="20" fillId="0" fontId="3" numFmtId="0" xfId="0" applyBorder="1" applyFont="1"/>
    <xf borderId="21" fillId="0" fontId="3" numFmtId="0" xfId="0" applyBorder="1" applyFont="1"/>
    <xf borderId="0" fillId="19" fontId="10" numFmtId="0" xfId="0" applyFont="1"/>
    <xf borderId="22" fillId="0" fontId="3" numFmtId="0" xfId="0" applyBorder="1" applyFont="1"/>
    <xf borderId="23" fillId="0" fontId="3" numFmtId="0" xfId="0" applyBorder="1" applyFont="1"/>
    <xf borderId="24" fillId="19" fontId="60" numFmtId="49" xfId="0" applyAlignment="1" applyBorder="1" applyFont="1" applyNumberFormat="1">
      <alignment horizontal="center" readingOrder="0" vertical="center"/>
    </xf>
    <xf borderId="25" fillId="19" fontId="37" numFmtId="0" xfId="0" applyAlignment="1" applyBorder="1" applyFont="1">
      <alignment readingOrder="0"/>
    </xf>
    <xf borderId="25" fillId="19" fontId="37" numFmtId="3" xfId="0" applyAlignment="1" applyBorder="1" applyFont="1" applyNumberFormat="1">
      <alignment horizontal="right" readingOrder="0" vertical="bottom"/>
    </xf>
    <xf borderId="26" fillId="19" fontId="38" numFmtId="3" xfId="0" applyAlignment="1" applyBorder="1" applyFont="1" applyNumberForma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5" fillId="19" fontId="39" numFmtId="3" xfId="0" applyAlignment="1" applyBorder="1" applyFont="1" applyNumberFormat="1">
      <alignment readingOrder="0" shrinkToFit="0" vertical="bottom" wrapText="0"/>
    </xf>
    <xf borderId="29" fillId="19" fontId="37" numFmtId="0" xfId="0" applyAlignment="1" applyBorder="1" applyFont="1">
      <alignment readingOrder="0"/>
    </xf>
    <xf borderId="30" fillId="19" fontId="39" numFmtId="3" xfId="0" applyAlignment="1" applyBorder="1" applyFont="1" applyNumberFormat="1">
      <alignment readingOrder="0" shrinkToFit="0" vertical="bottom" wrapText="0"/>
    </xf>
    <xf borderId="31" fillId="0" fontId="3" numFmtId="0" xfId="0" applyBorder="1" applyFont="1"/>
    <xf borderId="32" fillId="19" fontId="39" numFmtId="3" xfId="0" applyAlignment="1" applyBorder="1" applyFont="1" applyNumberFormat="1">
      <alignment readingOrder="0" shrinkToFit="0" vertical="bottom" wrapText="0"/>
    </xf>
    <xf borderId="33" fillId="0" fontId="3" numFmtId="0" xfId="0" applyBorder="1" applyFont="1"/>
    <xf borderId="34" fillId="19" fontId="60" numFmtId="49" xfId="0" applyAlignment="1" applyBorder="1" applyFont="1" applyNumberFormat="1">
      <alignment horizontal="center" readingOrder="0" vertical="center"/>
    </xf>
    <xf borderId="35" fillId="19" fontId="37" numFmtId="0" xfId="0" applyAlignment="1" applyBorder="1" applyFont="1">
      <alignment horizontal="left" readingOrder="0"/>
    </xf>
    <xf borderId="35" fillId="19" fontId="37" numFmtId="3" xfId="0" applyAlignment="1" applyBorder="1" applyFont="1" applyNumberFormat="1">
      <alignment horizontal="right" readingOrder="0" vertical="bottom"/>
    </xf>
    <xf borderId="36" fillId="19" fontId="38" numFmtId="3" xfId="0" applyAlignment="1" applyBorder="1" applyFont="1" applyNumberFormat="1">
      <alignment horizontal="center" readingOrder="0" vertical="center"/>
    </xf>
    <xf borderId="37" fillId="0" fontId="3" numFmtId="0" xfId="0" applyBorder="1" applyFont="1"/>
    <xf borderId="38" fillId="0" fontId="3" numFmtId="0" xfId="0" applyBorder="1" applyFont="1"/>
    <xf borderId="39" fillId="19" fontId="37" numFmtId="0" xfId="0" applyAlignment="1" applyBorder="1" applyFont="1">
      <alignment readingOrder="0"/>
    </xf>
    <xf borderId="40" fillId="19" fontId="37" numFmtId="3" xfId="0" applyAlignment="1" applyBorder="1" applyFont="1" applyNumberFormat="1">
      <alignment horizontal="right" readingOrder="0" vertical="bottom"/>
    </xf>
    <xf borderId="41" fillId="0" fontId="3" numFmtId="0" xfId="0" applyBorder="1" applyFont="1"/>
    <xf borderId="42" fillId="19" fontId="37" numFmtId="3" xfId="0" applyAlignment="1" applyBorder="1" applyFont="1" applyNumberFormat="1">
      <alignment horizontal="right" readingOrder="0" vertical="bottom"/>
    </xf>
    <xf borderId="43" fillId="0" fontId="3" numFmtId="0" xfId="0" applyBorder="1" applyFont="1"/>
    <xf borderId="34" fillId="19" fontId="60" numFmtId="49" xfId="0" applyAlignment="1" applyBorder="1" applyFont="1" applyNumberFormat="1">
      <alignment horizontal="center" vertical="center"/>
    </xf>
    <xf borderId="35" fillId="19" fontId="37" numFmtId="0" xfId="0" applyAlignment="1" applyBorder="1" applyFont="1">
      <alignment readingOrder="0"/>
    </xf>
    <xf borderId="30" fillId="19" fontId="37" numFmtId="0" xfId="0" applyAlignment="1" applyBorder="1" applyFont="1">
      <alignment readingOrder="0"/>
    </xf>
    <xf borderId="30" fillId="19" fontId="37" numFmtId="3" xfId="0" applyAlignment="1" applyBorder="1" applyFont="1" applyNumberFormat="1">
      <alignment horizontal="right" readingOrder="0" vertical="bottom"/>
    </xf>
    <xf borderId="25" fillId="19" fontId="37" numFmtId="3" xfId="0" applyAlignment="1" applyBorder="1" applyFont="1" applyNumberFormat="1">
      <alignment readingOrder="0"/>
    </xf>
    <xf borderId="30" fillId="19" fontId="37" numFmtId="3" xfId="0" applyAlignment="1" applyBorder="1" applyFont="1" applyNumberFormat="1">
      <alignment readingOrder="0"/>
    </xf>
    <xf borderId="44" fillId="19" fontId="60" numFmtId="49" xfId="0" applyAlignment="1" applyBorder="1" applyFont="1" applyNumberFormat="1">
      <alignment horizontal="center" readingOrder="0" vertical="center"/>
    </xf>
    <xf borderId="45" fillId="19" fontId="37" numFmtId="0" xfId="0" applyAlignment="1" applyBorder="1" applyFont="1">
      <alignment readingOrder="0"/>
    </xf>
    <xf borderId="45" fillId="19" fontId="37" numFmtId="3" xfId="0" applyAlignment="1" applyBorder="1" applyFont="1" applyNumberFormat="1">
      <alignment readingOrder="0"/>
    </xf>
    <xf borderId="46" fillId="19" fontId="38" numFmtId="3" xfId="0" applyAlignment="1" applyBorder="1" applyFont="1" applyNumberFormat="1">
      <alignment horizontal="center" readingOrder="0" vertical="center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19" fontId="37" numFmtId="0" xfId="0" applyAlignment="1" applyBorder="1" applyFont="1">
      <alignment readingOrder="0"/>
    </xf>
    <xf borderId="51" fillId="19" fontId="37" numFmtId="3" xfId="0" applyAlignment="1" applyBorder="1" applyFont="1" applyNumberFormat="1">
      <alignment readingOrder="0"/>
    </xf>
    <xf borderId="4" fillId="19" fontId="37" numFmtId="0" xfId="0" applyAlignment="1" applyBorder="1" applyFont="1">
      <alignment readingOrder="0"/>
    </xf>
    <xf borderId="4" fillId="19" fontId="37" numFmtId="3" xfId="0" applyAlignment="1" applyBorder="1" applyFont="1" applyNumberFormat="1">
      <alignment readingOrder="0"/>
    </xf>
    <xf borderId="7" fillId="19" fontId="37" numFmtId="3" xfId="0" applyAlignment="1" applyBorder="1" applyFont="1" applyNumberFormat="1">
      <alignment readingOrder="0"/>
    </xf>
    <xf borderId="0" fillId="19" fontId="37" numFmtId="3" xfId="0" applyAlignment="1" applyFont="1" applyNumberFormat="1">
      <alignment readingOrder="0"/>
    </xf>
    <xf borderId="25" fillId="19" fontId="37" numFmtId="3" xfId="0" applyAlignment="1" applyBorder="1" applyFont="1" applyNumberFormat="1">
      <alignment horizontal="center" readingOrder="0"/>
    </xf>
    <xf borderId="30" fillId="19" fontId="10" numFmtId="0" xfId="0" applyBorder="1" applyFont="1"/>
    <xf borderId="34" fillId="19" fontId="61" numFmtId="49" xfId="0" applyAlignment="1" applyBorder="1" applyFont="1" applyNumberFormat="1">
      <alignment horizontal="center" readingOrder="0" vertical="center"/>
    </xf>
    <xf borderId="5" fillId="10" fontId="39" numFmtId="49" xfId="0" applyAlignment="1" applyBorder="1" applyFont="1" applyNumberFormat="1">
      <alignment horizontal="center" readingOrder="0" vertical="center"/>
    </xf>
    <xf borderId="8" fillId="2" fontId="37" numFmtId="0" xfId="0" applyAlignment="1" applyBorder="1" applyFont="1">
      <alignment readingOrder="0"/>
    </xf>
    <xf borderId="8" fillId="0" fontId="37" numFmtId="3" xfId="0" applyAlignment="1" applyBorder="1" applyFont="1" applyNumberFormat="1">
      <alignment readingOrder="0"/>
    </xf>
    <xf borderId="5" fillId="10" fontId="37" numFmtId="3" xfId="0" applyAlignment="1" applyBorder="1" applyFont="1" applyNumberFormat="1">
      <alignment horizontal="center" readingOrder="0" vertical="center"/>
    </xf>
    <xf borderId="4" fillId="0" fontId="39" numFmtId="3" xfId="0" applyAlignment="1" applyBorder="1" applyFont="1" applyNumberFormat="1">
      <alignment readingOrder="0"/>
    </xf>
    <xf borderId="0" fillId="4" fontId="39" numFmtId="49" xfId="0" applyAlignment="1" applyFont="1" applyNumberFormat="1">
      <alignment horizontal="center" readingOrder="0" vertical="center"/>
    </xf>
    <xf borderId="0" fillId="4" fontId="37" numFmtId="3" xfId="0" applyAlignment="1" applyFont="1" applyNumberFormat="1">
      <alignment horizontal="center" readingOrder="0" vertical="center"/>
    </xf>
    <xf borderId="0" fillId="2" fontId="62" numFmtId="0" xfId="0" applyAlignment="1" applyFont="1">
      <alignment readingOrder="0"/>
    </xf>
    <xf borderId="7" fillId="3" fontId="38" numFmtId="0" xfId="0" applyAlignment="1" applyBorder="1" applyFont="1">
      <alignment horizontal="center" vertical="center"/>
    </xf>
    <xf borderId="25" fillId="20" fontId="37" numFmtId="0" xfId="0" applyAlignment="1" applyBorder="1" applyFill="1" applyFont="1">
      <alignment readingOrder="0"/>
    </xf>
    <xf borderId="25" fillId="18" fontId="46" numFmtId="3" xfId="0" applyAlignment="1" applyBorder="1" applyFont="1" applyNumberFormat="1">
      <alignment horizontal="right" readingOrder="0"/>
    </xf>
    <xf borderId="30" fillId="18" fontId="46" numFmtId="3" xfId="0" applyAlignment="1" applyBorder="1" applyFont="1" applyNumberFormat="1">
      <alignment horizontal="center" readingOrder="0" vertical="center"/>
    </xf>
    <xf borderId="32" fillId="0" fontId="3" numFmtId="0" xfId="0" applyBorder="1" applyFont="1"/>
    <xf borderId="52" fillId="0" fontId="3" numFmtId="0" xfId="0" applyBorder="1" applyFont="1"/>
    <xf borderId="25" fillId="18" fontId="46" numFmtId="3" xfId="0" applyAlignment="1" applyBorder="1" applyFont="1" applyNumberFormat="1">
      <alignment readingOrder="0"/>
    </xf>
    <xf borderId="53" fillId="19" fontId="38" numFmtId="3" xfId="0" applyAlignment="1" applyBorder="1" applyFont="1" applyNumberFormat="1">
      <alignment horizontal="center" vertical="center"/>
    </xf>
    <xf borderId="25" fillId="18" fontId="37" numFmtId="0" xfId="0" applyAlignment="1" applyBorder="1" applyFont="1">
      <alignment readingOrder="0"/>
    </xf>
    <xf borderId="54" fillId="0" fontId="3" numFmtId="0" xfId="0" applyBorder="1" applyFont="1"/>
    <xf borderId="55" fillId="19" fontId="60" numFmtId="49" xfId="0" applyAlignment="1" applyBorder="1" applyFont="1" applyNumberFormat="1">
      <alignment horizontal="center" readingOrder="0" vertical="center"/>
    </xf>
    <xf borderId="53" fillId="19" fontId="38" numFmtId="3" xfId="0" applyAlignment="1" applyBorder="1" applyFont="1" applyNumberFormat="1">
      <alignment horizontal="center" readingOrder="0" vertical="center"/>
    </xf>
    <xf borderId="56" fillId="0" fontId="3" numFmtId="0" xfId="0" applyBorder="1" applyFont="1"/>
    <xf borderId="25" fillId="18" fontId="37" numFmtId="3" xfId="0" applyAlignment="1" applyBorder="1" applyFont="1" applyNumberFormat="1">
      <alignment horizontal="right" readingOrder="0" vertical="bottom"/>
    </xf>
    <xf borderId="30" fillId="18" fontId="37" numFmtId="3" xfId="0" applyAlignment="1" applyBorder="1" applyFont="1" applyNumberFormat="1">
      <alignment horizontal="center" readingOrder="0" vertical="center"/>
    </xf>
    <xf borderId="25" fillId="18" fontId="47" numFmtId="3" xfId="0" applyAlignment="1" applyBorder="1" applyFont="1" applyNumberFormat="1">
      <alignment horizontal="right" readingOrder="0"/>
    </xf>
    <xf borderId="30" fillId="19" fontId="46" numFmtId="3" xfId="0" applyAlignment="1" applyBorder="1" applyFont="1" applyNumberFormat="1">
      <alignment horizontal="center" readingOrder="0" vertical="center"/>
    </xf>
    <xf borderId="0" fillId="18" fontId="46" numFmtId="3" xfId="0" applyAlignment="1" applyFont="1" applyNumberFormat="1">
      <alignment readingOrder="0"/>
    </xf>
    <xf borderId="52" fillId="18" fontId="37" numFmtId="3" xfId="0" applyAlignment="1" applyBorder="1" applyFont="1" applyNumberFormat="1">
      <alignment horizontal="right" readingOrder="0"/>
    </xf>
    <xf borderId="25" fillId="18" fontId="37" numFmtId="3" xfId="0" applyAlignment="1" applyBorder="1" applyFont="1" applyNumberFormat="1">
      <alignment horizontal="right" readingOrder="0"/>
    </xf>
    <xf borderId="55" fillId="19" fontId="60" numFmtId="49" xfId="0" applyAlignment="1" applyBorder="1" applyFont="1" applyNumberFormat="1">
      <alignment horizontal="center" vertical="center"/>
    </xf>
    <xf borderId="0" fillId="4" fontId="47" numFmtId="3" xfId="0" applyAlignment="1" applyFont="1" applyNumberFormat="1">
      <alignment readingOrder="0"/>
    </xf>
    <xf borderId="0" fillId="18" fontId="47" numFmtId="3" xfId="0" applyAlignment="1" applyFont="1" applyNumberFormat="1">
      <alignment readingOrder="0"/>
    </xf>
    <xf borderId="25" fillId="18" fontId="37" numFmtId="3" xfId="0" applyAlignment="1" applyBorder="1" applyFont="1" applyNumberFormat="1">
      <alignment readingOrder="0"/>
    </xf>
    <xf borderId="30" fillId="19" fontId="37" numFmtId="3" xfId="0" applyAlignment="1" applyBorder="1" applyFont="1" applyNumberFormat="1">
      <alignment horizontal="center" readingOrder="0" vertical="center"/>
    </xf>
    <xf borderId="0" fillId="18" fontId="46" numFmtId="3" xfId="0" applyAlignment="1" applyFont="1" applyNumberFormat="1">
      <alignment horizontal="right" readingOrder="0"/>
    </xf>
    <xf borderId="25" fillId="4" fontId="37" numFmtId="3" xfId="0" applyAlignment="1" applyBorder="1" applyFont="1" applyNumberFormat="1">
      <alignment readingOrder="0"/>
    </xf>
    <xf borderId="0" fillId="4" fontId="46" numFmtId="3" xfId="0" applyAlignment="1" applyFont="1" applyNumberFormat="1">
      <alignment horizontal="right" readingOrder="0"/>
    </xf>
    <xf borderId="0" fillId="4" fontId="48" numFmtId="0" xfId="0" applyAlignment="1" applyFont="1">
      <alignment readingOrder="0"/>
    </xf>
    <xf borderId="0" fillId="4" fontId="46" numFmtId="3" xfId="0" applyAlignment="1" applyFont="1" applyNumberFormat="1">
      <alignment readingOrder="0"/>
    </xf>
    <xf borderId="0" fillId="19" fontId="46" numFmtId="3" xfId="0" applyAlignment="1" applyFont="1" applyNumberFormat="1">
      <alignment horizontal="center" readingOrder="0" vertical="center"/>
    </xf>
    <xf borderId="25" fillId="18" fontId="45" numFmtId="0" xfId="0" applyAlignment="1" applyBorder="1" applyFont="1">
      <alignment readingOrder="0"/>
    </xf>
    <xf borderId="0" fillId="4" fontId="46" numFmtId="3" xfId="0" applyAlignment="1" applyFont="1" applyNumberFormat="1">
      <alignment horizontal="center" readingOrder="0" vertical="center"/>
    </xf>
    <xf borderId="30" fillId="18" fontId="37" numFmtId="3" xfId="0" applyAlignment="1" applyBorder="1" applyFont="1" applyNumberFormat="1">
      <alignment readingOrder="0" vertical="center"/>
    </xf>
    <xf borderId="25" fillId="18" fontId="47" numFmtId="0" xfId="0" applyAlignment="1" applyBorder="1" applyFont="1">
      <alignment readingOrder="0"/>
    </xf>
    <xf borderId="0" fillId="18" fontId="43" numFmtId="0" xfId="0" applyAlignment="1" applyFont="1">
      <alignment readingOrder="0"/>
    </xf>
    <xf borderId="25" fillId="18" fontId="25" numFmtId="0" xfId="0" applyAlignment="1" applyBorder="1" applyFont="1">
      <alignment readingOrder="0"/>
    </xf>
    <xf borderId="27" fillId="19" fontId="60" numFmtId="49" xfId="0" applyAlignment="1" applyBorder="1" applyFont="1" applyNumberFormat="1">
      <alignment horizontal="center" readingOrder="0" vertical="center"/>
    </xf>
    <xf borderId="52" fillId="18" fontId="37" numFmtId="3" xfId="0" applyAlignment="1" applyBorder="1" applyFont="1" applyNumberFormat="1">
      <alignment readingOrder="0"/>
    </xf>
    <xf borderId="52" fillId="18" fontId="46" numFmtId="3" xfId="0" applyAlignment="1" applyBorder="1" applyFont="1" applyNumberFormat="1">
      <alignment readingOrder="0"/>
    </xf>
    <xf borderId="30" fillId="19" fontId="60" numFmtId="49" xfId="0" applyAlignment="1" applyBorder="1" applyFont="1" applyNumberFormat="1">
      <alignment horizontal="center" readingOrder="0" vertical="center"/>
    </xf>
    <xf borderId="32" fillId="19" fontId="46" numFmtId="3" xfId="0" applyAlignment="1" applyBorder="1" applyFont="1" applyNumberFormat="1">
      <alignment horizontal="center" readingOrder="0" vertical="center"/>
    </xf>
    <xf borderId="0" fillId="18" fontId="37" numFmtId="3" xfId="0" applyAlignment="1" applyFont="1" applyNumberFormat="1">
      <alignment readingOrder="0"/>
    </xf>
    <xf borderId="4" fillId="20" fontId="37" numFmtId="3" xfId="0" applyAlignment="1" applyBorder="1" applyFont="1" applyNumberFormat="1">
      <alignment readingOrder="0"/>
    </xf>
    <xf borderId="7" fillId="19" fontId="37" numFmtId="3" xfId="0" applyAlignment="1" applyBorder="1" applyFont="1" applyNumberFormat="1">
      <alignment horizontal="center" readingOrder="0" vertical="center"/>
    </xf>
    <xf borderId="4" fillId="20" fontId="37" numFmtId="0" xfId="0" applyAlignment="1" applyBorder="1" applyFont="1">
      <alignment readingOrder="0"/>
    </xf>
    <xf borderId="0" fillId="6" fontId="37" numFmtId="0" xfId="0" applyAlignment="1" applyFont="1">
      <alignment readingOrder="0"/>
    </xf>
    <xf borderId="0" fillId="4" fontId="10" numFmtId="0" xfId="0" applyFont="1"/>
    <xf borderId="7" fillId="19" fontId="63" numFmtId="49" xfId="0" applyAlignment="1" applyBorder="1" applyFont="1" applyNumberFormat="1">
      <alignment horizontal="center" readingOrder="0" vertical="center"/>
    </xf>
    <xf borderId="4" fillId="20" fontId="37" numFmtId="3" xfId="0" applyAlignment="1" applyBorder="1" applyFont="1" applyNumberFormat="1">
      <alignment readingOrder="0" vertical="center"/>
    </xf>
    <xf borderId="0" fillId="20" fontId="37" numFmtId="0" xfId="0" applyAlignment="1" applyFont="1">
      <alignment readingOrder="0"/>
    </xf>
    <xf borderId="0" fillId="9" fontId="37" numFmtId="0" xfId="0" applyFont="1"/>
    <xf borderId="0" fillId="9" fontId="10" numFmtId="0" xfId="0" applyFont="1"/>
    <xf borderId="0" fillId="21" fontId="37" numFmtId="0" xfId="0" applyFill="1" applyFont="1"/>
    <xf borderId="0" fillId="0" fontId="64" numFmtId="0" xfId="0" applyAlignment="1" applyFont="1">
      <alignment readingOrder="0" shrinkToFit="0" vertical="bottom" wrapText="0"/>
    </xf>
    <xf borderId="1" fillId="19" fontId="65" numFmtId="0" xfId="0" applyAlignment="1" applyBorder="1" applyFont="1">
      <alignment horizontal="center" readingOrder="0" shrinkToFit="0" wrapText="0"/>
    </xf>
    <xf borderId="0" fillId="0" fontId="33" numFmtId="0" xfId="0" applyFont="1"/>
    <xf borderId="0" fillId="0" fontId="64" numFmtId="0" xfId="0" applyAlignment="1" applyFont="1">
      <alignment shrinkToFit="0" vertical="bottom" wrapText="0"/>
    </xf>
    <xf borderId="4" fillId="0" fontId="66" numFmtId="0" xfId="0" applyAlignment="1" applyBorder="1" applyFont="1">
      <alignment horizontal="center" readingOrder="0" shrinkToFit="0" vertical="bottom" wrapText="0"/>
    </xf>
    <xf borderId="0" fillId="0" fontId="67" numFmtId="0" xfId="0" applyAlignment="1" applyFont="1">
      <alignment readingOrder="0" shrinkToFit="0" vertical="bottom" wrapText="0"/>
    </xf>
    <xf borderId="4" fillId="22" fontId="64" numFmtId="0" xfId="0" applyAlignment="1" applyBorder="1" applyFill="1" applyFont="1">
      <alignment readingOrder="0" shrinkToFit="0" vertical="bottom" wrapText="0"/>
    </xf>
    <xf borderId="4" fillId="3" fontId="64" numFmtId="0" xfId="0" applyAlignment="1" applyBorder="1" applyFont="1">
      <alignment readingOrder="0" shrinkToFit="0" vertical="bottom" wrapText="0"/>
    </xf>
    <xf borderId="4" fillId="23" fontId="64" numFmtId="0" xfId="0" applyAlignment="1" applyBorder="1" applyFill="1" applyFont="1">
      <alignment readingOrder="0" shrinkToFit="0" vertical="bottom" wrapText="0"/>
    </xf>
    <xf borderId="4" fillId="13" fontId="64" numFmtId="0" xfId="0" applyAlignment="1" applyBorder="1" applyFont="1">
      <alignment readingOrder="0" shrinkToFit="0" vertical="bottom" wrapText="0"/>
    </xf>
    <xf borderId="4" fillId="4" fontId="64" numFmtId="0" xfId="0" applyAlignment="1" applyBorder="1" applyFont="1">
      <alignment shrinkToFit="0" vertical="bottom" wrapText="0"/>
    </xf>
    <xf borderId="4" fillId="7" fontId="64" numFmtId="0" xfId="0" applyAlignment="1" applyBorder="1" applyFont="1">
      <alignment readingOrder="0" shrinkToFit="0" vertical="bottom" wrapText="0"/>
    </xf>
    <xf borderId="4" fillId="4" fontId="64" numFmtId="0" xfId="0" applyAlignment="1" applyBorder="1" applyFont="1">
      <alignment readingOrder="0" shrinkToFit="0" vertical="bottom" wrapText="0"/>
    </xf>
    <xf borderId="0" fillId="4" fontId="33" numFmtId="0" xfId="0" applyFont="1"/>
    <xf borderId="0" fillId="0" fontId="33" numFmtId="0" xfId="0" applyAlignment="1" applyFont="1">
      <alignment readingOrder="0"/>
    </xf>
    <xf borderId="4" fillId="0" fontId="64" numFmtId="0" xfId="0" applyAlignment="1" applyBorder="1" applyFont="1">
      <alignment readingOrder="0" shrinkToFit="0" vertical="bottom" wrapText="0"/>
    </xf>
    <xf borderId="4" fillId="0" fontId="64" numFmtId="0" xfId="0" applyAlignment="1" applyBorder="1" applyFont="1">
      <alignment shrinkToFit="0" vertical="bottom" wrapText="0"/>
    </xf>
    <xf borderId="4" fillId="24" fontId="64" numFmtId="0" xfId="0" applyAlignment="1" applyBorder="1" applyFill="1" applyFont="1">
      <alignment horizontal="center" readingOrder="0" shrinkToFit="0" vertical="bottom" wrapText="0"/>
    </xf>
    <xf borderId="4" fillId="24" fontId="64" numFmtId="0" xfId="0" applyAlignment="1" applyBorder="1" applyFont="1">
      <alignment horizontal="center" shrinkToFit="0" vertical="bottom" wrapText="0"/>
    </xf>
    <xf borderId="1" fillId="0" fontId="64" numFmtId="0" xfId="0" applyAlignment="1" applyBorder="1" applyFont="1">
      <alignment horizontal="center" readingOrder="0" shrinkToFit="0" vertical="bottom" wrapText="0"/>
    </xf>
    <xf borderId="0" fillId="4" fontId="64" numFmtId="0" xfId="0" applyAlignment="1" applyFont="1">
      <alignment readingOrder="0" shrinkToFit="0" vertical="bottom" wrapText="0"/>
    </xf>
    <xf borderId="4" fillId="25" fontId="64" numFmtId="0" xfId="0" applyAlignment="1" applyBorder="1" applyFill="1" applyFont="1">
      <alignment horizontal="left" readingOrder="0" shrinkToFit="0" wrapText="0"/>
    </xf>
    <xf borderId="4" fillId="0" fontId="64" numFmtId="0" xfId="0" applyAlignment="1" applyBorder="1" applyFont="1">
      <alignment horizontal="left" readingOrder="0" shrinkToFit="0" wrapText="0"/>
    </xf>
    <xf borderId="4" fillId="0" fontId="64" numFmtId="0" xfId="0" applyAlignment="1" applyBorder="1" applyFont="1">
      <alignment horizontal="left" shrinkToFit="0" wrapText="0"/>
    </xf>
    <xf borderId="4" fillId="3" fontId="38" numFmtId="0" xfId="0" applyAlignment="1" applyBorder="1" applyFont="1">
      <alignment horizontal="center" vertical="center"/>
    </xf>
    <xf borderId="4" fillId="26" fontId="37" numFmtId="3" xfId="0" applyAlignment="1" applyBorder="1" applyFill="1" applyFont="1" applyNumberFormat="1">
      <alignment horizontal="left" readingOrder="0" vertical="bottom"/>
    </xf>
    <xf borderId="4" fillId="26" fontId="37" numFmtId="3" xfId="0" applyAlignment="1" applyBorder="1" applyFont="1" applyNumberFormat="1">
      <alignment horizontal="right" readingOrder="0" vertical="bottom"/>
    </xf>
    <xf borderId="0" fillId="0" fontId="37" numFmtId="0" xfId="0" applyAlignment="1" applyFont="1">
      <alignment horizontal="left" readingOrder="0"/>
    </xf>
    <xf borderId="4" fillId="4" fontId="46" numFmtId="3" xfId="0" applyAlignment="1" applyBorder="1" applyFont="1" applyNumberFormat="1">
      <alignment readingOrder="0" vertical="bottom"/>
    </xf>
    <xf borderId="4" fillId="0" fontId="46" numFmtId="3" xfId="0" applyAlignment="1" applyBorder="1" applyFont="1" applyNumberFormat="1">
      <alignment readingOrder="0" vertical="center"/>
    </xf>
    <xf borderId="0" fillId="23" fontId="37" numFmtId="0" xfId="0" applyAlignment="1" applyFont="1">
      <alignment readingOrder="0"/>
    </xf>
    <xf borderId="4" fillId="0" fontId="43" numFmtId="0" xfId="0" applyBorder="1" applyFont="1"/>
    <xf borderId="4" fillId="0" fontId="68" numFmtId="3" xfId="0" applyAlignment="1" applyBorder="1" applyFont="1" applyNumberFormat="1">
      <alignment readingOrder="0" vertical="bottom"/>
    </xf>
    <xf borderId="0" fillId="0" fontId="42" numFmtId="0" xfId="0" applyFont="1"/>
    <xf borderId="4" fillId="4" fontId="46" numFmtId="3" xfId="0" applyAlignment="1" applyBorder="1" applyFont="1" applyNumberFormat="1">
      <alignment readingOrder="0" vertical="center"/>
    </xf>
    <xf borderId="0" fillId="0" fontId="37" numFmtId="0" xfId="0" applyAlignment="1" applyFont="1">
      <alignment horizontal="center" readingOrder="0"/>
    </xf>
    <xf borderId="0" fillId="0" fontId="45" numFmtId="0" xfId="0" applyFont="1"/>
    <xf borderId="0" fillId="0" fontId="37" numFmtId="169" xfId="0" applyAlignment="1" applyFont="1" applyNumberFormat="1">
      <alignment readingOrder="0"/>
    </xf>
    <xf borderId="0" fillId="5" fontId="37" numFmtId="0" xfId="0" applyAlignment="1" applyFont="1">
      <alignment readingOrder="0"/>
    </xf>
    <xf borderId="0" fillId="9" fontId="37" numFmtId="49" xfId="0" applyAlignment="1" applyFont="1" applyNumberFormat="1">
      <alignment readingOrder="0"/>
    </xf>
    <xf borderId="7" fillId="27" fontId="58" numFmtId="3" xfId="0" applyAlignment="1" applyBorder="1" applyFill="1" applyFont="1" applyNumberFormat="1">
      <alignment horizontal="center" readingOrder="0" vertical="center"/>
    </xf>
    <xf borderId="7" fillId="27" fontId="37" numFmtId="3" xfId="0" applyAlignment="1" applyBorder="1" applyFont="1" applyNumberFormat="1">
      <alignment horizontal="center" readingOrder="0" vertical="center"/>
    </xf>
    <xf borderId="0" fillId="3" fontId="37" numFmtId="49" xfId="0" applyAlignment="1" applyFont="1" applyNumberFormat="1">
      <alignment readingOrder="0"/>
    </xf>
    <xf borderId="7" fillId="27" fontId="39" numFmtId="49" xfId="0" applyAlignment="1" applyBorder="1" applyFont="1" applyNumberFormat="1">
      <alignment horizontal="center" vertical="center"/>
    </xf>
    <xf borderId="7" fillId="27" fontId="37" numFmtId="3" xfId="0" applyAlignment="1" applyBorder="1" applyFont="1" applyNumberFormat="1">
      <alignment horizontal="center" vertical="center"/>
    </xf>
    <xf borderId="4" fillId="0" fontId="44" numFmtId="166" xfId="0" applyAlignment="1" applyBorder="1" applyFont="1" applyNumberFormat="1">
      <alignment horizontal="left" readingOrder="0"/>
    </xf>
    <xf borderId="4" fillId="0" fontId="44" numFmtId="0" xfId="0" applyAlignment="1" applyBorder="1" applyFont="1">
      <alignment horizontal="left" readingOrder="0"/>
    </xf>
    <xf borderId="7" fillId="27" fontId="39" numFmtId="49" xfId="0" applyAlignment="1" applyBorder="1" applyFont="1" applyNumberFormat="1">
      <alignment horizontal="center" readingOrder="0" vertical="center"/>
    </xf>
    <xf borderId="4" fillId="16" fontId="37" numFmtId="0" xfId="0" applyAlignment="1" applyBorder="1" applyFont="1">
      <alignment readingOrder="0"/>
    </xf>
    <xf borderId="4" fillId="16" fontId="37" numFmtId="3" xfId="0" applyAlignment="1" applyBorder="1" applyFont="1" applyNumberFormat="1">
      <alignment readingOrder="0" vertical="center"/>
    </xf>
    <xf borderId="0" fillId="0" fontId="69" numFmtId="0" xfId="0" applyAlignment="1" applyFont="1">
      <alignment readingOrder="0"/>
    </xf>
    <xf borderId="0" fillId="0" fontId="69" numFmtId="0" xfId="0" applyFont="1"/>
    <xf borderId="4" fillId="16" fontId="39" numFmtId="3" xfId="0" applyAlignment="1" applyBorder="1" applyFont="1" applyNumberFormat="1">
      <alignment readingOrder="0" shrinkToFit="0" vertical="bottom" wrapText="0"/>
    </xf>
    <xf borderId="7" fillId="16" fontId="37" numFmtId="3" xfId="0" applyAlignment="1" applyBorder="1" applyFont="1" applyNumberFormat="1">
      <alignment readingOrder="0"/>
    </xf>
    <xf borderId="57" fillId="19" fontId="37" numFmtId="3" xfId="0" applyAlignment="1" applyBorder="1" applyFont="1" applyNumberFormat="1">
      <alignment readingOrder="0"/>
    </xf>
    <xf borderId="58" fillId="19" fontId="60" numFmtId="49" xfId="0" applyAlignment="1" applyBorder="1" applyFont="1" applyNumberFormat="1">
      <alignment horizontal="center" readingOrder="0" vertical="center"/>
    </xf>
    <xf borderId="25" fillId="19" fontId="39" numFmtId="3" xfId="0" applyAlignment="1" applyBorder="1" applyFont="1" applyNumberFormat="1">
      <alignment horizontal="right" readingOrder="0" shrinkToFit="0" vertical="bottom" wrapText="0"/>
    </xf>
    <xf borderId="59" fillId="19" fontId="38" numFmtId="3" xfId="0" applyAlignment="1" applyBorder="1" applyFont="1" applyNumberFormat="1">
      <alignment horizontal="center" vertical="center"/>
    </xf>
    <xf borderId="30" fillId="19" fontId="39" numFmtId="3" xfId="0" applyAlignment="1" applyBorder="1" applyFont="1" applyNumberFormat="1">
      <alignment horizontal="right" readingOrder="0" shrinkToFit="0" vertical="bottom" wrapText="0"/>
    </xf>
    <xf borderId="25" fillId="19" fontId="10" numFmtId="0" xfId="0" applyBorder="1" applyFont="1"/>
    <xf borderId="60" fillId="0" fontId="3" numFmtId="0" xfId="0" applyBorder="1" applyFont="1"/>
    <xf borderId="61" fillId="0" fontId="3" numFmtId="0" xfId="0" applyBorder="1" applyFont="1"/>
    <xf borderId="52" fillId="19" fontId="37" numFmtId="0" xfId="0" applyAlignment="1" applyBorder="1" applyFont="1">
      <alignment readingOrder="0"/>
    </xf>
    <xf borderId="52" fillId="19" fontId="37" numFmtId="3" xfId="0" applyAlignment="1" applyBorder="1" applyFont="1" applyNumberFormat="1">
      <alignment horizontal="right" readingOrder="0" vertical="bottom"/>
    </xf>
    <xf borderId="25" fillId="19" fontId="37" numFmtId="3" xfId="0" applyAlignment="1" applyBorder="1" applyFont="1" applyNumberFormat="1">
      <alignment horizontal="left" readingOrder="0"/>
    </xf>
    <xf borderId="25" fillId="19" fontId="37" numFmtId="3" xfId="0" applyAlignment="1" applyBorder="1" applyFont="1" applyNumberFormat="1">
      <alignment horizontal="right" readingOrder="0"/>
    </xf>
    <xf borderId="30" fillId="19" fontId="38" numFmtId="3" xfId="0" applyAlignment="1" applyBorder="1" applyFont="1" applyNumberFormat="1">
      <alignment horizontal="center" readingOrder="0" vertical="center"/>
    </xf>
    <xf borderId="37" fillId="19" fontId="60" numFmtId="49" xfId="0" applyAlignment="1" applyBorder="1" applyFont="1" applyNumberFormat="1">
      <alignment horizontal="center" readingOrder="0" vertical="center"/>
    </xf>
    <xf borderId="38" fillId="19" fontId="38" numFmtId="3" xfId="0" applyAlignment="1" applyBorder="1" applyFont="1" applyNumberFormat="1">
      <alignment horizontal="center" readingOrder="0" vertical="center"/>
    </xf>
    <xf borderId="30" fillId="19" fontId="37" numFmtId="3" xfId="0" applyAlignment="1" applyBorder="1" applyFont="1" applyNumberFormat="1">
      <alignment horizontal="right" readingOrder="0"/>
    </xf>
    <xf borderId="0" fillId="19" fontId="37" numFmtId="3" xfId="0" applyAlignment="1" applyFont="1" applyNumberFormat="1">
      <alignment horizontal="right" readingOrder="0"/>
    </xf>
    <xf borderId="0" fillId="3" fontId="37" numFmtId="0" xfId="0" applyAlignment="1" applyFont="1">
      <alignment horizontal="center" readingOrder="0"/>
    </xf>
    <xf borderId="7" fillId="9" fontId="39" numFmtId="49" xfId="0" applyAlignment="1" applyBorder="1" applyFont="1" applyNumberFormat="1">
      <alignment horizontal="center" readingOrder="0" vertical="center"/>
    </xf>
    <xf borderId="4" fillId="9" fontId="38" numFmtId="0" xfId="0" applyAlignment="1" applyBorder="1" applyFont="1">
      <alignment horizontal="center" readingOrder="0"/>
    </xf>
    <xf borderId="4" fillId="9" fontId="38" numFmtId="3" xfId="0" applyAlignment="1" applyBorder="1" applyFont="1" applyNumberFormat="1">
      <alignment horizontal="center" readingOrder="0" vertical="center"/>
    </xf>
    <xf borderId="4" fillId="19" fontId="38" numFmtId="0" xfId="0" applyAlignment="1" applyBorder="1" applyFont="1">
      <alignment readingOrder="0"/>
    </xf>
    <xf borderId="4" fillId="19" fontId="38" numFmtId="3" xfId="0" applyAlignment="1" applyBorder="1" applyFont="1" applyNumberFormat="1">
      <alignment readingOrder="0" vertical="center"/>
    </xf>
    <xf borderId="0" fillId="3" fontId="33" numFmtId="0" xfId="0" applyAlignment="1" applyFont="1">
      <alignment readingOrder="0"/>
    </xf>
    <xf borderId="0" fillId="4" fontId="33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70" numFmtId="0" xfId="0" applyAlignment="1" applyFont="1">
      <alignment horizontal="center" readingOrder="0" vertical="center"/>
    </xf>
    <xf borderId="4" fillId="17" fontId="37" numFmtId="3" xfId="0" applyAlignment="1" applyBorder="1" applyFont="1" applyNumberFormat="1">
      <alignment horizontal="center" readingOrder="0" vertical="center"/>
    </xf>
    <xf borderId="4" fillId="3" fontId="46" numFmtId="3" xfId="0" applyAlignment="1" applyBorder="1" applyFont="1" applyNumberFormat="1">
      <alignment readingOrder="0" vertical="bottom"/>
    </xf>
    <xf borderId="4" fillId="3" fontId="37" numFmtId="3" xfId="0" applyAlignment="1" applyBorder="1" applyFont="1" applyNumberFormat="1">
      <alignment readingOrder="0" vertical="bottom"/>
    </xf>
    <xf borderId="4" fillId="4" fontId="37" numFmtId="3" xfId="0" applyAlignment="1" applyBorder="1" applyFont="1" applyNumberFormat="1">
      <alignment horizontal="left" readingOrder="0" vertical="bottom"/>
    </xf>
    <xf borderId="0" fillId="4" fontId="52" numFmtId="3" xfId="0" applyAlignment="1" applyFont="1" applyNumberFormat="1">
      <alignment horizontal="right" readingOrder="0" shrinkToFit="0" vertical="bottom" wrapText="0"/>
    </xf>
    <xf borderId="4" fillId="4" fontId="52" numFmtId="3" xfId="0" applyAlignment="1" applyBorder="1" applyFont="1" applyNumberFormat="1">
      <alignment horizontal="right" readingOrder="0" shrinkToFit="0" vertical="bottom" wrapText="0"/>
    </xf>
    <xf borderId="0" fillId="3" fontId="37" numFmtId="0" xfId="0" applyAlignment="1" applyFont="1">
      <alignment readingOrder="0"/>
    </xf>
    <xf borderId="0" fillId="2" fontId="38" numFmtId="0" xfId="0" applyAlignment="1" applyFont="1">
      <alignment readingOrder="0" vertical="center"/>
    </xf>
    <xf borderId="0" fillId="0" fontId="37" numFmtId="0" xfId="0" applyAlignment="1" applyFont="1">
      <alignment vertical="center"/>
    </xf>
    <xf borderId="0" fillId="2" fontId="37" numFmtId="0" xfId="0" applyAlignment="1" applyFont="1">
      <alignment vertical="center"/>
    </xf>
    <xf borderId="0" fillId="0" fontId="71" numFmtId="0" xfId="0" applyAlignment="1" applyFont="1">
      <alignment vertical="center"/>
    </xf>
    <xf borderId="7" fillId="27" fontId="38" numFmtId="3" xfId="0" applyAlignment="1" applyBorder="1" applyFont="1" applyNumberFormat="1">
      <alignment horizontal="center" readingOrder="0" vertical="center"/>
    </xf>
    <xf borderId="4" fillId="2" fontId="37" numFmtId="0" xfId="0" applyAlignment="1" applyBorder="1" applyFont="1">
      <alignment readingOrder="0" vertical="center"/>
    </xf>
    <xf borderId="0" fillId="0" fontId="37" numFmtId="49" xfId="0" applyAlignment="1" applyFont="1" applyNumberFormat="1">
      <alignment readingOrder="0" vertical="center"/>
    </xf>
    <xf borderId="0" fillId="9" fontId="37" numFmtId="49" xfId="0" applyAlignment="1" applyFont="1" applyNumberFormat="1">
      <alignment readingOrder="0" vertical="center"/>
    </xf>
    <xf borderId="0" fillId="3" fontId="37" numFmtId="49" xfId="0" applyAlignment="1" applyFont="1" applyNumberFormat="1">
      <alignment readingOrder="0" vertical="center"/>
    </xf>
    <xf borderId="0" fillId="0" fontId="71" numFmtId="0" xfId="0" applyAlignment="1" applyFont="1">
      <alignment readingOrder="0" vertical="center"/>
    </xf>
    <xf borderId="4" fillId="0" fontId="37" numFmtId="0" xfId="0" applyAlignment="1" applyBorder="1" applyFont="1">
      <alignment readingOrder="0" vertical="center"/>
    </xf>
    <xf borderId="7" fillId="27" fontId="41" numFmtId="49" xfId="0" applyAlignment="1" applyBorder="1" applyFont="1" applyNumberFormat="1">
      <alignment horizontal="center" vertical="center"/>
    </xf>
    <xf borderId="4" fillId="0" fontId="39" numFmtId="3" xfId="0" applyAlignment="1" applyBorder="1" applyFont="1" applyNumberFormat="1">
      <alignment readingOrder="0" shrinkToFit="0" vertical="center" wrapText="0"/>
    </xf>
    <xf borderId="0" fillId="0" fontId="37" numFmtId="0" xfId="0" applyAlignment="1" applyFont="1">
      <alignment readingOrder="0" vertical="center"/>
    </xf>
    <xf borderId="4" fillId="0" fontId="59" numFmtId="0" xfId="0" applyAlignment="1" applyBorder="1" applyFont="1">
      <alignment readingOrder="0" vertical="center"/>
    </xf>
    <xf borderId="6" fillId="0" fontId="39" numFmtId="3" xfId="0" applyAlignment="1" applyBorder="1" applyFont="1" applyNumberFormat="1">
      <alignment readingOrder="0" shrinkToFit="0" vertical="center" wrapText="0"/>
    </xf>
    <xf borderId="4" fillId="0" fontId="37" numFmtId="0" xfId="0" applyAlignment="1" applyBorder="1" applyFont="1">
      <alignment horizontal="left" readingOrder="0" vertical="center"/>
    </xf>
    <xf borderId="4" fillId="2" fontId="37" numFmtId="0" xfId="0" applyAlignment="1" applyBorder="1" applyFont="1">
      <alignment horizontal="left" readingOrder="0" vertical="center"/>
    </xf>
    <xf borderId="4" fillId="2" fontId="37" numFmtId="166" xfId="0" applyAlignment="1" applyBorder="1" applyFont="1" applyNumberFormat="1">
      <alignment horizontal="left" readingOrder="0" vertical="center"/>
    </xf>
    <xf borderId="4" fillId="0" fontId="71" numFmtId="0" xfId="0" applyAlignment="1" applyBorder="1" applyFont="1">
      <alignment vertical="center"/>
    </xf>
    <xf borderId="7" fillId="27" fontId="41" numFmtId="49" xfId="0" applyAlignment="1" applyBorder="1" applyFont="1" applyNumberFormat="1">
      <alignment horizontal="center" readingOrder="0" vertical="center"/>
    </xf>
    <xf borderId="4" fillId="4" fontId="37" numFmtId="0" xfId="0" applyAlignment="1" applyBorder="1" applyFont="1">
      <alignment readingOrder="0" vertical="center"/>
    </xf>
    <xf borderId="0" fillId="0" fontId="37" numFmtId="169" xfId="0" applyAlignment="1" applyFont="1" applyNumberFormat="1">
      <alignment readingOrder="0" vertical="center"/>
    </xf>
    <xf borderId="7" fillId="27" fontId="39" numFmtId="3" xfId="0" applyAlignment="1" applyBorder="1" applyFont="1" applyNumberFormat="1">
      <alignment horizontal="center" readingOrder="0" vertical="center"/>
    </xf>
    <xf borderId="0" fillId="0" fontId="48" numFmtId="49" xfId="0" applyAlignment="1" applyFont="1" applyNumberFormat="1">
      <alignment readingOrder="0" vertical="center"/>
    </xf>
    <xf borderId="3" fillId="0" fontId="39" numFmtId="3" xfId="0" applyAlignment="1" applyBorder="1" applyFont="1" applyNumberFormat="1">
      <alignment readingOrder="0" shrinkToFit="0" vertical="center" wrapText="0"/>
    </xf>
    <xf borderId="0" fillId="4" fontId="37" numFmtId="0" xfId="0" applyAlignment="1" applyFont="1">
      <alignment vertical="center"/>
    </xf>
    <xf borderId="0" fillId="0" fontId="69" numFmtId="0" xfId="0" applyAlignment="1" applyFont="1">
      <alignment readingOrder="0" vertical="center"/>
    </xf>
    <xf borderId="0" fillId="0" fontId="69" numFmtId="0" xfId="0" applyAlignment="1" applyFont="1">
      <alignment vertical="center"/>
    </xf>
    <xf borderId="4" fillId="4" fontId="39" numFmtId="3" xfId="0" applyAlignment="1" applyBorder="1" applyFont="1" applyNumberFormat="1">
      <alignment readingOrder="0" shrinkToFit="0" vertical="center" wrapText="0"/>
    </xf>
    <xf borderId="0" fillId="0" fontId="37" numFmtId="169" xfId="0" applyAlignment="1" applyFont="1" applyNumberFormat="1">
      <alignment vertical="center"/>
    </xf>
    <xf borderId="16" fillId="19" fontId="72" numFmtId="49" xfId="0" applyAlignment="1" applyBorder="1" applyFont="1" applyNumberFormat="1">
      <alignment horizontal="center" vertical="center"/>
    </xf>
    <xf borderId="62" fillId="19" fontId="37" numFmtId="0" xfId="0" applyAlignment="1" applyBorder="1" applyFont="1">
      <alignment readingOrder="0" vertical="center"/>
    </xf>
    <xf borderId="63" fillId="19" fontId="37" numFmtId="3" xfId="0" applyAlignment="1" applyBorder="1" applyFont="1" applyNumberFormat="1">
      <alignment readingOrder="0" vertical="center"/>
    </xf>
    <xf borderId="17" fillId="19" fontId="37" numFmtId="0" xfId="0" applyAlignment="1" applyBorder="1" applyFont="1">
      <alignment readingOrder="0" vertical="center"/>
    </xf>
    <xf borderId="18" fillId="19" fontId="37" numFmtId="3" xfId="0" applyAlignment="1" applyBorder="1" applyFont="1" applyNumberFormat="1">
      <alignment readingOrder="0" vertical="center"/>
    </xf>
    <xf borderId="0" fillId="19" fontId="71" numFmtId="0" xfId="0" applyAlignment="1" applyFont="1">
      <alignment vertical="center"/>
    </xf>
    <xf borderId="58" fillId="19" fontId="72" numFmtId="49" xfId="0" applyAlignment="1" applyBorder="1" applyFont="1" applyNumberFormat="1">
      <alignment horizontal="center" readingOrder="0" vertical="center"/>
    </xf>
    <xf borderId="25" fillId="19" fontId="37" numFmtId="0" xfId="0" applyAlignment="1" applyBorder="1" applyFont="1">
      <alignment readingOrder="0" vertical="center"/>
    </xf>
    <xf borderId="25" fillId="19" fontId="39" numFmtId="3" xfId="0" applyAlignment="1" applyBorder="1" applyFont="1" applyNumberFormat="1">
      <alignment horizontal="right" readingOrder="0" shrinkToFit="0" vertical="center" wrapText="0"/>
    </xf>
    <xf borderId="30" fillId="19" fontId="37" numFmtId="0" xfId="0" applyAlignment="1" applyBorder="1" applyFont="1">
      <alignment readingOrder="0" vertical="center"/>
    </xf>
    <xf borderId="30" fillId="19" fontId="39" numFmtId="3" xfId="0" applyAlignment="1" applyBorder="1" applyFont="1" applyNumberFormat="1">
      <alignment horizontal="right" readingOrder="0" shrinkToFit="0" vertical="center" wrapText="0"/>
    </xf>
    <xf borderId="25" fillId="19" fontId="71" numFmtId="0" xfId="0" applyAlignment="1" applyBorder="1" applyFont="1">
      <alignment vertical="center"/>
    </xf>
    <xf borderId="34" fillId="19" fontId="72" numFmtId="49" xfId="0" applyAlignment="1" applyBorder="1" applyFont="1" applyNumberFormat="1">
      <alignment horizontal="center" readingOrder="0" vertical="center"/>
    </xf>
    <xf borderId="25" fillId="19" fontId="37" numFmtId="3" xfId="0" applyAlignment="1" applyBorder="1" applyFont="1" applyNumberFormat="1">
      <alignment horizontal="right" readingOrder="0" vertical="center"/>
    </xf>
    <xf borderId="34" fillId="19" fontId="72" numFmtId="49" xfId="0" applyAlignment="1" applyBorder="1" applyFont="1" applyNumberFormat="1">
      <alignment horizontal="center" vertical="center"/>
    </xf>
    <xf borderId="52" fillId="19" fontId="37" numFmtId="0" xfId="0" applyAlignment="1" applyBorder="1" applyFont="1">
      <alignment readingOrder="0" vertical="center"/>
    </xf>
    <xf borderId="52" fillId="19" fontId="37" numFmtId="3" xfId="0" applyAlignment="1" applyBorder="1" applyFont="1" applyNumberFormat="1">
      <alignment horizontal="right" readingOrder="0" vertical="center"/>
    </xf>
    <xf borderId="30" fillId="19" fontId="37" numFmtId="3" xfId="0" applyAlignment="1" applyBorder="1" applyFont="1" applyNumberFormat="1">
      <alignment horizontal="right" readingOrder="0" vertical="center"/>
    </xf>
    <xf borderId="30" fillId="19" fontId="37" numFmtId="3" xfId="0" applyAlignment="1" applyBorder="1" applyFont="1" applyNumberFormat="1">
      <alignment readingOrder="0" vertical="center"/>
    </xf>
    <xf borderId="25" fillId="19" fontId="37" numFmtId="3" xfId="0" applyAlignment="1" applyBorder="1" applyFont="1" applyNumberFormat="1">
      <alignment readingOrder="0" vertical="center"/>
    </xf>
    <xf borderId="25" fillId="19" fontId="37" numFmtId="3" xfId="0" applyAlignment="1" applyBorder="1" applyFont="1" applyNumberFormat="1">
      <alignment horizontal="left" readingOrder="0" vertical="center"/>
    </xf>
    <xf borderId="0" fillId="0" fontId="37" numFmtId="0" xfId="0" applyAlignment="1" applyFont="1">
      <alignment vertical="center"/>
    </xf>
    <xf borderId="30" fillId="19" fontId="72" numFmtId="49" xfId="0" applyAlignment="1" applyBorder="1" applyFont="1" applyNumberFormat="1">
      <alignment horizontal="center" readingOrder="0" vertical="center"/>
    </xf>
    <xf borderId="37" fillId="19" fontId="72" numFmtId="49" xfId="0" applyAlignment="1" applyBorder="1" applyFont="1" applyNumberFormat="1">
      <alignment horizontal="center" readingOrder="0" vertical="center"/>
    </xf>
    <xf borderId="34" fillId="19" fontId="73" numFmtId="49" xfId="0" applyAlignment="1" applyBorder="1" applyFont="1" applyNumberFormat="1">
      <alignment horizontal="center" readingOrder="0" vertical="center"/>
    </xf>
    <xf borderId="0" fillId="0" fontId="48" numFmtId="0" xfId="0" applyAlignment="1" applyFont="1">
      <alignment readingOrder="0" vertical="center"/>
    </xf>
    <xf borderId="0" fillId="19" fontId="37" numFmtId="3" xfId="0" applyAlignment="1" applyFont="1" applyNumberFormat="1">
      <alignment horizontal="right" readingOrder="0" vertical="center"/>
    </xf>
    <xf borderId="5" fillId="10" fontId="41" numFmtId="49" xfId="0" applyAlignment="1" applyBorder="1" applyFont="1" applyNumberFormat="1">
      <alignment horizontal="center" readingOrder="0" vertical="center"/>
    </xf>
    <xf borderId="8" fillId="2" fontId="37" numFmtId="0" xfId="0" applyAlignment="1" applyBorder="1" applyFont="1">
      <alignment readingOrder="0" vertical="center"/>
    </xf>
    <xf borderId="7" fillId="10" fontId="41" numFmtId="49" xfId="0" applyAlignment="1" applyBorder="1" applyFont="1" applyNumberFormat="1">
      <alignment horizontal="center" readingOrder="0" vertical="center"/>
    </xf>
    <xf borderId="4" fillId="3" fontId="37" numFmtId="0" xfId="0" applyAlignment="1" applyBorder="1" applyFont="1">
      <alignment readingOrder="0" vertical="center"/>
    </xf>
    <xf borderId="0" fillId="0" fontId="37" numFmtId="168" xfId="0" applyAlignment="1" applyFont="1" applyNumberFormat="1">
      <alignment readingOrder="0" vertical="center"/>
    </xf>
    <xf borderId="4" fillId="0" fontId="39" numFmtId="3" xfId="0" applyAlignment="1" applyBorder="1" applyFont="1" applyNumberFormat="1">
      <alignment readingOrder="0" vertical="center"/>
    </xf>
    <xf borderId="0" fillId="0" fontId="38" numFmtId="0" xfId="0" applyAlignment="1" applyFont="1">
      <alignment vertical="center"/>
    </xf>
    <xf borderId="0" fillId="0" fontId="74" numFmtId="0" xfId="0" applyAlignment="1" applyFont="1">
      <alignment vertical="center"/>
    </xf>
    <xf borderId="1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6" fontId="10" numFmtId="0" xfId="0" applyAlignment="1" applyBorder="1" applyFont="1">
      <alignment readingOrder="0"/>
    </xf>
    <xf borderId="4" fillId="6" fontId="10" numFmtId="170" xfId="0" applyAlignment="1" applyBorder="1" applyFont="1" applyNumberFormat="1">
      <alignment readingOrder="0"/>
    </xf>
    <xf borderId="4" fillId="6" fontId="10" numFmtId="0" xfId="0" applyBorder="1" applyFont="1"/>
    <xf borderId="4" fillId="0" fontId="10" numFmtId="170" xfId="0" applyAlignment="1" applyBorder="1" applyFont="1" applyNumberFormat="1">
      <alignment readingOrder="0"/>
    </xf>
    <xf borderId="4" fillId="0" fontId="10" numFmtId="165" xfId="0" applyAlignment="1" applyBorder="1" applyFont="1" applyNumberFormat="1">
      <alignment readingOrder="0"/>
    </xf>
    <xf borderId="0" fillId="28" fontId="10" numFmtId="0" xfId="0" applyFill="1" applyFont="1"/>
    <xf borderId="4" fillId="4" fontId="4" numFmtId="49" xfId="0" applyAlignment="1" applyBorder="1" applyFont="1" applyNumberFormat="1">
      <alignment horizontal="center" vertical="center"/>
    </xf>
    <xf borderId="0" fillId="26" fontId="10" numFmtId="0" xfId="0" applyFont="1"/>
    <xf borderId="4" fillId="4" fontId="11" numFmtId="49" xfId="0" applyAlignment="1" applyBorder="1" applyFont="1" applyNumberFormat="1">
      <alignment horizontal="center" vertical="center"/>
    </xf>
    <xf borderId="5" fillId="28" fontId="4" numFmtId="49" xfId="0" applyAlignment="1" applyBorder="1" applyFont="1" applyNumberFormat="1">
      <alignment horizontal="center" vertical="center"/>
    </xf>
    <xf borderId="4" fillId="4" fontId="4" numFmtId="49" xfId="0" applyAlignment="1" applyBorder="1" applyFont="1" applyNumberFormat="1">
      <alignment horizontal="center" readingOrder="0" vertical="center"/>
    </xf>
    <xf borderId="4" fillId="4" fontId="11" numFmtId="49" xfId="0" applyAlignment="1" applyBorder="1" applyFont="1" applyNumberFormat="1">
      <alignment horizontal="center" readingOrder="0" vertical="center"/>
    </xf>
    <xf borderId="5" fillId="26" fontId="4" numFmtId="49" xfId="0" applyAlignment="1" applyBorder="1" applyFont="1" applyNumberFormat="1">
      <alignment horizontal="center" vertical="center"/>
    </xf>
    <xf borderId="5" fillId="11" fontId="4" numFmtId="49" xfId="0" applyAlignment="1" applyBorder="1" applyFont="1" applyNumberFormat="1">
      <alignment horizontal="center" vertical="center"/>
    </xf>
    <xf borderId="0" fillId="11" fontId="10" numFmtId="0" xfId="0" applyFont="1"/>
    <xf borderId="5" fillId="4" fontId="4" numFmtId="49" xfId="0" applyAlignment="1" applyBorder="1" applyFont="1" applyNumberFormat="1">
      <alignment horizontal="center" readingOrder="0" vertical="center"/>
    </xf>
    <xf borderId="5" fillId="4" fontId="4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0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1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1.29"/>
    <col customWidth="1" min="3" max="3" width="20.43"/>
    <col customWidth="1" min="4" max="4" width="14.14"/>
    <col customWidth="1" min="5" max="5" width="25.29"/>
    <col customWidth="1" min="6" max="6" width="23.86"/>
    <col customWidth="1" min="7" max="7" width="29.57"/>
    <col customWidth="1" min="8" max="8" width="61.57"/>
    <col customWidth="1" min="9" max="9" width="27.86"/>
    <col customWidth="1" min="10" max="10" width="33.71"/>
    <col customWidth="1" min="11" max="11" width="39.0"/>
    <col customWidth="1" min="12" max="12" width="26.0"/>
    <col customWidth="1" min="13" max="13" width="18.43"/>
    <col customWidth="1" min="14" max="25" width="8.71"/>
  </cols>
  <sheetData>
    <row r="1">
      <c r="A1" s="1"/>
      <c r="D1" s="2"/>
      <c r="E1" s="1"/>
    </row>
    <row r="2" ht="39.75" customHeight="1">
      <c r="A2" s="3" t="s">
        <v>0</v>
      </c>
      <c r="B2" s="4"/>
      <c r="C2" s="4"/>
      <c r="D2" s="4"/>
      <c r="E2" s="5"/>
    </row>
    <row r="3">
      <c r="A3" s="6" t="s">
        <v>1</v>
      </c>
      <c r="B3" s="6"/>
      <c r="C3" s="6" t="s">
        <v>2</v>
      </c>
      <c r="D3" s="7" t="s">
        <v>3</v>
      </c>
      <c r="E3" s="6" t="s">
        <v>4</v>
      </c>
      <c r="G3" s="8"/>
      <c r="H3" s="9"/>
      <c r="I3" s="10"/>
      <c r="J3" s="11"/>
    </row>
    <row r="4" ht="27.0" customHeight="1">
      <c r="A4" s="12" t="s">
        <v>5</v>
      </c>
      <c r="B4" s="13" t="s">
        <v>6</v>
      </c>
      <c r="C4" s="14">
        <v>3190000.0</v>
      </c>
      <c r="D4" s="15" t="s">
        <v>7</v>
      </c>
      <c r="E4" s="16">
        <f>SUM(C7)</f>
        <v>15007500</v>
      </c>
      <c r="H4" s="9"/>
      <c r="I4" s="17"/>
    </row>
    <row r="5" ht="25.5" customHeight="1">
      <c r="A5" s="18"/>
      <c r="B5" s="13" t="s">
        <v>8</v>
      </c>
      <c r="C5" s="19">
        <v>2.993E7</v>
      </c>
      <c r="D5" s="15" t="s">
        <v>7</v>
      </c>
      <c r="E5" s="18"/>
      <c r="F5" s="20"/>
      <c r="H5" s="9"/>
      <c r="I5" s="10"/>
    </row>
    <row r="6" ht="25.5" customHeight="1">
      <c r="A6" s="18"/>
      <c r="B6" s="13" t="s">
        <v>9</v>
      </c>
      <c r="C6" s="19">
        <v>7971000.0</v>
      </c>
      <c r="D6" s="15" t="s">
        <v>7</v>
      </c>
      <c r="E6" s="18"/>
      <c r="H6" s="9"/>
      <c r="I6" s="10"/>
    </row>
    <row r="7" ht="25.5" customHeight="1">
      <c r="A7" s="18"/>
      <c r="B7" s="13" t="s">
        <v>10</v>
      </c>
      <c r="C7" s="19">
        <v>1.50075E7</v>
      </c>
      <c r="D7" s="21"/>
      <c r="E7" s="18"/>
      <c r="H7" s="9"/>
      <c r="I7" s="10"/>
      <c r="J7" s="11"/>
    </row>
    <row r="8" ht="25.5" customHeight="1">
      <c r="A8" s="22"/>
      <c r="B8" s="23"/>
      <c r="C8" s="24"/>
      <c r="D8" s="25"/>
      <c r="E8" s="22"/>
      <c r="F8" s="26"/>
      <c r="H8" s="27"/>
      <c r="I8" s="28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25.5" customHeight="1">
      <c r="A9" s="12" t="s">
        <v>11</v>
      </c>
      <c r="B9" s="30" t="s">
        <v>12</v>
      </c>
      <c r="C9" s="19" t="str">
        <f>sum('THÁNG 11'!C9:C12)</f>
        <v>#REF!</v>
      </c>
      <c r="D9" s="31" t="s">
        <v>7</v>
      </c>
      <c r="E9" s="16">
        <f>sum(C11:C13)</f>
        <v>51366800</v>
      </c>
      <c r="H9" s="9"/>
      <c r="I9" s="10"/>
    </row>
    <row r="10" ht="25.5" customHeight="1">
      <c r="A10" s="18"/>
      <c r="B10" s="23" t="s">
        <v>13</v>
      </c>
      <c r="C10" s="19">
        <v>9086800.0</v>
      </c>
      <c r="D10" s="21" t="s">
        <v>7</v>
      </c>
      <c r="E10" s="18"/>
      <c r="G10" s="32"/>
      <c r="H10" s="9"/>
      <c r="I10" s="10"/>
    </row>
    <row r="11" ht="25.5" customHeight="1">
      <c r="A11" s="18"/>
      <c r="B11" s="13" t="s">
        <v>14</v>
      </c>
      <c r="C11" s="19">
        <v>1.22068E7</v>
      </c>
      <c r="D11" s="21"/>
      <c r="E11" s="18"/>
      <c r="H11" s="9"/>
      <c r="I11" s="10"/>
    </row>
    <row r="12" ht="25.5" customHeight="1">
      <c r="A12" s="18"/>
      <c r="B12" s="13" t="s">
        <v>15</v>
      </c>
      <c r="C12" s="24">
        <v>1.1005E7</v>
      </c>
      <c r="D12" s="21"/>
      <c r="E12" s="18"/>
      <c r="H12" s="9"/>
      <c r="I12" s="10"/>
    </row>
    <row r="13" ht="25.5" customHeight="1">
      <c r="A13" s="22"/>
      <c r="B13" s="13" t="s">
        <v>10</v>
      </c>
      <c r="C13" s="24">
        <v>2.8155E7</v>
      </c>
      <c r="D13" s="21"/>
      <c r="E13" s="22"/>
      <c r="H13" s="9"/>
      <c r="I13" s="10"/>
    </row>
    <row r="14" ht="25.5" customHeight="1">
      <c r="A14" s="12" t="s">
        <v>16</v>
      </c>
      <c r="B14" s="23" t="s">
        <v>13</v>
      </c>
      <c r="C14" s="19">
        <v>9350000.0</v>
      </c>
      <c r="D14" s="21" t="s">
        <v>7</v>
      </c>
      <c r="E14" s="16">
        <f>sum(C15:C16)</f>
        <v>15200000</v>
      </c>
      <c r="H14" s="9"/>
      <c r="I14" s="10"/>
    </row>
    <row r="15" ht="25.5" customHeight="1">
      <c r="A15" s="18"/>
      <c r="B15" s="13" t="s">
        <v>17</v>
      </c>
      <c r="C15" s="19">
        <v>7600000.0</v>
      </c>
      <c r="D15" s="21"/>
      <c r="E15" s="18"/>
      <c r="H15" s="9"/>
      <c r="I15" s="10"/>
    </row>
    <row r="16" ht="25.5" customHeight="1">
      <c r="A16" s="18"/>
      <c r="B16" s="13" t="s">
        <v>10</v>
      </c>
      <c r="C16" s="19">
        <v>7600000.0</v>
      </c>
      <c r="D16" s="33"/>
      <c r="E16" s="18"/>
      <c r="H16" s="9"/>
      <c r="I16" s="10"/>
    </row>
    <row r="17" ht="25.5" customHeight="1">
      <c r="A17" s="22"/>
      <c r="E17" s="22"/>
      <c r="G17" s="20"/>
    </row>
    <row r="18" ht="25.5" customHeight="1">
      <c r="A18" s="12" t="s">
        <v>18</v>
      </c>
      <c r="B18" s="13"/>
      <c r="C18" s="19"/>
      <c r="D18" s="34"/>
      <c r="E18" s="16">
        <f>sum(C20:C22)</f>
        <v>47440000</v>
      </c>
      <c r="H18" s="20"/>
    </row>
    <row r="19" ht="25.5" customHeight="1">
      <c r="A19" s="18"/>
      <c r="B19" s="13"/>
      <c r="C19" s="19"/>
      <c r="D19" s="21"/>
      <c r="E19" s="18"/>
      <c r="F19" s="20"/>
    </row>
    <row r="20" ht="25.5" customHeight="1">
      <c r="A20" s="18"/>
      <c r="B20" s="13" t="s">
        <v>15</v>
      </c>
      <c r="C20" s="19">
        <v>2.5135E7</v>
      </c>
      <c r="D20" s="21"/>
      <c r="E20" s="18"/>
      <c r="G20" s="8"/>
      <c r="I20" s="28"/>
    </row>
    <row r="21" ht="25.5" customHeight="1">
      <c r="A21" s="18"/>
      <c r="B21" s="13" t="s">
        <v>10</v>
      </c>
      <c r="C21" s="19">
        <v>2.2305E7</v>
      </c>
      <c r="D21" s="30"/>
      <c r="E21" s="18"/>
      <c r="I21" s="28"/>
    </row>
    <row r="22" ht="25.5" customHeight="1">
      <c r="A22" s="22"/>
      <c r="B22" s="35"/>
      <c r="C22" s="36"/>
      <c r="D22" s="21"/>
      <c r="E22" s="22"/>
      <c r="I22" s="28"/>
    </row>
    <row r="23" ht="25.5" customHeight="1">
      <c r="A23" s="12" t="s">
        <v>19</v>
      </c>
      <c r="B23" s="37" t="s">
        <v>13</v>
      </c>
      <c r="C23" s="19">
        <v>2.724E7</v>
      </c>
      <c r="D23" s="31"/>
      <c r="E23" s="16">
        <f>sum(C23:C26)</f>
        <v>50510000</v>
      </c>
      <c r="I23" s="28"/>
    </row>
    <row r="24" ht="25.5" customHeight="1">
      <c r="A24" s="18"/>
      <c r="B24" s="37" t="s">
        <v>17</v>
      </c>
      <c r="C24" s="19">
        <v>2.327E7</v>
      </c>
      <c r="D24" s="30"/>
      <c r="E24" s="18"/>
      <c r="I24" s="28"/>
      <c r="J24" s="38" t="str">
        <f>H27</f>
        <v/>
      </c>
    </row>
    <row r="25" ht="25.5" customHeight="1">
      <c r="A25" s="18"/>
      <c r="B25" s="13" t="s">
        <v>10</v>
      </c>
      <c r="C25" s="20">
        <v>0.0</v>
      </c>
      <c r="D25" s="33"/>
      <c r="E25" s="18"/>
      <c r="F25" s="20"/>
      <c r="I25" s="28"/>
    </row>
    <row r="26" ht="25.5" customHeight="1">
      <c r="A26" s="22"/>
      <c r="B26" s="33"/>
      <c r="C26" s="33"/>
      <c r="D26" s="34"/>
      <c r="E26" s="22"/>
      <c r="I26" s="28"/>
    </row>
    <row r="27" ht="25.5" customHeight="1">
      <c r="A27" s="12" t="s">
        <v>20</v>
      </c>
      <c r="B27" s="13" t="s">
        <v>6</v>
      </c>
      <c r="C27" s="19">
        <v>4.60995E7</v>
      </c>
      <c r="D27" s="31" t="s">
        <v>7</v>
      </c>
      <c r="E27" s="16">
        <f>SUM(C29:C30)</f>
        <v>60119000</v>
      </c>
    </row>
    <row r="28" ht="25.5" customHeight="1">
      <c r="A28" s="18"/>
      <c r="B28" s="13" t="s">
        <v>8</v>
      </c>
      <c r="C28" s="19">
        <v>4.5834E7</v>
      </c>
      <c r="D28" s="39" t="s">
        <v>7</v>
      </c>
      <c r="E28" s="18"/>
      <c r="F28" s="20"/>
    </row>
    <row r="29" ht="23.25" customHeight="1">
      <c r="A29" s="18"/>
      <c r="B29" s="13" t="s">
        <v>9</v>
      </c>
      <c r="C29" s="36">
        <v>3.12215E7</v>
      </c>
      <c r="D29" s="40"/>
      <c r="E29" s="18"/>
      <c r="J29" s="38"/>
    </row>
    <row r="30" ht="23.25" customHeight="1">
      <c r="A30" s="18"/>
      <c r="B30" s="13" t="s">
        <v>10</v>
      </c>
      <c r="C30" s="36">
        <v>2.88975E7</v>
      </c>
      <c r="D30" s="41"/>
      <c r="E30" s="18"/>
      <c r="G30" s="42"/>
      <c r="H30" s="9"/>
      <c r="I30" s="43"/>
    </row>
    <row r="31" ht="23.25" customHeight="1">
      <c r="A31" s="22"/>
      <c r="B31" s="30" t="s">
        <v>21</v>
      </c>
      <c r="C31" s="33"/>
      <c r="E31" s="22"/>
      <c r="H31" s="9"/>
      <c r="I31" s="43"/>
    </row>
    <row r="32" ht="23.25" customHeight="1">
      <c r="A32" s="12" t="s">
        <v>22</v>
      </c>
      <c r="B32" s="23" t="s">
        <v>12</v>
      </c>
      <c r="C32" s="19" t="str">
        <f>SUM('THÁNG 11'!C36:C37)</f>
        <v>#REF!</v>
      </c>
      <c r="D32" s="34" t="s">
        <v>7</v>
      </c>
      <c r="E32" s="16">
        <f>SUM(C34:C35)</f>
        <v>20911000</v>
      </c>
      <c r="H32" s="9"/>
      <c r="I32" s="43"/>
    </row>
    <row r="33" ht="23.25" customHeight="1">
      <c r="A33" s="18"/>
      <c r="B33" s="44" t="s">
        <v>6</v>
      </c>
      <c r="C33" s="19">
        <v>2.688E7</v>
      </c>
      <c r="D33" s="21" t="s">
        <v>7</v>
      </c>
      <c r="E33" s="18"/>
      <c r="H33" s="45"/>
      <c r="I33" s="43"/>
    </row>
    <row r="34" ht="23.25" customHeight="1">
      <c r="A34" s="18"/>
      <c r="B34" s="44" t="s">
        <v>9</v>
      </c>
      <c r="C34" s="19">
        <v>1.07105E7</v>
      </c>
      <c r="D34" s="21"/>
      <c r="E34" s="18"/>
      <c r="H34" s="9"/>
      <c r="I34" s="10"/>
      <c r="J34" s="46"/>
    </row>
    <row r="35" ht="23.25" customHeight="1">
      <c r="A35" s="18"/>
      <c r="B35" s="13" t="s">
        <v>10</v>
      </c>
      <c r="C35" s="19">
        <v>1.02005E7</v>
      </c>
      <c r="D35" s="30"/>
      <c r="E35" s="18"/>
      <c r="H35" s="1"/>
      <c r="I35" s="1"/>
    </row>
    <row r="36" ht="23.25" customHeight="1">
      <c r="A36" s="22"/>
      <c r="B36" s="33"/>
      <c r="C36" s="33"/>
      <c r="D36" s="33"/>
      <c r="E36" s="22"/>
      <c r="G36" s="42"/>
      <c r="H36" s="1"/>
      <c r="I36" s="1"/>
    </row>
    <row r="37" ht="23.25" customHeight="1">
      <c r="A37" s="12" t="s">
        <v>23</v>
      </c>
      <c r="B37" s="13" t="s">
        <v>12</v>
      </c>
      <c r="C37" s="19" t="str">
        <f>sum('THÁNG 11'!C39:C40)</f>
        <v>#REF!</v>
      </c>
      <c r="D37" s="21" t="s">
        <v>7</v>
      </c>
      <c r="E37" s="16">
        <f>SUM(C41)</f>
        <v>40046000</v>
      </c>
    </row>
    <row r="38" ht="23.25" customHeight="1">
      <c r="A38" s="18"/>
      <c r="B38" s="30" t="s">
        <v>13</v>
      </c>
      <c r="C38" s="19">
        <v>2.10075E7</v>
      </c>
      <c r="D38" s="21" t="s">
        <v>7</v>
      </c>
      <c r="E38" s="18"/>
      <c r="G38" s="47"/>
      <c r="H38" s="35"/>
      <c r="I38" s="48"/>
    </row>
    <row r="39" ht="23.25" customHeight="1">
      <c r="A39" s="18"/>
      <c r="B39" s="30" t="s">
        <v>24</v>
      </c>
      <c r="C39" s="19">
        <v>2.20234E7</v>
      </c>
      <c r="D39" s="21" t="s">
        <v>7</v>
      </c>
      <c r="E39" s="18"/>
      <c r="G39" s="18"/>
      <c r="H39" s="35"/>
      <c r="I39" s="48"/>
    </row>
    <row r="40" ht="23.25" customHeight="1">
      <c r="A40" s="18"/>
      <c r="B40" s="30" t="s">
        <v>17</v>
      </c>
      <c r="C40" s="19">
        <v>2.31206E7</v>
      </c>
      <c r="D40" s="30" t="s">
        <v>7</v>
      </c>
      <c r="E40" s="18"/>
      <c r="G40" s="18"/>
      <c r="H40" s="35"/>
      <c r="I40" s="48"/>
    </row>
    <row r="41" ht="23.25" customHeight="1">
      <c r="A41" s="22"/>
      <c r="B41" s="23" t="s">
        <v>10</v>
      </c>
      <c r="C41" s="19">
        <v>4.0046E7</v>
      </c>
      <c r="D41" s="33"/>
      <c r="E41" s="22"/>
      <c r="G41" s="18"/>
      <c r="H41" s="35"/>
      <c r="I41" s="48"/>
    </row>
    <row r="42" ht="23.25" customHeight="1">
      <c r="A42" s="49" t="s">
        <v>25</v>
      </c>
      <c r="B42" s="30" t="s">
        <v>12</v>
      </c>
      <c r="C42" s="19" t="str">
        <f>sum('THÁNG 11'!C44:C48)</f>
        <v>#REF!</v>
      </c>
      <c r="D42" s="34" t="s">
        <v>7</v>
      </c>
      <c r="E42" s="16">
        <f>sum(C43:C46)</f>
        <v>32049000</v>
      </c>
      <c r="G42" s="18"/>
      <c r="H42" s="35"/>
      <c r="I42" s="48"/>
    </row>
    <row r="43" ht="23.25" customHeight="1">
      <c r="A43" s="18"/>
      <c r="B43" s="37" t="s">
        <v>13</v>
      </c>
      <c r="C43" s="19">
        <v>6661000.0</v>
      </c>
      <c r="D43" s="21"/>
      <c r="E43" s="18"/>
      <c r="G43" s="18"/>
      <c r="H43" s="23"/>
      <c r="I43" s="48"/>
      <c r="K43" s="10"/>
      <c r="L43" s="50"/>
    </row>
    <row r="44" ht="23.25" customHeight="1">
      <c r="A44" s="18"/>
      <c r="B44" s="37" t="s">
        <v>24</v>
      </c>
      <c r="C44" s="19">
        <v>6088000.0</v>
      </c>
      <c r="D44" s="21"/>
      <c r="E44" s="18"/>
      <c r="G44" s="18"/>
      <c r="H44" s="35"/>
      <c r="I44" s="48"/>
      <c r="K44" s="10"/>
      <c r="L44" s="50"/>
    </row>
    <row r="45" ht="23.25" customHeight="1">
      <c r="A45" s="18"/>
      <c r="B45" s="37" t="s">
        <v>17</v>
      </c>
      <c r="C45" s="19">
        <v>5878000.0</v>
      </c>
      <c r="D45" s="21"/>
      <c r="E45" s="18"/>
      <c r="G45" s="18"/>
      <c r="K45" s="10"/>
      <c r="L45" s="50"/>
    </row>
    <row r="46" ht="23.25" customHeight="1">
      <c r="A46" s="18"/>
      <c r="B46" s="23" t="s">
        <v>10</v>
      </c>
      <c r="C46" s="19">
        <v>1.3422E7</v>
      </c>
      <c r="D46" s="33"/>
      <c r="E46" s="18"/>
      <c r="G46" s="22"/>
      <c r="H46" s="30"/>
      <c r="I46" s="51"/>
      <c r="K46" s="10"/>
      <c r="L46" s="50"/>
    </row>
    <row r="47" ht="23.25" customHeight="1">
      <c r="A47" s="18"/>
      <c r="B47" s="13"/>
      <c r="C47" s="36"/>
      <c r="D47" s="34"/>
      <c r="E47" s="18"/>
      <c r="G47" s="52"/>
      <c r="H47" s="53"/>
      <c r="I47" s="54"/>
      <c r="K47" s="10"/>
      <c r="L47" s="50"/>
    </row>
    <row r="48" ht="23.25" customHeight="1">
      <c r="A48" s="22"/>
      <c r="B48" s="33"/>
      <c r="C48" s="33"/>
      <c r="E48" s="22"/>
      <c r="G48" s="52"/>
      <c r="H48" s="53"/>
      <c r="I48" s="54"/>
      <c r="K48" s="10"/>
      <c r="L48" s="50"/>
    </row>
    <row r="49" ht="23.25" customHeight="1">
      <c r="A49" s="49" t="s">
        <v>26</v>
      </c>
      <c r="B49" s="30" t="s">
        <v>27</v>
      </c>
      <c r="C49" s="55">
        <v>8.70134E7</v>
      </c>
      <c r="D49" s="34" t="s">
        <v>7</v>
      </c>
      <c r="E49" s="16">
        <f>SUM(C52)</f>
        <v>98564100</v>
      </c>
    </row>
    <row r="50" ht="23.25" customHeight="1">
      <c r="A50" s="18"/>
      <c r="B50" s="30" t="s">
        <v>14</v>
      </c>
      <c r="C50" s="55">
        <v>9.42883E7</v>
      </c>
      <c r="D50" s="34" t="s">
        <v>7</v>
      </c>
      <c r="E50" s="18"/>
      <c r="F50" s="20"/>
      <c r="G50" s="49"/>
      <c r="H50" s="56"/>
      <c r="I50" s="24"/>
    </row>
    <row r="51" ht="23.25" customHeight="1">
      <c r="A51" s="18"/>
      <c r="B51" s="30" t="s">
        <v>15</v>
      </c>
      <c r="C51" s="55">
        <v>8.63443E7</v>
      </c>
      <c r="D51" s="34" t="s">
        <v>7</v>
      </c>
      <c r="E51" s="18"/>
      <c r="G51" s="18"/>
      <c r="H51" s="19"/>
      <c r="I51" s="57"/>
    </row>
    <row r="52" ht="23.25" customHeight="1">
      <c r="A52" s="18"/>
      <c r="B52" s="23" t="s">
        <v>10</v>
      </c>
      <c r="C52" s="55">
        <v>9.85641E7</v>
      </c>
      <c r="D52" s="34"/>
      <c r="E52" s="18"/>
      <c r="G52" s="18"/>
      <c r="H52" s="30"/>
      <c r="I52" s="24"/>
    </row>
    <row r="53" ht="23.25" customHeight="1">
      <c r="A53" s="18"/>
      <c r="B53" s="23" t="s">
        <v>28</v>
      </c>
      <c r="C53" s="55"/>
      <c r="D53" s="34"/>
      <c r="E53" s="18"/>
      <c r="G53" s="18"/>
      <c r="H53" s="30"/>
      <c r="I53" s="24"/>
    </row>
    <row r="54" ht="23.25" customHeight="1">
      <c r="A54" s="22"/>
      <c r="B54" s="35"/>
      <c r="C54" s="36"/>
      <c r="D54" s="21"/>
      <c r="E54" s="22"/>
      <c r="G54" s="18"/>
      <c r="H54" s="30"/>
      <c r="I54" s="24"/>
    </row>
    <row r="55" ht="21.75" customHeight="1">
      <c r="A55" s="12" t="s">
        <v>29</v>
      </c>
      <c r="B55" s="13" t="s">
        <v>12</v>
      </c>
      <c r="C55" s="55">
        <v>569300.0</v>
      </c>
      <c r="D55" s="34"/>
      <c r="E55" s="16">
        <f>SUM(C55:C59)</f>
        <v>187980500</v>
      </c>
      <c r="F55" s="29"/>
      <c r="G55" s="18"/>
      <c r="H55" s="30"/>
      <c r="I55" s="24"/>
    </row>
    <row r="56" ht="21.75" customHeight="1">
      <c r="A56" s="18"/>
      <c r="B56" s="23" t="s">
        <v>13</v>
      </c>
      <c r="C56" s="55">
        <v>3.14209E7</v>
      </c>
      <c r="D56" s="34"/>
      <c r="E56" s="18"/>
      <c r="G56" s="18"/>
      <c r="H56" s="30"/>
      <c r="I56" s="24"/>
    </row>
    <row r="57" ht="21.75" customHeight="1">
      <c r="A57" s="18"/>
      <c r="B57" s="23" t="s">
        <v>24</v>
      </c>
      <c r="C57" s="55">
        <v>3.1539E7</v>
      </c>
      <c r="D57" s="34"/>
      <c r="E57" s="18"/>
      <c r="G57" s="18"/>
      <c r="H57" s="30"/>
      <c r="I57" s="24"/>
    </row>
    <row r="58" ht="21.75" customHeight="1">
      <c r="A58" s="18"/>
      <c r="B58" s="23" t="s">
        <v>17</v>
      </c>
      <c r="C58" s="19">
        <v>3.59265E7</v>
      </c>
      <c r="D58" s="34"/>
      <c r="E58" s="18"/>
      <c r="G58" s="22"/>
      <c r="H58" s="30"/>
      <c r="I58" s="58"/>
    </row>
    <row r="59" ht="21.75" customHeight="1">
      <c r="A59" s="22"/>
      <c r="B59" s="23" t="s">
        <v>10</v>
      </c>
      <c r="C59" s="19">
        <v>8.85248E7</v>
      </c>
      <c r="D59" s="33"/>
      <c r="E59" s="22"/>
    </row>
    <row r="60" ht="21.75" customHeight="1">
      <c r="A60" s="12" t="s">
        <v>30</v>
      </c>
      <c r="B60" s="13" t="s">
        <v>13</v>
      </c>
      <c r="C60" s="19">
        <v>3.72955E7</v>
      </c>
      <c r="D60" s="21" t="s">
        <v>7</v>
      </c>
      <c r="E60" s="16">
        <f>sum(C62:C63)</f>
        <v>74256100</v>
      </c>
      <c r="G60" s="59"/>
      <c r="H60" s="56"/>
      <c r="I60" s="60"/>
    </row>
    <row r="61" ht="21.75" customHeight="1">
      <c r="A61" s="18"/>
      <c r="B61" s="13" t="s">
        <v>24</v>
      </c>
      <c r="C61" s="19">
        <v>2.9E7</v>
      </c>
      <c r="D61" s="21" t="s">
        <v>7</v>
      </c>
      <c r="E61" s="18"/>
      <c r="G61" s="18"/>
      <c r="H61" s="56"/>
      <c r="I61" s="60"/>
    </row>
    <row r="62" ht="21.75" customHeight="1">
      <c r="A62" s="18"/>
      <c r="B62" s="13" t="s">
        <v>17</v>
      </c>
      <c r="C62" s="19">
        <v>2.0E7</v>
      </c>
      <c r="D62" s="21"/>
      <c r="E62" s="18"/>
      <c r="G62" s="18"/>
      <c r="H62" s="44"/>
      <c r="I62" s="61"/>
    </row>
    <row r="63" ht="21.75" customHeight="1">
      <c r="A63" s="18"/>
      <c r="B63" s="23" t="s">
        <v>10</v>
      </c>
      <c r="C63" s="62">
        <v>5.42561E7</v>
      </c>
      <c r="D63" s="21"/>
      <c r="E63" s="18"/>
      <c r="G63" s="18"/>
      <c r="H63" s="56"/>
      <c r="I63" s="57"/>
    </row>
    <row r="64" ht="21.75" customHeight="1">
      <c r="A64" s="22"/>
      <c r="B64" s="23"/>
      <c r="C64" s="55"/>
      <c r="D64" s="30"/>
      <c r="E64" s="22"/>
      <c r="G64" s="22"/>
      <c r="H64" s="1"/>
      <c r="I64" s="1"/>
    </row>
    <row r="65" ht="21.75" customHeight="1">
      <c r="A65" s="12" t="s">
        <v>31</v>
      </c>
      <c r="B65" s="37" t="s">
        <v>12</v>
      </c>
      <c r="C65" s="19">
        <v>2.1688E7</v>
      </c>
      <c r="D65" s="34"/>
      <c r="E65" s="16">
        <f>SUM(C65:C68)</f>
        <v>98826500</v>
      </c>
    </row>
    <row r="66" ht="21.75" customHeight="1">
      <c r="A66" s="18"/>
      <c r="B66" s="13" t="s">
        <v>24</v>
      </c>
      <c r="C66" s="19">
        <v>4.05965E7</v>
      </c>
      <c r="D66" s="19"/>
      <c r="E66" s="18"/>
    </row>
    <row r="67" ht="21.75" customHeight="1">
      <c r="A67" s="18"/>
      <c r="B67" s="13" t="s">
        <v>17</v>
      </c>
      <c r="C67" s="19">
        <v>2.1007E7</v>
      </c>
      <c r="D67" s="19"/>
      <c r="E67" s="18"/>
      <c r="F67" s="20"/>
    </row>
    <row r="68" ht="21.75" customHeight="1">
      <c r="A68" s="18"/>
      <c r="B68" s="23" t="s">
        <v>10</v>
      </c>
      <c r="C68" s="19">
        <v>1.5535E7</v>
      </c>
      <c r="D68" s="19"/>
      <c r="E68" s="18"/>
    </row>
    <row r="69" ht="21.75" customHeight="1">
      <c r="A69" s="18"/>
      <c r="B69" s="33"/>
      <c r="C69" s="33"/>
      <c r="D69" s="19"/>
      <c r="E69" s="18"/>
      <c r="G69" s="59"/>
      <c r="H69" s="56"/>
      <c r="I69" s="60"/>
    </row>
    <row r="70" ht="21.75" customHeight="1">
      <c r="A70" s="22"/>
      <c r="B70" s="23"/>
      <c r="C70" s="19"/>
      <c r="E70" s="22"/>
      <c r="G70" s="18"/>
      <c r="H70" s="56"/>
      <c r="I70" s="60"/>
    </row>
    <row r="71" ht="21.75" customHeight="1">
      <c r="A71" s="12" t="s">
        <v>32</v>
      </c>
      <c r="B71" s="30" t="s">
        <v>12</v>
      </c>
      <c r="C71" s="19">
        <v>6.12105E7</v>
      </c>
      <c r="D71" s="19"/>
      <c r="E71" s="16">
        <f>sum(C71:C75)</f>
        <v>202098000</v>
      </c>
      <c r="F71" s="20"/>
      <c r="G71" s="18"/>
      <c r="H71" s="56"/>
      <c r="I71" s="60"/>
    </row>
    <row r="72" ht="21.75" customHeight="1">
      <c r="A72" s="18"/>
      <c r="B72" s="23" t="s">
        <v>13</v>
      </c>
      <c r="C72" s="19">
        <v>3.69855E7</v>
      </c>
      <c r="D72" s="19"/>
      <c r="E72" s="18"/>
      <c r="F72" s="20"/>
      <c r="G72" s="18"/>
      <c r="H72" s="44"/>
      <c r="I72" s="61"/>
    </row>
    <row r="73" ht="21.75" customHeight="1">
      <c r="A73" s="18"/>
      <c r="B73" s="23" t="s">
        <v>24</v>
      </c>
      <c r="C73" s="19">
        <v>3.2534E7</v>
      </c>
      <c r="D73" s="19"/>
      <c r="E73" s="18"/>
      <c r="G73" s="18"/>
      <c r="H73" s="56"/>
      <c r="I73" s="57"/>
    </row>
    <row r="74" ht="21.75" customHeight="1">
      <c r="A74" s="18"/>
      <c r="B74" s="23" t="s">
        <v>17</v>
      </c>
      <c r="C74" s="19">
        <v>3.7739E7</v>
      </c>
      <c r="D74" s="39"/>
      <c r="E74" s="18"/>
      <c r="G74" s="22"/>
      <c r="H74" s="1"/>
      <c r="I74" s="1"/>
    </row>
    <row r="75" ht="21.75" customHeight="1">
      <c r="A75" s="18"/>
      <c r="B75" s="23" t="s">
        <v>10</v>
      </c>
      <c r="C75" s="19">
        <v>3.3629E7</v>
      </c>
      <c r="D75" s="39"/>
      <c r="E75" s="18"/>
      <c r="G75" s="63"/>
      <c r="H75" s="1"/>
      <c r="I75" s="1"/>
    </row>
    <row r="76" ht="21.75" customHeight="1">
      <c r="A76" s="22"/>
      <c r="D76" s="64"/>
      <c r="E76" s="22"/>
      <c r="G76" s="63"/>
      <c r="H76" s="1"/>
      <c r="I76" s="1"/>
    </row>
    <row r="77" ht="21.75" customHeight="1">
      <c r="A77" s="12" t="s">
        <v>33</v>
      </c>
      <c r="B77" s="23" t="s">
        <v>12</v>
      </c>
      <c r="C77" s="55">
        <v>3.25E7</v>
      </c>
      <c r="D77" s="65" t="s">
        <v>7</v>
      </c>
      <c r="E77" s="16">
        <f>SUM(C81)</f>
        <v>104539900</v>
      </c>
      <c r="G77" s="59"/>
      <c r="H77" s="56"/>
      <c r="I77" s="60"/>
    </row>
    <row r="78" ht="21.75" customHeight="1">
      <c r="A78" s="18"/>
      <c r="B78" s="23" t="s">
        <v>13</v>
      </c>
      <c r="C78" s="19">
        <v>5.5348E7</v>
      </c>
      <c r="D78" s="34" t="s">
        <v>7</v>
      </c>
      <c r="E78" s="18"/>
      <c r="G78" s="18"/>
      <c r="H78" s="56"/>
      <c r="I78" s="60"/>
    </row>
    <row r="79" ht="21.75" customHeight="1">
      <c r="A79" s="18"/>
      <c r="B79" s="23" t="s">
        <v>24</v>
      </c>
      <c r="C79" s="19">
        <v>7.98431E7</v>
      </c>
      <c r="D79" s="34" t="s">
        <v>7</v>
      </c>
      <c r="E79" s="18"/>
      <c r="G79" s="18"/>
      <c r="H79" s="1"/>
      <c r="I79" s="1"/>
    </row>
    <row r="80" ht="21.75" customHeight="1">
      <c r="A80" s="18"/>
      <c r="B80" s="23" t="s">
        <v>17</v>
      </c>
      <c r="C80" s="19">
        <v>8.38213E7</v>
      </c>
      <c r="D80" s="21" t="s">
        <v>7</v>
      </c>
      <c r="E80" s="18"/>
      <c r="G80" s="18"/>
      <c r="H80" s="56"/>
      <c r="I80" s="60"/>
    </row>
    <row r="81" ht="21.75" customHeight="1">
      <c r="A81" s="22"/>
      <c r="B81" s="23" t="s">
        <v>10</v>
      </c>
      <c r="C81" s="19">
        <v>1.045399E8</v>
      </c>
      <c r="E81" s="22"/>
      <c r="G81" s="18"/>
      <c r="H81" s="56"/>
      <c r="I81" s="60"/>
    </row>
    <row r="82" ht="21.75" customHeight="1">
      <c r="A82" s="66"/>
      <c r="B82" s="67" t="s">
        <v>34</v>
      </c>
      <c r="C82" s="33"/>
      <c r="E82" s="68"/>
      <c r="G82" s="18"/>
      <c r="H82" s="56"/>
      <c r="I82" s="60"/>
    </row>
    <row r="83" ht="21.75" customHeight="1">
      <c r="A83" s="12" t="s">
        <v>35</v>
      </c>
      <c r="B83" s="37" t="s">
        <v>13</v>
      </c>
      <c r="C83" s="19">
        <v>1.39855E7</v>
      </c>
      <c r="D83" s="31" t="s">
        <v>7</v>
      </c>
      <c r="E83" s="16">
        <f>sum(C86)</f>
        <v>26870400</v>
      </c>
      <c r="G83" s="22"/>
      <c r="H83" s="56"/>
      <c r="I83" s="60"/>
    </row>
    <row r="84" ht="21.75" customHeight="1">
      <c r="A84" s="18"/>
      <c r="B84" s="37" t="s">
        <v>24</v>
      </c>
      <c r="C84" s="36">
        <v>3.05104E7</v>
      </c>
      <c r="D84" s="21" t="s">
        <v>7</v>
      </c>
      <c r="E84" s="18"/>
      <c r="G84" s="42"/>
      <c r="H84" s="56"/>
      <c r="I84" s="57"/>
    </row>
    <row r="85" ht="21.75" customHeight="1">
      <c r="A85" s="18"/>
      <c r="B85" s="37" t="s">
        <v>17</v>
      </c>
      <c r="C85" s="36">
        <v>1.35347E7</v>
      </c>
      <c r="D85" s="21" t="s">
        <v>7</v>
      </c>
      <c r="E85" s="18"/>
      <c r="F85" s="20"/>
    </row>
    <row r="86" ht="21.75" customHeight="1">
      <c r="A86" s="18"/>
      <c r="B86" s="23" t="s">
        <v>10</v>
      </c>
      <c r="C86" s="36">
        <v>2.68704E7</v>
      </c>
      <c r="D86" s="21"/>
      <c r="E86" s="18"/>
      <c r="G86" s="69"/>
      <c r="H86" s="70"/>
      <c r="I86" s="57"/>
    </row>
    <row r="87" ht="21.75" customHeight="1">
      <c r="A87" s="22"/>
      <c r="B87" s="35"/>
      <c r="C87" s="36"/>
      <c r="E87" s="22"/>
      <c r="G87" s="18"/>
      <c r="H87" s="70"/>
      <c r="I87" s="57"/>
    </row>
    <row r="88" ht="21.75" customHeight="1">
      <c r="A88" s="12" t="s">
        <v>36</v>
      </c>
      <c r="B88" s="37" t="s">
        <v>13</v>
      </c>
      <c r="C88" s="19">
        <v>2.43656E7</v>
      </c>
      <c r="D88" s="31" t="s">
        <v>7</v>
      </c>
      <c r="E88" s="16">
        <f>sum(C91)</f>
        <v>31832000</v>
      </c>
      <c r="G88" s="18"/>
      <c r="H88" s="70"/>
      <c r="I88" s="57"/>
    </row>
    <row r="89" ht="21.75" customHeight="1">
      <c r="A89" s="18"/>
      <c r="B89" s="37" t="s">
        <v>24</v>
      </c>
      <c r="C89" s="19">
        <v>2.56754E7</v>
      </c>
      <c r="D89" s="21" t="s">
        <v>7</v>
      </c>
      <c r="E89" s="18"/>
      <c r="G89" s="18"/>
      <c r="H89" s="70"/>
      <c r="I89" s="60"/>
    </row>
    <row r="90" ht="21.75" customHeight="1">
      <c r="A90" s="18"/>
      <c r="B90" s="37" t="s">
        <v>17</v>
      </c>
      <c r="C90" s="19">
        <v>2.63813E7</v>
      </c>
      <c r="D90" s="21" t="s">
        <v>7</v>
      </c>
      <c r="E90" s="18"/>
      <c r="F90" s="20"/>
      <c r="G90" s="18"/>
      <c r="H90" s="44"/>
      <c r="I90" s="61"/>
    </row>
    <row r="91" ht="21.75" customHeight="1">
      <c r="A91" s="18"/>
      <c r="B91" s="23" t="s">
        <v>10</v>
      </c>
      <c r="C91" s="36">
        <v>3.1832E7</v>
      </c>
      <c r="D91" s="21"/>
      <c r="E91" s="18"/>
      <c r="G91" s="18"/>
      <c r="H91" s="70"/>
      <c r="I91" s="60"/>
    </row>
    <row r="92" ht="21.75" customHeight="1">
      <c r="A92" s="22"/>
      <c r="B92" s="35"/>
      <c r="C92" s="36"/>
      <c r="E92" s="22"/>
      <c r="G92" s="22"/>
      <c r="H92" s="56"/>
      <c r="I92" s="71"/>
    </row>
    <row r="93" ht="21.75" customHeight="1">
      <c r="A93" s="12" t="s">
        <v>37</v>
      </c>
      <c r="B93" s="13" t="s">
        <v>38</v>
      </c>
      <c r="C93" s="36" t="str">
        <f>SUM('THÁNG 10'!C90:C93)</f>
        <v>#REF!</v>
      </c>
      <c r="D93" s="31" t="s">
        <v>7</v>
      </c>
      <c r="E93" s="16" t="str">
        <f>sum(C94:C98)</f>
        <v>#REF!</v>
      </c>
    </row>
    <row r="94" ht="21.75" customHeight="1">
      <c r="A94" s="18"/>
      <c r="B94" s="37" t="s">
        <v>12</v>
      </c>
      <c r="C94" s="36" t="str">
        <f>sum('THÁNG 11'!C94:C97)</f>
        <v>#REF!</v>
      </c>
      <c r="D94" s="21"/>
      <c r="E94" s="18"/>
      <c r="H94" s="72"/>
      <c r="I94" s="60"/>
    </row>
    <row r="95" ht="21.75" customHeight="1">
      <c r="A95" s="18"/>
      <c r="B95" s="37" t="s">
        <v>27</v>
      </c>
      <c r="C95" s="36">
        <v>1.56725E7</v>
      </c>
      <c r="D95" s="21"/>
      <c r="E95" s="18"/>
      <c r="G95" s="73"/>
      <c r="H95" s="56"/>
      <c r="I95" s="60"/>
    </row>
    <row r="96" ht="21.75" customHeight="1">
      <c r="A96" s="18"/>
      <c r="B96" s="37" t="s">
        <v>14</v>
      </c>
      <c r="C96" s="36">
        <v>1.95955E7</v>
      </c>
      <c r="D96" s="21"/>
      <c r="E96" s="18"/>
      <c r="G96" s="73"/>
      <c r="H96" s="56"/>
      <c r="I96" s="60"/>
    </row>
    <row r="97" ht="21.75" customHeight="1">
      <c r="A97" s="18"/>
      <c r="B97" s="37" t="s">
        <v>15</v>
      </c>
      <c r="C97" s="24">
        <v>1.9492E7</v>
      </c>
      <c r="D97" s="25"/>
      <c r="E97" s="18"/>
      <c r="G97" s="73"/>
      <c r="H97" s="56"/>
      <c r="I97" s="61"/>
    </row>
    <row r="98" ht="21.75" customHeight="1">
      <c r="A98" s="22"/>
      <c r="B98" s="23" t="s">
        <v>10</v>
      </c>
      <c r="C98" s="74">
        <v>1.7528E7</v>
      </c>
      <c r="D98" s="24"/>
      <c r="E98" s="22"/>
      <c r="G98" s="73"/>
      <c r="H98" s="56"/>
      <c r="I98" s="61"/>
    </row>
    <row r="99" ht="21.75" customHeight="1">
      <c r="A99" s="12" t="s">
        <v>39</v>
      </c>
      <c r="B99" s="37" t="s">
        <v>38</v>
      </c>
      <c r="C99" s="19">
        <v>4.3473E7</v>
      </c>
      <c r="D99" s="19"/>
      <c r="E99" s="16" t="str">
        <f>sum(C99:C104)</f>
        <v>#REF!</v>
      </c>
      <c r="G99" s="73"/>
      <c r="H99" s="56"/>
      <c r="I99" s="61"/>
    </row>
    <row r="100" ht="21.75" customHeight="1">
      <c r="A100" s="18"/>
      <c r="B100" s="13" t="s">
        <v>12</v>
      </c>
      <c r="C100" s="19" t="str">
        <f>sum('THÁNG 11'!C101:C104)</f>
        <v>#REF!</v>
      </c>
      <c r="E100" s="18"/>
      <c r="G100" s="73"/>
      <c r="H100" s="1"/>
      <c r="I100" s="61"/>
    </row>
    <row r="101" ht="21.75" customHeight="1">
      <c r="A101" s="18"/>
      <c r="B101" s="13" t="s">
        <v>27</v>
      </c>
      <c r="C101" s="36">
        <v>4250000.0</v>
      </c>
      <c r="D101" s="19"/>
      <c r="E101" s="18"/>
      <c r="G101" s="75"/>
      <c r="H101" s="56"/>
      <c r="I101" s="60"/>
      <c r="J101" s="9"/>
    </row>
    <row r="102" ht="21.75" customHeight="1">
      <c r="A102" s="18"/>
      <c r="B102" s="13" t="s">
        <v>14</v>
      </c>
      <c r="C102" s="36">
        <v>4.5932E7</v>
      </c>
      <c r="D102" s="33"/>
      <c r="E102" s="18"/>
      <c r="G102" s="59"/>
      <c r="H102" s="56"/>
      <c r="I102" s="57"/>
      <c r="J102" s="9"/>
    </row>
    <row r="103" ht="21.75" customHeight="1">
      <c r="A103" s="18"/>
      <c r="B103" s="13" t="s">
        <v>15</v>
      </c>
      <c r="C103" s="36">
        <v>4350000.0</v>
      </c>
      <c r="D103" s="33"/>
      <c r="E103" s="18"/>
      <c r="G103" s="18"/>
      <c r="H103" s="57"/>
      <c r="I103" s="57"/>
      <c r="J103" s="9"/>
    </row>
    <row r="104" ht="21.75" customHeight="1">
      <c r="A104" s="18"/>
      <c r="B104" s="23" t="s">
        <v>10</v>
      </c>
      <c r="C104" s="19">
        <v>1.82175E7</v>
      </c>
      <c r="D104" s="33"/>
      <c r="E104" s="18"/>
      <c r="G104" s="18"/>
      <c r="H104" s="57"/>
      <c r="I104" s="57"/>
      <c r="J104" s="9"/>
    </row>
    <row r="105" ht="21.75" customHeight="1">
      <c r="A105" s="22"/>
      <c r="E105" s="22"/>
      <c r="G105" s="18"/>
      <c r="H105" s="57"/>
      <c r="I105" s="57"/>
      <c r="J105" s="9"/>
    </row>
    <row r="106" ht="21.75" customHeight="1">
      <c r="A106" s="12" t="s">
        <v>40</v>
      </c>
      <c r="B106" s="23" t="s">
        <v>12</v>
      </c>
      <c r="C106" s="36">
        <v>2.78373E7</v>
      </c>
      <c r="D106" s="19" t="s">
        <v>7</v>
      </c>
      <c r="E106" s="16">
        <f>SUM(C108:C110)</f>
        <v>109845500</v>
      </c>
      <c r="G106" s="18"/>
      <c r="H106" s="57"/>
      <c r="I106" s="57"/>
    </row>
    <row r="107" ht="21.75" customHeight="1">
      <c r="A107" s="18"/>
      <c r="B107" s="13" t="s">
        <v>27</v>
      </c>
      <c r="C107" s="36">
        <v>6.63355E7</v>
      </c>
      <c r="D107" s="19" t="s">
        <v>7</v>
      </c>
      <c r="E107" s="18"/>
      <c r="G107" s="18"/>
      <c r="H107" s="56"/>
      <c r="I107" s="57"/>
    </row>
    <row r="108" ht="21.75" customHeight="1">
      <c r="A108" s="18"/>
      <c r="B108" s="13" t="s">
        <v>14</v>
      </c>
      <c r="C108" s="19">
        <v>3.3096E7</v>
      </c>
      <c r="E108" s="18"/>
      <c r="G108" s="18"/>
      <c r="H108" s="56"/>
      <c r="I108" s="57"/>
    </row>
    <row r="109" ht="21.75" customHeight="1">
      <c r="A109" s="18"/>
      <c r="B109" s="13" t="s">
        <v>15</v>
      </c>
      <c r="C109" s="19">
        <v>3.78845E7</v>
      </c>
      <c r="D109" s="19"/>
      <c r="E109" s="18"/>
      <c r="G109" s="22"/>
      <c r="H109" s="56"/>
      <c r="I109" s="57"/>
    </row>
    <row r="110" ht="21.75" customHeight="1">
      <c r="A110" s="22"/>
      <c r="B110" s="23" t="s">
        <v>10</v>
      </c>
      <c r="C110" s="19">
        <v>3.8865E7</v>
      </c>
      <c r="D110" s="19"/>
      <c r="E110" s="22"/>
      <c r="G110" s="42"/>
      <c r="H110" s="9"/>
      <c r="I110" s="10"/>
    </row>
    <row r="111" ht="21.75" customHeight="1">
      <c r="A111" s="12" t="s">
        <v>41</v>
      </c>
      <c r="B111" s="13" t="s">
        <v>38</v>
      </c>
      <c r="C111" s="19" t="str">
        <f>SUM('THÁNG 10'!C107:C108)</f>
        <v>#REF!</v>
      </c>
      <c r="D111" s="19" t="s">
        <v>7</v>
      </c>
      <c r="E111" s="16">
        <f>SUM(C112:C116)</f>
        <v>198697000</v>
      </c>
      <c r="F111" s="19"/>
      <c r="G111" s="42">
        <f>72352500+106176000+43094000+50269500+45408500+44061000+43862500+50692500+53155500</f>
        <v>509072000</v>
      </c>
      <c r="H111" s="76">
        <f>G111-200000000+132000</f>
        <v>309204000</v>
      </c>
      <c r="I111" s="10"/>
    </row>
    <row r="112" ht="21.75" customHeight="1">
      <c r="A112" s="18"/>
      <c r="B112" s="13" t="s">
        <v>12</v>
      </c>
      <c r="C112" s="36">
        <v>5.96885E7</v>
      </c>
      <c r="D112" s="30"/>
      <c r="E112" s="18"/>
    </row>
    <row r="113" ht="21.75" customHeight="1">
      <c r="A113" s="18"/>
      <c r="B113" s="13" t="s">
        <v>27</v>
      </c>
      <c r="C113" s="36">
        <v>3.95755E7</v>
      </c>
      <c r="D113" s="33"/>
      <c r="E113" s="18"/>
      <c r="G113" s="59"/>
      <c r="H113" s="56"/>
      <c r="I113" s="60"/>
    </row>
    <row r="114" ht="21.75" customHeight="1">
      <c r="A114" s="18"/>
      <c r="B114" s="13" t="s">
        <v>14</v>
      </c>
      <c r="C114" s="36">
        <v>2.99575E7</v>
      </c>
      <c r="D114" s="33"/>
      <c r="E114" s="18"/>
      <c r="F114" s="19"/>
      <c r="G114" s="18"/>
      <c r="H114" s="56"/>
      <c r="I114" s="60"/>
    </row>
    <row r="115" ht="21.75" customHeight="1">
      <c r="A115" s="18"/>
      <c r="B115" s="13" t="s">
        <v>15</v>
      </c>
      <c r="C115" s="36">
        <v>2.85485E7</v>
      </c>
      <c r="D115" s="33"/>
      <c r="E115" s="18"/>
      <c r="F115" s="17"/>
      <c r="G115" s="18"/>
      <c r="H115" s="56"/>
      <c r="I115" s="60"/>
    </row>
    <row r="116" ht="21.75" customHeight="1">
      <c r="A116" s="22"/>
      <c r="B116" s="23" t="s">
        <v>10</v>
      </c>
      <c r="C116" s="19">
        <v>4.0927E7</v>
      </c>
      <c r="D116" s="33"/>
      <c r="E116" s="22"/>
      <c r="F116" s="17"/>
      <c r="G116" s="18"/>
      <c r="H116" s="56"/>
      <c r="I116" s="60"/>
    </row>
    <row r="117" ht="21.75" customHeight="1">
      <c r="A117" s="12" t="s">
        <v>42</v>
      </c>
      <c r="B117" s="30" t="s">
        <v>12</v>
      </c>
      <c r="C117" s="55" t="str">
        <f>sum('THÁNG 11'!C115:C118)</f>
        <v>#REF!</v>
      </c>
      <c r="D117" s="55" t="s">
        <v>7</v>
      </c>
      <c r="E117" s="16">
        <f>SUM(C118:C121)</f>
        <v>130230000</v>
      </c>
      <c r="G117" s="18"/>
      <c r="H117" s="56"/>
      <c r="I117" s="60"/>
    </row>
    <row r="118" ht="21.75" customHeight="1">
      <c r="A118" s="18"/>
      <c r="B118" s="30" t="s">
        <v>27</v>
      </c>
      <c r="C118" s="55">
        <v>2.72305E7</v>
      </c>
      <c r="D118" s="48"/>
      <c r="E118" s="18"/>
      <c r="G118" s="18"/>
      <c r="H118" s="56"/>
      <c r="I118" s="61"/>
    </row>
    <row r="119" ht="21.75" customHeight="1">
      <c r="A119" s="18"/>
      <c r="B119" s="30" t="s">
        <v>14</v>
      </c>
      <c r="C119" s="55">
        <v>2.4916E7</v>
      </c>
      <c r="D119" s="48"/>
      <c r="E119" s="18"/>
      <c r="F119" s="20"/>
      <c r="G119" s="22"/>
      <c r="H119" s="56"/>
      <c r="I119" s="57"/>
    </row>
    <row r="120" ht="21.75" customHeight="1">
      <c r="A120" s="18"/>
      <c r="B120" s="30" t="s">
        <v>15</v>
      </c>
      <c r="C120" s="55">
        <v>2.6423E7</v>
      </c>
      <c r="D120" s="48"/>
      <c r="E120" s="18"/>
    </row>
    <row r="121" ht="21.75" customHeight="1">
      <c r="A121" s="22"/>
      <c r="B121" s="23" t="s">
        <v>10</v>
      </c>
      <c r="C121" s="55">
        <v>5.16605E7</v>
      </c>
      <c r="D121" s="48"/>
      <c r="E121" s="22"/>
      <c r="F121" s="20">
        <f>43094000-42962000</f>
        <v>132000</v>
      </c>
      <c r="H121" s="20">
        <f>100000000-78528500</f>
        <v>21471500</v>
      </c>
    </row>
    <row r="122" ht="21.75" customHeight="1">
      <c r="A122" s="12" t="s">
        <v>43</v>
      </c>
      <c r="B122" s="23" t="s">
        <v>12</v>
      </c>
      <c r="C122" s="55">
        <v>2.5026E7</v>
      </c>
      <c r="D122" s="77"/>
      <c r="E122" s="16">
        <f>sum(C122:C126)</f>
        <v>58781000</v>
      </c>
      <c r="J122" s="29"/>
    </row>
    <row r="123" ht="21.75" customHeight="1">
      <c r="A123" s="18"/>
      <c r="B123" s="30" t="s">
        <v>15</v>
      </c>
      <c r="C123" s="55">
        <v>3.1155E7</v>
      </c>
      <c r="D123" s="19"/>
      <c r="E123" s="18"/>
      <c r="I123" s="20">
        <f>100000000-H125</f>
        <v>21471500</v>
      </c>
    </row>
    <row r="124" ht="21.75" customHeight="1">
      <c r="A124" s="18"/>
      <c r="B124" s="23" t="s">
        <v>10</v>
      </c>
      <c r="C124" s="55">
        <v>2600000.0</v>
      </c>
      <c r="D124" s="19"/>
      <c r="E124" s="18"/>
      <c r="F124" s="20">
        <f>31*5</f>
        <v>155</v>
      </c>
      <c r="G124" s="20">
        <f>100000000-72352500</f>
        <v>27647500</v>
      </c>
      <c r="I124" s="20">
        <f>I123-42962000</f>
        <v>-21490500</v>
      </c>
    </row>
    <row r="125" ht="21.75" customHeight="1">
      <c r="A125" s="18"/>
      <c r="B125" s="23"/>
      <c r="C125" s="55"/>
      <c r="D125" s="78"/>
      <c r="E125" s="18"/>
      <c r="H125" s="20">
        <f>106176000-G124</f>
        <v>78528500</v>
      </c>
    </row>
    <row r="126" ht="21.75" customHeight="1">
      <c r="A126" s="22"/>
      <c r="B126" s="23"/>
      <c r="C126" s="55"/>
      <c r="D126" s="78"/>
      <c r="E126" s="22"/>
    </row>
    <row r="127" ht="21.75" customHeight="1">
      <c r="A127" s="12" t="s">
        <v>44</v>
      </c>
      <c r="B127" s="56" t="s">
        <v>27</v>
      </c>
      <c r="C127" s="24">
        <v>9205100.0</v>
      </c>
      <c r="D127" s="19" t="s">
        <v>7</v>
      </c>
      <c r="E127" s="16">
        <f>sum(C130)</f>
        <v>30660500</v>
      </c>
    </row>
    <row r="128" ht="21.75" customHeight="1">
      <c r="A128" s="18"/>
      <c r="B128" s="56" t="s">
        <v>14</v>
      </c>
      <c r="C128" s="24">
        <v>1.15106E7</v>
      </c>
      <c r="D128" s="19" t="s">
        <v>7</v>
      </c>
      <c r="E128" s="18"/>
      <c r="G128" s="79"/>
      <c r="H128" s="80"/>
      <c r="I128" s="24"/>
    </row>
    <row r="129" ht="21.75" customHeight="1">
      <c r="A129" s="18"/>
      <c r="B129" s="56" t="s">
        <v>15</v>
      </c>
      <c r="C129" s="24">
        <v>3.2932E7</v>
      </c>
      <c r="D129" s="19" t="s">
        <v>7</v>
      </c>
      <c r="E129" s="18"/>
      <c r="G129" s="18"/>
    </row>
    <row r="130" ht="21.75" customHeight="1">
      <c r="A130" s="22"/>
      <c r="B130" s="23" t="s">
        <v>10</v>
      </c>
      <c r="C130" s="24">
        <v>3.06605E7</v>
      </c>
      <c r="D130" s="19"/>
      <c r="E130" s="22"/>
      <c r="G130" s="18"/>
    </row>
    <row r="131" ht="21.75" customHeight="1">
      <c r="A131" s="12" t="s">
        <v>45</v>
      </c>
      <c r="B131" s="56" t="s">
        <v>13</v>
      </c>
      <c r="C131" s="81">
        <v>1.1833E7</v>
      </c>
      <c r="D131" s="19"/>
      <c r="E131" s="16">
        <f>sum(C131:C134)</f>
        <v>79482800</v>
      </c>
    </row>
    <row r="132" ht="21.75" customHeight="1">
      <c r="A132" s="18"/>
      <c r="B132" s="56" t="s">
        <v>24</v>
      </c>
      <c r="C132" s="19">
        <v>9406000.0</v>
      </c>
      <c r="D132" s="19"/>
      <c r="E132" s="18"/>
      <c r="G132" s="82"/>
      <c r="H132" s="83"/>
      <c r="I132" s="84"/>
    </row>
    <row r="133" ht="21.75" customHeight="1">
      <c r="A133" s="18"/>
      <c r="B133" s="56" t="s">
        <v>15</v>
      </c>
      <c r="C133" s="19">
        <v>2.59248E7</v>
      </c>
      <c r="D133" s="19"/>
      <c r="E133" s="18"/>
      <c r="G133" s="85"/>
      <c r="I133" s="86"/>
    </row>
    <row r="134" ht="21.75" customHeight="1">
      <c r="A134" s="22"/>
      <c r="B134" s="23" t="s">
        <v>10</v>
      </c>
      <c r="C134" s="19">
        <v>3.2319E7</v>
      </c>
      <c r="D134" s="19"/>
      <c r="E134" s="22"/>
      <c r="G134" s="85"/>
      <c r="I134" s="86"/>
    </row>
    <row r="135" ht="21.75" customHeight="1">
      <c r="A135" s="12" t="s">
        <v>46</v>
      </c>
      <c r="B135" s="80" t="s">
        <v>12</v>
      </c>
      <c r="C135" s="24" t="str">
        <f>sum('THÁNG 11'!C134:C135)</f>
        <v>#REF!</v>
      </c>
      <c r="D135" s="24" t="s">
        <v>7</v>
      </c>
      <c r="E135" s="16">
        <f>SUM(C136:C139)</f>
        <v>56430000</v>
      </c>
      <c r="G135" s="85"/>
      <c r="I135" s="86"/>
    </row>
    <row r="136" ht="21.75" customHeight="1">
      <c r="A136" s="18"/>
      <c r="B136" s="80" t="s">
        <v>13</v>
      </c>
      <c r="C136" s="24">
        <v>1.0565E7</v>
      </c>
      <c r="D136" s="24"/>
      <c r="E136" s="18"/>
      <c r="G136" s="85"/>
      <c r="I136" s="86"/>
    </row>
    <row r="137" ht="21.75" customHeight="1">
      <c r="A137" s="18"/>
      <c r="B137" s="80" t="s">
        <v>24</v>
      </c>
      <c r="C137" s="24">
        <v>1.541E7</v>
      </c>
      <c r="D137" s="24"/>
      <c r="E137" s="18"/>
      <c r="G137" s="87"/>
      <c r="H137" s="88"/>
      <c r="I137" s="89"/>
    </row>
    <row r="138" ht="21.75" customHeight="1">
      <c r="A138" s="18"/>
      <c r="B138" s="80" t="s">
        <v>17</v>
      </c>
      <c r="C138" s="24">
        <v>1.6585E7</v>
      </c>
      <c r="D138" s="24"/>
      <c r="E138" s="18"/>
    </row>
    <row r="139" ht="21.75" customHeight="1">
      <c r="A139" s="22"/>
      <c r="B139" s="23" t="s">
        <v>10</v>
      </c>
      <c r="C139" s="24">
        <v>1.387E7</v>
      </c>
      <c r="D139" s="24"/>
      <c r="E139" s="22"/>
    </row>
    <row r="140" ht="21.75" customHeight="1">
      <c r="A140" s="12" t="s">
        <v>47</v>
      </c>
      <c r="B140" s="56" t="s">
        <v>48</v>
      </c>
      <c r="C140" s="19">
        <v>4.0E7</v>
      </c>
      <c r="D140" s="19"/>
      <c r="E140" s="16">
        <f>SUM(C140:C143)</f>
        <v>80568000</v>
      </c>
    </row>
    <row r="141" ht="21.75" customHeight="1">
      <c r="A141" s="18"/>
      <c r="B141" s="53" t="s">
        <v>49</v>
      </c>
      <c r="C141" s="19">
        <v>2.0363E7</v>
      </c>
      <c r="D141" s="19"/>
      <c r="E141" s="18"/>
      <c r="G141" s="90" t="s">
        <v>50</v>
      </c>
      <c r="H141" s="56" t="s">
        <v>51</v>
      </c>
      <c r="I141" s="19">
        <v>3.58355E7</v>
      </c>
    </row>
    <row r="142" ht="21.75" customHeight="1">
      <c r="A142" s="18"/>
      <c r="B142" s="56" t="s">
        <v>52</v>
      </c>
      <c r="C142" s="19">
        <v>220000.0</v>
      </c>
      <c r="D142" s="19"/>
      <c r="E142" s="18"/>
      <c r="F142" s="91"/>
      <c r="G142" s="18"/>
      <c r="H142" s="56" t="s">
        <v>53</v>
      </c>
      <c r="I142" s="19">
        <v>4.2089E7</v>
      </c>
    </row>
    <row r="143" ht="21.75" customHeight="1">
      <c r="A143" s="22"/>
      <c r="B143" s="92" t="s">
        <v>54</v>
      </c>
      <c r="C143" s="24">
        <v>1.9985E7</v>
      </c>
      <c r="D143" s="19"/>
      <c r="E143" s="22"/>
      <c r="F143" s="91"/>
      <c r="G143" s="18"/>
      <c r="H143" s="56" t="s">
        <v>55</v>
      </c>
      <c r="I143" s="19">
        <v>3.9621E7</v>
      </c>
    </row>
    <row r="144" ht="21.75" customHeight="1">
      <c r="A144" s="66"/>
      <c r="D144" s="19"/>
      <c r="E144" s="68"/>
      <c r="F144" s="91"/>
      <c r="G144" s="18"/>
      <c r="H144" s="56"/>
      <c r="I144" s="19"/>
    </row>
    <row r="145" ht="21.75" customHeight="1">
      <c r="A145" s="66"/>
      <c r="B145" s="92"/>
      <c r="C145" s="24"/>
      <c r="D145" s="19"/>
      <c r="E145" s="68"/>
      <c r="F145" s="91"/>
      <c r="G145" s="18"/>
      <c r="H145" s="56"/>
      <c r="I145" s="19"/>
    </row>
    <row r="146" ht="21.75" customHeight="1">
      <c r="A146" s="12" t="s">
        <v>56</v>
      </c>
      <c r="B146" s="13" t="s">
        <v>13</v>
      </c>
      <c r="C146" s="19">
        <v>2.7794E7</v>
      </c>
      <c r="D146" s="19"/>
      <c r="E146" s="16">
        <f>sum(C146:C150)</f>
        <v>124513500</v>
      </c>
      <c r="F146" s="91"/>
      <c r="G146" s="18"/>
      <c r="H146" s="56" t="s">
        <v>57</v>
      </c>
      <c r="I146" s="19">
        <v>6.7791E7</v>
      </c>
    </row>
    <row r="147" ht="21.75" customHeight="1">
      <c r="A147" s="18"/>
      <c r="B147" s="13" t="s">
        <v>24</v>
      </c>
      <c r="C147" s="19">
        <v>2.9185E7</v>
      </c>
      <c r="D147" s="19"/>
      <c r="E147" s="18"/>
      <c r="F147" s="91"/>
      <c r="G147" s="18"/>
    </row>
    <row r="148" ht="21.75" customHeight="1">
      <c r="A148" s="18"/>
      <c r="B148" s="80" t="s">
        <v>17</v>
      </c>
      <c r="C148" s="19">
        <v>3.7851E7</v>
      </c>
      <c r="D148" s="19"/>
      <c r="E148" s="18"/>
      <c r="G148" s="18"/>
      <c r="I148" s="2">
        <f>SUM(I158:I160)</f>
        <v>206125000</v>
      </c>
    </row>
    <row r="149" ht="21.75" customHeight="1">
      <c r="A149" s="18"/>
      <c r="B149" s="23" t="s">
        <v>10</v>
      </c>
      <c r="C149" s="19">
        <v>2.96835E7</v>
      </c>
      <c r="D149" s="19"/>
      <c r="E149" s="18"/>
      <c r="F149" s="91"/>
    </row>
    <row r="150" ht="21.75" customHeight="1">
      <c r="A150" s="22"/>
      <c r="B150" s="56"/>
      <c r="C150" s="19"/>
      <c r="D150" s="19"/>
      <c r="E150" s="22"/>
      <c r="F150" s="91"/>
    </row>
    <row r="151" ht="22.5" customHeight="1">
      <c r="A151" s="49" t="s">
        <v>58</v>
      </c>
      <c r="B151" s="56" t="s">
        <v>48</v>
      </c>
      <c r="C151" s="24">
        <v>8847000.0</v>
      </c>
      <c r="D151" s="93"/>
      <c r="E151" s="94">
        <f>SUM(C151:C156)</f>
        <v>497069500</v>
      </c>
      <c r="G151" s="95"/>
      <c r="H151" s="9"/>
      <c r="I151" s="28"/>
    </row>
    <row r="152" ht="22.5" customHeight="1">
      <c r="A152" s="18"/>
      <c r="B152" s="56" t="s">
        <v>59</v>
      </c>
      <c r="C152" s="24">
        <f>sum(I158:I160)</f>
        <v>206125000</v>
      </c>
      <c r="D152" s="93"/>
      <c r="E152" s="18"/>
      <c r="F152" s="91"/>
      <c r="G152" s="79"/>
      <c r="H152" s="56"/>
      <c r="I152" s="24">
        <v>1.11365E7</v>
      </c>
    </row>
    <row r="153" ht="22.5" customHeight="1">
      <c r="A153" s="18"/>
      <c r="B153" s="56" t="s">
        <v>13</v>
      </c>
      <c r="C153" s="19">
        <v>1.019735E8</v>
      </c>
      <c r="D153" s="19"/>
      <c r="E153" s="18"/>
      <c r="G153" s="18"/>
      <c r="H153" s="56"/>
      <c r="I153" s="24">
        <v>4.38625E7</v>
      </c>
    </row>
    <row r="154" ht="22.5" customHeight="1">
      <c r="A154" s="18"/>
      <c r="B154" s="56" t="s">
        <v>24</v>
      </c>
      <c r="C154" s="24">
        <v>5.1287E7</v>
      </c>
      <c r="D154" s="93"/>
      <c r="E154" s="18"/>
      <c r="G154" s="18"/>
      <c r="H154" s="56"/>
      <c r="I154" s="24">
        <v>5.06925E7</v>
      </c>
    </row>
    <row r="155" ht="22.5" customHeight="1">
      <c r="A155" s="18"/>
      <c r="B155" s="80" t="s">
        <v>17</v>
      </c>
      <c r="C155" s="24">
        <v>4.8595E7</v>
      </c>
      <c r="D155" s="93"/>
      <c r="E155" s="18"/>
      <c r="G155" s="18"/>
      <c r="H155" s="56"/>
      <c r="I155" s="24">
        <v>5.31555E7</v>
      </c>
    </row>
    <row r="156" ht="22.5" customHeight="1">
      <c r="A156" s="18"/>
      <c r="B156" s="23" t="s">
        <v>10</v>
      </c>
      <c r="C156" s="24">
        <v>8.0242E7</v>
      </c>
      <c r="D156" s="93"/>
      <c r="E156" s="18"/>
      <c r="G156" s="18"/>
      <c r="H156" s="56"/>
      <c r="I156" s="24"/>
    </row>
    <row r="157" ht="22.5" customHeight="1">
      <c r="A157" s="22"/>
      <c r="B157" s="80"/>
      <c r="C157" s="24"/>
      <c r="D157" s="93"/>
      <c r="E157" s="22"/>
      <c r="G157" s="18"/>
      <c r="H157" s="56"/>
      <c r="I157" s="24"/>
    </row>
    <row r="158" ht="22.5" customHeight="1">
      <c r="A158" s="49" t="s">
        <v>60</v>
      </c>
      <c r="B158" s="56" t="s">
        <v>24</v>
      </c>
      <c r="C158" s="24">
        <v>7869000.0</v>
      </c>
      <c r="D158" s="19" t="s">
        <v>7</v>
      </c>
      <c r="E158" s="96">
        <f>sum(C159:C160)</f>
        <v>16808000</v>
      </c>
      <c r="G158" s="18"/>
      <c r="H158" s="56"/>
      <c r="I158" s="24">
        <v>9.8639E7</v>
      </c>
    </row>
    <row r="159" ht="22.5" customHeight="1">
      <c r="A159" s="18"/>
      <c r="B159" s="80" t="s">
        <v>17</v>
      </c>
      <c r="C159" s="24">
        <v>8288000.0</v>
      </c>
      <c r="D159" s="19"/>
      <c r="E159" s="18"/>
      <c r="G159" s="18"/>
      <c r="H159" s="56"/>
      <c r="I159" s="24">
        <v>4.8081E7</v>
      </c>
    </row>
    <row r="160" ht="22.5" customHeight="1">
      <c r="A160" s="18"/>
      <c r="B160" s="23" t="s">
        <v>10</v>
      </c>
      <c r="C160" s="24">
        <v>8520000.0</v>
      </c>
      <c r="D160" s="19"/>
      <c r="E160" s="18"/>
      <c r="G160" s="18"/>
      <c r="H160" s="56"/>
      <c r="I160" s="24">
        <v>5.9405E7</v>
      </c>
    </row>
    <row r="161" ht="22.5" customHeight="1">
      <c r="A161" s="18"/>
      <c r="B161" s="33"/>
      <c r="C161" s="33"/>
      <c r="D161" s="33"/>
      <c r="E161" s="18"/>
      <c r="G161" s="18"/>
    </row>
    <row r="162" ht="22.5" customHeight="1">
      <c r="A162" s="22"/>
      <c r="B162" s="33"/>
      <c r="C162" s="33"/>
      <c r="D162" s="33"/>
      <c r="E162" s="22"/>
      <c r="G162" s="18"/>
    </row>
    <row r="163" ht="22.5" customHeight="1">
      <c r="A163" s="12" t="s">
        <v>61</v>
      </c>
      <c r="B163" s="97" t="s">
        <v>12</v>
      </c>
      <c r="C163" s="24">
        <v>2.30655E7</v>
      </c>
      <c r="D163" s="98" t="s">
        <v>7</v>
      </c>
      <c r="E163" s="96">
        <f>SUM(C166)</f>
        <v>26125000</v>
      </c>
      <c r="F163" s="20" t="s">
        <v>62</v>
      </c>
      <c r="G163" s="18"/>
    </row>
    <row r="164" ht="22.5" customHeight="1">
      <c r="A164" s="18"/>
      <c r="B164" s="56" t="s">
        <v>24</v>
      </c>
      <c r="C164" s="24">
        <v>1.573E7</v>
      </c>
      <c r="D164" s="19" t="s">
        <v>7</v>
      </c>
      <c r="E164" s="18"/>
      <c r="G164" s="18"/>
      <c r="H164" s="56"/>
      <c r="I164" s="99">
        <f>SUM(I152:I160)</f>
        <v>364972000</v>
      </c>
    </row>
    <row r="165" ht="22.5" customHeight="1">
      <c r="A165" s="18"/>
      <c r="B165" s="80" t="s">
        <v>17</v>
      </c>
      <c r="C165" s="24">
        <v>3960000.0</v>
      </c>
      <c r="D165" s="19" t="s">
        <v>7</v>
      </c>
      <c r="E165" s="18"/>
    </row>
    <row r="166" ht="22.5" customHeight="1">
      <c r="A166" s="22"/>
      <c r="B166" s="23" t="s">
        <v>10</v>
      </c>
      <c r="C166" s="24">
        <v>2.6125E7</v>
      </c>
      <c r="D166" s="19"/>
      <c r="E166" s="22"/>
      <c r="H166" s="20" t="str">
        <f>40000000-I167-I168-#REF!-I170</f>
        <v>#REF!</v>
      </c>
    </row>
    <row r="167" ht="22.5" customHeight="1">
      <c r="A167" s="49" t="s">
        <v>63</v>
      </c>
      <c r="B167" s="56" t="s">
        <v>12</v>
      </c>
      <c r="C167" s="48">
        <v>3.3773E7</v>
      </c>
      <c r="D167" s="19" t="s">
        <v>7</v>
      </c>
      <c r="E167" s="100">
        <f>SUM(C171)</f>
        <v>40307500</v>
      </c>
      <c r="G167" s="79"/>
      <c r="H167" s="56"/>
      <c r="I167" s="24"/>
    </row>
    <row r="168" ht="22.5" customHeight="1">
      <c r="A168" s="18"/>
      <c r="B168" s="56" t="s">
        <v>13</v>
      </c>
      <c r="C168" s="48">
        <v>3.0676E7</v>
      </c>
      <c r="D168" s="19" t="s">
        <v>7</v>
      </c>
      <c r="E168" s="18"/>
      <c r="G168" s="18"/>
      <c r="H168" s="56"/>
      <c r="I168" s="24"/>
    </row>
    <row r="169" ht="22.5" customHeight="1">
      <c r="A169" s="18"/>
      <c r="B169" s="56" t="s">
        <v>24</v>
      </c>
      <c r="C169" s="24">
        <v>3.31235E7</v>
      </c>
      <c r="D169" s="19" t="s">
        <v>7</v>
      </c>
      <c r="E169" s="18"/>
      <c r="G169" s="18"/>
      <c r="H169" s="56"/>
      <c r="I169" s="24">
        <v>2.30655E7</v>
      </c>
    </row>
    <row r="170" ht="22.5" customHeight="1">
      <c r="A170" s="18"/>
      <c r="B170" s="80" t="s">
        <v>17</v>
      </c>
      <c r="C170" s="24">
        <v>4.19195E7</v>
      </c>
      <c r="D170" s="19" t="s">
        <v>7</v>
      </c>
      <c r="E170" s="18"/>
      <c r="G170" s="18"/>
      <c r="H170" s="56"/>
      <c r="I170" s="24"/>
    </row>
    <row r="171" ht="22.5" customHeight="1">
      <c r="A171" s="22"/>
      <c r="B171" s="23" t="s">
        <v>10</v>
      </c>
      <c r="C171" s="24">
        <v>4.03075E7</v>
      </c>
      <c r="D171" s="19"/>
      <c r="E171" s="22"/>
      <c r="G171" s="18"/>
      <c r="H171" s="9"/>
      <c r="I171" s="28"/>
    </row>
    <row r="172" ht="22.5" customHeight="1">
      <c r="A172" s="49" t="s">
        <v>64</v>
      </c>
      <c r="B172" s="56" t="s">
        <v>27</v>
      </c>
      <c r="C172" s="101">
        <v>6.00745E7</v>
      </c>
      <c r="D172" s="19" t="s">
        <v>7</v>
      </c>
      <c r="E172" s="100">
        <f>sum(C175)</f>
        <v>43791000</v>
      </c>
      <c r="G172" s="18"/>
    </row>
    <row r="173" ht="22.5" customHeight="1">
      <c r="A173" s="18"/>
      <c r="B173" s="56" t="s">
        <v>14</v>
      </c>
      <c r="C173" s="48">
        <v>6.5999E7</v>
      </c>
      <c r="D173" s="19" t="s">
        <v>7</v>
      </c>
      <c r="E173" s="18"/>
      <c r="G173" s="18"/>
      <c r="H173" s="56"/>
      <c r="I173" s="99">
        <f>SUM(I167:I170)</f>
        <v>23065500</v>
      </c>
    </row>
    <row r="174" ht="22.5" customHeight="1">
      <c r="A174" s="18"/>
      <c r="B174" s="80" t="s">
        <v>17</v>
      </c>
      <c r="C174" s="48">
        <v>5.09955E7</v>
      </c>
      <c r="D174" s="19" t="s">
        <v>7</v>
      </c>
      <c r="E174" s="18"/>
    </row>
    <row r="175" ht="22.5" customHeight="1">
      <c r="A175" s="22"/>
      <c r="B175" s="23" t="s">
        <v>10</v>
      </c>
      <c r="C175" s="101">
        <v>4.3791E7</v>
      </c>
      <c r="D175" s="48"/>
      <c r="E175" s="22"/>
      <c r="L175" s="20">
        <f>SUM(I175:I177)</f>
        <v>38616000</v>
      </c>
    </row>
    <row r="176" ht="22.5" customHeight="1">
      <c r="A176" s="102" t="s">
        <v>65</v>
      </c>
      <c r="B176" s="56" t="s">
        <v>51</v>
      </c>
      <c r="C176" s="48">
        <v>3.5616E7</v>
      </c>
      <c r="D176" s="48"/>
      <c r="E176" s="96">
        <f>sum(C175:C179)</f>
        <v>125408500</v>
      </c>
      <c r="G176" s="103" t="s">
        <v>65</v>
      </c>
      <c r="H176" s="56" t="s">
        <v>12</v>
      </c>
      <c r="I176" s="101">
        <v>3000000.0</v>
      </c>
    </row>
    <row r="177" ht="22.5" customHeight="1">
      <c r="A177" s="18"/>
      <c r="B177" s="56" t="s">
        <v>53</v>
      </c>
      <c r="C177" s="48">
        <v>1.88395E7</v>
      </c>
      <c r="D177" s="48"/>
      <c r="E177" s="18"/>
      <c r="G177" s="18"/>
      <c r="H177" s="56" t="s">
        <v>13</v>
      </c>
      <c r="I177" s="48">
        <v>3.5616E7</v>
      </c>
    </row>
    <row r="178" ht="22.5" customHeight="1">
      <c r="A178" s="18"/>
      <c r="B178" s="56" t="s">
        <v>55</v>
      </c>
      <c r="C178" s="48">
        <v>0.0</v>
      </c>
      <c r="D178" s="48"/>
      <c r="E178" s="18"/>
      <c r="G178" s="18"/>
      <c r="H178" s="56" t="s">
        <v>66</v>
      </c>
      <c r="I178" s="48">
        <v>1.88395E7</v>
      </c>
    </row>
    <row r="179" ht="22.5" customHeight="1">
      <c r="A179" s="22"/>
      <c r="B179" s="56" t="s">
        <v>57</v>
      </c>
      <c r="C179" s="48">
        <v>2.7162E7</v>
      </c>
      <c r="D179" s="48"/>
      <c r="E179" s="22"/>
      <c r="G179" s="18"/>
      <c r="H179" s="56" t="s">
        <v>67</v>
      </c>
      <c r="I179" s="48">
        <v>2.7162E7</v>
      </c>
    </row>
    <row r="180" ht="22.5" customHeight="1">
      <c r="A180" s="102" t="s">
        <v>68</v>
      </c>
      <c r="B180" s="56" t="s">
        <v>51</v>
      </c>
      <c r="C180" s="48">
        <v>2.6462E7</v>
      </c>
      <c r="D180" s="19" t="s">
        <v>7</v>
      </c>
      <c r="E180" s="104">
        <v>0.0</v>
      </c>
      <c r="G180" s="22"/>
      <c r="H180" s="56" t="s">
        <v>69</v>
      </c>
      <c r="I180" s="99">
        <f>sum(I175:I179)</f>
        <v>84617500</v>
      </c>
      <c r="J180" s="105" t="s">
        <v>70</v>
      </c>
      <c r="K180" s="106" t="s">
        <v>71</v>
      </c>
      <c r="L180" s="107">
        <v>3.94992E7</v>
      </c>
    </row>
    <row r="181" ht="22.5" customHeight="1">
      <c r="A181" s="18"/>
      <c r="B181" s="56" t="s">
        <v>53</v>
      </c>
      <c r="C181" s="48">
        <v>2.4421E7</v>
      </c>
      <c r="D181" s="19" t="s">
        <v>7</v>
      </c>
      <c r="E181" s="18"/>
      <c r="J181" s="18"/>
      <c r="K181" s="108" t="s">
        <v>72</v>
      </c>
      <c r="L181" s="109">
        <v>4.4902E7</v>
      </c>
    </row>
    <row r="182" ht="22.5" customHeight="1">
      <c r="A182" s="18"/>
      <c r="B182" s="56" t="s">
        <v>55</v>
      </c>
      <c r="C182" s="48">
        <v>2.5347E7</v>
      </c>
      <c r="D182" s="19" t="s">
        <v>7</v>
      </c>
      <c r="E182" s="18"/>
      <c r="J182" s="18"/>
      <c r="K182" s="108" t="s">
        <v>73</v>
      </c>
      <c r="L182" s="109">
        <v>2.968E7</v>
      </c>
    </row>
    <row r="183" ht="22.5" customHeight="1">
      <c r="A183" s="22"/>
      <c r="B183" s="56" t="s">
        <v>57</v>
      </c>
      <c r="C183" s="48">
        <v>3.01745E7</v>
      </c>
      <c r="D183" s="110" t="s">
        <v>7</v>
      </c>
      <c r="E183" s="22"/>
      <c r="J183" s="18"/>
      <c r="K183" s="108" t="s">
        <v>74</v>
      </c>
      <c r="L183" s="109">
        <v>3.87375E7</v>
      </c>
    </row>
    <row r="184" ht="22.5" customHeight="1">
      <c r="A184" s="102" t="s">
        <v>75</v>
      </c>
      <c r="B184" s="56" t="s">
        <v>51</v>
      </c>
      <c r="C184" s="48">
        <v>2.54725E7</v>
      </c>
      <c r="D184" s="19" t="s">
        <v>7</v>
      </c>
      <c r="E184" s="111">
        <v>0.0</v>
      </c>
      <c r="J184" s="18"/>
      <c r="K184" s="108" t="s">
        <v>76</v>
      </c>
      <c r="L184" s="112">
        <v>2.9435E7</v>
      </c>
    </row>
    <row r="185" ht="22.5" customHeight="1">
      <c r="A185" s="18"/>
      <c r="B185" s="56" t="s">
        <v>53</v>
      </c>
      <c r="C185" s="48">
        <v>2.4959E7</v>
      </c>
      <c r="D185" s="19" t="s">
        <v>7</v>
      </c>
      <c r="E185" s="18"/>
      <c r="J185" s="18"/>
      <c r="K185" s="108" t="s">
        <v>77</v>
      </c>
      <c r="L185" s="112">
        <v>3.428E7</v>
      </c>
    </row>
    <row r="186" ht="22.5" customHeight="1">
      <c r="A186" s="18"/>
      <c r="B186" s="56" t="s">
        <v>55</v>
      </c>
      <c r="C186" s="48">
        <v>2.49035E7</v>
      </c>
      <c r="D186" s="19" t="s">
        <v>7</v>
      </c>
      <c r="E186" s="18"/>
      <c r="J186" s="22"/>
      <c r="K186" s="108" t="s">
        <v>78</v>
      </c>
      <c r="L186" s="113">
        <f>sum(L180:L185)</f>
        <v>216533700</v>
      </c>
    </row>
    <row r="187" ht="22.5" customHeight="1">
      <c r="A187" s="22"/>
      <c r="B187" s="56" t="s">
        <v>57</v>
      </c>
      <c r="C187" s="101">
        <v>5.7552E7</v>
      </c>
      <c r="D187" s="110" t="s">
        <v>7</v>
      </c>
      <c r="E187" s="22"/>
      <c r="H187" s="20" t="str">
        <f>50000000-#REF!</f>
        <v>#REF!</v>
      </c>
    </row>
    <row r="188" ht="22.5" customHeight="1">
      <c r="A188" s="102" t="s">
        <v>79</v>
      </c>
      <c r="B188" s="56" t="s">
        <v>51</v>
      </c>
      <c r="C188" s="48">
        <v>4.1556E7</v>
      </c>
      <c r="D188" s="48" t="s">
        <v>7</v>
      </c>
      <c r="E188" s="111">
        <v>0.0</v>
      </c>
    </row>
    <row r="189" ht="22.5" customHeight="1">
      <c r="A189" s="18"/>
      <c r="B189" s="56" t="s">
        <v>53</v>
      </c>
      <c r="C189" s="48">
        <v>5.00735E7</v>
      </c>
      <c r="D189" s="48" t="s">
        <v>7</v>
      </c>
      <c r="E189" s="18"/>
      <c r="F189" s="91"/>
      <c r="G189" s="114" t="s">
        <v>80</v>
      </c>
      <c r="H189" s="56"/>
      <c r="I189" s="101"/>
    </row>
    <row r="190" ht="22.5" customHeight="1">
      <c r="A190" s="18"/>
      <c r="B190" s="56" t="s">
        <v>55</v>
      </c>
      <c r="C190" s="48">
        <v>5.21825E7</v>
      </c>
      <c r="D190" s="48" t="s">
        <v>7</v>
      </c>
      <c r="E190" s="18"/>
      <c r="G190" s="18"/>
      <c r="H190" s="56" t="s">
        <v>81</v>
      </c>
      <c r="I190" s="48">
        <v>8694000.0</v>
      </c>
    </row>
    <row r="191" ht="22.5" customHeight="1">
      <c r="A191" s="22"/>
      <c r="B191" s="56" t="s">
        <v>57</v>
      </c>
      <c r="C191" s="48">
        <v>1.276595E8</v>
      </c>
      <c r="D191" s="115" t="s">
        <v>7</v>
      </c>
      <c r="E191" s="22"/>
      <c r="G191" s="18"/>
      <c r="H191" s="116" t="s">
        <v>6</v>
      </c>
      <c r="I191" s="117">
        <f>C192</f>
        <v>30437000</v>
      </c>
    </row>
    <row r="192" ht="22.5" customHeight="1">
      <c r="A192" s="102" t="s">
        <v>80</v>
      </c>
      <c r="B192" s="56" t="s">
        <v>51</v>
      </c>
      <c r="C192" s="48">
        <v>3.0437E7</v>
      </c>
      <c r="D192" s="48"/>
      <c r="E192" s="96">
        <f>SUM(C192:C195)</f>
        <v>149264000</v>
      </c>
      <c r="G192" s="18"/>
      <c r="H192" s="56" t="s">
        <v>66</v>
      </c>
      <c r="I192" s="48">
        <v>6.4686E7</v>
      </c>
      <c r="J192" s="103" t="s">
        <v>82</v>
      </c>
      <c r="K192" s="23" t="s">
        <v>83</v>
      </c>
      <c r="L192" s="118">
        <v>4.7254E7</v>
      </c>
    </row>
    <row r="193" ht="22.5" customHeight="1">
      <c r="A193" s="18"/>
      <c r="B193" s="56" t="s">
        <v>53</v>
      </c>
      <c r="C193" s="48">
        <v>6.4686E7</v>
      </c>
      <c r="D193" s="48"/>
      <c r="E193" s="18"/>
      <c r="G193" s="18"/>
      <c r="H193" s="56" t="s">
        <v>17</v>
      </c>
      <c r="I193" s="101">
        <v>5.4141E7</v>
      </c>
      <c r="J193" s="18"/>
      <c r="K193" s="23"/>
      <c r="L193" s="118"/>
    </row>
    <row r="194" ht="22.5" customHeight="1">
      <c r="A194" s="18"/>
      <c r="B194" s="56" t="s">
        <v>55</v>
      </c>
      <c r="C194" s="101">
        <v>5.4141E7</v>
      </c>
      <c r="D194" s="48"/>
      <c r="E194" s="18"/>
      <c r="G194" s="18"/>
      <c r="H194" s="56" t="s">
        <v>69</v>
      </c>
      <c r="I194" s="99">
        <f>sum(I188:I193)</f>
        <v>157958000</v>
      </c>
      <c r="J194" s="18"/>
      <c r="K194" s="23" t="s">
        <v>84</v>
      </c>
      <c r="L194" s="48">
        <v>3.8867E7</v>
      </c>
    </row>
    <row r="195" ht="22.5" customHeight="1">
      <c r="A195" s="22"/>
      <c r="B195" s="56" t="s">
        <v>57</v>
      </c>
      <c r="C195" s="101"/>
      <c r="D195" s="48"/>
      <c r="E195" s="22"/>
      <c r="J195" s="18"/>
      <c r="K195" s="56" t="s">
        <v>85</v>
      </c>
      <c r="L195" s="48">
        <v>4.1088E7</v>
      </c>
    </row>
    <row r="196" ht="22.5" customHeight="1">
      <c r="A196" s="102" t="s">
        <v>86</v>
      </c>
      <c r="B196" s="56" t="s">
        <v>51</v>
      </c>
      <c r="C196" s="48">
        <v>1.9414E7</v>
      </c>
      <c r="D196" s="19" t="s">
        <v>7</v>
      </c>
      <c r="E196" s="96">
        <f>C199</f>
        <v>84459000</v>
      </c>
      <c r="J196" s="18"/>
      <c r="K196" s="30"/>
      <c r="L196" s="24"/>
    </row>
    <row r="197" ht="22.5" customHeight="1">
      <c r="A197" s="18"/>
      <c r="B197" s="56" t="s">
        <v>53</v>
      </c>
      <c r="C197" s="48">
        <v>3.7218E7</v>
      </c>
      <c r="D197" s="19" t="s">
        <v>7</v>
      </c>
      <c r="E197" s="18"/>
      <c r="J197" s="18"/>
      <c r="K197" s="30"/>
      <c r="L197" s="24"/>
    </row>
    <row r="198" ht="22.5" customHeight="1">
      <c r="A198" s="18"/>
      <c r="B198" s="56" t="s">
        <v>55</v>
      </c>
      <c r="C198" s="48">
        <v>3.1323E7</v>
      </c>
      <c r="D198" s="19" t="s">
        <v>7</v>
      </c>
      <c r="E198" s="18"/>
      <c r="J198" s="18"/>
      <c r="K198" s="30" t="s">
        <v>81</v>
      </c>
      <c r="L198" s="24">
        <v>3.38955E7</v>
      </c>
    </row>
    <row r="199" ht="22.5" customHeight="1">
      <c r="A199" s="22"/>
      <c r="B199" s="56" t="s">
        <v>57</v>
      </c>
      <c r="C199" s="101">
        <v>8.4459E7</v>
      </c>
      <c r="D199" s="19"/>
      <c r="E199" s="22"/>
      <c r="J199" s="18"/>
      <c r="K199" s="56" t="s">
        <v>51</v>
      </c>
      <c r="L199" s="48">
        <f>10465000</f>
        <v>10465000</v>
      </c>
    </row>
    <row r="200" ht="22.5" customHeight="1">
      <c r="A200" s="102" t="s">
        <v>87</v>
      </c>
      <c r="B200" s="56" t="s">
        <v>51</v>
      </c>
      <c r="C200" s="101">
        <v>3.773E7</v>
      </c>
      <c r="D200" s="19"/>
      <c r="E200" s="96">
        <f>sum(C200:C202)</f>
        <v>100109500</v>
      </c>
      <c r="J200" s="18"/>
      <c r="K200" s="30" t="s">
        <v>88</v>
      </c>
      <c r="L200" s="24">
        <v>5718000.0</v>
      </c>
    </row>
    <row r="201" ht="22.5" customHeight="1">
      <c r="A201" s="18"/>
      <c r="B201" s="56" t="s">
        <v>53</v>
      </c>
      <c r="C201" s="101">
        <v>3.09835E7</v>
      </c>
      <c r="D201" s="24"/>
      <c r="E201" s="18"/>
      <c r="J201" s="18"/>
      <c r="K201" s="30"/>
      <c r="L201" s="24"/>
    </row>
    <row r="202" ht="22.5" customHeight="1">
      <c r="A202" s="18"/>
      <c r="B202" s="56" t="s">
        <v>55</v>
      </c>
      <c r="C202" s="101">
        <v>3.1396E7</v>
      </c>
      <c r="D202" s="19"/>
      <c r="E202" s="18"/>
      <c r="J202" s="18"/>
      <c r="K202" s="30" t="s">
        <v>89</v>
      </c>
      <c r="L202" s="24">
        <v>5970000.0</v>
      </c>
    </row>
    <row r="203" ht="22.5" customHeight="1">
      <c r="A203" s="22"/>
      <c r="B203" s="56" t="s">
        <v>57</v>
      </c>
      <c r="C203" s="119"/>
      <c r="D203" s="19"/>
      <c r="E203" s="22"/>
      <c r="J203" s="22"/>
      <c r="K203" s="30" t="s">
        <v>78</v>
      </c>
      <c r="L203" s="99">
        <f>SUM(L192:L202)</f>
        <v>183257500</v>
      </c>
    </row>
    <row r="204" ht="22.5" customHeight="1">
      <c r="A204" s="102" t="s">
        <v>90</v>
      </c>
      <c r="B204" s="56" t="s">
        <v>51</v>
      </c>
      <c r="C204" s="48">
        <v>1.90025E7</v>
      </c>
      <c r="D204" s="19" t="s">
        <v>7</v>
      </c>
      <c r="E204" s="96">
        <f>C207</f>
        <v>70382500</v>
      </c>
    </row>
    <row r="205" ht="22.5" customHeight="1">
      <c r="A205" s="18"/>
      <c r="B205" s="56" t="s">
        <v>53</v>
      </c>
      <c r="C205" s="48">
        <v>2.9626E7</v>
      </c>
      <c r="D205" s="19" t="s">
        <v>7</v>
      </c>
      <c r="E205" s="18"/>
    </row>
    <row r="206" ht="22.5" customHeight="1">
      <c r="A206" s="18"/>
      <c r="B206" s="56" t="s">
        <v>55</v>
      </c>
      <c r="C206" s="48">
        <v>2.43075E7</v>
      </c>
      <c r="D206" s="19" t="s">
        <v>7</v>
      </c>
      <c r="E206" s="18"/>
    </row>
    <row r="207" ht="22.5" customHeight="1">
      <c r="A207" s="22"/>
      <c r="B207" s="56" t="s">
        <v>57</v>
      </c>
      <c r="C207" s="101">
        <v>7.03825E7</v>
      </c>
      <c r="D207" s="19"/>
      <c r="E207" s="22"/>
    </row>
    <row r="208" ht="22.5" customHeight="1">
      <c r="A208" s="102" t="s">
        <v>91</v>
      </c>
      <c r="B208" s="56" t="s">
        <v>51</v>
      </c>
      <c r="C208" s="48">
        <v>2.0292E7</v>
      </c>
      <c r="D208" s="19" t="s">
        <v>7</v>
      </c>
      <c r="E208" s="96">
        <f>C211</f>
        <v>21790500</v>
      </c>
    </row>
    <row r="209" ht="22.5" customHeight="1">
      <c r="A209" s="18"/>
      <c r="B209" s="56" t="s">
        <v>53</v>
      </c>
      <c r="C209" s="48">
        <v>1.8581E7</v>
      </c>
      <c r="D209" s="19" t="s">
        <v>7</v>
      </c>
      <c r="E209" s="18"/>
    </row>
    <row r="210" ht="22.5" customHeight="1">
      <c r="A210" s="18"/>
      <c r="B210" s="56" t="s">
        <v>55</v>
      </c>
      <c r="C210" s="48">
        <v>2.9184E7</v>
      </c>
      <c r="D210" s="19" t="s">
        <v>7</v>
      </c>
      <c r="E210" s="18"/>
    </row>
    <row r="211" ht="22.5" customHeight="1">
      <c r="A211" s="22"/>
      <c r="B211" s="56" t="s">
        <v>57</v>
      </c>
      <c r="C211" s="48">
        <v>2.17905E7</v>
      </c>
      <c r="D211" s="48"/>
      <c r="E211" s="22"/>
      <c r="G211" s="103" t="str">
        <f>A212</f>
        <v>BÀ RỊA</v>
      </c>
      <c r="H211" s="30" t="s">
        <v>92</v>
      </c>
      <c r="I211" s="48" t="str">
        <f>'THÁNG 11'!I211+'THÁNG 11'!I212-50000000</f>
        <v>#REF!</v>
      </c>
    </row>
    <row r="212" ht="22.5" customHeight="1">
      <c r="A212" s="102" t="s">
        <v>93</v>
      </c>
      <c r="B212" s="56" t="s">
        <v>51</v>
      </c>
      <c r="C212" s="48">
        <v>3.2687E7</v>
      </c>
      <c r="D212" s="19"/>
      <c r="E212" s="120">
        <f>sum(C212:C215)</f>
        <v>149880000</v>
      </c>
      <c r="G212" s="18"/>
      <c r="H212" s="30" t="s">
        <v>81</v>
      </c>
      <c r="I212" s="48" t="str">
        <f>'THÁNG 11'!E207</f>
        <v>#REF!</v>
      </c>
    </row>
    <row r="213" ht="22.5" customHeight="1">
      <c r="A213" s="18"/>
      <c r="B213" s="56" t="s">
        <v>53</v>
      </c>
      <c r="C213" s="48">
        <v>6.5167E7</v>
      </c>
      <c r="D213" s="19"/>
      <c r="E213" s="18"/>
      <c r="G213" s="18"/>
      <c r="H213" s="56" t="s">
        <v>94</v>
      </c>
      <c r="I213" s="48">
        <v>4.51035E7</v>
      </c>
    </row>
    <row r="214" ht="22.5" customHeight="1">
      <c r="A214" s="18"/>
      <c r="B214" s="56" t="s">
        <v>55</v>
      </c>
      <c r="C214" s="48">
        <v>1.7706E7</v>
      </c>
      <c r="D214" s="19"/>
      <c r="E214" s="18"/>
      <c r="G214" s="18"/>
      <c r="H214" s="56" t="s">
        <v>95</v>
      </c>
      <c r="I214" s="48">
        <f>C212</f>
        <v>32687000</v>
      </c>
    </row>
    <row r="215" ht="22.5" customHeight="1">
      <c r="A215" s="22"/>
      <c r="B215" s="56" t="s">
        <v>57</v>
      </c>
      <c r="C215" s="48">
        <v>3.432E7</v>
      </c>
      <c r="D215" s="19"/>
      <c r="E215" s="22"/>
      <c r="G215" s="18"/>
      <c r="H215" s="56" t="s">
        <v>66</v>
      </c>
      <c r="I215" s="48">
        <v>6.5167E7</v>
      </c>
    </row>
    <row r="216" ht="22.5" customHeight="1">
      <c r="A216" s="103" t="s">
        <v>96</v>
      </c>
      <c r="B216" s="56" t="s">
        <v>51</v>
      </c>
      <c r="C216" s="48">
        <v>4.8558E7</v>
      </c>
      <c r="D216" s="48"/>
      <c r="E216" s="121">
        <f>SUM(C216:C219)</f>
        <v>98183500</v>
      </c>
      <c r="G216" s="18"/>
      <c r="H216" s="56" t="s">
        <v>97</v>
      </c>
      <c r="I216" s="24">
        <v>1.7706E7</v>
      </c>
    </row>
    <row r="217" ht="22.5" customHeight="1">
      <c r="A217" s="18"/>
      <c r="B217" s="56" t="s">
        <v>53</v>
      </c>
      <c r="C217" s="48">
        <v>1.73165E7</v>
      </c>
      <c r="D217" s="48"/>
      <c r="E217" s="18"/>
      <c r="G217" s="18"/>
      <c r="H217" s="56" t="s">
        <v>98</v>
      </c>
      <c r="I217" s="24">
        <v>3.432E7</v>
      </c>
    </row>
    <row r="218" ht="22.5" customHeight="1">
      <c r="A218" s="18"/>
      <c r="B218" s="56" t="s">
        <v>55</v>
      </c>
      <c r="C218" s="48">
        <v>1.5839E7</v>
      </c>
      <c r="D218" s="48"/>
      <c r="E218" s="18"/>
      <c r="G218" s="22"/>
      <c r="H218" s="56" t="s">
        <v>99</v>
      </c>
      <c r="I218" s="122" t="str">
        <f>sum(I211:I217)</f>
        <v>#REF!</v>
      </c>
    </row>
    <row r="219" ht="22.5" customHeight="1">
      <c r="A219" s="22"/>
      <c r="B219" s="56" t="s">
        <v>57</v>
      </c>
      <c r="C219" s="48">
        <v>1.647E7</v>
      </c>
      <c r="D219" s="48"/>
      <c r="E219" s="22"/>
    </row>
    <row r="220" ht="22.5" customHeight="1">
      <c r="A220" s="103" t="s">
        <v>100</v>
      </c>
      <c r="B220" s="123"/>
      <c r="C220" s="48"/>
      <c r="D220" s="19"/>
      <c r="E220" s="100"/>
      <c r="G220" s="103" t="s">
        <v>101</v>
      </c>
      <c r="H220" s="56"/>
      <c r="I220" s="48"/>
    </row>
    <row r="221" ht="22.5" customHeight="1">
      <c r="A221" s="18"/>
      <c r="B221" s="123"/>
      <c r="C221" s="48"/>
      <c r="D221" s="19"/>
      <c r="E221" s="18"/>
      <c r="G221" s="18"/>
      <c r="H221" s="56" t="s">
        <v>13</v>
      </c>
      <c r="I221" s="48">
        <v>3.23933E7</v>
      </c>
    </row>
    <row r="222" ht="22.5" customHeight="1">
      <c r="A222" s="18"/>
      <c r="B222" s="123"/>
      <c r="C222" s="48"/>
      <c r="D222" s="19"/>
      <c r="E222" s="18"/>
      <c r="G222" s="18"/>
      <c r="H222" s="56" t="s">
        <v>24</v>
      </c>
      <c r="I222" s="48">
        <v>2.35835E7</v>
      </c>
    </row>
    <row r="223" ht="22.5" customHeight="1">
      <c r="A223" s="18"/>
      <c r="B223" s="123"/>
      <c r="C223" s="48"/>
      <c r="D223" s="19"/>
      <c r="E223" s="18"/>
      <c r="G223" s="18"/>
      <c r="H223" s="56" t="s">
        <v>99</v>
      </c>
      <c r="I223" s="122">
        <f>SUM(I220:I222)</f>
        <v>55976800</v>
      </c>
    </row>
    <row r="224" ht="22.5" customHeight="1">
      <c r="A224" s="18"/>
      <c r="B224" s="123"/>
      <c r="C224" s="48"/>
      <c r="D224" s="19"/>
      <c r="E224" s="18"/>
    </row>
    <row r="225" ht="22.5" customHeight="1">
      <c r="A225" s="18"/>
      <c r="B225" s="123" t="s">
        <v>102</v>
      </c>
      <c r="C225" s="48">
        <v>1.533E7</v>
      </c>
      <c r="D225" s="19"/>
      <c r="E225" s="18"/>
    </row>
    <row r="226" ht="22.5" customHeight="1">
      <c r="A226" s="18"/>
      <c r="B226" s="123" t="s">
        <v>103</v>
      </c>
      <c r="C226" s="48">
        <v>1910000.0</v>
      </c>
      <c r="D226" s="19"/>
      <c r="E226" s="18"/>
      <c r="I226" s="2">
        <f>20000000-I228-I229</f>
        <v>20000000</v>
      </c>
    </row>
    <row r="227" ht="22.5" customHeight="1">
      <c r="A227" s="18"/>
      <c r="B227" s="123" t="s">
        <v>104</v>
      </c>
      <c r="C227" s="48">
        <v>1.952126E8</v>
      </c>
      <c r="D227" s="19"/>
      <c r="E227" s="18"/>
    </row>
    <row r="228" ht="22.5" customHeight="1">
      <c r="A228" s="18"/>
      <c r="B228" s="33"/>
      <c r="C228" s="48"/>
      <c r="D228" s="19"/>
      <c r="E228" s="18"/>
      <c r="G228" s="103" t="str">
        <f>A238</f>
        <v>TRI TÔN</v>
      </c>
      <c r="H228" s="56"/>
      <c r="I228" s="48"/>
    </row>
    <row r="229" ht="22.5" customHeight="1">
      <c r="A229" s="22"/>
      <c r="B229" s="124" t="s">
        <v>99</v>
      </c>
      <c r="C229" s="51">
        <f>SUM(C220:C228)</f>
        <v>212452600</v>
      </c>
      <c r="D229" s="19"/>
      <c r="E229" s="22"/>
      <c r="G229" s="18"/>
      <c r="H229" s="56"/>
      <c r="I229" s="48"/>
    </row>
    <row r="230" ht="22.5" customHeight="1">
      <c r="A230" s="103" t="s">
        <v>101</v>
      </c>
      <c r="B230" s="56" t="s">
        <v>51</v>
      </c>
      <c r="C230" s="48">
        <v>3.23933E7</v>
      </c>
      <c r="D230" s="48" t="s">
        <v>7</v>
      </c>
      <c r="E230" s="121">
        <f>C232+C233</f>
        <v>48479800</v>
      </c>
      <c r="G230" s="18"/>
      <c r="H230" s="56" t="s">
        <v>105</v>
      </c>
      <c r="I230" s="48">
        <f>28176500-880000</f>
        <v>27296500</v>
      </c>
    </row>
    <row r="231" ht="22.5" customHeight="1">
      <c r="A231" s="18"/>
      <c r="B231" s="56" t="s">
        <v>53</v>
      </c>
      <c r="C231" s="48">
        <v>2.35835E7</v>
      </c>
      <c r="D231" s="48" t="s">
        <v>7</v>
      </c>
      <c r="E231" s="18"/>
      <c r="G231" s="18"/>
      <c r="H231" s="56" t="s">
        <v>106</v>
      </c>
      <c r="I231" s="48">
        <v>1.8921E7</v>
      </c>
    </row>
    <row r="232" ht="22.5" customHeight="1">
      <c r="A232" s="18"/>
      <c r="B232" s="56" t="s">
        <v>55</v>
      </c>
      <c r="C232" s="48">
        <v>3.1078E7</v>
      </c>
      <c r="D232" s="48"/>
      <c r="E232" s="18"/>
      <c r="G232" s="18"/>
      <c r="H232" s="56" t="s">
        <v>13</v>
      </c>
      <c r="I232" s="48">
        <v>3.15018E7</v>
      </c>
    </row>
    <row r="233" ht="22.5" customHeight="1">
      <c r="A233" s="22"/>
      <c r="B233" s="56" t="s">
        <v>57</v>
      </c>
      <c r="C233" s="48">
        <v>1.74018E7</v>
      </c>
      <c r="D233" s="48"/>
      <c r="E233" s="22"/>
      <c r="G233" s="18"/>
      <c r="H233" s="56" t="s">
        <v>24</v>
      </c>
      <c r="I233" s="48">
        <v>1.88036E7</v>
      </c>
    </row>
    <row r="234" ht="22.5" customHeight="1">
      <c r="A234" s="103" t="s">
        <v>107</v>
      </c>
      <c r="B234" s="56" t="s">
        <v>51</v>
      </c>
      <c r="C234" s="48">
        <v>3.0748E7</v>
      </c>
      <c r="D234" s="48" t="s">
        <v>7</v>
      </c>
      <c r="E234" s="121">
        <f>C237</f>
        <v>28384500</v>
      </c>
      <c r="G234" s="18"/>
      <c r="H234" s="56" t="s">
        <v>17</v>
      </c>
      <c r="I234" s="48">
        <v>1.6323E7</v>
      </c>
    </row>
    <row r="235" ht="22.5" customHeight="1">
      <c r="A235" s="18"/>
      <c r="B235" s="56" t="s">
        <v>53</v>
      </c>
      <c r="C235" s="48">
        <v>2.6549E7</v>
      </c>
      <c r="D235" s="48" t="s">
        <v>7</v>
      </c>
      <c r="E235" s="18"/>
      <c r="G235" s="18"/>
      <c r="H235" s="56" t="s">
        <v>67</v>
      </c>
      <c r="I235" s="48">
        <v>2.16925E7</v>
      </c>
    </row>
    <row r="236" ht="22.5" customHeight="1">
      <c r="A236" s="18"/>
      <c r="B236" s="56" t="s">
        <v>55</v>
      </c>
      <c r="C236" s="48">
        <v>2.3918E7</v>
      </c>
      <c r="D236" s="48" t="s">
        <v>7</v>
      </c>
      <c r="E236" s="18"/>
      <c r="G236" s="18"/>
      <c r="H236" s="56" t="s">
        <v>99</v>
      </c>
      <c r="I236" s="122">
        <f>SUM(I228:I235)</f>
        <v>134538400</v>
      </c>
    </row>
    <row r="237" ht="22.5" customHeight="1">
      <c r="A237" s="22"/>
      <c r="B237" s="56" t="s">
        <v>57</v>
      </c>
      <c r="C237" s="48">
        <v>2.83845E7</v>
      </c>
      <c r="D237" s="48"/>
      <c r="E237" s="22"/>
    </row>
    <row r="238" ht="22.5" customHeight="1">
      <c r="A238" s="103" t="s">
        <v>108</v>
      </c>
      <c r="B238" s="56" t="s">
        <v>51</v>
      </c>
      <c r="C238" s="48">
        <v>3.15018E7</v>
      </c>
      <c r="D238" s="48"/>
      <c r="E238" s="121">
        <f>SUM(C238:C241)</f>
        <v>88320900</v>
      </c>
      <c r="H238" s="20">
        <f>83548000-69521000</f>
        <v>14027000</v>
      </c>
      <c r="I238" s="20" t="str">
        <f>100000000-I240-#REF!</f>
        <v>#REF!</v>
      </c>
    </row>
    <row r="239" ht="22.5" customHeight="1">
      <c r="A239" s="18"/>
      <c r="B239" s="56" t="s">
        <v>53</v>
      </c>
      <c r="C239" s="48">
        <v>1.88036E7</v>
      </c>
      <c r="D239" s="48"/>
      <c r="E239" s="18"/>
    </row>
    <row r="240" ht="22.5" customHeight="1">
      <c r="A240" s="18"/>
      <c r="B240" s="56" t="s">
        <v>55</v>
      </c>
      <c r="C240" s="48">
        <v>1.6323E7</v>
      </c>
      <c r="D240" s="48"/>
      <c r="E240" s="18"/>
      <c r="G240" s="103" t="s">
        <v>109</v>
      </c>
      <c r="H240" s="56"/>
      <c r="I240" s="48"/>
    </row>
    <row r="241" ht="22.5" customHeight="1">
      <c r="A241" s="22"/>
      <c r="B241" s="56" t="s">
        <v>57</v>
      </c>
      <c r="C241" s="48">
        <v>2.16925E7</v>
      </c>
      <c r="D241" s="48"/>
      <c r="E241" s="22"/>
      <c r="G241" s="18"/>
      <c r="H241" s="56"/>
      <c r="I241" s="48"/>
    </row>
    <row r="242" ht="22.5" customHeight="1">
      <c r="A242" s="103" t="s">
        <v>110</v>
      </c>
      <c r="B242" s="56" t="s">
        <v>51</v>
      </c>
      <c r="C242" s="48">
        <v>1.36336E8</v>
      </c>
      <c r="D242" s="48" t="s">
        <v>7</v>
      </c>
      <c r="E242" s="121">
        <v>0.0</v>
      </c>
      <c r="G242" s="18"/>
      <c r="H242" s="56" t="s">
        <v>67</v>
      </c>
      <c r="I242" s="48">
        <v>1.3989E7</v>
      </c>
    </row>
    <row r="243" ht="22.5" customHeight="1">
      <c r="A243" s="18"/>
      <c r="B243" s="56" t="s">
        <v>53</v>
      </c>
      <c r="C243" s="48">
        <v>7.87575E7</v>
      </c>
      <c r="D243" s="48" t="s">
        <v>7</v>
      </c>
      <c r="E243" s="18"/>
      <c r="G243" s="18"/>
      <c r="H243" s="56" t="s">
        <v>99</v>
      </c>
      <c r="I243" s="122">
        <v>1.3989E7</v>
      </c>
      <c r="J243" s="125"/>
      <c r="K243" s="56" t="s">
        <v>111</v>
      </c>
      <c r="L243" s="48">
        <f>24*18000</f>
        <v>432000</v>
      </c>
    </row>
    <row r="244" ht="22.5" customHeight="1">
      <c r="A244" s="18"/>
      <c r="B244" s="56" t="s">
        <v>55</v>
      </c>
      <c r="C244" s="48">
        <v>5.9336E7</v>
      </c>
      <c r="D244" s="48" t="s">
        <v>7</v>
      </c>
      <c r="E244" s="18"/>
      <c r="J244" s="18"/>
      <c r="K244" s="23"/>
      <c r="L244" s="48"/>
    </row>
    <row r="245" ht="22.5" customHeight="1">
      <c r="A245" s="22"/>
      <c r="B245" s="56" t="s">
        <v>57</v>
      </c>
      <c r="C245" s="48">
        <v>3.2205E7</v>
      </c>
      <c r="D245" s="48" t="s">
        <v>7</v>
      </c>
      <c r="E245" s="22"/>
      <c r="J245" s="18"/>
      <c r="K245" s="23"/>
      <c r="L245" s="48"/>
    </row>
    <row r="246" ht="22.5" customHeight="1">
      <c r="A246" s="103" t="s">
        <v>112</v>
      </c>
      <c r="B246" s="56" t="s">
        <v>51</v>
      </c>
      <c r="C246" s="48">
        <v>5.4028E7</v>
      </c>
      <c r="D246" s="48" t="s">
        <v>7</v>
      </c>
      <c r="E246" s="121">
        <f>C249</f>
        <v>119984000</v>
      </c>
      <c r="J246" s="18"/>
      <c r="K246" s="23" t="s">
        <v>113</v>
      </c>
      <c r="L246" s="48">
        <v>1.8E7</v>
      </c>
    </row>
    <row r="247" ht="22.5" customHeight="1">
      <c r="A247" s="18"/>
      <c r="B247" s="56" t="s">
        <v>53</v>
      </c>
      <c r="C247" s="48">
        <v>4.3828E7</v>
      </c>
      <c r="D247" s="48" t="s">
        <v>7</v>
      </c>
      <c r="E247" s="18"/>
      <c r="J247" s="22"/>
      <c r="K247" s="30" t="s">
        <v>114</v>
      </c>
      <c r="L247" s="51">
        <f>sum(L243:L246)</f>
        <v>18432000</v>
      </c>
    </row>
    <row r="248" ht="22.5" customHeight="1">
      <c r="A248" s="18"/>
      <c r="B248" s="56" t="s">
        <v>55</v>
      </c>
      <c r="C248" s="48">
        <v>6.18285E7</v>
      </c>
      <c r="D248" s="48" t="s">
        <v>7</v>
      </c>
      <c r="E248" s="18"/>
      <c r="G248" s="2">
        <f>C249-89000</f>
        <v>119895000</v>
      </c>
    </row>
    <row r="249" ht="22.5" customHeight="1">
      <c r="A249" s="22"/>
      <c r="B249" s="56" t="s">
        <v>57</v>
      </c>
      <c r="C249" s="48">
        <v>1.19984E8</v>
      </c>
      <c r="D249" s="48"/>
      <c r="E249" s="22"/>
      <c r="G249" s="20">
        <f>23*3</f>
        <v>69</v>
      </c>
    </row>
    <row r="250" ht="22.5" customHeight="1">
      <c r="A250" s="103" t="s">
        <v>115</v>
      </c>
      <c r="B250" s="56" t="s">
        <v>51</v>
      </c>
      <c r="C250" s="101">
        <v>2.6739E7</v>
      </c>
      <c r="D250" s="48"/>
      <c r="E250" s="121">
        <f>SUM(C250:C253)</f>
        <v>122042000</v>
      </c>
      <c r="I250" s="20" t="str">
        <f>#REF!+#REF!</f>
        <v>#REF!</v>
      </c>
    </row>
    <row r="251" ht="22.5" customHeight="1">
      <c r="A251" s="18"/>
      <c r="B251" s="56" t="s">
        <v>53</v>
      </c>
      <c r="C251" s="48">
        <v>1.9871E7</v>
      </c>
      <c r="D251" s="48"/>
      <c r="E251" s="18"/>
      <c r="G251" s="103" t="s">
        <v>115</v>
      </c>
      <c r="H251" s="56" t="s">
        <v>105</v>
      </c>
      <c r="I251" s="48">
        <v>3.5374E7</v>
      </c>
    </row>
    <row r="252" ht="22.5" customHeight="1">
      <c r="A252" s="18"/>
      <c r="B252" s="56" t="s">
        <v>55</v>
      </c>
      <c r="C252" s="48">
        <v>1.8239E7</v>
      </c>
      <c r="D252" s="48"/>
      <c r="E252" s="18"/>
      <c r="G252" s="18"/>
      <c r="H252" s="56" t="s">
        <v>106</v>
      </c>
      <c r="I252" s="48">
        <v>1.9202E7</v>
      </c>
    </row>
    <row r="253" ht="22.5" customHeight="1">
      <c r="A253" s="22"/>
      <c r="B253" s="56" t="s">
        <v>57</v>
      </c>
      <c r="C253" s="48">
        <v>5.7193E7</v>
      </c>
      <c r="D253" s="48"/>
      <c r="E253" s="22"/>
      <c r="G253" s="18"/>
      <c r="H253" s="56" t="s">
        <v>13</v>
      </c>
      <c r="I253" s="101">
        <v>2.6677E7</v>
      </c>
      <c r="J253" s="20">
        <f>18+14</f>
        <v>32</v>
      </c>
    </row>
    <row r="254" ht="22.5" customHeight="1">
      <c r="A254" s="103" t="s">
        <v>116</v>
      </c>
      <c r="B254" s="56" t="s">
        <v>51</v>
      </c>
      <c r="C254" s="48">
        <v>5.34995E7</v>
      </c>
      <c r="D254" s="48" t="s">
        <v>7</v>
      </c>
      <c r="E254" s="121">
        <f>C257</f>
        <v>54861000</v>
      </c>
      <c r="G254" s="18"/>
      <c r="H254" s="56" t="s">
        <v>24</v>
      </c>
      <c r="I254" s="48">
        <v>1.9871E7</v>
      </c>
      <c r="J254" s="20">
        <f>32*3</f>
        <v>96</v>
      </c>
    </row>
    <row r="255" ht="22.5" customHeight="1">
      <c r="A255" s="18"/>
      <c r="B255" s="56" t="s">
        <v>53</v>
      </c>
      <c r="C255" s="48">
        <v>3.1505E7</v>
      </c>
      <c r="D255" s="48" t="s">
        <v>7</v>
      </c>
      <c r="E255" s="18"/>
      <c r="G255" s="18"/>
      <c r="H255" s="56" t="s">
        <v>17</v>
      </c>
      <c r="I255" s="48">
        <v>1.8203E7</v>
      </c>
    </row>
    <row r="256" ht="22.5" customHeight="1">
      <c r="A256" s="18"/>
      <c r="B256" s="56" t="s">
        <v>55</v>
      </c>
      <c r="C256" s="48">
        <v>7.1219E7</v>
      </c>
      <c r="D256" s="48" t="s">
        <v>7</v>
      </c>
      <c r="E256" s="18"/>
      <c r="G256" s="18"/>
      <c r="H256" s="56" t="s">
        <v>67</v>
      </c>
      <c r="I256" s="48">
        <v>5.7159E7</v>
      </c>
    </row>
    <row r="257" ht="22.5" customHeight="1">
      <c r="A257" s="22"/>
      <c r="B257" s="56" t="s">
        <v>57</v>
      </c>
      <c r="C257" s="48">
        <v>5.4861E7</v>
      </c>
      <c r="D257" s="48"/>
      <c r="E257" s="22"/>
      <c r="G257" s="22"/>
      <c r="H257" s="56" t="s">
        <v>99</v>
      </c>
      <c r="I257" s="122">
        <f>SUM(I251:I256)</f>
        <v>176486000</v>
      </c>
      <c r="J257" s="20">
        <f>739-62</f>
        <v>677</v>
      </c>
    </row>
    <row r="258" ht="22.5" customHeight="1">
      <c r="A258" s="103" t="s">
        <v>117</v>
      </c>
      <c r="B258" s="56" t="s">
        <v>51</v>
      </c>
      <c r="C258" s="48">
        <v>2.5582E7</v>
      </c>
      <c r="D258" s="48" t="s">
        <v>7</v>
      </c>
      <c r="E258" s="121">
        <f>C261</f>
        <v>41983500</v>
      </c>
      <c r="G258" s="2">
        <f>C263-105000</f>
        <v>75989500</v>
      </c>
    </row>
    <row r="259" ht="22.5" customHeight="1">
      <c r="A259" s="18"/>
      <c r="B259" s="56" t="s">
        <v>53</v>
      </c>
      <c r="C259" s="48">
        <v>2.03015E7</v>
      </c>
      <c r="D259" s="48" t="s">
        <v>7</v>
      </c>
      <c r="E259" s="18"/>
    </row>
    <row r="260" ht="22.5" customHeight="1">
      <c r="A260" s="18"/>
      <c r="B260" s="56" t="s">
        <v>55</v>
      </c>
      <c r="C260" s="48">
        <v>2.9934E7</v>
      </c>
      <c r="D260" s="48" t="s">
        <v>7</v>
      </c>
      <c r="E260" s="18"/>
      <c r="F260" s="20">
        <f>197-210</f>
        <v>-13</v>
      </c>
      <c r="G260" s="20">
        <f>15*3</f>
        <v>45</v>
      </c>
    </row>
    <row r="261" ht="22.5" customHeight="1">
      <c r="A261" s="22"/>
      <c r="B261" s="56" t="s">
        <v>57</v>
      </c>
      <c r="C261" s="48">
        <v>4.19835E7</v>
      </c>
      <c r="D261" s="48"/>
      <c r="E261" s="22"/>
    </row>
    <row r="262" ht="22.5" customHeight="1">
      <c r="A262" s="103" t="s">
        <v>118</v>
      </c>
      <c r="B262" s="56" t="s">
        <v>51</v>
      </c>
      <c r="C262" s="48">
        <v>5.2647E7</v>
      </c>
      <c r="D262" s="48" t="s">
        <v>7</v>
      </c>
      <c r="E262" s="121">
        <v>0.0</v>
      </c>
      <c r="J262" s="20">
        <f>14*3</f>
        <v>42</v>
      </c>
    </row>
    <row r="263" ht="22.5" customHeight="1">
      <c r="A263" s="18"/>
      <c r="B263" s="56" t="s">
        <v>53</v>
      </c>
      <c r="C263" s="48">
        <v>7.60945E7</v>
      </c>
      <c r="D263" s="48" t="s">
        <v>7</v>
      </c>
      <c r="E263" s="18"/>
      <c r="J263" s="20">
        <f>62</f>
        <v>62</v>
      </c>
    </row>
    <row r="264" ht="22.5" customHeight="1">
      <c r="A264" s="18"/>
      <c r="B264" s="56" t="s">
        <v>55</v>
      </c>
      <c r="C264" s="48">
        <v>5.39375E7</v>
      </c>
      <c r="D264" s="48" t="s">
        <v>7</v>
      </c>
      <c r="E264" s="18"/>
    </row>
    <row r="265" ht="22.5" customHeight="1">
      <c r="A265" s="22"/>
      <c r="B265" s="56" t="s">
        <v>57</v>
      </c>
      <c r="C265" s="48">
        <v>4.86955E7</v>
      </c>
      <c r="D265" s="48" t="s">
        <v>7</v>
      </c>
      <c r="E265" s="22"/>
    </row>
    <row r="266" ht="22.5" customHeight="1">
      <c r="A266" s="103" t="s">
        <v>119</v>
      </c>
      <c r="B266" s="56" t="s">
        <v>51</v>
      </c>
      <c r="C266" s="48">
        <v>2.4304E7</v>
      </c>
      <c r="D266" s="48" t="s">
        <v>7</v>
      </c>
      <c r="E266" s="121">
        <v>0.0</v>
      </c>
    </row>
    <row r="267" ht="22.5" customHeight="1">
      <c r="A267" s="18"/>
      <c r="B267" s="56" t="s">
        <v>53</v>
      </c>
      <c r="C267" s="48">
        <v>2.3202E7</v>
      </c>
      <c r="D267" s="48" t="s">
        <v>7</v>
      </c>
      <c r="E267" s="18"/>
    </row>
    <row r="268" ht="22.5" customHeight="1">
      <c r="A268" s="18"/>
      <c r="B268" s="56" t="s">
        <v>55</v>
      </c>
      <c r="C268" s="48">
        <v>2.309E7</v>
      </c>
      <c r="D268" s="48" t="s">
        <v>7</v>
      </c>
      <c r="E268" s="18"/>
    </row>
    <row r="269" ht="22.5" customHeight="1">
      <c r="A269" s="22"/>
      <c r="B269" s="56" t="s">
        <v>57</v>
      </c>
      <c r="C269" s="48">
        <v>2.2894E7</v>
      </c>
      <c r="D269" s="48" t="s">
        <v>7</v>
      </c>
      <c r="E269" s="22"/>
    </row>
    <row r="270" ht="22.5" customHeight="1">
      <c r="A270" s="103" t="s">
        <v>120</v>
      </c>
      <c r="B270" s="56" t="s">
        <v>51</v>
      </c>
      <c r="C270" s="48">
        <v>5.7112E7</v>
      </c>
      <c r="D270" s="48" t="s">
        <v>7</v>
      </c>
      <c r="E270" s="121">
        <v>0.0</v>
      </c>
    </row>
    <row r="271" ht="22.5" customHeight="1">
      <c r="A271" s="18"/>
      <c r="B271" s="56" t="s">
        <v>53</v>
      </c>
      <c r="C271" s="48">
        <v>4.5176E7</v>
      </c>
      <c r="D271" s="48" t="s">
        <v>7</v>
      </c>
      <c r="E271" s="18"/>
      <c r="G271" s="20">
        <f>57054-57056</f>
        <v>-2</v>
      </c>
    </row>
    <row r="272" ht="22.5" customHeight="1">
      <c r="A272" s="18"/>
      <c r="B272" s="56" t="s">
        <v>55</v>
      </c>
      <c r="C272" s="48">
        <v>8.783E7</v>
      </c>
      <c r="D272" s="48" t="s">
        <v>7</v>
      </c>
      <c r="E272" s="18"/>
    </row>
    <row r="273" ht="22.5" customHeight="1">
      <c r="A273" s="22"/>
      <c r="B273" s="56" t="s">
        <v>57</v>
      </c>
      <c r="C273" s="48">
        <v>6.5942E7</v>
      </c>
      <c r="D273" s="48" t="s">
        <v>7</v>
      </c>
      <c r="E273" s="22"/>
    </row>
    <row r="274" ht="22.5" customHeight="1">
      <c r="A274" s="103" t="s">
        <v>121</v>
      </c>
      <c r="B274" s="56" t="s">
        <v>51</v>
      </c>
      <c r="C274" s="48">
        <v>1.93605E7</v>
      </c>
      <c r="D274" s="48" t="s">
        <v>7</v>
      </c>
      <c r="E274" s="121">
        <v>0.0</v>
      </c>
    </row>
    <row r="275" ht="22.5" customHeight="1">
      <c r="A275" s="18"/>
      <c r="B275" s="56" t="s">
        <v>53</v>
      </c>
      <c r="C275" s="126">
        <v>2.9306E7</v>
      </c>
      <c r="D275" s="48" t="s">
        <v>7</v>
      </c>
      <c r="E275" s="18"/>
      <c r="H275" s="20">
        <f>61*3</f>
        <v>183</v>
      </c>
    </row>
    <row r="276" ht="22.5" customHeight="1">
      <c r="A276" s="18"/>
      <c r="B276" s="56" t="s">
        <v>55</v>
      </c>
      <c r="C276" s="48">
        <v>3.5632E7</v>
      </c>
      <c r="D276" s="48" t="s">
        <v>7</v>
      </c>
      <c r="E276" s="18"/>
      <c r="F276" s="2">
        <f>E274+39000+51000</f>
        <v>90000</v>
      </c>
    </row>
    <row r="277" ht="22.5" customHeight="1">
      <c r="A277" s="22"/>
      <c r="B277" s="56" t="s">
        <v>57</v>
      </c>
      <c r="C277" s="48">
        <v>2.5336E7</v>
      </c>
      <c r="D277" s="48" t="s">
        <v>7</v>
      </c>
      <c r="E277" s="22"/>
    </row>
    <row r="278" ht="22.5" customHeight="1">
      <c r="A278" s="103" t="s">
        <v>122</v>
      </c>
      <c r="B278" s="56" t="s">
        <v>51</v>
      </c>
      <c r="C278" s="48">
        <v>4.51255E7</v>
      </c>
      <c r="D278" s="48" t="s">
        <v>7</v>
      </c>
      <c r="E278" s="121">
        <f>SUM(C278:C281)</f>
        <v>166897500</v>
      </c>
      <c r="G278" s="103" t="s">
        <v>123</v>
      </c>
      <c r="H278" s="56"/>
      <c r="I278" s="48"/>
    </row>
    <row r="279" ht="22.5" customHeight="1">
      <c r="A279" s="18"/>
      <c r="B279" s="56" t="s">
        <v>53</v>
      </c>
      <c r="C279" s="48">
        <v>4.5213E7</v>
      </c>
      <c r="D279" s="48" t="s">
        <v>7</v>
      </c>
      <c r="E279" s="18"/>
      <c r="F279" s="20">
        <f>621-183</f>
        <v>438</v>
      </c>
      <c r="G279" s="18"/>
      <c r="H279" s="56"/>
      <c r="I279" s="48"/>
    </row>
    <row r="280" ht="22.5" customHeight="1">
      <c r="A280" s="18"/>
      <c r="B280" s="56" t="s">
        <v>55</v>
      </c>
      <c r="C280" s="101">
        <v>2.8121E7</v>
      </c>
      <c r="D280" s="48" t="s">
        <v>7</v>
      </c>
      <c r="E280" s="18"/>
      <c r="G280" s="18"/>
      <c r="H280" s="56"/>
      <c r="I280" s="48"/>
    </row>
    <row r="281" ht="22.5" customHeight="1">
      <c r="A281" s="22"/>
      <c r="B281" s="56" t="s">
        <v>57</v>
      </c>
      <c r="C281" s="48">
        <v>4.8438E7</v>
      </c>
      <c r="D281" s="48" t="s">
        <v>7</v>
      </c>
      <c r="E281" s="22"/>
      <c r="G281" s="18"/>
      <c r="H281" s="56" t="s">
        <v>17</v>
      </c>
      <c r="I281" s="48">
        <v>3.7478E7</v>
      </c>
    </row>
    <row r="282" ht="22.5" customHeight="1">
      <c r="A282" s="103" t="s">
        <v>123</v>
      </c>
      <c r="B282" s="56" t="s">
        <v>51</v>
      </c>
      <c r="C282" s="48">
        <v>1.39215E7</v>
      </c>
      <c r="D282" s="48"/>
      <c r="E282" s="121"/>
      <c r="G282" s="18"/>
      <c r="H282" s="56" t="s">
        <v>67</v>
      </c>
      <c r="I282" s="48">
        <v>2.62325E7</v>
      </c>
    </row>
    <row r="283" ht="22.5" customHeight="1">
      <c r="A283" s="18"/>
      <c r="B283" s="56" t="s">
        <v>53</v>
      </c>
      <c r="C283" s="48">
        <v>1.3842E7</v>
      </c>
      <c r="D283" s="48"/>
      <c r="E283" s="18"/>
      <c r="G283" s="22"/>
      <c r="H283" s="56" t="s">
        <v>99</v>
      </c>
      <c r="I283" s="122">
        <f>SUM(I281:I282)</f>
        <v>63710500</v>
      </c>
    </row>
    <row r="284" ht="22.5" customHeight="1">
      <c r="A284" s="18"/>
      <c r="B284" s="56" t="s">
        <v>55</v>
      </c>
      <c r="C284" s="48">
        <v>3.7478E7</v>
      </c>
      <c r="D284" s="48"/>
      <c r="E284" s="18"/>
    </row>
    <row r="285" ht="22.5" customHeight="1">
      <c r="A285" s="22"/>
      <c r="B285" s="56" t="s">
        <v>57</v>
      </c>
      <c r="C285" s="48">
        <v>2.62325E7</v>
      </c>
      <c r="D285" s="48"/>
      <c r="E285" s="22"/>
    </row>
    <row r="286" ht="22.5" customHeight="1">
      <c r="A286" s="103" t="s">
        <v>124</v>
      </c>
      <c r="B286" s="56" t="s">
        <v>51</v>
      </c>
      <c r="C286" s="48">
        <v>2.0019E7</v>
      </c>
      <c r="D286" s="48"/>
      <c r="E286" s="121">
        <f>SUM(C286:C289)</f>
        <v>115079000</v>
      </c>
      <c r="G286" s="103" t="str">
        <f>A286</f>
        <v>SÔNG ĐỐC</v>
      </c>
      <c r="H286" s="56"/>
      <c r="I286" s="48"/>
      <c r="J286" s="20" t="str">
        <f>I286+I287+#REF!+#REF!</f>
        <v>#REF!</v>
      </c>
    </row>
    <row r="287" ht="22.5" customHeight="1">
      <c r="A287" s="18"/>
      <c r="B287" s="56" t="s">
        <v>53</v>
      </c>
      <c r="C287" s="48">
        <v>2.86365E7</v>
      </c>
      <c r="D287" s="48"/>
      <c r="E287" s="18"/>
      <c r="G287" s="18"/>
      <c r="H287" s="56"/>
      <c r="I287" s="48"/>
    </row>
    <row r="288" ht="22.5" customHeight="1">
      <c r="A288" s="18"/>
      <c r="B288" s="56" t="s">
        <v>55</v>
      </c>
      <c r="C288" s="48">
        <v>4.00415E7</v>
      </c>
      <c r="D288" s="48"/>
      <c r="E288" s="18"/>
      <c r="F288" s="20" t="s">
        <v>125</v>
      </c>
      <c r="G288" s="18"/>
      <c r="H288" s="56" t="s">
        <v>13</v>
      </c>
      <c r="I288" s="48">
        <v>2.0019E7</v>
      </c>
    </row>
    <row r="289" ht="22.5" customHeight="1">
      <c r="A289" s="22"/>
      <c r="B289" s="56" t="s">
        <v>57</v>
      </c>
      <c r="C289" s="48">
        <v>2.6382E7</v>
      </c>
      <c r="D289" s="48"/>
      <c r="E289" s="22"/>
      <c r="G289" s="18"/>
      <c r="H289" s="56" t="s">
        <v>24</v>
      </c>
      <c r="I289" s="48">
        <v>2.86365E7</v>
      </c>
    </row>
    <row r="290" ht="22.5" customHeight="1">
      <c r="A290" s="103" t="s">
        <v>126</v>
      </c>
      <c r="B290" s="56" t="s">
        <v>51</v>
      </c>
      <c r="C290" s="48">
        <v>4.4355E7</v>
      </c>
      <c r="D290" s="48" t="s">
        <v>7</v>
      </c>
      <c r="E290" s="121">
        <v>0.0</v>
      </c>
      <c r="G290" s="18"/>
      <c r="H290" s="56" t="s">
        <v>17</v>
      </c>
      <c r="I290" s="48">
        <v>4.00415E7</v>
      </c>
    </row>
    <row r="291" ht="22.5" customHeight="1">
      <c r="A291" s="18"/>
      <c r="B291" s="56" t="s">
        <v>53</v>
      </c>
      <c r="C291" s="48">
        <v>2.73345E7</v>
      </c>
      <c r="D291" s="48" t="s">
        <v>7</v>
      </c>
      <c r="E291" s="18"/>
      <c r="G291" s="18"/>
      <c r="H291" s="56" t="s">
        <v>67</v>
      </c>
      <c r="I291" s="48">
        <v>2.6382E7</v>
      </c>
    </row>
    <row r="292" ht="22.5" customHeight="1">
      <c r="A292" s="18"/>
      <c r="B292" s="56" t="s">
        <v>55</v>
      </c>
      <c r="C292" s="48">
        <v>3.09925E7</v>
      </c>
      <c r="D292" s="48" t="s">
        <v>7</v>
      </c>
      <c r="E292" s="18"/>
      <c r="G292" s="18"/>
    </row>
    <row r="293" ht="22.5" customHeight="1">
      <c r="A293" s="22"/>
      <c r="B293" s="56" t="s">
        <v>57</v>
      </c>
      <c r="C293" s="48">
        <v>5.9685E7</v>
      </c>
      <c r="D293" s="48" t="s">
        <v>7</v>
      </c>
      <c r="E293" s="22"/>
      <c r="G293" s="22"/>
      <c r="H293" s="56" t="s">
        <v>99</v>
      </c>
      <c r="I293" s="122">
        <f>SUM(I288:I291)</f>
        <v>115079000</v>
      </c>
    </row>
    <row r="294" ht="22.5" customHeight="1">
      <c r="A294" s="103" t="s">
        <v>127</v>
      </c>
      <c r="B294" s="56" t="s">
        <v>51</v>
      </c>
      <c r="C294" s="48">
        <v>3.81785E7</v>
      </c>
      <c r="D294" s="48" t="s">
        <v>7</v>
      </c>
      <c r="E294" s="121"/>
    </row>
    <row r="295" ht="22.5" customHeight="1">
      <c r="A295" s="18"/>
      <c r="B295" s="56" t="s">
        <v>53</v>
      </c>
      <c r="C295" s="101">
        <v>2.2482E7</v>
      </c>
      <c r="D295" s="48" t="s">
        <v>7</v>
      </c>
      <c r="E295" s="18"/>
      <c r="G295" s="103" t="str">
        <f>A298</f>
        <v>GÀNH HÀO</v>
      </c>
      <c r="H295" s="56"/>
      <c r="I295" s="48"/>
    </row>
    <row r="296" ht="22.5" customHeight="1">
      <c r="A296" s="18"/>
      <c r="B296" s="56" t="s">
        <v>55</v>
      </c>
      <c r="C296" s="48">
        <v>2.5061E7</v>
      </c>
      <c r="D296" s="48" t="s">
        <v>7</v>
      </c>
      <c r="E296" s="18"/>
      <c r="G296" s="18"/>
      <c r="H296" s="56"/>
      <c r="I296" s="101"/>
      <c r="J296" s="20" t="str">
        <f>I295+I296+#REF!+#REF!</f>
        <v>#REF!</v>
      </c>
    </row>
    <row r="297" ht="22.5" customHeight="1">
      <c r="A297" s="22"/>
      <c r="B297" s="56" t="s">
        <v>57</v>
      </c>
      <c r="C297" s="101">
        <v>2.899E7</v>
      </c>
      <c r="D297" s="48" t="s">
        <v>7</v>
      </c>
      <c r="E297" s="22"/>
      <c r="G297" s="18"/>
      <c r="H297" s="56" t="s">
        <v>13</v>
      </c>
      <c r="I297" s="48">
        <v>1.48095E7</v>
      </c>
    </row>
    <row r="298" ht="22.5" customHeight="1">
      <c r="A298" s="103" t="s">
        <v>128</v>
      </c>
      <c r="B298" s="56" t="s">
        <v>51</v>
      </c>
      <c r="C298" s="48">
        <v>1.48095E7</v>
      </c>
      <c r="D298" s="48"/>
      <c r="E298" s="121">
        <f>SUM(C298:C301)</f>
        <v>98211000</v>
      </c>
      <c r="G298" s="18"/>
      <c r="H298" s="56" t="s">
        <v>24</v>
      </c>
      <c r="I298" s="101">
        <v>2.1238E7</v>
      </c>
    </row>
    <row r="299" ht="22.5" customHeight="1">
      <c r="A299" s="18"/>
      <c r="B299" s="56" t="s">
        <v>53</v>
      </c>
      <c r="C299" s="101">
        <v>2.1238E7</v>
      </c>
      <c r="D299" s="48"/>
      <c r="E299" s="18"/>
      <c r="G299" s="18"/>
      <c r="H299" s="56" t="s">
        <v>17</v>
      </c>
      <c r="I299" s="48">
        <v>1.5927E7</v>
      </c>
    </row>
    <row r="300" ht="22.5" customHeight="1">
      <c r="A300" s="18"/>
      <c r="B300" s="56" t="s">
        <v>55</v>
      </c>
      <c r="C300" s="48">
        <v>1.5927E7</v>
      </c>
      <c r="D300" s="48"/>
      <c r="E300" s="18"/>
      <c r="G300" s="18"/>
      <c r="H300" s="56" t="s">
        <v>67</v>
      </c>
      <c r="I300" s="48">
        <v>4.62365E7</v>
      </c>
    </row>
    <row r="301" ht="22.5" customHeight="1">
      <c r="A301" s="22"/>
      <c r="B301" s="56" t="s">
        <v>57</v>
      </c>
      <c r="C301" s="48">
        <v>4.62365E7</v>
      </c>
      <c r="D301" s="48"/>
      <c r="E301" s="22"/>
      <c r="F301" s="127">
        <f>59129-30</f>
        <v>59099</v>
      </c>
      <c r="G301" s="18"/>
    </row>
    <row r="302" ht="22.5" customHeight="1">
      <c r="A302" s="103" t="s">
        <v>129</v>
      </c>
      <c r="B302" s="56" t="s">
        <v>51</v>
      </c>
      <c r="C302" s="48">
        <v>3.03E7</v>
      </c>
      <c r="D302" s="48" t="s">
        <v>7</v>
      </c>
      <c r="E302" s="121">
        <v>0.0</v>
      </c>
      <c r="G302" s="22"/>
      <c r="H302" s="56" t="s">
        <v>99</v>
      </c>
      <c r="I302" s="122">
        <f>SUM(I297:I300)</f>
        <v>98211000</v>
      </c>
    </row>
    <row r="303" ht="22.5" customHeight="1">
      <c r="A303" s="18"/>
      <c r="B303" s="56" t="s">
        <v>53</v>
      </c>
      <c r="C303" s="48">
        <v>4.78255E7</v>
      </c>
      <c r="D303" s="48" t="s">
        <v>7</v>
      </c>
      <c r="E303" s="18"/>
    </row>
    <row r="304" ht="22.5" customHeight="1">
      <c r="A304" s="18"/>
      <c r="B304" s="56" t="s">
        <v>55</v>
      </c>
      <c r="C304" s="48">
        <v>3.4622E7</v>
      </c>
      <c r="D304" s="48" t="s">
        <v>7</v>
      </c>
      <c r="E304" s="18"/>
      <c r="F304" s="2">
        <f>C304+C305+80000</f>
        <v>93864500</v>
      </c>
      <c r="I304" s="20" t="str">
        <f>#REF!+I305</f>
        <v>#REF!</v>
      </c>
    </row>
    <row r="305" ht="22.5" customHeight="1">
      <c r="A305" s="22"/>
      <c r="B305" s="56" t="s">
        <v>57</v>
      </c>
      <c r="C305" s="48">
        <v>5.91625E7</v>
      </c>
      <c r="D305" s="48" t="s">
        <v>7</v>
      </c>
      <c r="E305" s="22"/>
      <c r="G305" s="103" t="s">
        <v>130</v>
      </c>
      <c r="H305" s="56" t="s">
        <v>13</v>
      </c>
      <c r="I305" s="48">
        <v>1000000.0</v>
      </c>
    </row>
    <row r="306" ht="22.5" customHeight="1">
      <c r="A306" s="103" t="s">
        <v>131</v>
      </c>
      <c r="B306" s="56" t="s">
        <v>51</v>
      </c>
      <c r="C306" s="48">
        <v>4.8474E7</v>
      </c>
      <c r="D306" s="48" t="s">
        <v>132</v>
      </c>
      <c r="E306" s="121">
        <f>C309</f>
        <v>59575500</v>
      </c>
      <c r="G306" s="18"/>
      <c r="H306" s="56" t="s">
        <v>24</v>
      </c>
      <c r="I306" s="48">
        <v>3.23495E7</v>
      </c>
    </row>
    <row r="307" ht="22.5" customHeight="1">
      <c r="A307" s="18"/>
      <c r="B307" s="56" t="s">
        <v>53</v>
      </c>
      <c r="C307" s="48">
        <v>5.29365E7</v>
      </c>
      <c r="D307" s="48" t="s">
        <v>132</v>
      </c>
      <c r="E307" s="18"/>
      <c r="G307" s="18"/>
      <c r="H307" s="56" t="s">
        <v>17</v>
      </c>
      <c r="I307" s="48">
        <v>3.977E7</v>
      </c>
    </row>
    <row r="308" ht="22.5" customHeight="1">
      <c r="A308" s="18"/>
      <c r="B308" s="56" t="s">
        <v>55</v>
      </c>
      <c r="C308" s="48">
        <v>5.772E7</v>
      </c>
      <c r="D308" s="48" t="s">
        <v>132</v>
      </c>
      <c r="E308" s="18"/>
      <c r="G308" s="18"/>
      <c r="H308" s="56" t="s">
        <v>67</v>
      </c>
      <c r="I308" s="48">
        <v>4.71917E7</v>
      </c>
    </row>
    <row r="309" ht="22.5" customHeight="1">
      <c r="A309" s="22"/>
      <c r="B309" s="56" t="s">
        <v>57</v>
      </c>
      <c r="C309" s="48">
        <v>5.95755E7</v>
      </c>
      <c r="D309" s="48"/>
      <c r="E309" s="22"/>
      <c r="G309" s="22"/>
      <c r="H309" s="56" t="s">
        <v>99</v>
      </c>
      <c r="I309" s="122">
        <f>SUM(I305:I308)</f>
        <v>120311200</v>
      </c>
    </row>
    <row r="310" ht="22.5" customHeight="1">
      <c r="A310" s="103" t="s">
        <v>130</v>
      </c>
      <c r="B310" s="56" t="s">
        <v>51</v>
      </c>
      <c r="C310" s="48">
        <v>3.2586E7</v>
      </c>
      <c r="D310" s="48"/>
      <c r="E310" s="121">
        <f>SUM(C312:C313)</f>
        <v>86961700</v>
      </c>
    </row>
    <row r="311" ht="22.5" customHeight="1">
      <c r="A311" s="18"/>
      <c r="B311" s="56" t="s">
        <v>53</v>
      </c>
      <c r="C311" s="48">
        <v>3.23495E7</v>
      </c>
      <c r="D311" s="48"/>
      <c r="E311" s="18"/>
      <c r="G311" s="103" t="str">
        <f>A314</f>
        <v>TRẢNG BÀNG</v>
      </c>
      <c r="H311" s="30" t="s">
        <v>133</v>
      </c>
      <c r="I311" s="48"/>
    </row>
    <row r="312" ht="22.5" customHeight="1">
      <c r="A312" s="18"/>
      <c r="B312" s="56" t="s">
        <v>55</v>
      </c>
      <c r="C312" s="48">
        <v>3.977E7</v>
      </c>
      <c r="D312" s="48"/>
      <c r="E312" s="18"/>
      <c r="G312" s="18"/>
      <c r="H312" s="30" t="s">
        <v>134</v>
      </c>
      <c r="I312" s="48"/>
    </row>
    <row r="313" ht="22.5" customHeight="1">
      <c r="A313" s="22"/>
      <c r="B313" s="56" t="s">
        <v>57</v>
      </c>
      <c r="C313" s="48">
        <v>4.71917E7</v>
      </c>
      <c r="D313" s="48"/>
      <c r="E313" s="22"/>
      <c r="G313" s="18"/>
      <c r="H313" s="30" t="s">
        <v>135</v>
      </c>
      <c r="I313" s="48"/>
    </row>
    <row r="314" ht="19.5" customHeight="1">
      <c r="A314" s="128" t="s">
        <v>136</v>
      </c>
      <c r="B314" s="56" t="s">
        <v>51</v>
      </c>
      <c r="C314" s="107">
        <v>5.5161E7</v>
      </c>
      <c r="D314" s="48"/>
      <c r="E314" s="121">
        <f>SUM(C314:C317)</f>
        <v>156565500</v>
      </c>
      <c r="G314" s="18"/>
      <c r="H314" s="30" t="s">
        <v>137</v>
      </c>
      <c r="I314" s="48"/>
    </row>
    <row r="315" ht="19.5" customHeight="1">
      <c r="A315" s="18"/>
      <c r="B315" s="56" t="s">
        <v>53</v>
      </c>
      <c r="C315" s="107">
        <v>3.14205E7</v>
      </c>
      <c r="D315" s="48"/>
      <c r="E315" s="18"/>
      <c r="G315" s="22"/>
      <c r="H315" s="129">
        <v>1.0</v>
      </c>
      <c r="I315" s="130">
        <f>35150000-2379500</f>
        <v>32770500</v>
      </c>
    </row>
    <row r="316" ht="19.5" customHeight="1">
      <c r="A316" s="18"/>
      <c r="B316" s="56" t="s">
        <v>55</v>
      </c>
      <c r="C316" s="107">
        <v>3.55335E7</v>
      </c>
      <c r="D316" s="48"/>
      <c r="E316" s="18"/>
      <c r="H316" s="129">
        <v>2.0</v>
      </c>
      <c r="I316" s="130">
        <v>4.317E7</v>
      </c>
    </row>
    <row r="317" ht="19.5" customHeight="1">
      <c r="A317" s="22"/>
      <c r="B317" s="56" t="s">
        <v>57</v>
      </c>
      <c r="C317" s="107">
        <v>3.44505E7</v>
      </c>
      <c r="D317" s="48"/>
      <c r="E317" s="22"/>
      <c r="I317" s="130">
        <f>19373500+58550000</f>
        <v>77923500</v>
      </c>
    </row>
    <row r="318" ht="18.75" customHeight="1">
      <c r="A318" s="103" t="s">
        <v>138</v>
      </c>
      <c r="B318" s="56" t="s">
        <v>51</v>
      </c>
      <c r="C318" s="107">
        <v>3.3827E7</v>
      </c>
      <c r="D318" s="48"/>
      <c r="E318" s="121">
        <f>SUM(C318:C321)</f>
        <v>72461000</v>
      </c>
      <c r="H318" s="131">
        <f>120000000-I311-I312-I313-I314</f>
        <v>120000000</v>
      </c>
      <c r="I318" s="131">
        <f>I315+I316+I317-70000000</f>
        <v>83864000</v>
      </c>
    </row>
    <row r="319" ht="18.75" customHeight="1">
      <c r="A319" s="18"/>
      <c r="B319" s="56" t="s">
        <v>53</v>
      </c>
      <c r="C319" s="48">
        <v>6000000.0</v>
      </c>
      <c r="D319" s="48"/>
      <c r="E319" s="18"/>
      <c r="J319" s="131">
        <f>I318+8760000+75113000</f>
        <v>167737000</v>
      </c>
    </row>
    <row r="320" ht="18.75" customHeight="1">
      <c r="A320" s="18"/>
      <c r="B320" s="56" t="s">
        <v>55</v>
      </c>
      <c r="C320" s="48">
        <v>1.7541E7</v>
      </c>
      <c r="D320" s="48"/>
      <c r="E320" s="18"/>
      <c r="G320" s="103" t="str">
        <f>A318</f>
        <v>NÀNG MAU</v>
      </c>
      <c r="H320" s="30" t="s">
        <v>81</v>
      </c>
      <c r="I320" s="48" t="str">
        <f>'THÁNG 11'!E313-1314000</f>
        <v>#REF!</v>
      </c>
    </row>
    <row r="321" ht="18.75" customHeight="1">
      <c r="A321" s="22"/>
      <c r="B321" s="56" t="s">
        <v>57</v>
      </c>
      <c r="C321" s="48">
        <v>1.5093E7</v>
      </c>
      <c r="D321" s="48"/>
      <c r="E321" s="22"/>
      <c r="G321" s="18"/>
      <c r="H321" s="30" t="s">
        <v>133</v>
      </c>
      <c r="I321" s="48">
        <f>C318</f>
        <v>33827000</v>
      </c>
    </row>
    <row r="322" ht="18.75" customHeight="1">
      <c r="A322" s="128" t="s">
        <v>139</v>
      </c>
      <c r="B322" s="56" t="s">
        <v>51</v>
      </c>
      <c r="C322" s="48">
        <v>0.0</v>
      </c>
      <c r="D322" s="48"/>
      <c r="E322" s="121">
        <f>SUM(C323:C325)</f>
        <v>0</v>
      </c>
      <c r="G322" s="18"/>
      <c r="H322" s="30" t="s">
        <v>134</v>
      </c>
      <c r="I322" s="48">
        <v>6000000.0</v>
      </c>
    </row>
    <row r="323" ht="18.75" customHeight="1">
      <c r="A323" s="18"/>
      <c r="B323" s="56" t="s">
        <v>53</v>
      </c>
      <c r="C323" s="48">
        <v>0.0</v>
      </c>
      <c r="D323" s="48"/>
      <c r="E323" s="18"/>
      <c r="G323" s="18"/>
      <c r="H323" s="30" t="s">
        <v>135</v>
      </c>
      <c r="I323" s="48">
        <f t="shared" ref="I323:I324" si="1">C320</f>
        <v>17541000</v>
      </c>
    </row>
    <row r="324" ht="18.75" customHeight="1">
      <c r="A324" s="18"/>
      <c r="B324" s="56" t="s">
        <v>55</v>
      </c>
      <c r="C324" s="48">
        <v>0.0</v>
      </c>
      <c r="D324" s="48"/>
      <c r="E324" s="18"/>
      <c r="G324" s="18"/>
      <c r="H324" s="30" t="s">
        <v>137</v>
      </c>
      <c r="I324" s="48">
        <f t="shared" si="1"/>
        <v>15093000</v>
      </c>
    </row>
    <row r="325" ht="18.75" customHeight="1">
      <c r="A325" s="22"/>
      <c r="B325" s="56" t="s">
        <v>57</v>
      </c>
      <c r="C325" s="48">
        <v>0.0</v>
      </c>
      <c r="D325" s="48"/>
      <c r="E325" s="22"/>
      <c r="G325" s="22"/>
      <c r="H325" s="56" t="s">
        <v>99</v>
      </c>
      <c r="I325" s="122" t="str">
        <f>SUM(I319:I324)</f>
        <v>#REF!</v>
      </c>
    </row>
    <row r="326" ht="22.5" customHeight="1">
      <c r="A326" s="103" t="s">
        <v>140</v>
      </c>
      <c r="B326" s="56" t="s">
        <v>51</v>
      </c>
      <c r="C326" s="48">
        <v>2.8028E7</v>
      </c>
      <c r="D326" s="48" t="s">
        <v>7</v>
      </c>
      <c r="E326" s="121">
        <f>SUM(C327:C329)</f>
        <v>75720500</v>
      </c>
    </row>
    <row r="327" ht="22.5" customHeight="1">
      <c r="A327" s="18"/>
      <c r="B327" s="56" t="s">
        <v>53</v>
      </c>
      <c r="C327" s="48">
        <v>2.46365E7</v>
      </c>
      <c r="D327" s="48"/>
      <c r="E327" s="18"/>
    </row>
    <row r="328" ht="22.5" customHeight="1">
      <c r="A328" s="18"/>
      <c r="B328" s="56" t="s">
        <v>55</v>
      </c>
      <c r="C328" s="48">
        <v>1.60275E7</v>
      </c>
      <c r="D328" s="48"/>
      <c r="E328" s="18"/>
    </row>
    <row r="329" ht="22.5" customHeight="1">
      <c r="A329" s="22"/>
      <c r="B329" s="56" t="s">
        <v>57</v>
      </c>
      <c r="C329" s="48">
        <v>3.50565E7</v>
      </c>
      <c r="D329" s="48"/>
      <c r="E329" s="22"/>
    </row>
    <row r="330" ht="22.5" customHeight="1">
      <c r="A330" s="128" t="s">
        <v>141</v>
      </c>
      <c r="B330" s="56" t="s">
        <v>51</v>
      </c>
      <c r="C330" s="48">
        <v>2.44315E7</v>
      </c>
      <c r="D330" s="115" t="s">
        <v>7</v>
      </c>
      <c r="E330" s="121">
        <f>C332</f>
        <v>35751900</v>
      </c>
    </row>
    <row r="331" ht="22.5" customHeight="1">
      <c r="A331" s="18"/>
      <c r="B331" s="56" t="s">
        <v>53</v>
      </c>
      <c r="C331" s="48">
        <v>2.3641E7</v>
      </c>
      <c r="D331" s="115" t="s">
        <v>7</v>
      </c>
      <c r="E331" s="18"/>
    </row>
    <row r="332" ht="22.5" customHeight="1">
      <c r="A332" s="18"/>
      <c r="B332" s="56" t="s">
        <v>55</v>
      </c>
      <c r="C332" s="48">
        <v>3.57519E7</v>
      </c>
      <c r="D332" s="115" t="s">
        <v>7</v>
      </c>
      <c r="E332" s="18"/>
    </row>
    <row r="333" ht="22.5" customHeight="1">
      <c r="A333" s="22"/>
      <c r="B333" s="56" t="s">
        <v>57</v>
      </c>
      <c r="C333" s="48">
        <v>3.2609E7</v>
      </c>
      <c r="D333" s="48"/>
      <c r="E333" s="22"/>
    </row>
    <row r="334" ht="22.5" customHeight="1">
      <c r="A334" s="128" t="s">
        <v>142</v>
      </c>
      <c r="B334" s="56" t="s">
        <v>51</v>
      </c>
      <c r="C334" s="48">
        <v>4.95625E7</v>
      </c>
      <c r="D334" s="48"/>
      <c r="E334" s="121">
        <f>SUM(C334:C337)</f>
        <v>305888000</v>
      </c>
    </row>
    <row r="335" ht="22.5" customHeight="1">
      <c r="A335" s="18"/>
      <c r="B335" s="56" t="s">
        <v>53</v>
      </c>
      <c r="C335" s="48">
        <v>7.436E7</v>
      </c>
      <c r="D335" s="48"/>
      <c r="E335" s="18"/>
    </row>
    <row r="336" ht="22.5" customHeight="1">
      <c r="A336" s="18"/>
      <c r="B336" s="56" t="s">
        <v>55</v>
      </c>
      <c r="C336" s="48">
        <v>4.2199E7</v>
      </c>
      <c r="D336" s="48"/>
      <c r="E336" s="18"/>
      <c r="G336" s="131">
        <f>C341-G338</f>
        <v>24822500</v>
      </c>
    </row>
    <row r="337" ht="22.5" customHeight="1">
      <c r="A337" s="22"/>
      <c r="B337" s="56" t="s">
        <v>57</v>
      </c>
      <c r="C337" s="48">
        <v>1.397665E8</v>
      </c>
      <c r="D337" s="48"/>
      <c r="E337" s="22"/>
    </row>
    <row r="338" ht="22.5" customHeight="1">
      <c r="A338" s="128" t="s">
        <v>143</v>
      </c>
      <c r="B338" s="56" t="s">
        <v>51</v>
      </c>
      <c r="C338" s="48">
        <v>1.5465E7</v>
      </c>
      <c r="D338" s="115" t="s">
        <v>7</v>
      </c>
      <c r="E338" s="121">
        <f>SUM(C338:C341)</f>
        <v>95741500</v>
      </c>
      <c r="F338" s="131">
        <f>C338+C339+C340</f>
        <v>49746000</v>
      </c>
      <c r="G338" s="131">
        <f>70919000-F338</f>
        <v>21173000</v>
      </c>
    </row>
    <row r="339" ht="22.5" customHeight="1">
      <c r="A339" s="18"/>
      <c r="B339" s="56" t="s">
        <v>53</v>
      </c>
      <c r="C339" s="48">
        <f>14796000-27000</f>
        <v>14769000</v>
      </c>
      <c r="D339" s="115" t="s">
        <v>7</v>
      </c>
      <c r="E339" s="18"/>
    </row>
    <row r="340" ht="22.5" customHeight="1">
      <c r="A340" s="18"/>
      <c r="B340" s="56" t="s">
        <v>55</v>
      </c>
      <c r="C340" s="48">
        <f>19683000-171000</f>
        <v>19512000</v>
      </c>
      <c r="D340" s="115" t="s">
        <v>7</v>
      </c>
      <c r="E340" s="18"/>
      <c r="J340" s="2">
        <f>I350-I340</f>
        <v>15390600</v>
      </c>
    </row>
    <row r="341" ht="22.5" customHeight="1">
      <c r="A341" s="22"/>
      <c r="B341" s="56" t="s">
        <v>57</v>
      </c>
      <c r="C341" s="48">
        <f>46196500-201000</f>
        <v>45995500</v>
      </c>
      <c r="D341" s="48"/>
      <c r="E341" s="22"/>
    </row>
    <row r="342" ht="22.5" customHeight="1">
      <c r="A342" s="103" t="s">
        <v>144</v>
      </c>
      <c r="B342" s="56" t="s">
        <v>51</v>
      </c>
      <c r="C342" s="48">
        <v>0.0</v>
      </c>
      <c r="D342" s="48"/>
      <c r="E342" s="121">
        <v>0.0</v>
      </c>
      <c r="F342" s="2">
        <f>E338-126031000</f>
        <v>-30289500</v>
      </c>
      <c r="H342" s="20">
        <f>17*3</f>
        <v>51</v>
      </c>
    </row>
    <row r="343" ht="22.5" customHeight="1">
      <c r="A343" s="18"/>
      <c r="B343" s="56" t="s">
        <v>53</v>
      </c>
      <c r="C343" s="48">
        <v>0.0</v>
      </c>
      <c r="D343" s="48"/>
      <c r="E343" s="18"/>
    </row>
    <row r="344" ht="22.5" customHeight="1">
      <c r="A344" s="18"/>
      <c r="B344" s="56" t="s">
        <v>55</v>
      </c>
      <c r="C344" s="48"/>
      <c r="D344" s="48"/>
      <c r="E344" s="18"/>
    </row>
    <row r="345" ht="22.5" customHeight="1">
      <c r="A345" s="22"/>
      <c r="B345" s="56" t="s">
        <v>57</v>
      </c>
      <c r="C345" s="48"/>
      <c r="D345" s="48"/>
      <c r="E345" s="22"/>
    </row>
    <row r="346" ht="22.5" customHeight="1">
      <c r="A346" s="128" t="s">
        <v>145</v>
      </c>
      <c r="B346" s="56" t="s">
        <v>51</v>
      </c>
      <c r="C346" s="48">
        <v>2.1852E7</v>
      </c>
      <c r="D346" s="48" t="s">
        <v>7</v>
      </c>
      <c r="E346" s="121">
        <f>C348+C349</f>
        <v>59180500</v>
      </c>
    </row>
    <row r="347" ht="22.5" customHeight="1">
      <c r="A347" s="18"/>
      <c r="B347" s="56" t="s">
        <v>53</v>
      </c>
      <c r="C347" s="101">
        <v>3.51675E7</v>
      </c>
      <c r="D347" s="48" t="s">
        <v>7</v>
      </c>
      <c r="E347" s="18"/>
    </row>
    <row r="348" ht="22.5" customHeight="1">
      <c r="A348" s="18"/>
      <c r="B348" s="56" t="s">
        <v>55</v>
      </c>
      <c r="C348" s="48">
        <v>2.78025E7</v>
      </c>
      <c r="D348" s="115" t="s">
        <v>7</v>
      </c>
      <c r="E348" s="18"/>
    </row>
    <row r="349" ht="22.5" customHeight="1">
      <c r="A349" s="22"/>
      <c r="B349" s="56" t="s">
        <v>57</v>
      </c>
      <c r="C349" s="48">
        <v>3.1378E7</v>
      </c>
      <c r="D349" s="48"/>
      <c r="E349" s="22"/>
    </row>
    <row r="350" ht="22.5" customHeight="1">
      <c r="A350" s="103" t="s">
        <v>146</v>
      </c>
      <c r="B350" s="56" t="s">
        <v>51</v>
      </c>
      <c r="C350" s="101">
        <v>9.01885E7</v>
      </c>
      <c r="D350" s="48"/>
      <c r="E350" s="121">
        <f>SUM(C350:C353)</f>
        <v>237146500</v>
      </c>
      <c r="G350" s="103" t="s">
        <v>147</v>
      </c>
      <c r="H350" s="30" t="s">
        <v>133</v>
      </c>
      <c r="I350" s="115">
        <f>65390600-50000000</f>
        <v>15390600</v>
      </c>
    </row>
    <row r="351" ht="22.5" customHeight="1">
      <c r="A351" s="18"/>
      <c r="B351" s="56" t="s">
        <v>53</v>
      </c>
      <c r="C351" s="48">
        <v>5.3583E7</v>
      </c>
      <c r="D351" s="48"/>
      <c r="E351" s="18"/>
      <c r="G351" s="18"/>
      <c r="H351" s="30" t="s">
        <v>134</v>
      </c>
      <c r="I351" s="48">
        <f t="shared" ref="I351:I353" si="2">C351</f>
        <v>53583000</v>
      </c>
    </row>
    <row r="352" ht="22.5" customHeight="1">
      <c r="A352" s="18"/>
      <c r="B352" s="56" t="s">
        <v>55</v>
      </c>
      <c r="C352" s="48">
        <v>4.8526E7</v>
      </c>
      <c r="D352" s="48"/>
      <c r="E352" s="18"/>
      <c r="G352" s="18"/>
      <c r="H352" s="30" t="s">
        <v>135</v>
      </c>
      <c r="I352" s="48">
        <f t="shared" si="2"/>
        <v>48526000</v>
      </c>
    </row>
    <row r="353" ht="22.5" customHeight="1">
      <c r="A353" s="22"/>
      <c r="B353" s="56" t="s">
        <v>57</v>
      </c>
      <c r="C353" s="48">
        <f>45017000-168000</f>
        <v>44849000</v>
      </c>
      <c r="D353" s="48"/>
      <c r="E353" s="22"/>
      <c r="G353" s="18"/>
      <c r="H353" s="30" t="s">
        <v>137</v>
      </c>
      <c r="I353" s="48">
        <f t="shared" si="2"/>
        <v>44849000</v>
      </c>
    </row>
    <row r="354" ht="22.5" customHeight="1">
      <c r="A354" s="103" t="s">
        <v>148</v>
      </c>
      <c r="B354" s="56" t="s">
        <v>51</v>
      </c>
      <c r="C354" s="48"/>
      <c r="D354" s="48"/>
      <c r="E354" s="121">
        <v>0.0</v>
      </c>
      <c r="G354" s="22"/>
      <c r="H354" s="56" t="s">
        <v>99</v>
      </c>
      <c r="I354" s="122">
        <f>SUM(I349:I353)</f>
        <v>162348600</v>
      </c>
    </row>
    <row r="355" ht="22.5" customHeight="1">
      <c r="A355" s="18"/>
      <c r="B355" s="56" t="s">
        <v>53</v>
      </c>
      <c r="C355" s="48"/>
      <c r="D355" s="48"/>
      <c r="E355" s="18"/>
      <c r="F355" s="20">
        <f>36*3</f>
        <v>108</v>
      </c>
    </row>
    <row r="356" ht="22.5" customHeight="1">
      <c r="A356" s="18"/>
      <c r="B356" s="56" t="s">
        <v>55</v>
      </c>
      <c r="C356" s="48"/>
      <c r="D356" s="48"/>
      <c r="E356" s="18"/>
      <c r="F356" s="20">
        <v>60.0</v>
      </c>
    </row>
    <row r="357" ht="22.5" customHeight="1">
      <c r="A357" s="22"/>
      <c r="B357" s="56" t="s">
        <v>57</v>
      </c>
      <c r="C357" s="48"/>
      <c r="D357" s="48"/>
      <c r="E357" s="22"/>
      <c r="G357" s="125" t="s">
        <v>149</v>
      </c>
      <c r="H357" s="56" t="s">
        <v>81</v>
      </c>
      <c r="I357" s="101" t="str">
        <f>'THÁNG 11'!E353-1384300-15000000</f>
        <v>#REF!</v>
      </c>
    </row>
    <row r="358" ht="20.25" customHeight="1">
      <c r="A358" s="128" t="s">
        <v>149</v>
      </c>
      <c r="B358" s="56" t="s">
        <v>51</v>
      </c>
      <c r="C358" s="48">
        <v>8912200.0</v>
      </c>
      <c r="D358" s="48"/>
      <c r="E358" s="132">
        <f>SUM(C358:C361)</f>
        <v>70955100</v>
      </c>
      <c r="G358" s="18"/>
      <c r="H358" s="30" t="s">
        <v>133</v>
      </c>
      <c r="I358" s="48">
        <f t="shared" ref="I358:I361" si="3">C358</f>
        <v>8912200</v>
      </c>
    </row>
    <row r="359" ht="20.25" customHeight="1">
      <c r="A359" s="18"/>
      <c r="B359" s="56" t="s">
        <v>53</v>
      </c>
      <c r="C359" s="48">
        <v>1.18973E7</v>
      </c>
      <c r="D359" s="48"/>
      <c r="E359" s="18"/>
      <c r="G359" s="18"/>
      <c r="H359" s="30" t="s">
        <v>134</v>
      </c>
      <c r="I359" s="48">
        <f t="shared" si="3"/>
        <v>11897300</v>
      </c>
    </row>
    <row r="360" ht="20.25" customHeight="1">
      <c r="A360" s="18"/>
      <c r="B360" s="56" t="s">
        <v>55</v>
      </c>
      <c r="C360" s="101">
        <v>1.96686E7</v>
      </c>
      <c r="D360" s="48"/>
      <c r="E360" s="18"/>
      <c r="G360" s="18"/>
      <c r="H360" s="30" t="s">
        <v>135</v>
      </c>
      <c r="I360" s="48">
        <f t="shared" si="3"/>
        <v>19668600</v>
      </c>
    </row>
    <row r="361" ht="20.25" customHeight="1">
      <c r="A361" s="22"/>
      <c r="B361" s="56" t="s">
        <v>57</v>
      </c>
      <c r="C361" s="48">
        <v>3.0477E7</v>
      </c>
      <c r="D361" s="48"/>
      <c r="E361" s="22"/>
      <c r="G361" s="18"/>
      <c r="H361" s="30" t="s">
        <v>137</v>
      </c>
      <c r="I361" s="48">
        <f t="shared" si="3"/>
        <v>30477000</v>
      </c>
    </row>
    <row r="362" ht="20.25" customHeight="1">
      <c r="A362" s="128" t="s">
        <v>150</v>
      </c>
      <c r="B362" s="56" t="s">
        <v>51</v>
      </c>
      <c r="C362" s="48">
        <v>3.6067E7</v>
      </c>
      <c r="D362" s="115" t="s">
        <v>7</v>
      </c>
      <c r="E362" s="132">
        <v>0.0</v>
      </c>
      <c r="G362" s="18"/>
      <c r="H362" s="133" t="s">
        <v>99</v>
      </c>
      <c r="I362" s="122" t="str">
        <f>SUM(I357:I361)</f>
        <v>#REF!</v>
      </c>
    </row>
    <row r="363" ht="20.25" customHeight="1">
      <c r="A363" s="18"/>
      <c r="B363" s="56" t="s">
        <v>53</v>
      </c>
      <c r="C363" s="48">
        <f>35219800-42000</f>
        <v>35177800</v>
      </c>
      <c r="D363" s="134" t="s">
        <v>7</v>
      </c>
      <c r="E363" s="18"/>
      <c r="G363" s="18"/>
      <c r="H363" s="30" t="s">
        <v>151</v>
      </c>
      <c r="I363" s="48">
        <v>5.0E7</v>
      </c>
    </row>
    <row r="364" ht="20.25" customHeight="1">
      <c r="A364" s="18"/>
      <c r="B364" s="56" t="s">
        <v>55</v>
      </c>
      <c r="C364" s="48">
        <f>54224200-48000</f>
        <v>54176200</v>
      </c>
      <c r="D364" s="115" t="s">
        <v>7</v>
      </c>
      <c r="E364" s="18"/>
      <c r="G364" s="22"/>
      <c r="H364" s="56" t="s">
        <v>152</v>
      </c>
      <c r="I364" s="122" t="str">
        <f>I362+I363</f>
        <v>#REF!</v>
      </c>
    </row>
    <row r="365" ht="20.25" customHeight="1">
      <c r="A365" s="22"/>
      <c r="B365" s="56" t="s">
        <v>57</v>
      </c>
      <c r="C365" s="48">
        <f>38357000-90000-48000</f>
        <v>38219000</v>
      </c>
      <c r="D365" s="110" t="s">
        <v>7</v>
      </c>
      <c r="E365" s="22"/>
    </row>
    <row r="366" ht="22.5" customHeight="1">
      <c r="A366" s="128" t="s">
        <v>153</v>
      </c>
      <c r="B366" s="56" t="s">
        <v>51</v>
      </c>
      <c r="C366" s="101">
        <v>0.0</v>
      </c>
      <c r="D366" s="48"/>
      <c r="E366" s="121">
        <v>0.0</v>
      </c>
    </row>
    <row r="367" ht="22.5" customHeight="1">
      <c r="A367" s="18"/>
      <c r="B367" s="56" t="s">
        <v>53</v>
      </c>
      <c r="C367" s="101">
        <f>76159000-30000</f>
        <v>76129000</v>
      </c>
      <c r="D367" s="115" t="s">
        <v>7</v>
      </c>
      <c r="E367" s="18"/>
    </row>
    <row r="368" ht="22.5" customHeight="1">
      <c r="A368" s="18"/>
      <c r="B368" s="56" t="s">
        <v>55</v>
      </c>
      <c r="C368" s="101">
        <v>7.9691E7</v>
      </c>
      <c r="D368" s="115" t="s">
        <v>7</v>
      </c>
      <c r="E368" s="18"/>
      <c r="F368" s="20">
        <f>300*300</f>
        <v>90000</v>
      </c>
    </row>
    <row r="369" ht="22.5" customHeight="1">
      <c r="A369" s="22"/>
      <c r="B369" s="56" t="s">
        <v>57</v>
      </c>
      <c r="C369" s="101">
        <v>8.392E7</v>
      </c>
      <c r="D369" s="115" t="s">
        <v>7</v>
      </c>
      <c r="E369" s="22"/>
      <c r="F369" s="20">
        <f>16*3000</f>
        <v>48000</v>
      </c>
    </row>
    <row r="370" ht="22.5" customHeight="1">
      <c r="A370" s="128" t="s">
        <v>154</v>
      </c>
      <c r="B370" s="56" t="s">
        <v>51</v>
      </c>
      <c r="C370" s="19">
        <v>1.73046E7</v>
      </c>
      <c r="D370" s="48" t="s">
        <v>7</v>
      </c>
      <c r="E370" s="132">
        <f>C372+C373</f>
        <v>122982500</v>
      </c>
    </row>
    <row r="371" ht="22.5" customHeight="1">
      <c r="A371" s="18"/>
      <c r="B371" s="56" t="s">
        <v>53</v>
      </c>
      <c r="C371" s="19">
        <v>2.89538E7</v>
      </c>
      <c r="D371" s="48" t="s">
        <v>7</v>
      </c>
      <c r="E371" s="18"/>
      <c r="G371" s="131">
        <f>68231000-E370</f>
        <v>-54751500</v>
      </c>
    </row>
    <row r="372" ht="22.5" customHeight="1">
      <c r="A372" s="18"/>
      <c r="B372" s="56" t="s">
        <v>55</v>
      </c>
      <c r="C372" s="19">
        <v>2.97645E7</v>
      </c>
      <c r="D372" s="48"/>
      <c r="E372" s="18"/>
    </row>
    <row r="373" ht="22.5" customHeight="1">
      <c r="A373" s="22"/>
      <c r="B373" s="56" t="s">
        <v>57</v>
      </c>
      <c r="C373" s="19">
        <v>9.3218E7</v>
      </c>
      <c r="D373" s="48"/>
      <c r="E373" s="22"/>
    </row>
    <row r="374" ht="22.5" customHeight="1">
      <c r="A374" s="128" t="s">
        <v>155</v>
      </c>
      <c r="B374" s="56" t="s">
        <v>51</v>
      </c>
      <c r="C374" s="19">
        <v>5.71925E7</v>
      </c>
      <c r="D374" s="48" t="s">
        <v>7</v>
      </c>
      <c r="E374" s="132">
        <v>0.0</v>
      </c>
    </row>
    <row r="375" ht="22.5" customHeight="1">
      <c r="A375" s="18"/>
      <c r="B375" s="56" t="s">
        <v>53</v>
      </c>
      <c r="C375" s="19">
        <v>4.62675E7</v>
      </c>
      <c r="D375" s="48"/>
      <c r="E375" s="18"/>
    </row>
    <row r="376" ht="22.5" customHeight="1">
      <c r="A376" s="18"/>
      <c r="B376" s="56" t="s">
        <v>55</v>
      </c>
      <c r="C376" s="19">
        <f>39582500-1200000</f>
        <v>38382500</v>
      </c>
      <c r="D376" s="48"/>
      <c r="E376" s="18"/>
    </row>
    <row r="377" ht="22.5" customHeight="1">
      <c r="A377" s="22"/>
      <c r="B377" s="56" t="s">
        <v>57</v>
      </c>
      <c r="C377" s="19">
        <v>5.51825E7</v>
      </c>
      <c r="D377" s="48"/>
      <c r="E377" s="22"/>
    </row>
    <row r="378" ht="22.5" customHeight="1">
      <c r="A378" s="128" t="s">
        <v>156</v>
      </c>
      <c r="B378" s="56" t="s">
        <v>51</v>
      </c>
      <c r="C378" s="19">
        <v>2.50265E7</v>
      </c>
      <c r="D378" s="48"/>
      <c r="E378" s="121">
        <f>sum(C378:C381)</f>
        <v>135878000</v>
      </c>
      <c r="G378" s="125" t="str">
        <f>A378</f>
        <v>CHÂU PHÚ</v>
      </c>
      <c r="H378" s="30" t="s">
        <v>81</v>
      </c>
      <c r="I378" s="48" t="str">
        <f>'THÁNG 11'!E374</f>
        <v>#REF!</v>
      </c>
    </row>
    <row r="379" ht="22.5" customHeight="1">
      <c r="A379" s="18"/>
      <c r="B379" s="56" t="s">
        <v>53</v>
      </c>
      <c r="C379" s="19">
        <v>4.21485E7</v>
      </c>
      <c r="D379" s="48"/>
      <c r="E379" s="18"/>
      <c r="G379" s="18"/>
      <c r="H379" s="30" t="s">
        <v>133</v>
      </c>
      <c r="I379" s="48">
        <f t="shared" ref="I379:I382" si="4">C378</f>
        <v>25026500</v>
      </c>
    </row>
    <row r="380" ht="22.5" customHeight="1">
      <c r="A380" s="18"/>
      <c r="B380" s="56" t="s">
        <v>55</v>
      </c>
      <c r="C380" s="19">
        <f>27141000-33000</f>
        <v>27108000</v>
      </c>
      <c r="D380" s="48"/>
      <c r="E380" s="18"/>
      <c r="G380" s="18"/>
      <c r="H380" s="30" t="s">
        <v>134</v>
      </c>
      <c r="I380" s="48">
        <f t="shared" si="4"/>
        <v>42148500</v>
      </c>
    </row>
    <row r="381" ht="22.5" customHeight="1">
      <c r="A381" s="22"/>
      <c r="B381" s="56" t="s">
        <v>57</v>
      </c>
      <c r="C381" s="19">
        <v>4.1595E7</v>
      </c>
      <c r="D381" s="48"/>
      <c r="E381" s="22"/>
      <c r="G381" s="18"/>
      <c r="H381" s="30" t="s">
        <v>135</v>
      </c>
      <c r="I381" s="48">
        <f t="shared" si="4"/>
        <v>27108000</v>
      </c>
      <c r="J381" s="135" t="s">
        <v>157</v>
      </c>
      <c r="K381" s="133" t="s">
        <v>151</v>
      </c>
      <c r="L381" s="51">
        <v>9.46043E8</v>
      </c>
    </row>
    <row r="382" ht="22.5" customHeight="1">
      <c r="A382" s="128" t="s">
        <v>158</v>
      </c>
      <c r="B382" s="56" t="s">
        <v>51</v>
      </c>
      <c r="C382" s="19">
        <v>1.6828E7</v>
      </c>
      <c r="D382" s="115" t="s">
        <v>7</v>
      </c>
      <c r="E382" s="136">
        <v>0.0</v>
      </c>
      <c r="G382" s="18"/>
      <c r="H382" s="30" t="s">
        <v>137</v>
      </c>
      <c r="I382" s="48">
        <f t="shared" si="4"/>
        <v>41595000</v>
      </c>
      <c r="J382" s="18"/>
      <c r="K382" s="56"/>
      <c r="L382" s="48"/>
    </row>
    <row r="383" ht="22.5" customHeight="1">
      <c r="A383" s="18"/>
      <c r="B383" s="56" t="s">
        <v>53</v>
      </c>
      <c r="C383" s="19">
        <v>4710000.0</v>
      </c>
      <c r="D383" s="115" t="s">
        <v>7</v>
      </c>
      <c r="E383" s="18"/>
      <c r="G383" s="22"/>
      <c r="H383" s="56" t="s">
        <v>99</v>
      </c>
      <c r="I383" s="122" t="str">
        <f>SUM(I378:I382)</f>
        <v>#REF!</v>
      </c>
      <c r="J383" s="18"/>
      <c r="K383" s="56"/>
      <c r="L383" s="48"/>
    </row>
    <row r="384" ht="22.5" customHeight="1">
      <c r="A384" s="18"/>
      <c r="B384" s="56" t="s">
        <v>55</v>
      </c>
      <c r="C384" s="19">
        <f>30564000-63000</f>
        <v>30501000</v>
      </c>
      <c r="D384" s="115" t="s">
        <v>7</v>
      </c>
      <c r="E384" s="18"/>
      <c r="F384" s="20">
        <f>16*3</f>
        <v>48</v>
      </c>
      <c r="J384" s="22"/>
      <c r="K384" s="56" t="s">
        <v>99</v>
      </c>
      <c r="L384" s="122">
        <f>L381-L382-L383</f>
        <v>946043000</v>
      </c>
    </row>
    <row r="385" ht="22.5" customHeight="1">
      <c r="A385" s="22"/>
      <c r="B385" s="56" t="s">
        <v>57</v>
      </c>
      <c r="C385" s="19">
        <v>1.92395E7</v>
      </c>
      <c r="D385" s="115" t="s">
        <v>7</v>
      </c>
      <c r="E385" s="22"/>
      <c r="G385" s="125" t="str">
        <f>A390</f>
        <v>QUẬN 12</v>
      </c>
      <c r="H385" s="56" t="s">
        <v>81</v>
      </c>
      <c r="I385" s="101">
        <v>6.3773E7</v>
      </c>
    </row>
    <row r="386" ht="22.5" customHeight="1">
      <c r="A386" s="137" t="s">
        <v>159</v>
      </c>
      <c r="B386" s="56" t="s">
        <v>51</v>
      </c>
      <c r="C386" s="19">
        <v>0.0</v>
      </c>
      <c r="D386" s="48" t="s">
        <v>7</v>
      </c>
      <c r="E386" s="96">
        <f>C388+C389</f>
        <v>102559500</v>
      </c>
      <c r="G386" s="18"/>
      <c r="H386" s="30" t="s">
        <v>133</v>
      </c>
      <c r="I386" s="48">
        <v>2.3964E7</v>
      </c>
    </row>
    <row r="387" ht="22.5" customHeight="1">
      <c r="A387" s="18"/>
      <c r="B387" s="56" t="s">
        <v>53</v>
      </c>
      <c r="C387" s="19">
        <v>2.87525E7</v>
      </c>
      <c r="D387" s="48" t="s">
        <v>7</v>
      </c>
      <c r="E387" s="18"/>
      <c r="F387" s="2">
        <f>435850000-C390</f>
        <v>373447500</v>
      </c>
      <c r="G387" s="18"/>
      <c r="H387" s="30" t="s">
        <v>134</v>
      </c>
      <c r="I387" s="48">
        <v>3.4698E7</v>
      </c>
    </row>
    <row r="388" ht="22.5" customHeight="1">
      <c r="A388" s="18"/>
      <c r="B388" s="56" t="s">
        <v>55</v>
      </c>
      <c r="C388" s="19">
        <v>3.08125E7</v>
      </c>
      <c r="D388" s="48"/>
      <c r="E388" s="18"/>
      <c r="G388" s="18"/>
      <c r="H388" s="30" t="s">
        <v>135</v>
      </c>
      <c r="I388" s="48">
        <v>6.66605E7</v>
      </c>
    </row>
    <row r="389" ht="22.5" customHeight="1">
      <c r="A389" s="22"/>
      <c r="B389" s="56" t="s">
        <v>57</v>
      </c>
      <c r="C389" s="19">
        <v>7.1747E7</v>
      </c>
      <c r="D389" s="48"/>
      <c r="E389" s="22"/>
      <c r="G389" s="18"/>
      <c r="H389" s="30" t="s">
        <v>137</v>
      </c>
      <c r="I389" s="48">
        <v>9.7753E7</v>
      </c>
    </row>
    <row r="390" ht="22.5" customHeight="1">
      <c r="A390" s="137" t="s">
        <v>160</v>
      </c>
      <c r="B390" s="138" t="s">
        <v>161</v>
      </c>
      <c r="C390" s="139">
        <v>6.24025E7</v>
      </c>
      <c r="D390" s="48"/>
      <c r="E390" s="16">
        <f>C394-D394</f>
        <v>-620675500</v>
      </c>
      <c r="G390" s="22"/>
      <c r="H390" s="56" t="s">
        <v>99</v>
      </c>
      <c r="I390" s="122">
        <f>SUM(I385:I389)</f>
        <v>286848500</v>
      </c>
    </row>
    <row r="391" ht="22.5" customHeight="1">
      <c r="A391" s="18"/>
      <c r="B391" s="56" t="s">
        <v>162</v>
      </c>
      <c r="C391" s="19">
        <f>185810500-373447500</f>
        <v>-187637000</v>
      </c>
      <c r="D391" s="48"/>
      <c r="E391" s="18"/>
      <c r="F391" s="20">
        <v>1.87137E8</v>
      </c>
    </row>
    <row r="392" ht="22.5" customHeight="1">
      <c r="A392" s="18"/>
      <c r="B392" s="56" t="s">
        <v>163</v>
      </c>
      <c r="C392" s="19">
        <f>64273000-187637000</f>
        <v>-123364000</v>
      </c>
      <c r="D392" s="48"/>
      <c r="E392" s="18"/>
      <c r="G392" s="125" t="str">
        <f>A400</f>
        <v>LONG HẢI</v>
      </c>
      <c r="H392" s="56" t="s">
        <v>81</v>
      </c>
      <c r="I392" s="48" t="str">
        <f>'THÁNG 11'!E397-26041500</f>
        <v>#REF!</v>
      </c>
    </row>
    <row r="393" ht="22.5" customHeight="1">
      <c r="A393" s="18"/>
      <c r="B393" s="56" t="s">
        <v>164</v>
      </c>
      <c r="C393" s="19">
        <f>187137000-123364000</f>
        <v>63773000</v>
      </c>
      <c r="D393" s="48"/>
      <c r="E393" s="18"/>
      <c r="G393" s="18"/>
      <c r="H393" s="30" t="s">
        <v>165</v>
      </c>
      <c r="I393" s="48">
        <v>3.27815E7</v>
      </c>
      <c r="J393" s="140"/>
      <c r="K393" s="141"/>
      <c r="L393" s="142"/>
    </row>
    <row r="394" ht="22.5" customHeight="1">
      <c r="A394" s="22"/>
      <c r="B394" s="56" t="s">
        <v>99</v>
      </c>
      <c r="C394" s="122">
        <f>SUM(C390:C393)</f>
        <v>-184825500</v>
      </c>
      <c r="D394" s="48">
        <v>4.3585E8</v>
      </c>
      <c r="E394" s="22"/>
      <c r="G394" s="18"/>
      <c r="H394" s="30" t="s">
        <v>133</v>
      </c>
      <c r="I394" s="48">
        <f t="shared" ref="I394:I397" si="5">C400</f>
        <v>57904000</v>
      </c>
      <c r="J394" s="135"/>
      <c r="K394" s="56" t="s">
        <v>166</v>
      </c>
      <c r="L394" s="48">
        <v>-6.7122E7</v>
      </c>
    </row>
    <row r="395" ht="22.5" customHeight="1">
      <c r="A395" s="137" t="s">
        <v>167</v>
      </c>
      <c r="B395" s="56" t="s">
        <v>51</v>
      </c>
      <c r="C395" s="19">
        <v>3.24602E7</v>
      </c>
      <c r="D395" s="48"/>
      <c r="E395" s="96">
        <f>C399</f>
        <v>62046000</v>
      </c>
      <c r="G395" s="18"/>
      <c r="H395" s="30" t="s">
        <v>134</v>
      </c>
      <c r="I395" s="48">
        <f t="shared" si="5"/>
        <v>34938000</v>
      </c>
      <c r="J395" s="22"/>
      <c r="K395" s="56" t="s">
        <v>99</v>
      </c>
      <c r="L395" s="122">
        <f>SUM(L394)</f>
        <v>-67122000</v>
      </c>
    </row>
    <row r="396" ht="22.5" customHeight="1">
      <c r="A396" s="18"/>
      <c r="B396" s="56" t="s">
        <v>168</v>
      </c>
      <c r="C396" s="19">
        <v>-3750000.0</v>
      </c>
      <c r="D396" s="48"/>
      <c r="E396" s="18"/>
      <c r="G396" s="18"/>
      <c r="H396" s="30" t="s">
        <v>135</v>
      </c>
      <c r="I396" s="48">
        <f t="shared" si="5"/>
        <v>41528000</v>
      </c>
      <c r="J396" s="143"/>
      <c r="K396" s="133"/>
      <c r="L396" s="51"/>
    </row>
    <row r="397" ht="22.5" customHeight="1">
      <c r="A397" s="18"/>
      <c r="B397" s="56" t="s">
        <v>53</v>
      </c>
      <c r="C397" s="19">
        <v>2.79341E7</v>
      </c>
      <c r="D397" s="48"/>
      <c r="E397" s="18"/>
      <c r="G397" s="18"/>
      <c r="H397" s="30" t="s">
        <v>137</v>
      </c>
      <c r="I397" s="48">
        <f t="shared" si="5"/>
        <v>33298000</v>
      </c>
      <c r="J397" s="135" t="s">
        <v>169</v>
      </c>
      <c r="K397" s="133" t="s">
        <v>151</v>
      </c>
      <c r="L397" s="51">
        <v>4.56319E8</v>
      </c>
    </row>
    <row r="398" ht="22.5" customHeight="1">
      <c r="A398" s="18"/>
      <c r="B398" s="56" t="s">
        <v>55</v>
      </c>
      <c r="C398" s="19">
        <v>1.45164E7</v>
      </c>
      <c r="D398" s="48"/>
      <c r="E398" s="18"/>
      <c r="G398" s="22"/>
      <c r="H398" s="56" t="s">
        <v>99</v>
      </c>
      <c r="I398" s="122" t="str">
        <f>SUM(I392:I397)</f>
        <v>#REF!</v>
      </c>
      <c r="J398" s="18"/>
      <c r="K398" s="56" t="s">
        <v>170</v>
      </c>
      <c r="L398" s="48">
        <v>9.48E7</v>
      </c>
    </row>
    <row r="399" ht="22.5" customHeight="1">
      <c r="A399" s="22"/>
      <c r="B399" s="56" t="s">
        <v>57</v>
      </c>
      <c r="C399" s="19">
        <v>6.2046E7</v>
      </c>
      <c r="D399" s="48"/>
      <c r="E399" s="22"/>
      <c r="G399" s="125" t="str">
        <f>A404</f>
        <v>BÌNH MINH</v>
      </c>
      <c r="H399" s="30" t="s">
        <v>81</v>
      </c>
      <c r="I399" s="48">
        <v>9000000.0</v>
      </c>
      <c r="J399" s="18"/>
      <c r="K399" s="56" t="s">
        <v>171</v>
      </c>
      <c r="L399" s="48"/>
    </row>
    <row r="400" ht="22.5" customHeight="1">
      <c r="A400" s="137" t="s">
        <v>172</v>
      </c>
      <c r="B400" s="56" t="s">
        <v>51</v>
      </c>
      <c r="C400" s="19">
        <v>5.7904E7</v>
      </c>
      <c r="D400" s="48"/>
      <c r="E400" s="96">
        <f>SUM(C400:C403)</f>
        <v>167668000</v>
      </c>
      <c r="G400" s="18"/>
      <c r="H400" s="30" t="s">
        <v>133</v>
      </c>
      <c r="I400" s="48">
        <f t="shared" ref="I400:I403" si="6">C404</f>
        <v>38080000</v>
      </c>
      <c r="J400" s="18"/>
      <c r="K400" s="56" t="s">
        <v>173</v>
      </c>
      <c r="L400" s="48">
        <v>-1160000.0</v>
      </c>
    </row>
    <row r="401" ht="22.5" customHeight="1">
      <c r="A401" s="18"/>
      <c r="B401" s="56" t="s">
        <v>53</v>
      </c>
      <c r="C401" s="19">
        <v>3.4938E7</v>
      </c>
      <c r="D401" s="48"/>
      <c r="E401" s="18"/>
      <c r="G401" s="18"/>
      <c r="H401" s="30" t="s">
        <v>134</v>
      </c>
      <c r="I401" s="48">
        <f t="shared" si="6"/>
        <v>44459500</v>
      </c>
      <c r="J401" s="18"/>
      <c r="K401" s="56" t="s">
        <v>174</v>
      </c>
      <c r="L401" s="48">
        <v>-1300000.0</v>
      </c>
    </row>
    <row r="402" ht="22.5" customHeight="1">
      <c r="A402" s="18"/>
      <c r="B402" s="56" t="s">
        <v>55</v>
      </c>
      <c r="C402" s="19">
        <v>4.1528E7</v>
      </c>
      <c r="D402" s="48"/>
      <c r="E402" s="18"/>
      <c r="F402" s="20" t="s">
        <v>175</v>
      </c>
      <c r="G402" s="18"/>
      <c r="H402" s="30" t="s">
        <v>135</v>
      </c>
      <c r="I402" s="48">
        <f t="shared" si="6"/>
        <v>66636500</v>
      </c>
      <c r="J402" s="18"/>
      <c r="K402" s="56" t="s">
        <v>176</v>
      </c>
      <c r="L402" s="48">
        <v>-620000.0</v>
      </c>
    </row>
    <row r="403" ht="22.5" customHeight="1">
      <c r="A403" s="22"/>
      <c r="B403" s="56" t="s">
        <v>57</v>
      </c>
      <c r="C403" s="19">
        <v>3.3298E7</v>
      </c>
      <c r="D403" s="48"/>
      <c r="E403" s="22"/>
      <c r="G403" s="18"/>
      <c r="H403" s="30" t="s">
        <v>137</v>
      </c>
      <c r="I403" s="48">
        <f t="shared" si="6"/>
        <v>123074000</v>
      </c>
      <c r="J403" s="18"/>
      <c r="K403" s="56" t="s">
        <v>177</v>
      </c>
      <c r="L403" s="48">
        <v>-4200000.0</v>
      </c>
    </row>
    <row r="404" ht="27.75" customHeight="1">
      <c r="A404" s="137" t="s">
        <v>178</v>
      </c>
      <c r="B404" s="56" t="s">
        <v>51</v>
      </c>
      <c r="C404" s="19">
        <v>3.808E7</v>
      </c>
      <c r="D404" s="48"/>
      <c r="E404" s="96">
        <f>SUM(C404:C407)</f>
        <v>272250000</v>
      </c>
      <c r="G404" s="22"/>
      <c r="H404" s="56" t="s">
        <v>99</v>
      </c>
      <c r="I404" s="122">
        <f>SUM(I399:I403)</f>
        <v>281250000</v>
      </c>
      <c r="J404" s="18"/>
      <c r="K404" s="56" t="s">
        <v>179</v>
      </c>
      <c r="L404" s="48">
        <v>-600000.0</v>
      </c>
    </row>
    <row r="405" ht="27.75" customHeight="1">
      <c r="A405" s="18"/>
      <c r="B405" s="56" t="s">
        <v>53</v>
      </c>
      <c r="C405" s="19">
        <v>4.44595E7</v>
      </c>
      <c r="D405" s="48"/>
      <c r="E405" s="18"/>
      <c r="G405" s="125" t="str">
        <f>A408</f>
        <v>THẠNH PHÚ</v>
      </c>
      <c r="H405" s="30" t="s">
        <v>81</v>
      </c>
      <c r="I405" s="115">
        <v>7.91774E7</v>
      </c>
      <c r="J405" s="18"/>
      <c r="K405" s="56" t="s">
        <v>180</v>
      </c>
      <c r="L405" s="48">
        <v>-1000000.0</v>
      </c>
    </row>
    <row r="406" ht="27.75" customHeight="1">
      <c r="A406" s="18"/>
      <c r="B406" s="56" t="s">
        <v>55</v>
      </c>
      <c r="C406" s="19">
        <v>6.66365E7</v>
      </c>
      <c r="D406" s="48"/>
      <c r="E406" s="18"/>
      <c r="G406" s="18"/>
      <c r="H406" s="30" t="s">
        <v>133</v>
      </c>
      <c r="I406" s="48">
        <f>C408</f>
        <v>20583800</v>
      </c>
      <c r="J406" s="18"/>
      <c r="K406" s="56" t="s">
        <v>181</v>
      </c>
      <c r="L406" s="48">
        <v>-750000.0</v>
      </c>
    </row>
    <row r="407" ht="27.75" customHeight="1">
      <c r="A407" s="22"/>
      <c r="B407" s="56" t="s">
        <v>57</v>
      </c>
      <c r="C407" s="19">
        <v>1.23074E8</v>
      </c>
      <c r="D407" s="48"/>
      <c r="E407" s="22"/>
      <c r="G407" s="18"/>
      <c r="H407" s="30" t="s">
        <v>134</v>
      </c>
      <c r="I407" s="48">
        <v>1.91289E7</v>
      </c>
      <c r="J407" s="22"/>
      <c r="K407" s="56" t="s">
        <v>99</v>
      </c>
      <c r="L407" s="122">
        <f>SUM(L397:L406)</f>
        <v>541489000</v>
      </c>
    </row>
    <row r="408" ht="27.75" customHeight="1">
      <c r="A408" s="125" t="s">
        <v>182</v>
      </c>
      <c r="B408" s="56" t="s">
        <v>51</v>
      </c>
      <c r="C408" s="19">
        <v>2.05838E7</v>
      </c>
      <c r="D408" s="48"/>
      <c r="E408" s="96">
        <f>SUM(C408:C411)</f>
        <v>82841200</v>
      </c>
      <c r="G408" s="18"/>
      <c r="H408" s="30" t="s">
        <v>135</v>
      </c>
      <c r="I408" s="48">
        <f t="shared" ref="I408:I409" si="7">C410</f>
        <v>8584000</v>
      </c>
      <c r="J408" s="135" t="s">
        <v>183</v>
      </c>
      <c r="K408" s="133" t="s">
        <v>151</v>
      </c>
      <c r="L408" s="51">
        <v>7.29694E8</v>
      </c>
    </row>
    <row r="409" ht="27.75" customHeight="1">
      <c r="A409" s="18"/>
      <c r="B409" s="56" t="s">
        <v>53</v>
      </c>
      <c r="C409" s="19">
        <v>1.91289E7</v>
      </c>
      <c r="D409" s="48"/>
      <c r="E409" s="18"/>
      <c r="G409" s="18"/>
      <c r="H409" s="30" t="s">
        <v>137</v>
      </c>
      <c r="I409" s="48">
        <f t="shared" si="7"/>
        <v>34544500</v>
      </c>
      <c r="J409" s="18"/>
      <c r="K409" s="56"/>
      <c r="L409" s="48"/>
    </row>
    <row r="410" ht="27.75" customHeight="1">
      <c r="A410" s="18"/>
      <c r="B410" s="56" t="s">
        <v>55</v>
      </c>
      <c r="C410" s="19">
        <v>8584000.0</v>
      </c>
      <c r="D410" s="48"/>
      <c r="E410" s="18"/>
      <c r="G410" s="22"/>
      <c r="H410" s="56" t="s">
        <v>99</v>
      </c>
      <c r="I410" s="122">
        <f>SUM(I405:I409)</f>
        <v>162018600</v>
      </c>
      <c r="J410" s="18"/>
      <c r="K410" s="56"/>
      <c r="L410" s="48"/>
    </row>
    <row r="411" ht="27.75" customHeight="1">
      <c r="A411" s="22"/>
      <c r="B411" s="56" t="s">
        <v>57</v>
      </c>
      <c r="C411" s="19">
        <v>3.45445E7</v>
      </c>
      <c r="D411" s="48"/>
      <c r="E411" s="22"/>
      <c r="G411" s="124" t="s">
        <v>161</v>
      </c>
      <c r="H411" s="5"/>
      <c r="I411" s="48">
        <v>1.33234E8</v>
      </c>
      <c r="J411" s="22"/>
      <c r="K411" s="56" t="s">
        <v>99</v>
      </c>
      <c r="L411" s="122">
        <f>SUM(L408:L410)</f>
        <v>729694000</v>
      </c>
    </row>
    <row r="412" ht="27.75" customHeight="1">
      <c r="A412" s="137" t="s">
        <v>184</v>
      </c>
      <c r="B412" s="56" t="s">
        <v>51</v>
      </c>
      <c r="C412" s="19">
        <v>1.80585E7</v>
      </c>
      <c r="D412" s="48"/>
      <c r="E412" s="96">
        <f>SUM(C412:C415)</f>
        <v>83116000</v>
      </c>
      <c r="G412" s="144" t="s">
        <v>152</v>
      </c>
      <c r="H412" s="5"/>
      <c r="I412" s="122">
        <f>I410+I411</f>
        <v>295252600</v>
      </c>
      <c r="J412" s="135" t="s">
        <v>185</v>
      </c>
      <c r="K412" s="133" t="s">
        <v>151</v>
      </c>
      <c r="L412" s="51">
        <v>3.15851E8</v>
      </c>
    </row>
    <row r="413" ht="27.75" customHeight="1">
      <c r="A413" s="18"/>
      <c r="B413" s="56" t="s">
        <v>53</v>
      </c>
      <c r="C413" s="19">
        <v>2.55555E7</v>
      </c>
      <c r="D413" s="48"/>
      <c r="E413" s="18"/>
      <c r="J413" s="18"/>
      <c r="K413" s="56" t="s">
        <v>186</v>
      </c>
      <c r="L413" s="48">
        <f>-18*800000</f>
        <v>-14400000</v>
      </c>
    </row>
    <row r="414" ht="27.75" customHeight="1">
      <c r="A414" s="18"/>
      <c r="B414" s="56" t="s">
        <v>55</v>
      </c>
      <c r="C414" s="19">
        <v>2.391E7</v>
      </c>
      <c r="D414" s="48"/>
      <c r="E414" s="18"/>
      <c r="J414" s="18"/>
      <c r="K414" s="56" t="s">
        <v>187</v>
      </c>
      <c r="L414" s="48">
        <v>-460000.0</v>
      </c>
    </row>
    <row r="415" ht="27.75" customHeight="1">
      <c r="A415" s="22"/>
      <c r="B415" s="56" t="s">
        <v>57</v>
      </c>
      <c r="C415" s="19">
        <v>1.5592E7</v>
      </c>
      <c r="D415" s="48"/>
      <c r="E415" s="22"/>
      <c r="J415" s="22"/>
      <c r="K415" s="56" t="s">
        <v>99</v>
      </c>
      <c r="L415" s="122">
        <f>SUM(L412:L414)</f>
        <v>300991000</v>
      </c>
    </row>
    <row r="416" ht="27.75" customHeight="1">
      <c r="A416" s="125" t="s">
        <v>188</v>
      </c>
      <c r="B416" s="56" t="s">
        <v>51</v>
      </c>
      <c r="C416" s="19">
        <v>1.37775E7</v>
      </c>
      <c r="D416" s="48" t="s">
        <v>7</v>
      </c>
      <c r="E416" s="145">
        <f>C418+C419</f>
        <v>147261000</v>
      </c>
      <c r="J416" s="125" t="str">
        <f>A412</f>
        <v>GÒ QUAO</v>
      </c>
      <c r="K416" s="30" t="s">
        <v>81</v>
      </c>
      <c r="L416" s="48" t="str">
        <f>'THÁNG 11'!E409-30000000-30000000</f>
        <v>#REF!</v>
      </c>
    </row>
    <row r="417" ht="27.75" customHeight="1">
      <c r="A417" s="18"/>
      <c r="B417" s="56" t="s">
        <v>53</v>
      </c>
      <c r="C417" s="19">
        <v>4.6486E7</v>
      </c>
      <c r="D417" s="48" t="s">
        <v>7</v>
      </c>
      <c r="E417" s="18"/>
      <c r="G417" s="135" t="s">
        <v>189</v>
      </c>
      <c r="H417" s="30" t="s">
        <v>133</v>
      </c>
      <c r="I417" s="48">
        <f t="shared" ref="I417:I420" si="8">C420</f>
        <v>34590000</v>
      </c>
      <c r="J417" s="18"/>
      <c r="K417" s="30" t="s">
        <v>133</v>
      </c>
      <c r="L417" s="48">
        <f t="shared" ref="L417:L420" si="9">C412</f>
        <v>18058500</v>
      </c>
    </row>
    <row r="418" ht="27.75" customHeight="1">
      <c r="A418" s="18"/>
      <c r="B418" s="56" t="s">
        <v>55</v>
      </c>
      <c r="C418" s="19">
        <v>8.73765E7</v>
      </c>
      <c r="D418" s="48"/>
      <c r="E418" s="18"/>
      <c r="G418" s="18"/>
      <c r="H418" s="30" t="s">
        <v>134</v>
      </c>
      <c r="I418" s="48">
        <f t="shared" si="8"/>
        <v>34952500</v>
      </c>
      <c r="J418" s="18"/>
      <c r="K418" s="30" t="s">
        <v>134</v>
      </c>
      <c r="L418" s="48">
        <f t="shared" si="9"/>
        <v>25555500</v>
      </c>
    </row>
    <row r="419" ht="27.75" customHeight="1">
      <c r="A419" s="22"/>
      <c r="B419" s="56" t="s">
        <v>57</v>
      </c>
      <c r="C419" s="19">
        <v>5.98845E7</v>
      </c>
      <c r="D419" s="48"/>
      <c r="E419" s="22"/>
      <c r="G419" s="18"/>
      <c r="H419" s="30" t="s">
        <v>135</v>
      </c>
      <c r="I419" s="48">
        <f t="shared" si="8"/>
        <v>17063000</v>
      </c>
      <c r="J419" s="18"/>
      <c r="K419" s="30" t="s">
        <v>135</v>
      </c>
      <c r="L419" s="48">
        <f t="shared" si="9"/>
        <v>23910000</v>
      </c>
    </row>
    <row r="420" ht="28.5" customHeight="1">
      <c r="A420" s="137" t="s">
        <v>190</v>
      </c>
      <c r="B420" s="56" t="s">
        <v>51</v>
      </c>
      <c r="C420" s="19">
        <v>3.459E7</v>
      </c>
      <c r="D420" s="48"/>
      <c r="E420" s="96">
        <f>SUM(C420:C423)</f>
        <v>171057500</v>
      </c>
      <c r="G420" s="18"/>
      <c r="H420" s="30" t="s">
        <v>137</v>
      </c>
      <c r="I420" s="48">
        <f t="shared" si="8"/>
        <v>84452000</v>
      </c>
      <c r="J420" s="18"/>
      <c r="K420" s="30" t="s">
        <v>137</v>
      </c>
      <c r="L420" s="48">
        <f t="shared" si="9"/>
        <v>15592000</v>
      </c>
    </row>
    <row r="421" ht="28.5" customHeight="1">
      <c r="A421" s="18"/>
      <c r="B421" s="56" t="s">
        <v>53</v>
      </c>
      <c r="C421" s="19">
        <v>3.49525E7</v>
      </c>
      <c r="D421" s="48"/>
      <c r="E421" s="18"/>
      <c r="G421" s="18"/>
      <c r="H421" s="56" t="s">
        <v>99</v>
      </c>
      <c r="I421" s="122">
        <f>SUM(I417:I420)</f>
        <v>171057500</v>
      </c>
      <c r="J421" s="22"/>
      <c r="K421" s="56" t="s">
        <v>99</v>
      </c>
      <c r="L421" s="122" t="str">
        <f>SUM(L416:L420)</f>
        <v>#REF!</v>
      </c>
    </row>
    <row r="422" ht="28.5" customHeight="1">
      <c r="A422" s="18"/>
      <c r="B422" s="56" t="s">
        <v>55</v>
      </c>
      <c r="C422" s="19">
        <v>1.7063E7</v>
      </c>
      <c r="D422" s="48"/>
      <c r="E422" s="18"/>
      <c r="G422" s="18"/>
      <c r="H422" s="133" t="s">
        <v>151</v>
      </c>
      <c r="I422" s="51">
        <v>1.1408E8</v>
      </c>
    </row>
    <row r="423" ht="28.5" customHeight="1">
      <c r="A423" s="22"/>
      <c r="B423" s="56" t="s">
        <v>57</v>
      </c>
      <c r="C423" s="19">
        <v>8.4452E7</v>
      </c>
      <c r="D423" s="48"/>
      <c r="E423" s="22"/>
      <c r="G423" s="144" t="s">
        <v>152</v>
      </c>
      <c r="H423" s="5"/>
      <c r="I423" s="146">
        <f>SUM(I421:I422)</f>
        <v>285137500</v>
      </c>
      <c r="J423" s="135" t="s">
        <v>191</v>
      </c>
      <c r="K423" s="30" t="s">
        <v>135</v>
      </c>
      <c r="L423" s="48">
        <f t="shared" ref="L423:L424" si="10">C426</f>
        <v>125213000</v>
      </c>
    </row>
    <row r="424" ht="27.0" customHeight="1">
      <c r="A424" s="137" t="s">
        <v>192</v>
      </c>
      <c r="B424" s="56" t="s">
        <v>51</v>
      </c>
      <c r="C424" s="19">
        <v>5.08435E7</v>
      </c>
      <c r="D424" s="48" t="s">
        <v>7</v>
      </c>
      <c r="E424" s="96">
        <v>0.0</v>
      </c>
      <c r="J424" s="18"/>
      <c r="K424" s="30" t="s">
        <v>137</v>
      </c>
      <c r="L424" s="48">
        <f t="shared" si="10"/>
        <v>105038700</v>
      </c>
    </row>
    <row r="425" ht="27.0" customHeight="1">
      <c r="A425" s="18"/>
      <c r="B425" s="56" t="s">
        <v>53</v>
      </c>
      <c r="C425" s="19">
        <v>2.66385E7</v>
      </c>
      <c r="D425" s="48" t="s">
        <v>7</v>
      </c>
      <c r="E425" s="18"/>
      <c r="J425" s="18"/>
      <c r="K425" s="30" t="s">
        <v>193</v>
      </c>
      <c r="L425" s="48">
        <v>1.74E7</v>
      </c>
      <c r="N425" s="20">
        <f>69.5*30000</f>
        <v>2085000</v>
      </c>
    </row>
    <row r="426" ht="114.75" customHeight="1">
      <c r="A426" s="18"/>
      <c r="B426" s="56" t="s">
        <v>55</v>
      </c>
      <c r="C426" s="19">
        <v>1.25213E8</v>
      </c>
      <c r="D426" s="48"/>
      <c r="E426" s="18"/>
      <c r="J426" s="18"/>
      <c r="K426" s="30" t="s">
        <v>194</v>
      </c>
      <c r="L426" s="48">
        <f>-4800000-3572000-150000-1350000-1500000-2800000</f>
        <v>-14172000</v>
      </c>
    </row>
    <row r="427" ht="27.0" customHeight="1">
      <c r="A427" s="22"/>
      <c r="B427" s="56" t="s">
        <v>57</v>
      </c>
      <c r="C427" s="19">
        <v>1.050387E8</v>
      </c>
      <c r="D427" s="48"/>
      <c r="E427" s="22"/>
      <c r="F427" s="20" t="s">
        <v>195</v>
      </c>
      <c r="J427" s="18"/>
      <c r="K427" s="133" t="s">
        <v>99</v>
      </c>
      <c r="L427" s="122">
        <f>SUM(L423:L426)</f>
        <v>233479700</v>
      </c>
    </row>
    <row r="428" ht="27.0" customHeight="1">
      <c r="A428" s="125" t="s">
        <v>196</v>
      </c>
      <c r="B428" s="56" t="s">
        <v>51</v>
      </c>
      <c r="C428" s="19">
        <v>9.4395E7</v>
      </c>
      <c r="D428" s="48"/>
      <c r="E428" s="96">
        <v>0.0</v>
      </c>
      <c r="G428" s="135" t="s">
        <v>197</v>
      </c>
      <c r="H428" s="133" t="s">
        <v>151</v>
      </c>
      <c r="I428" s="51">
        <v>5.48422E8</v>
      </c>
      <c r="J428" s="124" t="s">
        <v>151</v>
      </c>
      <c r="K428" s="5"/>
      <c r="L428" s="48">
        <v>8.30393E8</v>
      </c>
    </row>
    <row r="429" ht="27.0" customHeight="1">
      <c r="A429" s="18"/>
      <c r="B429" s="56" t="s">
        <v>53</v>
      </c>
      <c r="C429" s="19">
        <v>3.757E7</v>
      </c>
      <c r="D429" s="48"/>
      <c r="E429" s="18"/>
      <c r="G429" s="18"/>
      <c r="H429" s="56" t="s">
        <v>198</v>
      </c>
      <c r="I429" s="48">
        <v>-1.1202E7</v>
      </c>
      <c r="J429" s="124" t="s">
        <v>199</v>
      </c>
      <c r="K429" s="5"/>
      <c r="L429" s="48">
        <v>5022701.0</v>
      </c>
    </row>
    <row r="430" ht="27.0" customHeight="1">
      <c r="A430" s="18"/>
      <c r="B430" s="56" t="s">
        <v>55</v>
      </c>
      <c r="C430" s="19">
        <v>6.9262E7</v>
      </c>
      <c r="D430" s="48"/>
      <c r="E430" s="18"/>
      <c r="F430" s="20">
        <v>68270.0</v>
      </c>
      <c r="G430" s="18"/>
      <c r="H430" s="56"/>
      <c r="I430" s="48"/>
      <c r="J430" s="144" t="s">
        <v>152</v>
      </c>
      <c r="K430" s="5"/>
      <c r="L430" s="147">
        <f>SUM(L427:L429)</f>
        <v>1068895401</v>
      </c>
    </row>
    <row r="431" ht="27.0" customHeight="1">
      <c r="A431" s="22"/>
      <c r="B431" s="56" t="s">
        <v>57</v>
      </c>
      <c r="C431" s="19">
        <v>2.73295E7</v>
      </c>
      <c r="D431" s="48"/>
      <c r="E431" s="22"/>
      <c r="F431" s="20">
        <v>467709.0</v>
      </c>
      <c r="G431" s="22"/>
      <c r="H431" s="56" t="s">
        <v>99</v>
      </c>
      <c r="I431" s="122">
        <f>SUM(I428:I430)</f>
        <v>537220000</v>
      </c>
    </row>
    <row r="432" ht="27.0" customHeight="1">
      <c r="A432" s="125" t="s">
        <v>200</v>
      </c>
      <c r="B432" s="56" t="s">
        <v>51</v>
      </c>
      <c r="C432" s="19">
        <v>0.0</v>
      </c>
      <c r="D432" s="48"/>
      <c r="E432" s="145">
        <f>SUM(C432:C435)</f>
        <v>151160500</v>
      </c>
      <c r="G432" s="135" t="s">
        <v>201</v>
      </c>
      <c r="H432" s="30" t="s">
        <v>134</v>
      </c>
      <c r="I432" s="48">
        <v>4.6972E7</v>
      </c>
    </row>
    <row r="433" ht="27.0" customHeight="1">
      <c r="A433" s="18"/>
      <c r="B433" s="56" t="s">
        <v>53</v>
      </c>
      <c r="C433" s="19">
        <v>4.6972E7</v>
      </c>
      <c r="D433" s="48"/>
      <c r="E433" s="18"/>
      <c r="G433" s="18"/>
      <c r="H433" s="30" t="s">
        <v>135</v>
      </c>
      <c r="I433" s="48">
        <v>5.5721E7</v>
      </c>
    </row>
    <row r="434" ht="27.0" customHeight="1">
      <c r="A434" s="18"/>
      <c r="B434" s="56" t="s">
        <v>55</v>
      </c>
      <c r="C434" s="19">
        <v>5.5721E7</v>
      </c>
      <c r="D434" s="48"/>
      <c r="E434" s="18"/>
      <c r="G434" s="18"/>
      <c r="H434" s="30" t="s">
        <v>137</v>
      </c>
      <c r="I434" s="48">
        <f>C435</f>
        <v>48467500</v>
      </c>
    </row>
    <row r="435" ht="27.0" customHeight="1">
      <c r="A435" s="22"/>
      <c r="B435" s="56" t="s">
        <v>57</v>
      </c>
      <c r="C435" s="19">
        <v>4.84675E7</v>
      </c>
      <c r="D435" s="48"/>
      <c r="E435" s="22"/>
      <c r="G435" s="18"/>
      <c r="H435" s="56" t="s">
        <v>99</v>
      </c>
      <c r="I435" s="122">
        <f>SUM(I432:I434)</f>
        <v>151160500</v>
      </c>
    </row>
    <row r="436" ht="27.0" customHeight="1">
      <c r="A436" s="125" t="s">
        <v>202</v>
      </c>
      <c r="B436" s="56" t="s">
        <v>51</v>
      </c>
      <c r="C436" s="19">
        <v>0.0</v>
      </c>
      <c r="D436" s="48"/>
      <c r="E436" s="96">
        <f>SUM(C436:C439)</f>
        <v>126239500</v>
      </c>
      <c r="G436" s="18"/>
      <c r="H436" s="133" t="s">
        <v>151</v>
      </c>
      <c r="I436" s="51">
        <v>7.91183E8</v>
      </c>
    </row>
    <row r="437" ht="27.0" customHeight="1">
      <c r="A437" s="18"/>
      <c r="B437" s="56" t="s">
        <v>53</v>
      </c>
      <c r="C437" s="19">
        <v>0.0</v>
      </c>
      <c r="D437" s="48"/>
      <c r="E437" s="18"/>
      <c r="G437" s="18"/>
      <c r="H437" s="30" t="s">
        <v>203</v>
      </c>
      <c r="I437" s="48">
        <f>-2000000-3500000-2000000-6750000</f>
        <v>-14250000</v>
      </c>
    </row>
    <row r="438" ht="27.0" customHeight="1">
      <c r="A438" s="18"/>
      <c r="B438" s="56" t="s">
        <v>55</v>
      </c>
      <c r="C438" s="19">
        <f>51948000-1251000</f>
        <v>50697000</v>
      </c>
      <c r="D438" s="48"/>
      <c r="E438" s="18"/>
      <c r="G438" s="144" t="s">
        <v>152</v>
      </c>
      <c r="H438" s="5"/>
      <c r="I438" s="146">
        <f>SUM(I435:I437)</f>
        <v>928093500</v>
      </c>
    </row>
    <row r="439" ht="27.0" customHeight="1">
      <c r="A439" s="22"/>
      <c r="B439" s="56" t="s">
        <v>57</v>
      </c>
      <c r="C439" s="19">
        <v>7.55425E7</v>
      </c>
      <c r="D439" s="48"/>
      <c r="E439" s="22"/>
      <c r="G439" s="135" t="s">
        <v>204</v>
      </c>
      <c r="H439" s="30" t="s">
        <v>135</v>
      </c>
      <c r="I439" s="48">
        <v>4.15701E7</v>
      </c>
    </row>
    <row r="440" ht="25.5" customHeight="1">
      <c r="A440" s="137" t="s">
        <v>205</v>
      </c>
      <c r="B440" s="56" t="s">
        <v>51</v>
      </c>
      <c r="C440" s="19">
        <v>0.0</v>
      </c>
      <c r="D440" s="48"/>
      <c r="E440" s="96">
        <f>SUM(C440:C443)</f>
        <v>153709900</v>
      </c>
      <c r="F440" s="148"/>
      <c r="G440" s="18"/>
      <c r="H440" s="30" t="s">
        <v>137</v>
      </c>
      <c r="I440" s="48">
        <v>7.24998E7</v>
      </c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</row>
    <row r="441" ht="25.5" customHeight="1">
      <c r="A441" s="18"/>
      <c r="B441" s="56" t="s">
        <v>53</v>
      </c>
      <c r="C441" s="19">
        <v>3.964E7</v>
      </c>
      <c r="D441" s="48"/>
      <c r="E441" s="18"/>
      <c r="F441" s="148"/>
      <c r="G441" s="18"/>
      <c r="H441" s="30" t="s">
        <v>206</v>
      </c>
      <c r="I441" s="48">
        <f>-720000-100000-223000</f>
        <v>-1043000</v>
      </c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</row>
    <row r="442" ht="25.5" customHeight="1">
      <c r="A442" s="18"/>
      <c r="B442" s="56" t="s">
        <v>55</v>
      </c>
      <c r="C442" s="19">
        <v>4.15701E7</v>
      </c>
      <c r="D442" s="48"/>
      <c r="E442" s="18"/>
      <c r="F442" s="148"/>
      <c r="G442" s="22"/>
      <c r="H442" s="56" t="s">
        <v>99</v>
      </c>
      <c r="I442" s="122">
        <f>SUM(I439:I441)</f>
        <v>113026900</v>
      </c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</row>
    <row r="443" ht="25.5" customHeight="1">
      <c r="A443" s="22"/>
      <c r="B443" s="56" t="s">
        <v>57</v>
      </c>
      <c r="C443" s="19">
        <v>7.24998E7</v>
      </c>
      <c r="D443" s="48"/>
      <c r="E443" s="22"/>
      <c r="F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</row>
    <row r="444" ht="24.0" customHeight="1">
      <c r="A444" s="137" t="s">
        <v>207</v>
      </c>
      <c r="B444" s="56" t="s">
        <v>51</v>
      </c>
      <c r="C444" s="19">
        <v>0.0</v>
      </c>
      <c r="D444" s="48"/>
      <c r="E444" s="145">
        <f>SUM(C444:C447)</f>
        <v>89225000</v>
      </c>
      <c r="G444" s="135" t="s">
        <v>208</v>
      </c>
      <c r="H444" s="30" t="s">
        <v>151</v>
      </c>
      <c r="I444" s="48">
        <v>4.80039E8</v>
      </c>
    </row>
    <row r="445" ht="24.0" customHeight="1">
      <c r="A445" s="18"/>
      <c r="B445" s="56" t="s">
        <v>53</v>
      </c>
      <c r="C445" s="19">
        <v>0.0</v>
      </c>
      <c r="D445" s="48"/>
      <c r="E445" s="18"/>
      <c r="G445" s="18"/>
      <c r="H445" s="30" t="s">
        <v>209</v>
      </c>
      <c r="I445" s="48">
        <v>-6800000.0</v>
      </c>
    </row>
    <row r="446" ht="34.5" customHeight="1">
      <c r="A446" s="18"/>
      <c r="B446" s="56" t="s">
        <v>55</v>
      </c>
      <c r="C446" s="19">
        <v>6.827E7</v>
      </c>
      <c r="D446" s="48"/>
      <c r="E446" s="18"/>
      <c r="G446" s="18"/>
      <c r="H446" s="30" t="s">
        <v>210</v>
      </c>
      <c r="I446" s="48">
        <f>-200000-650000-4680000</f>
        <v>-5530000</v>
      </c>
    </row>
    <row r="447" ht="24.0" customHeight="1">
      <c r="A447" s="22"/>
      <c r="B447" s="56" t="s">
        <v>57</v>
      </c>
      <c r="C447" s="19">
        <v>2.0955E7</v>
      </c>
      <c r="D447" s="48"/>
      <c r="E447" s="22"/>
      <c r="G447" s="22"/>
      <c r="H447" s="56" t="s">
        <v>99</v>
      </c>
      <c r="I447" s="122">
        <f>SUM(I444:I446)</f>
        <v>467709000</v>
      </c>
    </row>
    <row r="448" ht="24.0" customHeight="1">
      <c r="A448" s="125" t="s">
        <v>211</v>
      </c>
      <c r="B448" s="56" t="s">
        <v>51</v>
      </c>
      <c r="C448" s="19">
        <v>0.0</v>
      </c>
      <c r="D448" s="48"/>
      <c r="E448" s="145">
        <f>SUM(C448:C451)</f>
        <v>0</v>
      </c>
      <c r="G448" s="135" t="s">
        <v>212</v>
      </c>
      <c r="H448" s="30" t="s">
        <v>151</v>
      </c>
      <c r="I448" s="48">
        <v>4.63179E8</v>
      </c>
    </row>
    <row r="449" ht="24.0" customHeight="1">
      <c r="A449" s="18"/>
      <c r="B449" s="56" t="s">
        <v>53</v>
      </c>
      <c r="C449" s="19">
        <v>0.0</v>
      </c>
      <c r="D449" s="48"/>
      <c r="E449" s="18"/>
      <c r="G449" s="18"/>
      <c r="H449" s="30" t="s">
        <v>213</v>
      </c>
      <c r="I449" s="48">
        <v>-1500000.0</v>
      </c>
    </row>
    <row r="450" ht="36.75" customHeight="1">
      <c r="A450" s="18"/>
      <c r="B450" s="56" t="s">
        <v>55</v>
      </c>
      <c r="C450" s="19">
        <v>0.0</v>
      </c>
      <c r="D450" s="48"/>
      <c r="E450" s="18"/>
      <c r="G450" s="18"/>
      <c r="H450" s="30" t="s">
        <v>214</v>
      </c>
      <c r="I450" s="48">
        <f>-1650000+100000</f>
        <v>-1550000</v>
      </c>
    </row>
    <row r="451" ht="24.0" customHeight="1">
      <c r="A451" s="22"/>
      <c r="B451" s="56" t="s">
        <v>57</v>
      </c>
      <c r="C451" s="19">
        <v>0.0</v>
      </c>
      <c r="D451" s="48"/>
      <c r="E451" s="22"/>
      <c r="G451" s="22"/>
      <c r="H451" s="56" t="s">
        <v>99</v>
      </c>
      <c r="I451" s="122">
        <f>SUM(I448:I450)</f>
        <v>460129000</v>
      </c>
    </row>
    <row r="452" ht="24.0" customHeight="1">
      <c r="A452" s="125" t="s">
        <v>215</v>
      </c>
      <c r="B452" s="56" t="s">
        <v>51</v>
      </c>
      <c r="C452" s="19">
        <v>0.0</v>
      </c>
      <c r="D452" s="48"/>
      <c r="E452" s="145">
        <f>SUM(C452:C455)</f>
        <v>2450000</v>
      </c>
    </row>
    <row r="453" ht="24.0" customHeight="1">
      <c r="A453" s="18"/>
      <c r="B453" s="56" t="s">
        <v>53</v>
      </c>
      <c r="C453" s="19">
        <v>0.0</v>
      </c>
      <c r="D453" s="48"/>
      <c r="E453" s="18"/>
    </row>
    <row r="454" ht="27.0" customHeight="1">
      <c r="A454" s="18"/>
      <c r="B454" s="56" t="s">
        <v>55</v>
      </c>
      <c r="C454" s="19">
        <v>0.0</v>
      </c>
      <c r="D454" s="48"/>
      <c r="E454" s="18"/>
    </row>
    <row r="455" ht="24.0" customHeight="1">
      <c r="A455" s="22"/>
      <c r="B455" s="56" t="s">
        <v>57</v>
      </c>
      <c r="C455" s="19">
        <v>2450000.0</v>
      </c>
      <c r="D455" s="48"/>
      <c r="E455" s="22"/>
    </row>
    <row r="456" ht="24.0" customHeight="1">
      <c r="A456" s="137" t="s">
        <v>216</v>
      </c>
      <c r="B456" s="56" t="s">
        <v>51</v>
      </c>
      <c r="C456" s="19">
        <v>0.0</v>
      </c>
      <c r="D456" s="48"/>
      <c r="E456" s="145">
        <f>SUM(C456:C459)</f>
        <v>40839500</v>
      </c>
    </row>
    <row r="457" ht="24.0" customHeight="1">
      <c r="A457" s="18"/>
      <c r="B457" s="56" t="s">
        <v>53</v>
      </c>
      <c r="C457" s="19">
        <v>0.0</v>
      </c>
      <c r="D457" s="48"/>
      <c r="E457" s="18"/>
    </row>
    <row r="458" ht="27.0" customHeight="1">
      <c r="A458" s="18"/>
      <c r="B458" s="56" t="s">
        <v>55</v>
      </c>
      <c r="C458" s="19">
        <v>0.0</v>
      </c>
      <c r="D458" s="48"/>
      <c r="E458" s="18"/>
    </row>
    <row r="459" ht="24.0" customHeight="1">
      <c r="A459" s="22"/>
      <c r="B459" s="56" t="s">
        <v>57</v>
      </c>
      <c r="C459" s="19">
        <v>4.08395E7</v>
      </c>
      <c r="D459" s="48"/>
      <c r="E459" s="22"/>
    </row>
    <row r="460" ht="15.75" customHeight="1">
      <c r="D460" s="2"/>
      <c r="E460" s="1"/>
    </row>
    <row r="461" ht="15.75" customHeight="1">
      <c r="D461" s="2"/>
      <c r="E461" s="1"/>
    </row>
    <row r="462" ht="15.75" customHeight="1">
      <c r="D462" s="2"/>
      <c r="E462" s="1"/>
    </row>
    <row r="463" ht="15.75" customHeight="1">
      <c r="D463" s="2"/>
      <c r="E463" s="1"/>
    </row>
    <row r="464" ht="15.75" customHeight="1">
      <c r="D464" s="2"/>
      <c r="E464" s="1"/>
    </row>
    <row r="465" ht="15.75" customHeight="1">
      <c r="D465" s="2"/>
      <c r="E465" s="1"/>
    </row>
    <row r="466" ht="15.75" customHeight="1">
      <c r="D466" s="2"/>
      <c r="E466" s="1"/>
    </row>
    <row r="467" ht="15.75" customHeight="1">
      <c r="D467" s="2"/>
      <c r="E467" s="1"/>
    </row>
    <row r="468" ht="15.75" customHeight="1">
      <c r="D468" s="2"/>
      <c r="E468" s="1"/>
    </row>
    <row r="469" ht="15.75" customHeight="1">
      <c r="D469" s="2"/>
      <c r="E469" s="1"/>
    </row>
    <row r="470" ht="15.75" customHeight="1">
      <c r="D470" s="2"/>
      <c r="E470" s="1"/>
    </row>
    <row r="471" ht="15.75" customHeight="1">
      <c r="D471" s="2"/>
      <c r="E471" s="1"/>
    </row>
    <row r="472" ht="15.75" customHeight="1">
      <c r="D472" s="2"/>
      <c r="E472" s="1"/>
    </row>
    <row r="473" ht="15.75" customHeight="1">
      <c r="D473" s="2"/>
      <c r="E473" s="1"/>
    </row>
    <row r="474" ht="15.75" customHeight="1">
      <c r="D474" s="2"/>
      <c r="E474" s="1"/>
    </row>
    <row r="475" ht="15.75" customHeight="1">
      <c r="D475" s="2"/>
      <c r="E475" s="1"/>
    </row>
    <row r="476" ht="15.75" customHeight="1">
      <c r="D476" s="2"/>
      <c r="E476" s="1"/>
    </row>
    <row r="477" ht="15.75" customHeight="1">
      <c r="D477" s="2"/>
      <c r="E477" s="1"/>
    </row>
    <row r="478" ht="15.75" customHeight="1">
      <c r="D478" s="2"/>
      <c r="E478" s="1"/>
    </row>
    <row r="479" ht="15.75" customHeight="1">
      <c r="D479" s="2"/>
      <c r="E479" s="1"/>
    </row>
    <row r="480" ht="15.75" customHeight="1">
      <c r="D480" s="2"/>
      <c r="E480" s="1"/>
    </row>
    <row r="481" ht="15.75" customHeight="1">
      <c r="D481" s="2"/>
      <c r="E481" s="1"/>
    </row>
    <row r="482" ht="15.75" customHeight="1">
      <c r="D482" s="2"/>
      <c r="E482" s="1"/>
    </row>
    <row r="483" ht="15.75" customHeight="1">
      <c r="D483" s="2"/>
      <c r="E483" s="1"/>
    </row>
    <row r="484" ht="15.75" customHeight="1">
      <c r="D484" s="2"/>
      <c r="E484" s="1"/>
    </row>
    <row r="485" ht="15.75" customHeight="1">
      <c r="D485" s="2"/>
      <c r="E485" s="1"/>
    </row>
    <row r="486" ht="15.75" customHeight="1">
      <c r="D486" s="2"/>
      <c r="E486" s="1"/>
    </row>
    <row r="487" ht="15.75" customHeight="1">
      <c r="D487" s="2"/>
      <c r="E487" s="1"/>
    </row>
    <row r="488" ht="15.75" customHeight="1">
      <c r="D488" s="2"/>
      <c r="E488" s="1"/>
    </row>
    <row r="489" ht="15.75" customHeight="1">
      <c r="D489" s="2"/>
      <c r="E489" s="1"/>
    </row>
    <row r="490" ht="15.75" customHeight="1">
      <c r="D490" s="2"/>
      <c r="E490" s="1"/>
    </row>
    <row r="491" ht="15.75" customHeight="1">
      <c r="D491" s="2"/>
      <c r="E491" s="1"/>
    </row>
    <row r="492" ht="15.75" customHeight="1">
      <c r="D492" s="2"/>
      <c r="E492" s="1"/>
    </row>
    <row r="493" ht="15.75" customHeight="1">
      <c r="D493" s="2"/>
      <c r="E493" s="1"/>
    </row>
    <row r="494" ht="15.75" customHeight="1">
      <c r="D494" s="2"/>
      <c r="E494" s="1"/>
    </row>
    <row r="495" ht="15.75" customHeight="1">
      <c r="D495" s="2"/>
      <c r="E495" s="1"/>
    </row>
    <row r="496" ht="15.75" customHeight="1">
      <c r="D496" s="2"/>
      <c r="E496" s="1"/>
    </row>
    <row r="497" ht="15.75" customHeight="1">
      <c r="D497" s="2"/>
      <c r="E497" s="1"/>
    </row>
    <row r="498" ht="15.75" customHeight="1">
      <c r="D498" s="2"/>
      <c r="E498" s="1"/>
    </row>
    <row r="499" ht="15.75" customHeight="1">
      <c r="D499" s="2"/>
      <c r="E499" s="1"/>
    </row>
    <row r="500" ht="15.75" customHeight="1">
      <c r="D500" s="2"/>
      <c r="E500" s="1"/>
    </row>
    <row r="501" ht="15.75" customHeight="1">
      <c r="D501" s="2"/>
      <c r="E501" s="1"/>
    </row>
    <row r="502" ht="15.75" customHeight="1">
      <c r="D502" s="2"/>
      <c r="E502" s="1"/>
    </row>
    <row r="503" ht="15.75" customHeight="1">
      <c r="D503" s="2"/>
      <c r="E503" s="1"/>
    </row>
    <row r="504" ht="15.75" customHeight="1">
      <c r="D504" s="2"/>
      <c r="E504" s="1"/>
    </row>
    <row r="505" ht="15.75" customHeight="1">
      <c r="D505" s="2"/>
      <c r="E505" s="1"/>
    </row>
    <row r="506" ht="15.75" customHeight="1">
      <c r="D506" s="2"/>
      <c r="E506" s="1"/>
    </row>
    <row r="507" ht="15.75" customHeight="1">
      <c r="D507" s="2"/>
      <c r="E507" s="1"/>
    </row>
    <row r="508" ht="15.75" customHeight="1">
      <c r="D508" s="2"/>
      <c r="E508" s="1"/>
    </row>
    <row r="509" ht="15.75" customHeight="1">
      <c r="D509" s="2"/>
      <c r="E509" s="1"/>
    </row>
    <row r="510" ht="15.75" customHeight="1">
      <c r="D510" s="2"/>
      <c r="E510" s="1"/>
    </row>
    <row r="511" ht="15.75" customHeight="1">
      <c r="D511" s="2"/>
      <c r="E511" s="1"/>
    </row>
    <row r="512" ht="15.75" customHeight="1">
      <c r="D512" s="2"/>
      <c r="E512" s="1"/>
    </row>
    <row r="513" ht="15.75" customHeight="1">
      <c r="D513" s="2"/>
      <c r="E513" s="1"/>
    </row>
    <row r="514" ht="15.75" customHeight="1">
      <c r="D514" s="2"/>
      <c r="E514" s="1"/>
    </row>
    <row r="515" ht="15.75" customHeight="1">
      <c r="D515" s="2"/>
      <c r="E515" s="1"/>
    </row>
    <row r="516" ht="15.75" customHeight="1">
      <c r="D516" s="2"/>
      <c r="E516" s="1"/>
    </row>
    <row r="517" ht="15.75" customHeight="1">
      <c r="D517" s="2"/>
      <c r="E517" s="1"/>
    </row>
    <row r="518" ht="15.75" customHeight="1">
      <c r="D518" s="2"/>
      <c r="E518" s="1"/>
    </row>
    <row r="519" ht="15.75" customHeight="1">
      <c r="D519" s="2"/>
      <c r="E519" s="1"/>
    </row>
    <row r="520" ht="15.75" customHeight="1">
      <c r="D520" s="2"/>
      <c r="E520" s="1"/>
    </row>
    <row r="521" ht="15.75" customHeight="1">
      <c r="D521" s="2"/>
      <c r="E521" s="1"/>
    </row>
    <row r="522" ht="15.75" customHeight="1">
      <c r="D522" s="2"/>
      <c r="E522" s="1"/>
    </row>
    <row r="523" ht="15.75" customHeight="1">
      <c r="D523" s="2"/>
      <c r="E523" s="1"/>
    </row>
    <row r="524" ht="15.75" customHeight="1">
      <c r="D524" s="2"/>
      <c r="E524" s="1"/>
    </row>
    <row r="525" ht="15.75" customHeight="1">
      <c r="D525" s="2"/>
      <c r="E525" s="1"/>
    </row>
    <row r="526" ht="15.75" customHeight="1">
      <c r="D526" s="2"/>
      <c r="E526" s="1"/>
    </row>
    <row r="527" ht="15.75" customHeight="1">
      <c r="D527" s="2"/>
      <c r="E527" s="1"/>
    </row>
    <row r="528" ht="15.75" customHeight="1">
      <c r="D528" s="2"/>
      <c r="E528" s="1"/>
    </row>
    <row r="529" ht="15.75" customHeight="1">
      <c r="D529" s="2"/>
      <c r="E529" s="1"/>
    </row>
    <row r="530" ht="15.75" customHeight="1">
      <c r="D530" s="2"/>
      <c r="E530" s="1"/>
    </row>
    <row r="531" ht="15.75" customHeight="1">
      <c r="D531" s="2"/>
      <c r="E531" s="1"/>
    </row>
    <row r="532" ht="15.75" customHeight="1">
      <c r="D532" s="2"/>
      <c r="E532" s="1"/>
    </row>
    <row r="533" ht="15.75" customHeight="1">
      <c r="D533" s="2"/>
      <c r="E533" s="1"/>
    </row>
    <row r="534" ht="15.75" customHeight="1">
      <c r="D534" s="2"/>
      <c r="E534" s="1"/>
    </row>
    <row r="535" ht="15.75" customHeight="1">
      <c r="D535" s="2"/>
      <c r="E535" s="1"/>
    </row>
    <row r="536" ht="15.75" customHeight="1">
      <c r="D536" s="2"/>
      <c r="E536" s="1"/>
    </row>
    <row r="537" ht="15.75" customHeight="1">
      <c r="D537" s="2"/>
      <c r="E537" s="1"/>
    </row>
    <row r="538" ht="15.75" customHeight="1">
      <c r="D538" s="2"/>
      <c r="E538" s="1"/>
    </row>
    <row r="539" ht="15.75" customHeight="1">
      <c r="D539" s="2"/>
      <c r="E539" s="1"/>
    </row>
    <row r="540" ht="15.75" customHeight="1">
      <c r="D540" s="2"/>
      <c r="E540" s="1"/>
    </row>
    <row r="541" ht="15.75" customHeight="1">
      <c r="D541" s="2"/>
      <c r="E541" s="1"/>
    </row>
    <row r="542" ht="15.75" customHeight="1">
      <c r="D542" s="2"/>
      <c r="E542" s="1"/>
    </row>
    <row r="543" ht="15.75" customHeight="1">
      <c r="D543" s="2"/>
      <c r="E543" s="1"/>
    </row>
    <row r="544" ht="15.75" customHeight="1">
      <c r="D544" s="2"/>
      <c r="E544" s="1"/>
    </row>
    <row r="545" ht="15.75" customHeight="1">
      <c r="D545" s="2"/>
      <c r="E545" s="1"/>
    </row>
    <row r="546" ht="15.75" customHeight="1">
      <c r="D546" s="2"/>
      <c r="E546" s="1"/>
    </row>
    <row r="547" ht="15.75" customHeight="1">
      <c r="D547" s="2"/>
      <c r="E547" s="1"/>
    </row>
    <row r="548" ht="15.75" customHeight="1">
      <c r="D548" s="2"/>
      <c r="E548" s="1"/>
    </row>
    <row r="549" ht="15.75" customHeight="1">
      <c r="D549" s="2"/>
      <c r="E549" s="1"/>
    </row>
    <row r="550" ht="15.75" customHeight="1">
      <c r="D550" s="2"/>
      <c r="E550" s="1"/>
    </row>
    <row r="551" ht="15.75" customHeight="1">
      <c r="D551" s="2"/>
      <c r="E551" s="1"/>
    </row>
    <row r="552" ht="15.75" customHeight="1">
      <c r="D552" s="2"/>
      <c r="E552" s="1"/>
    </row>
    <row r="553" ht="15.75" customHeight="1">
      <c r="D553" s="2"/>
      <c r="E553" s="1"/>
    </row>
    <row r="554" ht="15.75" customHeight="1">
      <c r="D554" s="2"/>
      <c r="E554" s="1"/>
    </row>
    <row r="555" ht="15.75" customHeight="1">
      <c r="D555" s="2"/>
      <c r="E555" s="1"/>
    </row>
    <row r="556" ht="15.75" customHeight="1">
      <c r="D556" s="2"/>
      <c r="E556" s="1"/>
    </row>
    <row r="557" ht="15.75" customHeight="1">
      <c r="D557" s="2"/>
      <c r="E557" s="1"/>
    </row>
    <row r="558" ht="15.75" customHeight="1">
      <c r="D558" s="2"/>
      <c r="E558" s="1"/>
    </row>
    <row r="559" ht="15.75" customHeight="1">
      <c r="D559" s="2"/>
      <c r="E559" s="1"/>
    </row>
    <row r="560" ht="15.75" customHeight="1">
      <c r="D560" s="2"/>
      <c r="E560" s="1"/>
    </row>
    <row r="561" ht="15.75" customHeight="1">
      <c r="D561" s="2"/>
      <c r="E561" s="1"/>
    </row>
    <row r="562" ht="15.75" customHeight="1">
      <c r="D562" s="2"/>
      <c r="E562" s="1"/>
    </row>
    <row r="563" ht="15.75" customHeight="1">
      <c r="D563" s="2"/>
      <c r="E563" s="1"/>
    </row>
    <row r="564" ht="15.75" customHeight="1">
      <c r="D564" s="2"/>
      <c r="E564" s="1"/>
    </row>
    <row r="565" ht="15.75" customHeight="1">
      <c r="D565" s="2"/>
      <c r="E565" s="1"/>
    </row>
    <row r="566" ht="15.75" customHeight="1">
      <c r="D566" s="2"/>
      <c r="E566" s="1"/>
    </row>
    <row r="567" ht="15.75" customHeight="1">
      <c r="D567" s="2"/>
      <c r="E567" s="1"/>
    </row>
    <row r="568" ht="15.75" customHeight="1">
      <c r="D568" s="2"/>
      <c r="E568" s="1"/>
    </row>
    <row r="569" ht="15.75" customHeight="1">
      <c r="D569" s="2"/>
      <c r="E569" s="1"/>
    </row>
    <row r="570" ht="15.75" customHeight="1">
      <c r="D570" s="2"/>
      <c r="E570" s="1"/>
    </row>
    <row r="571" ht="15.75" customHeight="1">
      <c r="D571" s="2"/>
      <c r="E571" s="1"/>
    </row>
    <row r="572" ht="15.75" customHeight="1">
      <c r="D572" s="2"/>
      <c r="E572" s="1"/>
    </row>
    <row r="573" ht="15.75" customHeight="1">
      <c r="D573" s="2"/>
      <c r="E573" s="1"/>
    </row>
    <row r="574" ht="15.75" customHeight="1">
      <c r="D574" s="2"/>
      <c r="E574" s="1"/>
    </row>
    <row r="575" ht="15.75" customHeight="1">
      <c r="D575" s="2"/>
      <c r="E575" s="1"/>
    </row>
    <row r="576" ht="15.75" customHeight="1">
      <c r="D576" s="2"/>
      <c r="E576" s="1"/>
    </row>
    <row r="577" ht="15.75" customHeight="1">
      <c r="D577" s="2"/>
      <c r="E577" s="1"/>
    </row>
    <row r="578" ht="15.75" customHeight="1">
      <c r="D578" s="2"/>
      <c r="E578" s="1"/>
    </row>
    <row r="579" ht="15.75" customHeight="1">
      <c r="D579" s="2"/>
      <c r="E579" s="1"/>
    </row>
    <row r="580" ht="15.75" customHeight="1">
      <c r="D580" s="2"/>
      <c r="E580" s="1"/>
    </row>
    <row r="581" ht="15.75" customHeight="1">
      <c r="D581" s="2"/>
      <c r="E581" s="1"/>
    </row>
    <row r="582" ht="15.75" customHeight="1">
      <c r="D582" s="2"/>
      <c r="E582" s="1"/>
    </row>
    <row r="583" ht="15.75" customHeight="1">
      <c r="D583" s="2"/>
      <c r="E583" s="1"/>
    </row>
    <row r="584" ht="15.75" customHeight="1">
      <c r="D584" s="2"/>
      <c r="E584" s="1"/>
    </row>
    <row r="585" ht="15.75" customHeight="1">
      <c r="D585" s="2"/>
      <c r="E585" s="1"/>
    </row>
    <row r="586" ht="15.75" customHeight="1">
      <c r="D586" s="2"/>
      <c r="E586" s="1"/>
    </row>
    <row r="587" ht="15.75" customHeight="1">
      <c r="D587" s="2"/>
      <c r="E587" s="1"/>
    </row>
    <row r="588" ht="15.75" customHeight="1">
      <c r="D588" s="2"/>
      <c r="E588" s="1"/>
    </row>
    <row r="589" ht="15.75" customHeight="1">
      <c r="D589" s="2"/>
      <c r="E589" s="1"/>
    </row>
    <row r="590" ht="15.75" customHeight="1">
      <c r="D590" s="2"/>
      <c r="E590" s="1"/>
    </row>
    <row r="591" ht="15.75" customHeight="1">
      <c r="D591" s="2"/>
      <c r="E591" s="1"/>
    </row>
    <row r="592" ht="15.75" customHeight="1">
      <c r="D592" s="2"/>
      <c r="E592" s="1"/>
    </row>
    <row r="593" ht="15.75" customHeight="1">
      <c r="D593" s="2"/>
      <c r="E593" s="1"/>
    </row>
    <row r="594" ht="15.75" customHeight="1">
      <c r="D594" s="2"/>
      <c r="E594" s="1"/>
    </row>
    <row r="595" ht="15.75" customHeight="1">
      <c r="D595" s="2"/>
      <c r="E595" s="1"/>
    </row>
    <row r="596" ht="15.75" customHeight="1">
      <c r="D596" s="2"/>
      <c r="E596" s="1"/>
    </row>
    <row r="597" ht="15.75" customHeight="1">
      <c r="D597" s="2"/>
      <c r="E597" s="1"/>
    </row>
    <row r="598" ht="15.75" customHeight="1">
      <c r="D598" s="2"/>
      <c r="E598" s="1"/>
    </row>
    <row r="599" ht="15.75" customHeight="1">
      <c r="D599" s="2"/>
      <c r="E599" s="1"/>
    </row>
    <row r="600" ht="15.75" customHeight="1">
      <c r="D600" s="2"/>
      <c r="E600" s="1"/>
    </row>
    <row r="601" ht="15.75" customHeight="1">
      <c r="D601" s="2"/>
      <c r="E601" s="1"/>
    </row>
    <row r="602" ht="15.75" customHeight="1">
      <c r="D602" s="2"/>
      <c r="E602" s="1"/>
    </row>
    <row r="603" ht="15.75" customHeight="1">
      <c r="D603" s="2"/>
      <c r="E603" s="1"/>
    </row>
    <row r="604" ht="15.75" customHeight="1">
      <c r="D604" s="2"/>
      <c r="E604" s="1"/>
    </row>
    <row r="605" ht="15.75" customHeight="1">
      <c r="D605" s="2"/>
      <c r="E605" s="1"/>
    </row>
    <row r="606" ht="15.75" customHeight="1">
      <c r="D606" s="2"/>
      <c r="E606" s="1"/>
    </row>
    <row r="607" ht="15.75" customHeight="1">
      <c r="D607" s="2"/>
      <c r="E607" s="1"/>
    </row>
    <row r="608" ht="15.75" customHeight="1">
      <c r="D608" s="2"/>
      <c r="E608" s="1"/>
    </row>
    <row r="609" ht="15.75" customHeight="1">
      <c r="D609" s="2"/>
      <c r="E609" s="1"/>
    </row>
    <row r="610" ht="15.75" customHeight="1">
      <c r="D610" s="2"/>
      <c r="E610" s="1"/>
    </row>
    <row r="611" ht="15.75" customHeight="1">
      <c r="D611" s="2"/>
      <c r="E611" s="1"/>
    </row>
    <row r="612" ht="15.75" customHeight="1">
      <c r="D612" s="2"/>
      <c r="E612" s="1"/>
    </row>
    <row r="613" ht="15.75" customHeight="1">
      <c r="D613" s="2"/>
      <c r="E613" s="1"/>
    </row>
    <row r="614" ht="15.75" customHeight="1">
      <c r="D614" s="2"/>
      <c r="E614" s="1"/>
    </row>
    <row r="615" ht="15.75" customHeight="1">
      <c r="D615" s="2"/>
      <c r="E615" s="1"/>
    </row>
    <row r="616" ht="15.75" customHeight="1">
      <c r="D616" s="2"/>
      <c r="E616" s="1"/>
    </row>
    <row r="617" ht="15.75" customHeight="1">
      <c r="D617" s="2"/>
      <c r="E617" s="1"/>
    </row>
    <row r="618" ht="15.75" customHeight="1">
      <c r="D618" s="2"/>
      <c r="E618" s="1"/>
    </row>
    <row r="619" ht="15.75" customHeight="1">
      <c r="D619" s="2"/>
      <c r="E619" s="1"/>
    </row>
    <row r="620" ht="15.75" customHeight="1">
      <c r="D620" s="2"/>
      <c r="E620" s="1"/>
    </row>
    <row r="621" ht="15.75" customHeight="1">
      <c r="D621" s="2"/>
      <c r="E621" s="1"/>
    </row>
    <row r="622" ht="15.75" customHeight="1">
      <c r="D622" s="2"/>
      <c r="E622" s="1"/>
    </row>
    <row r="623" ht="15.75" customHeight="1">
      <c r="D623" s="2"/>
      <c r="E623" s="1"/>
    </row>
    <row r="624" ht="15.75" customHeight="1">
      <c r="D624" s="2"/>
      <c r="E624" s="1"/>
    </row>
    <row r="625" ht="15.75" customHeight="1">
      <c r="D625" s="2"/>
      <c r="E625" s="1"/>
    </row>
    <row r="626" ht="15.75" customHeight="1">
      <c r="D626" s="2"/>
      <c r="E626" s="1"/>
    </row>
    <row r="627" ht="15.75" customHeight="1">
      <c r="D627" s="2"/>
      <c r="E627" s="1"/>
    </row>
    <row r="628" ht="15.75" customHeight="1">
      <c r="D628" s="2"/>
      <c r="E628" s="1"/>
    </row>
    <row r="629" ht="15.75" customHeight="1">
      <c r="D629" s="2"/>
      <c r="E629" s="1"/>
    </row>
    <row r="630" ht="15.75" customHeight="1">
      <c r="D630" s="2"/>
      <c r="E630" s="1"/>
    </row>
    <row r="631" ht="15.75" customHeight="1">
      <c r="D631" s="2"/>
      <c r="E631" s="1"/>
    </row>
    <row r="632" ht="15.75" customHeight="1">
      <c r="D632" s="2"/>
      <c r="E632" s="1"/>
    </row>
    <row r="633" ht="15.75" customHeight="1">
      <c r="D633" s="2"/>
      <c r="E633" s="1"/>
    </row>
    <row r="634" ht="15.75" customHeight="1">
      <c r="D634" s="2"/>
      <c r="E634" s="1"/>
    </row>
    <row r="635" ht="15.75" customHeight="1">
      <c r="D635" s="2"/>
      <c r="E635" s="1"/>
    </row>
    <row r="636" ht="15.75" customHeight="1">
      <c r="D636" s="2"/>
      <c r="E636" s="1"/>
    </row>
    <row r="637" ht="15.75" customHeight="1">
      <c r="D637" s="2"/>
      <c r="E637" s="1"/>
    </row>
    <row r="638" ht="15.75" customHeight="1">
      <c r="D638" s="2"/>
      <c r="E638" s="1"/>
    </row>
    <row r="639" ht="15.75" customHeight="1">
      <c r="D639" s="2"/>
      <c r="E639" s="1"/>
    </row>
    <row r="640" ht="15.75" customHeight="1">
      <c r="D640" s="2"/>
      <c r="E640" s="1"/>
    </row>
    <row r="641" ht="15.75" customHeight="1">
      <c r="D641" s="2"/>
      <c r="E641" s="1"/>
    </row>
    <row r="642" ht="15.75" customHeight="1">
      <c r="D642" s="2"/>
      <c r="E642" s="1"/>
    </row>
    <row r="643" ht="15.75" customHeight="1">
      <c r="D643" s="2"/>
      <c r="E643" s="1"/>
    </row>
    <row r="644" ht="15.75" customHeight="1">
      <c r="D644" s="2"/>
      <c r="E644" s="1"/>
    </row>
    <row r="645" ht="15.75" customHeight="1">
      <c r="D645" s="2"/>
      <c r="E645" s="1"/>
    </row>
    <row r="646" ht="15.75" customHeight="1">
      <c r="D646" s="2"/>
      <c r="E646" s="1"/>
    </row>
    <row r="647" ht="15.75" customHeight="1">
      <c r="D647" s="2"/>
      <c r="E647" s="1"/>
    </row>
    <row r="648" ht="15.75" customHeight="1">
      <c r="D648" s="2"/>
      <c r="E648" s="1"/>
    </row>
    <row r="649" ht="15.75" customHeight="1">
      <c r="D649" s="2"/>
      <c r="E649" s="1"/>
    </row>
    <row r="650" ht="15.75" customHeight="1">
      <c r="D650" s="2"/>
      <c r="E650" s="1"/>
    </row>
    <row r="651" ht="15.75" customHeight="1">
      <c r="D651" s="2"/>
      <c r="E651" s="1"/>
    </row>
    <row r="652" ht="15.75" customHeight="1">
      <c r="D652" s="2"/>
      <c r="E652" s="1"/>
    </row>
    <row r="653" ht="15.75" customHeight="1">
      <c r="D653" s="2"/>
      <c r="E653" s="1"/>
    </row>
    <row r="654" ht="15.75" customHeight="1">
      <c r="D654" s="2"/>
      <c r="E654" s="1"/>
    </row>
    <row r="655" ht="15.75" customHeight="1">
      <c r="D655" s="2"/>
      <c r="E655" s="1"/>
    </row>
    <row r="656" ht="15.75" customHeight="1">
      <c r="D656" s="2"/>
      <c r="E656" s="1"/>
    </row>
    <row r="657" ht="15.75" customHeight="1">
      <c r="D657" s="2"/>
      <c r="E657" s="1"/>
    </row>
    <row r="658" ht="15.75" customHeight="1">
      <c r="D658" s="2"/>
      <c r="E658" s="1"/>
    </row>
    <row r="659" ht="15.75" customHeight="1">
      <c r="D659" s="2"/>
      <c r="E659" s="1"/>
    </row>
    <row r="660" ht="15.75" customHeight="1">
      <c r="D660" s="2"/>
      <c r="E660" s="1"/>
    </row>
    <row r="661" ht="15.75" customHeight="1">
      <c r="D661" s="2"/>
      <c r="E661" s="1"/>
    </row>
    <row r="662" ht="15.75" customHeight="1">
      <c r="D662" s="2"/>
      <c r="E662" s="1"/>
    </row>
    <row r="663" ht="15.75" customHeight="1">
      <c r="D663" s="2"/>
      <c r="E663" s="1"/>
    </row>
    <row r="664" ht="15.75" customHeight="1">
      <c r="D664" s="2"/>
      <c r="E664" s="1"/>
    </row>
    <row r="665" ht="15.75" customHeight="1">
      <c r="D665" s="2"/>
      <c r="E665" s="1"/>
    </row>
    <row r="666" ht="15.75" customHeight="1">
      <c r="D666" s="2"/>
      <c r="E666" s="1"/>
    </row>
    <row r="667" ht="15.75" customHeight="1">
      <c r="D667" s="2"/>
      <c r="E667" s="1"/>
    </row>
    <row r="668" ht="15.75" customHeight="1">
      <c r="D668" s="2"/>
      <c r="E668" s="1"/>
    </row>
    <row r="669" ht="15.75" customHeight="1">
      <c r="D669" s="2"/>
      <c r="E669" s="1"/>
    </row>
    <row r="670" ht="15.75" customHeight="1">
      <c r="D670" s="2"/>
      <c r="E670" s="1"/>
    </row>
    <row r="671" ht="15.75" customHeight="1">
      <c r="D671" s="2"/>
      <c r="E671" s="1"/>
    </row>
    <row r="672" ht="15.75" customHeight="1">
      <c r="D672" s="2"/>
      <c r="E672" s="1"/>
    </row>
    <row r="673" ht="15.75" customHeight="1">
      <c r="D673" s="2"/>
      <c r="E673" s="1"/>
    </row>
    <row r="674" ht="15.75" customHeight="1">
      <c r="D674" s="2"/>
      <c r="E674" s="1"/>
    </row>
    <row r="675" ht="15.75" customHeight="1">
      <c r="D675" s="2"/>
      <c r="E675" s="1"/>
    </row>
    <row r="676" ht="15.75" customHeight="1">
      <c r="D676" s="2"/>
      <c r="E676" s="1"/>
    </row>
    <row r="677" ht="15.75" customHeight="1">
      <c r="D677" s="2"/>
      <c r="E677" s="1"/>
    </row>
    <row r="678" ht="15.75" customHeight="1">
      <c r="D678" s="2"/>
      <c r="E678" s="1"/>
    </row>
    <row r="679" ht="15.75" customHeight="1">
      <c r="D679" s="2"/>
      <c r="E679" s="1"/>
    </row>
    <row r="680" ht="15.75" customHeight="1">
      <c r="D680" s="2"/>
      <c r="E680" s="1"/>
    </row>
    <row r="681" ht="15.75" customHeight="1">
      <c r="D681" s="2"/>
      <c r="E681" s="1"/>
    </row>
    <row r="682" ht="15.75" customHeight="1">
      <c r="D682" s="2"/>
      <c r="E682" s="1"/>
    </row>
    <row r="683" ht="15.75" customHeight="1">
      <c r="D683" s="2"/>
      <c r="E683" s="1"/>
    </row>
    <row r="684" ht="15.75" customHeight="1">
      <c r="D684" s="2"/>
      <c r="E684" s="1"/>
    </row>
    <row r="685" ht="15.75" customHeight="1">
      <c r="D685" s="2"/>
      <c r="E685" s="1"/>
    </row>
    <row r="686" ht="15.75" customHeight="1">
      <c r="D686" s="2"/>
      <c r="E686" s="1"/>
    </row>
    <row r="687" ht="15.75" customHeight="1">
      <c r="D687" s="2"/>
      <c r="E687" s="1"/>
    </row>
    <row r="688" ht="15.75" customHeight="1">
      <c r="D688" s="2"/>
      <c r="E688" s="1"/>
    </row>
    <row r="689" ht="15.75" customHeight="1">
      <c r="D689" s="2"/>
      <c r="E689" s="1"/>
    </row>
    <row r="690" ht="15.75" customHeight="1">
      <c r="D690" s="2"/>
      <c r="E690" s="1"/>
    </row>
    <row r="691" ht="15.75" customHeight="1">
      <c r="D691" s="2"/>
      <c r="E691" s="1"/>
    </row>
    <row r="692" ht="15.75" customHeight="1">
      <c r="D692" s="2"/>
      <c r="E692" s="1"/>
    </row>
    <row r="693" ht="15.75" customHeight="1">
      <c r="D693" s="2"/>
      <c r="E693" s="1"/>
    </row>
    <row r="694" ht="15.75" customHeight="1">
      <c r="D694" s="2"/>
      <c r="E694" s="1"/>
    </row>
    <row r="695" ht="15.75" customHeight="1">
      <c r="D695" s="2"/>
      <c r="E695" s="1"/>
    </row>
    <row r="696" ht="15.75" customHeight="1">
      <c r="D696" s="2"/>
      <c r="E696" s="1"/>
    </row>
    <row r="697" ht="15.75" customHeight="1">
      <c r="D697" s="2"/>
      <c r="E697" s="1"/>
    </row>
    <row r="698" ht="15.75" customHeight="1">
      <c r="D698" s="2"/>
      <c r="E698" s="1"/>
    </row>
    <row r="699" ht="15.75" customHeight="1">
      <c r="D699" s="2"/>
      <c r="E699" s="1"/>
    </row>
    <row r="700" ht="15.75" customHeight="1">
      <c r="D700" s="2"/>
      <c r="E700" s="1"/>
    </row>
    <row r="701" ht="15.75" customHeight="1">
      <c r="D701" s="2"/>
      <c r="E701" s="1"/>
    </row>
    <row r="702" ht="15.75" customHeight="1">
      <c r="D702" s="2"/>
      <c r="E702" s="1"/>
    </row>
    <row r="703" ht="15.75" customHeight="1">
      <c r="D703" s="2"/>
      <c r="E703" s="1"/>
    </row>
    <row r="704" ht="15.75" customHeight="1">
      <c r="D704" s="2"/>
      <c r="E704" s="1"/>
    </row>
    <row r="705" ht="15.75" customHeight="1">
      <c r="D705" s="2"/>
      <c r="E705" s="1"/>
    </row>
    <row r="706" ht="15.75" customHeight="1">
      <c r="D706" s="2"/>
      <c r="E706" s="1"/>
    </row>
    <row r="707" ht="15.75" customHeight="1">
      <c r="D707" s="2"/>
      <c r="E707" s="1"/>
    </row>
    <row r="708" ht="15.75" customHeight="1">
      <c r="D708" s="2"/>
      <c r="E708" s="1"/>
    </row>
    <row r="709" ht="15.75" customHeight="1">
      <c r="D709" s="2"/>
      <c r="E709" s="1"/>
    </row>
    <row r="710" ht="15.75" customHeight="1">
      <c r="D710" s="2"/>
      <c r="E710" s="1"/>
    </row>
    <row r="711" ht="15.75" customHeight="1">
      <c r="D711" s="2"/>
      <c r="E711" s="1"/>
    </row>
    <row r="712" ht="15.75" customHeight="1">
      <c r="D712" s="2"/>
      <c r="E712" s="1"/>
    </row>
    <row r="713" ht="15.75" customHeight="1">
      <c r="D713" s="2"/>
      <c r="E713" s="1"/>
    </row>
    <row r="714" ht="15.75" customHeight="1">
      <c r="D714" s="2"/>
      <c r="E714" s="1"/>
    </row>
    <row r="715" ht="15.75" customHeight="1">
      <c r="D715" s="2"/>
      <c r="E715" s="1"/>
    </row>
    <row r="716" ht="15.75" customHeight="1">
      <c r="D716" s="2"/>
      <c r="E716" s="1"/>
    </row>
    <row r="717" ht="15.75" customHeight="1">
      <c r="D717" s="2"/>
      <c r="E717" s="1"/>
    </row>
    <row r="718" ht="15.75" customHeight="1">
      <c r="D718" s="2"/>
      <c r="E718" s="1"/>
    </row>
    <row r="719" ht="15.75" customHeight="1">
      <c r="D719" s="2"/>
      <c r="E719" s="1"/>
    </row>
    <row r="720" ht="15.75" customHeight="1">
      <c r="D720" s="2"/>
      <c r="E720" s="1"/>
    </row>
    <row r="721" ht="15.75" customHeight="1">
      <c r="D721" s="2"/>
      <c r="E721" s="1"/>
    </row>
    <row r="722" ht="15.75" customHeight="1">
      <c r="D722" s="2"/>
      <c r="E722" s="1"/>
    </row>
    <row r="723" ht="15.75" customHeight="1">
      <c r="D723" s="2"/>
      <c r="E723" s="1"/>
    </row>
    <row r="724" ht="15.75" customHeight="1">
      <c r="D724" s="2"/>
      <c r="E724" s="1"/>
    </row>
    <row r="725" ht="15.75" customHeight="1">
      <c r="D725" s="2"/>
      <c r="E725" s="1"/>
    </row>
    <row r="726" ht="15.75" customHeight="1">
      <c r="D726" s="2"/>
      <c r="E726" s="1"/>
    </row>
    <row r="727" ht="15.75" customHeight="1">
      <c r="D727" s="2"/>
      <c r="E727" s="1"/>
    </row>
    <row r="728" ht="15.75" customHeight="1">
      <c r="D728" s="2"/>
      <c r="E728" s="1"/>
    </row>
    <row r="729" ht="15.75" customHeight="1">
      <c r="D729" s="2"/>
      <c r="E729" s="1"/>
    </row>
    <row r="730" ht="15.75" customHeight="1">
      <c r="D730" s="2"/>
      <c r="E730" s="1"/>
    </row>
    <row r="731" ht="15.75" customHeight="1">
      <c r="D731" s="2"/>
      <c r="E731" s="1"/>
    </row>
    <row r="732" ht="15.75" customHeight="1">
      <c r="D732" s="2"/>
      <c r="E732" s="1"/>
    </row>
    <row r="733" ht="15.75" customHeight="1">
      <c r="D733" s="2"/>
      <c r="E733" s="1"/>
    </row>
    <row r="734" ht="15.75" customHeight="1">
      <c r="D734" s="2"/>
      <c r="E734" s="1"/>
    </row>
    <row r="735" ht="15.75" customHeight="1">
      <c r="D735" s="2"/>
      <c r="E735" s="1"/>
    </row>
    <row r="736" ht="15.75" customHeight="1">
      <c r="D736" s="2"/>
      <c r="E736" s="1"/>
    </row>
    <row r="737" ht="15.75" customHeight="1">
      <c r="D737" s="2"/>
      <c r="E737" s="1"/>
    </row>
    <row r="738" ht="15.75" customHeight="1">
      <c r="D738" s="2"/>
      <c r="E738" s="1"/>
    </row>
    <row r="739" ht="15.75" customHeight="1">
      <c r="D739" s="2"/>
      <c r="E739" s="1"/>
    </row>
    <row r="740" ht="15.75" customHeight="1">
      <c r="D740" s="2"/>
      <c r="E740" s="1"/>
    </row>
    <row r="741" ht="15.75" customHeight="1">
      <c r="D741" s="2"/>
      <c r="E741" s="1"/>
    </row>
    <row r="742" ht="15.75" customHeight="1">
      <c r="D742" s="2"/>
      <c r="E742" s="1"/>
    </row>
    <row r="743" ht="15.75" customHeight="1">
      <c r="D743" s="2"/>
      <c r="E743" s="1"/>
    </row>
    <row r="744" ht="15.75" customHeight="1">
      <c r="D744" s="2"/>
      <c r="E744" s="1"/>
    </row>
    <row r="745" ht="15.75" customHeight="1">
      <c r="D745" s="2"/>
      <c r="E745" s="1"/>
    </row>
    <row r="746" ht="15.75" customHeight="1">
      <c r="D746" s="2"/>
      <c r="E746" s="1"/>
    </row>
    <row r="747" ht="15.75" customHeight="1">
      <c r="D747" s="2"/>
      <c r="E747" s="1"/>
    </row>
    <row r="748" ht="15.75" customHeight="1">
      <c r="D748" s="2"/>
      <c r="E748" s="1"/>
    </row>
    <row r="749" ht="15.75" customHeight="1">
      <c r="D749" s="2"/>
      <c r="E749" s="1"/>
    </row>
    <row r="750" ht="15.75" customHeight="1">
      <c r="D750" s="2"/>
      <c r="E750" s="1"/>
    </row>
    <row r="751" ht="15.75" customHeight="1">
      <c r="D751" s="2"/>
      <c r="E751" s="1"/>
    </row>
    <row r="752" ht="15.75" customHeight="1">
      <c r="D752" s="2"/>
      <c r="E752" s="1"/>
    </row>
    <row r="753" ht="15.75" customHeight="1">
      <c r="D753" s="2"/>
      <c r="E753" s="1"/>
    </row>
    <row r="754" ht="15.75" customHeight="1">
      <c r="D754" s="2"/>
      <c r="E754" s="1"/>
    </row>
    <row r="755" ht="15.75" customHeight="1">
      <c r="D755" s="2"/>
      <c r="E755" s="1"/>
    </row>
    <row r="756" ht="15.75" customHeight="1">
      <c r="D756" s="2"/>
      <c r="E756" s="1"/>
    </row>
    <row r="757" ht="15.75" customHeight="1">
      <c r="D757" s="2"/>
      <c r="E757" s="1"/>
    </row>
    <row r="758" ht="15.75" customHeight="1">
      <c r="D758" s="2"/>
      <c r="E758" s="1"/>
    </row>
    <row r="759" ht="15.75" customHeight="1">
      <c r="D759" s="2"/>
      <c r="E759" s="1"/>
    </row>
    <row r="760" ht="15.75" customHeight="1">
      <c r="D760" s="2"/>
      <c r="E760" s="1"/>
    </row>
    <row r="761" ht="15.75" customHeight="1">
      <c r="D761" s="2"/>
      <c r="E761" s="1"/>
    </row>
    <row r="762" ht="15.75" customHeight="1">
      <c r="D762" s="2"/>
      <c r="E762" s="1"/>
    </row>
    <row r="763" ht="15.75" customHeight="1">
      <c r="D763" s="2"/>
      <c r="E763" s="1"/>
    </row>
    <row r="764" ht="15.75" customHeight="1">
      <c r="D764" s="2"/>
      <c r="E764" s="1"/>
    </row>
    <row r="765" ht="15.75" customHeight="1">
      <c r="D765" s="2"/>
      <c r="E765" s="1"/>
    </row>
    <row r="766" ht="15.75" customHeight="1">
      <c r="D766" s="2"/>
      <c r="E766" s="1"/>
    </row>
    <row r="767" ht="15.75" customHeight="1">
      <c r="D767" s="2"/>
      <c r="E767" s="1"/>
    </row>
    <row r="768" ht="15.75" customHeight="1">
      <c r="D768" s="2"/>
      <c r="E768" s="1"/>
    </row>
    <row r="769" ht="15.75" customHeight="1">
      <c r="D769" s="2"/>
      <c r="E769" s="1"/>
    </row>
    <row r="770" ht="15.75" customHeight="1">
      <c r="D770" s="2"/>
      <c r="E770" s="1"/>
    </row>
    <row r="771" ht="15.75" customHeight="1">
      <c r="D771" s="2"/>
      <c r="E771" s="1"/>
    </row>
    <row r="772" ht="15.75" customHeight="1">
      <c r="D772" s="2"/>
      <c r="E772" s="1"/>
    </row>
    <row r="773" ht="15.75" customHeight="1">
      <c r="D773" s="2"/>
      <c r="E773" s="1"/>
    </row>
    <row r="774" ht="15.75" customHeight="1">
      <c r="D774" s="2"/>
      <c r="E774" s="1"/>
    </row>
    <row r="775" ht="15.75" customHeight="1">
      <c r="D775" s="2"/>
      <c r="E775" s="1"/>
    </row>
    <row r="776" ht="15.75" customHeight="1">
      <c r="D776" s="2"/>
      <c r="E776" s="1"/>
    </row>
    <row r="777" ht="15.75" customHeight="1">
      <c r="D777" s="2"/>
      <c r="E777" s="1"/>
    </row>
    <row r="778" ht="15.75" customHeight="1">
      <c r="D778" s="2"/>
      <c r="E778" s="1"/>
    </row>
    <row r="779" ht="15.75" customHeight="1">
      <c r="D779" s="2"/>
      <c r="E779" s="1"/>
    </row>
    <row r="780" ht="15.75" customHeight="1">
      <c r="D780" s="2"/>
      <c r="E780" s="1"/>
    </row>
    <row r="781" ht="15.75" customHeight="1">
      <c r="D781" s="2"/>
      <c r="E781" s="1"/>
    </row>
    <row r="782" ht="15.75" customHeight="1">
      <c r="D782" s="2"/>
      <c r="E782" s="1"/>
    </row>
    <row r="783" ht="15.75" customHeight="1">
      <c r="D783" s="2"/>
      <c r="E783" s="1"/>
    </row>
    <row r="784" ht="15.75" customHeight="1">
      <c r="D784" s="2"/>
      <c r="E784" s="1"/>
    </row>
    <row r="785" ht="15.75" customHeight="1">
      <c r="D785" s="2"/>
      <c r="E785" s="1"/>
    </row>
    <row r="786" ht="15.75" customHeight="1">
      <c r="D786" s="2"/>
      <c r="E786" s="1"/>
    </row>
    <row r="787" ht="15.75" customHeight="1">
      <c r="D787" s="2"/>
      <c r="E787" s="1"/>
    </row>
    <row r="788" ht="15.75" customHeight="1">
      <c r="D788" s="2"/>
      <c r="E788" s="1"/>
    </row>
    <row r="789" ht="15.75" customHeight="1">
      <c r="D789" s="2"/>
      <c r="E789" s="1"/>
    </row>
    <row r="790" ht="15.75" customHeight="1">
      <c r="D790" s="2"/>
      <c r="E790" s="1"/>
    </row>
    <row r="791" ht="15.75" customHeight="1">
      <c r="D791" s="2"/>
      <c r="E791" s="1"/>
    </row>
    <row r="792" ht="15.75" customHeight="1">
      <c r="D792" s="2"/>
      <c r="E792" s="1"/>
    </row>
    <row r="793" ht="15.75" customHeight="1">
      <c r="D793" s="2"/>
      <c r="E793" s="1"/>
    </row>
    <row r="794" ht="15.75" customHeight="1">
      <c r="D794" s="2"/>
      <c r="E794" s="1"/>
    </row>
    <row r="795" ht="15.75" customHeight="1">
      <c r="D795" s="2"/>
      <c r="E795" s="1"/>
    </row>
    <row r="796" ht="15.75" customHeight="1">
      <c r="D796" s="2"/>
      <c r="E796" s="1"/>
    </row>
    <row r="797" ht="15.75" customHeight="1">
      <c r="D797" s="2"/>
      <c r="E797" s="1"/>
    </row>
    <row r="798" ht="15.75" customHeight="1">
      <c r="D798" s="2"/>
      <c r="E798" s="1"/>
    </row>
    <row r="799" ht="15.75" customHeight="1">
      <c r="D799" s="2"/>
      <c r="E799" s="1"/>
    </row>
    <row r="800" ht="15.75" customHeight="1">
      <c r="D800" s="2"/>
      <c r="E800" s="1"/>
    </row>
    <row r="801" ht="15.75" customHeight="1">
      <c r="D801" s="2"/>
      <c r="E801" s="1"/>
    </row>
    <row r="802" ht="15.75" customHeight="1">
      <c r="D802" s="2"/>
      <c r="E802" s="1"/>
    </row>
    <row r="803" ht="15.75" customHeight="1">
      <c r="D803" s="2"/>
      <c r="E803" s="1"/>
    </row>
    <row r="804" ht="15.75" customHeight="1">
      <c r="D804" s="2"/>
      <c r="E804" s="1"/>
    </row>
    <row r="805" ht="15.75" customHeight="1">
      <c r="D805" s="2"/>
      <c r="E805" s="1"/>
    </row>
    <row r="806" ht="15.75" customHeight="1">
      <c r="D806" s="2"/>
      <c r="E806" s="1"/>
    </row>
    <row r="807" ht="15.75" customHeight="1">
      <c r="D807" s="2"/>
      <c r="E807" s="1"/>
    </row>
    <row r="808" ht="15.75" customHeight="1">
      <c r="D808" s="2"/>
      <c r="E808" s="1"/>
    </row>
    <row r="809" ht="15.75" customHeight="1">
      <c r="D809" s="2"/>
      <c r="E809" s="1"/>
    </row>
    <row r="810" ht="15.75" customHeight="1">
      <c r="D810" s="2"/>
      <c r="E810" s="1"/>
    </row>
    <row r="811" ht="15.75" customHeight="1">
      <c r="D811" s="2"/>
      <c r="E811" s="1"/>
    </row>
    <row r="812" ht="15.75" customHeight="1">
      <c r="D812" s="2"/>
      <c r="E812" s="1"/>
    </row>
    <row r="813" ht="15.75" customHeight="1">
      <c r="D813" s="2"/>
      <c r="E813" s="1"/>
    </row>
    <row r="814" ht="15.75" customHeight="1">
      <c r="D814" s="2"/>
      <c r="E814" s="1"/>
    </row>
    <row r="815" ht="15.75" customHeight="1">
      <c r="D815" s="2"/>
      <c r="E815" s="1"/>
    </row>
    <row r="816" ht="15.75" customHeight="1">
      <c r="D816" s="2"/>
      <c r="E816" s="1"/>
    </row>
    <row r="817" ht="15.75" customHeight="1">
      <c r="D817" s="2"/>
      <c r="E817" s="1"/>
    </row>
    <row r="818" ht="15.75" customHeight="1">
      <c r="D818" s="2"/>
      <c r="E818" s="1"/>
    </row>
    <row r="819" ht="15.75" customHeight="1">
      <c r="D819" s="2"/>
      <c r="E819" s="1"/>
    </row>
    <row r="820" ht="15.75" customHeight="1">
      <c r="D820" s="2"/>
      <c r="E820" s="1"/>
    </row>
    <row r="821" ht="15.75" customHeight="1">
      <c r="D821" s="2"/>
      <c r="E821" s="1"/>
    </row>
    <row r="822" ht="15.75" customHeight="1">
      <c r="D822" s="2"/>
      <c r="E822" s="1"/>
    </row>
    <row r="823" ht="15.75" customHeight="1">
      <c r="D823" s="2"/>
      <c r="E823" s="1"/>
    </row>
    <row r="824" ht="15.75" customHeight="1">
      <c r="D824" s="2"/>
      <c r="E824" s="1"/>
    </row>
    <row r="825" ht="15.75" customHeight="1">
      <c r="D825" s="2"/>
      <c r="E825" s="1"/>
    </row>
    <row r="826" ht="15.75" customHeight="1">
      <c r="D826" s="2"/>
      <c r="E826" s="1"/>
    </row>
    <row r="827" ht="15.75" customHeight="1">
      <c r="D827" s="2"/>
      <c r="E827" s="1"/>
    </row>
    <row r="828" ht="15.75" customHeight="1">
      <c r="D828" s="2"/>
      <c r="E828" s="1"/>
    </row>
    <row r="829" ht="15.75" customHeight="1">
      <c r="D829" s="2"/>
      <c r="E829" s="1"/>
    </row>
    <row r="830" ht="15.75" customHeight="1">
      <c r="D830" s="2"/>
      <c r="E830" s="1"/>
    </row>
    <row r="831" ht="15.75" customHeight="1">
      <c r="D831" s="2"/>
      <c r="E831" s="1"/>
    </row>
    <row r="832" ht="15.75" customHeight="1">
      <c r="D832" s="2"/>
      <c r="E832" s="1"/>
    </row>
    <row r="833" ht="15.75" customHeight="1">
      <c r="D833" s="2"/>
      <c r="E833" s="1"/>
    </row>
    <row r="834" ht="15.75" customHeight="1">
      <c r="D834" s="2"/>
      <c r="E834" s="1"/>
    </row>
    <row r="835" ht="15.75" customHeight="1">
      <c r="D835" s="2"/>
      <c r="E835" s="1"/>
    </row>
    <row r="836" ht="15.75" customHeight="1">
      <c r="D836" s="2"/>
      <c r="E836" s="1"/>
    </row>
    <row r="837" ht="15.75" customHeight="1">
      <c r="D837" s="2"/>
      <c r="E837" s="1"/>
    </row>
    <row r="838" ht="15.75" customHeight="1">
      <c r="D838" s="2"/>
      <c r="E838" s="1"/>
    </row>
    <row r="839" ht="15.75" customHeight="1">
      <c r="D839" s="2"/>
      <c r="E839" s="1"/>
    </row>
    <row r="840" ht="15.75" customHeight="1">
      <c r="D840" s="2"/>
      <c r="E840" s="1"/>
    </row>
    <row r="841" ht="15.75" customHeight="1">
      <c r="D841" s="2"/>
      <c r="E841" s="1"/>
    </row>
    <row r="842" ht="15.75" customHeight="1">
      <c r="D842" s="2"/>
      <c r="E842" s="1"/>
    </row>
    <row r="843" ht="15.75" customHeight="1">
      <c r="D843" s="2"/>
      <c r="E843" s="1"/>
    </row>
    <row r="844" ht="15.75" customHeight="1">
      <c r="D844" s="2"/>
      <c r="E844" s="1"/>
    </row>
    <row r="845" ht="15.75" customHeight="1">
      <c r="D845" s="2"/>
      <c r="E845" s="1"/>
    </row>
    <row r="846" ht="15.75" customHeight="1">
      <c r="D846" s="2"/>
      <c r="E846" s="1"/>
    </row>
    <row r="847" ht="15.75" customHeight="1">
      <c r="D847" s="2"/>
      <c r="E847" s="1"/>
    </row>
    <row r="848" ht="15.75" customHeight="1">
      <c r="D848" s="2"/>
      <c r="E848" s="1"/>
    </row>
    <row r="849" ht="15.75" customHeight="1">
      <c r="D849" s="2"/>
      <c r="E849" s="1"/>
    </row>
    <row r="850" ht="15.75" customHeight="1">
      <c r="D850" s="2"/>
      <c r="E850" s="1"/>
    </row>
    <row r="851" ht="15.75" customHeight="1">
      <c r="D851" s="2"/>
      <c r="E851" s="1"/>
    </row>
    <row r="852" ht="15.75" customHeight="1">
      <c r="D852" s="2"/>
      <c r="E852" s="1"/>
    </row>
    <row r="853" ht="15.75" customHeight="1">
      <c r="D853" s="2"/>
      <c r="E853" s="1"/>
    </row>
    <row r="854" ht="15.75" customHeight="1">
      <c r="D854" s="2"/>
      <c r="E854" s="1"/>
    </row>
    <row r="855" ht="15.75" customHeight="1">
      <c r="D855" s="2"/>
      <c r="E855" s="1"/>
    </row>
    <row r="856" ht="15.75" customHeight="1">
      <c r="D856" s="2"/>
      <c r="E856" s="1"/>
    </row>
    <row r="857" ht="15.75" customHeight="1">
      <c r="D857" s="2"/>
      <c r="E857" s="1"/>
    </row>
    <row r="858" ht="15.75" customHeight="1">
      <c r="D858" s="2"/>
      <c r="E858" s="1"/>
    </row>
    <row r="859" ht="15.75" customHeight="1">
      <c r="D859" s="2"/>
      <c r="E859" s="1"/>
    </row>
    <row r="860" ht="15.75" customHeight="1">
      <c r="D860" s="2"/>
      <c r="E860" s="1"/>
    </row>
    <row r="861" ht="15.75" customHeight="1">
      <c r="D861" s="2"/>
      <c r="E861" s="1"/>
    </row>
    <row r="862" ht="15.75" customHeight="1">
      <c r="D862" s="2"/>
      <c r="E862" s="1"/>
    </row>
    <row r="863" ht="15.75" customHeight="1">
      <c r="D863" s="2"/>
      <c r="E863" s="1"/>
    </row>
    <row r="864" ht="15.75" customHeight="1">
      <c r="D864" s="2"/>
      <c r="E864" s="1"/>
    </row>
    <row r="865" ht="15.75" customHeight="1">
      <c r="D865" s="2"/>
      <c r="E865" s="1"/>
    </row>
    <row r="866" ht="15.75" customHeight="1">
      <c r="D866" s="2"/>
      <c r="E866" s="1"/>
    </row>
    <row r="867" ht="15.75" customHeight="1">
      <c r="D867" s="2"/>
      <c r="E867" s="1"/>
    </row>
    <row r="868" ht="15.75" customHeight="1">
      <c r="D868" s="2"/>
      <c r="E868" s="1"/>
    </row>
    <row r="869" ht="15.75" customHeight="1">
      <c r="D869" s="2"/>
      <c r="E869" s="1"/>
    </row>
    <row r="870" ht="15.75" customHeight="1">
      <c r="D870" s="2"/>
      <c r="E870" s="1"/>
    </row>
    <row r="871" ht="15.75" customHeight="1">
      <c r="D871" s="2"/>
      <c r="E871" s="1"/>
    </row>
    <row r="872" ht="15.75" customHeight="1">
      <c r="D872" s="2"/>
      <c r="E872" s="1"/>
    </row>
    <row r="873" ht="15.75" customHeight="1">
      <c r="D873" s="2"/>
      <c r="E873" s="1"/>
    </row>
    <row r="874" ht="15.75" customHeight="1">
      <c r="D874" s="2"/>
      <c r="E874" s="1"/>
    </row>
    <row r="875" ht="15.75" customHeight="1">
      <c r="D875" s="2"/>
      <c r="E875" s="1"/>
    </row>
    <row r="876" ht="15.75" customHeight="1">
      <c r="D876" s="2"/>
      <c r="E876" s="1"/>
    </row>
    <row r="877" ht="15.75" customHeight="1">
      <c r="D877" s="2"/>
      <c r="E877" s="1"/>
    </row>
    <row r="878" ht="15.75" customHeight="1">
      <c r="D878" s="2"/>
      <c r="E878" s="1"/>
    </row>
    <row r="879" ht="15.75" customHeight="1">
      <c r="D879" s="2"/>
      <c r="E879" s="1"/>
    </row>
    <row r="880" ht="15.75" customHeight="1">
      <c r="D880" s="2"/>
      <c r="E880" s="1"/>
    </row>
    <row r="881" ht="15.75" customHeight="1">
      <c r="D881" s="2"/>
      <c r="E881" s="1"/>
    </row>
    <row r="882" ht="15.75" customHeight="1">
      <c r="D882" s="2"/>
      <c r="E882" s="1"/>
    </row>
    <row r="883" ht="15.75" customHeight="1">
      <c r="D883" s="2"/>
      <c r="E883" s="1"/>
    </row>
    <row r="884" ht="15.75" customHeight="1">
      <c r="D884" s="2"/>
      <c r="E884" s="1"/>
    </row>
    <row r="885" ht="15.75" customHeight="1">
      <c r="D885" s="2"/>
      <c r="E885" s="1"/>
    </row>
    <row r="886" ht="15.75" customHeight="1">
      <c r="D886" s="2"/>
      <c r="E886" s="1"/>
    </row>
    <row r="887" ht="15.75" customHeight="1">
      <c r="D887" s="2"/>
      <c r="E887" s="1"/>
    </row>
    <row r="888" ht="15.75" customHeight="1">
      <c r="D888" s="2"/>
      <c r="E888" s="1"/>
    </row>
    <row r="889" ht="15.75" customHeight="1">
      <c r="D889" s="2"/>
      <c r="E889" s="1"/>
    </row>
    <row r="890" ht="15.75" customHeight="1">
      <c r="D890" s="2"/>
      <c r="E890" s="1"/>
    </row>
    <row r="891" ht="15.75" customHeight="1">
      <c r="D891" s="2"/>
      <c r="E891" s="1"/>
    </row>
    <row r="892" ht="15.75" customHeight="1">
      <c r="D892" s="2"/>
      <c r="E892" s="1"/>
    </row>
    <row r="893" ht="15.75" customHeight="1">
      <c r="D893" s="2"/>
      <c r="E893" s="1"/>
    </row>
    <row r="894" ht="15.75" customHeight="1">
      <c r="D894" s="2"/>
      <c r="E894" s="1"/>
    </row>
    <row r="895" ht="15.75" customHeight="1">
      <c r="D895" s="2"/>
      <c r="E895" s="1"/>
    </row>
    <row r="896" ht="15.75" customHeight="1">
      <c r="D896" s="2"/>
      <c r="E896" s="1"/>
    </row>
    <row r="897" ht="15.75" customHeight="1">
      <c r="D897" s="2"/>
      <c r="E897" s="1"/>
    </row>
    <row r="898" ht="15.75" customHeight="1">
      <c r="D898" s="2"/>
      <c r="E898" s="1"/>
    </row>
    <row r="899" ht="15.75" customHeight="1">
      <c r="D899" s="2"/>
      <c r="E899" s="1"/>
    </row>
    <row r="900" ht="15.75" customHeight="1">
      <c r="D900" s="2"/>
      <c r="E900" s="1"/>
    </row>
    <row r="901" ht="15.75" customHeight="1">
      <c r="D901" s="2"/>
      <c r="E901" s="1"/>
    </row>
    <row r="902" ht="15.75" customHeight="1">
      <c r="D902" s="2"/>
      <c r="E902" s="1"/>
    </row>
    <row r="903" ht="15.75" customHeight="1">
      <c r="D903" s="2"/>
      <c r="E903" s="1"/>
    </row>
    <row r="904" ht="15.75" customHeight="1">
      <c r="D904" s="2"/>
      <c r="E904" s="1"/>
    </row>
    <row r="905" ht="15.75" customHeight="1">
      <c r="D905" s="2"/>
      <c r="E905" s="1"/>
    </row>
    <row r="906" ht="15.75" customHeight="1">
      <c r="D906" s="2"/>
      <c r="E906" s="1"/>
    </row>
    <row r="907" ht="15.75" customHeight="1">
      <c r="D907" s="2"/>
      <c r="E907" s="1"/>
    </row>
    <row r="908" ht="15.75" customHeight="1">
      <c r="D908" s="2"/>
      <c r="E908" s="1"/>
    </row>
    <row r="909" ht="15.75" customHeight="1">
      <c r="D909" s="2"/>
      <c r="E909" s="1"/>
    </row>
    <row r="910" ht="15.75" customHeight="1">
      <c r="D910" s="2"/>
      <c r="E910" s="1"/>
    </row>
    <row r="911" ht="15.75" customHeight="1">
      <c r="D911" s="2"/>
      <c r="E911" s="1"/>
    </row>
    <row r="912" ht="15.75" customHeight="1">
      <c r="D912" s="2"/>
      <c r="E912" s="1"/>
    </row>
    <row r="913" ht="15.75" customHeight="1">
      <c r="D913" s="2"/>
      <c r="E913" s="1"/>
    </row>
    <row r="914" ht="15.75" customHeight="1">
      <c r="D914" s="2"/>
      <c r="E914" s="1"/>
    </row>
    <row r="915" ht="15.75" customHeight="1">
      <c r="D915" s="2"/>
      <c r="E915" s="1"/>
    </row>
    <row r="916" ht="15.75" customHeight="1">
      <c r="D916" s="2"/>
      <c r="E916" s="1"/>
    </row>
    <row r="917" ht="15.75" customHeight="1">
      <c r="D917" s="2"/>
      <c r="E917" s="1"/>
    </row>
    <row r="918" ht="15.75" customHeight="1">
      <c r="D918" s="2"/>
      <c r="E918" s="1"/>
    </row>
    <row r="919" ht="15.75" customHeight="1">
      <c r="D919" s="2"/>
      <c r="E919" s="1"/>
    </row>
    <row r="920" ht="15.75" customHeight="1">
      <c r="D920" s="2"/>
      <c r="E920" s="1"/>
    </row>
    <row r="921" ht="15.75" customHeight="1">
      <c r="D921" s="2"/>
      <c r="E921" s="1"/>
    </row>
    <row r="922" ht="15.75" customHeight="1">
      <c r="D922" s="2"/>
      <c r="E922" s="1"/>
    </row>
    <row r="923" ht="15.75" customHeight="1">
      <c r="D923" s="2"/>
      <c r="E923" s="1"/>
    </row>
    <row r="924" ht="15.75" customHeight="1">
      <c r="D924" s="2"/>
      <c r="E924" s="1"/>
    </row>
    <row r="925" ht="15.75" customHeight="1">
      <c r="D925" s="2"/>
      <c r="E925" s="1"/>
    </row>
    <row r="926" ht="15.75" customHeight="1">
      <c r="D926" s="2"/>
      <c r="E926" s="1"/>
    </row>
    <row r="927" ht="15.75" customHeight="1">
      <c r="D927" s="2"/>
      <c r="E927" s="1"/>
    </row>
    <row r="928" ht="15.75" customHeight="1">
      <c r="D928" s="2"/>
      <c r="E928" s="1"/>
    </row>
    <row r="929" ht="15.75" customHeight="1">
      <c r="D929" s="2"/>
      <c r="E929" s="1"/>
    </row>
    <row r="930" ht="15.75" customHeight="1">
      <c r="D930" s="2"/>
      <c r="E930" s="1"/>
    </row>
    <row r="931" ht="15.75" customHeight="1">
      <c r="D931" s="2"/>
      <c r="E931" s="1"/>
    </row>
    <row r="932" ht="15.75" customHeight="1">
      <c r="D932" s="2"/>
      <c r="E932" s="1"/>
    </row>
    <row r="933" ht="15.75" customHeight="1">
      <c r="D933" s="2"/>
      <c r="E933" s="1"/>
    </row>
    <row r="934" ht="15.75" customHeight="1">
      <c r="D934" s="2"/>
      <c r="E934" s="1"/>
    </row>
    <row r="935" ht="15.75" customHeight="1">
      <c r="D935" s="2"/>
      <c r="E935" s="1"/>
    </row>
    <row r="936" ht="15.75" customHeight="1">
      <c r="D936" s="2"/>
      <c r="E936" s="1"/>
    </row>
    <row r="937" ht="15.75" customHeight="1">
      <c r="D937" s="2"/>
      <c r="E937" s="1"/>
    </row>
    <row r="938" ht="15.75" customHeight="1">
      <c r="D938" s="2"/>
      <c r="E938" s="1"/>
    </row>
    <row r="939" ht="15.75" customHeight="1">
      <c r="D939" s="2"/>
      <c r="E939" s="1"/>
    </row>
    <row r="940" ht="15.75" customHeight="1">
      <c r="D940" s="2"/>
      <c r="E940" s="1"/>
    </row>
    <row r="941" ht="15.75" customHeight="1">
      <c r="D941" s="2"/>
      <c r="E941" s="1"/>
    </row>
    <row r="942" ht="15.75" customHeight="1">
      <c r="D942" s="2"/>
      <c r="E942" s="1"/>
    </row>
    <row r="943" ht="15.75" customHeight="1">
      <c r="D943" s="2"/>
      <c r="E943" s="1"/>
    </row>
    <row r="944" ht="15.75" customHeight="1">
      <c r="D944" s="2"/>
      <c r="E944" s="1"/>
    </row>
    <row r="945" ht="15.75" customHeight="1">
      <c r="D945" s="2"/>
      <c r="E945" s="1"/>
    </row>
    <row r="946" ht="15.75" customHeight="1">
      <c r="D946" s="2"/>
      <c r="E946" s="1"/>
    </row>
    <row r="947" ht="15.75" customHeight="1">
      <c r="D947" s="2"/>
      <c r="E947" s="1"/>
    </row>
    <row r="948" ht="15.75" customHeight="1">
      <c r="D948" s="2"/>
      <c r="E948" s="1"/>
    </row>
    <row r="949" ht="15.75" customHeight="1">
      <c r="D949" s="2"/>
      <c r="E949" s="1"/>
    </row>
    <row r="950" ht="15.75" customHeight="1">
      <c r="D950" s="2"/>
      <c r="E950" s="1"/>
    </row>
    <row r="951" ht="15.75" customHeight="1">
      <c r="D951" s="2"/>
      <c r="E951" s="1"/>
    </row>
    <row r="952" ht="15.75" customHeight="1">
      <c r="D952" s="2"/>
      <c r="E952" s="1"/>
    </row>
    <row r="953" ht="15.75" customHeight="1">
      <c r="D953" s="2"/>
      <c r="E953" s="1"/>
    </row>
    <row r="954" ht="15.75" customHeight="1">
      <c r="D954" s="2"/>
      <c r="E954" s="1"/>
    </row>
    <row r="955" ht="15.75" customHeight="1">
      <c r="D955" s="2"/>
      <c r="E955" s="1"/>
    </row>
    <row r="956" ht="15.75" customHeight="1">
      <c r="D956" s="2"/>
      <c r="E956" s="1"/>
    </row>
    <row r="957" ht="15.75" customHeight="1">
      <c r="D957" s="2"/>
      <c r="E957" s="1"/>
    </row>
    <row r="958" ht="15.75" customHeight="1">
      <c r="D958" s="2"/>
      <c r="E958" s="1"/>
    </row>
    <row r="959" ht="15.75" customHeight="1">
      <c r="D959" s="2"/>
      <c r="E959" s="1"/>
    </row>
    <row r="960" ht="15.75" customHeight="1">
      <c r="D960" s="2"/>
      <c r="E960" s="1"/>
    </row>
    <row r="961" ht="15.75" customHeight="1">
      <c r="D961" s="2"/>
      <c r="E961" s="1"/>
    </row>
    <row r="962" ht="15.75" customHeight="1">
      <c r="D962" s="2"/>
      <c r="E962" s="1"/>
    </row>
    <row r="963" ht="15.75" customHeight="1">
      <c r="D963" s="2"/>
      <c r="E963" s="1"/>
    </row>
    <row r="964" ht="15.75" customHeight="1">
      <c r="D964" s="2"/>
      <c r="E964" s="1"/>
    </row>
    <row r="965" ht="15.75" customHeight="1">
      <c r="D965" s="2"/>
      <c r="E965" s="1"/>
    </row>
    <row r="966" ht="15.75" customHeight="1">
      <c r="D966" s="2"/>
      <c r="E966" s="1"/>
    </row>
    <row r="967" ht="15.75" customHeight="1">
      <c r="D967" s="2"/>
      <c r="E967" s="1"/>
    </row>
    <row r="968" ht="15.75" customHeight="1">
      <c r="D968" s="2"/>
      <c r="E968" s="1"/>
    </row>
    <row r="969" ht="15.75" customHeight="1">
      <c r="D969" s="2"/>
      <c r="E969" s="1"/>
    </row>
    <row r="970" ht="15.75" customHeight="1">
      <c r="D970" s="2"/>
      <c r="E970" s="1"/>
    </row>
    <row r="971" ht="15.75" customHeight="1">
      <c r="D971" s="2"/>
      <c r="E971" s="1"/>
    </row>
    <row r="972" ht="15.75" customHeight="1">
      <c r="D972" s="2"/>
      <c r="E972" s="1"/>
    </row>
    <row r="973" ht="15.75" customHeight="1">
      <c r="D973" s="2"/>
      <c r="E973" s="1"/>
    </row>
    <row r="974" ht="15.75" customHeight="1">
      <c r="D974" s="2"/>
      <c r="E974" s="1"/>
    </row>
    <row r="975" ht="15.75" customHeight="1">
      <c r="D975" s="2"/>
      <c r="E975" s="1"/>
    </row>
    <row r="976" ht="15.75" customHeight="1">
      <c r="D976" s="2"/>
      <c r="E976" s="1"/>
    </row>
    <row r="977" ht="15.75" customHeight="1">
      <c r="D977" s="2"/>
      <c r="E977" s="1"/>
    </row>
    <row r="978" ht="15.75" customHeight="1">
      <c r="D978" s="2"/>
      <c r="E978" s="1"/>
    </row>
    <row r="979" ht="15.75" customHeight="1">
      <c r="D979" s="2"/>
      <c r="E979" s="1"/>
    </row>
    <row r="980" ht="15.75" customHeight="1">
      <c r="D980" s="2"/>
      <c r="E980" s="1"/>
    </row>
    <row r="981" ht="15.75" customHeight="1">
      <c r="D981" s="2"/>
      <c r="E981" s="1"/>
    </row>
    <row r="982" ht="15.75" customHeight="1">
      <c r="D982" s="2"/>
      <c r="E982" s="1"/>
    </row>
    <row r="983" ht="15.75" customHeight="1">
      <c r="D983" s="2"/>
      <c r="E983" s="1"/>
    </row>
    <row r="984" ht="15.75" customHeight="1">
      <c r="D984" s="2"/>
      <c r="E984" s="1"/>
    </row>
    <row r="985" ht="15.75" customHeight="1">
      <c r="D985" s="2"/>
      <c r="E985" s="1"/>
    </row>
    <row r="986" ht="15.75" customHeight="1">
      <c r="D986" s="2"/>
      <c r="E986" s="1"/>
    </row>
    <row r="987" ht="15.75" customHeight="1">
      <c r="D987" s="2"/>
      <c r="E987" s="1"/>
    </row>
    <row r="988" ht="15.75" customHeight="1">
      <c r="D988" s="2"/>
      <c r="E988" s="1"/>
    </row>
    <row r="989" ht="15.75" customHeight="1">
      <c r="D989" s="2"/>
      <c r="E989" s="1"/>
    </row>
    <row r="990" ht="15.75" customHeight="1">
      <c r="D990" s="2"/>
      <c r="E990" s="1"/>
    </row>
    <row r="991" ht="15.75" customHeight="1">
      <c r="D991" s="2"/>
      <c r="E991" s="1"/>
    </row>
    <row r="992" ht="15.75" customHeight="1">
      <c r="D992" s="2"/>
      <c r="E992" s="1"/>
    </row>
    <row r="993" ht="15.75" customHeight="1">
      <c r="D993" s="2"/>
      <c r="E993" s="1"/>
    </row>
    <row r="994" ht="15.75" customHeight="1">
      <c r="D994" s="2"/>
      <c r="E994" s="1"/>
    </row>
    <row r="995" ht="15.75" customHeight="1">
      <c r="D995" s="2"/>
      <c r="E995" s="1"/>
    </row>
    <row r="996" ht="15.75" customHeight="1">
      <c r="D996" s="2"/>
      <c r="E996" s="1"/>
    </row>
    <row r="997" ht="15.75" customHeight="1">
      <c r="D997" s="2"/>
      <c r="E997" s="1"/>
    </row>
    <row r="998" ht="15.75" customHeight="1">
      <c r="D998" s="2"/>
      <c r="E998" s="1"/>
    </row>
    <row r="999" ht="15.75" customHeight="1">
      <c r="D999" s="2"/>
      <c r="E999" s="1"/>
    </row>
    <row r="1000" ht="15.75" customHeight="1">
      <c r="D1000" s="2"/>
      <c r="E1000" s="1"/>
    </row>
    <row r="1001" ht="15.75" customHeight="1">
      <c r="D1001" s="2"/>
      <c r="E1001" s="1"/>
    </row>
    <row r="1002" ht="15.75" customHeight="1">
      <c r="D1002" s="2"/>
      <c r="E1002" s="1"/>
    </row>
    <row r="1003" ht="15.75" customHeight="1">
      <c r="D1003" s="2"/>
      <c r="E1003" s="1"/>
    </row>
    <row r="1004" ht="15.75" customHeight="1">
      <c r="D1004" s="2"/>
      <c r="E1004" s="1"/>
    </row>
    <row r="1005" ht="15.75" customHeight="1">
      <c r="D1005" s="2"/>
      <c r="E1005" s="1"/>
    </row>
    <row r="1006" ht="15.75" customHeight="1">
      <c r="D1006" s="2"/>
      <c r="E1006" s="1"/>
    </row>
    <row r="1007" ht="15.75" customHeight="1">
      <c r="D1007" s="2"/>
      <c r="E1007" s="1"/>
    </row>
    <row r="1008" ht="15.75" customHeight="1">
      <c r="D1008" s="2"/>
      <c r="E1008" s="1"/>
    </row>
    <row r="1009" ht="15.75" customHeight="1">
      <c r="D1009" s="2"/>
      <c r="E1009" s="1"/>
    </row>
    <row r="1010" ht="15.75" customHeight="1">
      <c r="D1010" s="2"/>
      <c r="E1010" s="1"/>
    </row>
    <row r="1011" ht="15.75" customHeight="1">
      <c r="D1011" s="2"/>
      <c r="E1011" s="1"/>
    </row>
    <row r="1012" ht="15.75" customHeight="1">
      <c r="D1012" s="2"/>
      <c r="E1012" s="1"/>
    </row>
    <row r="1013" ht="15.75" customHeight="1">
      <c r="D1013" s="2"/>
      <c r="E1013" s="1"/>
    </row>
    <row r="1014" ht="15.75" customHeight="1">
      <c r="D1014" s="2"/>
      <c r="E1014" s="1"/>
    </row>
    <row r="1015" ht="15.75" customHeight="1">
      <c r="D1015" s="2"/>
      <c r="E1015" s="1"/>
    </row>
    <row r="1016" ht="15.75" customHeight="1">
      <c r="D1016" s="2"/>
      <c r="E1016" s="1"/>
    </row>
    <row r="1017" ht="15.75" customHeight="1">
      <c r="D1017" s="2"/>
      <c r="E1017" s="1"/>
    </row>
    <row r="1018" ht="15.75" customHeight="1">
      <c r="D1018" s="2"/>
      <c r="E1018" s="1"/>
    </row>
    <row r="1019" ht="15.75" customHeight="1">
      <c r="D1019" s="2"/>
      <c r="E1019" s="1"/>
    </row>
    <row r="1020">
      <c r="D1020" s="2"/>
      <c r="E1020" s="1"/>
    </row>
    <row r="1021">
      <c r="D1021" s="2"/>
      <c r="E1021" s="1"/>
    </row>
    <row r="1022">
      <c r="D1022" s="2"/>
      <c r="E1022" s="1"/>
    </row>
    <row r="1023">
      <c r="D1023" s="2"/>
      <c r="E1023" s="1"/>
    </row>
    <row r="1024">
      <c r="D1024" s="2"/>
      <c r="E1024" s="1"/>
    </row>
    <row r="1025">
      <c r="D1025" s="2"/>
      <c r="E1025" s="1"/>
    </row>
    <row r="1026">
      <c r="D1026" s="2"/>
      <c r="E1026" s="1"/>
    </row>
    <row r="1027">
      <c r="D1027" s="2"/>
      <c r="E1027" s="1"/>
    </row>
    <row r="1028">
      <c r="D1028" s="2"/>
      <c r="E1028" s="1"/>
    </row>
    <row r="1029">
      <c r="D1029" s="2"/>
      <c r="E1029" s="1"/>
    </row>
    <row r="1030">
      <c r="D1030" s="2"/>
      <c r="E1030" s="1"/>
    </row>
    <row r="1031">
      <c r="D1031" s="2"/>
      <c r="E1031" s="1"/>
    </row>
    <row r="1032">
      <c r="D1032" s="2"/>
    </row>
  </sheetData>
  <mergeCells count="270">
    <mergeCell ref="G69:G74"/>
    <mergeCell ref="G77:G83"/>
    <mergeCell ref="G86:G92"/>
    <mergeCell ref="G102:G109"/>
    <mergeCell ref="G113:G119"/>
    <mergeCell ref="G3:G9"/>
    <mergeCell ref="G10:G16"/>
    <mergeCell ref="G20:H26"/>
    <mergeCell ref="G30:G35"/>
    <mergeCell ref="G38:G46"/>
    <mergeCell ref="G50:G58"/>
    <mergeCell ref="G60:G64"/>
    <mergeCell ref="E9:E13"/>
    <mergeCell ref="E14:E17"/>
    <mergeCell ref="A2:E2"/>
    <mergeCell ref="J3:J6"/>
    <mergeCell ref="A4:A8"/>
    <mergeCell ref="J7:J10"/>
    <mergeCell ref="A9:A13"/>
    <mergeCell ref="A14:A17"/>
    <mergeCell ref="A18:A22"/>
    <mergeCell ref="A23:A26"/>
    <mergeCell ref="E23:E26"/>
    <mergeCell ref="J24:J27"/>
    <mergeCell ref="A27:A31"/>
    <mergeCell ref="E27:E31"/>
    <mergeCell ref="J29:J33"/>
    <mergeCell ref="E32:E36"/>
    <mergeCell ref="E4:E8"/>
    <mergeCell ref="E18:E22"/>
    <mergeCell ref="E37:E41"/>
    <mergeCell ref="E42:E48"/>
    <mergeCell ref="E49:E54"/>
    <mergeCell ref="E55:E59"/>
    <mergeCell ref="E60:E64"/>
    <mergeCell ref="A32:A36"/>
    <mergeCell ref="A37:A41"/>
    <mergeCell ref="A42:A48"/>
    <mergeCell ref="A49:A54"/>
    <mergeCell ref="A55:A59"/>
    <mergeCell ref="A60:A64"/>
    <mergeCell ref="A65:A70"/>
    <mergeCell ref="A158:A162"/>
    <mergeCell ref="E65:E70"/>
    <mergeCell ref="E71:E76"/>
    <mergeCell ref="E77:E81"/>
    <mergeCell ref="E83:E87"/>
    <mergeCell ref="E88:E92"/>
    <mergeCell ref="E93:E98"/>
    <mergeCell ref="E99:E105"/>
    <mergeCell ref="E106:E110"/>
    <mergeCell ref="E111:E116"/>
    <mergeCell ref="E117:E121"/>
    <mergeCell ref="E122:E126"/>
    <mergeCell ref="E127:E130"/>
    <mergeCell ref="G128:G130"/>
    <mergeCell ref="G132:I137"/>
    <mergeCell ref="E131:E134"/>
    <mergeCell ref="E135:E139"/>
    <mergeCell ref="E140:E143"/>
    <mergeCell ref="G141:G148"/>
    <mergeCell ref="E146:E150"/>
    <mergeCell ref="E151:E157"/>
    <mergeCell ref="G152:G164"/>
    <mergeCell ref="E158:E162"/>
    <mergeCell ref="E163:E166"/>
    <mergeCell ref="E167:E171"/>
    <mergeCell ref="E172:E175"/>
    <mergeCell ref="E176:E179"/>
    <mergeCell ref="E180:E183"/>
    <mergeCell ref="E184:E187"/>
    <mergeCell ref="E188:E191"/>
    <mergeCell ref="E192:E195"/>
    <mergeCell ref="E196:E199"/>
    <mergeCell ref="E200:E203"/>
    <mergeCell ref="E204:E207"/>
    <mergeCell ref="E208:E211"/>
    <mergeCell ref="E212:E215"/>
    <mergeCell ref="J192:J203"/>
    <mergeCell ref="J243:J247"/>
    <mergeCell ref="G167:G173"/>
    <mergeCell ref="G176:G180"/>
    <mergeCell ref="J180:J186"/>
    <mergeCell ref="I181:I184"/>
    <mergeCell ref="G189:G194"/>
    <mergeCell ref="G211:G218"/>
    <mergeCell ref="G220:G223"/>
    <mergeCell ref="E216:E219"/>
    <mergeCell ref="E220:E229"/>
    <mergeCell ref="G228:G236"/>
    <mergeCell ref="E230:E233"/>
    <mergeCell ref="E234:E237"/>
    <mergeCell ref="E238:E241"/>
    <mergeCell ref="G240:G243"/>
    <mergeCell ref="E242:E245"/>
    <mergeCell ref="E246:E249"/>
    <mergeCell ref="E250:E253"/>
    <mergeCell ref="G251:G257"/>
    <mergeCell ref="E254:E257"/>
    <mergeCell ref="E258:E261"/>
    <mergeCell ref="E262:E265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4"/>
    <mergeCell ref="A395:A399"/>
    <mergeCell ref="A400:A403"/>
    <mergeCell ref="A404:A407"/>
    <mergeCell ref="A408:A411"/>
    <mergeCell ref="A412:A415"/>
    <mergeCell ref="A444:A447"/>
    <mergeCell ref="A448:A451"/>
    <mergeCell ref="A452:A455"/>
    <mergeCell ref="A456:A459"/>
    <mergeCell ref="A416:A419"/>
    <mergeCell ref="A420:A423"/>
    <mergeCell ref="A424:A427"/>
    <mergeCell ref="A428:A431"/>
    <mergeCell ref="A432:A435"/>
    <mergeCell ref="A436:A439"/>
    <mergeCell ref="A440:A443"/>
    <mergeCell ref="A71:A76"/>
    <mergeCell ref="A77:A81"/>
    <mergeCell ref="A83:A87"/>
    <mergeCell ref="A88:A92"/>
    <mergeCell ref="A93:A98"/>
    <mergeCell ref="A99:A105"/>
    <mergeCell ref="A106:A110"/>
    <mergeCell ref="A111:A116"/>
    <mergeCell ref="A117:A121"/>
    <mergeCell ref="A122:A126"/>
    <mergeCell ref="A127:A130"/>
    <mergeCell ref="A131:A134"/>
    <mergeCell ref="A135:A139"/>
    <mergeCell ref="A140:A143"/>
    <mergeCell ref="A146:A150"/>
    <mergeCell ref="A151:A157"/>
    <mergeCell ref="A163:A166"/>
    <mergeCell ref="A167:A171"/>
    <mergeCell ref="A172:A175"/>
    <mergeCell ref="A176:A179"/>
    <mergeCell ref="A180:A183"/>
    <mergeCell ref="A184:A187"/>
    <mergeCell ref="A188:A191"/>
    <mergeCell ref="A192:A195"/>
    <mergeCell ref="A196:A199"/>
    <mergeCell ref="A200:A203"/>
    <mergeCell ref="A204:A207"/>
    <mergeCell ref="A208:A211"/>
    <mergeCell ref="A212:A215"/>
    <mergeCell ref="A216:A219"/>
    <mergeCell ref="A220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G357:G364"/>
    <mergeCell ref="G378:G383"/>
    <mergeCell ref="J381:J384"/>
    <mergeCell ref="G385:G390"/>
    <mergeCell ref="J394:J395"/>
    <mergeCell ref="J397:J407"/>
    <mergeCell ref="G399:G404"/>
    <mergeCell ref="J423:J427"/>
    <mergeCell ref="J428:K428"/>
    <mergeCell ref="J429:K429"/>
    <mergeCell ref="J430:K430"/>
    <mergeCell ref="J408:J411"/>
    <mergeCell ref="G411:H411"/>
    <mergeCell ref="G412:H412"/>
    <mergeCell ref="J412:J415"/>
    <mergeCell ref="J416:J421"/>
    <mergeCell ref="G417:G422"/>
    <mergeCell ref="G423:H423"/>
    <mergeCell ref="G438:H438"/>
    <mergeCell ref="E346:E349"/>
    <mergeCell ref="E358:E361"/>
    <mergeCell ref="E366:E369"/>
    <mergeCell ref="E370:E373"/>
    <mergeCell ref="E374:E377"/>
    <mergeCell ref="E378:E381"/>
    <mergeCell ref="E382:E385"/>
    <mergeCell ref="E436:E439"/>
    <mergeCell ref="E444:E447"/>
    <mergeCell ref="E448:E451"/>
    <mergeCell ref="E452:E455"/>
    <mergeCell ref="E456:E459"/>
    <mergeCell ref="E408:E411"/>
    <mergeCell ref="E412:E415"/>
    <mergeCell ref="E416:E419"/>
    <mergeCell ref="E420:E423"/>
    <mergeCell ref="E424:E427"/>
    <mergeCell ref="E428:E431"/>
    <mergeCell ref="E432:E435"/>
    <mergeCell ref="G295:G302"/>
    <mergeCell ref="E298:E301"/>
    <mergeCell ref="G305:G309"/>
    <mergeCell ref="E306:E309"/>
    <mergeCell ref="G311:G315"/>
    <mergeCell ref="G320:G325"/>
    <mergeCell ref="E322:E325"/>
    <mergeCell ref="E266:E269"/>
    <mergeCell ref="E270:E273"/>
    <mergeCell ref="E274:E277"/>
    <mergeCell ref="E278:E281"/>
    <mergeCell ref="G278:G283"/>
    <mergeCell ref="E282:E285"/>
    <mergeCell ref="G286:G293"/>
    <mergeCell ref="E286:E289"/>
    <mergeCell ref="E290:E293"/>
    <mergeCell ref="E294:E297"/>
    <mergeCell ref="E302:E305"/>
    <mergeCell ref="E310:E313"/>
    <mergeCell ref="E314:E317"/>
    <mergeCell ref="E318:E321"/>
    <mergeCell ref="E350:E353"/>
    <mergeCell ref="E354:E357"/>
    <mergeCell ref="E326:E329"/>
    <mergeCell ref="E330:E333"/>
    <mergeCell ref="E334:E337"/>
    <mergeCell ref="E338:E341"/>
    <mergeCell ref="E342:E345"/>
    <mergeCell ref="G350:G354"/>
    <mergeCell ref="E362:E365"/>
    <mergeCell ref="E386:E389"/>
    <mergeCell ref="E390:E394"/>
    <mergeCell ref="G392:G398"/>
    <mergeCell ref="E395:E399"/>
    <mergeCell ref="E400:E403"/>
    <mergeCell ref="E404:E407"/>
    <mergeCell ref="G405:G410"/>
    <mergeCell ref="G428:G431"/>
    <mergeCell ref="G432:G437"/>
    <mergeCell ref="G439:G442"/>
    <mergeCell ref="E440:E443"/>
    <mergeCell ref="G444:G447"/>
    <mergeCell ref="G448:G4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4.14"/>
    <col customWidth="1" min="3" max="3" width="20.43"/>
    <col customWidth="1" min="4" max="4" width="21.57"/>
    <col customWidth="1" min="5" max="5" width="25.29"/>
    <col customWidth="1" min="6" max="6" width="32.43"/>
    <col customWidth="1" min="7" max="7" width="29.57"/>
    <col customWidth="1" min="8" max="8" width="39.29"/>
    <col customWidth="1" min="9" max="9" width="27.86"/>
    <col customWidth="1" min="10" max="10" width="33.71"/>
    <col customWidth="1" min="11" max="11" width="39.0"/>
    <col customWidth="1" min="12" max="12" width="26.0"/>
    <col customWidth="1" min="13" max="13" width="30.14"/>
    <col customWidth="1" min="14" max="24" width="8.71"/>
  </cols>
  <sheetData>
    <row r="1">
      <c r="A1" s="1"/>
      <c r="D1" s="2"/>
      <c r="E1" s="1"/>
    </row>
    <row r="2" ht="39.75" customHeight="1">
      <c r="A2" s="149" t="s">
        <v>217</v>
      </c>
      <c r="B2" s="4"/>
      <c r="C2" s="4"/>
      <c r="D2" s="4"/>
      <c r="E2" s="5"/>
    </row>
    <row r="3">
      <c r="A3" s="6" t="s">
        <v>1</v>
      </c>
      <c r="B3" s="6"/>
      <c r="C3" s="6" t="s">
        <v>2</v>
      </c>
      <c r="D3" s="7" t="s">
        <v>3</v>
      </c>
      <c r="E3" s="6" t="s">
        <v>4</v>
      </c>
      <c r="G3" s="8"/>
      <c r="H3" s="9"/>
      <c r="I3" s="10"/>
      <c r="J3" s="11"/>
    </row>
    <row r="4" ht="27.0" customHeight="1">
      <c r="A4" s="12" t="s">
        <v>5</v>
      </c>
      <c r="B4" s="150" t="s">
        <v>218</v>
      </c>
      <c r="C4" s="151">
        <v>3660000.0</v>
      </c>
      <c r="D4" s="152" t="s">
        <v>7</v>
      </c>
      <c r="E4" s="153">
        <v>0.0</v>
      </c>
      <c r="H4" s="9"/>
      <c r="I4" s="17"/>
    </row>
    <row r="5" ht="25.5" customHeight="1">
      <c r="A5" s="18"/>
      <c r="B5" s="154" t="s">
        <v>219</v>
      </c>
      <c r="C5" s="155">
        <v>7099500.0</v>
      </c>
      <c r="D5" s="152" t="s">
        <v>7</v>
      </c>
      <c r="E5" s="18"/>
      <c r="F5" s="20"/>
      <c r="H5" s="9"/>
      <c r="I5" s="10"/>
    </row>
    <row r="6" ht="25.5" customHeight="1">
      <c r="A6" s="18"/>
      <c r="B6" s="154" t="s">
        <v>220</v>
      </c>
      <c r="C6" s="155">
        <v>3115000.0</v>
      </c>
      <c r="D6" s="156" t="s">
        <v>7</v>
      </c>
      <c r="E6" s="18"/>
      <c r="H6" s="9"/>
      <c r="I6" s="10"/>
    </row>
    <row r="7" ht="25.5" customHeight="1">
      <c r="A7" s="18"/>
      <c r="B7" s="157"/>
      <c r="C7" s="157"/>
      <c r="E7" s="18"/>
      <c r="H7" s="9"/>
      <c r="I7" s="10"/>
      <c r="J7" s="11"/>
    </row>
    <row r="8" ht="25.5" customHeight="1">
      <c r="A8" s="18"/>
      <c r="B8" s="157"/>
      <c r="C8" s="158"/>
      <c r="D8" s="25"/>
      <c r="E8" s="18"/>
      <c r="F8" s="29"/>
      <c r="H8" s="27"/>
      <c r="I8" s="28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ht="25.5" customHeight="1">
      <c r="A9" s="18"/>
      <c r="B9" s="159"/>
      <c r="C9" s="160"/>
      <c r="D9" s="25"/>
      <c r="E9" s="18"/>
      <c r="F9" s="29"/>
      <c r="H9" s="27"/>
      <c r="I9" s="28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ht="25.5" customHeight="1">
      <c r="A10" s="22"/>
      <c r="B10" s="161" t="s">
        <v>221</v>
      </c>
      <c r="C10" s="162">
        <v>1.402E7</v>
      </c>
      <c r="D10" s="163" t="s">
        <v>7</v>
      </c>
      <c r="E10" s="22"/>
      <c r="F10" s="29"/>
      <c r="H10" s="27"/>
      <c r="I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ht="25.5" customHeight="1">
      <c r="A11" s="12" t="s">
        <v>11</v>
      </c>
      <c r="B11" s="108" t="s">
        <v>14</v>
      </c>
      <c r="C11" s="151">
        <v>1.22068E7</v>
      </c>
      <c r="D11" s="31"/>
      <c r="E11" s="16">
        <f>sum(C11:C18)</f>
        <v>130522200</v>
      </c>
      <c r="H11" s="9"/>
      <c r="I11" s="10"/>
    </row>
    <row r="12" ht="25.5" customHeight="1">
      <c r="A12" s="18"/>
      <c r="B12" s="108" t="s">
        <v>15</v>
      </c>
      <c r="C12" s="164">
        <v>1.1005E7</v>
      </c>
      <c r="D12" s="21"/>
      <c r="E12" s="18"/>
      <c r="G12" s="32"/>
      <c r="H12" s="9"/>
      <c r="I12" s="10"/>
    </row>
    <row r="13" ht="25.5" customHeight="1">
      <c r="A13" s="18"/>
      <c r="B13" s="108" t="s">
        <v>10</v>
      </c>
      <c r="C13" s="164">
        <v>2.8155E7</v>
      </c>
      <c r="D13" s="21"/>
      <c r="E13" s="18"/>
      <c r="H13" s="9"/>
      <c r="I13" s="10"/>
    </row>
    <row r="14" ht="25.5" customHeight="1">
      <c r="A14" s="18"/>
      <c r="B14" s="150" t="s">
        <v>218</v>
      </c>
      <c r="C14" s="165">
        <v>0.0</v>
      </c>
      <c r="D14" s="21"/>
      <c r="E14" s="18"/>
      <c r="H14" s="9"/>
      <c r="I14" s="10"/>
    </row>
    <row r="15" ht="25.5" customHeight="1">
      <c r="A15" s="18"/>
      <c r="B15" s="154" t="s">
        <v>219</v>
      </c>
      <c r="C15" s="155">
        <v>6713600.0</v>
      </c>
      <c r="D15" s="21"/>
      <c r="E15" s="18"/>
      <c r="H15" s="9"/>
      <c r="I15" s="10"/>
    </row>
    <row r="16" ht="25.5" customHeight="1">
      <c r="A16" s="18"/>
      <c r="B16" s="154" t="s">
        <v>55</v>
      </c>
      <c r="C16" s="155">
        <v>1.28468E7</v>
      </c>
      <c r="D16" s="21"/>
      <c r="E16" s="18"/>
      <c r="F16" s="154"/>
      <c r="H16" s="9"/>
      <c r="I16" s="10"/>
    </row>
    <row r="17" ht="25.5" customHeight="1">
      <c r="A17" s="18"/>
      <c r="B17" s="154" t="s">
        <v>220</v>
      </c>
      <c r="C17" s="154">
        <v>7975000.0</v>
      </c>
      <c r="D17" s="34"/>
      <c r="E17" s="18"/>
      <c r="F17" s="154"/>
      <c r="H17" s="9"/>
      <c r="I17" s="10"/>
    </row>
    <row r="18" ht="25.5" customHeight="1">
      <c r="A18" s="22"/>
      <c r="B18" s="166" t="s">
        <v>221</v>
      </c>
      <c r="C18" s="167">
        <v>5.162E7</v>
      </c>
      <c r="D18" s="34"/>
      <c r="E18" s="22"/>
      <c r="H18" s="9"/>
      <c r="I18" s="10"/>
    </row>
    <row r="19" ht="25.5" customHeight="1">
      <c r="A19" s="12" t="s">
        <v>16</v>
      </c>
      <c r="B19" s="108" t="s">
        <v>17</v>
      </c>
      <c r="C19" s="151">
        <v>7600000.0</v>
      </c>
      <c r="D19" s="168" t="s">
        <v>7</v>
      </c>
      <c r="E19" s="16">
        <f>sum(C20:C25)</f>
        <v>30400000</v>
      </c>
      <c r="H19" s="9"/>
      <c r="I19" s="10"/>
    </row>
    <row r="20" ht="25.5" customHeight="1">
      <c r="A20" s="18"/>
      <c r="B20" s="108" t="s">
        <v>10</v>
      </c>
      <c r="C20" s="151">
        <v>7600000.0</v>
      </c>
      <c r="D20" s="21"/>
      <c r="E20" s="18"/>
      <c r="H20" s="9"/>
      <c r="I20" s="10"/>
    </row>
    <row r="21" ht="25.5" customHeight="1">
      <c r="A21" s="18"/>
      <c r="B21" s="108" t="s">
        <v>222</v>
      </c>
      <c r="C21" s="165">
        <v>0.0</v>
      </c>
      <c r="D21" s="33"/>
      <c r="E21" s="18"/>
      <c r="H21" s="9"/>
      <c r="I21" s="10"/>
    </row>
    <row r="22" ht="25.5" customHeight="1">
      <c r="A22" s="18"/>
      <c r="B22" s="154" t="s">
        <v>219</v>
      </c>
      <c r="C22" s="169">
        <v>0.0</v>
      </c>
      <c r="D22" s="33"/>
      <c r="E22" s="18"/>
      <c r="G22" s="20">
        <f>4500*20</f>
        <v>90000</v>
      </c>
    </row>
    <row r="23" ht="25.5" customHeight="1">
      <c r="A23" s="18"/>
      <c r="B23" s="154" t="s">
        <v>55</v>
      </c>
      <c r="C23" s="160">
        <v>7600000.0</v>
      </c>
      <c r="D23" s="33"/>
      <c r="E23" s="18"/>
      <c r="G23" s="20"/>
    </row>
    <row r="24" ht="25.5" customHeight="1">
      <c r="A24" s="18"/>
      <c r="B24" s="154" t="s">
        <v>220</v>
      </c>
      <c r="C24" s="134">
        <v>0.0</v>
      </c>
      <c r="D24" s="33"/>
      <c r="E24" s="18"/>
      <c r="G24" s="20"/>
    </row>
    <row r="25" ht="25.5" customHeight="1">
      <c r="A25" s="22"/>
      <c r="B25" s="166" t="s">
        <v>221</v>
      </c>
      <c r="C25" s="170">
        <v>1.52E7</v>
      </c>
      <c r="D25" s="33"/>
      <c r="E25" s="22"/>
      <c r="G25" s="20"/>
    </row>
    <row r="26" ht="25.5" customHeight="1">
      <c r="A26" s="12" t="s">
        <v>18</v>
      </c>
      <c r="B26" s="108" t="s">
        <v>15</v>
      </c>
      <c r="C26" s="151">
        <v>2.5135E7</v>
      </c>
      <c r="D26" s="156" t="s">
        <v>7</v>
      </c>
      <c r="E26" s="153">
        <v>0.0</v>
      </c>
      <c r="H26" s="20">
        <f>4500*20</f>
        <v>90000</v>
      </c>
    </row>
    <row r="27" ht="25.5" customHeight="1">
      <c r="A27" s="18"/>
      <c r="B27" s="108" t="s">
        <v>10</v>
      </c>
      <c r="C27" s="151">
        <v>2.2305E7</v>
      </c>
      <c r="D27" s="168" t="s">
        <v>7</v>
      </c>
      <c r="E27" s="18"/>
      <c r="F27" s="20"/>
    </row>
    <row r="28" ht="25.5" customHeight="1">
      <c r="A28" s="18"/>
      <c r="B28" s="116" t="s">
        <v>222</v>
      </c>
      <c r="C28" s="151">
        <v>5.2595E7</v>
      </c>
      <c r="D28" s="156" t="s">
        <v>7</v>
      </c>
      <c r="E28" s="18"/>
      <c r="G28" s="8"/>
      <c r="I28" s="28"/>
    </row>
    <row r="29" ht="25.5" customHeight="1">
      <c r="A29" s="18"/>
      <c r="B29" s="154" t="s">
        <v>220</v>
      </c>
      <c r="D29" s="30"/>
      <c r="E29" s="18"/>
      <c r="I29" s="28"/>
    </row>
    <row r="30" ht="25.5" customHeight="1">
      <c r="A30" s="18"/>
      <c r="B30" s="154"/>
      <c r="C30" s="154"/>
      <c r="D30" s="34"/>
      <c r="E30" s="18"/>
      <c r="I30" s="28"/>
    </row>
    <row r="31" ht="25.5" customHeight="1">
      <c r="A31" s="18"/>
      <c r="D31" s="34"/>
      <c r="E31" s="18"/>
      <c r="I31" s="28"/>
    </row>
    <row r="32" ht="25.5" customHeight="1">
      <c r="A32" s="22"/>
      <c r="B32" s="166" t="s">
        <v>221</v>
      </c>
      <c r="C32" s="171">
        <v>2.982E7</v>
      </c>
      <c r="D32" s="172" t="s">
        <v>223</v>
      </c>
      <c r="E32" s="22"/>
      <c r="I32" s="28"/>
    </row>
    <row r="33" ht="25.5" customHeight="1">
      <c r="A33" s="12" t="s">
        <v>19</v>
      </c>
      <c r="B33" s="116" t="s">
        <v>222</v>
      </c>
      <c r="C33" s="151">
        <v>2.374E7</v>
      </c>
      <c r="D33" s="172" t="s">
        <v>7</v>
      </c>
      <c r="E33" s="153">
        <v>0.0</v>
      </c>
      <c r="I33" s="28"/>
    </row>
    <row r="34" ht="25.5" customHeight="1">
      <c r="A34" s="18"/>
      <c r="B34" s="154" t="s">
        <v>55</v>
      </c>
      <c r="C34" s="155">
        <v>1.934E7</v>
      </c>
      <c r="D34" s="173" t="s">
        <v>7</v>
      </c>
      <c r="E34" s="18"/>
      <c r="I34" s="28"/>
      <c r="J34" s="38" t="str">
        <f>H37</f>
        <v/>
      </c>
    </row>
    <row r="35" ht="25.5" customHeight="1">
      <c r="A35" s="18"/>
      <c r="B35" s="154" t="s">
        <v>220</v>
      </c>
      <c r="C35" s="174">
        <v>0.0</v>
      </c>
      <c r="D35" s="33"/>
      <c r="E35" s="18"/>
      <c r="F35" s="20"/>
      <c r="I35" s="28"/>
    </row>
    <row r="36" ht="25.5" customHeight="1">
      <c r="A36" s="22"/>
      <c r="B36" s="175"/>
      <c r="C36" s="176"/>
      <c r="D36" s="34"/>
      <c r="E36" s="22"/>
      <c r="I36" s="28"/>
    </row>
    <row r="37" ht="25.5" customHeight="1">
      <c r="A37" s="12" t="s">
        <v>20</v>
      </c>
      <c r="B37" s="177" t="s">
        <v>53</v>
      </c>
      <c r="C37" s="178">
        <v>7.125E7</v>
      </c>
      <c r="D37" s="179" t="s">
        <v>7</v>
      </c>
      <c r="E37" s="16">
        <f>SUM(C39:C42)</f>
        <v>228109000</v>
      </c>
    </row>
    <row r="38" ht="25.5" customHeight="1">
      <c r="A38" s="18"/>
      <c r="B38" s="177" t="s">
        <v>55</v>
      </c>
      <c r="C38" s="178">
        <v>5.2369E7</v>
      </c>
      <c r="D38" s="180" t="s">
        <v>7</v>
      </c>
      <c r="E38" s="18"/>
      <c r="F38" s="20"/>
    </row>
    <row r="39" ht="23.25" customHeight="1">
      <c r="A39" s="18"/>
      <c r="B39" s="116" t="s">
        <v>57</v>
      </c>
      <c r="C39" s="178">
        <v>5.3864E7</v>
      </c>
      <c r="D39" s="41"/>
      <c r="E39" s="18"/>
      <c r="J39" s="38"/>
    </row>
    <row r="40" ht="23.25" customHeight="1">
      <c r="A40" s="18"/>
      <c r="E40" s="18"/>
      <c r="G40" s="42"/>
      <c r="H40" s="9"/>
      <c r="I40" s="43"/>
    </row>
    <row r="41" ht="23.25" customHeight="1">
      <c r="A41" s="18"/>
      <c r="B41" s="157"/>
      <c r="C41" s="169"/>
      <c r="D41" s="157"/>
      <c r="E41" s="18"/>
      <c r="H41" s="9"/>
      <c r="I41" s="43"/>
    </row>
    <row r="42" ht="23.25" customHeight="1">
      <c r="A42" s="22"/>
      <c r="B42" s="181" t="s">
        <v>221</v>
      </c>
      <c r="C42" s="167">
        <v>1.74245E8</v>
      </c>
      <c r="D42" s="157"/>
      <c r="E42" s="22"/>
      <c r="H42" s="9"/>
      <c r="I42" s="43"/>
    </row>
    <row r="43" ht="23.25" customHeight="1">
      <c r="A43" s="12" t="s">
        <v>22</v>
      </c>
      <c r="B43" s="108" t="s">
        <v>10</v>
      </c>
      <c r="C43" s="151">
        <v>1.02005E7</v>
      </c>
      <c r="D43" s="168" t="s">
        <v>7</v>
      </c>
      <c r="E43" s="153">
        <v>0.0</v>
      </c>
      <c r="H43" s="9"/>
      <c r="I43" s="43"/>
    </row>
    <row r="44" ht="23.25" customHeight="1">
      <c r="A44" s="18"/>
      <c r="B44" s="182" t="s">
        <v>222</v>
      </c>
      <c r="C44" s="151">
        <v>2.9532E7</v>
      </c>
      <c r="D44" s="173" t="s">
        <v>7</v>
      </c>
      <c r="E44" s="18"/>
      <c r="H44" s="45"/>
      <c r="I44" s="43"/>
    </row>
    <row r="45" ht="23.25" customHeight="1">
      <c r="A45" s="18"/>
      <c r="B45" s="183"/>
      <c r="C45" s="178"/>
      <c r="D45" s="33"/>
      <c r="E45" s="18"/>
      <c r="H45" s="9"/>
      <c r="I45" s="10"/>
      <c r="J45" s="46"/>
    </row>
    <row r="46" ht="23.25" customHeight="1">
      <c r="A46" s="18"/>
      <c r="B46" s="184" t="s">
        <v>55</v>
      </c>
      <c r="C46" s="185">
        <v>7933000.0</v>
      </c>
      <c r="D46" s="173" t="s">
        <v>7</v>
      </c>
      <c r="E46" s="18"/>
      <c r="H46" s="1"/>
      <c r="I46" s="1"/>
    </row>
    <row r="47" ht="23.25" customHeight="1">
      <c r="A47" s="18"/>
      <c r="B47" s="116" t="s">
        <v>57</v>
      </c>
      <c r="C47" s="185">
        <v>5470000.0</v>
      </c>
      <c r="D47" s="173" t="s">
        <v>7</v>
      </c>
      <c r="E47" s="18"/>
      <c r="G47" s="42"/>
      <c r="H47" s="1"/>
      <c r="I47" s="1"/>
    </row>
    <row r="48" ht="23.25" customHeight="1">
      <c r="A48" s="18"/>
      <c r="B48" s="157"/>
      <c r="D48" s="173"/>
      <c r="E48" s="18"/>
      <c r="G48" s="42"/>
      <c r="H48" s="1"/>
      <c r="I48" s="1"/>
    </row>
    <row r="49" ht="23.25" customHeight="1">
      <c r="A49" s="22"/>
      <c r="B49" s="186" t="s">
        <v>221</v>
      </c>
      <c r="C49" s="171">
        <v>2.4572E7</v>
      </c>
      <c r="D49" s="173" t="s">
        <v>7</v>
      </c>
      <c r="E49" s="22"/>
      <c r="G49" s="42"/>
      <c r="H49" s="1"/>
      <c r="I49" s="1"/>
    </row>
    <row r="50" ht="23.25" customHeight="1">
      <c r="A50" s="12" t="s">
        <v>23</v>
      </c>
      <c r="B50" s="116"/>
      <c r="C50" s="151"/>
      <c r="D50" s="173"/>
      <c r="E50" s="16">
        <f>C56</f>
        <v>5554000</v>
      </c>
    </row>
    <row r="51" ht="23.25" customHeight="1">
      <c r="A51" s="18"/>
      <c r="B51" s="182"/>
      <c r="C51" s="151"/>
      <c r="D51" s="187"/>
      <c r="E51" s="18"/>
      <c r="G51" s="47"/>
      <c r="H51" s="35"/>
      <c r="I51" s="48"/>
    </row>
    <row r="52" ht="23.25" customHeight="1">
      <c r="A52" s="18"/>
      <c r="B52" s="183" t="s">
        <v>53</v>
      </c>
      <c r="C52" s="178">
        <v>2.92741E7</v>
      </c>
      <c r="D52" s="156" t="s">
        <v>7</v>
      </c>
      <c r="E52" s="18"/>
      <c r="G52" s="18"/>
      <c r="H52" s="35"/>
      <c r="I52" s="48"/>
    </row>
    <row r="53" ht="23.25" customHeight="1">
      <c r="A53" s="18"/>
      <c r="B53" s="184" t="s">
        <v>55</v>
      </c>
      <c r="C53" s="185">
        <v>1.39111E7</v>
      </c>
      <c r="D53" s="187" t="s">
        <v>7</v>
      </c>
      <c r="E53" s="18"/>
      <c r="G53" s="18"/>
      <c r="H53" s="35"/>
      <c r="I53" s="48"/>
    </row>
    <row r="54" ht="23.25" customHeight="1">
      <c r="A54" s="18"/>
      <c r="B54" s="116" t="s">
        <v>57</v>
      </c>
      <c r="C54" s="185">
        <v>2902200.0</v>
      </c>
      <c r="D54" s="187" t="s">
        <v>7</v>
      </c>
      <c r="E54" s="18"/>
      <c r="G54" s="18"/>
      <c r="H54" s="35"/>
      <c r="I54" s="48"/>
    </row>
    <row r="55" ht="23.25" customHeight="1">
      <c r="A55" s="18"/>
      <c r="B55" s="166" t="s">
        <v>221</v>
      </c>
      <c r="C55" s="170">
        <v>1.749E7</v>
      </c>
      <c r="D55" s="187" t="s">
        <v>7</v>
      </c>
      <c r="E55" s="18"/>
      <c r="G55" s="18"/>
      <c r="H55" s="35"/>
      <c r="I55" s="48"/>
    </row>
    <row r="56" ht="23.25" customHeight="1">
      <c r="A56" s="22"/>
      <c r="B56" s="188" t="s">
        <v>224</v>
      </c>
      <c r="C56" s="170">
        <v>5554000.0</v>
      </c>
      <c r="D56" s="187"/>
      <c r="E56" s="22"/>
      <c r="G56" s="18"/>
      <c r="H56" s="35"/>
      <c r="I56" s="48"/>
    </row>
    <row r="57" ht="23.25" customHeight="1">
      <c r="A57" s="49" t="s">
        <v>25</v>
      </c>
      <c r="B57" s="106" t="s">
        <v>13</v>
      </c>
      <c r="C57" s="151">
        <v>6661000.0</v>
      </c>
      <c r="D57" s="156" t="s">
        <v>7</v>
      </c>
      <c r="E57" s="16">
        <f>sum(C61:C66)</f>
        <v>80040000</v>
      </c>
      <c r="G57" s="18"/>
      <c r="H57" s="35"/>
      <c r="I57" s="48"/>
    </row>
    <row r="58" ht="23.25" customHeight="1">
      <c r="A58" s="18"/>
      <c r="B58" s="106" t="s">
        <v>24</v>
      </c>
      <c r="C58" s="151">
        <v>6088000.0</v>
      </c>
      <c r="D58" s="168" t="s">
        <v>7</v>
      </c>
      <c r="E58" s="18"/>
      <c r="G58" s="18"/>
      <c r="H58" s="23"/>
      <c r="I58" s="48"/>
      <c r="K58" s="10"/>
      <c r="L58" s="50"/>
    </row>
    <row r="59" ht="23.25" customHeight="1">
      <c r="A59" s="18"/>
      <c r="B59" s="106" t="s">
        <v>17</v>
      </c>
      <c r="C59" s="151">
        <v>5878000.0</v>
      </c>
      <c r="D59" s="168" t="s">
        <v>7</v>
      </c>
      <c r="E59" s="18"/>
      <c r="G59" s="18"/>
      <c r="H59" s="35"/>
      <c r="I59" s="48"/>
      <c r="K59" s="10"/>
      <c r="L59" s="50"/>
    </row>
    <row r="60" ht="23.25" customHeight="1">
      <c r="A60" s="18"/>
      <c r="B60" s="116" t="s">
        <v>10</v>
      </c>
      <c r="C60" s="151">
        <v>1.3422E7</v>
      </c>
      <c r="D60" s="168" t="s">
        <v>7</v>
      </c>
      <c r="E60" s="18"/>
      <c r="G60" s="18"/>
      <c r="K60" s="10"/>
      <c r="L60" s="50"/>
    </row>
    <row r="61" ht="23.25" customHeight="1">
      <c r="A61" s="18"/>
      <c r="B61" s="182" t="s">
        <v>222</v>
      </c>
      <c r="C61" s="189">
        <v>1212000.0</v>
      </c>
      <c r="D61" s="187"/>
      <c r="E61" s="18"/>
      <c r="G61" s="22"/>
      <c r="H61" s="30"/>
      <c r="I61" s="51"/>
      <c r="K61" s="10"/>
      <c r="L61" s="50"/>
    </row>
    <row r="62" ht="23.25" customHeight="1">
      <c r="A62" s="18"/>
      <c r="B62" s="183" t="s">
        <v>53</v>
      </c>
      <c r="C62" s="155">
        <v>5466000.0</v>
      </c>
      <c r="D62" s="34"/>
      <c r="E62" s="18"/>
      <c r="G62" s="52"/>
      <c r="H62" s="53"/>
      <c r="I62" s="54"/>
      <c r="K62" s="10"/>
      <c r="L62" s="50"/>
    </row>
    <row r="63" ht="23.25" customHeight="1">
      <c r="A63" s="18"/>
      <c r="B63" s="183" t="s">
        <v>55</v>
      </c>
      <c r="C63" s="155">
        <v>1.0372E7</v>
      </c>
      <c r="D63" s="157"/>
      <c r="E63" s="18"/>
      <c r="G63" s="52"/>
      <c r="H63" s="53"/>
      <c r="I63" s="54"/>
      <c r="K63" s="10"/>
      <c r="L63" s="50"/>
    </row>
    <row r="64" ht="23.25" customHeight="1">
      <c r="A64" s="18"/>
      <c r="B64" s="116" t="s">
        <v>57</v>
      </c>
      <c r="D64" s="157"/>
      <c r="E64" s="18"/>
      <c r="G64" s="52"/>
      <c r="H64" s="53"/>
      <c r="I64" s="54"/>
      <c r="K64" s="10"/>
      <c r="L64" s="50"/>
    </row>
    <row r="65" ht="23.25" customHeight="1">
      <c r="A65" s="18"/>
      <c r="B65" s="177"/>
      <c r="C65" s="160"/>
      <c r="D65" s="157"/>
      <c r="E65" s="18"/>
      <c r="G65" s="52"/>
      <c r="H65" s="53"/>
      <c r="I65" s="54"/>
      <c r="K65" s="10"/>
      <c r="L65" s="50"/>
    </row>
    <row r="66" ht="23.25" customHeight="1">
      <c r="A66" s="22"/>
      <c r="B66" s="166" t="s">
        <v>221</v>
      </c>
      <c r="C66" s="167">
        <v>6.299E7</v>
      </c>
      <c r="D66" s="157"/>
      <c r="E66" s="22"/>
      <c r="G66" s="52"/>
      <c r="H66" s="53"/>
      <c r="I66" s="54"/>
      <c r="K66" s="10"/>
      <c r="L66" s="50"/>
    </row>
    <row r="67" ht="23.25" customHeight="1">
      <c r="A67" s="49" t="s">
        <v>26</v>
      </c>
      <c r="B67" s="182" t="s">
        <v>222</v>
      </c>
      <c r="C67" s="151">
        <v>1.11101E8</v>
      </c>
      <c r="D67" s="156" t="s">
        <v>7</v>
      </c>
      <c r="E67" s="16">
        <f>sum(C74)</f>
        <v>162854500</v>
      </c>
    </row>
    <row r="68" ht="23.25" customHeight="1">
      <c r="A68" s="18"/>
      <c r="B68" s="177" t="s">
        <v>53</v>
      </c>
      <c r="C68" s="178">
        <v>9.9468E7</v>
      </c>
      <c r="D68" s="156" t="s">
        <v>7</v>
      </c>
      <c r="E68" s="18"/>
      <c r="F68" s="20"/>
      <c r="G68" s="49"/>
      <c r="H68" s="56"/>
      <c r="I68" s="24"/>
    </row>
    <row r="69" ht="23.25" customHeight="1">
      <c r="A69" s="18"/>
      <c r="B69" s="177" t="s">
        <v>55</v>
      </c>
      <c r="C69" s="178">
        <v>1.783678E8</v>
      </c>
      <c r="D69" s="156" t="s">
        <v>7</v>
      </c>
      <c r="E69" s="18"/>
      <c r="G69" s="18"/>
      <c r="H69" s="19"/>
      <c r="I69" s="57"/>
    </row>
    <row r="70" ht="23.25" customHeight="1">
      <c r="A70" s="18"/>
      <c r="B70" s="177" t="s">
        <v>57</v>
      </c>
      <c r="C70" s="178">
        <v>2.47023E7</v>
      </c>
      <c r="D70" s="156" t="s">
        <v>7</v>
      </c>
      <c r="E70" s="18"/>
      <c r="G70" s="18"/>
      <c r="H70" s="30"/>
      <c r="I70" s="24"/>
    </row>
    <row r="71" ht="23.25" customHeight="1">
      <c r="A71" s="18"/>
      <c r="B71" s="157"/>
      <c r="C71" s="155"/>
      <c r="D71" s="34"/>
      <c r="E71" s="18"/>
      <c r="G71" s="18"/>
      <c r="H71" s="30"/>
      <c r="I71" s="24"/>
    </row>
    <row r="72" ht="23.25" customHeight="1">
      <c r="A72" s="18"/>
      <c r="B72" s="35"/>
      <c r="C72" s="36"/>
      <c r="D72" s="21"/>
      <c r="E72" s="18"/>
      <c r="G72" s="18"/>
      <c r="H72" s="30"/>
      <c r="I72" s="24"/>
    </row>
    <row r="73" ht="23.25" customHeight="1">
      <c r="A73" s="18"/>
      <c r="B73" s="13"/>
      <c r="C73" s="36"/>
      <c r="D73" s="21"/>
      <c r="E73" s="18"/>
      <c r="G73" s="18"/>
      <c r="H73" s="30"/>
      <c r="I73" s="24"/>
    </row>
    <row r="74" ht="23.25" customHeight="1">
      <c r="A74" s="22"/>
      <c r="B74" s="166" t="s">
        <v>221</v>
      </c>
      <c r="C74" s="162">
        <v>1.628545E8</v>
      </c>
      <c r="D74" s="21"/>
      <c r="E74" s="22"/>
      <c r="G74" s="18"/>
      <c r="H74" s="30"/>
      <c r="I74" s="24"/>
    </row>
    <row r="75" ht="21.75" customHeight="1">
      <c r="A75" s="12" t="s">
        <v>29</v>
      </c>
      <c r="B75" s="116"/>
      <c r="C75" s="155"/>
      <c r="D75" s="34"/>
      <c r="E75" s="16">
        <f>SUM(C77:C83)</f>
        <v>270868600</v>
      </c>
      <c r="F75" s="29"/>
      <c r="G75" s="18"/>
      <c r="H75" s="30"/>
      <c r="I75" s="24"/>
    </row>
    <row r="76" ht="21.75" customHeight="1">
      <c r="A76" s="18"/>
      <c r="B76" s="116"/>
      <c r="C76" s="151"/>
      <c r="D76" s="34"/>
      <c r="E76" s="18"/>
      <c r="G76" s="18"/>
      <c r="H76" s="30"/>
      <c r="I76" s="24"/>
    </row>
    <row r="77" ht="21.75" customHeight="1">
      <c r="A77" s="18"/>
      <c r="B77" s="116" t="s">
        <v>10</v>
      </c>
      <c r="C77" s="155">
        <v>4.29805E7</v>
      </c>
      <c r="D77" s="34"/>
      <c r="E77" s="18"/>
      <c r="G77" s="18"/>
      <c r="H77" s="30"/>
      <c r="I77" s="24"/>
    </row>
    <row r="78" ht="21.75" customHeight="1">
      <c r="A78" s="18"/>
      <c r="B78" s="182" t="s">
        <v>222</v>
      </c>
      <c r="C78" s="151">
        <v>1356500.0</v>
      </c>
      <c r="D78" s="34"/>
      <c r="E78" s="18"/>
      <c r="G78" s="22"/>
      <c r="H78" s="30"/>
      <c r="I78" s="58"/>
    </row>
    <row r="79" ht="21.75" customHeight="1">
      <c r="A79" s="18"/>
      <c r="B79" s="177" t="s">
        <v>53</v>
      </c>
      <c r="C79" s="155">
        <v>3.80311E7</v>
      </c>
      <c r="D79" s="33"/>
      <c r="E79" s="18"/>
    </row>
    <row r="80" ht="21.75" customHeight="1">
      <c r="A80" s="18"/>
      <c r="B80" s="177" t="s">
        <v>55</v>
      </c>
      <c r="C80" s="155">
        <v>6.67001E7</v>
      </c>
      <c r="D80" s="33"/>
      <c r="E80" s="18"/>
    </row>
    <row r="81" ht="21.75" customHeight="1">
      <c r="A81" s="18"/>
      <c r="B81" s="177" t="s">
        <v>57</v>
      </c>
      <c r="C81" s="155">
        <v>5380400.0</v>
      </c>
      <c r="D81" s="33"/>
      <c r="E81" s="18"/>
    </row>
    <row r="82" ht="21.75" customHeight="1">
      <c r="A82" s="18"/>
      <c r="C82" s="190"/>
      <c r="D82" s="191"/>
      <c r="E82" s="18"/>
    </row>
    <row r="83" ht="21.75" customHeight="1">
      <c r="A83" s="22"/>
      <c r="B83" s="166" t="s">
        <v>221</v>
      </c>
      <c r="C83" s="170">
        <v>1.1642E8</v>
      </c>
      <c r="D83" s="191"/>
      <c r="E83" s="22"/>
    </row>
    <row r="84" ht="21.75" customHeight="1">
      <c r="A84" s="12" t="s">
        <v>30</v>
      </c>
      <c r="B84" s="116" t="s">
        <v>55</v>
      </c>
      <c r="C84" s="185">
        <v>3.23598E7</v>
      </c>
      <c r="D84" s="168" t="s">
        <v>7</v>
      </c>
      <c r="E84" s="153">
        <v>0.0</v>
      </c>
    </row>
    <row r="85" ht="21.75" customHeight="1">
      <c r="A85" s="18"/>
      <c r="B85" s="116" t="s">
        <v>57</v>
      </c>
      <c r="C85" s="185">
        <v>1.10498E7</v>
      </c>
      <c r="D85" s="156" t="s">
        <v>7</v>
      </c>
      <c r="E85" s="18"/>
      <c r="G85" s="59"/>
      <c r="H85" s="56"/>
      <c r="I85" s="60"/>
    </row>
    <row r="86" ht="21.75" customHeight="1">
      <c r="A86" s="18"/>
      <c r="B86" s="157"/>
      <c r="C86" s="192"/>
      <c r="D86" s="34"/>
      <c r="E86" s="18"/>
      <c r="G86" s="18"/>
      <c r="H86" s="56"/>
      <c r="I86" s="60"/>
    </row>
    <row r="87" ht="21.75" customHeight="1">
      <c r="A87" s="18"/>
      <c r="B87" s="157"/>
      <c r="C87" s="157"/>
      <c r="D87" s="157"/>
      <c r="E87" s="18"/>
      <c r="G87" s="18"/>
      <c r="H87" s="44"/>
      <c r="I87" s="61"/>
    </row>
    <row r="88" ht="21.75" customHeight="1">
      <c r="A88" s="18"/>
      <c r="B88" s="157"/>
      <c r="C88" s="157"/>
      <c r="D88" s="157"/>
      <c r="E88" s="18"/>
      <c r="G88" s="18"/>
      <c r="H88" s="56"/>
      <c r="I88" s="57"/>
    </row>
    <row r="89" ht="21.75" customHeight="1">
      <c r="A89" s="18"/>
      <c r="B89" s="175"/>
      <c r="C89" s="176"/>
      <c r="D89" s="30"/>
      <c r="E89" s="18"/>
      <c r="G89" s="22"/>
      <c r="H89" s="1"/>
      <c r="I89" s="1"/>
    </row>
    <row r="90" ht="21.75" customHeight="1">
      <c r="A90" s="22"/>
      <c r="B90" s="166" t="s">
        <v>221</v>
      </c>
      <c r="C90" s="170">
        <v>8.9088E7</v>
      </c>
      <c r="D90" s="173" t="s">
        <v>7</v>
      </c>
      <c r="E90" s="22"/>
      <c r="G90" s="42"/>
      <c r="H90" s="1"/>
      <c r="I90" s="1"/>
    </row>
    <row r="91" ht="21.75" customHeight="1">
      <c r="A91" s="12" t="s">
        <v>31</v>
      </c>
      <c r="B91" s="106"/>
      <c r="C91" s="151"/>
      <c r="D91" s="30"/>
      <c r="E91" s="16">
        <f>SUM(C91:C100)</f>
        <v>160142000</v>
      </c>
      <c r="G91" s="42"/>
      <c r="H91" s="1"/>
      <c r="I91" s="1"/>
    </row>
    <row r="92" ht="21.75" customHeight="1">
      <c r="A92" s="18"/>
      <c r="B92" s="108" t="s">
        <v>24</v>
      </c>
      <c r="C92" s="155">
        <v>1.22845E7</v>
      </c>
      <c r="D92" s="34"/>
      <c r="E92" s="18"/>
    </row>
    <row r="93" ht="21.75" customHeight="1">
      <c r="A93" s="18"/>
      <c r="B93" s="108" t="s">
        <v>17</v>
      </c>
      <c r="C93" s="151">
        <v>2.1007E7</v>
      </c>
      <c r="D93" s="19"/>
      <c r="E93" s="18"/>
    </row>
    <row r="94" ht="21.75" customHeight="1">
      <c r="A94" s="18"/>
      <c r="B94" s="116" t="s">
        <v>10</v>
      </c>
      <c r="C94" s="151">
        <v>1.5535E7</v>
      </c>
      <c r="D94" s="19"/>
      <c r="E94" s="18"/>
      <c r="F94" s="20"/>
    </row>
    <row r="95" ht="21.75" customHeight="1">
      <c r="A95" s="18"/>
      <c r="B95" s="182" t="s">
        <v>222</v>
      </c>
      <c r="C95" s="151">
        <v>2.7279E7</v>
      </c>
      <c r="D95" s="19"/>
      <c r="E95" s="18"/>
    </row>
    <row r="96" ht="21.75" customHeight="1">
      <c r="A96" s="18"/>
      <c r="B96" s="116" t="s">
        <v>53</v>
      </c>
      <c r="C96" s="155">
        <v>1.5873E7</v>
      </c>
      <c r="D96" s="19"/>
      <c r="E96" s="18"/>
      <c r="G96" s="59"/>
      <c r="H96" s="56"/>
      <c r="I96" s="60"/>
    </row>
    <row r="97" ht="21.75" customHeight="1">
      <c r="A97" s="18"/>
      <c r="B97" s="116" t="s">
        <v>55</v>
      </c>
      <c r="C97" s="155">
        <v>1.26505E7</v>
      </c>
      <c r="D97" s="157"/>
      <c r="E97" s="18"/>
      <c r="G97" s="18"/>
      <c r="H97" s="56"/>
      <c r="I97" s="60"/>
    </row>
    <row r="98" ht="21.75" customHeight="1">
      <c r="A98" s="18"/>
      <c r="B98" s="116"/>
      <c r="C98" s="185"/>
      <c r="D98" s="157"/>
      <c r="E98" s="18"/>
      <c r="G98" s="18"/>
      <c r="H98" s="56"/>
      <c r="I98" s="60"/>
    </row>
    <row r="99" ht="21.75" customHeight="1">
      <c r="A99" s="18"/>
      <c r="B99" s="177"/>
      <c r="C99" s="160"/>
      <c r="D99" s="157"/>
      <c r="E99" s="18"/>
      <c r="G99" s="18"/>
      <c r="H99" s="56"/>
      <c r="I99" s="60"/>
    </row>
    <row r="100" ht="21.75" customHeight="1">
      <c r="A100" s="22"/>
      <c r="B100" s="166" t="s">
        <v>221</v>
      </c>
      <c r="C100" s="167">
        <v>5.5513E7</v>
      </c>
      <c r="D100" s="157"/>
      <c r="E100" s="22"/>
      <c r="G100" s="18"/>
      <c r="H100" s="56"/>
      <c r="I100" s="60"/>
    </row>
    <row r="101" ht="21.75" customHeight="1">
      <c r="A101" s="12" t="s">
        <v>32</v>
      </c>
      <c r="B101" s="182"/>
      <c r="C101" s="151"/>
      <c r="D101" s="19"/>
      <c r="E101" s="16">
        <f>sum(C101:C111)</f>
        <v>287109000</v>
      </c>
      <c r="F101" s="20"/>
      <c r="G101" s="18"/>
      <c r="H101" s="56"/>
      <c r="I101" s="60"/>
    </row>
    <row r="102" ht="21.75" customHeight="1">
      <c r="A102" s="18"/>
      <c r="B102" s="116"/>
      <c r="C102" s="151"/>
      <c r="D102" s="19"/>
      <c r="E102" s="18"/>
      <c r="F102" s="20"/>
      <c r="G102" s="18"/>
      <c r="H102" s="44"/>
      <c r="I102" s="61"/>
    </row>
    <row r="103" ht="21.75" customHeight="1">
      <c r="A103" s="18"/>
      <c r="B103" s="116" t="s">
        <v>24</v>
      </c>
      <c r="C103" s="155">
        <v>1.073E7</v>
      </c>
      <c r="D103" s="19"/>
      <c r="E103" s="18"/>
      <c r="G103" s="18"/>
      <c r="H103" s="56"/>
      <c r="I103" s="57"/>
    </row>
    <row r="104" ht="21.75" customHeight="1">
      <c r="A104" s="18"/>
      <c r="B104" s="116" t="s">
        <v>17</v>
      </c>
      <c r="C104" s="151">
        <v>3.7739E7</v>
      </c>
      <c r="D104" s="39"/>
      <c r="E104" s="18"/>
      <c r="G104" s="22"/>
      <c r="H104" s="1"/>
      <c r="I104" s="1"/>
    </row>
    <row r="105" ht="21.75" customHeight="1">
      <c r="A105" s="18"/>
      <c r="B105" s="116" t="s">
        <v>10</v>
      </c>
      <c r="C105" s="151">
        <v>3.3629E7</v>
      </c>
      <c r="D105" s="39"/>
      <c r="E105" s="18"/>
      <c r="G105" s="63"/>
      <c r="H105" s="1"/>
      <c r="I105" s="1"/>
    </row>
    <row r="106" ht="21.75" customHeight="1">
      <c r="A106" s="18"/>
      <c r="B106" s="182" t="s">
        <v>222</v>
      </c>
      <c r="C106" s="151">
        <v>3.127E7</v>
      </c>
      <c r="D106" s="64"/>
      <c r="E106" s="18"/>
      <c r="G106" s="63"/>
      <c r="H106" s="1"/>
      <c r="I106" s="1"/>
    </row>
    <row r="107" ht="21.75" customHeight="1">
      <c r="A107" s="18"/>
      <c r="B107" s="116" t="s">
        <v>53</v>
      </c>
      <c r="C107" s="155">
        <v>2.24105E7</v>
      </c>
      <c r="D107" s="64"/>
      <c r="E107" s="18"/>
      <c r="G107" s="63"/>
      <c r="H107" s="1"/>
      <c r="I107" s="1"/>
    </row>
    <row r="108" ht="21.75" customHeight="1">
      <c r="A108" s="18"/>
      <c r="B108" s="116" t="s">
        <v>55</v>
      </c>
      <c r="C108" s="160">
        <v>6.2958E7</v>
      </c>
      <c r="D108" s="64"/>
      <c r="E108" s="18"/>
      <c r="G108" s="63"/>
      <c r="H108" s="1"/>
      <c r="I108" s="1"/>
    </row>
    <row r="109" ht="21.75" customHeight="1">
      <c r="A109" s="18"/>
      <c r="B109" s="116" t="s">
        <v>57</v>
      </c>
      <c r="C109" s="154">
        <v>1.275E7</v>
      </c>
      <c r="D109" s="64"/>
      <c r="E109" s="18"/>
      <c r="G109" s="63"/>
      <c r="H109" s="1"/>
      <c r="I109" s="1"/>
    </row>
    <row r="110" ht="21.75" customHeight="1">
      <c r="A110" s="18"/>
      <c r="B110" s="177"/>
      <c r="D110" s="64"/>
      <c r="E110" s="18"/>
      <c r="G110" s="63"/>
      <c r="H110" s="1"/>
      <c r="I110" s="1"/>
    </row>
    <row r="111" ht="21.75" customHeight="1">
      <c r="A111" s="22"/>
      <c r="B111" s="166" t="s">
        <v>221</v>
      </c>
      <c r="C111" s="170">
        <v>7.56225E7</v>
      </c>
      <c r="D111" s="64"/>
      <c r="E111" s="22"/>
      <c r="G111" s="63"/>
      <c r="H111" s="1"/>
      <c r="I111" s="1"/>
    </row>
    <row r="112" ht="21.75" customHeight="1">
      <c r="A112" s="12" t="s">
        <v>33</v>
      </c>
      <c r="B112" s="182" t="s">
        <v>222</v>
      </c>
      <c r="C112" s="151">
        <v>7.93205E7</v>
      </c>
      <c r="D112" s="193" t="s">
        <v>7</v>
      </c>
      <c r="E112" s="153">
        <v>0.0</v>
      </c>
      <c r="G112" s="63"/>
      <c r="H112" s="1"/>
      <c r="I112" s="1"/>
    </row>
    <row r="113" ht="21.75" customHeight="1">
      <c r="A113" s="18"/>
      <c r="B113" s="177" t="s">
        <v>53</v>
      </c>
      <c r="C113" s="178">
        <v>7.49585E7</v>
      </c>
      <c r="D113" s="193" t="s">
        <v>7</v>
      </c>
      <c r="E113" s="18"/>
      <c r="G113" s="63"/>
      <c r="H113" s="1"/>
      <c r="I113" s="1"/>
    </row>
    <row r="114" ht="21.75" customHeight="1">
      <c r="A114" s="18"/>
      <c r="B114" s="177" t="s">
        <v>55</v>
      </c>
      <c r="C114" s="178">
        <v>5.78665E7</v>
      </c>
      <c r="D114" s="194" t="s">
        <v>7</v>
      </c>
      <c r="E114" s="18"/>
      <c r="G114" s="59"/>
      <c r="H114" s="56"/>
      <c r="I114" s="60"/>
    </row>
    <row r="115" ht="21.75" customHeight="1">
      <c r="A115" s="18"/>
      <c r="B115" s="177" t="s">
        <v>57</v>
      </c>
      <c r="C115" s="178">
        <v>1.064777E8</v>
      </c>
      <c r="D115" s="156" t="s">
        <v>7</v>
      </c>
      <c r="E115" s="18"/>
      <c r="G115" s="18"/>
      <c r="H115" s="56"/>
      <c r="I115" s="60"/>
    </row>
    <row r="116" ht="21.75" customHeight="1">
      <c r="A116" s="18"/>
      <c r="B116" s="157"/>
      <c r="D116" s="34"/>
      <c r="E116" s="18"/>
      <c r="G116" s="18"/>
      <c r="H116" s="1"/>
      <c r="I116" s="1"/>
    </row>
    <row r="117" ht="21.75" customHeight="1">
      <c r="A117" s="18"/>
      <c r="B117" s="157"/>
      <c r="C117" s="157"/>
      <c r="D117" s="34"/>
      <c r="E117" s="18"/>
      <c r="G117" s="18"/>
      <c r="H117" s="56"/>
      <c r="I117" s="60"/>
    </row>
    <row r="118" ht="21.75" customHeight="1">
      <c r="A118" s="18"/>
      <c r="B118" s="157"/>
      <c r="D118" s="157"/>
      <c r="E118" s="18"/>
      <c r="G118" s="18"/>
      <c r="H118" s="56"/>
      <c r="I118" s="60"/>
    </row>
    <row r="119" ht="21.75" customHeight="1">
      <c r="A119" s="22"/>
      <c r="B119" s="166" t="s">
        <v>221</v>
      </c>
      <c r="C119" s="170">
        <v>2.70034E8</v>
      </c>
      <c r="D119" s="134" t="s">
        <v>7</v>
      </c>
      <c r="E119" s="22"/>
      <c r="G119" s="18"/>
      <c r="H119" s="56"/>
      <c r="I119" s="60"/>
    </row>
    <row r="120" ht="21.75" customHeight="1">
      <c r="A120" s="12" t="s">
        <v>35</v>
      </c>
      <c r="B120" s="182" t="s">
        <v>222</v>
      </c>
      <c r="C120" s="189">
        <v>1.46415E7</v>
      </c>
      <c r="D120" s="172" t="s">
        <v>7</v>
      </c>
      <c r="E120" s="16">
        <f>sum(C122:C124)</f>
        <v>44769200</v>
      </c>
      <c r="G120" s="22"/>
      <c r="H120" s="56"/>
      <c r="I120" s="60"/>
    </row>
    <row r="121" ht="21.75" customHeight="1">
      <c r="A121" s="18"/>
      <c r="B121" s="177" t="s">
        <v>53</v>
      </c>
      <c r="C121" s="178">
        <v>1.0162E7</v>
      </c>
      <c r="D121" s="168" t="s">
        <v>7</v>
      </c>
      <c r="E121" s="18"/>
      <c r="G121" s="42"/>
      <c r="H121" s="56"/>
      <c r="I121" s="57"/>
    </row>
    <row r="122" ht="21.75" customHeight="1">
      <c r="A122" s="18"/>
      <c r="B122" s="177"/>
      <c r="C122" s="178"/>
      <c r="D122" s="21"/>
      <c r="E122" s="18"/>
      <c r="F122" s="20"/>
    </row>
    <row r="123" ht="21.75" customHeight="1">
      <c r="A123" s="18"/>
      <c r="B123" s="177" t="s">
        <v>57</v>
      </c>
      <c r="C123" s="178">
        <v>1.23844E7</v>
      </c>
      <c r="D123" s="21"/>
      <c r="E123" s="18"/>
      <c r="G123" s="69"/>
      <c r="H123" s="70"/>
      <c r="I123" s="57"/>
    </row>
    <row r="124" ht="21.75" customHeight="1">
      <c r="A124" s="22"/>
      <c r="B124" s="166" t="s">
        <v>221</v>
      </c>
      <c r="C124" s="195">
        <v>3.23848E7</v>
      </c>
      <c r="E124" s="22"/>
      <c r="G124" s="18"/>
      <c r="H124" s="70"/>
      <c r="I124" s="57"/>
    </row>
    <row r="125" ht="21.75" customHeight="1">
      <c r="A125" s="12" t="s">
        <v>36</v>
      </c>
      <c r="B125" s="182" t="s">
        <v>222</v>
      </c>
      <c r="C125" s="189">
        <v>1.42875E7</v>
      </c>
      <c r="D125" s="172" t="s">
        <v>7</v>
      </c>
      <c r="E125" s="153">
        <v>0.0</v>
      </c>
      <c r="G125" s="18"/>
      <c r="H125" s="70"/>
      <c r="I125" s="57"/>
    </row>
    <row r="126" ht="21.75" customHeight="1">
      <c r="A126" s="18"/>
      <c r="B126" s="177" t="s">
        <v>53</v>
      </c>
      <c r="C126" s="178">
        <v>2.73525E7</v>
      </c>
      <c r="D126" s="168" t="s">
        <v>7</v>
      </c>
      <c r="E126" s="18"/>
      <c r="G126" s="18"/>
      <c r="H126" s="70"/>
      <c r="I126" s="60"/>
    </row>
    <row r="127" ht="21.75" customHeight="1">
      <c r="A127" s="18"/>
      <c r="B127" s="177" t="s">
        <v>55</v>
      </c>
      <c r="C127" s="178">
        <v>3.17518E7</v>
      </c>
      <c r="D127" s="168" t="s">
        <v>7</v>
      </c>
      <c r="E127" s="18"/>
      <c r="F127" s="20"/>
      <c r="G127" s="18"/>
      <c r="H127" s="44"/>
      <c r="I127" s="61"/>
    </row>
    <row r="128" ht="21.75" customHeight="1">
      <c r="A128" s="18"/>
      <c r="B128" s="177" t="s">
        <v>57</v>
      </c>
      <c r="C128" s="178">
        <v>2.1502E7</v>
      </c>
      <c r="D128" s="168" t="s">
        <v>7</v>
      </c>
      <c r="E128" s="18"/>
      <c r="G128" s="18"/>
      <c r="H128" s="70"/>
      <c r="I128" s="60"/>
    </row>
    <row r="129" ht="21.75" customHeight="1">
      <c r="A129" s="22"/>
      <c r="B129" s="166" t="s">
        <v>221</v>
      </c>
      <c r="C129" s="196"/>
      <c r="E129" s="22"/>
      <c r="G129" s="22"/>
      <c r="H129" s="56"/>
      <c r="I129" s="71"/>
    </row>
    <row r="130" ht="21.75" customHeight="1">
      <c r="A130" s="12" t="s">
        <v>37</v>
      </c>
      <c r="B130" s="106" t="s">
        <v>15</v>
      </c>
      <c r="C130" s="164">
        <v>1.9492E7</v>
      </c>
      <c r="D130" s="168" t="s">
        <v>7</v>
      </c>
      <c r="E130" s="16">
        <f>sum(C134:C140)</f>
        <v>133443000</v>
      </c>
    </row>
    <row r="131" ht="21.75" customHeight="1">
      <c r="A131" s="18"/>
      <c r="B131" s="116" t="s">
        <v>10</v>
      </c>
      <c r="C131" s="197">
        <v>1.7528E7</v>
      </c>
      <c r="D131" s="163" t="s">
        <v>7</v>
      </c>
      <c r="E131" s="18"/>
      <c r="H131" s="72"/>
      <c r="I131" s="60"/>
    </row>
    <row r="132" ht="21.75" customHeight="1">
      <c r="A132" s="18"/>
      <c r="B132" s="182" t="s">
        <v>222</v>
      </c>
      <c r="C132" s="197">
        <v>1.5588E7</v>
      </c>
      <c r="D132" s="198" t="s">
        <v>7</v>
      </c>
      <c r="E132" s="18"/>
      <c r="G132" s="73"/>
      <c r="H132" s="56"/>
      <c r="I132" s="60"/>
    </row>
    <row r="133" ht="21.75" customHeight="1">
      <c r="A133" s="18"/>
      <c r="B133" s="177" t="s">
        <v>53</v>
      </c>
      <c r="C133" s="199">
        <v>1.759E7</v>
      </c>
      <c r="D133" s="198" t="s">
        <v>7</v>
      </c>
      <c r="E133" s="18"/>
      <c r="G133" s="73"/>
      <c r="H133" s="56"/>
      <c r="I133" s="60"/>
    </row>
    <row r="134" ht="21.75" customHeight="1">
      <c r="A134" s="18"/>
      <c r="B134" s="177" t="s">
        <v>55</v>
      </c>
      <c r="C134" s="154">
        <v>2.94455E7</v>
      </c>
      <c r="D134" s="24"/>
      <c r="E134" s="18"/>
      <c r="G134" s="73"/>
      <c r="H134" s="56"/>
      <c r="I134" s="61"/>
    </row>
    <row r="135" ht="21.75" customHeight="1">
      <c r="A135" s="18"/>
      <c r="B135" s="177" t="s">
        <v>57</v>
      </c>
      <c r="C135" s="154">
        <v>995000.0</v>
      </c>
      <c r="D135" s="24"/>
      <c r="E135" s="18"/>
      <c r="G135" s="73"/>
      <c r="H135" s="56"/>
      <c r="I135" s="61"/>
    </row>
    <row r="136" ht="21.75" customHeight="1">
      <c r="A136" s="18"/>
      <c r="B136" s="157"/>
      <c r="C136" s="157"/>
      <c r="D136" s="157"/>
      <c r="E136" s="18"/>
      <c r="G136" s="73"/>
      <c r="H136" s="56"/>
      <c r="I136" s="61"/>
    </row>
    <row r="137" ht="21.75" customHeight="1">
      <c r="A137" s="18"/>
      <c r="B137" s="157"/>
      <c r="C137" s="157"/>
      <c r="D137" s="157"/>
      <c r="E137" s="18"/>
      <c r="G137" s="73"/>
      <c r="H137" s="56"/>
      <c r="I137" s="61"/>
    </row>
    <row r="138" ht="21.75" customHeight="1">
      <c r="A138" s="18"/>
      <c r="B138" s="157"/>
      <c r="C138" s="157"/>
      <c r="D138" s="157"/>
      <c r="E138" s="18"/>
      <c r="G138" s="73"/>
      <c r="H138" s="56"/>
      <c r="I138" s="61"/>
    </row>
    <row r="139" ht="21.75" customHeight="1">
      <c r="A139" s="18"/>
      <c r="B139" s="116"/>
      <c r="C139" s="160"/>
      <c r="D139" s="24"/>
      <c r="E139" s="18"/>
      <c r="G139" s="73"/>
      <c r="H139" s="56"/>
      <c r="I139" s="61"/>
    </row>
    <row r="140" ht="21.75" customHeight="1">
      <c r="A140" s="22"/>
      <c r="B140" s="166" t="s">
        <v>221</v>
      </c>
      <c r="C140" s="170">
        <v>1.030025E8</v>
      </c>
      <c r="D140" s="24"/>
      <c r="E140" s="22"/>
      <c r="F140" s="134"/>
      <c r="G140" s="73"/>
      <c r="H140" s="56"/>
      <c r="I140" s="61"/>
    </row>
    <row r="141" ht="21.75" customHeight="1">
      <c r="A141" s="12" t="s">
        <v>39</v>
      </c>
      <c r="B141" s="108" t="s">
        <v>12</v>
      </c>
      <c r="C141" s="151">
        <v>898500.0</v>
      </c>
      <c r="D141" s="110" t="s">
        <v>7</v>
      </c>
      <c r="E141" s="16">
        <f>sum(C149:C152)</f>
        <v>165371000</v>
      </c>
      <c r="G141" s="73"/>
      <c r="H141" s="56"/>
      <c r="I141" s="61"/>
    </row>
    <row r="142" ht="21.75" customHeight="1">
      <c r="A142" s="18"/>
      <c r="B142" s="108" t="s">
        <v>27</v>
      </c>
      <c r="C142" s="189">
        <v>4250000.0</v>
      </c>
      <c r="D142" s="110" t="s">
        <v>7</v>
      </c>
      <c r="E142" s="18"/>
      <c r="G142" s="73"/>
      <c r="H142" s="1"/>
      <c r="I142" s="61"/>
    </row>
    <row r="143" ht="21.75" customHeight="1">
      <c r="A143" s="18"/>
      <c r="B143" s="108" t="s">
        <v>14</v>
      </c>
      <c r="C143" s="200">
        <v>4.5782E7</v>
      </c>
      <c r="D143" s="110" t="s">
        <v>7</v>
      </c>
      <c r="E143" s="18"/>
      <c r="G143" s="75"/>
      <c r="H143" s="56"/>
      <c r="I143" s="60"/>
      <c r="J143" s="9"/>
    </row>
    <row r="144" ht="21.75" customHeight="1">
      <c r="A144" s="18"/>
      <c r="B144" s="108" t="s">
        <v>15</v>
      </c>
      <c r="C144" s="189">
        <v>4350000.0</v>
      </c>
      <c r="D144" s="110" t="s">
        <v>7</v>
      </c>
      <c r="E144" s="18"/>
      <c r="G144" s="59"/>
      <c r="H144" s="56"/>
      <c r="I144" s="57"/>
      <c r="J144" s="9"/>
    </row>
    <row r="145" ht="21.75" customHeight="1">
      <c r="A145" s="18"/>
      <c r="B145" s="116" t="s">
        <v>10</v>
      </c>
      <c r="C145" s="151">
        <v>1.82175E7</v>
      </c>
      <c r="D145" s="110" t="s">
        <v>7</v>
      </c>
      <c r="E145" s="18"/>
      <c r="G145" s="18"/>
      <c r="H145" s="57"/>
      <c r="I145" s="57"/>
      <c r="J145" s="9"/>
    </row>
    <row r="146" ht="21.75" customHeight="1">
      <c r="A146" s="18"/>
      <c r="B146" s="182" t="s">
        <v>222</v>
      </c>
      <c r="C146" s="151">
        <v>6.75765E7</v>
      </c>
      <c r="D146" s="169" t="s">
        <v>7</v>
      </c>
      <c r="E146" s="18"/>
      <c r="G146" s="18"/>
      <c r="H146" s="57"/>
      <c r="I146" s="57"/>
      <c r="J146" s="9"/>
    </row>
    <row r="147" ht="21.75" customHeight="1">
      <c r="A147" s="18"/>
      <c r="B147" s="177" t="s">
        <v>53</v>
      </c>
      <c r="C147" s="155">
        <v>4630000.0</v>
      </c>
      <c r="D147" s="169" t="s">
        <v>7</v>
      </c>
      <c r="E147" s="18"/>
      <c r="G147" s="18"/>
      <c r="H147" s="57"/>
      <c r="I147" s="57"/>
      <c r="J147" s="9"/>
    </row>
    <row r="148" ht="21.75" customHeight="1">
      <c r="A148" s="18"/>
      <c r="B148" s="177" t="s">
        <v>55</v>
      </c>
      <c r="C148" s="155">
        <v>5892500.0</v>
      </c>
      <c r="D148" s="169" t="s">
        <v>7</v>
      </c>
      <c r="E148" s="18"/>
      <c r="G148" s="18"/>
      <c r="H148" s="57"/>
      <c r="I148" s="57"/>
      <c r="J148" s="9"/>
    </row>
    <row r="149" ht="21.75" customHeight="1">
      <c r="A149" s="18"/>
      <c r="B149" s="177" t="s">
        <v>57</v>
      </c>
      <c r="C149" s="160">
        <v>2.1837E7</v>
      </c>
      <c r="D149" s="157"/>
      <c r="E149" s="18"/>
      <c r="G149" s="18"/>
      <c r="H149" s="57"/>
      <c r="I149" s="57"/>
      <c r="J149" s="9"/>
    </row>
    <row r="150" ht="21.75" customHeight="1">
      <c r="A150" s="18"/>
      <c r="B150" s="201"/>
      <c r="C150" s="192"/>
      <c r="D150" s="157"/>
      <c r="E150" s="18"/>
      <c r="F150" s="134"/>
      <c r="G150" s="18"/>
      <c r="H150" s="57"/>
      <c r="I150" s="57"/>
      <c r="J150" s="9"/>
    </row>
    <row r="151" ht="21.75" customHeight="1">
      <c r="A151" s="18"/>
      <c r="B151" s="201"/>
      <c r="C151" s="158"/>
      <c r="D151" s="157"/>
      <c r="E151" s="18"/>
      <c r="F151" s="134"/>
      <c r="G151" s="18"/>
      <c r="H151" s="57"/>
      <c r="I151" s="57"/>
      <c r="J151" s="9"/>
    </row>
    <row r="152" ht="21.75" customHeight="1">
      <c r="A152" s="22"/>
      <c r="B152" s="161" t="s">
        <v>221</v>
      </c>
      <c r="C152" s="162">
        <v>1.43534E8</v>
      </c>
      <c r="D152" s="157"/>
      <c r="E152" s="22"/>
      <c r="F152" s="134"/>
      <c r="G152" s="18"/>
      <c r="H152" s="57"/>
      <c r="I152" s="57"/>
      <c r="J152" s="9"/>
    </row>
    <row r="153" ht="21.75" customHeight="1">
      <c r="A153" s="12" t="s">
        <v>40</v>
      </c>
      <c r="B153" s="184" t="s">
        <v>53</v>
      </c>
      <c r="C153" s="178">
        <v>3.21825E7</v>
      </c>
      <c r="D153" s="110" t="s">
        <v>7</v>
      </c>
      <c r="E153" s="16">
        <f>sum(C159)</f>
        <v>138475000</v>
      </c>
      <c r="G153" s="18"/>
      <c r="H153" s="57"/>
      <c r="I153" s="57"/>
    </row>
    <row r="154" ht="21.75" customHeight="1">
      <c r="A154" s="18"/>
      <c r="B154" s="184" t="s">
        <v>55</v>
      </c>
      <c r="C154" s="185">
        <v>3.17769E7</v>
      </c>
      <c r="D154" s="110" t="s">
        <v>7</v>
      </c>
      <c r="E154" s="18"/>
      <c r="G154" s="18"/>
      <c r="H154" s="56"/>
      <c r="I154" s="57"/>
    </row>
    <row r="155" ht="21.75" customHeight="1">
      <c r="A155" s="18"/>
      <c r="B155" s="116" t="s">
        <v>57</v>
      </c>
      <c r="C155" s="185">
        <v>1.038E7</v>
      </c>
      <c r="D155" s="110" t="s">
        <v>7</v>
      </c>
      <c r="E155" s="18"/>
      <c r="G155" s="18"/>
      <c r="H155" s="56"/>
      <c r="I155" s="57"/>
    </row>
    <row r="156" ht="21.75" customHeight="1">
      <c r="A156" s="18"/>
      <c r="B156" s="157"/>
      <c r="C156" s="157"/>
      <c r="D156" s="157"/>
      <c r="E156" s="18"/>
      <c r="G156" s="22"/>
      <c r="H156" s="56"/>
      <c r="I156" s="57"/>
    </row>
    <row r="157" ht="21.75" customHeight="1">
      <c r="A157" s="18"/>
      <c r="B157" s="157"/>
      <c r="C157" s="157"/>
      <c r="D157" s="157"/>
      <c r="E157" s="18"/>
      <c r="G157" s="42"/>
      <c r="H157" s="9"/>
      <c r="I157" s="10"/>
    </row>
    <row r="158" ht="21.75" customHeight="1">
      <c r="A158" s="18"/>
      <c r="B158" s="175"/>
      <c r="C158" s="185"/>
      <c r="D158" s="19"/>
      <c r="E158" s="18"/>
      <c r="G158" s="42"/>
      <c r="H158" s="9"/>
      <c r="I158" s="10"/>
    </row>
    <row r="159" ht="21.75" customHeight="1">
      <c r="A159" s="22"/>
      <c r="B159" s="181" t="s">
        <v>221</v>
      </c>
      <c r="C159" s="167">
        <v>1.38475E8</v>
      </c>
      <c r="D159" s="19"/>
      <c r="E159" s="22"/>
      <c r="G159" s="42"/>
      <c r="H159" s="9"/>
      <c r="I159" s="10"/>
    </row>
    <row r="160" ht="21.75" customHeight="1">
      <c r="A160" s="12" t="s">
        <v>41</v>
      </c>
      <c r="B160" s="177" t="s">
        <v>55</v>
      </c>
      <c r="C160" s="185">
        <v>4.0348E7</v>
      </c>
      <c r="D160" s="110"/>
      <c r="E160" s="16">
        <f>SUM(C160:C161)</f>
        <v>84006000</v>
      </c>
      <c r="G160" s="42"/>
      <c r="H160" s="9"/>
      <c r="I160" s="10"/>
    </row>
    <row r="161" ht="21.75" customHeight="1">
      <c r="A161" s="18"/>
      <c r="B161" s="177" t="s">
        <v>57</v>
      </c>
      <c r="C161" s="185">
        <v>4.3658E7</v>
      </c>
      <c r="D161" s="110"/>
      <c r="E161" s="18"/>
      <c r="F161" s="19"/>
      <c r="G161" s="42">
        <f>72352500+106176000+43094000+50269500+45408500+44061000+43862500+50692500+53155500</f>
        <v>509072000</v>
      </c>
      <c r="H161" s="76">
        <f>G161-200000000+132000</f>
        <v>309204000</v>
      </c>
      <c r="I161" s="10"/>
    </row>
    <row r="162" ht="21.75" customHeight="1">
      <c r="A162" s="18"/>
      <c r="B162" s="157"/>
      <c r="C162" s="157"/>
      <c r="D162" s="110"/>
      <c r="E162" s="18"/>
    </row>
    <row r="163" ht="21.75" customHeight="1">
      <c r="A163" s="18"/>
      <c r="B163" s="116"/>
      <c r="C163" s="151"/>
      <c r="D163" s="110"/>
      <c r="E163" s="18"/>
      <c r="G163" s="59"/>
      <c r="H163" s="129"/>
      <c r="I163" s="60"/>
    </row>
    <row r="164" ht="21.75" customHeight="1">
      <c r="A164" s="18"/>
      <c r="B164" s="182"/>
      <c r="C164" s="151"/>
      <c r="D164" s="110"/>
      <c r="E164" s="18"/>
      <c r="F164" s="19"/>
      <c r="G164" s="18"/>
      <c r="H164" s="129"/>
      <c r="I164" s="60"/>
    </row>
    <row r="165" ht="21.75" customHeight="1">
      <c r="A165" s="18"/>
      <c r="B165" s="184"/>
      <c r="C165" s="185"/>
      <c r="D165" s="110"/>
      <c r="E165" s="18"/>
      <c r="F165" s="17"/>
      <c r="G165" s="18"/>
      <c r="H165" s="129"/>
      <c r="I165" s="60"/>
    </row>
    <row r="166" ht="21.75" customHeight="1">
      <c r="A166" s="18"/>
      <c r="D166" s="33"/>
      <c r="E166" s="18"/>
      <c r="F166" s="17"/>
      <c r="G166" s="18"/>
      <c r="H166" s="129">
        <v>3.39895E7</v>
      </c>
      <c r="I166" s="60"/>
    </row>
    <row r="167" ht="21.75" customHeight="1">
      <c r="A167" s="18"/>
      <c r="D167" s="33"/>
      <c r="E167" s="18"/>
      <c r="F167" s="17"/>
      <c r="G167" s="18"/>
      <c r="H167" s="129">
        <v>4.0398E7</v>
      </c>
      <c r="I167" s="60"/>
    </row>
    <row r="168" ht="21.75" customHeight="1">
      <c r="A168" s="22"/>
      <c r="B168" s="181" t="s">
        <v>221</v>
      </c>
      <c r="C168" s="202"/>
      <c r="D168" s="33"/>
      <c r="E168" s="22"/>
      <c r="F168" s="17"/>
      <c r="G168" s="18"/>
      <c r="H168" s="129">
        <v>4.3658E7</v>
      </c>
      <c r="I168" s="60"/>
    </row>
    <row r="169" ht="21.75" customHeight="1">
      <c r="A169" s="12" t="s">
        <v>42</v>
      </c>
      <c r="B169" s="182" t="s">
        <v>222</v>
      </c>
      <c r="C169" s="151">
        <v>4260000.0</v>
      </c>
      <c r="D169" s="33"/>
      <c r="E169" s="16">
        <f>sum(C169:C175)</f>
        <v>174048500</v>
      </c>
      <c r="F169" s="17"/>
      <c r="G169" s="18"/>
      <c r="H169" s="56">
        <f>SUM(H163:H168)</f>
        <v>118045500</v>
      </c>
      <c r="I169" s="60"/>
    </row>
    <row r="170" ht="21.75" customHeight="1">
      <c r="A170" s="18"/>
      <c r="B170" s="184" t="s">
        <v>53</v>
      </c>
      <c r="C170" s="178">
        <v>3.94765E7</v>
      </c>
      <c r="D170" s="55"/>
      <c r="E170" s="18"/>
      <c r="G170" s="18"/>
      <c r="H170" s="56"/>
      <c r="I170" s="60"/>
    </row>
    <row r="171" ht="21.75" customHeight="1">
      <c r="A171" s="18"/>
      <c r="B171" s="116" t="s">
        <v>55</v>
      </c>
      <c r="C171" s="178">
        <v>2.3969E7</v>
      </c>
      <c r="D171" s="48"/>
      <c r="E171" s="18"/>
      <c r="G171" s="18"/>
      <c r="H171" s="56"/>
      <c r="I171" s="61"/>
    </row>
    <row r="172" ht="21.75" customHeight="1">
      <c r="A172" s="18"/>
      <c r="D172" s="48"/>
      <c r="E172" s="18"/>
      <c r="F172" s="203"/>
      <c r="G172" s="22"/>
      <c r="H172" s="56"/>
      <c r="I172" s="57"/>
    </row>
    <row r="173" ht="21.75" customHeight="1">
      <c r="A173" s="18"/>
      <c r="B173" s="116" t="s">
        <v>57</v>
      </c>
      <c r="C173" s="155">
        <v>7563000.0</v>
      </c>
      <c r="D173" s="48"/>
      <c r="E173" s="18"/>
    </row>
    <row r="174" ht="21.75" customHeight="1">
      <c r="A174" s="18"/>
      <c r="B174" s="157"/>
      <c r="C174" s="157"/>
      <c r="D174" s="48"/>
      <c r="E174" s="18"/>
      <c r="F174" s="20"/>
      <c r="H174" s="203">
        <v>217224.0</v>
      </c>
    </row>
    <row r="175" ht="21.75" customHeight="1">
      <c r="A175" s="22"/>
      <c r="B175" s="181" t="s">
        <v>221</v>
      </c>
      <c r="C175" s="167">
        <v>9.878E7</v>
      </c>
      <c r="D175" s="48"/>
      <c r="E175" s="22"/>
      <c r="F175" s="20"/>
      <c r="H175" s="20"/>
    </row>
    <row r="176" ht="21.75" customHeight="1">
      <c r="A176" s="12" t="s">
        <v>43</v>
      </c>
      <c r="B176" s="182" t="s">
        <v>15</v>
      </c>
      <c r="C176" s="155">
        <v>1.8781E7</v>
      </c>
      <c r="D176" s="48"/>
      <c r="E176" s="16">
        <f>sum(C176:C182)</f>
        <v>118445000</v>
      </c>
      <c r="F176" s="20"/>
      <c r="H176" s="20"/>
    </row>
    <row r="177" ht="21.75" customHeight="1">
      <c r="A177" s="18"/>
      <c r="B177" s="116" t="s">
        <v>10</v>
      </c>
      <c r="C177" s="151">
        <v>2600000.0</v>
      </c>
      <c r="D177" s="77"/>
      <c r="E177" s="18"/>
      <c r="J177" s="29"/>
    </row>
    <row r="178" ht="21.75" customHeight="1">
      <c r="A178" s="18"/>
      <c r="B178" s="182" t="s">
        <v>222</v>
      </c>
      <c r="C178" s="151">
        <v>0.0</v>
      </c>
      <c r="D178" s="19"/>
      <c r="E178" s="18"/>
      <c r="I178" s="20">
        <f>100000000-H180</f>
        <v>21471500</v>
      </c>
    </row>
    <row r="179" ht="21.75" customHeight="1">
      <c r="A179" s="18"/>
      <c r="B179" s="116" t="s">
        <v>55</v>
      </c>
      <c r="C179" s="155">
        <v>6044000.0</v>
      </c>
      <c r="D179" s="19"/>
      <c r="E179" s="18"/>
      <c r="F179" s="20">
        <f>31*5</f>
        <v>155</v>
      </c>
      <c r="G179" s="20">
        <f>100000000-72352500</f>
        <v>27647500</v>
      </c>
      <c r="I179" s="20">
        <f>I178-42962000</f>
        <v>-21490500</v>
      </c>
    </row>
    <row r="180" ht="21.75" customHeight="1">
      <c r="A180" s="18"/>
      <c r="B180" s="175"/>
      <c r="C180" s="178">
        <v>2.058E7</v>
      </c>
      <c r="D180" s="78"/>
      <c r="E180" s="18"/>
      <c r="H180" s="20">
        <f>106176000-G179</f>
        <v>78528500</v>
      </c>
    </row>
    <row r="181" ht="21.75" customHeight="1">
      <c r="A181" s="18"/>
      <c r="B181" s="204"/>
      <c r="C181" s="176"/>
      <c r="D181" s="78"/>
      <c r="E181" s="18"/>
    </row>
    <row r="182" ht="21.75" customHeight="1">
      <c r="A182" s="22"/>
      <c r="B182" s="166" t="s">
        <v>221</v>
      </c>
      <c r="C182" s="167">
        <v>7.044E7</v>
      </c>
      <c r="D182" s="78"/>
      <c r="E182" s="22"/>
    </row>
    <row r="183" ht="21.75" customHeight="1">
      <c r="A183" s="12" t="s">
        <v>44</v>
      </c>
      <c r="B183" s="182" t="s">
        <v>222</v>
      </c>
      <c r="C183" s="164">
        <v>5617500.0</v>
      </c>
      <c r="D183" s="205" t="s">
        <v>223</v>
      </c>
      <c r="E183" s="153">
        <v>0.0</v>
      </c>
    </row>
    <row r="184" ht="21.75" customHeight="1">
      <c r="A184" s="18"/>
      <c r="B184" s="116" t="s">
        <v>53</v>
      </c>
      <c r="C184" s="185">
        <v>1.95159E7</v>
      </c>
      <c r="D184" s="110" t="s">
        <v>7</v>
      </c>
      <c r="E184" s="18"/>
    </row>
    <row r="185" ht="21.75" customHeight="1">
      <c r="A185" s="18"/>
      <c r="B185" s="116" t="s">
        <v>55</v>
      </c>
      <c r="C185" s="185">
        <v>1.2642E7</v>
      </c>
      <c r="D185" s="110" t="s">
        <v>7</v>
      </c>
      <c r="E185" s="18"/>
      <c r="G185" s="79"/>
      <c r="H185" s="80"/>
      <c r="I185" s="24"/>
    </row>
    <row r="186" ht="21.75" customHeight="1">
      <c r="A186" s="18"/>
      <c r="B186" s="116" t="s">
        <v>57</v>
      </c>
      <c r="C186" s="185">
        <v>1.23772E7</v>
      </c>
      <c r="D186" s="110" t="s">
        <v>7</v>
      </c>
      <c r="E186" s="18"/>
      <c r="G186" s="18"/>
    </row>
    <row r="187" ht="21.75" customHeight="1">
      <c r="A187" s="18"/>
      <c r="B187" s="204"/>
      <c r="C187" s="185"/>
      <c r="D187" s="19"/>
      <c r="E187" s="18"/>
      <c r="G187" s="18"/>
    </row>
    <row r="188" ht="21.75" customHeight="1">
      <c r="A188" s="18"/>
      <c r="B188" s="148"/>
      <c r="C188" s="206"/>
      <c r="D188" s="19"/>
      <c r="E188" s="18"/>
      <c r="G188" s="95"/>
    </row>
    <row r="189" ht="21.75" customHeight="1">
      <c r="A189" s="22"/>
      <c r="B189" s="166" t="s">
        <v>221</v>
      </c>
      <c r="C189" s="167">
        <v>1.03225E8</v>
      </c>
      <c r="D189" s="110" t="s">
        <v>7</v>
      </c>
      <c r="E189" s="22"/>
      <c r="G189" s="95"/>
    </row>
    <row r="190" ht="21.75" customHeight="1">
      <c r="A190" s="12" t="s">
        <v>45</v>
      </c>
      <c r="B190" s="116" t="s">
        <v>13</v>
      </c>
      <c r="C190" s="164">
        <v>1.1833E7</v>
      </c>
      <c r="D190" s="110" t="s">
        <v>7</v>
      </c>
      <c r="E190" s="153">
        <v>3.65999E7</v>
      </c>
      <c r="G190" s="95"/>
    </row>
    <row r="191" ht="21.75" customHeight="1">
      <c r="A191" s="18"/>
      <c r="B191" s="116" t="s">
        <v>24</v>
      </c>
      <c r="C191" s="151">
        <v>9406000.0</v>
      </c>
      <c r="D191" s="110" t="s">
        <v>7</v>
      </c>
      <c r="E191" s="18"/>
    </row>
    <row r="192" ht="21.75" customHeight="1">
      <c r="A192" s="18"/>
      <c r="B192" s="116" t="s">
        <v>15</v>
      </c>
      <c r="C192" s="151">
        <v>2.59248E7</v>
      </c>
      <c r="D192" s="110" t="s">
        <v>7</v>
      </c>
      <c r="E192" s="18"/>
      <c r="G192" s="82"/>
      <c r="H192" s="83"/>
      <c r="I192" s="84"/>
    </row>
    <row r="193" ht="21.75" customHeight="1">
      <c r="A193" s="18"/>
      <c r="B193" s="116" t="s">
        <v>10</v>
      </c>
      <c r="C193" s="151">
        <v>3.2319E7</v>
      </c>
      <c r="D193" s="110" t="s">
        <v>7</v>
      </c>
      <c r="E193" s="18"/>
      <c r="G193" s="85"/>
      <c r="I193" s="86"/>
    </row>
    <row r="194" ht="21.75" customHeight="1">
      <c r="A194" s="18"/>
      <c r="B194" s="182" t="s">
        <v>222</v>
      </c>
      <c r="C194" s="151">
        <v>0.0</v>
      </c>
      <c r="D194" s="110" t="s">
        <v>7</v>
      </c>
      <c r="E194" s="18"/>
      <c r="G194" s="85"/>
      <c r="I194" s="86"/>
    </row>
    <row r="195" ht="21.75" customHeight="1">
      <c r="A195" s="18"/>
      <c r="B195" s="116" t="s">
        <v>53</v>
      </c>
      <c r="C195" s="185">
        <v>3.7979E7</v>
      </c>
      <c r="D195" s="110" t="s">
        <v>7</v>
      </c>
      <c r="E195" s="18"/>
      <c r="G195" s="85"/>
      <c r="I195" s="86"/>
    </row>
    <row r="196" ht="21.75" customHeight="1">
      <c r="A196" s="18"/>
      <c r="B196" s="116" t="s">
        <v>55</v>
      </c>
      <c r="C196" s="207">
        <v>1.63469E7</v>
      </c>
      <c r="D196" s="110" t="s">
        <v>7</v>
      </c>
      <c r="E196" s="18"/>
      <c r="G196" s="85"/>
      <c r="I196" s="86"/>
    </row>
    <row r="197" ht="21.75" customHeight="1">
      <c r="A197" s="18"/>
      <c r="B197" s="116" t="s">
        <v>57</v>
      </c>
      <c r="C197" s="160">
        <v>1.8897E7</v>
      </c>
      <c r="D197" s="110" t="s">
        <v>7</v>
      </c>
      <c r="E197" s="18"/>
      <c r="G197" s="85"/>
      <c r="I197" s="86"/>
    </row>
    <row r="198" ht="21.75" customHeight="1">
      <c r="A198" s="18"/>
      <c r="B198" s="116"/>
      <c r="D198" s="19"/>
      <c r="E198" s="18"/>
      <c r="G198" s="85"/>
      <c r="I198" s="86"/>
    </row>
    <row r="199" ht="21.75" customHeight="1">
      <c r="A199" s="22"/>
      <c r="B199" s="181" t="s">
        <v>225</v>
      </c>
      <c r="C199" s="167">
        <v>3.65999E7</v>
      </c>
      <c r="D199" s="19"/>
      <c r="E199" s="22"/>
      <c r="G199" s="85"/>
      <c r="I199" s="86"/>
    </row>
    <row r="200" ht="21.75" customHeight="1">
      <c r="A200" s="12" t="s">
        <v>46</v>
      </c>
      <c r="B200" s="116" t="s">
        <v>17</v>
      </c>
      <c r="C200" s="164">
        <v>1.6585E7</v>
      </c>
      <c r="D200" s="198" t="s">
        <v>7</v>
      </c>
      <c r="E200" s="16">
        <f>SUM(C203:C206)</f>
        <v>58975000</v>
      </c>
      <c r="G200" s="85"/>
      <c r="I200" s="86"/>
    </row>
    <row r="201" ht="21.75" customHeight="1">
      <c r="A201" s="18"/>
      <c r="B201" s="116" t="s">
        <v>10</v>
      </c>
      <c r="C201" s="164">
        <v>1.387E7</v>
      </c>
      <c r="D201" s="198" t="s">
        <v>7</v>
      </c>
      <c r="E201" s="18"/>
      <c r="G201" s="85"/>
      <c r="I201" s="86"/>
    </row>
    <row r="202" ht="21.75" customHeight="1">
      <c r="A202" s="18"/>
      <c r="B202" s="182" t="s">
        <v>222</v>
      </c>
      <c r="C202" s="164">
        <v>1.571E7</v>
      </c>
      <c r="D202" s="198" t="s">
        <v>7</v>
      </c>
      <c r="E202" s="18"/>
      <c r="G202" s="87"/>
      <c r="H202" s="88"/>
      <c r="I202" s="89"/>
    </row>
    <row r="203" ht="21.75" customHeight="1">
      <c r="A203" s="18"/>
      <c r="B203" s="116" t="s">
        <v>55</v>
      </c>
      <c r="C203" s="160">
        <v>1.4775E7</v>
      </c>
      <c r="D203" s="24"/>
      <c r="E203" s="18"/>
    </row>
    <row r="204" ht="21.75" customHeight="1">
      <c r="A204" s="18"/>
      <c r="B204" s="116" t="s">
        <v>57</v>
      </c>
      <c r="C204" s="207">
        <v>5725000.0</v>
      </c>
      <c r="D204" s="24"/>
      <c r="E204" s="18"/>
    </row>
    <row r="205" ht="21.75" customHeight="1">
      <c r="A205" s="18"/>
      <c r="B205" s="204"/>
      <c r="D205" s="24"/>
      <c r="E205" s="18"/>
    </row>
    <row r="206" ht="21.75" customHeight="1">
      <c r="A206" s="22"/>
      <c r="B206" s="181" t="s">
        <v>225</v>
      </c>
      <c r="C206" s="167">
        <v>3.8475E7</v>
      </c>
      <c r="D206" s="24"/>
      <c r="E206" s="22"/>
    </row>
    <row r="207" ht="21.75" customHeight="1">
      <c r="A207" s="12" t="s">
        <v>47</v>
      </c>
      <c r="B207" s="116" t="s">
        <v>48</v>
      </c>
      <c r="C207" s="151">
        <v>4.0E7</v>
      </c>
      <c r="D207" s="24"/>
      <c r="E207" s="153">
        <f>SUM(C207:C208)</f>
        <v>60363000</v>
      </c>
    </row>
    <row r="208" ht="21.75" customHeight="1">
      <c r="A208" s="18"/>
      <c r="B208" s="208" t="s">
        <v>49</v>
      </c>
      <c r="C208" s="151">
        <v>2.0363E7</v>
      </c>
      <c r="D208" s="19"/>
      <c r="E208" s="18"/>
    </row>
    <row r="209" ht="21.75" customHeight="1">
      <c r="A209" s="18"/>
      <c r="B209" s="116" t="s">
        <v>52</v>
      </c>
      <c r="C209" s="151">
        <v>220000.0</v>
      </c>
      <c r="D209" s="110" t="s">
        <v>7</v>
      </c>
      <c r="E209" s="18"/>
      <c r="G209" s="90" t="s">
        <v>50</v>
      </c>
      <c r="H209" s="56" t="s">
        <v>51</v>
      </c>
      <c r="I209" s="19">
        <v>3.58355E7</v>
      </c>
    </row>
    <row r="210" ht="21.75" customHeight="1">
      <c r="A210" s="18"/>
      <c r="B210" s="108" t="s">
        <v>54</v>
      </c>
      <c r="C210" s="164">
        <v>1.9985E7</v>
      </c>
      <c r="D210" s="110" t="s">
        <v>7</v>
      </c>
      <c r="E210" s="18"/>
      <c r="F210" s="91"/>
      <c r="G210" s="18"/>
      <c r="H210" s="56" t="s">
        <v>53</v>
      </c>
      <c r="I210" s="19">
        <v>4.2089E7</v>
      </c>
    </row>
    <row r="211" ht="21.75" customHeight="1">
      <c r="A211" s="18"/>
      <c r="B211" s="184" t="s">
        <v>226</v>
      </c>
      <c r="C211" s="209">
        <v>3.5645E7</v>
      </c>
      <c r="D211" s="110" t="s">
        <v>7</v>
      </c>
      <c r="E211" s="18"/>
      <c r="F211" s="91"/>
      <c r="G211" s="18"/>
      <c r="H211" s="56" t="s">
        <v>55</v>
      </c>
      <c r="I211" s="19">
        <v>3.9621E7</v>
      </c>
    </row>
    <row r="212" ht="21.75" customHeight="1">
      <c r="A212" s="18"/>
      <c r="B212" s="184" t="s">
        <v>227</v>
      </c>
      <c r="C212" s="207">
        <v>1.95E7</v>
      </c>
      <c r="D212" s="110" t="s">
        <v>7</v>
      </c>
      <c r="E212" s="18"/>
      <c r="F212" s="91"/>
      <c r="G212" s="18"/>
      <c r="H212" s="56"/>
      <c r="I212" s="19"/>
    </row>
    <row r="213" ht="21.75" customHeight="1">
      <c r="A213" s="18"/>
      <c r="B213" s="116"/>
      <c r="C213" s="157"/>
      <c r="D213" s="19"/>
      <c r="E213" s="18"/>
      <c r="F213" s="91"/>
      <c r="G213" s="18"/>
      <c r="H213" s="56"/>
      <c r="I213" s="19"/>
    </row>
    <row r="214" ht="21.75" customHeight="1">
      <c r="A214" s="22"/>
      <c r="B214" s="181" t="s">
        <v>225</v>
      </c>
      <c r="C214" s="202"/>
      <c r="D214" s="19"/>
      <c r="E214" s="22"/>
      <c r="F214" s="91"/>
      <c r="G214" s="18"/>
      <c r="H214" s="56"/>
      <c r="I214" s="19"/>
    </row>
    <row r="215" ht="21.75" customHeight="1">
      <c r="A215" s="12" t="s">
        <v>56</v>
      </c>
      <c r="B215" s="182" t="s">
        <v>222</v>
      </c>
      <c r="C215" s="151">
        <v>3.0034E7</v>
      </c>
      <c r="D215" s="19"/>
      <c r="E215" s="16">
        <f>sum(C215:C222)</f>
        <v>276202500</v>
      </c>
      <c r="F215" s="91"/>
      <c r="G215" s="18"/>
      <c r="H215" s="56"/>
      <c r="I215" s="19"/>
    </row>
    <row r="216" ht="21.75" customHeight="1">
      <c r="A216" s="18"/>
      <c r="B216" s="116" t="s">
        <v>53</v>
      </c>
      <c r="C216" s="185">
        <v>2.64265E7</v>
      </c>
      <c r="D216" s="19"/>
      <c r="E216" s="18"/>
      <c r="F216" s="91"/>
      <c r="G216" s="18"/>
      <c r="H216" s="56" t="s">
        <v>57</v>
      </c>
      <c r="I216" s="19">
        <v>6.7791E7</v>
      </c>
    </row>
    <row r="217" ht="21.75" customHeight="1">
      <c r="A217" s="18"/>
      <c r="B217" s="116" t="s">
        <v>55</v>
      </c>
      <c r="C217" s="160">
        <v>4.1366E7</v>
      </c>
      <c r="D217" s="19"/>
      <c r="E217" s="18"/>
      <c r="F217" s="91"/>
      <c r="G217" s="18"/>
    </row>
    <row r="218" ht="21.75" customHeight="1">
      <c r="A218" s="18"/>
      <c r="B218" s="116" t="s">
        <v>57</v>
      </c>
      <c r="C218" s="207">
        <v>4731000.0</v>
      </c>
      <c r="D218" s="19"/>
      <c r="E218" s="18"/>
      <c r="G218" s="18"/>
      <c r="I218" s="2">
        <f>SUM(I235:I237)</f>
        <v>206125000</v>
      </c>
    </row>
    <row r="219" ht="21.75" customHeight="1">
      <c r="A219" s="18"/>
      <c r="B219" s="204"/>
      <c r="D219" s="19"/>
      <c r="E219" s="18"/>
      <c r="F219" s="91"/>
    </row>
    <row r="220" ht="21.75" customHeight="1">
      <c r="A220" s="18"/>
      <c r="B220" s="175"/>
      <c r="C220" s="174"/>
      <c r="D220" s="19"/>
      <c r="E220" s="18"/>
      <c r="F220" s="91"/>
    </row>
    <row r="221" ht="21.75" customHeight="1">
      <c r="A221" s="18"/>
      <c r="B221" s="157"/>
      <c r="C221" s="157"/>
      <c r="D221" s="19"/>
      <c r="E221" s="18"/>
      <c r="F221" s="91"/>
    </row>
    <row r="222" ht="21.75" customHeight="1">
      <c r="A222" s="22"/>
      <c r="B222" s="181" t="s">
        <v>225</v>
      </c>
      <c r="C222" s="167">
        <v>1.73645E8</v>
      </c>
      <c r="D222" s="19"/>
      <c r="E222" s="22"/>
      <c r="F222" s="91"/>
    </row>
    <row r="223" ht="21.75" customHeight="1">
      <c r="A223" s="49" t="s">
        <v>58</v>
      </c>
      <c r="B223" s="116" t="s">
        <v>53</v>
      </c>
      <c r="C223" s="160">
        <v>2.64235E7</v>
      </c>
      <c r="D223" s="19"/>
      <c r="E223" s="94">
        <f>SUM(C223:C232)</f>
        <v>363434000</v>
      </c>
      <c r="F223" s="91"/>
    </row>
    <row r="224" ht="22.5" customHeight="1">
      <c r="A224" s="18"/>
      <c r="B224" s="116" t="s">
        <v>55</v>
      </c>
      <c r="C224" s="185">
        <v>5.79755E7</v>
      </c>
      <c r="D224" s="210"/>
      <c r="E224" s="18"/>
      <c r="G224" s="95"/>
      <c r="H224" s="9"/>
      <c r="I224" s="28"/>
    </row>
    <row r="225" ht="22.5" customHeight="1">
      <c r="A225" s="18"/>
      <c r="B225" s="116" t="s">
        <v>57</v>
      </c>
      <c r="C225" s="207">
        <v>1.225E7</v>
      </c>
      <c r="D225" s="210"/>
      <c r="E225" s="18"/>
      <c r="F225" s="91"/>
      <c r="G225" s="79"/>
      <c r="H225" s="56"/>
      <c r="I225" s="24">
        <v>1.11365E7</v>
      </c>
    </row>
    <row r="226" ht="22.5" customHeight="1">
      <c r="A226" s="18"/>
      <c r="B226" s="116"/>
      <c r="C226" s="164"/>
      <c r="D226" s="110"/>
      <c r="E226" s="18"/>
      <c r="G226" s="18"/>
      <c r="H226" s="56"/>
      <c r="I226" s="24">
        <v>4.38625E7</v>
      </c>
    </row>
    <row r="227" ht="22.5" customHeight="1">
      <c r="A227" s="18"/>
      <c r="B227" s="116"/>
      <c r="C227" s="164"/>
      <c r="D227" s="210"/>
      <c r="E227" s="18"/>
      <c r="G227" s="18"/>
      <c r="H227" s="56"/>
      <c r="I227" s="24">
        <v>5.06925E7</v>
      </c>
    </row>
    <row r="228" ht="22.5" customHeight="1">
      <c r="A228" s="18"/>
      <c r="B228" s="182"/>
      <c r="C228" s="164"/>
      <c r="D228" s="210"/>
      <c r="E228" s="18"/>
      <c r="G228" s="18"/>
      <c r="H228" s="56"/>
      <c r="I228" s="24">
        <v>5.31555E7</v>
      </c>
    </row>
    <row r="229" ht="22.5" customHeight="1">
      <c r="A229" s="18"/>
      <c r="D229" s="93"/>
      <c r="E229" s="18"/>
      <c r="G229" s="18"/>
      <c r="H229" s="56"/>
      <c r="I229" s="24"/>
    </row>
    <row r="230" ht="22.5" customHeight="1">
      <c r="A230" s="18"/>
      <c r="D230" s="93"/>
      <c r="E230" s="18"/>
      <c r="G230" s="18"/>
      <c r="H230" s="56"/>
      <c r="I230" s="24"/>
    </row>
    <row r="231" ht="22.5" customHeight="1">
      <c r="A231" s="18"/>
      <c r="D231" s="93"/>
      <c r="E231" s="18"/>
      <c r="G231" s="18"/>
      <c r="H231" s="56"/>
      <c r="I231" s="24"/>
    </row>
    <row r="232" ht="22.5" customHeight="1">
      <c r="A232" s="22"/>
      <c r="B232" s="181" t="s">
        <v>225</v>
      </c>
      <c r="C232" s="167">
        <v>2.66785E8</v>
      </c>
      <c r="D232" s="93"/>
      <c r="E232" s="22"/>
      <c r="G232" s="18"/>
      <c r="H232" s="56"/>
      <c r="I232" s="24"/>
    </row>
    <row r="233" ht="22.5" customHeight="1">
      <c r="A233" s="49" t="s">
        <v>60</v>
      </c>
      <c r="B233" s="116" t="s">
        <v>17</v>
      </c>
      <c r="C233" s="164">
        <v>8288000.0</v>
      </c>
      <c r="D233" s="210" t="s">
        <v>7</v>
      </c>
      <c r="E233" s="96">
        <f>sum(C234:C239)</f>
        <v>36460000</v>
      </c>
      <c r="G233" s="18"/>
      <c r="H233" s="56"/>
      <c r="I233" s="24"/>
    </row>
    <row r="234" ht="22.5" customHeight="1">
      <c r="A234" s="18"/>
      <c r="B234" s="116" t="s">
        <v>10</v>
      </c>
      <c r="C234" s="164">
        <v>8520000.0</v>
      </c>
      <c r="D234" s="93"/>
      <c r="E234" s="18"/>
      <c r="G234" s="18"/>
      <c r="H234" s="56"/>
      <c r="I234" s="24"/>
    </row>
    <row r="235" ht="22.5" customHeight="1">
      <c r="A235" s="18"/>
      <c r="B235" s="116" t="s">
        <v>55</v>
      </c>
      <c r="C235" s="207">
        <v>5340000.0</v>
      </c>
      <c r="D235" s="19"/>
      <c r="E235" s="18"/>
      <c r="G235" s="18"/>
      <c r="H235" s="56"/>
      <c r="I235" s="24">
        <v>9.8639E7</v>
      </c>
    </row>
    <row r="236" ht="22.5" customHeight="1">
      <c r="A236" s="18"/>
      <c r="B236" s="184"/>
      <c r="C236" s="211"/>
      <c r="D236" s="19"/>
      <c r="E236" s="18"/>
      <c r="G236" s="18"/>
      <c r="H236" s="56"/>
      <c r="I236" s="24">
        <v>4.8081E7</v>
      </c>
    </row>
    <row r="237" ht="22.5" customHeight="1">
      <c r="A237" s="18"/>
      <c r="D237" s="19"/>
      <c r="E237" s="18"/>
      <c r="G237" s="18"/>
      <c r="H237" s="56"/>
      <c r="I237" s="24">
        <v>5.9405E7</v>
      </c>
    </row>
    <row r="238" ht="22.5" customHeight="1">
      <c r="A238" s="18"/>
      <c r="B238" s="175"/>
      <c r="C238" s="157"/>
      <c r="D238" s="33"/>
      <c r="E238" s="18"/>
      <c r="G238" s="18"/>
    </row>
    <row r="239" ht="22.5" customHeight="1">
      <c r="A239" s="22"/>
      <c r="B239" s="181" t="s">
        <v>225</v>
      </c>
      <c r="C239" s="212">
        <v>2.26E7</v>
      </c>
      <c r="D239" s="33"/>
      <c r="E239" s="22"/>
      <c r="G239" s="18"/>
    </row>
    <row r="240" ht="22.5" customHeight="1">
      <c r="A240" s="12" t="s">
        <v>61</v>
      </c>
      <c r="B240" s="116" t="s">
        <v>10</v>
      </c>
      <c r="C240" s="164">
        <v>2.6125E7</v>
      </c>
      <c r="D240" s="98"/>
      <c r="E240" s="96">
        <f>sum(C240:C243)</f>
        <v>42062500</v>
      </c>
      <c r="F240" s="20" t="s">
        <v>62</v>
      </c>
      <c r="G240" s="18"/>
    </row>
    <row r="241" ht="22.5" customHeight="1">
      <c r="A241" s="18"/>
      <c r="B241" s="116" t="s">
        <v>57</v>
      </c>
      <c r="C241" s="110">
        <v>1.59375E7</v>
      </c>
      <c r="D241" s="19"/>
      <c r="E241" s="18"/>
      <c r="G241" s="18"/>
      <c r="H241" s="56"/>
      <c r="I241" s="99">
        <f>SUM(I225:I237)</f>
        <v>364972000</v>
      </c>
    </row>
    <row r="242" ht="22.5" customHeight="1">
      <c r="A242" s="18"/>
      <c r="B242" s="184"/>
      <c r="C242" s="110"/>
      <c r="D242" s="19"/>
      <c r="E242" s="18"/>
    </row>
    <row r="243" ht="22.5" customHeight="1">
      <c r="A243" s="18"/>
      <c r="B243" s="116"/>
      <c r="C243" s="213"/>
      <c r="D243" s="19"/>
      <c r="E243" s="18"/>
      <c r="H243" s="20" t="str">
        <f>40000000-I247-I248-#REF!-I250</f>
        <v>#REF!</v>
      </c>
    </row>
    <row r="244" ht="22.5" customHeight="1">
      <c r="A244" s="18"/>
      <c r="D244" s="19"/>
      <c r="E244" s="18"/>
      <c r="H244" s="20"/>
    </row>
    <row r="245" ht="22.5" customHeight="1">
      <c r="A245" s="18"/>
      <c r="B245" s="148"/>
      <c r="C245" s="206"/>
      <c r="D245" s="19"/>
      <c r="E245" s="18"/>
      <c r="H245" s="20"/>
    </row>
    <row r="246" ht="22.5" customHeight="1">
      <c r="A246" s="22"/>
      <c r="B246" s="181" t="s">
        <v>225</v>
      </c>
      <c r="C246" s="214"/>
      <c r="D246" s="19"/>
      <c r="E246" s="22"/>
      <c r="H246" s="20"/>
    </row>
    <row r="247" ht="22.5" customHeight="1">
      <c r="A247" s="49" t="s">
        <v>63</v>
      </c>
      <c r="B247" s="184" t="s">
        <v>53</v>
      </c>
      <c r="C247" s="110">
        <v>3.4565E7</v>
      </c>
      <c r="D247" s="110" t="s">
        <v>7</v>
      </c>
      <c r="E247" s="104">
        <v>0.0</v>
      </c>
      <c r="G247" s="79"/>
      <c r="H247" s="56"/>
      <c r="I247" s="24"/>
    </row>
    <row r="248" ht="22.5" customHeight="1">
      <c r="A248" s="18"/>
      <c r="B248" s="116" t="s">
        <v>55</v>
      </c>
      <c r="C248" s="198">
        <v>3.02645E7</v>
      </c>
      <c r="D248" s="110" t="s">
        <v>7</v>
      </c>
      <c r="E248" s="18"/>
      <c r="G248" s="18"/>
      <c r="H248" s="56"/>
      <c r="I248" s="24"/>
    </row>
    <row r="249" ht="22.5" customHeight="1">
      <c r="A249" s="18"/>
      <c r="B249" s="116" t="s">
        <v>57</v>
      </c>
      <c r="C249" s="110">
        <v>1.8E7</v>
      </c>
      <c r="D249" s="110" t="s">
        <v>223</v>
      </c>
      <c r="E249" s="18"/>
      <c r="G249" s="18"/>
      <c r="H249" s="56"/>
      <c r="I249" s="24">
        <v>2.30655E7</v>
      </c>
    </row>
    <row r="250" ht="22.5" customHeight="1">
      <c r="A250" s="18"/>
      <c r="B250" s="157"/>
      <c r="C250" s="157"/>
      <c r="D250" s="157"/>
      <c r="E250" s="18"/>
      <c r="G250" s="18"/>
      <c r="H250" s="56"/>
      <c r="I250" s="24"/>
    </row>
    <row r="251" ht="22.5" customHeight="1">
      <c r="A251" s="18"/>
      <c r="B251" s="157"/>
      <c r="C251" s="157"/>
      <c r="D251" s="157"/>
      <c r="E251" s="18"/>
      <c r="G251" s="18"/>
      <c r="H251" s="9"/>
      <c r="I251" s="28"/>
    </row>
    <row r="252" ht="22.5" customHeight="1">
      <c r="A252" s="18"/>
      <c r="B252" s="204"/>
      <c r="C252" s="157"/>
      <c r="D252" s="19"/>
      <c r="E252" s="18"/>
      <c r="G252" s="18"/>
      <c r="H252" s="9"/>
      <c r="I252" s="28"/>
    </row>
    <row r="253" ht="22.5" customHeight="1">
      <c r="A253" s="22"/>
      <c r="B253" s="181" t="s">
        <v>225</v>
      </c>
      <c r="C253" s="215">
        <v>1.329975E8</v>
      </c>
      <c r="D253" s="110" t="s">
        <v>223</v>
      </c>
      <c r="E253" s="22"/>
      <c r="G253" s="18"/>
      <c r="H253" s="9"/>
      <c r="I253" s="28"/>
    </row>
    <row r="254" ht="22.5" customHeight="1">
      <c r="A254" s="216" t="s">
        <v>64</v>
      </c>
      <c r="B254" s="182" t="s">
        <v>222</v>
      </c>
      <c r="C254" s="164">
        <v>7.7784E7</v>
      </c>
      <c r="D254" s="110" t="s">
        <v>7</v>
      </c>
      <c r="E254" s="100">
        <f>SUM(C260)</f>
        <v>216500000</v>
      </c>
      <c r="G254" s="18"/>
    </row>
    <row r="255" ht="22.5" customHeight="1">
      <c r="A255" s="18"/>
      <c r="B255" s="116" t="s">
        <v>53</v>
      </c>
      <c r="C255" s="110">
        <v>2.2967E7</v>
      </c>
      <c r="D255" s="110" t="s">
        <v>7</v>
      </c>
      <c r="E255" s="18"/>
      <c r="G255" s="18"/>
      <c r="H255" s="56"/>
      <c r="I255" s="99">
        <f>SUM(I247:I250)</f>
        <v>23065500</v>
      </c>
    </row>
    <row r="256" ht="22.5" customHeight="1">
      <c r="A256" s="18"/>
      <c r="B256" s="116" t="s">
        <v>55</v>
      </c>
      <c r="C256" s="198">
        <v>8.6173E7</v>
      </c>
      <c r="D256" s="110" t="s">
        <v>7</v>
      </c>
      <c r="E256" s="18"/>
    </row>
    <row r="257" ht="22.5" customHeight="1">
      <c r="A257" s="18"/>
      <c r="B257" s="116" t="s">
        <v>57</v>
      </c>
      <c r="C257" s="198">
        <v>5139000.0</v>
      </c>
      <c r="D257" s="115" t="s">
        <v>7</v>
      </c>
      <c r="E257" s="18"/>
      <c r="L257" s="20">
        <f>SUM(I257:I263)</f>
        <v>38616000</v>
      </c>
    </row>
    <row r="258" ht="22.5" customHeight="1">
      <c r="A258" s="18"/>
      <c r="B258" s="175"/>
      <c r="C258" s="213"/>
      <c r="D258" s="48"/>
      <c r="E258" s="18"/>
      <c r="L258" s="20"/>
    </row>
    <row r="259" ht="22.5" customHeight="1">
      <c r="A259" s="18"/>
      <c r="B259" s="157"/>
      <c r="D259" s="48"/>
      <c r="E259" s="18"/>
      <c r="L259" s="20"/>
    </row>
    <row r="260" ht="22.5" customHeight="1">
      <c r="A260" s="22"/>
      <c r="B260" s="217" t="s">
        <v>225</v>
      </c>
      <c r="C260" s="215">
        <v>2.165E8</v>
      </c>
      <c r="D260" s="48"/>
      <c r="E260" s="22"/>
      <c r="L260" s="20"/>
    </row>
    <row r="261" ht="22.5" customHeight="1">
      <c r="A261" s="102" t="s">
        <v>65</v>
      </c>
      <c r="B261" s="129" t="s">
        <v>228</v>
      </c>
      <c r="C261" s="115">
        <v>8.46175E7</v>
      </c>
      <c r="D261" s="115" t="s">
        <v>7</v>
      </c>
      <c r="E261" s="111">
        <v>0.0</v>
      </c>
      <c r="G261" s="218"/>
      <c r="H261" s="9"/>
      <c r="I261" s="219"/>
    </row>
    <row r="262" ht="22.5" customHeight="1">
      <c r="A262" s="18"/>
      <c r="B262" s="56" t="s">
        <v>51</v>
      </c>
      <c r="C262" s="115">
        <v>1.9661E7</v>
      </c>
      <c r="D262" s="115" t="s">
        <v>7</v>
      </c>
      <c r="E262" s="18"/>
      <c r="G262" s="103" t="s">
        <v>65</v>
      </c>
      <c r="H262" s="56" t="s">
        <v>12</v>
      </c>
      <c r="I262" s="101">
        <v>3000000.0</v>
      </c>
    </row>
    <row r="263" ht="22.5" customHeight="1">
      <c r="A263" s="18"/>
      <c r="B263" s="56" t="s">
        <v>53</v>
      </c>
      <c r="C263" s="115">
        <v>8860000.0</v>
      </c>
      <c r="D263" s="115" t="s">
        <v>7</v>
      </c>
      <c r="E263" s="18"/>
      <c r="G263" s="18"/>
      <c r="H263" s="56" t="s">
        <v>13</v>
      </c>
      <c r="I263" s="48">
        <v>3.5616E7</v>
      </c>
    </row>
    <row r="264" ht="22.5" customHeight="1">
      <c r="A264" s="18"/>
      <c r="B264" s="56" t="s">
        <v>55</v>
      </c>
      <c r="C264" s="115">
        <v>4.6193E7</v>
      </c>
      <c r="D264" s="115" t="s">
        <v>7</v>
      </c>
      <c r="E264" s="18"/>
      <c r="G264" s="18"/>
      <c r="H264" s="56" t="s">
        <v>66</v>
      </c>
      <c r="I264" s="48">
        <v>1.88395E7</v>
      </c>
    </row>
    <row r="265" ht="22.5" customHeight="1">
      <c r="A265" s="22"/>
      <c r="B265" s="220" t="s">
        <v>225</v>
      </c>
      <c r="C265" s="221">
        <v>6.605E7</v>
      </c>
      <c r="D265" s="115" t="s">
        <v>7</v>
      </c>
      <c r="E265" s="22"/>
      <c r="G265" s="18"/>
      <c r="H265" s="56"/>
      <c r="I265" s="48"/>
    </row>
    <row r="266" ht="22.5" customHeight="1">
      <c r="A266" s="102" t="s">
        <v>68</v>
      </c>
      <c r="B266" s="56" t="s">
        <v>51</v>
      </c>
      <c r="C266" s="115">
        <v>3.4295E7</v>
      </c>
      <c r="D266" s="110" t="s">
        <v>7</v>
      </c>
      <c r="E266" s="222">
        <v>1.16E7</v>
      </c>
      <c r="G266" s="22"/>
      <c r="H266" s="56" t="s">
        <v>69</v>
      </c>
      <c r="I266" s="99">
        <f>sum(I257:I264)</f>
        <v>57455500</v>
      </c>
      <c r="J266" s="105" t="s">
        <v>70</v>
      </c>
      <c r="K266" s="106" t="s">
        <v>71</v>
      </c>
      <c r="L266" s="107">
        <v>3.94992E7</v>
      </c>
    </row>
    <row r="267" ht="22.5" customHeight="1">
      <c r="A267" s="18"/>
      <c r="B267" s="56" t="s">
        <v>53</v>
      </c>
      <c r="C267" s="115">
        <v>2.90515E7</v>
      </c>
      <c r="D267" s="110" t="s">
        <v>7</v>
      </c>
      <c r="E267" s="18"/>
      <c r="J267" s="18"/>
      <c r="K267" s="108" t="s">
        <v>72</v>
      </c>
      <c r="L267" s="109">
        <v>4.4902E7</v>
      </c>
    </row>
    <row r="268" ht="22.5" customHeight="1">
      <c r="A268" s="18"/>
      <c r="B268" s="56" t="s">
        <v>55</v>
      </c>
      <c r="C268" s="115">
        <v>3.79155E7</v>
      </c>
      <c r="D268" s="115" t="s">
        <v>7</v>
      </c>
      <c r="E268" s="18"/>
      <c r="G268" s="223" t="s">
        <v>68</v>
      </c>
      <c r="H268" s="56"/>
      <c r="J268" s="18"/>
      <c r="K268" s="108" t="s">
        <v>73</v>
      </c>
      <c r="L268" s="109">
        <v>2.968E7</v>
      </c>
    </row>
    <row r="269" ht="22.5" customHeight="1">
      <c r="A269" s="18"/>
      <c r="B269" s="56" t="s">
        <v>57</v>
      </c>
      <c r="C269" s="115">
        <v>1900000.0</v>
      </c>
      <c r="D269" s="110" t="s">
        <v>7</v>
      </c>
      <c r="E269" s="18"/>
      <c r="G269" s="18"/>
      <c r="H269" s="56"/>
      <c r="J269" s="18"/>
      <c r="K269" s="108" t="s">
        <v>74</v>
      </c>
      <c r="L269" s="109">
        <v>3.87375E7</v>
      </c>
    </row>
    <row r="270" ht="22.5" customHeight="1">
      <c r="A270" s="18"/>
      <c r="B270" s="220" t="s">
        <v>225</v>
      </c>
      <c r="C270" s="221">
        <v>6.0645E7</v>
      </c>
      <c r="D270" s="224" t="s">
        <v>7</v>
      </c>
      <c r="E270" s="18"/>
      <c r="G270" s="18"/>
      <c r="H270" s="56"/>
      <c r="J270" s="18"/>
      <c r="K270" s="108"/>
      <c r="L270" s="109"/>
    </row>
    <row r="271" ht="22.5" customHeight="1">
      <c r="A271" s="18"/>
      <c r="B271" s="220" t="s">
        <v>225</v>
      </c>
      <c r="C271" s="221">
        <v>1.16E7</v>
      </c>
      <c r="D271" s="224"/>
      <c r="E271" s="18"/>
      <c r="G271" s="18"/>
      <c r="H271" s="56"/>
      <c r="J271" s="18"/>
      <c r="K271" s="108"/>
      <c r="L271" s="109"/>
    </row>
    <row r="272" ht="22.5" customHeight="1">
      <c r="A272" s="22"/>
      <c r="B272" s="220" t="s">
        <v>225</v>
      </c>
      <c r="C272" s="221">
        <v>3.0285E7</v>
      </c>
      <c r="D272" s="224" t="s">
        <v>7</v>
      </c>
      <c r="E272" s="22"/>
      <c r="G272" s="18"/>
      <c r="H272" s="56"/>
      <c r="J272" s="18"/>
      <c r="K272" s="108"/>
      <c r="L272" s="109"/>
    </row>
    <row r="273" ht="22.5" customHeight="1">
      <c r="A273" s="102" t="s">
        <v>75</v>
      </c>
      <c r="B273" s="56" t="s">
        <v>51</v>
      </c>
      <c r="C273" s="115">
        <v>2.11415E7</v>
      </c>
      <c r="D273" s="110" t="s">
        <v>7</v>
      </c>
      <c r="E273" s="111">
        <v>0.0</v>
      </c>
      <c r="G273" s="22"/>
      <c r="H273" s="56"/>
      <c r="J273" s="18"/>
      <c r="K273" s="108" t="s">
        <v>76</v>
      </c>
      <c r="L273" s="112">
        <v>2.9435E7</v>
      </c>
    </row>
    <row r="274" ht="22.5" customHeight="1">
      <c r="A274" s="18"/>
      <c r="B274" s="56" t="s">
        <v>53</v>
      </c>
      <c r="C274" s="115">
        <v>2.4354E7</v>
      </c>
      <c r="D274" s="110" t="s">
        <v>7</v>
      </c>
      <c r="E274" s="18"/>
      <c r="J274" s="18"/>
      <c r="K274" s="108" t="s">
        <v>77</v>
      </c>
      <c r="L274" s="112">
        <v>3.428E7</v>
      </c>
    </row>
    <row r="275" ht="22.5" customHeight="1">
      <c r="A275" s="18"/>
      <c r="B275" s="56" t="s">
        <v>55</v>
      </c>
      <c r="C275" s="115">
        <f>55869500-28960000</f>
        <v>26909500</v>
      </c>
      <c r="D275" s="110" t="s">
        <v>7</v>
      </c>
      <c r="E275" s="18"/>
      <c r="J275" s="22"/>
      <c r="K275" s="108" t="s">
        <v>78</v>
      </c>
      <c r="L275" s="113">
        <f>sum(L266:L274)</f>
        <v>216533700</v>
      </c>
    </row>
    <row r="276" ht="22.5" customHeight="1">
      <c r="A276" s="18"/>
      <c r="B276" s="220" t="s">
        <v>225</v>
      </c>
      <c r="C276" s="221">
        <v>2.896E7</v>
      </c>
      <c r="D276" s="110" t="s">
        <v>7</v>
      </c>
      <c r="E276" s="18"/>
      <c r="H276" s="20"/>
    </row>
    <row r="277" ht="22.5" customHeight="1">
      <c r="A277" s="22"/>
      <c r="B277" s="220" t="s">
        <v>225</v>
      </c>
      <c r="C277" s="221">
        <f>91935000-190000</f>
        <v>91745000</v>
      </c>
      <c r="D277" s="110" t="s">
        <v>7</v>
      </c>
      <c r="E277" s="22"/>
      <c r="H277" s="20"/>
    </row>
    <row r="278" ht="22.5" customHeight="1">
      <c r="A278" s="102" t="s">
        <v>79</v>
      </c>
      <c r="B278" s="129" t="s">
        <v>229</v>
      </c>
      <c r="C278" s="115">
        <v>4.2095E7</v>
      </c>
      <c r="D278" s="115" t="s">
        <v>7</v>
      </c>
      <c r="E278" s="111">
        <v>1.31115E7</v>
      </c>
    </row>
    <row r="279" ht="22.5" customHeight="1">
      <c r="A279" s="18"/>
      <c r="B279" s="56" t="s">
        <v>57</v>
      </c>
      <c r="C279" s="115">
        <v>1.35E7</v>
      </c>
      <c r="D279" s="115" t="s">
        <v>7</v>
      </c>
      <c r="E279" s="18"/>
      <c r="G279" s="114"/>
      <c r="H279" s="116" t="s">
        <v>6</v>
      </c>
      <c r="I279" s="117" t="str">
        <f>#REF!</f>
        <v>#REF!</v>
      </c>
    </row>
    <row r="280" ht="22.5" customHeight="1">
      <c r="A280" s="18"/>
      <c r="B280" s="225" t="s">
        <v>230</v>
      </c>
      <c r="C280" s="226">
        <v>5.005E7</v>
      </c>
      <c r="D280" s="115" t="s">
        <v>7</v>
      </c>
      <c r="E280" s="18"/>
      <c r="G280" s="18"/>
      <c r="H280" s="116"/>
      <c r="I280" s="117"/>
    </row>
    <row r="281" ht="22.5" customHeight="1">
      <c r="A281" s="18"/>
      <c r="B281" s="220" t="s">
        <v>225</v>
      </c>
      <c r="C281" s="227">
        <v>1.016275E8</v>
      </c>
      <c r="D281" s="115" t="s">
        <v>7</v>
      </c>
      <c r="E281" s="18"/>
      <c r="G281" s="18"/>
      <c r="H281" s="116"/>
      <c r="I281" s="117"/>
    </row>
    <row r="282" ht="22.5" customHeight="1">
      <c r="A282" s="18"/>
      <c r="B282" s="129" t="s">
        <v>231</v>
      </c>
      <c r="C282" s="115">
        <f>63206000+3800000+2305000</f>
        <v>69311000</v>
      </c>
      <c r="D282" s="115" t="s">
        <v>7</v>
      </c>
      <c r="E282" s="18"/>
      <c r="G282" s="18"/>
      <c r="H282" s="56"/>
      <c r="I282" s="48"/>
      <c r="J282" s="218"/>
      <c r="K282" s="228"/>
      <c r="L282" s="229"/>
    </row>
    <row r="283" ht="22.5" customHeight="1">
      <c r="A283" s="18"/>
      <c r="B283" s="129" t="s">
        <v>232</v>
      </c>
      <c r="C283" s="115">
        <v>-2.63472E8</v>
      </c>
      <c r="D283" s="115" t="s">
        <v>7</v>
      </c>
      <c r="E283" s="18"/>
      <c r="G283" s="18"/>
      <c r="H283" s="56"/>
      <c r="I283" s="48"/>
      <c r="J283" s="218"/>
      <c r="K283" s="228"/>
      <c r="L283" s="229"/>
    </row>
    <row r="284" ht="22.5" customHeight="1">
      <c r="A284" s="22"/>
      <c r="B284" s="230" t="s">
        <v>233</v>
      </c>
      <c r="C284" s="231">
        <v>1.31115E7</v>
      </c>
      <c r="D284" s="48"/>
      <c r="E284" s="22"/>
      <c r="G284" s="18"/>
      <c r="H284" s="56"/>
      <c r="I284" s="48"/>
      <c r="J284" s="218"/>
      <c r="K284" s="228"/>
      <c r="L284" s="229"/>
    </row>
    <row r="285" ht="22.5" customHeight="1">
      <c r="A285" s="102" t="s">
        <v>80</v>
      </c>
      <c r="B285" s="129" t="s">
        <v>234</v>
      </c>
      <c r="C285" s="115">
        <f>30437000+64686000+54141000-41306000-100000000</f>
        <v>7958000</v>
      </c>
      <c r="D285" s="115" t="s">
        <v>7</v>
      </c>
      <c r="E285" s="111">
        <v>0.0</v>
      </c>
      <c r="G285" s="18"/>
      <c r="H285" s="56"/>
      <c r="I285" s="101"/>
      <c r="J285" s="103"/>
      <c r="K285" s="23"/>
      <c r="L285" s="118"/>
    </row>
    <row r="286" ht="22.5" customHeight="1">
      <c r="A286" s="18"/>
      <c r="B286" s="56" t="s">
        <v>51</v>
      </c>
      <c r="C286" s="115">
        <v>2.4309E7</v>
      </c>
      <c r="D286" s="115" t="s">
        <v>7</v>
      </c>
      <c r="E286" s="18"/>
      <c r="G286" s="18"/>
      <c r="H286" s="56" t="s">
        <v>17</v>
      </c>
      <c r="I286" s="101">
        <v>5.4141E7</v>
      </c>
      <c r="J286" s="18"/>
      <c r="K286" s="23"/>
      <c r="L286" s="118"/>
    </row>
    <row r="287" ht="22.5" customHeight="1">
      <c r="A287" s="18"/>
      <c r="B287" s="56" t="s">
        <v>53</v>
      </c>
      <c r="C287" s="115">
        <v>1.8372E7</v>
      </c>
      <c r="D287" s="115" t="s">
        <v>7</v>
      </c>
      <c r="E287" s="18"/>
      <c r="G287" s="18"/>
      <c r="H287" s="56" t="s">
        <v>69</v>
      </c>
      <c r="I287" s="99" t="str">
        <f>sum(I278:I286)</f>
        <v>#REF!</v>
      </c>
      <c r="J287" s="18"/>
      <c r="K287" s="23" t="s">
        <v>84</v>
      </c>
      <c r="L287" s="48">
        <v>3.8867E7</v>
      </c>
    </row>
    <row r="288" ht="22.5" customHeight="1">
      <c r="A288" s="18"/>
      <c r="B288" s="56" t="s">
        <v>55</v>
      </c>
      <c r="C288" s="119">
        <f>61307000+34158000</f>
        <v>95465000</v>
      </c>
      <c r="D288" s="115" t="s">
        <v>7</v>
      </c>
      <c r="E288" s="18"/>
      <c r="J288" s="18"/>
      <c r="K288" s="56" t="s">
        <v>85</v>
      </c>
      <c r="L288" s="48">
        <v>4.1088E7</v>
      </c>
    </row>
    <row r="289" ht="22.5" customHeight="1">
      <c r="A289" s="18"/>
      <c r="B289" s="220" t="s">
        <v>225</v>
      </c>
      <c r="C289" s="221">
        <v>2.925E7</v>
      </c>
      <c r="D289" s="115" t="s">
        <v>7</v>
      </c>
      <c r="E289" s="18"/>
      <c r="J289" s="18"/>
      <c r="K289" s="56"/>
      <c r="L289" s="48"/>
    </row>
    <row r="290" ht="22.5" customHeight="1">
      <c r="A290" s="18"/>
      <c r="B290" s="220" t="s">
        <v>225</v>
      </c>
      <c r="C290" s="221">
        <v>2735000.0</v>
      </c>
      <c r="D290" s="115" t="s">
        <v>7</v>
      </c>
      <c r="E290" s="18"/>
      <c r="J290" s="18"/>
      <c r="K290" s="56"/>
      <c r="L290" s="48"/>
    </row>
    <row r="291" ht="22.5" customHeight="1">
      <c r="A291" s="18"/>
      <c r="B291" s="232" t="s">
        <v>69</v>
      </c>
      <c r="C291" s="233">
        <v>1.78089E8</v>
      </c>
      <c r="D291" s="115" t="s">
        <v>7</v>
      </c>
      <c r="E291" s="18"/>
      <c r="J291" s="18"/>
      <c r="K291" s="56"/>
      <c r="L291" s="48"/>
    </row>
    <row r="292" ht="22.5" customHeight="1">
      <c r="A292" s="18"/>
      <c r="B292" s="129" t="s">
        <v>235</v>
      </c>
      <c r="C292" s="224">
        <v>-5.0E7</v>
      </c>
      <c r="D292" s="115" t="s">
        <v>7</v>
      </c>
      <c r="E292" s="18"/>
      <c r="J292" s="18"/>
      <c r="K292" s="56"/>
      <c r="L292" s="48"/>
    </row>
    <row r="293" ht="22.5" customHeight="1">
      <c r="A293" s="22"/>
      <c r="B293" s="230" t="s">
        <v>233</v>
      </c>
      <c r="C293" s="231">
        <v>1.28089E8</v>
      </c>
      <c r="D293" s="115" t="s">
        <v>7</v>
      </c>
      <c r="E293" s="18"/>
      <c r="J293" s="18"/>
      <c r="K293" s="56"/>
      <c r="L293" s="48"/>
    </row>
    <row r="294" ht="22.5" customHeight="1">
      <c r="A294" s="102" t="s">
        <v>86</v>
      </c>
      <c r="B294" s="129" t="s">
        <v>67</v>
      </c>
      <c r="C294" s="115">
        <v>8.4459E7</v>
      </c>
      <c r="D294" s="110" t="s">
        <v>7</v>
      </c>
      <c r="E294" s="22"/>
      <c r="F294" s="127">
        <f>50000-8694</f>
        <v>41306</v>
      </c>
      <c r="J294" s="18"/>
      <c r="K294" s="30"/>
      <c r="L294" s="24"/>
    </row>
    <row r="295" ht="22.5" customHeight="1">
      <c r="A295" s="18"/>
      <c r="B295" s="56" t="s">
        <v>53</v>
      </c>
      <c r="C295" s="115">
        <v>5.33465E7</v>
      </c>
      <c r="D295" s="110" t="s">
        <v>7</v>
      </c>
      <c r="E295" s="111">
        <v>0.0</v>
      </c>
      <c r="J295" s="18"/>
      <c r="K295" s="30"/>
      <c r="L295" s="24"/>
    </row>
    <row r="296" ht="22.5" customHeight="1">
      <c r="A296" s="18"/>
      <c r="B296" s="56" t="s">
        <v>55</v>
      </c>
      <c r="C296" s="115">
        <v>6.93485E7</v>
      </c>
      <c r="D296" s="110" t="s">
        <v>7</v>
      </c>
      <c r="E296" s="18"/>
      <c r="J296" s="18"/>
      <c r="K296" s="30" t="s">
        <v>81</v>
      </c>
      <c r="L296" s="24">
        <v>3.38955E7</v>
      </c>
    </row>
    <row r="297" ht="22.5" customHeight="1">
      <c r="A297" s="18"/>
      <c r="B297" s="56" t="s">
        <v>57</v>
      </c>
      <c r="C297" s="119">
        <v>2640000.0</v>
      </c>
      <c r="D297" s="110" t="s">
        <v>7</v>
      </c>
      <c r="E297" s="18"/>
      <c r="J297" s="18"/>
      <c r="K297" s="56" t="s">
        <v>51</v>
      </c>
      <c r="L297" s="48">
        <f>10465000</f>
        <v>10465000</v>
      </c>
    </row>
    <row r="298" ht="22.5" customHeight="1">
      <c r="A298" s="18"/>
      <c r="B298" s="220" t="s">
        <v>225</v>
      </c>
      <c r="C298" s="221">
        <v>3.312E7</v>
      </c>
      <c r="D298" s="110" t="s">
        <v>7</v>
      </c>
      <c r="E298" s="18"/>
      <c r="J298" s="18"/>
      <c r="K298" s="56"/>
      <c r="L298" s="48"/>
    </row>
    <row r="299" ht="22.5" customHeight="1">
      <c r="A299" s="18"/>
      <c r="B299" s="220" t="s">
        <v>225</v>
      </c>
      <c r="C299" s="221">
        <v>2.6E7</v>
      </c>
      <c r="D299" s="110" t="s">
        <v>7</v>
      </c>
      <c r="E299" s="18"/>
      <c r="J299" s="18"/>
      <c r="K299" s="56"/>
      <c r="L299" s="48"/>
    </row>
    <row r="300" ht="22.5" customHeight="1">
      <c r="A300" s="22"/>
      <c r="B300" s="220" t="s">
        <v>225</v>
      </c>
      <c r="C300" s="221">
        <v>7.6745E7</v>
      </c>
      <c r="D300" s="110" t="s">
        <v>7</v>
      </c>
      <c r="E300" s="22"/>
      <c r="J300" s="18"/>
      <c r="K300" s="56"/>
      <c r="L300" s="48"/>
    </row>
    <row r="301" ht="22.5" customHeight="1">
      <c r="A301" s="102" t="s">
        <v>87</v>
      </c>
      <c r="B301" s="56" t="s">
        <v>51</v>
      </c>
      <c r="C301" s="119">
        <v>3.26315E7</v>
      </c>
      <c r="D301" s="110" t="s">
        <v>7</v>
      </c>
      <c r="E301" s="111">
        <v>0.0</v>
      </c>
      <c r="J301" s="18"/>
      <c r="K301" s="30" t="s">
        <v>88</v>
      </c>
      <c r="L301" s="24">
        <v>5718000.0</v>
      </c>
    </row>
    <row r="302" ht="22.5" customHeight="1">
      <c r="A302" s="18"/>
      <c r="B302" s="56" t="s">
        <v>53</v>
      </c>
      <c r="C302" s="119">
        <v>2.9792E7</v>
      </c>
      <c r="D302" s="198" t="s">
        <v>7</v>
      </c>
      <c r="E302" s="18"/>
      <c r="J302" s="18"/>
      <c r="K302" s="30"/>
      <c r="L302" s="24"/>
    </row>
    <row r="303" ht="22.5" customHeight="1">
      <c r="A303" s="18"/>
      <c r="B303" s="56" t="s">
        <v>55</v>
      </c>
      <c r="C303" s="119">
        <v>2.6155E7</v>
      </c>
      <c r="D303" s="110" t="s">
        <v>7</v>
      </c>
      <c r="E303" s="18"/>
      <c r="J303" s="22"/>
      <c r="K303" s="30" t="s">
        <v>89</v>
      </c>
      <c r="L303" s="24">
        <v>5970000.0</v>
      </c>
    </row>
    <row r="304" ht="22.5" customHeight="1">
      <c r="A304" s="22"/>
      <c r="B304" s="220" t="s">
        <v>225</v>
      </c>
      <c r="C304" s="221">
        <v>7.09975E7</v>
      </c>
      <c r="D304" s="110" t="s">
        <v>7</v>
      </c>
      <c r="E304" s="18"/>
      <c r="J304" s="218"/>
      <c r="K304" s="53"/>
      <c r="L304" s="234"/>
    </row>
    <row r="305" ht="22.5" customHeight="1">
      <c r="A305" s="102" t="s">
        <v>90</v>
      </c>
      <c r="B305" s="56" t="s">
        <v>51</v>
      </c>
      <c r="C305" s="48"/>
      <c r="D305" s="19"/>
      <c r="E305" s="18"/>
    </row>
    <row r="306" ht="22.5" customHeight="1">
      <c r="A306" s="18"/>
      <c r="B306" s="56" t="s">
        <v>53</v>
      </c>
      <c r="C306" s="115">
        <v>4.08055E7</v>
      </c>
      <c r="D306" s="110" t="s">
        <v>7</v>
      </c>
      <c r="E306" s="18"/>
    </row>
    <row r="307" ht="22.5" customHeight="1">
      <c r="A307" s="18"/>
      <c r="B307" s="56" t="s">
        <v>55</v>
      </c>
      <c r="C307" s="115">
        <v>1.487585E8</v>
      </c>
      <c r="D307" s="110" t="s">
        <v>7</v>
      </c>
      <c r="E307" s="22"/>
    </row>
    <row r="308" ht="22.5" customHeight="1">
      <c r="A308" s="18"/>
      <c r="B308" s="56" t="s">
        <v>57</v>
      </c>
      <c r="C308" s="119">
        <v>1.0336E7</v>
      </c>
      <c r="D308" s="110" t="s">
        <v>7</v>
      </c>
      <c r="E308" s="111">
        <v>0.0</v>
      </c>
    </row>
    <row r="309" ht="22.5" customHeight="1">
      <c r="A309" s="18"/>
      <c r="B309" s="220" t="s">
        <v>225</v>
      </c>
      <c r="C309" s="221">
        <v>9.8099E7</v>
      </c>
      <c r="D309" s="110" t="s">
        <v>7</v>
      </c>
      <c r="E309" s="18"/>
    </row>
    <row r="310" ht="22.5" customHeight="1">
      <c r="A310" s="22"/>
      <c r="B310" s="220" t="s">
        <v>225</v>
      </c>
      <c r="C310" s="221">
        <v>4.3595E7</v>
      </c>
      <c r="D310" s="110" t="s">
        <v>7</v>
      </c>
      <c r="E310" s="18"/>
    </row>
    <row r="311" ht="22.5" customHeight="1">
      <c r="A311" s="102" t="s">
        <v>91</v>
      </c>
      <c r="B311" s="129" t="s">
        <v>236</v>
      </c>
      <c r="C311" s="115">
        <v>2.17305E7</v>
      </c>
      <c r="D311" s="110" t="s">
        <v>7</v>
      </c>
      <c r="E311" s="22"/>
    </row>
    <row r="312" ht="22.5" customHeight="1">
      <c r="A312" s="18"/>
      <c r="B312" s="56" t="s">
        <v>51</v>
      </c>
      <c r="C312" s="115">
        <v>2.64745E7</v>
      </c>
      <c r="D312" s="110" t="s">
        <v>7</v>
      </c>
      <c r="E312" s="111">
        <v>0.0</v>
      </c>
    </row>
    <row r="313" ht="22.5" customHeight="1">
      <c r="A313" s="18"/>
      <c r="B313" s="56" t="s">
        <v>53</v>
      </c>
      <c r="C313" s="115">
        <v>2.50665E7</v>
      </c>
      <c r="D313" s="110" t="s">
        <v>7</v>
      </c>
      <c r="E313" s="18"/>
    </row>
    <row r="314" ht="22.5" customHeight="1">
      <c r="A314" s="18"/>
      <c r="B314" s="56" t="s">
        <v>55</v>
      </c>
      <c r="C314" s="48">
        <f>69355000-48770000</f>
        <v>20585000</v>
      </c>
      <c r="D314" s="110" t="s">
        <v>7</v>
      </c>
      <c r="E314" s="18"/>
    </row>
    <row r="315" ht="22.5" customHeight="1">
      <c r="A315" s="18"/>
      <c r="B315" s="56" t="s">
        <v>57</v>
      </c>
      <c r="C315" s="115">
        <v>1.08E7</v>
      </c>
      <c r="D315" s="115" t="s">
        <v>7</v>
      </c>
      <c r="E315" s="18"/>
    </row>
    <row r="316" ht="22.5" customHeight="1">
      <c r="A316" s="18"/>
      <c r="B316" s="220" t="s">
        <v>225</v>
      </c>
      <c r="C316" s="221">
        <v>4.877E7</v>
      </c>
      <c r="D316" s="115" t="s">
        <v>7</v>
      </c>
      <c r="E316" s="18"/>
    </row>
    <row r="317" ht="26.25" customHeight="1">
      <c r="A317" s="22"/>
      <c r="B317" s="220" t="s">
        <v>225</v>
      </c>
      <c r="C317" s="221">
        <v>6.53E7</v>
      </c>
      <c r="D317" s="115" t="s">
        <v>7</v>
      </c>
      <c r="E317" s="22"/>
    </row>
    <row r="318" ht="22.5" customHeight="1">
      <c r="A318" s="102" t="s">
        <v>93</v>
      </c>
      <c r="B318" s="56" t="s">
        <v>51</v>
      </c>
      <c r="C318" s="115">
        <v>1.87605E7</v>
      </c>
      <c r="D318" s="19"/>
      <c r="E318" s="222">
        <v>9.9414E7</v>
      </c>
    </row>
    <row r="319" ht="22.5" customHeight="1">
      <c r="A319" s="18"/>
      <c r="B319" s="56" t="s">
        <v>53</v>
      </c>
      <c r="C319" s="115">
        <v>2.02875E7</v>
      </c>
      <c r="D319" s="19"/>
      <c r="E319" s="18"/>
    </row>
    <row r="320" ht="22.5" customHeight="1">
      <c r="A320" s="18"/>
      <c r="B320" s="56" t="s">
        <v>55</v>
      </c>
      <c r="C320" s="115">
        <v>1.4805E7</v>
      </c>
      <c r="D320" s="19"/>
      <c r="E320" s="18"/>
    </row>
    <row r="321" ht="22.5" customHeight="1">
      <c r="A321" s="18"/>
      <c r="B321" s="220" t="s">
        <v>225</v>
      </c>
      <c r="C321" s="221">
        <v>3.0284E7</v>
      </c>
      <c r="D321" s="19"/>
      <c r="E321" s="18"/>
    </row>
    <row r="322" ht="22.5" customHeight="1">
      <c r="A322" s="18"/>
      <c r="B322" s="220" t="s">
        <v>225</v>
      </c>
      <c r="C322" s="221">
        <f>99277000+66000000</f>
        <v>165277000</v>
      </c>
      <c r="D322" s="19"/>
      <c r="E322" s="18"/>
      <c r="G322" s="127">
        <f>249414000-150000000</f>
        <v>99414000</v>
      </c>
    </row>
    <row r="323" ht="22.5" customHeight="1">
      <c r="A323" s="18"/>
      <c r="B323" s="232" t="s">
        <v>69</v>
      </c>
      <c r="C323" s="233">
        <f>SUM(C318:C322)</f>
        <v>249414000</v>
      </c>
      <c r="D323" s="19"/>
      <c r="E323" s="18"/>
    </row>
    <row r="324" ht="22.5" customHeight="1">
      <c r="A324" s="18"/>
      <c r="B324" s="235" t="s">
        <v>237</v>
      </c>
      <c r="C324" s="224">
        <v>-1.5E8</v>
      </c>
      <c r="D324" s="19"/>
      <c r="E324" s="22"/>
    </row>
    <row r="325" ht="22.5" customHeight="1">
      <c r="A325" s="22"/>
      <c r="B325" s="236" t="s">
        <v>233</v>
      </c>
      <c r="C325" s="231">
        <v>9.9414E7</v>
      </c>
      <c r="D325" s="19"/>
      <c r="E325" s="222">
        <v>9.9414E7</v>
      </c>
    </row>
    <row r="326" ht="22.5" customHeight="1">
      <c r="A326" s="128" t="s">
        <v>96</v>
      </c>
      <c r="B326" s="56" t="s">
        <v>51</v>
      </c>
      <c r="C326" s="115">
        <v>1.6514E7</v>
      </c>
      <c r="D326" s="48"/>
      <c r="E326" s="18"/>
    </row>
    <row r="327" ht="22.5" customHeight="1">
      <c r="A327" s="18"/>
      <c r="B327" s="56" t="s">
        <v>53</v>
      </c>
      <c r="C327" s="115">
        <v>5.6531E7</v>
      </c>
      <c r="D327" s="48"/>
      <c r="E327" s="18"/>
    </row>
    <row r="328" ht="22.5" customHeight="1">
      <c r="A328" s="18"/>
      <c r="B328" s="56" t="s">
        <v>55</v>
      </c>
      <c r="C328" s="115">
        <v>2.5859E7</v>
      </c>
      <c r="D328" s="48"/>
      <c r="E328" s="18"/>
    </row>
    <row r="329" ht="22.5" customHeight="1">
      <c r="A329" s="18"/>
      <c r="B329" s="56" t="s">
        <v>57</v>
      </c>
      <c r="C329" s="115">
        <v>1.21E7</v>
      </c>
      <c r="D329" s="48"/>
      <c r="E329" s="18"/>
    </row>
    <row r="330" ht="22.5" customHeight="1">
      <c r="A330" s="18"/>
      <c r="B330" s="237" t="s">
        <v>238</v>
      </c>
      <c r="C330" s="238">
        <v>3.9057E7</v>
      </c>
      <c r="D330" s="48"/>
      <c r="E330" s="18"/>
    </row>
    <row r="331" ht="22.5" customHeight="1">
      <c r="A331" s="22"/>
      <c r="B331" s="239" t="s">
        <v>239</v>
      </c>
      <c r="C331" s="238">
        <v>8.3715E7</v>
      </c>
      <c r="D331" s="48"/>
      <c r="E331" s="18"/>
    </row>
    <row r="332" ht="22.5" customHeight="1">
      <c r="A332" s="240" t="s">
        <v>240</v>
      </c>
      <c r="B332" s="241"/>
      <c r="C332" s="119"/>
      <c r="D332" s="19"/>
      <c r="E332" s="22"/>
    </row>
    <row r="333" ht="22.5" customHeight="1">
      <c r="A333" s="18"/>
      <c r="B333" s="239" t="s">
        <v>239</v>
      </c>
      <c r="C333" s="238">
        <f>286917000-131551900</f>
        <v>155365100</v>
      </c>
      <c r="D333" s="19"/>
      <c r="E333" s="96">
        <f>SUM(C326:C329)</f>
        <v>111004000</v>
      </c>
    </row>
    <row r="334" ht="22.5" customHeight="1">
      <c r="A334" s="22"/>
      <c r="B334" s="124" t="s">
        <v>99</v>
      </c>
      <c r="C334" s="51">
        <f>sum(C332:C333)</f>
        <v>155365100</v>
      </c>
      <c r="D334" s="19"/>
      <c r="E334" s="18"/>
    </row>
    <row r="335" ht="22.5" customHeight="1">
      <c r="A335" s="128" t="s">
        <v>101</v>
      </c>
      <c r="B335" s="56" t="s">
        <v>51</v>
      </c>
      <c r="C335" s="48">
        <v>3.15585E7</v>
      </c>
      <c r="D335" s="115" t="s">
        <v>7</v>
      </c>
      <c r="E335" s="18"/>
    </row>
    <row r="336" ht="22.5" customHeight="1">
      <c r="A336" s="18"/>
      <c r="B336" s="56" t="s">
        <v>53</v>
      </c>
      <c r="C336" s="115">
        <v>2.1532E7</v>
      </c>
      <c r="D336" s="115" t="s">
        <v>7</v>
      </c>
      <c r="E336" s="22"/>
    </row>
    <row r="337" ht="22.5" customHeight="1">
      <c r="A337" s="18"/>
      <c r="B337" s="56" t="s">
        <v>55</v>
      </c>
      <c r="C337" s="115">
        <v>3.8232E7</v>
      </c>
      <c r="D337" s="115">
        <v>-4525000.0</v>
      </c>
      <c r="E337" s="121">
        <f>C330+C331</f>
        <v>122772000</v>
      </c>
      <c r="I337" s="2"/>
    </row>
    <row r="338" ht="22.5" customHeight="1">
      <c r="A338" s="18"/>
      <c r="B338" s="129" t="s">
        <v>241</v>
      </c>
      <c r="C338" s="115">
        <v>3770000.0</v>
      </c>
      <c r="D338" s="48"/>
      <c r="E338" s="22"/>
    </row>
    <row r="339" ht="22.5" customHeight="1">
      <c r="A339" s="18"/>
      <c r="B339" s="237" t="s">
        <v>238</v>
      </c>
      <c r="C339" s="238">
        <v>6.2395E7</v>
      </c>
      <c r="D339" s="115" t="s">
        <v>7</v>
      </c>
      <c r="E339" s="132">
        <f>C332+C333</f>
        <v>155365100</v>
      </c>
    </row>
    <row r="340" ht="22.5" customHeight="1">
      <c r="A340" s="22"/>
      <c r="B340" s="239" t="s">
        <v>239</v>
      </c>
      <c r="C340" s="238">
        <v>8.2345E7</v>
      </c>
      <c r="D340" s="115" t="s">
        <v>7</v>
      </c>
      <c r="E340" s="18"/>
    </row>
    <row r="341" ht="22.5" customHeight="1">
      <c r="A341" s="128" t="s">
        <v>107</v>
      </c>
      <c r="B341" s="56" t="s">
        <v>51</v>
      </c>
      <c r="C341" s="48">
        <v>3.5685E7</v>
      </c>
      <c r="D341" s="115" t="s">
        <v>7</v>
      </c>
      <c r="E341" s="242"/>
    </row>
    <row r="342" ht="22.5" customHeight="1">
      <c r="A342" s="18"/>
      <c r="B342" s="56" t="s">
        <v>53</v>
      </c>
      <c r="C342" s="115">
        <v>3.18945E7</v>
      </c>
      <c r="D342" s="115" t="s">
        <v>7</v>
      </c>
      <c r="E342" s="96">
        <f>C337+C338+D337</f>
        <v>37477000</v>
      </c>
    </row>
    <row r="343" ht="22.5" customHeight="1">
      <c r="A343" s="18"/>
      <c r="B343" s="56" t="s">
        <v>55</v>
      </c>
      <c r="C343" s="115">
        <v>3.95245E7</v>
      </c>
      <c r="D343" s="115" t="s">
        <v>7</v>
      </c>
      <c r="E343" s="18"/>
    </row>
    <row r="344" ht="22.5" customHeight="1">
      <c r="A344" s="18"/>
      <c r="B344" s="56" t="s">
        <v>57</v>
      </c>
      <c r="C344" s="48"/>
      <c r="D344" s="115" t="s">
        <v>7</v>
      </c>
      <c r="E344" s="18"/>
    </row>
    <row r="345" ht="22.5" customHeight="1">
      <c r="A345" s="18"/>
      <c r="B345" s="237" t="s">
        <v>238</v>
      </c>
      <c r="C345" s="238">
        <v>6.187E7</v>
      </c>
      <c r="D345" s="115" t="s">
        <v>7</v>
      </c>
      <c r="E345" s="18"/>
    </row>
    <row r="346" ht="22.5" customHeight="1">
      <c r="A346" s="22"/>
      <c r="B346" s="239" t="s">
        <v>239</v>
      </c>
      <c r="C346" s="238">
        <f>27007500+5700000</f>
        <v>32707500</v>
      </c>
      <c r="D346" s="115" t="s">
        <v>7</v>
      </c>
      <c r="E346" s="243">
        <v>0.0</v>
      </c>
    </row>
    <row r="347" ht="22.5" customHeight="1">
      <c r="A347" s="128" t="s">
        <v>108</v>
      </c>
      <c r="B347" s="56" t="s">
        <v>51</v>
      </c>
      <c r="C347" s="48">
        <v>2.4342E7</v>
      </c>
      <c r="D347" s="48"/>
      <c r="E347" s="22"/>
    </row>
    <row r="348" ht="22.5" customHeight="1">
      <c r="A348" s="18"/>
      <c r="B348" s="56" t="s">
        <v>53</v>
      </c>
      <c r="C348" s="115">
        <v>2.1551E7</v>
      </c>
      <c r="D348" s="48"/>
      <c r="E348" s="111">
        <v>0.0</v>
      </c>
    </row>
    <row r="349" ht="22.5" customHeight="1">
      <c r="A349" s="18"/>
      <c r="B349" s="56" t="s">
        <v>55</v>
      </c>
      <c r="C349" s="115">
        <v>2.261E7</v>
      </c>
      <c r="D349" s="48"/>
      <c r="E349" s="18"/>
      <c r="G349" s="103" t="s">
        <v>108</v>
      </c>
      <c r="H349" s="244" t="s">
        <v>238</v>
      </c>
      <c r="I349" s="238">
        <v>3.75204E7</v>
      </c>
    </row>
    <row r="350" ht="22.5" customHeight="1">
      <c r="A350" s="18"/>
      <c r="B350" s="56" t="s">
        <v>57</v>
      </c>
      <c r="C350" s="115">
        <v>1.0195E7</v>
      </c>
      <c r="D350" s="48"/>
      <c r="E350" s="18"/>
      <c r="G350" s="18"/>
      <c r="H350" s="239" t="s">
        <v>239</v>
      </c>
      <c r="I350" s="238">
        <v>8.4025E7</v>
      </c>
    </row>
    <row r="351" ht="22.5" customHeight="1">
      <c r="A351" s="18"/>
      <c r="B351" s="244" t="s">
        <v>238</v>
      </c>
      <c r="C351" s="238">
        <f>32500000+62284000</f>
        <v>94784000</v>
      </c>
      <c r="D351" s="48"/>
      <c r="E351" s="18"/>
      <c r="G351" s="18"/>
      <c r="H351" s="56" t="s">
        <v>99</v>
      </c>
      <c r="I351" s="122">
        <f>SUM(I349:I350)</f>
        <v>121545400</v>
      </c>
    </row>
    <row r="352" ht="22.5" customHeight="1">
      <c r="A352" s="22"/>
      <c r="B352" s="239" t="s">
        <v>239</v>
      </c>
      <c r="C352" s="238">
        <v>8.4025E7</v>
      </c>
      <c r="D352" s="48"/>
      <c r="E352" s="243">
        <v>0.0</v>
      </c>
      <c r="H352" s="9"/>
      <c r="I352" s="28"/>
    </row>
    <row r="353" ht="22.5" customHeight="1">
      <c r="A353" s="128" t="s">
        <v>110</v>
      </c>
      <c r="B353" s="56" t="s">
        <v>51</v>
      </c>
      <c r="C353" s="119">
        <v>9.69115E7</v>
      </c>
      <c r="D353" s="115" t="s">
        <v>7</v>
      </c>
      <c r="E353" s="22"/>
    </row>
    <row r="354" ht="22.5" customHeight="1">
      <c r="A354" s="18"/>
      <c r="B354" s="56" t="s">
        <v>53</v>
      </c>
      <c r="C354" s="115">
        <v>9.5619E7</v>
      </c>
      <c r="D354" s="115" t="s">
        <v>7</v>
      </c>
      <c r="E354" s="96"/>
    </row>
    <row r="355" ht="22.5" customHeight="1">
      <c r="A355" s="18"/>
      <c r="B355" s="56" t="s">
        <v>55</v>
      </c>
      <c r="C355" s="115">
        <v>7.56175E7</v>
      </c>
      <c r="D355" s="115" t="s">
        <v>7</v>
      </c>
      <c r="E355" s="18"/>
    </row>
    <row r="356" ht="22.5" customHeight="1">
      <c r="A356" s="18"/>
      <c r="B356" s="56" t="s">
        <v>57</v>
      </c>
      <c r="C356" s="115">
        <v>2.648E7</v>
      </c>
      <c r="D356" s="115" t="s">
        <v>7</v>
      </c>
      <c r="E356" s="18"/>
    </row>
    <row r="357" ht="22.5" customHeight="1">
      <c r="A357" s="18"/>
      <c r="B357" s="244" t="s">
        <v>238</v>
      </c>
      <c r="C357" s="238">
        <v>1.3647E8</v>
      </c>
      <c r="D357" s="115">
        <v>-5.5372E7</v>
      </c>
      <c r="E357" s="18"/>
      <c r="F357" s="131">
        <f>C357+D357</f>
        <v>81098000</v>
      </c>
    </row>
    <row r="358" ht="22.5" customHeight="1">
      <c r="A358" s="22"/>
      <c r="B358" s="239" t="s">
        <v>239</v>
      </c>
      <c r="C358" s="238">
        <v>1.18225E8</v>
      </c>
      <c r="D358" s="48"/>
      <c r="E358" s="132"/>
    </row>
    <row r="359" ht="22.5" customHeight="1">
      <c r="A359" s="128" t="s">
        <v>112</v>
      </c>
      <c r="B359" s="56" t="s">
        <v>51</v>
      </c>
      <c r="C359" s="115"/>
      <c r="D359" s="48"/>
      <c r="E359" s="22"/>
    </row>
    <row r="360" ht="22.5" customHeight="1">
      <c r="A360" s="18"/>
      <c r="B360" s="56" t="s">
        <v>53</v>
      </c>
      <c r="C360" s="115">
        <v>5.7651E7</v>
      </c>
      <c r="D360" s="115" t="s">
        <v>7</v>
      </c>
      <c r="E360" s="111">
        <v>0.0</v>
      </c>
    </row>
    <row r="361" ht="22.5" customHeight="1">
      <c r="A361" s="18"/>
      <c r="B361" s="56" t="s">
        <v>55</v>
      </c>
      <c r="C361" s="115">
        <v>3.3955E7</v>
      </c>
      <c r="D361" s="115" t="s">
        <v>7</v>
      </c>
      <c r="E361" s="18"/>
    </row>
    <row r="362" ht="22.5" customHeight="1">
      <c r="A362" s="18"/>
      <c r="B362" s="56" t="s">
        <v>57</v>
      </c>
      <c r="C362" s="115">
        <v>5925000.0</v>
      </c>
      <c r="D362" s="115" t="s">
        <v>7</v>
      </c>
      <c r="E362" s="18"/>
    </row>
    <row r="363" ht="22.5" customHeight="1">
      <c r="A363" s="18"/>
      <c r="B363" s="244" t="s">
        <v>242</v>
      </c>
      <c r="C363" s="238">
        <v>1.1704E8</v>
      </c>
      <c r="D363" s="115"/>
      <c r="E363" s="18"/>
    </row>
    <row r="364" ht="22.5" customHeight="1">
      <c r="A364" s="18"/>
      <c r="B364" s="244" t="s">
        <v>238</v>
      </c>
      <c r="C364" s="238">
        <v>1.494E8</v>
      </c>
      <c r="D364" s="115" t="s">
        <v>7</v>
      </c>
      <c r="E364" s="132">
        <f>C357+C358+D357</f>
        <v>199323000</v>
      </c>
    </row>
    <row r="365" ht="22.5" customHeight="1">
      <c r="A365" s="22"/>
      <c r="B365" s="239" t="s">
        <v>239</v>
      </c>
      <c r="C365" s="238">
        <v>9.7084E7</v>
      </c>
      <c r="D365" s="115" t="s">
        <v>7</v>
      </c>
      <c r="E365" s="22"/>
    </row>
    <row r="366" ht="22.5" customHeight="1">
      <c r="A366" s="128" t="s">
        <v>115</v>
      </c>
      <c r="B366" s="56" t="s">
        <v>51</v>
      </c>
      <c r="C366" s="101">
        <v>0.0</v>
      </c>
      <c r="D366" s="48"/>
      <c r="E366" s="111">
        <v>0.0</v>
      </c>
    </row>
    <row r="367" ht="22.5" customHeight="1">
      <c r="A367" s="18"/>
      <c r="B367" s="56" t="s">
        <v>53</v>
      </c>
      <c r="C367" s="115">
        <v>2.9833E7</v>
      </c>
      <c r="D367" s="115" t="s">
        <v>7</v>
      </c>
      <c r="E367" s="18"/>
    </row>
    <row r="368" ht="22.5" customHeight="1">
      <c r="A368" s="18"/>
      <c r="B368" s="56" t="s">
        <v>55</v>
      </c>
      <c r="C368" s="115">
        <v>2.5715E7</v>
      </c>
      <c r="D368" s="48"/>
      <c r="E368" s="18"/>
    </row>
    <row r="369" ht="22.5" customHeight="1">
      <c r="A369" s="18"/>
      <c r="B369" s="56" t="s">
        <v>57</v>
      </c>
      <c r="C369" s="115">
        <v>2.5865E7</v>
      </c>
      <c r="D369" s="48"/>
      <c r="E369" s="22"/>
      <c r="J369" s="20"/>
    </row>
    <row r="370" ht="22.5" customHeight="1">
      <c r="A370" s="18"/>
      <c r="B370" s="129" t="s">
        <v>243</v>
      </c>
      <c r="C370" s="115">
        <v>2.947E7</v>
      </c>
      <c r="D370" s="48"/>
      <c r="E370" s="132">
        <f>C363</f>
        <v>117040000</v>
      </c>
      <c r="J370" s="20"/>
    </row>
    <row r="371" ht="22.5" customHeight="1">
      <c r="A371" s="18"/>
      <c r="B371" s="244" t="s">
        <v>238</v>
      </c>
      <c r="C371" s="238">
        <v>6.4469E7</v>
      </c>
      <c r="D371" s="48"/>
      <c r="E371" s="136">
        <v>0.0</v>
      </c>
      <c r="J371" s="20"/>
    </row>
    <row r="372" ht="22.5" customHeight="1">
      <c r="A372" s="22"/>
      <c r="B372" s="239" t="s">
        <v>239</v>
      </c>
      <c r="C372" s="238">
        <v>4.4055E7</v>
      </c>
      <c r="D372" s="48"/>
      <c r="E372" s="22"/>
      <c r="J372" s="20"/>
    </row>
    <row r="373" ht="22.5" customHeight="1">
      <c r="A373" s="128" t="s">
        <v>116</v>
      </c>
      <c r="B373" s="56" t="s">
        <v>51</v>
      </c>
      <c r="C373" s="115">
        <v>3.48315E7</v>
      </c>
      <c r="D373" s="115" t="s">
        <v>7</v>
      </c>
      <c r="E373" s="96">
        <f>C368+C369+C370</f>
        <v>81050000</v>
      </c>
      <c r="J373" s="20"/>
    </row>
    <row r="374" ht="22.5" customHeight="1">
      <c r="A374" s="18"/>
      <c r="B374" s="56" t="s">
        <v>53</v>
      </c>
      <c r="C374" s="115">
        <v>4.0518E7</v>
      </c>
      <c r="D374" s="115" t="s">
        <v>7</v>
      </c>
      <c r="E374" s="18"/>
    </row>
    <row r="375" ht="22.5" customHeight="1">
      <c r="A375" s="18"/>
      <c r="B375" s="56" t="s">
        <v>55</v>
      </c>
      <c r="C375" s="115">
        <v>7.2181E7</v>
      </c>
      <c r="D375" s="115" t="s">
        <v>7</v>
      </c>
      <c r="E375" s="18"/>
      <c r="F375" s="245"/>
    </row>
    <row r="376" ht="22.5" customHeight="1">
      <c r="A376" s="18"/>
      <c r="B376" s="56" t="s">
        <v>57</v>
      </c>
      <c r="C376" s="115">
        <v>3370000.0</v>
      </c>
      <c r="D376" s="48"/>
      <c r="E376" s="18"/>
      <c r="J376" s="20"/>
    </row>
    <row r="377" ht="22.5" customHeight="1">
      <c r="A377" s="18"/>
      <c r="B377" s="244" t="s">
        <v>238</v>
      </c>
      <c r="C377" s="238">
        <v>1.05046E8</v>
      </c>
      <c r="D377" s="115" t="s">
        <v>7</v>
      </c>
      <c r="E377" s="22"/>
      <c r="J377" s="20"/>
    </row>
    <row r="378" ht="22.5" customHeight="1">
      <c r="A378" s="22"/>
      <c r="B378" s="239" t="s">
        <v>239</v>
      </c>
      <c r="C378" s="238">
        <v>6.0408E7</v>
      </c>
      <c r="D378" s="48"/>
      <c r="E378" s="121">
        <f>C371+C372</f>
        <v>108524000</v>
      </c>
      <c r="J378" s="20"/>
    </row>
    <row r="379" ht="22.5" customHeight="1">
      <c r="A379" s="128" t="s">
        <v>117</v>
      </c>
      <c r="B379" s="56" t="s">
        <v>51</v>
      </c>
      <c r="C379" s="115">
        <v>2.665E7</v>
      </c>
      <c r="D379" s="115" t="s">
        <v>7</v>
      </c>
      <c r="E379" s="22"/>
    </row>
    <row r="380" ht="22.5" customHeight="1">
      <c r="A380" s="18"/>
      <c r="B380" s="56" t="s">
        <v>53</v>
      </c>
      <c r="C380" s="115">
        <v>2.30965E7</v>
      </c>
      <c r="D380" s="115" t="s">
        <v>7</v>
      </c>
      <c r="E380" s="96">
        <f>C376</f>
        <v>3370000</v>
      </c>
    </row>
    <row r="381" ht="22.5" customHeight="1">
      <c r="A381" s="18"/>
      <c r="B381" s="56" t="s">
        <v>55</v>
      </c>
      <c r="C381" s="115">
        <v>2.0825E7</v>
      </c>
      <c r="D381" s="115" t="s">
        <v>7</v>
      </c>
      <c r="E381" s="18"/>
    </row>
    <row r="382" ht="22.5" customHeight="1">
      <c r="A382" s="18"/>
      <c r="B382" s="56" t="s">
        <v>57</v>
      </c>
      <c r="C382" s="115"/>
      <c r="D382" s="48"/>
      <c r="E382" s="18"/>
    </row>
    <row r="383" ht="22.5" customHeight="1">
      <c r="A383" s="22"/>
      <c r="B383" s="244" t="s">
        <v>238</v>
      </c>
      <c r="C383" s="238">
        <v>7.6121E7</v>
      </c>
      <c r="D383" s="115" t="s">
        <v>7</v>
      </c>
      <c r="E383" s="18"/>
    </row>
    <row r="384" ht="22.5" customHeight="1">
      <c r="A384" s="246"/>
      <c r="B384" s="239" t="s">
        <v>239</v>
      </c>
      <c r="C384" s="238">
        <v>7.6845E7</v>
      </c>
      <c r="D384" s="48"/>
      <c r="E384" s="132">
        <f>C378</f>
        <v>60408000</v>
      </c>
    </row>
    <row r="385" ht="22.5" customHeight="1">
      <c r="A385" s="128" t="s">
        <v>118</v>
      </c>
      <c r="B385" s="56" t="s">
        <v>51</v>
      </c>
      <c r="C385" s="115">
        <v>4.1165E7</v>
      </c>
      <c r="D385" s="115" t="s">
        <v>7</v>
      </c>
      <c r="E385" s="22"/>
      <c r="J385" s="20"/>
    </row>
    <row r="386" ht="22.5" customHeight="1">
      <c r="A386" s="18"/>
      <c r="B386" s="56" t="s">
        <v>53</v>
      </c>
      <c r="C386" s="115">
        <v>4.7215E7</v>
      </c>
      <c r="D386" s="115" t="s">
        <v>7</v>
      </c>
      <c r="E386" s="111">
        <v>0.0</v>
      </c>
      <c r="J386" s="20"/>
    </row>
    <row r="387" ht="22.5" customHeight="1">
      <c r="A387" s="18"/>
      <c r="B387" s="56" t="s">
        <v>55</v>
      </c>
      <c r="C387" s="115">
        <v>4.6684E7</v>
      </c>
      <c r="D387" s="115" t="s">
        <v>7</v>
      </c>
      <c r="E387" s="18"/>
    </row>
    <row r="388" ht="22.5" customHeight="1">
      <c r="A388" s="18"/>
      <c r="B388" s="56" t="s">
        <v>57</v>
      </c>
      <c r="C388" s="115">
        <v>6.20035E7</v>
      </c>
      <c r="D388" s="115" t="s">
        <v>7</v>
      </c>
      <c r="E388" s="18"/>
    </row>
    <row r="389" ht="22.5" customHeight="1">
      <c r="A389" s="18"/>
      <c r="B389" s="244" t="s">
        <v>238</v>
      </c>
      <c r="C389" s="238">
        <f>74695000</f>
        <v>74695000</v>
      </c>
      <c r="D389" s="115" t="s">
        <v>7</v>
      </c>
      <c r="E389" s="18"/>
    </row>
    <row r="390" ht="22.5" customHeight="1">
      <c r="A390" s="22"/>
      <c r="B390" s="244" t="s">
        <v>239</v>
      </c>
      <c r="C390" s="238">
        <f>3500000+97293000</f>
        <v>100793000</v>
      </c>
      <c r="D390" s="115" t="s">
        <v>7</v>
      </c>
      <c r="E390" s="132">
        <f>C384</f>
        <v>76845000</v>
      </c>
    </row>
    <row r="391" ht="22.5" customHeight="1">
      <c r="A391" s="128" t="s">
        <v>119</v>
      </c>
      <c r="B391" s="56" t="s">
        <v>51</v>
      </c>
      <c r="C391" s="115">
        <v>3.63245E7</v>
      </c>
      <c r="D391" s="115" t="s">
        <v>7</v>
      </c>
      <c r="E391" s="22"/>
    </row>
    <row r="392" ht="22.5" customHeight="1">
      <c r="A392" s="18"/>
      <c r="B392" s="56" t="s">
        <v>53</v>
      </c>
      <c r="C392" s="115">
        <v>3.36095E7</v>
      </c>
      <c r="D392" s="115" t="s">
        <v>7</v>
      </c>
      <c r="E392" s="111">
        <v>0.0</v>
      </c>
    </row>
    <row r="393" ht="22.5" customHeight="1">
      <c r="A393" s="18"/>
      <c r="B393" s="56" t="s">
        <v>55</v>
      </c>
      <c r="C393" s="115">
        <v>2.64825E7</v>
      </c>
      <c r="D393" s="115" t="s">
        <v>7</v>
      </c>
      <c r="E393" s="18"/>
    </row>
    <row r="394" ht="22.5" customHeight="1">
      <c r="A394" s="18"/>
      <c r="B394" s="56" t="s">
        <v>57</v>
      </c>
      <c r="C394" s="115">
        <v>1.2235E7</v>
      </c>
      <c r="D394" s="115" t="s">
        <v>7</v>
      </c>
      <c r="E394" s="18"/>
    </row>
    <row r="395" ht="22.5" customHeight="1">
      <c r="A395" s="18"/>
      <c r="B395" s="244" t="s">
        <v>244</v>
      </c>
      <c r="C395" s="238">
        <f>19500000+24494000</f>
        <v>43994000</v>
      </c>
      <c r="D395" s="115" t="s">
        <v>7</v>
      </c>
      <c r="E395" s="18"/>
    </row>
    <row r="396" ht="22.5" customHeight="1">
      <c r="A396" s="22"/>
      <c r="B396" s="244" t="s">
        <v>239</v>
      </c>
      <c r="C396" s="238">
        <v>4.611E7</v>
      </c>
      <c r="D396" s="115" t="s">
        <v>7</v>
      </c>
      <c r="E396" s="243">
        <v>0.0</v>
      </c>
    </row>
    <row r="397" ht="22.5" customHeight="1">
      <c r="A397" s="128" t="s">
        <v>120</v>
      </c>
      <c r="B397" s="56" t="s">
        <v>51</v>
      </c>
      <c r="C397" s="115">
        <v>5.7528E7</v>
      </c>
      <c r="D397" s="115" t="s">
        <v>7</v>
      </c>
      <c r="E397" s="22"/>
    </row>
    <row r="398" ht="22.5" customHeight="1">
      <c r="A398" s="18"/>
      <c r="B398" s="56" t="s">
        <v>53</v>
      </c>
      <c r="C398" s="119">
        <v>6.786E7</v>
      </c>
      <c r="D398" s="115" t="s">
        <v>7</v>
      </c>
      <c r="E398" s="111">
        <v>0.0</v>
      </c>
    </row>
    <row r="399" ht="22.5" customHeight="1">
      <c r="A399" s="18"/>
      <c r="B399" s="56" t="s">
        <v>55</v>
      </c>
      <c r="C399" s="115">
        <v>5.154E7</v>
      </c>
      <c r="D399" s="115" t="s">
        <v>7</v>
      </c>
      <c r="E399" s="18"/>
    </row>
    <row r="400" ht="22.5" customHeight="1">
      <c r="A400" s="18"/>
      <c r="B400" s="56" t="s">
        <v>57</v>
      </c>
      <c r="C400" s="115">
        <v>5175000.0</v>
      </c>
      <c r="D400" s="115" t="s">
        <v>7</v>
      </c>
      <c r="E400" s="18"/>
    </row>
    <row r="401" ht="22.5" customHeight="1">
      <c r="A401" s="18"/>
      <c r="B401" s="244" t="s">
        <v>238</v>
      </c>
      <c r="C401" s="238">
        <v>1.39743E8</v>
      </c>
      <c r="D401" s="115" t="s">
        <v>7</v>
      </c>
      <c r="E401" s="22"/>
    </row>
    <row r="402" ht="22.5" customHeight="1">
      <c r="A402" s="18"/>
      <c r="B402" s="244" t="s">
        <v>239</v>
      </c>
      <c r="C402" s="238">
        <v>6.6165E7</v>
      </c>
      <c r="D402" s="115" t="s">
        <v>7</v>
      </c>
      <c r="E402" s="243">
        <v>0.0</v>
      </c>
    </row>
    <row r="403" ht="22.5" customHeight="1">
      <c r="A403" s="22"/>
      <c r="B403" s="244" t="s">
        <v>224</v>
      </c>
      <c r="C403" s="238">
        <v>3.893E7</v>
      </c>
      <c r="D403" s="115" t="s">
        <v>7</v>
      </c>
      <c r="E403" s="22"/>
    </row>
    <row r="404" ht="22.5" customHeight="1">
      <c r="A404" s="128" t="s">
        <v>121</v>
      </c>
      <c r="B404" s="56" t="s">
        <v>51</v>
      </c>
      <c r="C404" s="115">
        <v>3.7602E7</v>
      </c>
      <c r="D404" s="48"/>
      <c r="E404" s="111">
        <v>0.0</v>
      </c>
    </row>
    <row r="405" ht="22.5" customHeight="1">
      <c r="A405" s="18"/>
      <c r="B405" s="56" t="s">
        <v>53</v>
      </c>
      <c r="C405" s="247">
        <v>2.34295E7</v>
      </c>
      <c r="D405" s="48"/>
      <c r="E405" s="18"/>
    </row>
    <row r="406" ht="22.5" customHeight="1">
      <c r="A406" s="18"/>
      <c r="B406" s="56" t="s">
        <v>55</v>
      </c>
      <c r="C406" s="115">
        <v>3.78765E7</v>
      </c>
      <c r="D406" s="48"/>
      <c r="E406" s="18"/>
    </row>
    <row r="407" ht="22.5" customHeight="1">
      <c r="A407" s="18"/>
      <c r="B407" s="56" t="s">
        <v>57</v>
      </c>
      <c r="C407" s="115">
        <v>767000.0</v>
      </c>
      <c r="D407" s="48"/>
      <c r="E407" s="18"/>
    </row>
    <row r="408" ht="22.5" customHeight="1">
      <c r="A408" s="18"/>
      <c r="B408" s="129" t="s">
        <v>243</v>
      </c>
      <c r="C408" s="115">
        <v>1.4315E7</v>
      </c>
      <c r="D408" s="48"/>
      <c r="E408" s="243">
        <v>0.0</v>
      </c>
      <c r="G408" s="134">
        <v>200210.0</v>
      </c>
    </row>
    <row r="409" ht="22.5" customHeight="1">
      <c r="A409" s="18"/>
      <c r="B409" s="244" t="s">
        <v>238</v>
      </c>
      <c r="C409" s="238">
        <v>1.0043E8</v>
      </c>
      <c r="D409" s="48"/>
      <c r="E409" s="18"/>
      <c r="G409" s="134">
        <v>-50000.0</v>
      </c>
    </row>
    <row r="410" ht="22.5" customHeight="1">
      <c r="A410" s="22"/>
      <c r="B410" s="244" t="s">
        <v>239</v>
      </c>
      <c r="C410" s="238">
        <v>4.6126E7</v>
      </c>
      <c r="D410" s="48"/>
      <c r="E410" s="22"/>
      <c r="G410" s="134">
        <v>8814.0</v>
      </c>
    </row>
    <row r="411" ht="22.5" customHeight="1">
      <c r="A411" s="128" t="s">
        <v>122</v>
      </c>
      <c r="B411" s="56" t="s">
        <v>51</v>
      </c>
      <c r="C411" s="115">
        <v>5.4724E7</v>
      </c>
      <c r="D411" s="48"/>
      <c r="E411" s="96">
        <f>SUM(C404:C408)</f>
        <v>113990000</v>
      </c>
      <c r="G411" s="134">
        <v>63904.0</v>
      </c>
    </row>
    <row r="412" ht="22.5" customHeight="1">
      <c r="A412" s="18"/>
      <c r="B412" s="56" t="s">
        <v>53</v>
      </c>
      <c r="C412" s="119">
        <v>1.118785E8</v>
      </c>
      <c r="D412" s="48"/>
      <c r="E412" s="18"/>
    </row>
    <row r="413" ht="22.5" customHeight="1">
      <c r="A413" s="18"/>
      <c r="B413" s="56" t="s">
        <v>55</v>
      </c>
      <c r="C413" s="119">
        <v>6.95055E7</v>
      </c>
      <c r="D413" s="48"/>
      <c r="E413" s="18"/>
    </row>
    <row r="414" ht="22.5" customHeight="1">
      <c r="A414" s="18"/>
      <c r="B414" s="56" t="s">
        <v>57</v>
      </c>
      <c r="C414" s="115">
        <v>2.7803E7</v>
      </c>
      <c r="D414" s="48"/>
      <c r="E414" s="18"/>
    </row>
    <row r="415" ht="22.5" customHeight="1">
      <c r="A415" s="18"/>
      <c r="B415" s="244" t="s">
        <v>238</v>
      </c>
      <c r="C415" s="238">
        <v>7.8E7</v>
      </c>
      <c r="D415" s="48"/>
      <c r="E415" s="18"/>
    </row>
    <row r="416" ht="22.5" customHeight="1">
      <c r="A416" s="22"/>
      <c r="B416" s="244" t="s">
        <v>239</v>
      </c>
      <c r="C416" s="238">
        <v>9.1517E7</v>
      </c>
      <c r="D416" s="48"/>
      <c r="E416" s="132">
        <f>C409+C410</f>
        <v>146556000</v>
      </c>
    </row>
    <row r="417" ht="22.5" customHeight="1">
      <c r="A417" s="128" t="s">
        <v>123</v>
      </c>
      <c r="B417" s="56" t="s">
        <v>51</v>
      </c>
      <c r="C417" s="115">
        <v>1.6136E7</v>
      </c>
      <c r="D417" s="115" t="s">
        <v>7</v>
      </c>
      <c r="E417" s="22"/>
      <c r="J417" s="127">
        <f>I417+I418+I419+I420</f>
        <v>0</v>
      </c>
    </row>
    <row r="418" ht="22.5" customHeight="1">
      <c r="A418" s="18"/>
      <c r="B418" s="56" t="s">
        <v>53</v>
      </c>
      <c r="C418" s="115">
        <v>1.35295E7</v>
      </c>
      <c r="D418" s="115" t="s">
        <v>7</v>
      </c>
      <c r="E418" s="96">
        <f>C411+C412+C413+C414</f>
        <v>263911000</v>
      </c>
    </row>
    <row r="419" ht="22.5" customHeight="1">
      <c r="A419" s="18"/>
      <c r="B419" s="56" t="s">
        <v>55</v>
      </c>
      <c r="C419" s="115">
        <v>1.5215E7</v>
      </c>
      <c r="D419" s="115" t="s">
        <v>7</v>
      </c>
      <c r="E419" s="18"/>
    </row>
    <row r="420" ht="22.5" customHeight="1">
      <c r="A420" s="18"/>
      <c r="B420" s="56" t="s">
        <v>57</v>
      </c>
      <c r="C420" s="115">
        <v>8450000.0</v>
      </c>
      <c r="D420" s="115" t="s">
        <v>7</v>
      </c>
      <c r="E420" s="18"/>
    </row>
    <row r="421" ht="22.5" customHeight="1">
      <c r="A421" s="18"/>
      <c r="B421" s="244" t="s">
        <v>238</v>
      </c>
      <c r="C421" s="238">
        <v>4.8911E7</v>
      </c>
      <c r="D421" s="115" t="s">
        <v>7</v>
      </c>
      <c r="E421" s="18"/>
      <c r="G421" s="223" t="s">
        <v>124</v>
      </c>
      <c r="H421" s="129" t="s">
        <v>245</v>
      </c>
      <c r="I421" s="115">
        <v>2.5431E7</v>
      </c>
    </row>
    <row r="422" ht="22.5" customHeight="1">
      <c r="A422" s="22"/>
      <c r="B422" s="244" t="s">
        <v>239</v>
      </c>
      <c r="C422" s="238">
        <v>4.5475E7</v>
      </c>
      <c r="D422" s="48"/>
      <c r="E422" s="132">
        <f>C415+C416</f>
        <v>169517000</v>
      </c>
      <c r="G422" s="18"/>
      <c r="H422" s="129" t="s">
        <v>246</v>
      </c>
      <c r="I422" s="115">
        <v>1.9005E7</v>
      </c>
    </row>
    <row r="423" ht="22.5" customHeight="1">
      <c r="A423" s="128" t="s">
        <v>124</v>
      </c>
      <c r="B423" s="56" t="s">
        <v>51</v>
      </c>
      <c r="C423" s="115">
        <v>2.5431E7</v>
      </c>
      <c r="D423" s="115" t="s">
        <v>7</v>
      </c>
      <c r="E423" s="22"/>
      <c r="G423" s="18"/>
      <c r="H423" s="129" t="s">
        <v>247</v>
      </c>
      <c r="I423" s="115">
        <v>1.9526E7</v>
      </c>
      <c r="J423" s="20"/>
    </row>
    <row r="424" ht="22.5" customHeight="1">
      <c r="A424" s="18"/>
      <c r="B424" s="56" t="s">
        <v>53</v>
      </c>
      <c r="C424" s="115">
        <v>1.9005E7</v>
      </c>
      <c r="D424" s="115" t="s">
        <v>7</v>
      </c>
      <c r="E424" s="111">
        <v>0.0</v>
      </c>
      <c r="G424" s="18"/>
      <c r="H424" s="129" t="s">
        <v>248</v>
      </c>
      <c r="I424" s="115">
        <v>2420000.0</v>
      </c>
    </row>
    <row r="425" ht="22.5" customHeight="1">
      <c r="A425" s="18"/>
      <c r="B425" s="56" t="s">
        <v>55</v>
      </c>
      <c r="C425" s="115">
        <v>1.9526E7</v>
      </c>
      <c r="D425" s="115" t="s">
        <v>7</v>
      </c>
      <c r="E425" s="18"/>
      <c r="G425" s="18"/>
      <c r="H425" s="244" t="s">
        <v>238</v>
      </c>
      <c r="I425" s="238">
        <v>8.2945E7</v>
      </c>
    </row>
    <row r="426" ht="22.5" customHeight="1">
      <c r="A426" s="18"/>
      <c r="B426" s="56" t="s">
        <v>57</v>
      </c>
      <c r="C426" s="115">
        <v>2420000.0</v>
      </c>
      <c r="D426" s="115" t="s">
        <v>7</v>
      </c>
      <c r="E426" s="18"/>
      <c r="F426" s="20"/>
      <c r="G426" s="18"/>
      <c r="H426" s="244" t="s">
        <v>239</v>
      </c>
      <c r="I426" s="238">
        <v>9.993E7</v>
      </c>
    </row>
    <row r="427" ht="22.5" customHeight="1">
      <c r="A427" s="18"/>
      <c r="B427" s="129" t="s">
        <v>249</v>
      </c>
      <c r="C427" s="115">
        <v>783000.0</v>
      </c>
      <c r="D427" s="48"/>
      <c r="E427" s="18"/>
      <c r="G427" s="18"/>
      <c r="H427" s="56" t="s">
        <v>99</v>
      </c>
      <c r="I427" s="122">
        <f>sum(I421:I426)</f>
        <v>249257000</v>
      </c>
    </row>
    <row r="428" ht="22.5" customHeight="1">
      <c r="A428" s="18"/>
      <c r="B428" s="244" t="s">
        <v>238</v>
      </c>
      <c r="C428" s="238">
        <v>8.2945E7</v>
      </c>
      <c r="D428" s="115" t="s">
        <v>7</v>
      </c>
      <c r="E428" s="132">
        <f>C422</f>
        <v>45475000</v>
      </c>
      <c r="G428" s="22"/>
    </row>
    <row r="429" ht="22.5" customHeight="1">
      <c r="A429" s="22"/>
      <c r="B429" s="244" t="s">
        <v>239</v>
      </c>
      <c r="C429" s="238">
        <v>9.993E7</v>
      </c>
      <c r="D429" s="115" t="s">
        <v>7</v>
      </c>
      <c r="E429" s="22"/>
    </row>
    <row r="430" ht="22.5" customHeight="1">
      <c r="A430" s="128" t="s">
        <v>126</v>
      </c>
      <c r="B430" s="56" t="s">
        <v>51</v>
      </c>
      <c r="C430" s="115">
        <v>3.5153E7</v>
      </c>
      <c r="D430" s="115" t="s">
        <v>7</v>
      </c>
      <c r="E430" s="96">
        <f>C427</f>
        <v>783000</v>
      </c>
    </row>
    <row r="431" ht="22.5" customHeight="1">
      <c r="A431" s="18"/>
      <c r="B431" s="56" t="s">
        <v>53</v>
      </c>
      <c r="C431" s="115">
        <v>3.5932E7</v>
      </c>
      <c r="D431" s="115" t="s">
        <v>7</v>
      </c>
      <c r="E431" s="18"/>
    </row>
    <row r="432" ht="22.5" customHeight="1">
      <c r="A432" s="18"/>
      <c r="B432" s="56" t="s">
        <v>55</v>
      </c>
      <c r="C432" s="115">
        <v>6.42215E7</v>
      </c>
      <c r="D432" s="115" t="s">
        <v>7</v>
      </c>
      <c r="E432" s="18"/>
    </row>
    <row r="433" ht="22.5" customHeight="1">
      <c r="A433" s="18"/>
      <c r="B433" s="56" t="s">
        <v>57</v>
      </c>
      <c r="C433" s="115">
        <v>8765000.0</v>
      </c>
      <c r="D433" s="115" t="s">
        <v>7</v>
      </c>
      <c r="E433" s="18"/>
    </row>
    <row r="434" ht="22.5" customHeight="1">
      <c r="A434" s="22"/>
      <c r="B434" s="244" t="s">
        <v>238</v>
      </c>
      <c r="C434" s="238">
        <v>6.6525E7</v>
      </c>
      <c r="D434" s="115" t="s">
        <v>7</v>
      </c>
      <c r="E434" s="18"/>
      <c r="J434" s="127">
        <f>I430+I431+I432+I433</f>
        <v>0</v>
      </c>
    </row>
    <row r="435" ht="22.5" customHeight="1">
      <c r="A435" s="246"/>
      <c r="B435" s="244" t="s">
        <v>239</v>
      </c>
      <c r="C435" s="238">
        <v>1.39795E8</v>
      </c>
      <c r="D435" s="115" t="s">
        <v>7</v>
      </c>
      <c r="E435" s="243">
        <v>0.0</v>
      </c>
    </row>
    <row r="436" ht="22.5" customHeight="1">
      <c r="A436" s="128" t="s">
        <v>127</v>
      </c>
      <c r="B436" s="56" t="s">
        <v>51</v>
      </c>
      <c r="C436" s="115">
        <v>1.37965E7</v>
      </c>
      <c r="D436" s="115" t="s">
        <v>7</v>
      </c>
      <c r="E436" s="22"/>
    </row>
    <row r="437" ht="22.5" customHeight="1">
      <c r="A437" s="18"/>
      <c r="B437" s="56" t="s">
        <v>53</v>
      </c>
      <c r="C437" s="119">
        <v>2.9151E7</v>
      </c>
      <c r="D437" s="115" t="s">
        <v>7</v>
      </c>
      <c r="E437" s="111">
        <v>0.0</v>
      </c>
    </row>
    <row r="438" ht="22.5" customHeight="1">
      <c r="A438" s="18"/>
      <c r="B438" s="56" t="s">
        <v>55</v>
      </c>
      <c r="C438" s="115">
        <v>2.7329E7</v>
      </c>
      <c r="D438" s="115" t="s">
        <v>7</v>
      </c>
      <c r="E438" s="18"/>
      <c r="J438" s="20"/>
    </row>
    <row r="439" ht="22.5" customHeight="1">
      <c r="A439" s="18"/>
      <c r="B439" s="56" t="s">
        <v>57</v>
      </c>
      <c r="C439" s="119">
        <v>0.0</v>
      </c>
      <c r="D439" s="115" t="s">
        <v>7</v>
      </c>
      <c r="E439" s="18"/>
    </row>
    <row r="440" ht="22.5" customHeight="1">
      <c r="A440" s="18"/>
      <c r="B440" s="244" t="s">
        <v>238</v>
      </c>
      <c r="C440" s="238">
        <v>7.5745E7</v>
      </c>
      <c r="D440" s="115" t="s">
        <v>7</v>
      </c>
      <c r="E440" s="18"/>
    </row>
    <row r="441" ht="22.5" customHeight="1">
      <c r="A441" s="22"/>
      <c r="B441" s="244" t="s">
        <v>239</v>
      </c>
      <c r="C441" s="238">
        <v>1.6375E7</v>
      </c>
      <c r="D441" s="115" t="s">
        <v>7</v>
      </c>
      <c r="E441" s="243">
        <v>0.0</v>
      </c>
      <c r="G441" s="223" t="s">
        <v>128</v>
      </c>
      <c r="H441" s="129" t="s">
        <v>245</v>
      </c>
      <c r="I441" s="115">
        <v>7608500.0</v>
      </c>
    </row>
    <row r="442" ht="22.5" customHeight="1">
      <c r="A442" s="128" t="s">
        <v>128</v>
      </c>
      <c r="B442" s="56" t="s">
        <v>51</v>
      </c>
      <c r="C442" s="115">
        <v>7608500.0</v>
      </c>
      <c r="D442" s="48"/>
      <c r="E442" s="22"/>
      <c r="G442" s="18"/>
      <c r="H442" s="129" t="s">
        <v>250</v>
      </c>
      <c r="I442" s="119">
        <v>1.56115E7</v>
      </c>
    </row>
    <row r="443" ht="22.5" customHeight="1">
      <c r="A443" s="18"/>
      <c r="B443" s="56" t="s">
        <v>53</v>
      </c>
      <c r="C443" s="119">
        <v>1.56115E7</v>
      </c>
      <c r="D443" s="48"/>
      <c r="E443" s="111">
        <v>0.0</v>
      </c>
      <c r="G443" s="18"/>
      <c r="H443" s="129" t="s">
        <v>247</v>
      </c>
      <c r="I443" s="115">
        <v>1.9376E7</v>
      </c>
    </row>
    <row r="444" ht="22.5" customHeight="1">
      <c r="A444" s="18"/>
      <c r="B444" s="56" t="s">
        <v>55</v>
      </c>
      <c r="C444" s="115">
        <v>1.9376E7</v>
      </c>
      <c r="D444" s="48"/>
      <c r="E444" s="18"/>
      <c r="G444" s="18"/>
      <c r="H444" s="129" t="s">
        <v>248</v>
      </c>
      <c r="I444" s="115">
        <v>1.483E7</v>
      </c>
    </row>
    <row r="445" ht="22.5" customHeight="1">
      <c r="A445" s="18"/>
      <c r="B445" s="56" t="s">
        <v>57</v>
      </c>
      <c r="C445" s="115">
        <v>1.483E7</v>
      </c>
      <c r="D445" s="48"/>
      <c r="E445" s="18"/>
      <c r="G445" s="18"/>
      <c r="H445" s="244" t="s">
        <v>244</v>
      </c>
      <c r="I445" s="238">
        <v>6.7387E7</v>
      </c>
    </row>
    <row r="446" ht="22.5" customHeight="1">
      <c r="A446" s="18"/>
      <c r="B446" s="244" t="s">
        <v>238</v>
      </c>
      <c r="C446" s="238">
        <f>32500000+34887000</f>
        <v>67387000</v>
      </c>
      <c r="D446" s="48"/>
      <c r="E446" s="18"/>
      <c r="G446" s="18"/>
      <c r="H446" s="244" t="s">
        <v>239</v>
      </c>
      <c r="I446" s="238">
        <v>7.0628E7</v>
      </c>
    </row>
    <row r="447" ht="22.5" customHeight="1">
      <c r="A447" s="22"/>
      <c r="B447" s="244" t="s">
        <v>239</v>
      </c>
      <c r="C447" s="238">
        <v>7.0628E7</v>
      </c>
      <c r="D447" s="48"/>
      <c r="E447" s="243">
        <v>0.0</v>
      </c>
      <c r="G447" s="22"/>
      <c r="H447" s="80" t="s">
        <v>99</v>
      </c>
      <c r="I447" s="122">
        <f>SUM(I441:I446)</f>
        <v>195441000</v>
      </c>
    </row>
    <row r="448" ht="22.5" customHeight="1">
      <c r="A448" s="128" t="s">
        <v>129</v>
      </c>
      <c r="B448" s="56" t="s">
        <v>51</v>
      </c>
      <c r="C448" s="115">
        <v>3.1144E7</v>
      </c>
      <c r="D448" s="115" t="s">
        <v>7</v>
      </c>
      <c r="E448" s="22"/>
    </row>
    <row r="449" ht="22.5" customHeight="1">
      <c r="A449" s="18"/>
      <c r="B449" s="56" t="s">
        <v>53</v>
      </c>
      <c r="C449" s="119">
        <v>4.633E7</v>
      </c>
      <c r="D449" s="115" t="s">
        <v>7</v>
      </c>
      <c r="E449" s="96">
        <f>C442+C443+C444+E453</f>
        <v>180611000</v>
      </c>
      <c r="M449" s="248"/>
    </row>
    <row r="450" ht="22.5" customHeight="1">
      <c r="A450" s="18"/>
      <c r="B450" s="56" t="s">
        <v>55</v>
      </c>
      <c r="C450" s="115">
        <v>3.233E7</v>
      </c>
      <c r="D450" s="115" t="s">
        <v>7</v>
      </c>
      <c r="E450" s="18"/>
      <c r="J450" s="128" t="s">
        <v>129</v>
      </c>
      <c r="K450" s="56" t="s">
        <v>55</v>
      </c>
      <c r="L450" s="115">
        <v>2490000.0</v>
      </c>
      <c r="M450" s="121">
        <f>SUM(L450:L454)</f>
        <v>210912000</v>
      </c>
    </row>
    <row r="451" ht="22.5" customHeight="1">
      <c r="A451" s="18"/>
      <c r="B451" s="56" t="s">
        <v>57</v>
      </c>
      <c r="C451" s="115">
        <v>5464000.0</v>
      </c>
      <c r="D451" s="115" t="s">
        <v>7</v>
      </c>
      <c r="E451" s="18"/>
      <c r="J451" s="18"/>
      <c r="K451" s="56" t="s">
        <v>57</v>
      </c>
      <c r="L451" s="115">
        <v>5464000.0</v>
      </c>
      <c r="M451" s="18"/>
    </row>
    <row r="452" ht="22.5" customHeight="1">
      <c r="A452" s="18"/>
      <c r="B452" s="244" t="s">
        <v>238</v>
      </c>
      <c r="C452" s="238">
        <v>1.41563E8</v>
      </c>
      <c r="D452" s="115" t="s">
        <v>7</v>
      </c>
      <c r="E452" s="18"/>
      <c r="J452" s="18"/>
      <c r="K452" s="244" t="s">
        <v>238</v>
      </c>
      <c r="L452" s="238">
        <v>1.41563E8</v>
      </c>
      <c r="M452" s="18"/>
    </row>
    <row r="453" ht="22.5" customHeight="1">
      <c r="A453" s="22"/>
      <c r="B453" s="244" t="s">
        <v>239</v>
      </c>
      <c r="C453" s="238">
        <v>4.9675E7</v>
      </c>
      <c r="D453" s="115" t="s">
        <v>7</v>
      </c>
      <c r="E453" s="132">
        <f>C446+C447</f>
        <v>138015000</v>
      </c>
      <c r="J453" s="18"/>
      <c r="K453" s="244" t="s">
        <v>239</v>
      </c>
      <c r="L453" s="238">
        <v>4.9675E7</v>
      </c>
      <c r="M453" s="18"/>
    </row>
    <row r="454" ht="22.5" customHeight="1">
      <c r="A454" s="128" t="s">
        <v>131</v>
      </c>
      <c r="B454" s="56" t="s">
        <v>51</v>
      </c>
      <c r="C454" s="115">
        <v>5.7132E7</v>
      </c>
      <c r="D454" s="115" t="s">
        <v>7</v>
      </c>
      <c r="E454" s="22"/>
      <c r="J454" s="18"/>
      <c r="K454" s="244" t="s">
        <v>224</v>
      </c>
      <c r="L454" s="238">
        <v>1.172E7</v>
      </c>
      <c r="M454" s="18"/>
    </row>
    <row r="455" ht="22.5" customHeight="1">
      <c r="A455" s="18"/>
      <c r="B455" s="56" t="s">
        <v>53</v>
      </c>
      <c r="C455" s="115">
        <v>5.9784E7</v>
      </c>
      <c r="D455" s="115" t="s">
        <v>7</v>
      </c>
      <c r="E455" s="111">
        <v>0.0</v>
      </c>
    </row>
    <row r="456" ht="22.5" customHeight="1">
      <c r="A456" s="18"/>
      <c r="B456" s="56" t="s">
        <v>55</v>
      </c>
      <c r="C456" s="115">
        <v>8.31835E7</v>
      </c>
      <c r="D456" s="115" t="s">
        <v>7</v>
      </c>
      <c r="E456" s="18"/>
    </row>
    <row r="457" ht="22.5" customHeight="1">
      <c r="A457" s="18"/>
      <c r="B457" s="56" t="s">
        <v>57</v>
      </c>
      <c r="C457" s="115">
        <v>3030000.0</v>
      </c>
      <c r="D457" s="48"/>
      <c r="E457" s="18"/>
    </row>
    <row r="458" ht="22.5" customHeight="1">
      <c r="A458" s="18"/>
      <c r="B458" s="244" t="s">
        <v>238</v>
      </c>
      <c r="C458" s="238">
        <v>7.6691E7</v>
      </c>
      <c r="D458" s="48"/>
      <c r="E458" s="18"/>
      <c r="G458" s="103" t="s">
        <v>136</v>
      </c>
      <c r="H458" s="129" t="s">
        <v>245</v>
      </c>
      <c r="I458" s="249">
        <f>35150000-2379500</f>
        <v>32770500</v>
      </c>
    </row>
    <row r="459" ht="22.5" customHeight="1">
      <c r="A459" s="22"/>
      <c r="B459" s="244" t="s">
        <v>239</v>
      </c>
      <c r="C459" s="238">
        <v>8.34735E7</v>
      </c>
      <c r="D459" s="115" t="s">
        <v>7</v>
      </c>
      <c r="E459" s="243">
        <v>0.0</v>
      </c>
      <c r="G459" s="18"/>
      <c r="H459" s="129" t="s">
        <v>246</v>
      </c>
      <c r="I459" s="249">
        <v>4.317E7</v>
      </c>
    </row>
    <row r="460" ht="22.5" customHeight="1">
      <c r="A460" s="128" t="s">
        <v>130</v>
      </c>
      <c r="B460" s="56" t="s">
        <v>51</v>
      </c>
      <c r="C460" s="119">
        <v>2.1279E7</v>
      </c>
      <c r="D460" s="115" t="s">
        <v>7</v>
      </c>
      <c r="E460" s="22"/>
      <c r="G460" s="18"/>
      <c r="H460" s="129" t="s">
        <v>251</v>
      </c>
      <c r="I460" s="249">
        <v>1.93735E7</v>
      </c>
    </row>
    <row r="461" ht="22.5" customHeight="1">
      <c r="A461" s="18"/>
      <c r="B461" s="56" t="s">
        <v>53</v>
      </c>
      <c r="C461" s="115">
        <v>2.84595E7</v>
      </c>
      <c r="D461" s="115" t="s">
        <v>7</v>
      </c>
      <c r="E461" s="96">
        <f>C464</f>
        <v>23139000</v>
      </c>
      <c r="G461" s="18"/>
      <c r="H461" s="129" t="s">
        <v>248</v>
      </c>
      <c r="I461" s="249">
        <v>8760000.0</v>
      </c>
    </row>
    <row r="462" ht="22.5" customHeight="1">
      <c r="A462" s="18"/>
      <c r="B462" s="56" t="s">
        <v>55</v>
      </c>
      <c r="C462" s="115">
        <v>3.05705E7</v>
      </c>
      <c r="D462" s="115" t="s">
        <v>7</v>
      </c>
      <c r="E462" s="18"/>
      <c r="F462" s="127" t="b">
        <f>E461=C464</f>
        <v>1</v>
      </c>
      <c r="G462" s="18"/>
      <c r="H462" s="244" t="s">
        <v>239</v>
      </c>
      <c r="I462" s="250">
        <v>5113000.0</v>
      </c>
    </row>
    <row r="463" ht="22.5" customHeight="1">
      <c r="A463" s="18"/>
      <c r="B463" s="56" t="s">
        <v>57</v>
      </c>
      <c r="C463" s="115">
        <v>1.2064E7</v>
      </c>
      <c r="D463" s="115" t="s">
        <v>7</v>
      </c>
      <c r="E463" s="18"/>
      <c r="G463" s="18"/>
      <c r="H463" s="244" t="s">
        <v>238</v>
      </c>
      <c r="I463" s="238">
        <v>5.855E7</v>
      </c>
    </row>
    <row r="464" ht="22.5" customHeight="1">
      <c r="A464" s="18"/>
      <c r="B464" s="129" t="s">
        <v>252</v>
      </c>
      <c r="C464" s="115">
        <v>2.3139E7</v>
      </c>
      <c r="D464" s="115"/>
      <c r="E464" s="18"/>
      <c r="G464" s="18"/>
      <c r="H464" s="244"/>
      <c r="I464" s="238"/>
    </row>
    <row r="465" ht="22.5" customHeight="1">
      <c r="A465" s="18"/>
      <c r="B465" s="244" t="s">
        <v>238</v>
      </c>
      <c r="C465" s="238">
        <v>6.14902E7</v>
      </c>
      <c r="D465" s="115">
        <v>-3.25E7</v>
      </c>
      <c r="E465" s="132">
        <f>C466+C465+D465</f>
        <v>93337700</v>
      </c>
      <c r="F465" s="131">
        <f>E461+E465</f>
        <v>116476700</v>
      </c>
      <c r="G465" s="22"/>
      <c r="H465" s="56" t="s">
        <v>99</v>
      </c>
      <c r="I465" s="122">
        <f>SUM(I458:I463)</f>
        <v>167737000</v>
      </c>
    </row>
    <row r="466" ht="22.5" customHeight="1">
      <c r="A466" s="22"/>
      <c r="B466" s="244" t="s">
        <v>239</v>
      </c>
      <c r="C466" s="238">
        <v>6.43475E7</v>
      </c>
      <c r="D466" s="48"/>
      <c r="E466" s="22"/>
      <c r="I466" s="127">
        <f>100000000-I467-I468</f>
        <v>100000000</v>
      </c>
    </row>
    <row r="467" ht="19.5" customHeight="1">
      <c r="A467" s="128" t="s">
        <v>136</v>
      </c>
      <c r="B467" s="56" t="s">
        <v>51</v>
      </c>
      <c r="C467" s="249">
        <v>3.27705E7</v>
      </c>
      <c r="D467" s="115"/>
      <c r="E467" s="96">
        <f>C464</f>
        <v>23139000</v>
      </c>
    </row>
    <row r="468" ht="19.5" customHeight="1">
      <c r="A468" s="18"/>
      <c r="B468" s="56" t="s">
        <v>53</v>
      </c>
      <c r="C468" s="249">
        <v>4.317E7</v>
      </c>
      <c r="D468" s="115"/>
      <c r="E468" s="18"/>
    </row>
    <row r="469" ht="19.5" customHeight="1">
      <c r="A469" s="18"/>
      <c r="B469" s="56" t="s">
        <v>55</v>
      </c>
      <c r="C469" s="249">
        <v>1.93735E7</v>
      </c>
      <c r="D469" s="48"/>
      <c r="E469" s="18"/>
      <c r="G469" s="223" t="s">
        <v>138</v>
      </c>
      <c r="H469" s="30" t="s">
        <v>134</v>
      </c>
      <c r="I469" s="48">
        <f>6000000-864500</f>
        <v>5135500</v>
      </c>
    </row>
    <row r="470" ht="19.5" customHeight="1">
      <c r="A470" s="18"/>
      <c r="B470" s="56" t="s">
        <v>57</v>
      </c>
      <c r="C470" s="249">
        <v>8760000.0</v>
      </c>
      <c r="D470" s="48"/>
      <c r="E470" s="18"/>
      <c r="G470" s="18"/>
      <c r="H470" s="30" t="s">
        <v>135</v>
      </c>
      <c r="I470" s="48">
        <v>1.7541E7</v>
      </c>
    </row>
    <row r="471" ht="19.5" customHeight="1">
      <c r="A471" s="18"/>
      <c r="B471" s="244" t="s">
        <v>238</v>
      </c>
      <c r="C471" s="238"/>
      <c r="D471" s="115"/>
      <c r="E471" s="18"/>
      <c r="G471" s="18"/>
      <c r="H471" s="30" t="s">
        <v>137</v>
      </c>
      <c r="I471" s="48">
        <v>1.5093E7</v>
      </c>
    </row>
    <row r="472" ht="19.5" customHeight="1">
      <c r="A472" s="22"/>
      <c r="B472" s="244" t="s">
        <v>239</v>
      </c>
      <c r="C472" s="250">
        <v>7.5113E7</v>
      </c>
      <c r="D472" s="115">
        <v>-7.0E7</v>
      </c>
      <c r="E472" s="132">
        <f>C465+C466+D465</f>
        <v>93337700</v>
      </c>
      <c r="G472" s="18"/>
      <c r="H472" s="129" t="s">
        <v>245</v>
      </c>
      <c r="I472" s="251">
        <v>1.9297E7</v>
      </c>
    </row>
    <row r="473" ht="18.75" customHeight="1">
      <c r="A473" s="128" t="s">
        <v>138</v>
      </c>
      <c r="B473" s="56" t="s">
        <v>51</v>
      </c>
      <c r="C473" s="251">
        <v>1.9339E7</v>
      </c>
      <c r="D473" s="48"/>
      <c r="E473" s="22"/>
      <c r="G473" s="18"/>
      <c r="H473" s="129" t="s">
        <v>246</v>
      </c>
      <c r="I473" s="115">
        <v>1.5475E7</v>
      </c>
    </row>
    <row r="474" ht="18.75" customHeight="1">
      <c r="A474" s="18"/>
      <c r="B474" s="56" t="s">
        <v>53</v>
      </c>
      <c r="C474" s="115">
        <v>1.5475E7</v>
      </c>
      <c r="D474" s="48"/>
      <c r="E474" s="96">
        <f>C467+C468+C469+C470</f>
        <v>104074000</v>
      </c>
      <c r="G474" s="18"/>
      <c r="H474" s="129" t="s">
        <v>251</v>
      </c>
      <c r="I474" s="115">
        <v>1.55375E7</v>
      </c>
    </row>
    <row r="475" ht="18.75" customHeight="1">
      <c r="A475" s="18"/>
      <c r="B475" s="56" t="s">
        <v>55</v>
      </c>
      <c r="C475" s="115">
        <v>1.55375E7</v>
      </c>
      <c r="D475" s="48"/>
      <c r="E475" s="18"/>
      <c r="G475" s="18"/>
      <c r="H475" s="244" t="s">
        <v>238</v>
      </c>
      <c r="I475" s="238">
        <v>3.2655E7</v>
      </c>
    </row>
    <row r="476" ht="18.75" customHeight="1">
      <c r="A476" s="18"/>
      <c r="B476" s="244" t="s">
        <v>239</v>
      </c>
      <c r="C476" s="238">
        <v>3.9592E7</v>
      </c>
      <c r="D476" s="48"/>
      <c r="E476" s="18"/>
      <c r="G476" s="18"/>
      <c r="H476" s="244" t="s">
        <v>239</v>
      </c>
      <c r="I476" s="238">
        <v>3.9592E7</v>
      </c>
    </row>
    <row r="477" ht="18.75" customHeight="1">
      <c r="A477" s="22"/>
      <c r="B477" s="244" t="s">
        <v>238</v>
      </c>
      <c r="C477" s="238">
        <v>3.2655E7</v>
      </c>
      <c r="D477" s="48"/>
      <c r="E477" s="22"/>
      <c r="G477" s="22"/>
      <c r="H477" s="56" t="s">
        <v>99</v>
      </c>
      <c r="I477" s="122">
        <f>SUM(I467:I476)</f>
        <v>160326000</v>
      </c>
    </row>
    <row r="478" ht="18.75" customHeight="1">
      <c r="A478" s="128" t="s">
        <v>139</v>
      </c>
      <c r="B478" s="56" t="s">
        <v>51</v>
      </c>
      <c r="C478" s="115">
        <v>0.0</v>
      </c>
      <c r="D478" s="48"/>
      <c r="E478" s="121">
        <f>C471+C472+D472</f>
        <v>5113000</v>
      </c>
    </row>
    <row r="479" ht="18.75" customHeight="1">
      <c r="A479" s="18"/>
      <c r="B479" s="56" t="s">
        <v>53</v>
      </c>
      <c r="C479" s="115">
        <v>2.1917E7</v>
      </c>
      <c r="D479" s="115" t="s">
        <v>7</v>
      </c>
      <c r="E479" s="18"/>
    </row>
    <row r="480" ht="18.75" customHeight="1">
      <c r="A480" s="18"/>
      <c r="B480" s="56" t="s">
        <v>55</v>
      </c>
      <c r="C480" s="115">
        <v>5.668E7</v>
      </c>
      <c r="D480" s="115" t="s">
        <v>7</v>
      </c>
      <c r="E480" s="96">
        <f>C473+C474+C475</f>
        <v>50351500</v>
      </c>
    </row>
    <row r="481" ht="18.75" customHeight="1">
      <c r="A481" s="18"/>
      <c r="B481" s="244" t="s">
        <v>239</v>
      </c>
      <c r="C481" s="238">
        <v>9.6485E7</v>
      </c>
      <c r="D481" s="115" t="s">
        <v>7</v>
      </c>
      <c r="E481" s="18"/>
    </row>
    <row r="482" ht="18.75" customHeight="1">
      <c r="A482" s="22"/>
      <c r="B482" s="244" t="s">
        <v>238</v>
      </c>
      <c r="C482" s="238">
        <v>9.1998E7</v>
      </c>
      <c r="D482" s="115" t="s">
        <v>7</v>
      </c>
      <c r="E482" s="18"/>
    </row>
    <row r="483" ht="22.5" customHeight="1">
      <c r="A483" s="128" t="s">
        <v>140</v>
      </c>
      <c r="B483" s="56" t="s">
        <v>51</v>
      </c>
      <c r="C483" s="115">
        <v>2.21505E7</v>
      </c>
      <c r="D483" s="115" t="s">
        <v>7</v>
      </c>
      <c r="E483" s="132">
        <f>C476+C477</f>
        <v>72247000</v>
      </c>
    </row>
    <row r="484" ht="22.5" customHeight="1">
      <c r="A484" s="18"/>
      <c r="B484" s="56" t="s">
        <v>53</v>
      </c>
      <c r="C484" s="115">
        <v>3.2851E7</v>
      </c>
      <c r="D484" s="115" t="s">
        <v>7</v>
      </c>
      <c r="E484" s="22"/>
    </row>
    <row r="485" ht="22.5" customHeight="1">
      <c r="A485" s="18"/>
      <c r="B485" s="56" t="s">
        <v>55</v>
      </c>
      <c r="C485" s="115">
        <v>2.35645E7</v>
      </c>
      <c r="D485" s="115" t="s">
        <v>7</v>
      </c>
      <c r="E485" s="136">
        <v>0.0</v>
      </c>
    </row>
    <row r="486" ht="22.5" customHeight="1">
      <c r="A486" s="18"/>
      <c r="B486" s="56" t="s">
        <v>57</v>
      </c>
      <c r="C486" s="48"/>
      <c r="D486" s="48"/>
      <c r="E486" s="18"/>
    </row>
    <row r="487" ht="22.5" customHeight="1">
      <c r="A487" s="18"/>
      <c r="B487" s="244" t="s">
        <v>244</v>
      </c>
      <c r="C487" s="238">
        <f>19500000+20081000</f>
        <v>39581000</v>
      </c>
      <c r="D487" s="115" t="s">
        <v>7</v>
      </c>
      <c r="E487" s="18"/>
    </row>
    <row r="488" ht="22.5" customHeight="1">
      <c r="A488" s="22"/>
      <c r="B488" s="244" t="s">
        <v>238</v>
      </c>
      <c r="C488" s="238">
        <v>1.068208E8</v>
      </c>
      <c r="D488" s="48"/>
      <c r="E488" s="18"/>
    </row>
    <row r="489" ht="22.5" customHeight="1">
      <c r="A489" s="128" t="s">
        <v>141</v>
      </c>
      <c r="B489" s="56" t="s">
        <v>51</v>
      </c>
      <c r="C489" s="115">
        <v>3.9963E7</v>
      </c>
      <c r="D489" s="115" t="s">
        <v>7</v>
      </c>
      <c r="E489" s="22"/>
    </row>
    <row r="490" ht="22.5" customHeight="1">
      <c r="A490" s="18"/>
      <c r="B490" s="56" t="s">
        <v>53</v>
      </c>
      <c r="C490" s="115">
        <v>3.68884E7</v>
      </c>
      <c r="D490" s="115" t="s">
        <v>7</v>
      </c>
      <c r="E490" s="96"/>
    </row>
    <row r="491" ht="22.5" customHeight="1">
      <c r="A491" s="18"/>
      <c r="B491" s="56" t="s">
        <v>55</v>
      </c>
      <c r="C491" s="119">
        <v>3.2008E7</v>
      </c>
      <c r="D491" s="115" t="s">
        <v>7</v>
      </c>
      <c r="E491" s="18"/>
    </row>
    <row r="492" ht="22.5" customHeight="1">
      <c r="A492" s="18"/>
      <c r="B492" s="56" t="s">
        <v>57</v>
      </c>
      <c r="C492" s="115">
        <v>8591000.0</v>
      </c>
      <c r="D492" s="48"/>
      <c r="E492" s="18"/>
    </row>
    <row r="493" ht="22.5" customHeight="1">
      <c r="A493" s="18"/>
      <c r="B493" s="244" t="s">
        <v>238</v>
      </c>
      <c r="C493" s="238">
        <f>32500000+26900000</f>
        <v>59400000</v>
      </c>
      <c r="D493" s="115" t="s">
        <v>7</v>
      </c>
      <c r="E493" s="18"/>
    </row>
    <row r="494" ht="22.5" customHeight="1">
      <c r="A494" s="22"/>
      <c r="B494" s="244" t="s">
        <v>239</v>
      </c>
      <c r="C494" s="238">
        <v>1.15395E8</v>
      </c>
      <c r="D494" s="115">
        <v>-1.145E8</v>
      </c>
      <c r="E494" s="132">
        <f>C488</f>
        <v>106820800</v>
      </c>
      <c r="G494" s="223" t="s">
        <v>253</v>
      </c>
      <c r="H494" s="129" t="s">
        <v>246</v>
      </c>
      <c r="I494" s="115">
        <v>2.16E7</v>
      </c>
    </row>
    <row r="495" ht="22.5" customHeight="1">
      <c r="A495" s="128" t="s">
        <v>142</v>
      </c>
      <c r="B495" s="56" t="s">
        <v>51</v>
      </c>
      <c r="C495" s="115">
        <v>0.0</v>
      </c>
      <c r="D495" s="48"/>
      <c r="E495" s="22"/>
      <c r="G495" s="18"/>
      <c r="H495" s="56" t="s">
        <v>55</v>
      </c>
      <c r="I495" s="115">
        <v>8.5497E7</v>
      </c>
    </row>
    <row r="496" ht="22.5" customHeight="1">
      <c r="A496" s="18"/>
      <c r="B496" s="56" t="s">
        <v>53</v>
      </c>
      <c r="C496" s="115">
        <v>2.16E7</v>
      </c>
      <c r="D496" s="48"/>
      <c r="E496" s="96">
        <f>C492</f>
        <v>8591000</v>
      </c>
      <c r="G496" s="18"/>
      <c r="H496" s="56" t="s">
        <v>57</v>
      </c>
      <c r="I496" s="115">
        <v>3830000.0</v>
      </c>
    </row>
    <row r="497" ht="22.5" customHeight="1">
      <c r="A497" s="18"/>
      <c r="B497" s="56" t="s">
        <v>55</v>
      </c>
      <c r="C497" s="115">
        <v>8.5797E7</v>
      </c>
      <c r="D497" s="48"/>
      <c r="E497" s="18"/>
      <c r="G497" s="18"/>
      <c r="H497" s="244" t="s">
        <v>238</v>
      </c>
      <c r="I497" s="238">
        <v>1.15524E8</v>
      </c>
    </row>
    <row r="498" ht="22.5" customHeight="1">
      <c r="A498" s="18"/>
      <c r="B498" s="56" t="s">
        <v>57</v>
      </c>
      <c r="C498" s="115">
        <v>3830000.0</v>
      </c>
      <c r="D498" s="48"/>
      <c r="E498" s="18"/>
      <c r="G498" s="18"/>
      <c r="H498" s="244" t="s">
        <v>239</v>
      </c>
      <c r="I498" s="238">
        <v>1.63415E8</v>
      </c>
      <c r="J498" s="127" t="str">
        <f>#REF!+#REF!+#REF!+#REF!</f>
        <v>#REF!</v>
      </c>
    </row>
    <row r="499" ht="22.5" customHeight="1">
      <c r="A499" s="18"/>
      <c r="B499" s="244" t="s">
        <v>238</v>
      </c>
      <c r="C499" s="238">
        <v>1.15524E8</v>
      </c>
      <c r="D499" s="48"/>
      <c r="E499" s="18"/>
      <c r="G499" s="18"/>
      <c r="H499" s="56" t="s">
        <v>99</v>
      </c>
      <c r="I499" s="122">
        <f>SUM(I494:I498)</f>
        <v>389866000</v>
      </c>
    </row>
    <row r="500" ht="22.5" customHeight="1">
      <c r="A500" s="22"/>
      <c r="B500" s="244" t="s">
        <v>239</v>
      </c>
      <c r="C500" s="238">
        <v>1.63415E8</v>
      </c>
      <c r="D500" s="48"/>
      <c r="E500" s="132">
        <f>C494+D494</f>
        <v>895000</v>
      </c>
      <c r="G500" s="18"/>
    </row>
    <row r="501" ht="22.5" customHeight="1">
      <c r="A501" s="128" t="s">
        <v>143</v>
      </c>
      <c r="B501" s="56" t="s">
        <v>51</v>
      </c>
      <c r="C501" s="115">
        <v>0.0</v>
      </c>
      <c r="D501" s="48"/>
      <c r="E501" s="22"/>
      <c r="G501" s="18"/>
    </row>
    <row r="502" ht="22.5" customHeight="1">
      <c r="A502" s="18"/>
      <c r="B502" s="56" t="s">
        <v>53</v>
      </c>
      <c r="C502" s="115">
        <v>2.5211E7</v>
      </c>
      <c r="D502" s="115" t="s">
        <v>7</v>
      </c>
      <c r="E502" s="96">
        <f>C496+C497+C498</f>
        <v>111227000</v>
      </c>
    </row>
    <row r="503" ht="22.5" customHeight="1">
      <c r="A503" s="18"/>
      <c r="B503" s="56" t="s">
        <v>55</v>
      </c>
      <c r="C503" s="115">
        <v>2.3805E7</v>
      </c>
      <c r="D503" s="115" t="s">
        <v>7</v>
      </c>
      <c r="E503" s="18"/>
      <c r="J503" s="2"/>
    </row>
    <row r="504" ht="22.5" customHeight="1">
      <c r="A504" s="18"/>
      <c r="B504" s="56" t="s">
        <v>57</v>
      </c>
      <c r="C504" s="115">
        <v>1.6786E7</v>
      </c>
      <c r="D504" s="115" t="s">
        <v>7</v>
      </c>
      <c r="E504" s="18"/>
    </row>
    <row r="505" ht="22.5" customHeight="1">
      <c r="A505" s="18"/>
      <c r="B505" s="129" t="s">
        <v>243</v>
      </c>
      <c r="C505" s="115">
        <v>2.392E7</v>
      </c>
      <c r="D505" s="115"/>
      <c r="E505" s="18"/>
    </row>
    <row r="506" ht="22.5" customHeight="1">
      <c r="A506" s="18"/>
      <c r="B506" s="244" t="s">
        <v>238</v>
      </c>
      <c r="C506" s="238">
        <v>5.5434E7</v>
      </c>
      <c r="D506" s="115" t="s">
        <v>7</v>
      </c>
      <c r="E506" s="132">
        <f>C499+C500</f>
        <v>278939000</v>
      </c>
    </row>
    <row r="507" ht="22.5" customHeight="1">
      <c r="A507" s="22"/>
      <c r="B507" s="244" t="s">
        <v>239</v>
      </c>
      <c r="C507" s="238">
        <v>5.357E7</v>
      </c>
      <c r="D507" s="115">
        <v>-5.257E7</v>
      </c>
      <c r="E507" s="22"/>
    </row>
    <row r="508" ht="22.5" customHeight="1">
      <c r="A508" s="128" t="s">
        <v>144</v>
      </c>
      <c r="B508" s="56" t="s">
        <v>51</v>
      </c>
      <c r="C508" s="115">
        <v>2.4158E7</v>
      </c>
      <c r="D508" s="115" t="s">
        <v>7</v>
      </c>
      <c r="E508" s="111">
        <f>C505</f>
        <v>23920000</v>
      </c>
    </row>
    <row r="509" ht="22.5" customHeight="1">
      <c r="A509" s="18"/>
      <c r="B509" s="56" t="s">
        <v>53</v>
      </c>
      <c r="C509" s="115">
        <v>1.8325E7</v>
      </c>
      <c r="D509" s="115" t="s">
        <v>7</v>
      </c>
      <c r="E509" s="18"/>
      <c r="F509" s="2"/>
    </row>
    <row r="510" ht="22.5" customHeight="1">
      <c r="A510" s="18"/>
      <c r="B510" s="56" t="s">
        <v>55</v>
      </c>
      <c r="C510" s="115">
        <v>4.502E7</v>
      </c>
      <c r="D510" s="115" t="s">
        <v>7</v>
      </c>
      <c r="E510" s="18"/>
    </row>
    <row r="511" ht="22.5" customHeight="1">
      <c r="A511" s="18"/>
      <c r="B511" s="56" t="s">
        <v>57</v>
      </c>
      <c r="C511" s="115">
        <v>1.9735E7</v>
      </c>
      <c r="D511" s="115" t="s">
        <v>7</v>
      </c>
      <c r="E511" s="18"/>
    </row>
    <row r="512" ht="22.5" customHeight="1">
      <c r="A512" s="18"/>
      <c r="B512" s="244" t="s">
        <v>238</v>
      </c>
      <c r="C512" s="238">
        <v>1.38678E8</v>
      </c>
      <c r="D512" s="115" t="s">
        <v>7</v>
      </c>
      <c r="E512" s="252"/>
    </row>
    <row r="513" ht="22.5" customHeight="1">
      <c r="A513" s="22"/>
      <c r="B513" s="244" t="s">
        <v>239</v>
      </c>
      <c r="C513" s="238">
        <v>8.493E7</v>
      </c>
      <c r="D513" s="115" t="s">
        <v>7</v>
      </c>
      <c r="E513" s="132">
        <f>C507+D507</f>
        <v>1000000</v>
      </c>
    </row>
    <row r="514" ht="22.5" customHeight="1">
      <c r="A514" s="128" t="s">
        <v>145</v>
      </c>
      <c r="B514" s="56" t="s">
        <v>51</v>
      </c>
      <c r="C514" s="115">
        <v>3.24295E7</v>
      </c>
      <c r="D514" s="115" t="s">
        <v>7</v>
      </c>
      <c r="E514" s="22"/>
    </row>
    <row r="515" ht="22.5" customHeight="1">
      <c r="A515" s="18"/>
      <c r="B515" s="56" t="s">
        <v>53</v>
      </c>
      <c r="C515" s="119">
        <v>2.83255E7</v>
      </c>
      <c r="D515" s="115" t="s">
        <v>7</v>
      </c>
      <c r="E515" s="111">
        <v>0.0</v>
      </c>
    </row>
    <row r="516" ht="22.5" customHeight="1">
      <c r="A516" s="18"/>
      <c r="B516" s="56" t="s">
        <v>55</v>
      </c>
      <c r="C516" s="119">
        <v>2.37665E7</v>
      </c>
      <c r="D516" s="115" t="s">
        <v>7</v>
      </c>
      <c r="E516" s="18"/>
    </row>
    <row r="517" ht="22.5" customHeight="1">
      <c r="A517" s="18"/>
      <c r="B517" s="56" t="s">
        <v>57</v>
      </c>
      <c r="C517" s="115">
        <v>2707500.0</v>
      </c>
      <c r="D517" s="115" t="s">
        <v>7</v>
      </c>
      <c r="E517" s="18"/>
    </row>
    <row r="518" ht="22.5" customHeight="1">
      <c r="A518" s="18"/>
      <c r="B518" s="244" t="s">
        <v>238</v>
      </c>
      <c r="C518" s="238">
        <v>6.2765E7</v>
      </c>
      <c r="D518" s="115" t="s">
        <v>7</v>
      </c>
      <c r="E518" s="18"/>
    </row>
    <row r="519" ht="22.5" customHeight="1">
      <c r="A519" s="22"/>
      <c r="B519" s="244" t="s">
        <v>239</v>
      </c>
      <c r="C519" s="238">
        <v>3.1767E7</v>
      </c>
      <c r="D519" s="115" t="s">
        <v>7</v>
      </c>
      <c r="E519" s="243">
        <v>0.0</v>
      </c>
    </row>
    <row r="520" ht="22.5" customHeight="1">
      <c r="A520" s="253" t="s">
        <v>146</v>
      </c>
      <c r="B520" s="56" t="s">
        <v>51</v>
      </c>
      <c r="C520" s="119">
        <v>5.0289E7</v>
      </c>
      <c r="D520" s="48"/>
      <c r="E520" s="22"/>
    </row>
    <row r="521" ht="22.5" customHeight="1">
      <c r="A521" s="18"/>
      <c r="B521" s="56" t="s">
        <v>53</v>
      </c>
      <c r="C521" s="115">
        <v>6.52375E7</v>
      </c>
      <c r="D521" s="48"/>
      <c r="E521" s="111">
        <v>0.0</v>
      </c>
    </row>
    <row r="522" ht="22.5" customHeight="1">
      <c r="A522" s="18"/>
      <c r="B522" s="56" t="s">
        <v>55</v>
      </c>
      <c r="C522" s="115">
        <v>1.09883E8</v>
      </c>
      <c r="D522" s="48"/>
      <c r="E522" s="18"/>
    </row>
    <row r="523" ht="21.75" customHeight="1">
      <c r="A523" s="18"/>
      <c r="B523" s="56" t="s">
        <v>57</v>
      </c>
      <c r="C523" s="115">
        <v>1500000.0</v>
      </c>
      <c r="D523" s="48"/>
      <c r="E523" s="18"/>
    </row>
    <row r="524" ht="21.75" customHeight="1">
      <c r="A524" s="22"/>
      <c r="B524" s="244" t="s">
        <v>254</v>
      </c>
      <c r="C524" s="238">
        <v>1.11953E8</v>
      </c>
      <c r="D524" s="48"/>
      <c r="E524" s="18"/>
    </row>
    <row r="525" ht="22.5" customHeight="1">
      <c r="A525" s="128" t="s">
        <v>148</v>
      </c>
      <c r="B525" s="56" t="s">
        <v>51</v>
      </c>
      <c r="C525" s="115">
        <v>0.0</v>
      </c>
      <c r="D525" s="48"/>
      <c r="E525" s="243">
        <v>0.0</v>
      </c>
    </row>
    <row r="526" ht="22.5" customHeight="1">
      <c r="A526" s="18"/>
      <c r="B526" s="56" t="s">
        <v>53</v>
      </c>
      <c r="C526" s="115">
        <v>0.0</v>
      </c>
      <c r="D526" s="48"/>
      <c r="E526" s="22"/>
      <c r="G526" s="103" t="s">
        <v>147</v>
      </c>
      <c r="H526" s="129" t="s">
        <v>245</v>
      </c>
      <c r="I526" s="119"/>
    </row>
    <row r="527" ht="22.5" customHeight="1">
      <c r="A527" s="18"/>
      <c r="B527" s="56" t="s">
        <v>55</v>
      </c>
      <c r="C527" s="115">
        <v>2.13809E8</v>
      </c>
      <c r="D527" s="115" t="s">
        <v>7</v>
      </c>
      <c r="E527" s="96">
        <f>C520+C521+C522+C523</f>
        <v>226909500</v>
      </c>
      <c r="F527" s="20"/>
      <c r="G527" s="18"/>
      <c r="H527" s="129" t="s">
        <v>246</v>
      </c>
      <c r="I527" s="115">
        <v>7875400.0</v>
      </c>
    </row>
    <row r="528" ht="22.5" customHeight="1">
      <c r="A528" s="22"/>
      <c r="B528" s="56" t="s">
        <v>57</v>
      </c>
      <c r="C528" s="115">
        <v>0.0</v>
      </c>
      <c r="D528" s="48"/>
      <c r="E528" s="18"/>
      <c r="F528" s="20"/>
      <c r="G528" s="18"/>
      <c r="H528" s="129" t="s">
        <v>251</v>
      </c>
      <c r="I528" s="115">
        <v>1.09883E8</v>
      </c>
    </row>
    <row r="529" ht="20.25" customHeight="1">
      <c r="A529" s="128" t="s">
        <v>149</v>
      </c>
      <c r="B529" s="56" t="s">
        <v>51</v>
      </c>
      <c r="C529" s="115">
        <v>0.0</v>
      </c>
      <c r="D529" s="48"/>
      <c r="E529" s="18"/>
      <c r="G529" s="18"/>
      <c r="H529" s="56" t="s">
        <v>57</v>
      </c>
      <c r="I529" s="115">
        <v>1500000.0</v>
      </c>
    </row>
    <row r="530" ht="20.25" customHeight="1">
      <c r="A530" s="18"/>
      <c r="B530" s="56" t="s">
        <v>53</v>
      </c>
      <c r="C530" s="115">
        <v>1.8446E7</v>
      </c>
      <c r="D530" s="48"/>
      <c r="E530" s="22"/>
      <c r="G530" s="18"/>
      <c r="H530" s="244" t="s">
        <v>254</v>
      </c>
      <c r="I530" s="238">
        <v>1.11953E8</v>
      </c>
    </row>
    <row r="531" ht="21.0" customHeight="1">
      <c r="A531" s="18"/>
      <c r="B531" s="56" t="s">
        <v>55</v>
      </c>
      <c r="C531" s="119">
        <v>1.85038E7</v>
      </c>
      <c r="D531" s="48"/>
      <c r="E531" s="254">
        <f>C524</f>
        <v>111953000</v>
      </c>
      <c r="G531" s="22"/>
      <c r="H531" s="56" t="s">
        <v>99</v>
      </c>
      <c r="I531" s="122">
        <f>SUM(I523:I530)</f>
        <v>231211400</v>
      </c>
    </row>
    <row r="532" ht="20.25" customHeight="1">
      <c r="A532" s="18"/>
      <c r="B532" s="56" t="s">
        <v>57</v>
      </c>
      <c r="C532" s="115">
        <v>8814000.0</v>
      </c>
      <c r="D532" s="48"/>
      <c r="E532" s="121"/>
    </row>
    <row r="533" ht="20.25" customHeight="1">
      <c r="A533" s="18"/>
      <c r="B533" s="244" t="s">
        <v>238</v>
      </c>
      <c r="C533" s="238">
        <v>4.2025E7</v>
      </c>
      <c r="D533" s="48"/>
      <c r="E533" s="18"/>
      <c r="G533" s="223" t="s">
        <v>149</v>
      </c>
      <c r="H533" s="129" t="s">
        <v>151</v>
      </c>
      <c r="I533" s="115">
        <v>5.0E7</v>
      </c>
    </row>
    <row r="534" ht="20.25" customHeight="1">
      <c r="A534" s="22"/>
      <c r="B534" s="244" t="s">
        <v>239</v>
      </c>
      <c r="C534" s="238">
        <v>6.39046E7</v>
      </c>
      <c r="D534" s="48"/>
      <c r="E534" s="18"/>
      <c r="G534" s="18"/>
      <c r="H534" s="129" t="s">
        <v>246</v>
      </c>
      <c r="I534" s="115">
        <f>18446000-8764500</f>
        <v>9681500</v>
      </c>
      <c r="J534" s="127" t="str">
        <f>40000000-#REF!-#REF!</f>
        <v>#REF!</v>
      </c>
    </row>
    <row r="535" ht="20.25" customHeight="1">
      <c r="A535" s="128" t="s">
        <v>150</v>
      </c>
      <c r="B535" s="56" t="s">
        <v>51</v>
      </c>
      <c r="C535" s="119">
        <v>2.7576E7</v>
      </c>
      <c r="D535" s="115" t="s">
        <v>7</v>
      </c>
      <c r="E535" s="22"/>
      <c r="G535" s="18"/>
      <c r="H535" s="129" t="s">
        <v>251</v>
      </c>
      <c r="I535" s="119">
        <v>1.85038E7</v>
      </c>
    </row>
    <row r="536" ht="20.25" customHeight="1">
      <c r="A536" s="18"/>
      <c r="B536" s="56" t="s">
        <v>53</v>
      </c>
      <c r="C536" s="115">
        <v>4.7389E7</v>
      </c>
      <c r="D536" s="48" t="s">
        <v>7</v>
      </c>
      <c r="E536" s="248">
        <f>C530+C531+C532</f>
        <v>45763800</v>
      </c>
      <c r="G536" s="18"/>
      <c r="H536" s="129" t="s">
        <v>248</v>
      </c>
      <c r="I536" s="115">
        <v>8522000.0</v>
      </c>
    </row>
    <row r="537" ht="20.25" customHeight="1">
      <c r="A537" s="18"/>
      <c r="B537" s="56" t="s">
        <v>55</v>
      </c>
      <c r="C537" s="115">
        <v>3.70265E7</v>
      </c>
      <c r="D537" s="115" t="s">
        <v>7</v>
      </c>
      <c r="E537" s="18"/>
      <c r="G537" s="18"/>
      <c r="H537" s="244" t="s">
        <v>238</v>
      </c>
      <c r="I537" s="238">
        <v>4.2025001E7</v>
      </c>
    </row>
    <row r="538" ht="20.25" customHeight="1">
      <c r="A538" s="18"/>
      <c r="B538" s="129" t="s">
        <v>255</v>
      </c>
      <c r="C538" s="115">
        <v>1.6061E7</v>
      </c>
      <c r="D538" s="115" t="s">
        <v>7</v>
      </c>
      <c r="E538" s="18"/>
      <c r="G538" s="18"/>
      <c r="H538" s="244" t="s">
        <v>239</v>
      </c>
      <c r="I538" s="238">
        <v>1.39046E7</v>
      </c>
    </row>
    <row r="539" ht="20.25" customHeight="1">
      <c r="A539" s="18"/>
      <c r="B539" s="244" t="s">
        <v>238</v>
      </c>
      <c r="C539" s="238">
        <v>1.9806E7</v>
      </c>
      <c r="D539" s="115" t="s">
        <v>7</v>
      </c>
      <c r="E539" s="18"/>
      <c r="G539" s="18"/>
      <c r="H539" s="56" t="s">
        <v>99</v>
      </c>
      <c r="I539" s="122">
        <f>SUM(I533:I538)</f>
        <v>142636901</v>
      </c>
    </row>
    <row r="540" ht="20.25" customHeight="1">
      <c r="A540" s="22"/>
      <c r="B540" s="244" t="s">
        <v>239</v>
      </c>
      <c r="C540" s="238">
        <v>8.80175E7</v>
      </c>
      <c r="D540" s="110" t="s">
        <v>7</v>
      </c>
      <c r="E540" s="132">
        <f>C533+C534</f>
        <v>105929600</v>
      </c>
      <c r="G540" s="18"/>
    </row>
    <row r="541" ht="22.5" customHeight="1">
      <c r="A541" s="128" t="s">
        <v>153</v>
      </c>
      <c r="B541" s="56" t="s">
        <v>51</v>
      </c>
      <c r="C541" s="119">
        <v>7.893E7</v>
      </c>
      <c r="D541" s="115" t="s">
        <v>7</v>
      </c>
      <c r="E541" s="22"/>
      <c r="G541" s="22"/>
    </row>
    <row r="542" ht="22.5" customHeight="1">
      <c r="A542" s="18"/>
      <c r="B542" s="56" t="s">
        <v>53</v>
      </c>
      <c r="C542" s="119">
        <v>7.77747E7</v>
      </c>
      <c r="D542" s="115" t="s">
        <v>7</v>
      </c>
      <c r="E542" s="252">
        <v>0.0</v>
      </c>
      <c r="I542" s="131">
        <f>I539-I533</f>
        <v>92636901</v>
      </c>
    </row>
    <row r="543" ht="22.5" customHeight="1">
      <c r="A543" s="18"/>
      <c r="B543" s="56" t="s">
        <v>55</v>
      </c>
      <c r="C543" s="119">
        <v>5.3497E7</v>
      </c>
      <c r="D543" s="115" t="s">
        <v>7</v>
      </c>
      <c r="E543" s="18"/>
      <c r="I543" s="131">
        <f>I539-I533</f>
        <v>92636901</v>
      </c>
    </row>
    <row r="544" ht="22.5" customHeight="1">
      <c r="A544" s="18"/>
      <c r="B544" s="56" t="s">
        <v>57</v>
      </c>
      <c r="C544" s="119">
        <v>6.7582E7</v>
      </c>
      <c r="D544" s="115" t="s">
        <v>7</v>
      </c>
      <c r="E544" s="18"/>
      <c r="I544" s="127">
        <f>139-636</f>
        <v>-497</v>
      </c>
    </row>
    <row r="545" ht="22.5" customHeight="1">
      <c r="A545" s="18"/>
      <c r="B545" s="244" t="s">
        <v>238</v>
      </c>
      <c r="C545" s="238">
        <v>1.80645E8</v>
      </c>
      <c r="D545" s="115" t="s">
        <v>7</v>
      </c>
      <c r="E545" s="18"/>
      <c r="G545" s="255">
        <f>222928000-80000000-292000</f>
        <v>142636000</v>
      </c>
      <c r="H545" s="255"/>
      <c r="I545" s="255"/>
    </row>
    <row r="546" ht="22.5" customHeight="1">
      <c r="A546" s="22"/>
      <c r="B546" s="244" t="s">
        <v>239</v>
      </c>
      <c r="C546" s="238">
        <v>2.08466E8</v>
      </c>
      <c r="D546" s="115" t="s">
        <v>7</v>
      </c>
      <c r="E546" s="243">
        <v>0.0</v>
      </c>
      <c r="F546" s="255"/>
      <c r="G546" s="255"/>
      <c r="H546" s="255"/>
      <c r="I546" s="255"/>
    </row>
    <row r="547" ht="22.5" customHeight="1">
      <c r="A547" s="253" t="s">
        <v>154</v>
      </c>
      <c r="B547" s="56" t="s">
        <v>51</v>
      </c>
      <c r="C547" s="110"/>
      <c r="D547" s="48"/>
      <c r="E547" s="22"/>
      <c r="F547" s="255"/>
    </row>
    <row r="548" ht="22.5" customHeight="1">
      <c r="A548" s="18"/>
      <c r="B548" s="56" t="s">
        <v>53</v>
      </c>
      <c r="C548" s="110">
        <v>4.0581E7</v>
      </c>
      <c r="D548" s="115" t="s">
        <v>7</v>
      </c>
      <c r="E548" s="111">
        <v>0.0</v>
      </c>
    </row>
    <row r="549" ht="22.5" customHeight="1">
      <c r="A549" s="18"/>
      <c r="B549" s="56" t="s">
        <v>55</v>
      </c>
      <c r="C549" s="110">
        <v>2.18785E7</v>
      </c>
      <c r="D549" s="48"/>
      <c r="E549" s="18"/>
      <c r="J549" s="135" t="s">
        <v>157</v>
      </c>
      <c r="K549" s="133" t="s">
        <v>151</v>
      </c>
      <c r="L549" s="51">
        <v>9.46043E8</v>
      </c>
    </row>
    <row r="550" ht="22.5" customHeight="1">
      <c r="A550" s="18"/>
      <c r="B550" s="56" t="s">
        <v>57</v>
      </c>
      <c r="C550" s="110">
        <v>1800000.0</v>
      </c>
      <c r="D550" s="48"/>
      <c r="E550" s="18"/>
      <c r="J550" s="18"/>
      <c r="K550" s="56"/>
      <c r="L550" s="48"/>
    </row>
    <row r="551" ht="22.5" customHeight="1">
      <c r="A551" s="18"/>
      <c r="B551" s="244" t="s">
        <v>238</v>
      </c>
      <c r="C551" s="238">
        <v>9.75E7</v>
      </c>
      <c r="D551" s="48"/>
      <c r="E551" s="18"/>
      <c r="J551" s="18"/>
      <c r="K551" s="56"/>
      <c r="L551" s="48"/>
    </row>
    <row r="552" ht="22.5" customHeight="1">
      <c r="A552" s="22"/>
      <c r="B552" s="244" t="s">
        <v>239</v>
      </c>
      <c r="C552" s="238">
        <v>3.46275E7</v>
      </c>
      <c r="D552" s="48"/>
      <c r="E552" s="243">
        <v>0.0</v>
      </c>
      <c r="J552" s="18"/>
      <c r="K552" s="56"/>
      <c r="L552" s="48"/>
    </row>
    <row r="553" ht="22.5" customHeight="1">
      <c r="A553" s="128" t="s">
        <v>155</v>
      </c>
      <c r="B553" s="56" t="s">
        <v>51</v>
      </c>
      <c r="C553" s="110">
        <v>2.287E7</v>
      </c>
      <c r="D553" s="115" t="s">
        <v>7</v>
      </c>
      <c r="E553" s="22"/>
      <c r="J553" s="22"/>
      <c r="K553" s="56" t="s">
        <v>99</v>
      </c>
      <c r="L553" s="122">
        <f>L549-L550-L551</f>
        <v>946043000</v>
      </c>
    </row>
    <row r="554" ht="22.5" customHeight="1">
      <c r="A554" s="18"/>
      <c r="B554" s="56" t="s">
        <v>53</v>
      </c>
      <c r="C554" s="110">
        <v>3.26E7</v>
      </c>
      <c r="D554" s="115" t="s">
        <v>7</v>
      </c>
      <c r="E554" s="248">
        <f>C549+C550</f>
        <v>23678500</v>
      </c>
    </row>
    <row r="555" ht="22.5" customHeight="1">
      <c r="A555" s="18"/>
      <c r="B555" s="56" t="s">
        <v>55</v>
      </c>
      <c r="C555" s="110">
        <v>3.564E7</v>
      </c>
      <c r="D555" s="115" t="s">
        <v>7</v>
      </c>
      <c r="E555" s="18"/>
    </row>
    <row r="556" ht="22.5" customHeight="1">
      <c r="A556" s="18"/>
      <c r="B556" s="56" t="s">
        <v>57</v>
      </c>
      <c r="C556" s="110">
        <v>8355000.0</v>
      </c>
      <c r="D556" s="115" t="s">
        <v>7</v>
      </c>
      <c r="E556" s="18"/>
    </row>
    <row r="557" ht="22.5" customHeight="1">
      <c r="A557" s="18"/>
      <c r="B557" s="244" t="s">
        <v>238</v>
      </c>
      <c r="C557" s="238">
        <v>1.36613E8</v>
      </c>
      <c r="D557" s="115" t="s">
        <v>7</v>
      </c>
      <c r="E557" s="18"/>
    </row>
    <row r="558" ht="22.5" customHeight="1">
      <c r="A558" s="22"/>
      <c r="B558" s="244" t="s">
        <v>239</v>
      </c>
      <c r="C558" s="238">
        <v>7.0515E7</v>
      </c>
      <c r="D558" s="115" t="s">
        <v>7</v>
      </c>
      <c r="E558" s="132">
        <f>C551+C552</f>
        <v>132127500</v>
      </c>
    </row>
    <row r="559" ht="22.5" customHeight="1">
      <c r="A559" s="128" t="s">
        <v>156</v>
      </c>
      <c r="B559" s="56" t="s">
        <v>51</v>
      </c>
      <c r="C559" s="110">
        <v>2.17525E7</v>
      </c>
      <c r="D559" s="115" t="s">
        <v>7</v>
      </c>
      <c r="E559" s="22"/>
    </row>
    <row r="560" ht="22.5" customHeight="1">
      <c r="A560" s="18"/>
      <c r="B560" s="56" t="s">
        <v>53</v>
      </c>
      <c r="C560" s="198">
        <v>3.68E7</v>
      </c>
      <c r="D560" s="115" t="s">
        <v>7</v>
      </c>
      <c r="E560" s="252">
        <v>0.0</v>
      </c>
    </row>
    <row r="561" ht="22.5" customHeight="1">
      <c r="A561" s="18"/>
      <c r="B561" s="56" t="s">
        <v>55</v>
      </c>
      <c r="C561" s="198">
        <v>7.5201E7</v>
      </c>
      <c r="D561" s="48"/>
      <c r="E561" s="18"/>
    </row>
    <row r="562" ht="22.5" customHeight="1">
      <c r="A562" s="18"/>
      <c r="B562" s="56" t="s">
        <v>57</v>
      </c>
      <c r="C562" s="110">
        <v>2030000.0</v>
      </c>
      <c r="D562" s="48"/>
      <c r="E562" s="18"/>
    </row>
    <row r="563" ht="22.5" customHeight="1">
      <c r="A563" s="18"/>
      <c r="B563" s="129" t="s">
        <v>256</v>
      </c>
      <c r="C563" s="110">
        <v>2.842E7</v>
      </c>
      <c r="D563" s="48"/>
      <c r="E563" s="18"/>
    </row>
    <row r="564" ht="22.5" customHeight="1">
      <c r="A564" s="18"/>
      <c r="B564" s="244" t="s">
        <v>238</v>
      </c>
      <c r="C564" s="238">
        <v>1.0494E8</v>
      </c>
      <c r="D564" s="48"/>
      <c r="E564" s="243">
        <v>0.0</v>
      </c>
    </row>
    <row r="565" ht="22.5" customHeight="1">
      <c r="A565" s="22"/>
      <c r="B565" s="244" t="s">
        <v>239</v>
      </c>
      <c r="C565" s="238">
        <v>7.033E7</v>
      </c>
      <c r="D565" s="48"/>
      <c r="E565" s="22"/>
    </row>
    <row r="566" ht="22.5" customHeight="1">
      <c r="A566" s="128" t="s">
        <v>158</v>
      </c>
      <c r="B566" s="56" t="s">
        <v>51</v>
      </c>
      <c r="C566" s="110">
        <v>1.21145E7</v>
      </c>
      <c r="D566" s="48"/>
      <c r="E566" s="96">
        <f>C561+C562+C563</f>
        <v>105651000</v>
      </c>
    </row>
    <row r="567" ht="22.5" customHeight="1">
      <c r="A567" s="18"/>
      <c r="B567" s="56" t="s">
        <v>53</v>
      </c>
      <c r="C567" s="110">
        <v>8020000.0</v>
      </c>
      <c r="D567" s="48"/>
      <c r="E567" s="18"/>
    </row>
    <row r="568" ht="22.5" customHeight="1">
      <c r="A568" s="18"/>
      <c r="B568" s="56" t="s">
        <v>55</v>
      </c>
      <c r="C568" s="110">
        <v>2.33175E7</v>
      </c>
      <c r="D568" s="48"/>
      <c r="E568" s="18"/>
    </row>
    <row r="569" ht="22.5" customHeight="1">
      <c r="A569" s="18"/>
      <c r="B569" s="56" t="s">
        <v>57</v>
      </c>
      <c r="C569" s="110">
        <v>0.0</v>
      </c>
      <c r="D569" s="48"/>
      <c r="E569" s="18"/>
    </row>
    <row r="570" ht="22.5" customHeight="1">
      <c r="A570" s="18"/>
      <c r="B570" s="244" t="s">
        <v>238</v>
      </c>
      <c r="C570" s="238">
        <v>7.998E7</v>
      </c>
      <c r="D570" s="48"/>
      <c r="E570" s="22"/>
    </row>
    <row r="571" ht="22.5" customHeight="1">
      <c r="A571" s="22"/>
      <c r="B571" s="244" t="s">
        <v>239</v>
      </c>
      <c r="C571" s="238">
        <v>4.0379E7</v>
      </c>
      <c r="D571" s="48"/>
      <c r="E571" s="121">
        <f>C564+C565</f>
        <v>175270000</v>
      </c>
    </row>
    <row r="572" ht="22.5" customHeight="1">
      <c r="A572" s="137" t="s">
        <v>159</v>
      </c>
      <c r="B572" s="256" t="s">
        <v>225</v>
      </c>
      <c r="C572" s="257">
        <v>1.217E8</v>
      </c>
      <c r="D572" s="115" t="s">
        <v>7</v>
      </c>
      <c r="E572" s="22"/>
    </row>
    <row r="573" ht="22.5" customHeight="1">
      <c r="A573" s="18"/>
      <c r="B573" s="56" t="s">
        <v>53</v>
      </c>
      <c r="C573" s="110">
        <v>-1.4357E7</v>
      </c>
      <c r="D573" s="115" t="s">
        <v>7</v>
      </c>
      <c r="E573" s="96">
        <f>C566+C567+C568</f>
        <v>43452000</v>
      </c>
    </row>
    <row r="574" ht="22.5" customHeight="1">
      <c r="A574" s="18"/>
      <c r="B574" s="56" t="s">
        <v>55</v>
      </c>
      <c r="C574" s="110">
        <v>-2.019E7</v>
      </c>
      <c r="D574" s="115" t="s">
        <v>7</v>
      </c>
      <c r="E574" s="18"/>
    </row>
    <row r="575" ht="22.5" customHeight="1">
      <c r="A575" s="22"/>
      <c r="B575" s="256" t="s">
        <v>257</v>
      </c>
      <c r="C575" s="257">
        <v>8.464E7</v>
      </c>
      <c r="D575" s="115" t="s">
        <v>7</v>
      </c>
      <c r="E575" s="18"/>
    </row>
    <row r="576" ht="22.5" customHeight="1">
      <c r="A576" s="258" t="s">
        <v>160</v>
      </c>
      <c r="B576" s="129" t="s">
        <v>222</v>
      </c>
      <c r="C576" s="19">
        <f>1200000+47267500+56343000+9500000</f>
        <v>114310500</v>
      </c>
      <c r="D576" s="48"/>
      <c r="E576" s="18"/>
    </row>
    <row r="577" ht="22.5" customHeight="1">
      <c r="A577" s="18"/>
      <c r="B577" s="256" t="s">
        <v>257</v>
      </c>
      <c r="C577" s="257">
        <v>1.30129E8</v>
      </c>
      <c r="D577" s="48"/>
      <c r="E577" s="132">
        <f>C570+C571</f>
        <v>120359000</v>
      </c>
    </row>
    <row r="578" ht="22.5" customHeight="1">
      <c r="A578" s="22"/>
      <c r="B578" s="256" t="s">
        <v>225</v>
      </c>
      <c r="C578" s="257">
        <v>1.00451E8</v>
      </c>
      <c r="D578" s="48"/>
      <c r="E578" s="22"/>
    </row>
    <row r="579" ht="22.5" customHeight="1">
      <c r="A579" s="137" t="s">
        <v>167</v>
      </c>
      <c r="B579" s="56" t="s">
        <v>51</v>
      </c>
      <c r="C579" s="110">
        <v>0.0</v>
      </c>
      <c r="D579" s="48"/>
      <c r="E579" s="259">
        <v>0.0</v>
      </c>
    </row>
    <row r="580" ht="22.5" customHeight="1">
      <c r="A580" s="18"/>
      <c r="B580" s="56" t="s">
        <v>53</v>
      </c>
      <c r="C580" s="110">
        <v>-1.51582E7</v>
      </c>
      <c r="D580" s="115" t="s">
        <v>7</v>
      </c>
      <c r="E580" s="18"/>
    </row>
    <row r="581" ht="22.5" customHeight="1">
      <c r="A581" s="18"/>
      <c r="B581" s="56" t="s">
        <v>55</v>
      </c>
      <c r="C581" s="110">
        <v>-3.61892E7</v>
      </c>
      <c r="D581" s="115" t="s">
        <v>7</v>
      </c>
      <c r="E581" s="18"/>
    </row>
    <row r="582" ht="22.5" customHeight="1">
      <c r="A582" s="18"/>
      <c r="B582" s="129" t="s">
        <v>57</v>
      </c>
      <c r="C582" s="110">
        <v>3250000.0</v>
      </c>
      <c r="D582" s="115" t="s">
        <v>7</v>
      </c>
      <c r="E582" s="22"/>
    </row>
    <row r="583" ht="22.5" customHeight="1">
      <c r="A583" s="18"/>
      <c r="B583" s="256" t="s">
        <v>257</v>
      </c>
      <c r="C583" s="257">
        <v>7.6285E7</v>
      </c>
      <c r="D583" s="115" t="s">
        <v>7</v>
      </c>
      <c r="E583" s="260">
        <f>sum(C576:C578)</f>
        <v>344890500</v>
      </c>
    </row>
    <row r="584" ht="22.5" customHeight="1">
      <c r="A584" s="22"/>
      <c r="B584" s="256" t="s">
        <v>225</v>
      </c>
      <c r="C584" s="257">
        <v>5.075E7</v>
      </c>
      <c r="D584" s="115" t="s">
        <v>7</v>
      </c>
      <c r="E584" s="18"/>
    </row>
    <row r="585" ht="22.5" customHeight="1">
      <c r="A585" s="137" t="s">
        <v>172</v>
      </c>
      <c r="B585" s="129" t="s">
        <v>258</v>
      </c>
      <c r="C585" s="110">
        <v>5166000.0</v>
      </c>
      <c r="D585" s="48"/>
      <c r="E585" s="22"/>
    </row>
    <row r="586" ht="22.5" customHeight="1">
      <c r="A586" s="18"/>
      <c r="B586" s="129" t="s">
        <v>259</v>
      </c>
      <c r="C586" s="110">
        <v>2.4796E7</v>
      </c>
      <c r="D586" s="48"/>
      <c r="E586" s="259">
        <v>0.0</v>
      </c>
      <c r="F586" s="134"/>
    </row>
    <row r="587" ht="22.5" customHeight="1">
      <c r="A587" s="18"/>
      <c r="B587" s="56" t="s">
        <v>53</v>
      </c>
      <c r="C587" s="110">
        <v>2.4106E7</v>
      </c>
      <c r="D587" s="48"/>
      <c r="E587" s="18"/>
      <c r="F587" s="134" t="s">
        <v>260</v>
      </c>
    </row>
    <row r="588" ht="22.5" customHeight="1">
      <c r="A588" s="18"/>
      <c r="B588" s="56" t="s">
        <v>55</v>
      </c>
      <c r="C588" s="110">
        <v>2.3049E7</v>
      </c>
      <c r="D588" s="48"/>
      <c r="E588" s="18"/>
    </row>
    <row r="589" ht="22.5" customHeight="1">
      <c r="A589" s="18"/>
      <c r="B589" s="129" t="s">
        <v>57</v>
      </c>
      <c r="C589" s="110">
        <v>8.836E7</v>
      </c>
      <c r="D589" s="48"/>
      <c r="E589" s="18"/>
      <c r="F589" s="20"/>
    </row>
    <row r="590" ht="22.5" customHeight="1">
      <c r="A590" s="18"/>
      <c r="B590" s="256" t="s">
        <v>257</v>
      </c>
      <c r="C590" s="257">
        <v>3.4023E7</v>
      </c>
      <c r="D590" s="48"/>
      <c r="E590" s="18"/>
    </row>
    <row r="591" ht="22.5" customHeight="1">
      <c r="A591" s="22"/>
      <c r="B591" s="256" t="s">
        <v>225</v>
      </c>
      <c r="C591" s="257">
        <v>3.994E7</v>
      </c>
      <c r="D591" s="48"/>
      <c r="E591" s="22"/>
    </row>
    <row r="592" ht="27.75" customHeight="1">
      <c r="A592" s="137" t="s">
        <v>178</v>
      </c>
      <c r="B592" s="129" t="s">
        <v>81</v>
      </c>
      <c r="C592" s="110">
        <v>9000000.0</v>
      </c>
      <c r="D592" s="115" t="s">
        <v>7</v>
      </c>
      <c r="E592" s="259">
        <f>sum(C585:C591)</f>
        <v>239440000</v>
      </c>
    </row>
    <row r="593" ht="27.75" customHeight="1">
      <c r="A593" s="18"/>
      <c r="B593" s="129" t="s">
        <v>228</v>
      </c>
      <c r="C593" s="110">
        <f>281250000-9000000</f>
        <v>272250000</v>
      </c>
      <c r="D593" s="115" t="s">
        <v>7</v>
      </c>
      <c r="E593" s="18"/>
      <c r="F593" s="134" t="s">
        <v>261</v>
      </c>
    </row>
    <row r="594" ht="27.75" customHeight="1">
      <c r="A594" s="18"/>
      <c r="B594" s="56" t="s">
        <v>53</v>
      </c>
      <c r="C594" s="110">
        <v>4.0671E7</v>
      </c>
      <c r="D594" s="48"/>
      <c r="E594" s="18"/>
    </row>
    <row r="595" ht="27.75" customHeight="1">
      <c r="A595" s="18"/>
      <c r="B595" s="129" t="s">
        <v>55</v>
      </c>
      <c r="C595" s="110">
        <v>3.6049E7</v>
      </c>
      <c r="D595" s="48"/>
      <c r="E595" s="18"/>
      <c r="I595" s="134"/>
    </row>
    <row r="596" ht="27.75" customHeight="1">
      <c r="A596" s="18"/>
      <c r="B596" s="129" t="s">
        <v>57</v>
      </c>
      <c r="C596" s="110">
        <f>sum(38395500+600000+7440000)</f>
        <v>46435500</v>
      </c>
      <c r="D596" s="48"/>
      <c r="E596" s="18"/>
      <c r="I596" s="134"/>
    </row>
    <row r="597" ht="27.75" customHeight="1">
      <c r="A597" s="18"/>
      <c r="B597" s="256" t="s">
        <v>257</v>
      </c>
      <c r="C597" s="257">
        <v>1.40825E8</v>
      </c>
      <c r="D597" s="48"/>
      <c r="E597" s="18"/>
      <c r="I597" s="134"/>
    </row>
    <row r="598" ht="27.75" customHeight="1">
      <c r="A598" s="22"/>
      <c r="B598" s="256" t="s">
        <v>225</v>
      </c>
      <c r="C598" s="257">
        <v>1.38859E8</v>
      </c>
      <c r="D598" s="48"/>
      <c r="E598" s="22"/>
      <c r="I598" s="134">
        <v>1.62018E8</v>
      </c>
    </row>
    <row r="599" ht="27.75" customHeight="1">
      <c r="A599" s="137" t="s">
        <v>182</v>
      </c>
      <c r="B599" s="129" t="s">
        <v>228</v>
      </c>
      <c r="C599" s="19">
        <f>20583800+19128900+8584000+34544500-50822600-15000000</f>
        <v>17018600</v>
      </c>
      <c r="D599" s="48"/>
      <c r="E599" s="260">
        <f>SUM(C599:C605)</f>
        <v>156726600</v>
      </c>
      <c r="G599" s="261" t="s">
        <v>262</v>
      </c>
      <c r="H599" s="133" t="s">
        <v>151</v>
      </c>
      <c r="I599" s="233">
        <v>1.33234E8</v>
      </c>
    </row>
    <row r="600" ht="27.75" customHeight="1">
      <c r="A600" s="18"/>
      <c r="B600" s="129" t="s">
        <v>263</v>
      </c>
      <c r="C600" s="110">
        <v>945000.0</v>
      </c>
      <c r="D600" s="48"/>
      <c r="E600" s="18"/>
      <c r="G600" s="18"/>
      <c r="H600" s="129" t="s">
        <v>264</v>
      </c>
      <c r="I600" s="115">
        <v>-3.0E7</v>
      </c>
    </row>
    <row r="601" ht="27.75" customHeight="1">
      <c r="A601" s="18"/>
      <c r="B601" s="129" t="s">
        <v>265</v>
      </c>
      <c r="C601" s="110">
        <v>1.9316E7</v>
      </c>
      <c r="D601" s="48"/>
      <c r="E601" s="18"/>
      <c r="G601" s="18"/>
      <c r="H601" s="129"/>
      <c r="I601" s="115"/>
    </row>
    <row r="602" ht="27.75" customHeight="1">
      <c r="A602" s="18"/>
      <c r="B602" s="129" t="s">
        <v>266</v>
      </c>
      <c r="C602" s="110">
        <v>2.279E7</v>
      </c>
      <c r="D602" s="48"/>
      <c r="E602" s="18"/>
      <c r="G602" s="18"/>
      <c r="H602" s="56"/>
      <c r="I602" s="122"/>
    </row>
    <row r="603" ht="27.75" customHeight="1">
      <c r="A603" s="18"/>
      <c r="B603" s="129" t="s">
        <v>267</v>
      </c>
      <c r="C603" s="110">
        <f>sum(2825000)</f>
        <v>2825000</v>
      </c>
      <c r="D603" s="48"/>
      <c r="E603" s="18"/>
      <c r="G603" s="18"/>
      <c r="H603" s="56"/>
      <c r="I603" s="122"/>
    </row>
    <row r="604" ht="27.75" customHeight="1">
      <c r="A604" s="18"/>
      <c r="B604" s="262" t="s">
        <v>257</v>
      </c>
      <c r="C604" s="263">
        <v>7.3979E7</v>
      </c>
      <c r="D604" s="48"/>
      <c r="E604" s="18"/>
      <c r="G604" s="18"/>
      <c r="H604" s="56"/>
      <c r="I604" s="122"/>
    </row>
    <row r="605" ht="27.75" customHeight="1">
      <c r="A605" s="22"/>
      <c r="B605" s="264" t="s">
        <v>225</v>
      </c>
      <c r="C605" s="263">
        <f>108267000-100000000+11586000</f>
        <v>19853000</v>
      </c>
      <c r="D605" s="48"/>
      <c r="E605" s="22"/>
      <c r="G605" s="22"/>
      <c r="H605" s="56" t="s">
        <v>99</v>
      </c>
      <c r="I605" s="122">
        <f>SUM(I599:I601)</f>
        <v>103234000</v>
      </c>
    </row>
    <row r="606" ht="27.75" customHeight="1">
      <c r="A606" s="137" t="s">
        <v>184</v>
      </c>
      <c r="B606" s="129" t="s">
        <v>81</v>
      </c>
      <c r="C606" s="110">
        <v>1.0503E7</v>
      </c>
      <c r="D606" s="48"/>
      <c r="E606" s="260">
        <f>SUM(C599:C605)</f>
        <v>156726600</v>
      </c>
      <c r="G606" s="135" t="s">
        <v>185</v>
      </c>
      <c r="H606" s="133" t="s">
        <v>151</v>
      </c>
      <c r="I606" s="233">
        <v>3.00991E8</v>
      </c>
    </row>
    <row r="607" ht="27.75" customHeight="1">
      <c r="A607" s="18"/>
      <c r="B607" s="129" t="s">
        <v>228</v>
      </c>
      <c r="C607" s="19">
        <f>18058500+25555500+23910000+15592000</f>
        <v>83116000</v>
      </c>
      <c r="D607" s="48"/>
      <c r="E607" s="18"/>
      <c r="G607" s="18"/>
      <c r="H607" s="129" t="s">
        <v>268</v>
      </c>
      <c r="I607" s="115">
        <v>-2.0E8</v>
      </c>
    </row>
    <row r="608" ht="27.75" customHeight="1">
      <c r="A608" s="18"/>
      <c r="B608" s="56" t="s">
        <v>51</v>
      </c>
      <c r="C608" s="110">
        <v>2.05316E7</v>
      </c>
      <c r="D608" s="48"/>
      <c r="E608" s="18"/>
      <c r="G608" s="18"/>
      <c r="H608" s="129" t="s">
        <v>269</v>
      </c>
      <c r="I608" s="115">
        <v>-5.0999E7</v>
      </c>
    </row>
    <row r="609" ht="27.75" customHeight="1">
      <c r="A609" s="18"/>
      <c r="B609" s="129" t="s">
        <v>55</v>
      </c>
      <c r="C609" s="110">
        <v>2.24685E7</v>
      </c>
      <c r="D609" s="48"/>
      <c r="E609" s="18"/>
      <c r="G609" s="18"/>
      <c r="H609" s="56"/>
      <c r="I609" s="122"/>
    </row>
    <row r="610" ht="27.75" customHeight="1">
      <c r="A610" s="18"/>
      <c r="B610" s="262" t="s">
        <v>257</v>
      </c>
      <c r="C610" s="263">
        <v>5.4423E7</v>
      </c>
      <c r="D610" s="48"/>
      <c r="E610" s="18"/>
      <c r="F610" s="127">
        <f>999-799</f>
        <v>200</v>
      </c>
      <c r="G610" s="18"/>
      <c r="H610" s="56"/>
      <c r="I610" s="122"/>
    </row>
    <row r="611" ht="27.75" customHeight="1">
      <c r="A611" s="18"/>
      <c r="B611" s="264" t="s">
        <v>225</v>
      </c>
      <c r="C611" s="263">
        <v>3.2965E7</v>
      </c>
      <c r="D611" s="48"/>
      <c r="E611" s="18"/>
      <c r="G611" s="22"/>
      <c r="H611" s="56" t="s">
        <v>99</v>
      </c>
      <c r="I611" s="122">
        <f>SUM(I606:I608)</f>
        <v>49992000</v>
      </c>
    </row>
    <row r="612" ht="27.75" customHeight="1">
      <c r="A612" s="22"/>
      <c r="B612" s="265" t="s">
        <v>270</v>
      </c>
      <c r="C612" s="130">
        <v>4.9992E7</v>
      </c>
      <c r="D612" s="115"/>
      <c r="E612" s="22"/>
      <c r="G612" s="127">
        <f>173999-49992</f>
        <v>124007</v>
      </c>
    </row>
    <row r="613" ht="27.75" customHeight="1">
      <c r="A613" s="137" t="s">
        <v>188</v>
      </c>
      <c r="B613" s="56" t="s">
        <v>51</v>
      </c>
      <c r="C613" s="110">
        <v>3.8303E7</v>
      </c>
      <c r="D613" s="115" t="s">
        <v>7</v>
      </c>
      <c r="E613" s="260">
        <f>SUM(C606:C612)-100000000</f>
        <v>173999100</v>
      </c>
    </row>
    <row r="614" ht="27.75" customHeight="1">
      <c r="A614" s="18"/>
      <c r="B614" s="56" t="s">
        <v>53</v>
      </c>
      <c r="C614" s="110">
        <v>4.9339E7</v>
      </c>
      <c r="D614" s="115" t="s">
        <v>7</v>
      </c>
      <c r="E614" s="18"/>
    </row>
    <row r="615" ht="27.75" customHeight="1">
      <c r="A615" s="18"/>
      <c r="B615" s="56" t="s">
        <v>55</v>
      </c>
      <c r="C615" s="110">
        <v>5.76175E7</v>
      </c>
      <c r="D615" s="115" t="s">
        <v>7</v>
      </c>
      <c r="E615" s="18"/>
    </row>
    <row r="616" ht="27.75" customHeight="1">
      <c r="A616" s="18"/>
      <c r="B616" s="129" t="s">
        <v>57</v>
      </c>
      <c r="C616" s="110">
        <v>2.11E7</v>
      </c>
      <c r="D616" s="115" t="s">
        <v>7</v>
      </c>
      <c r="E616" s="18"/>
    </row>
    <row r="617" ht="27.75" customHeight="1">
      <c r="A617" s="18"/>
      <c r="B617" s="256" t="s">
        <v>257</v>
      </c>
      <c r="C617" s="257">
        <v>9.3695E7</v>
      </c>
      <c r="D617" s="115" t="s">
        <v>7</v>
      </c>
      <c r="E617" s="18"/>
    </row>
    <row r="618" ht="27.75" customHeight="1">
      <c r="A618" s="22"/>
      <c r="B618" s="256" t="s">
        <v>225</v>
      </c>
      <c r="C618" s="257">
        <f>81873000+34750000</f>
        <v>116623000</v>
      </c>
      <c r="D618" s="115" t="s">
        <v>7</v>
      </c>
      <c r="E618" s="18"/>
    </row>
    <row r="619" ht="28.5" customHeight="1">
      <c r="A619" s="137" t="s">
        <v>190</v>
      </c>
      <c r="B619" s="129" t="s">
        <v>228</v>
      </c>
      <c r="C619" s="110">
        <f>SUM(171057000-150000000)</f>
        <v>21057000</v>
      </c>
      <c r="D619" s="266"/>
      <c r="E619" s="259">
        <v>0.0</v>
      </c>
      <c r="G619" s="261" t="s">
        <v>271</v>
      </c>
      <c r="H619" s="133" t="s">
        <v>151</v>
      </c>
      <c r="I619" s="233">
        <v>8.12009E8</v>
      </c>
    </row>
    <row r="620" ht="28.5" customHeight="1">
      <c r="A620" s="18"/>
      <c r="B620" s="129" t="s">
        <v>222</v>
      </c>
      <c r="C620" s="115">
        <v>1.55518E8</v>
      </c>
      <c r="E620" s="18"/>
      <c r="G620" s="18"/>
      <c r="H620" s="129"/>
      <c r="I620" s="115"/>
    </row>
    <row r="621" ht="28.5" customHeight="1">
      <c r="A621" s="18"/>
      <c r="B621" s="129" t="s">
        <v>272</v>
      </c>
      <c r="C621" s="110"/>
      <c r="D621" s="48"/>
      <c r="E621" s="18"/>
      <c r="G621" s="18"/>
      <c r="H621" s="56"/>
      <c r="I621" s="48"/>
    </row>
    <row r="622" ht="28.5" customHeight="1">
      <c r="A622" s="18"/>
      <c r="B622" s="56"/>
      <c r="C622" s="110"/>
      <c r="D622" s="48"/>
      <c r="E622" s="18"/>
      <c r="G622" s="18"/>
      <c r="H622" s="56"/>
      <c r="I622" s="122"/>
    </row>
    <row r="623" ht="28.5" customHeight="1">
      <c r="A623" s="18"/>
      <c r="B623" s="129"/>
      <c r="C623" s="110"/>
      <c r="D623" s="48"/>
      <c r="E623" s="18"/>
      <c r="G623" s="18"/>
      <c r="H623" s="56"/>
      <c r="I623" s="122"/>
    </row>
    <row r="624" ht="28.5" customHeight="1">
      <c r="A624" s="18"/>
      <c r="B624" s="256" t="s">
        <v>257</v>
      </c>
      <c r="C624" s="257">
        <v>6.9317E7</v>
      </c>
      <c r="D624" s="48"/>
      <c r="E624" s="18"/>
      <c r="G624" s="18"/>
      <c r="H624" s="56"/>
      <c r="I624" s="122"/>
    </row>
    <row r="625" ht="28.5" customHeight="1">
      <c r="A625" s="22"/>
      <c r="B625" s="256" t="s">
        <v>225</v>
      </c>
      <c r="C625" s="257">
        <v>7.7555E7</v>
      </c>
      <c r="D625" s="48"/>
      <c r="E625" s="22"/>
      <c r="G625" s="22"/>
      <c r="H625" s="56" t="s">
        <v>99</v>
      </c>
      <c r="I625" s="122">
        <f>SUM(I619:I621)</f>
        <v>812009000</v>
      </c>
    </row>
    <row r="626" ht="27.0" customHeight="1">
      <c r="A626" s="137" t="s">
        <v>192</v>
      </c>
      <c r="B626" s="56" t="s">
        <v>51</v>
      </c>
      <c r="C626" s="110">
        <v>1.1455E7</v>
      </c>
      <c r="D626" s="115" t="s">
        <v>7</v>
      </c>
      <c r="E626" s="260">
        <f>SUM(C619:C625)</f>
        <v>323447000</v>
      </c>
      <c r="G626" s="261" t="s">
        <v>273</v>
      </c>
      <c r="H626" s="133" t="s">
        <v>151</v>
      </c>
      <c r="I626" s="233">
        <v>8.30393E8</v>
      </c>
    </row>
    <row r="627" ht="27.0" customHeight="1">
      <c r="A627" s="18"/>
      <c r="B627" s="256" t="s">
        <v>274</v>
      </c>
      <c r="C627" s="257">
        <v>4.3836E7</v>
      </c>
      <c r="D627" s="115" t="s">
        <v>7</v>
      </c>
      <c r="E627" s="18"/>
      <c r="G627" s="18"/>
      <c r="H627" s="129"/>
      <c r="I627" s="115"/>
      <c r="M627" s="20"/>
    </row>
    <row r="628" ht="27.0" customHeight="1">
      <c r="A628" s="18"/>
      <c r="B628" s="256" t="s">
        <v>225</v>
      </c>
      <c r="C628" s="257">
        <v>9.78276E7</v>
      </c>
      <c r="D628" s="115" t="s">
        <v>7</v>
      </c>
      <c r="E628" s="18"/>
      <c r="G628" s="18"/>
      <c r="H628" s="129" t="s">
        <v>199</v>
      </c>
      <c r="I628" s="115">
        <v>5022701.0</v>
      </c>
      <c r="M628" s="20">
        <f>69.5*30000</f>
        <v>2085000</v>
      </c>
    </row>
    <row r="629" ht="51.75" customHeight="1">
      <c r="A629" s="22"/>
      <c r="B629" s="129" t="s">
        <v>275</v>
      </c>
      <c r="C629" s="110">
        <f>-50*54000-660000</f>
        <v>-3360000</v>
      </c>
      <c r="D629" s="115" t="s">
        <v>7</v>
      </c>
      <c r="E629" s="18"/>
      <c r="G629" s="22"/>
      <c r="H629" s="56" t="s">
        <v>99</v>
      </c>
      <c r="I629" s="122">
        <f>SUM(I626:I628)</f>
        <v>835415701</v>
      </c>
    </row>
    <row r="630" ht="27.0" customHeight="1">
      <c r="A630" s="267" t="s">
        <v>196</v>
      </c>
      <c r="B630" s="56" t="s">
        <v>57</v>
      </c>
      <c r="C630" s="110">
        <f>sum(9480000)</f>
        <v>9480000</v>
      </c>
      <c r="D630" s="48"/>
      <c r="E630" s="18"/>
      <c r="F630" s="20" t="s">
        <v>195</v>
      </c>
      <c r="G630" s="135"/>
      <c r="H630" s="56"/>
      <c r="I630" s="122"/>
    </row>
    <row r="631" ht="27.0" customHeight="1">
      <c r="A631" s="18"/>
      <c r="B631" s="129" t="s">
        <v>258</v>
      </c>
      <c r="C631" s="110">
        <v>6932000.0</v>
      </c>
      <c r="D631" s="48"/>
      <c r="E631" s="18"/>
      <c r="F631" s="203"/>
      <c r="G631" s="18"/>
      <c r="H631" s="56"/>
      <c r="I631" s="122"/>
    </row>
    <row r="632" ht="27.0" customHeight="1">
      <c r="A632" s="18"/>
      <c r="B632" s="256" t="s">
        <v>257</v>
      </c>
      <c r="C632" s="257">
        <v>6.5165E7</v>
      </c>
      <c r="D632" s="48"/>
      <c r="E632" s="22"/>
      <c r="F632" s="203"/>
      <c r="G632" s="18"/>
      <c r="H632" s="56"/>
      <c r="I632" s="122"/>
    </row>
    <row r="633" ht="27.0" customHeight="1">
      <c r="A633" s="22"/>
      <c r="B633" s="256" t="s">
        <v>225</v>
      </c>
      <c r="C633" s="257">
        <f>82713000+85300000</f>
        <v>168013000</v>
      </c>
      <c r="D633" s="48"/>
      <c r="E633" s="260">
        <f>SUM(C626:C629)</f>
        <v>149758600</v>
      </c>
      <c r="F633" s="203"/>
      <c r="G633" s="22"/>
      <c r="H633" s="56"/>
      <c r="I633" s="122"/>
    </row>
    <row r="634" ht="27.0" customHeight="1">
      <c r="A634" s="137" t="s">
        <v>200</v>
      </c>
      <c r="B634" s="56" t="s">
        <v>51</v>
      </c>
      <c r="C634" s="110">
        <v>3.80105E7</v>
      </c>
      <c r="D634" s="115" t="s">
        <v>223</v>
      </c>
      <c r="E634" s="18"/>
      <c r="F634" s="203"/>
      <c r="G634" s="261" t="s">
        <v>276</v>
      </c>
      <c r="H634" s="129" t="s">
        <v>228</v>
      </c>
      <c r="I634" s="48">
        <f>46972000+55721000+48467500</f>
        <v>151160500</v>
      </c>
      <c r="J634" s="261" t="s">
        <v>277</v>
      </c>
      <c r="K634" s="133" t="s">
        <v>151</v>
      </c>
      <c r="L634" s="233">
        <v>7.91183E8</v>
      </c>
    </row>
    <row r="635" ht="27.0" customHeight="1">
      <c r="A635" s="18"/>
      <c r="B635" s="56" t="s">
        <v>53</v>
      </c>
      <c r="C635" s="110">
        <v>6.82385E7</v>
      </c>
      <c r="D635" s="115" t="s">
        <v>223</v>
      </c>
      <c r="E635" s="18"/>
      <c r="G635" s="18"/>
      <c r="H635" s="129" t="s">
        <v>278</v>
      </c>
      <c r="I635" s="115">
        <v>3.80105E7</v>
      </c>
      <c r="J635" s="18"/>
      <c r="K635" s="268" t="s">
        <v>279</v>
      </c>
      <c r="L635" s="120">
        <f>-4000000-3500000-6750000</f>
        <v>-14250000</v>
      </c>
    </row>
    <row r="636" ht="27.0" customHeight="1">
      <c r="A636" s="18"/>
      <c r="B636" s="56" t="s">
        <v>55</v>
      </c>
      <c r="C636" s="110">
        <v>8.27795E7</v>
      </c>
      <c r="D636" s="115" t="s">
        <v>223</v>
      </c>
      <c r="E636" s="22"/>
      <c r="G636" s="18"/>
      <c r="H636" s="56"/>
      <c r="I636" s="48"/>
      <c r="J636" s="18"/>
      <c r="K636" s="22"/>
      <c r="L636" s="22"/>
    </row>
    <row r="637" ht="27.0" customHeight="1">
      <c r="A637" s="18"/>
      <c r="B637" s="56" t="s">
        <v>57</v>
      </c>
      <c r="C637" s="110">
        <f>sum(3800000)</f>
        <v>3800000</v>
      </c>
      <c r="D637" s="115" t="s">
        <v>223</v>
      </c>
      <c r="E637" s="260">
        <f>sum(C630:C633)</f>
        <v>249590000</v>
      </c>
      <c r="G637" s="18"/>
      <c r="H637" s="56"/>
      <c r="I637" s="122"/>
      <c r="J637" s="18"/>
      <c r="K637" s="56"/>
      <c r="L637" s="122"/>
    </row>
    <row r="638" ht="27.0" customHeight="1">
      <c r="A638" s="18"/>
      <c r="B638" s="129" t="s">
        <v>258</v>
      </c>
      <c r="C638" s="110">
        <v>5481000.0</v>
      </c>
      <c r="D638" s="115"/>
      <c r="E638" s="18"/>
      <c r="G638" s="18"/>
      <c r="H638" s="56"/>
      <c r="I638" s="122"/>
      <c r="J638" s="18"/>
      <c r="K638" s="56"/>
      <c r="L638" s="122"/>
    </row>
    <row r="639" ht="27.0" customHeight="1">
      <c r="A639" s="18"/>
      <c r="B639" s="256" t="s">
        <v>257</v>
      </c>
      <c r="C639" s="257">
        <v>1.75781E8</v>
      </c>
      <c r="D639" s="48"/>
      <c r="E639" s="18"/>
      <c r="G639" s="18"/>
      <c r="H639" s="56"/>
      <c r="I639" s="122"/>
      <c r="J639" s="18"/>
      <c r="K639" s="56"/>
      <c r="L639" s="122"/>
    </row>
    <row r="640" ht="27.0" customHeight="1">
      <c r="A640" s="22"/>
      <c r="B640" s="256" t="s">
        <v>225</v>
      </c>
      <c r="C640" s="257">
        <v>1.56228E8</v>
      </c>
      <c r="D640" s="48"/>
      <c r="E640" s="22"/>
      <c r="G640" s="22"/>
      <c r="H640" s="56" t="s">
        <v>99</v>
      </c>
      <c r="I640" s="122">
        <f>SUM(I634:I636)</f>
        <v>189171000</v>
      </c>
      <c r="J640" s="22"/>
      <c r="K640" s="56" t="s">
        <v>99</v>
      </c>
      <c r="L640" s="122">
        <f>SUM(L634:L636)</f>
        <v>776933000</v>
      </c>
    </row>
    <row r="641" ht="27.0" customHeight="1">
      <c r="A641" s="267" t="s">
        <v>280</v>
      </c>
      <c r="B641" s="56"/>
      <c r="C641" s="110"/>
      <c r="D641" s="48"/>
      <c r="E641" s="260">
        <f>SUM(C638:C640)</f>
        <v>337490000</v>
      </c>
      <c r="G641" s="261" t="s">
        <v>281</v>
      </c>
      <c r="H641" s="133" t="s">
        <v>151</v>
      </c>
      <c r="I641" s="233">
        <v>1.296402E9</v>
      </c>
    </row>
    <row r="642" ht="27.0" customHeight="1">
      <c r="A642" s="18"/>
      <c r="B642" s="56"/>
      <c r="C642" s="110"/>
      <c r="D642" s="48"/>
      <c r="E642" s="18"/>
      <c r="G642" s="18"/>
      <c r="H642" s="56"/>
      <c r="I642" s="48"/>
    </row>
    <row r="643" ht="27.0" customHeight="1">
      <c r="A643" s="18"/>
      <c r="B643" s="56"/>
      <c r="C643" s="110"/>
      <c r="D643" s="115"/>
      <c r="E643" s="18"/>
      <c r="G643" s="18"/>
      <c r="H643" s="56"/>
      <c r="I643" s="48"/>
    </row>
    <row r="644" ht="27.0" customHeight="1">
      <c r="A644" s="18"/>
      <c r="B644" s="269">
        <v>45688.0</v>
      </c>
      <c r="C644" s="110">
        <v>2.8835E7</v>
      </c>
      <c r="D644" s="48"/>
      <c r="E644" s="18"/>
      <c r="G644" s="18"/>
      <c r="H644" s="56"/>
      <c r="I644" s="122"/>
    </row>
    <row r="645" ht="27.0" customHeight="1">
      <c r="A645" s="18"/>
      <c r="B645" s="129" t="s">
        <v>282</v>
      </c>
      <c r="C645" s="110">
        <v>110000.0</v>
      </c>
      <c r="D645" s="48"/>
      <c r="E645" s="18"/>
      <c r="G645" s="18"/>
      <c r="H645" s="56"/>
      <c r="I645" s="122"/>
    </row>
    <row r="646" ht="27.0" customHeight="1">
      <c r="A646" s="18"/>
      <c r="B646" s="129" t="s">
        <v>283</v>
      </c>
      <c r="C646" s="110">
        <v>525000.0</v>
      </c>
      <c r="D646" s="48"/>
      <c r="E646" s="18"/>
      <c r="G646" s="18"/>
      <c r="H646" s="56"/>
      <c r="I646" s="122"/>
    </row>
    <row r="647" ht="27.0" customHeight="1">
      <c r="A647" s="18"/>
      <c r="B647" s="256" t="s">
        <v>257</v>
      </c>
      <c r="C647" s="257">
        <v>1.3586E8</v>
      </c>
      <c r="D647" s="48"/>
      <c r="E647" s="22"/>
      <c r="G647" s="18"/>
      <c r="H647" s="56"/>
      <c r="I647" s="122"/>
    </row>
    <row r="648" ht="27.0" customHeight="1">
      <c r="A648" s="22"/>
      <c r="B648" s="256" t="s">
        <v>225</v>
      </c>
      <c r="C648" s="257">
        <v>1.42353E8</v>
      </c>
      <c r="D648" s="48"/>
      <c r="E648" s="260">
        <f>sum(C644:C648)</f>
        <v>307683000</v>
      </c>
      <c r="G648" s="22"/>
      <c r="H648" s="56" t="s">
        <v>99</v>
      </c>
      <c r="I648" s="122">
        <f>SUM(I641:I643)</f>
        <v>1296402000</v>
      </c>
    </row>
    <row r="649" ht="27.0" customHeight="1">
      <c r="A649" s="125" t="s">
        <v>202</v>
      </c>
      <c r="B649" s="129" t="s">
        <v>55</v>
      </c>
      <c r="C649" s="110">
        <f>50229000-2883000-16402000</f>
        <v>30944000</v>
      </c>
      <c r="D649" s="48"/>
      <c r="E649" s="18"/>
      <c r="F649" s="127" t="str">
        <f>#REF!+#REF!</f>
        <v>#REF!</v>
      </c>
      <c r="H649" s="129" t="s">
        <v>51</v>
      </c>
      <c r="I649" s="110">
        <v>9529000.0</v>
      </c>
      <c r="J649" s="48"/>
      <c r="K649" s="260">
        <f>SUM(I649:I661)</f>
        <v>1538730000</v>
      </c>
    </row>
    <row r="650" ht="27.0" customHeight="1">
      <c r="A650" s="18"/>
      <c r="B650" s="129" t="s">
        <v>57</v>
      </c>
      <c r="C650" s="110">
        <v>3.8984E7</v>
      </c>
      <c r="D650" s="270"/>
      <c r="E650" s="18"/>
      <c r="G650" s="271"/>
      <c r="H650" s="129" t="s">
        <v>53</v>
      </c>
      <c r="I650" s="110">
        <v>1.74069E8</v>
      </c>
      <c r="J650" s="270"/>
      <c r="K650" s="18"/>
    </row>
    <row r="651" ht="87.75" customHeight="1">
      <c r="A651" s="18"/>
      <c r="B651" s="129" t="s">
        <v>258</v>
      </c>
      <c r="C651" s="110">
        <v>2.1576E7</v>
      </c>
      <c r="D651" s="48"/>
      <c r="E651" s="18"/>
      <c r="G651" s="271"/>
      <c r="H651" s="129" t="s">
        <v>284</v>
      </c>
      <c r="I651" s="115">
        <v>-2883000.0</v>
      </c>
      <c r="J651" s="48"/>
      <c r="K651" s="18"/>
    </row>
    <row r="652" ht="36.0" customHeight="1">
      <c r="A652" s="18"/>
      <c r="B652" s="129" t="s">
        <v>285</v>
      </c>
      <c r="C652" s="115">
        <f>-1900000-570000-63000</f>
        <v>-2533000</v>
      </c>
      <c r="D652" s="48"/>
      <c r="E652" s="18"/>
      <c r="G652" s="271"/>
      <c r="H652" s="129" t="s">
        <v>55</v>
      </c>
      <c r="I652" s="110">
        <v>5.0229E7</v>
      </c>
      <c r="J652" s="48"/>
      <c r="K652" s="18"/>
    </row>
    <row r="653" ht="27.0" customHeight="1">
      <c r="A653" s="18"/>
      <c r="B653" s="256"/>
      <c r="C653" s="257"/>
      <c r="D653" s="48"/>
      <c r="E653" s="18"/>
      <c r="G653" s="271"/>
      <c r="H653" s="256" t="s">
        <v>286</v>
      </c>
      <c r="I653" s="257">
        <v>1.86118E8</v>
      </c>
      <c r="J653" s="48"/>
      <c r="K653" s="18"/>
    </row>
    <row r="654" ht="27.0" customHeight="1">
      <c r="A654" s="18"/>
      <c r="B654" s="256" t="s">
        <v>257</v>
      </c>
      <c r="C654" s="257">
        <v>1.77214E8</v>
      </c>
      <c r="D654" s="48"/>
      <c r="E654" s="18"/>
      <c r="G654" s="271"/>
      <c r="H654" s="129" t="s">
        <v>99</v>
      </c>
      <c r="I654" s="110">
        <f>SUM(I649:I653)</f>
        <v>417062000</v>
      </c>
      <c r="J654" s="48"/>
      <c r="K654" s="18"/>
    </row>
    <row r="655" ht="27.0" customHeight="1">
      <c r="A655" s="22"/>
      <c r="B655" s="256" t="s">
        <v>225</v>
      </c>
      <c r="C655" s="257">
        <v>1.86118E8</v>
      </c>
      <c r="D655" s="48"/>
      <c r="E655" s="22"/>
      <c r="G655" s="271"/>
      <c r="H655" s="129" t="s">
        <v>287</v>
      </c>
      <c r="I655" s="110">
        <v>-2.0E8</v>
      </c>
      <c r="J655" s="48"/>
      <c r="K655" s="22"/>
    </row>
    <row r="656" ht="25.5" customHeight="1">
      <c r="A656" s="137" t="s">
        <v>205</v>
      </c>
      <c r="B656" s="129" t="s">
        <v>288</v>
      </c>
      <c r="C656" s="110">
        <v>4.157E7</v>
      </c>
      <c r="D656" s="115" t="s">
        <v>7</v>
      </c>
      <c r="E656" s="260">
        <f>SUM(C649:C655)</f>
        <v>452303000</v>
      </c>
      <c r="G656" s="125" t="s">
        <v>202</v>
      </c>
      <c r="H656" s="129" t="s">
        <v>233</v>
      </c>
      <c r="I656" s="130">
        <f>I654+I655</f>
        <v>217062000</v>
      </c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</row>
    <row r="657" ht="25.5" customHeight="1">
      <c r="A657" s="18"/>
      <c r="B657" s="56" t="s">
        <v>51</v>
      </c>
      <c r="C657" s="110">
        <f>19168000-132000</f>
        <v>19036000</v>
      </c>
      <c r="D657" s="48"/>
      <c r="E657" s="18"/>
      <c r="F657" s="272" t="s">
        <v>289</v>
      </c>
      <c r="G657" s="18"/>
      <c r="H657" s="129" t="s">
        <v>57</v>
      </c>
      <c r="I657" s="110">
        <v>3.8984E7</v>
      </c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</row>
    <row r="658" ht="26.25" customHeight="1">
      <c r="A658" s="18"/>
      <c r="B658" s="56" t="s">
        <v>53</v>
      </c>
      <c r="C658" s="110">
        <v>2.6646E7</v>
      </c>
      <c r="D658" s="48"/>
      <c r="E658" s="18"/>
      <c r="F658" s="148"/>
      <c r="G658" s="18"/>
      <c r="H658" s="129" t="s">
        <v>258</v>
      </c>
      <c r="I658" s="110">
        <v>2.1576E7</v>
      </c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</row>
    <row r="659" ht="76.5" customHeight="1">
      <c r="A659" s="18"/>
      <c r="B659" s="129" t="s">
        <v>57</v>
      </c>
      <c r="C659" s="110">
        <f>sum(29513000+8700000)</f>
        <v>38213000</v>
      </c>
      <c r="D659" s="48"/>
      <c r="E659" s="18"/>
      <c r="F659" s="148"/>
      <c r="G659" s="18"/>
      <c r="H659" s="129" t="s">
        <v>285</v>
      </c>
      <c r="I659" s="115">
        <f>-1900000-570000-63000</f>
        <v>-2533000</v>
      </c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</row>
    <row r="660" ht="25.5" customHeight="1">
      <c r="A660" s="18"/>
      <c r="B660" s="256" t="s">
        <v>257</v>
      </c>
      <c r="C660" s="257">
        <v>8.683E7</v>
      </c>
      <c r="D660" s="48"/>
      <c r="E660" s="18"/>
      <c r="F660" s="148"/>
      <c r="G660" s="18"/>
      <c r="H660" s="256" t="s">
        <v>257</v>
      </c>
      <c r="I660" s="257">
        <v>1.77214E8</v>
      </c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</row>
    <row r="661" ht="25.5" customHeight="1">
      <c r="A661" s="22"/>
      <c r="B661" s="256" t="s">
        <v>225</v>
      </c>
      <c r="C661" s="257">
        <v>6.0185E7</v>
      </c>
      <c r="D661" s="48"/>
      <c r="E661" s="18"/>
      <c r="F661" s="148"/>
      <c r="G661" s="18"/>
      <c r="H661" s="129" t="s">
        <v>99</v>
      </c>
      <c r="I661" s="130">
        <f>SUM(I656:I660)</f>
        <v>452303000</v>
      </c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</row>
    <row r="662" ht="24.0" customHeight="1">
      <c r="A662" s="267" t="s">
        <v>290</v>
      </c>
      <c r="B662" s="56" t="s">
        <v>55</v>
      </c>
      <c r="C662" s="110">
        <f>92296000-44778000</f>
        <v>47518000</v>
      </c>
      <c r="D662" s="115" t="s">
        <v>7</v>
      </c>
      <c r="E662" s="22"/>
      <c r="F662" s="148"/>
    </row>
    <row r="663" ht="51.75" customHeight="1">
      <c r="A663" s="18"/>
      <c r="B663" s="129" t="s">
        <v>291</v>
      </c>
      <c r="C663" s="115">
        <f>-3450000-3000000</f>
        <v>-6450000</v>
      </c>
      <c r="D663" s="115" t="s">
        <v>7</v>
      </c>
      <c r="E663" s="260">
        <f>SUM(C657:C661)</f>
        <v>230910000</v>
      </c>
    </row>
    <row r="664" ht="24.0" customHeight="1">
      <c r="A664" s="18"/>
      <c r="B664" s="256" t="s">
        <v>257</v>
      </c>
      <c r="C664" s="257">
        <v>1.44935E8</v>
      </c>
      <c r="D664" s="115" t="s">
        <v>7</v>
      </c>
      <c r="E664" s="18"/>
    </row>
    <row r="665" ht="24.0" customHeight="1">
      <c r="A665" s="18"/>
      <c r="B665" s="256" t="s">
        <v>224</v>
      </c>
      <c r="C665" s="257">
        <v>2.2827E7</v>
      </c>
      <c r="D665" s="115" t="s">
        <v>7</v>
      </c>
      <c r="E665" s="18"/>
    </row>
    <row r="666" ht="24.0" customHeight="1">
      <c r="A666" s="22"/>
      <c r="B666" s="256" t="s">
        <v>225</v>
      </c>
      <c r="C666" s="257">
        <v>1.3045E8</v>
      </c>
      <c r="D666" s="115" t="s">
        <v>7</v>
      </c>
      <c r="E666" s="18"/>
    </row>
    <row r="667" ht="24.0" customHeight="1">
      <c r="A667" s="267" t="s">
        <v>292</v>
      </c>
      <c r="B667" s="56" t="s">
        <v>51</v>
      </c>
      <c r="C667" s="110">
        <v>7.92595E7</v>
      </c>
      <c r="D667" s="48"/>
      <c r="E667" s="18"/>
    </row>
    <row r="668" ht="24.0" customHeight="1">
      <c r="A668" s="18"/>
      <c r="B668" s="56" t="s">
        <v>53</v>
      </c>
      <c r="C668" s="110">
        <v>1.497815E8</v>
      </c>
      <c r="D668" s="48"/>
      <c r="E668" s="22"/>
    </row>
    <row r="669" ht="24.0" customHeight="1">
      <c r="A669" s="18"/>
      <c r="B669" s="56" t="s">
        <v>55</v>
      </c>
      <c r="C669" s="110">
        <v>6.84775E7</v>
      </c>
      <c r="D669" s="48"/>
      <c r="E669" s="259">
        <v>0.0</v>
      </c>
    </row>
    <row r="670" ht="24.0" customHeight="1">
      <c r="A670" s="18"/>
      <c r="B670" s="129" t="s">
        <v>57</v>
      </c>
      <c r="C670" s="110">
        <v>760000.0</v>
      </c>
      <c r="D670" s="48"/>
      <c r="E670" s="18"/>
    </row>
    <row r="671" ht="24.0" customHeight="1">
      <c r="A671" s="18"/>
      <c r="B671" s="256" t="s">
        <v>257</v>
      </c>
      <c r="C671" s="257">
        <v>5.6043E7</v>
      </c>
      <c r="D671" s="115" t="s">
        <v>7</v>
      </c>
      <c r="E671" s="18"/>
    </row>
    <row r="672" ht="24.0" customHeight="1">
      <c r="A672" s="22"/>
      <c r="B672" s="256" t="s">
        <v>225</v>
      </c>
      <c r="C672" s="257">
        <f>78678000+62620000+47641000+87732000</f>
        <v>276671000</v>
      </c>
      <c r="D672" s="115" t="s">
        <v>7</v>
      </c>
      <c r="E672" s="18"/>
    </row>
    <row r="673" ht="23.25" customHeight="1">
      <c r="A673" s="267" t="s">
        <v>293</v>
      </c>
      <c r="B673" s="56" t="s">
        <v>55</v>
      </c>
      <c r="C673" s="110">
        <v>4.6195E7</v>
      </c>
      <c r="D673" s="48"/>
      <c r="E673" s="22"/>
    </row>
    <row r="674" ht="23.25" customHeight="1">
      <c r="A674" s="18"/>
      <c r="B674" s="129" t="s">
        <v>294</v>
      </c>
      <c r="C674" s="110">
        <v>-3000000.0</v>
      </c>
      <c r="D674" s="48"/>
      <c r="E674" s="260">
        <f>SUM(C667:C670)</f>
        <v>298278500</v>
      </c>
    </row>
    <row r="675" ht="23.25" customHeight="1">
      <c r="A675" s="18"/>
      <c r="B675" s="129" t="s">
        <v>295</v>
      </c>
      <c r="C675" s="110">
        <v>1.4304E7</v>
      </c>
      <c r="D675" s="48"/>
      <c r="E675" s="18"/>
    </row>
    <row r="676" ht="23.25" customHeight="1">
      <c r="A676" s="22"/>
      <c r="B676" s="256" t="s">
        <v>225</v>
      </c>
      <c r="C676" s="257">
        <v>1.74257E8</v>
      </c>
      <c r="D676" s="48"/>
      <c r="E676" s="18"/>
      <c r="G676" s="140"/>
      <c r="H676" s="53"/>
      <c r="I676" s="273"/>
    </row>
    <row r="677" ht="23.25" customHeight="1">
      <c r="A677" s="267" t="s">
        <v>296</v>
      </c>
      <c r="B677" s="129" t="s">
        <v>57</v>
      </c>
      <c r="C677" s="110">
        <v>6.0866E7</v>
      </c>
      <c r="D677" s="115" t="s">
        <v>7</v>
      </c>
      <c r="E677" s="18"/>
      <c r="G677" s="140"/>
      <c r="H677" s="53"/>
      <c r="I677" s="273"/>
    </row>
    <row r="678" ht="23.25" customHeight="1">
      <c r="A678" s="18"/>
      <c r="B678" s="129" t="s">
        <v>171</v>
      </c>
      <c r="C678" s="110">
        <f>-3470000</f>
        <v>-3470000</v>
      </c>
      <c r="D678" s="115" t="s">
        <v>7</v>
      </c>
      <c r="E678" s="18"/>
      <c r="G678" s="140"/>
      <c r="H678" s="53"/>
      <c r="I678" s="273"/>
    </row>
    <row r="679" ht="23.25" customHeight="1">
      <c r="A679" s="18"/>
      <c r="B679" s="129" t="s">
        <v>295</v>
      </c>
      <c r="C679" s="110">
        <v>6608000.0</v>
      </c>
      <c r="D679" s="115" t="s">
        <v>7</v>
      </c>
      <c r="E679" s="22"/>
      <c r="G679" s="140"/>
      <c r="H679" s="53"/>
      <c r="I679" s="273"/>
    </row>
    <row r="680" ht="23.25" customHeight="1">
      <c r="A680" s="22"/>
      <c r="B680" s="256" t="s">
        <v>225</v>
      </c>
      <c r="C680" s="257">
        <v>2.21045E8</v>
      </c>
      <c r="D680" s="115" t="s">
        <v>7</v>
      </c>
      <c r="E680" s="260">
        <f>SUM(C673:C676)</f>
        <v>231756000</v>
      </c>
      <c r="G680" s="140"/>
      <c r="H680" s="53"/>
      <c r="I680" s="273"/>
    </row>
    <row r="681" ht="23.25" customHeight="1">
      <c r="A681" s="137" t="s">
        <v>207</v>
      </c>
      <c r="B681" s="129"/>
      <c r="C681" s="110"/>
      <c r="D681" s="115"/>
      <c r="E681" s="18"/>
      <c r="G681" s="140"/>
      <c r="H681" s="53"/>
      <c r="I681" s="273"/>
    </row>
    <row r="682" ht="23.25" customHeight="1">
      <c r="A682" s="18"/>
      <c r="B682" s="129"/>
      <c r="C682" s="110"/>
      <c r="D682" s="48"/>
      <c r="E682" s="18"/>
      <c r="G682" s="140"/>
      <c r="H682" s="53"/>
      <c r="I682" s="273"/>
    </row>
    <row r="683" ht="23.25" customHeight="1">
      <c r="A683" s="18"/>
      <c r="B683" s="274">
        <v>45688.0</v>
      </c>
      <c r="C683" s="155">
        <v>6517000.0</v>
      </c>
      <c r="D683" s="115" t="s">
        <v>7</v>
      </c>
      <c r="E683" s="22"/>
      <c r="F683" s="134" t="s">
        <v>297</v>
      </c>
      <c r="G683" s="140"/>
      <c r="H683" s="53"/>
      <c r="I683" s="273"/>
    </row>
    <row r="684" ht="23.25" customHeight="1">
      <c r="A684" s="18"/>
      <c r="B684" s="256"/>
      <c r="C684" s="257"/>
      <c r="D684" s="48"/>
      <c r="E684" s="259">
        <v>0.0</v>
      </c>
      <c r="G684" s="140"/>
      <c r="H684" s="53"/>
      <c r="I684" s="273"/>
    </row>
    <row r="685" ht="23.25" customHeight="1">
      <c r="A685" s="22"/>
      <c r="B685" s="256"/>
      <c r="C685" s="257"/>
      <c r="D685" s="48"/>
      <c r="E685" s="18"/>
      <c r="G685" s="140"/>
      <c r="H685" s="53"/>
      <c r="I685" s="273"/>
    </row>
    <row r="686" ht="23.25" customHeight="1">
      <c r="A686" s="125" t="s">
        <v>211</v>
      </c>
      <c r="B686" s="129" t="s">
        <v>288</v>
      </c>
      <c r="C686" s="110">
        <v>3.2194E7</v>
      </c>
      <c r="D686" s="48"/>
      <c r="E686" s="18"/>
      <c r="G686" s="135" t="s">
        <v>212</v>
      </c>
      <c r="H686" s="30" t="s">
        <v>151</v>
      </c>
      <c r="I686" s="115">
        <v>4.60129E8</v>
      </c>
    </row>
    <row r="687" ht="23.25" customHeight="1">
      <c r="A687" s="18"/>
      <c r="B687" s="56" t="s">
        <v>51</v>
      </c>
      <c r="C687" s="110">
        <v>2.0892E7</v>
      </c>
      <c r="D687" s="48"/>
      <c r="E687" s="22"/>
      <c r="G687" s="18"/>
      <c r="H687" s="173" t="s">
        <v>298</v>
      </c>
      <c r="I687" s="115">
        <v>-5.7863E7</v>
      </c>
    </row>
    <row r="688" ht="23.25" customHeight="1">
      <c r="A688" s="18"/>
      <c r="B688" s="56" t="s">
        <v>53</v>
      </c>
      <c r="C688" s="110">
        <v>4.51915E7</v>
      </c>
      <c r="D688" s="48"/>
      <c r="E688" s="259">
        <v>0.0</v>
      </c>
      <c r="G688" s="18"/>
      <c r="H688" s="30"/>
      <c r="I688" s="48"/>
    </row>
    <row r="689" ht="23.25" customHeight="1">
      <c r="A689" s="18"/>
      <c r="B689" s="56" t="s">
        <v>55</v>
      </c>
      <c r="C689" s="110">
        <v>1.5946E7</v>
      </c>
      <c r="D689" s="48"/>
      <c r="E689" s="18"/>
      <c r="G689" s="18"/>
      <c r="H689" s="56"/>
      <c r="I689" s="122"/>
    </row>
    <row r="690" ht="23.25" customHeight="1">
      <c r="A690" s="18"/>
      <c r="B690" s="129" t="s">
        <v>299</v>
      </c>
      <c r="C690" s="110">
        <v>3.025E7</v>
      </c>
      <c r="D690" s="48"/>
      <c r="E690" s="18"/>
      <c r="G690" s="18"/>
      <c r="H690" s="56"/>
      <c r="I690" s="122"/>
    </row>
    <row r="691" ht="23.25" customHeight="1">
      <c r="A691" s="18"/>
      <c r="B691" s="129" t="s">
        <v>300</v>
      </c>
      <c r="C691" s="110">
        <v>1.1257E7</v>
      </c>
      <c r="D691" s="48"/>
      <c r="E691" s="18"/>
      <c r="G691" s="18"/>
      <c r="H691" s="56"/>
      <c r="I691" s="122"/>
    </row>
    <row r="692" ht="23.25" customHeight="1">
      <c r="A692" s="18"/>
      <c r="B692" s="129" t="s">
        <v>301</v>
      </c>
      <c r="C692" s="110">
        <f>-60000-(68*3000)</f>
        <v>-264000</v>
      </c>
      <c r="D692" s="48"/>
      <c r="E692" s="22"/>
      <c r="G692" s="18"/>
      <c r="H692" s="56"/>
      <c r="I692" s="122"/>
    </row>
    <row r="693" ht="23.25" customHeight="1">
      <c r="A693" s="18"/>
      <c r="B693" s="256" t="s">
        <v>257</v>
      </c>
      <c r="C693" s="257">
        <v>1.935825E8</v>
      </c>
      <c r="D693" s="48"/>
      <c r="E693" s="260">
        <f>SUM(C686:C694)-70000000-160000000</f>
        <v>205388000</v>
      </c>
      <c r="G693" s="18"/>
      <c r="H693" s="56"/>
      <c r="I693" s="122"/>
    </row>
    <row r="694" ht="23.25" customHeight="1">
      <c r="A694" s="22"/>
      <c r="B694" s="256" t="s">
        <v>225</v>
      </c>
      <c r="C694" s="257">
        <v>8.6339E7</v>
      </c>
      <c r="D694" s="48"/>
      <c r="E694" s="18"/>
      <c r="G694" s="22"/>
      <c r="H694" s="56" t="s">
        <v>99</v>
      </c>
      <c r="I694" s="122">
        <f>SUM(I686:I688)</f>
        <v>402266000</v>
      </c>
    </row>
    <row r="695" ht="24.0" customHeight="1">
      <c r="A695" s="275" t="s">
        <v>302</v>
      </c>
      <c r="B695" s="56" t="s">
        <v>51</v>
      </c>
      <c r="C695" s="110">
        <v>3.41765E7</v>
      </c>
      <c r="D695" s="48"/>
      <c r="E695" s="18"/>
      <c r="G695" s="261" t="s">
        <v>303</v>
      </c>
      <c r="H695" s="30" t="s">
        <v>151</v>
      </c>
      <c r="I695" s="115">
        <v>4.41409E8</v>
      </c>
    </row>
    <row r="696" ht="24.0" customHeight="1">
      <c r="A696" s="18"/>
      <c r="B696" s="56" t="s">
        <v>53</v>
      </c>
      <c r="C696" s="110">
        <v>3.35876E7</v>
      </c>
      <c r="D696" s="48"/>
      <c r="E696" s="18"/>
      <c r="G696" s="18"/>
      <c r="H696" s="30"/>
      <c r="I696" s="48"/>
    </row>
    <row r="697" ht="24.0" customHeight="1">
      <c r="A697" s="18"/>
      <c r="B697" s="56" t="s">
        <v>55</v>
      </c>
      <c r="C697" s="110">
        <v>3.6411E7</v>
      </c>
      <c r="D697" s="48"/>
      <c r="E697" s="18"/>
      <c r="G697" s="18"/>
      <c r="H697" s="30"/>
      <c r="I697" s="48"/>
    </row>
    <row r="698" ht="24.0" customHeight="1">
      <c r="A698" s="18"/>
      <c r="B698" s="129" t="s">
        <v>304</v>
      </c>
      <c r="C698" s="110">
        <v>-264000.0</v>
      </c>
      <c r="D698" s="48"/>
      <c r="E698" s="18"/>
      <c r="G698" s="18"/>
      <c r="H698" s="56"/>
      <c r="I698" s="122"/>
    </row>
    <row r="699" ht="24.0" customHeight="1">
      <c r="A699" s="18"/>
      <c r="B699" s="256" t="s">
        <v>257</v>
      </c>
      <c r="C699" s="257">
        <v>1.13447E8</v>
      </c>
      <c r="D699" s="48"/>
      <c r="E699" s="18"/>
      <c r="G699" s="18"/>
      <c r="H699" s="56"/>
      <c r="I699" s="122"/>
    </row>
    <row r="700" ht="24.0" customHeight="1">
      <c r="A700" s="22"/>
      <c r="B700" s="256" t="s">
        <v>225</v>
      </c>
      <c r="C700" s="257">
        <v>5.5454E7</v>
      </c>
      <c r="D700" s="48"/>
      <c r="E700" s="18"/>
      <c r="G700" s="22"/>
      <c r="H700" s="56" t="s">
        <v>99</v>
      </c>
      <c r="I700" s="122">
        <f>SUM(I695:I697)</f>
        <v>441409000</v>
      </c>
    </row>
    <row r="701" ht="24.75" customHeight="1">
      <c r="A701" s="137" t="s">
        <v>215</v>
      </c>
      <c r="B701" s="129" t="s">
        <v>228</v>
      </c>
      <c r="C701" s="110">
        <v>2450000.0</v>
      </c>
      <c r="D701" s="48"/>
      <c r="E701" s="22"/>
      <c r="G701" s="261" t="s">
        <v>305</v>
      </c>
      <c r="H701" s="30" t="s">
        <v>151</v>
      </c>
      <c r="I701" s="115">
        <v>3.86798E8</v>
      </c>
    </row>
    <row r="702" ht="24.75" customHeight="1">
      <c r="A702" s="18"/>
      <c r="B702" s="56" t="s">
        <v>51</v>
      </c>
      <c r="C702" s="110">
        <v>8916000.0</v>
      </c>
      <c r="D702" s="48"/>
      <c r="E702" s="260">
        <f>SUM(C695:C700)-100000000-59629000</f>
        <v>113183100</v>
      </c>
      <c r="G702" s="18"/>
      <c r="H702" s="173" t="s">
        <v>306</v>
      </c>
      <c r="I702" s="115">
        <v>-2.36798E8</v>
      </c>
    </row>
    <row r="703" ht="24.75" customHeight="1">
      <c r="A703" s="18"/>
      <c r="B703" s="56" t="s">
        <v>53</v>
      </c>
      <c r="C703" s="110">
        <v>3983000.0</v>
      </c>
      <c r="D703" s="48"/>
      <c r="E703" s="18"/>
      <c r="G703" s="18"/>
      <c r="H703" s="276"/>
      <c r="I703" s="277"/>
    </row>
    <row r="704" ht="24.0" customHeight="1">
      <c r="A704" s="18"/>
      <c r="B704" s="56" t="s">
        <v>55</v>
      </c>
      <c r="C704" s="110">
        <v>8303000.0</v>
      </c>
      <c r="D704" s="48"/>
      <c r="E704" s="18"/>
      <c r="G704" s="18"/>
      <c r="H704" s="278"/>
      <c r="I704" s="279"/>
    </row>
    <row r="705" ht="24.0" customHeight="1">
      <c r="A705" s="18"/>
      <c r="B705" s="56" t="s">
        <v>299</v>
      </c>
      <c r="C705" s="110">
        <v>2282800.0</v>
      </c>
      <c r="D705" s="48"/>
      <c r="E705" s="18"/>
      <c r="G705" s="18"/>
      <c r="H705" s="278"/>
      <c r="I705" s="279"/>
    </row>
    <row r="706" ht="24.0" customHeight="1">
      <c r="A706" s="18"/>
      <c r="B706" s="256" t="s">
        <v>257</v>
      </c>
      <c r="C706" s="257">
        <v>1.16865E7</v>
      </c>
      <c r="D706" s="48"/>
      <c r="E706" s="18"/>
      <c r="G706" s="18"/>
      <c r="H706" s="278"/>
      <c r="I706" s="279"/>
    </row>
    <row r="707" ht="24.0" customHeight="1">
      <c r="A707" s="22"/>
      <c r="B707" s="256" t="s">
        <v>225</v>
      </c>
      <c r="C707" s="257">
        <v>2.7683E7</v>
      </c>
      <c r="D707" s="48"/>
      <c r="E707" s="22"/>
      <c r="G707" s="22"/>
      <c r="H707" s="56" t="s">
        <v>99</v>
      </c>
      <c r="I707" s="122">
        <f>SUM(I701:I703)</f>
        <v>150000000</v>
      </c>
    </row>
    <row r="708" ht="21.75" customHeight="1">
      <c r="A708" s="137" t="s">
        <v>216</v>
      </c>
      <c r="B708" s="56"/>
      <c r="C708" s="110"/>
      <c r="D708" s="115"/>
      <c r="E708" s="260">
        <f>SUM(C701:C707)</f>
        <v>65304300</v>
      </c>
    </row>
    <row r="709" ht="21.75" customHeight="1">
      <c r="A709" s="18"/>
      <c r="B709" s="56"/>
      <c r="C709" s="110"/>
      <c r="D709" s="115"/>
      <c r="E709" s="18"/>
    </row>
    <row r="710" ht="21.75" customHeight="1">
      <c r="A710" s="18"/>
      <c r="B710" s="129" t="s">
        <v>307</v>
      </c>
      <c r="C710" s="110">
        <v>2240000.0</v>
      </c>
      <c r="D710" s="115"/>
      <c r="E710" s="18"/>
      <c r="F710" s="134" t="s">
        <v>308</v>
      </c>
    </row>
    <row r="711" ht="21.75" customHeight="1">
      <c r="A711" s="18"/>
      <c r="B711" s="190" t="s">
        <v>309</v>
      </c>
      <c r="C711" s="110">
        <v>-490000.0</v>
      </c>
      <c r="D711" s="115"/>
      <c r="E711" s="18"/>
    </row>
    <row r="712" ht="21.75" customHeight="1">
      <c r="A712" s="18"/>
      <c r="B712" s="129" t="s">
        <v>310</v>
      </c>
      <c r="C712" s="110">
        <v>9955000.0</v>
      </c>
      <c r="D712" s="115"/>
      <c r="E712" s="18"/>
    </row>
    <row r="713" ht="21.75" customHeight="1">
      <c r="A713" s="18"/>
      <c r="B713" s="129"/>
      <c r="C713" s="110"/>
      <c r="D713" s="115"/>
      <c r="E713" s="18"/>
    </row>
    <row r="714" ht="21.75" customHeight="1">
      <c r="A714" s="22"/>
      <c r="B714" s="129"/>
      <c r="C714" s="110"/>
      <c r="D714" s="115"/>
      <c r="E714" s="22"/>
    </row>
    <row r="715" ht="15.75" customHeight="1">
      <c r="D715" s="2"/>
      <c r="E715" s="259">
        <f>sum(C710:C712)</f>
        <v>11705000</v>
      </c>
    </row>
    <row r="716" ht="15.75" customHeight="1">
      <c r="D716" s="2"/>
      <c r="E716" s="18"/>
    </row>
    <row r="717" ht="15.75" customHeight="1">
      <c r="D717" s="2"/>
      <c r="E717" s="18"/>
    </row>
    <row r="718" ht="15.75" customHeight="1">
      <c r="D718" s="2"/>
      <c r="E718" s="18"/>
    </row>
    <row r="719" ht="15.75" customHeight="1">
      <c r="D719" s="2"/>
      <c r="E719" s="18"/>
    </row>
    <row r="720" ht="15.75" customHeight="1">
      <c r="D720" s="2"/>
      <c r="E720" s="18"/>
    </row>
    <row r="721" ht="15.75" customHeight="1">
      <c r="D721" s="2"/>
      <c r="E721" s="22"/>
    </row>
    <row r="722" ht="15.75" customHeight="1">
      <c r="D722" s="2"/>
      <c r="E722" s="1"/>
    </row>
    <row r="723" ht="15.75" customHeight="1">
      <c r="D723" s="2"/>
      <c r="E723" s="1"/>
    </row>
    <row r="724" ht="15.75" customHeight="1">
      <c r="D724" s="2"/>
      <c r="E724" s="1"/>
    </row>
    <row r="725" ht="15.75" customHeight="1">
      <c r="D725" s="2"/>
      <c r="E725" s="1"/>
    </row>
    <row r="726" ht="15.75" customHeight="1">
      <c r="D726" s="2"/>
      <c r="E726" s="1"/>
    </row>
    <row r="727" ht="15.75" customHeight="1">
      <c r="D727" s="2"/>
      <c r="E727" s="1"/>
    </row>
    <row r="728" ht="15.75" customHeight="1">
      <c r="D728" s="2"/>
      <c r="E728" s="1"/>
    </row>
    <row r="729" ht="15.75" customHeight="1">
      <c r="D729" s="2"/>
      <c r="E729" s="1"/>
    </row>
    <row r="730" ht="15.75" customHeight="1">
      <c r="D730" s="2"/>
      <c r="E730" s="1"/>
    </row>
    <row r="731" ht="15.75" customHeight="1">
      <c r="D731" s="2"/>
      <c r="E731" s="1"/>
    </row>
    <row r="732" ht="15.75" customHeight="1">
      <c r="D732" s="2"/>
      <c r="E732" s="1"/>
    </row>
    <row r="733" ht="15.75" customHeight="1">
      <c r="D733" s="2"/>
      <c r="E733" s="1"/>
    </row>
    <row r="734" ht="15.75" customHeight="1">
      <c r="D734" s="2"/>
      <c r="E734" s="1"/>
    </row>
    <row r="735" ht="15.75" customHeight="1">
      <c r="D735" s="2"/>
      <c r="E735" s="1"/>
    </row>
    <row r="736" ht="15.75" customHeight="1">
      <c r="D736" s="2"/>
      <c r="E736" s="1"/>
    </row>
    <row r="737" ht="15.75" customHeight="1">
      <c r="D737" s="2"/>
      <c r="E737" s="1"/>
    </row>
    <row r="738" ht="15.75" customHeight="1">
      <c r="D738" s="2"/>
      <c r="E738" s="1"/>
    </row>
    <row r="739" ht="15.75" customHeight="1">
      <c r="D739" s="2"/>
      <c r="E739" s="1"/>
    </row>
    <row r="740" ht="15.75" customHeight="1">
      <c r="D740" s="2"/>
      <c r="E740" s="1"/>
    </row>
    <row r="741" ht="15.75" customHeight="1">
      <c r="D741" s="2"/>
      <c r="E741" s="1"/>
    </row>
    <row r="742" ht="15.75" customHeight="1">
      <c r="D742" s="2"/>
      <c r="E742" s="1"/>
    </row>
    <row r="743" ht="15.75" customHeight="1">
      <c r="D743" s="2"/>
      <c r="E743" s="1"/>
    </row>
    <row r="744" ht="15.75" customHeight="1">
      <c r="D744" s="2"/>
      <c r="E744" s="1"/>
    </row>
    <row r="745" ht="15.75" customHeight="1">
      <c r="D745" s="2"/>
      <c r="E745" s="1"/>
    </row>
    <row r="746" ht="15.75" customHeight="1">
      <c r="D746" s="2"/>
      <c r="E746" s="1"/>
    </row>
    <row r="747" ht="15.75" customHeight="1">
      <c r="D747" s="2"/>
      <c r="E747" s="1"/>
    </row>
    <row r="748" ht="15.75" customHeight="1">
      <c r="D748" s="2"/>
      <c r="E748" s="1"/>
    </row>
    <row r="749" ht="15.75" customHeight="1">
      <c r="D749" s="2"/>
      <c r="E749" s="1"/>
    </row>
    <row r="750" ht="15.75" customHeight="1">
      <c r="D750" s="2"/>
      <c r="E750" s="1"/>
    </row>
    <row r="751" ht="15.75" customHeight="1">
      <c r="D751" s="2"/>
      <c r="E751" s="1"/>
    </row>
    <row r="752" ht="15.75" customHeight="1">
      <c r="D752" s="2"/>
      <c r="E752" s="1"/>
    </row>
    <row r="753" ht="15.75" customHeight="1">
      <c r="D753" s="2"/>
      <c r="E753" s="1"/>
    </row>
    <row r="754" ht="15.75" customHeight="1">
      <c r="D754" s="2"/>
      <c r="E754" s="1"/>
    </row>
    <row r="755" ht="15.75" customHeight="1">
      <c r="D755" s="2"/>
      <c r="E755" s="1"/>
    </row>
    <row r="756" ht="15.75" customHeight="1">
      <c r="D756" s="2"/>
      <c r="E756" s="1"/>
    </row>
    <row r="757" ht="15.75" customHeight="1">
      <c r="D757" s="2"/>
      <c r="E757" s="1"/>
    </row>
    <row r="758" ht="15.75" customHeight="1">
      <c r="D758" s="2"/>
      <c r="E758" s="1"/>
    </row>
    <row r="759" ht="15.75" customHeight="1">
      <c r="D759" s="2"/>
      <c r="E759" s="1"/>
    </row>
    <row r="760" ht="15.75" customHeight="1">
      <c r="D760" s="2"/>
      <c r="E760" s="1"/>
    </row>
    <row r="761" ht="15.75" customHeight="1">
      <c r="D761" s="2"/>
      <c r="E761" s="1"/>
    </row>
    <row r="762" ht="15.75" customHeight="1">
      <c r="D762" s="2"/>
      <c r="E762" s="1"/>
    </row>
    <row r="763" ht="15.75" customHeight="1">
      <c r="D763" s="2"/>
      <c r="E763" s="1"/>
    </row>
    <row r="764" ht="15.75" customHeight="1">
      <c r="D764" s="2"/>
      <c r="E764" s="1"/>
    </row>
    <row r="765" ht="15.75" customHeight="1">
      <c r="D765" s="2"/>
      <c r="E765" s="1"/>
    </row>
    <row r="766" ht="15.75" customHeight="1">
      <c r="D766" s="2"/>
      <c r="E766" s="1"/>
    </row>
    <row r="767" ht="15.75" customHeight="1">
      <c r="D767" s="2"/>
      <c r="E767" s="1"/>
    </row>
    <row r="768" ht="15.75" customHeight="1">
      <c r="D768" s="2"/>
      <c r="E768" s="1"/>
    </row>
    <row r="769" ht="15.75" customHeight="1">
      <c r="D769" s="2"/>
      <c r="E769" s="1"/>
    </row>
    <row r="770" ht="15.75" customHeight="1">
      <c r="D770" s="2"/>
      <c r="E770" s="1"/>
    </row>
    <row r="771" ht="15.75" customHeight="1">
      <c r="D771" s="2"/>
      <c r="E771" s="1"/>
    </row>
    <row r="772" ht="15.75" customHeight="1">
      <c r="D772" s="2"/>
      <c r="E772" s="1"/>
    </row>
    <row r="773" ht="15.75" customHeight="1">
      <c r="D773" s="2"/>
      <c r="E773" s="1"/>
    </row>
    <row r="774" ht="15.75" customHeight="1">
      <c r="D774" s="2"/>
      <c r="E774" s="1"/>
    </row>
    <row r="775" ht="15.75" customHeight="1">
      <c r="D775" s="2"/>
      <c r="E775" s="1"/>
    </row>
    <row r="776" ht="15.75" customHeight="1">
      <c r="D776" s="2"/>
      <c r="E776" s="1"/>
    </row>
    <row r="777" ht="15.75" customHeight="1">
      <c r="D777" s="2"/>
      <c r="E777" s="1"/>
    </row>
    <row r="778" ht="15.75" customHeight="1">
      <c r="D778" s="2"/>
      <c r="E778" s="1"/>
    </row>
    <row r="779" ht="15.75" customHeight="1">
      <c r="D779" s="2"/>
      <c r="E779" s="1"/>
    </row>
    <row r="780" ht="15.75" customHeight="1">
      <c r="D780" s="2"/>
      <c r="E780" s="1"/>
    </row>
    <row r="781" ht="15.75" customHeight="1">
      <c r="D781" s="2"/>
      <c r="E781" s="1"/>
    </row>
    <row r="782" ht="15.75" customHeight="1">
      <c r="D782" s="2"/>
      <c r="E782" s="1"/>
    </row>
    <row r="783" ht="15.75" customHeight="1">
      <c r="D783" s="2"/>
      <c r="E783" s="1"/>
    </row>
    <row r="784" ht="15.75" customHeight="1">
      <c r="D784" s="2"/>
      <c r="E784" s="1"/>
    </row>
    <row r="785" ht="15.75" customHeight="1">
      <c r="D785" s="2"/>
      <c r="E785" s="1"/>
    </row>
    <row r="786" ht="15.75" customHeight="1">
      <c r="D786" s="2"/>
      <c r="E786" s="1"/>
    </row>
    <row r="787" ht="15.75" customHeight="1">
      <c r="D787" s="2"/>
      <c r="E787" s="1"/>
    </row>
    <row r="788" ht="15.75" customHeight="1">
      <c r="D788" s="2"/>
      <c r="E788" s="1"/>
    </row>
    <row r="789" ht="15.75" customHeight="1">
      <c r="D789" s="2"/>
      <c r="E789" s="1"/>
    </row>
    <row r="790" ht="15.75" customHeight="1">
      <c r="D790" s="2"/>
      <c r="E790" s="1"/>
    </row>
    <row r="791" ht="15.75" customHeight="1">
      <c r="D791" s="2"/>
      <c r="E791" s="1"/>
    </row>
    <row r="792" ht="15.75" customHeight="1">
      <c r="D792" s="2"/>
      <c r="E792" s="1"/>
    </row>
    <row r="793" ht="15.75" customHeight="1">
      <c r="D793" s="2"/>
      <c r="E793" s="1"/>
    </row>
    <row r="794" ht="15.75" customHeight="1">
      <c r="D794" s="2"/>
      <c r="E794" s="1"/>
    </row>
    <row r="795" ht="15.75" customHeight="1">
      <c r="D795" s="2"/>
      <c r="E795" s="1"/>
    </row>
    <row r="796" ht="15.75" customHeight="1">
      <c r="D796" s="2"/>
      <c r="E796" s="1"/>
    </row>
    <row r="797" ht="15.75" customHeight="1">
      <c r="D797" s="2"/>
      <c r="E797" s="1"/>
    </row>
    <row r="798" ht="15.75" customHeight="1">
      <c r="D798" s="2"/>
      <c r="E798" s="1"/>
    </row>
    <row r="799" ht="15.75" customHeight="1">
      <c r="D799" s="2"/>
      <c r="E799" s="1"/>
    </row>
    <row r="800" ht="15.75" customHeight="1">
      <c r="D800" s="2"/>
      <c r="E800" s="1"/>
    </row>
    <row r="801" ht="15.75" customHeight="1">
      <c r="D801" s="2"/>
      <c r="E801" s="1"/>
    </row>
    <row r="802" ht="15.75" customHeight="1">
      <c r="D802" s="2"/>
      <c r="E802" s="1"/>
    </row>
    <row r="803" ht="15.75" customHeight="1">
      <c r="D803" s="2"/>
      <c r="E803" s="1"/>
    </row>
    <row r="804" ht="15.75" customHeight="1">
      <c r="D804" s="2"/>
      <c r="E804" s="1"/>
    </row>
    <row r="805" ht="15.75" customHeight="1">
      <c r="D805" s="2"/>
      <c r="E805" s="1"/>
    </row>
    <row r="806" ht="15.75" customHeight="1">
      <c r="D806" s="2"/>
      <c r="E806" s="1"/>
    </row>
    <row r="807" ht="15.75" customHeight="1">
      <c r="D807" s="2"/>
      <c r="E807" s="1"/>
    </row>
    <row r="808" ht="15.75" customHeight="1">
      <c r="D808" s="2"/>
      <c r="E808" s="1"/>
    </row>
    <row r="809" ht="15.75" customHeight="1">
      <c r="D809" s="2"/>
      <c r="E809" s="1"/>
    </row>
    <row r="810" ht="15.75" customHeight="1">
      <c r="D810" s="2"/>
      <c r="E810" s="1"/>
    </row>
    <row r="811" ht="15.75" customHeight="1">
      <c r="D811" s="2"/>
      <c r="E811" s="1"/>
    </row>
    <row r="812" ht="15.75" customHeight="1">
      <c r="D812" s="2"/>
      <c r="E812" s="1"/>
    </row>
    <row r="813" ht="15.75" customHeight="1">
      <c r="D813" s="2"/>
      <c r="E813" s="1"/>
    </row>
    <row r="814" ht="15.75" customHeight="1">
      <c r="D814" s="2"/>
      <c r="E814" s="1"/>
    </row>
    <row r="815" ht="15.75" customHeight="1">
      <c r="D815" s="2"/>
      <c r="E815" s="1"/>
    </row>
    <row r="816" ht="15.75" customHeight="1">
      <c r="D816" s="2"/>
      <c r="E816" s="1"/>
    </row>
    <row r="817" ht="15.75" customHeight="1">
      <c r="D817" s="2"/>
      <c r="E817" s="1"/>
    </row>
    <row r="818" ht="15.75" customHeight="1">
      <c r="D818" s="2"/>
      <c r="E818" s="1"/>
    </row>
    <row r="819" ht="15.75" customHeight="1">
      <c r="D819" s="2"/>
      <c r="E819" s="1"/>
    </row>
    <row r="820" ht="15.75" customHeight="1">
      <c r="D820" s="2"/>
      <c r="E820" s="1"/>
    </row>
    <row r="821" ht="15.75" customHeight="1">
      <c r="D821" s="2"/>
      <c r="E821" s="1"/>
    </row>
    <row r="822" ht="15.75" customHeight="1">
      <c r="D822" s="2"/>
      <c r="E822" s="1"/>
    </row>
    <row r="823" ht="15.75" customHeight="1">
      <c r="D823" s="2"/>
      <c r="E823" s="1"/>
    </row>
    <row r="824" ht="15.75" customHeight="1">
      <c r="D824" s="2"/>
      <c r="E824" s="1"/>
    </row>
    <row r="825" ht="15.75" customHeight="1">
      <c r="D825" s="2"/>
      <c r="E825" s="1"/>
    </row>
    <row r="826" ht="15.75" customHeight="1">
      <c r="D826" s="2"/>
      <c r="E826" s="1"/>
    </row>
    <row r="827" ht="15.75" customHeight="1">
      <c r="D827" s="2"/>
      <c r="E827" s="1"/>
    </row>
    <row r="828" ht="15.75" customHeight="1">
      <c r="D828" s="2"/>
      <c r="E828" s="1"/>
    </row>
    <row r="829" ht="15.75" customHeight="1">
      <c r="D829" s="2"/>
      <c r="E829" s="1"/>
    </row>
    <row r="830" ht="15.75" customHeight="1">
      <c r="D830" s="2"/>
      <c r="E830" s="1"/>
    </row>
    <row r="831" ht="15.75" customHeight="1">
      <c r="D831" s="2"/>
      <c r="E831" s="1"/>
    </row>
    <row r="832" ht="15.75" customHeight="1">
      <c r="D832" s="2"/>
      <c r="E832" s="1"/>
    </row>
    <row r="833" ht="15.75" customHeight="1">
      <c r="D833" s="2"/>
      <c r="E833" s="1"/>
    </row>
    <row r="834" ht="15.75" customHeight="1">
      <c r="D834" s="2"/>
      <c r="E834" s="1"/>
    </row>
    <row r="835" ht="15.75" customHeight="1">
      <c r="D835" s="2"/>
      <c r="E835" s="1"/>
    </row>
    <row r="836" ht="15.75" customHeight="1">
      <c r="D836" s="2"/>
      <c r="E836" s="1"/>
    </row>
    <row r="837" ht="15.75" customHeight="1">
      <c r="D837" s="2"/>
      <c r="E837" s="1"/>
    </row>
    <row r="838" ht="15.75" customHeight="1">
      <c r="D838" s="2"/>
      <c r="E838" s="1"/>
    </row>
    <row r="839" ht="15.75" customHeight="1">
      <c r="D839" s="2"/>
      <c r="E839" s="1"/>
    </row>
    <row r="840" ht="15.75" customHeight="1">
      <c r="D840" s="2"/>
      <c r="E840" s="1"/>
    </row>
    <row r="841" ht="15.75" customHeight="1">
      <c r="D841" s="2"/>
      <c r="E841" s="1"/>
    </row>
    <row r="842" ht="15.75" customHeight="1">
      <c r="D842" s="2"/>
      <c r="E842" s="1"/>
    </row>
    <row r="843" ht="15.75" customHeight="1">
      <c r="D843" s="2"/>
      <c r="E843" s="1"/>
    </row>
    <row r="844" ht="15.75" customHeight="1">
      <c r="D844" s="2"/>
      <c r="E844" s="1"/>
    </row>
    <row r="845" ht="15.75" customHeight="1">
      <c r="D845" s="2"/>
      <c r="E845" s="1"/>
    </row>
    <row r="846" ht="15.75" customHeight="1">
      <c r="D846" s="2"/>
      <c r="E846" s="1"/>
    </row>
    <row r="847" ht="15.75" customHeight="1">
      <c r="D847" s="2"/>
      <c r="E847" s="1"/>
    </row>
    <row r="848" ht="15.75" customHeight="1">
      <c r="D848" s="2"/>
      <c r="E848" s="1"/>
    </row>
    <row r="849" ht="15.75" customHeight="1">
      <c r="D849" s="2"/>
      <c r="E849" s="1"/>
    </row>
    <row r="850" ht="15.75" customHeight="1">
      <c r="D850" s="2"/>
      <c r="E850" s="1"/>
    </row>
    <row r="851" ht="15.75" customHeight="1">
      <c r="D851" s="2"/>
      <c r="E851" s="1"/>
    </row>
    <row r="852" ht="15.75" customHeight="1">
      <c r="D852" s="2"/>
      <c r="E852" s="1"/>
    </row>
    <row r="853" ht="15.75" customHeight="1">
      <c r="D853" s="2"/>
      <c r="E853" s="1"/>
    </row>
    <row r="854" ht="15.75" customHeight="1">
      <c r="D854" s="2"/>
      <c r="E854" s="1"/>
    </row>
    <row r="855" ht="15.75" customHeight="1">
      <c r="D855" s="2"/>
      <c r="E855" s="1"/>
    </row>
    <row r="856" ht="15.75" customHeight="1">
      <c r="D856" s="2"/>
      <c r="E856" s="1"/>
    </row>
    <row r="857" ht="15.75" customHeight="1">
      <c r="D857" s="2"/>
      <c r="E857" s="1"/>
    </row>
    <row r="858" ht="15.75" customHeight="1">
      <c r="D858" s="2"/>
      <c r="E858" s="1"/>
    </row>
    <row r="859" ht="15.75" customHeight="1">
      <c r="D859" s="2"/>
      <c r="E859" s="1"/>
    </row>
    <row r="860" ht="15.75" customHeight="1">
      <c r="D860" s="2"/>
      <c r="E860" s="1"/>
    </row>
    <row r="861" ht="15.75" customHeight="1">
      <c r="D861" s="2"/>
      <c r="E861" s="1"/>
    </row>
    <row r="862" ht="15.75" customHeight="1">
      <c r="D862" s="2"/>
      <c r="E862" s="1"/>
    </row>
    <row r="863" ht="15.75" customHeight="1">
      <c r="D863" s="2"/>
      <c r="E863" s="1"/>
    </row>
    <row r="864" ht="15.75" customHeight="1">
      <c r="D864" s="2"/>
      <c r="E864" s="1"/>
    </row>
    <row r="865" ht="15.75" customHeight="1">
      <c r="D865" s="2"/>
      <c r="E865" s="1"/>
    </row>
    <row r="866" ht="15.75" customHeight="1">
      <c r="D866" s="2"/>
      <c r="E866" s="1"/>
    </row>
    <row r="867" ht="15.75" customHeight="1">
      <c r="D867" s="2"/>
      <c r="E867" s="1"/>
    </row>
    <row r="868" ht="15.75" customHeight="1">
      <c r="D868" s="2"/>
      <c r="E868" s="1"/>
    </row>
    <row r="869" ht="15.75" customHeight="1">
      <c r="D869" s="2"/>
      <c r="E869" s="1"/>
    </row>
    <row r="870" ht="15.75" customHeight="1">
      <c r="D870" s="2"/>
      <c r="E870" s="1"/>
    </row>
    <row r="871" ht="15.75" customHeight="1">
      <c r="D871" s="2"/>
      <c r="E871" s="1"/>
    </row>
    <row r="872" ht="15.75" customHeight="1">
      <c r="D872" s="2"/>
      <c r="E872" s="1"/>
    </row>
    <row r="873" ht="15.75" customHeight="1">
      <c r="D873" s="2"/>
      <c r="E873" s="1"/>
    </row>
    <row r="874" ht="15.75" customHeight="1">
      <c r="D874" s="2"/>
      <c r="E874" s="1"/>
    </row>
    <row r="875" ht="15.75" customHeight="1">
      <c r="D875" s="2"/>
      <c r="E875" s="1"/>
    </row>
    <row r="876" ht="15.75" customHeight="1">
      <c r="D876" s="2"/>
      <c r="E876" s="1"/>
    </row>
    <row r="877" ht="15.75" customHeight="1">
      <c r="D877" s="2"/>
      <c r="E877" s="1"/>
    </row>
    <row r="878" ht="15.75" customHeight="1">
      <c r="D878" s="2"/>
      <c r="E878" s="1"/>
    </row>
    <row r="879" ht="15.75" customHeight="1">
      <c r="D879" s="2"/>
      <c r="E879" s="1"/>
    </row>
    <row r="880" ht="15.75" customHeight="1">
      <c r="D880" s="2"/>
      <c r="E880" s="1"/>
    </row>
    <row r="881" ht="15.75" customHeight="1">
      <c r="D881" s="2"/>
      <c r="E881" s="1"/>
    </row>
    <row r="882" ht="15.75" customHeight="1">
      <c r="D882" s="2"/>
      <c r="E882" s="1"/>
    </row>
    <row r="883" ht="15.75" customHeight="1">
      <c r="D883" s="2"/>
      <c r="E883" s="1"/>
    </row>
    <row r="884" ht="15.75" customHeight="1">
      <c r="D884" s="2"/>
      <c r="E884" s="1"/>
    </row>
    <row r="885" ht="15.75" customHeight="1">
      <c r="D885" s="2"/>
      <c r="E885" s="1"/>
    </row>
    <row r="886" ht="15.75" customHeight="1">
      <c r="D886" s="2"/>
      <c r="E886" s="1"/>
    </row>
    <row r="887" ht="15.75" customHeight="1">
      <c r="D887" s="2"/>
      <c r="E887" s="1"/>
    </row>
    <row r="888" ht="15.75" customHeight="1">
      <c r="D888" s="2"/>
      <c r="E888" s="1"/>
    </row>
    <row r="889" ht="15.75" customHeight="1">
      <c r="D889" s="2"/>
      <c r="E889" s="1"/>
    </row>
    <row r="890" ht="15.75" customHeight="1">
      <c r="D890" s="2"/>
      <c r="E890" s="1"/>
    </row>
    <row r="891" ht="15.75" customHeight="1">
      <c r="D891" s="2"/>
      <c r="E891" s="1"/>
    </row>
    <row r="892" ht="15.75" customHeight="1">
      <c r="D892" s="2"/>
      <c r="E892" s="1"/>
    </row>
    <row r="893" ht="15.75" customHeight="1">
      <c r="D893" s="2"/>
      <c r="E893" s="1"/>
    </row>
    <row r="894" ht="15.75" customHeight="1">
      <c r="D894" s="2"/>
      <c r="E894" s="1"/>
    </row>
    <row r="895" ht="15.75" customHeight="1">
      <c r="D895" s="2"/>
      <c r="E895" s="1"/>
    </row>
    <row r="896" ht="15.75" customHeight="1">
      <c r="D896" s="2"/>
      <c r="E896" s="1"/>
    </row>
    <row r="897" ht="15.75" customHeight="1">
      <c r="D897" s="2"/>
      <c r="E897" s="1"/>
    </row>
    <row r="898" ht="15.75" customHeight="1">
      <c r="D898" s="2"/>
      <c r="E898" s="1"/>
    </row>
    <row r="899" ht="15.75" customHeight="1">
      <c r="D899" s="2"/>
      <c r="E899" s="1"/>
    </row>
    <row r="900" ht="15.75" customHeight="1">
      <c r="D900" s="2"/>
      <c r="E900" s="1"/>
    </row>
    <row r="901" ht="15.75" customHeight="1">
      <c r="D901" s="2"/>
      <c r="E901" s="1"/>
    </row>
    <row r="902" ht="15.75" customHeight="1">
      <c r="D902" s="2"/>
      <c r="E902" s="1"/>
    </row>
    <row r="903" ht="15.75" customHeight="1">
      <c r="D903" s="2"/>
      <c r="E903" s="1"/>
    </row>
    <row r="904" ht="15.75" customHeight="1">
      <c r="D904" s="2"/>
      <c r="E904" s="1"/>
    </row>
    <row r="905" ht="15.75" customHeight="1">
      <c r="D905" s="2"/>
      <c r="E905" s="1"/>
    </row>
    <row r="906" ht="15.75" customHeight="1">
      <c r="D906" s="2"/>
      <c r="E906" s="1"/>
    </row>
    <row r="907" ht="15.75" customHeight="1">
      <c r="D907" s="2"/>
      <c r="E907" s="1"/>
    </row>
    <row r="908" ht="15.75" customHeight="1">
      <c r="D908" s="2"/>
      <c r="E908" s="1"/>
    </row>
    <row r="909" ht="15.75" customHeight="1">
      <c r="D909" s="2"/>
      <c r="E909" s="1"/>
    </row>
    <row r="910" ht="15.75" customHeight="1">
      <c r="D910" s="2"/>
      <c r="E910" s="1"/>
    </row>
    <row r="911" ht="15.75" customHeight="1">
      <c r="D911" s="2"/>
      <c r="E911" s="1"/>
    </row>
    <row r="912" ht="15.75" customHeight="1">
      <c r="D912" s="2"/>
      <c r="E912" s="1"/>
    </row>
    <row r="913" ht="15.75" customHeight="1">
      <c r="D913" s="2"/>
      <c r="E913" s="1"/>
    </row>
    <row r="914" ht="15.75" customHeight="1">
      <c r="D914" s="2"/>
      <c r="E914" s="1"/>
    </row>
    <row r="915" ht="15.75" customHeight="1">
      <c r="D915" s="2"/>
      <c r="E915" s="1"/>
    </row>
    <row r="916" ht="15.75" customHeight="1">
      <c r="D916" s="2"/>
      <c r="E916" s="1"/>
    </row>
    <row r="917" ht="15.75" customHeight="1">
      <c r="D917" s="2"/>
      <c r="E917" s="1"/>
    </row>
    <row r="918" ht="15.75" customHeight="1">
      <c r="D918" s="2"/>
      <c r="E918" s="1"/>
    </row>
    <row r="919" ht="15.75" customHeight="1">
      <c r="D919" s="2"/>
      <c r="E919" s="1"/>
    </row>
    <row r="920" ht="15.75" customHeight="1">
      <c r="D920" s="2"/>
      <c r="E920" s="1"/>
    </row>
    <row r="921" ht="15.75" customHeight="1">
      <c r="D921" s="2"/>
      <c r="E921" s="1"/>
    </row>
    <row r="922" ht="15.75" customHeight="1">
      <c r="D922" s="2"/>
      <c r="E922" s="1"/>
    </row>
    <row r="923" ht="15.75" customHeight="1">
      <c r="D923" s="2"/>
      <c r="E923" s="1"/>
    </row>
    <row r="924" ht="15.75" customHeight="1">
      <c r="D924" s="2"/>
      <c r="E924" s="1"/>
    </row>
    <row r="925" ht="15.75" customHeight="1">
      <c r="D925" s="2"/>
      <c r="E925" s="1"/>
    </row>
    <row r="926" ht="15.75" customHeight="1">
      <c r="D926" s="2"/>
      <c r="E926" s="1"/>
    </row>
    <row r="927" ht="15.75" customHeight="1">
      <c r="D927" s="2"/>
      <c r="E927" s="1"/>
    </row>
    <row r="928" ht="15.75" customHeight="1">
      <c r="D928" s="2"/>
      <c r="E928" s="1"/>
    </row>
    <row r="929" ht="15.75" customHeight="1">
      <c r="D929" s="2"/>
      <c r="E929" s="1"/>
    </row>
    <row r="930" ht="15.75" customHeight="1">
      <c r="D930" s="2"/>
      <c r="E930" s="1"/>
    </row>
    <row r="931" ht="15.75" customHeight="1">
      <c r="D931" s="2"/>
      <c r="E931" s="1"/>
    </row>
    <row r="932" ht="15.75" customHeight="1">
      <c r="D932" s="2"/>
      <c r="E932" s="1"/>
    </row>
    <row r="933" ht="15.75" customHeight="1">
      <c r="D933" s="2"/>
      <c r="E933" s="1"/>
    </row>
    <row r="934" ht="15.75" customHeight="1">
      <c r="D934" s="2"/>
      <c r="E934" s="1"/>
    </row>
    <row r="935" ht="15.75" customHeight="1">
      <c r="D935" s="2"/>
      <c r="E935" s="1"/>
    </row>
    <row r="936" ht="15.75" customHeight="1">
      <c r="D936" s="2"/>
      <c r="E936" s="1"/>
    </row>
    <row r="937" ht="15.75" customHeight="1">
      <c r="D937" s="2"/>
      <c r="E937" s="1"/>
    </row>
    <row r="938" ht="15.75" customHeight="1">
      <c r="D938" s="2"/>
      <c r="E938" s="1"/>
    </row>
    <row r="939" ht="15.75" customHeight="1">
      <c r="D939" s="2"/>
      <c r="E939" s="1"/>
    </row>
    <row r="940" ht="15.75" customHeight="1">
      <c r="D940" s="2"/>
      <c r="E940" s="1"/>
    </row>
    <row r="941" ht="15.75" customHeight="1">
      <c r="D941" s="2"/>
      <c r="E941" s="1"/>
    </row>
    <row r="942" ht="15.75" customHeight="1">
      <c r="D942" s="2"/>
      <c r="E942" s="1"/>
    </row>
    <row r="943" ht="15.75" customHeight="1">
      <c r="D943" s="2"/>
      <c r="E943" s="1"/>
    </row>
    <row r="944" ht="15.75" customHeight="1">
      <c r="D944" s="2"/>
      <c r="E944" s="1"/>
    </row>
    <row r="945" ht="15.75" customHeight="1">
      <c r="D945" s="2"/>
      <c r="E945" s="1"/>
    </row>
    <row r="946" ht="15.75" customHeight="1">
      <c r="D946" s="2"/>
      <c r="E946" s="1"/>
    </row>
    <row r="947" ht="15.75" customHeight="1">
      <c r="D947" s="2"/>
      <c r="E947" s="1"/>
    </row>
    <row r="948" ht="15.75" customHeight="1">
      <c r="D948" s="2"/>
      <c r="E948" s="1"/>
    </row>
    <row r="949" ht="15.75" customHeight="1">
      <c r="D949" s="2"/>
      <c r="E949" s="1"/>
    </row>
    <row r="950" ht="15.75" customHeight="1">
      <c r="D950" s="2"/>
      <c r="E950" s="1"/>
    </row>
    <row r="951" ht="15.75" customHeight="1">
      <c r="D951" s="2"/>
      <c r="E951" s="1"/>
    </row>
    <row r="952" ht="15.75" customHeight="1">
      <c r="D952" s="2"/>
      <c r="E952" s="1"/>
    </row>
    <row r="953" ht="15.75" customHeight="1">
      <c r="D953" s="2"/>
      <c r="E953" s="1"/>
    </row>
    <row r="954" ht="15.75" customHeight="1">
      <c r="D954" s="2"/>
      <c r="E954" s="1"/>
    </row>
    <row r="955" ht="15.75" customHeight="1">
      <c r="D955" s="2"/>
      <c r="E955" s="1"/>
    </row>
    <row r="956" ht="15.75" customHeight="1">
      <c r="D956" s="2"/>
      <c r="E956" s="1"/>
    </row>
    <row r="957" ht="15.75" customHeight="1">
      <c r="D957" s="2"/>
      <c r="E957" s="1"/>
    </row>
    <row r="958" ht="15.75" customHeight="1">
      <c r="D958" s="2"/>
      <c r="E958" s="1"/>
    </row>
    <row r="959" ht="15.75" customHeight="1">
      <c r="D959" s="2"/>
      <c r="E959" s="1"/>
    </row>
    <row r="960" ht="15.75" customHeight="1">
      <c r="D960" s="2"/>
      <c r="E960" s="1"/>
    </row>
    <row r="961" ht="15.75" customHeight="1">
      <c r="D961" s="2"/>
      <c r="E961" s="1"/>
    </row>
    <row r="962" ht="15.75" customHeight="1">
      <c r="D962" s="2"/>
      <c r="E962" s="1"/>
    </row>
    <row r="963" ht="15.75" customHeight="1">
      <c r="D963" s="2"/>
      <c r="E963" s="1"/>
    </row>
    <row r="964" ht="15.75" customHeight="1">
      <c r="D964" s="2"/>
      <c r="E964" s="1"/>
    </row>
    <row r="965" ht="15.75" customHeight="1">
      <c r="D965" s="2"/>
      <c r="E965" s="1"/>
    </row>
    <row r="966" ht="15.75" customHeight="1">
      <c r="D966" s="2"/>
      <c r="E966" s="1"/>
    </row>
    <row r="967" ht="15.75" customHeight="1">
      <c r="D967" s="2"/>
      <c r="E967" s="1"/>
    </row>
    <row r="968" ht="15.75" customHeight="1">
      <c r="D968" s="2"/>
      <c r="E968" s="1"/>
    </row>
    <row r="969" ht="15.75" customHeight="1">
      <c r="D969" s="2"/>
      <c r="E969" s="1"/>
    </row>
    <row r="970" ht="15.75" customHeight="1">
      <c r="D970" s="2"/>
      <c r="E970" s="1"/>
    </row>
    <row r="971" ht="15.75" customHeight="1">
      <c r="D971" s="2"/>
      <c r="E971" s="1"/>
    </row>
    <row r="972" ht="15.75" customHeight="1">
      <c r="D972" s="2"/>
      <c r="E972" s="1"/>
    </row>
    <row r="973" ht="15.75" customHeight="1">
      <c r="D973" s="2"/>
      <c r="E973" s="1"/>
    </row>
    <row r="974" ht="15.75" customHeight="1">
      <c r="D974" s="2"/>
      <c r="E974" s="1"/>
    </row>
    <row r="975" ht="15.75" customHeight="1">
      <c r="D975" s="2"/>
      <c r="E975" s="1"/>
    </row>
    <row r="976" ht="15.75" customHeight="1">
      <c r="D976" s="2"/>
      <c r="E976" s="1"/>
    </row>
    <row r="977" ht="15.75" customHeight="1">
      <c r="D977" s="2"/>
      <c r="E977" s="1"/>
    </row>
    <row r="978" ht="15.75" customHeight="1">
      <c r="D978" s="2"/>
      <c r="E978" s="1"/>
    </row>
    <row r="979" ht="15.75" customHeight="1">
      <c r="D979" s="2"/>
      <c r="E979" s="1"/>
    </row>
    <row r="980" ht="15.75" customHeight="1">
      <c r="D980" s="2"/>
      <c r="E980" s="1"/>
    </row>
    <row r="981" ht="15.75" customHeight="1">
      <c r="D981" s="2"/>
      <c r="E981" s="1"/>
    </row>
    <row r="982" ht="15.75" customHeight="1">
      <c r="D982" s="2"/>
      <c r="E982" s="1"/>
    </row>
    <row r="983" ht="15.75" customHeight="1">
      <c r="D983" s="2"/>
      <c r="E983" s="1"/>
    </row>
    <row r="984" ht="15.75" customHeight="1">
      <c r="D984" s="2"/>
      <c r="E984" s="1"/>
    </row>
    <row r="985" ht="15.75" customHeight="1">
      <c r="D985" s="2"/>
      <c r="E985" s="1"/>
    </row>
    <row r="986" ht="15.75" customHeight="1">
      <c r="D986" s="2"/>
      <c r="E986" s="1"/>
    </row>
    <row r="987" ht="15.75" customHeight="1">
      <c r="D987" s="2"/>
      <c r="E987" s="1"/>
    </row>
    <row r="988" ht="15.75" customHeight="1">
      <c r="D988" s="2"/>
      <c r="E988" s="1"/>
    </row>
    <row r="989" ht="15.75" customHeight="1">
      <c r="D989" s="2"/>
      <c r="E989" s="1"/>
    </row>
    <row r="990" ht="15.75" customHeight="1">
      <c r="D990" s="2"/>
      <c r="E990" s="1"/>
    </row>
    <row r="991" ht="15.75" customHeight="1">
      <c r="D991" s="2"/>
      <c r="E991" s="1"/>
    </row>
    <row r="992" ht="15.75" customHeight="1">
      <c r="D992" s="2"/>
      <c r="E992" s="1"/>
    </row>
    <row r="993" ht="15.75" customHeight="1">
      <c r="D993" s="2"/>
      <c r="E993" s="1"/>
    </row>
    <row r="994" ht="15.75" customHeight="1">
      <c r="D994" s="2"/>
      <c r="E994" s="1"/>
    </row>
    <row r="995" ht="15.75" customHeight="1">
      <c r="D995" s="2"/>
      <c r="E995" s="1"/>
    </row>
    <row r="996" ht="15.75" customHeight="1">
      <c r="D996" s="2"/>
      <c r="E996" s="1"/>
    </row>
    <row r="997" ht="15.75" customHeight="1">
      <c r="D997" s="2"/>
      <c r="E997" s="1"/>
    </row>
    <row r="998" ht="15.75" customHeight="1">
      <c r="D998" s="2"/>
      <c r="E998" s="1"/>
    </row>
    <row r="999" ht="15.75" customHeight="1">
      <c r="D999" s="2"/>
      <c r="E999" s="1"/>
    </row>
    <row r="1000" ht="15.75" customHeight="1">
      <c r="D1000" s="2"/>
      <c r="E1000" s="1"/>
    </row>
    <row r="1001" ht="15.75" customHeight="1">
      <c r="D1001" s="2"/>
      <c r="E1001" s="1"/>
    </row>
    <row r="1002" ht="15.75" customHeight="1">
      <c r="D1002" s="2"/>
      <c r="E1002" s="1"/>
    </row>
    <row r="1003" ht="15.75" customHeight="1">
      <c r="D1003" s="2"/>
      <c r="E1003" s="1"/>
    </row>
    <row r="1004" ht="15.75" customHeight="1">
      <c r="D1004" s="2"/>
      <c r="E1004" s="1"/>
    </row>
    <row r="1005" ht="15.75" customHeight="1">
      <c r="D1005" s="2"/>
      <c r="E1005" s="1"/>
    </row>
    <row r="1006" ht="15.75" customHeight="1">
      <c r="D1006" s="2"/>
      <c r="E1006" s="1"/>
    </row>
    <row r="1007" ht="15.75" customHeight="1">
      <c r="D1007" s="2"/>
      <c r="E1007" s="1"/>
    </row>
    <row r="1008" ht="15.75" customHeight="1">
      <c r="D1008" s="2"/>
      <c r="E1008" s="1"/>
    </row>
    <row r="1009" ht="15.75" customHeight="1">
      <c r="D1009" s="2"/>
      <c r="E1009" s="1"/>
    </row>
    <row r="1010" ht="15.75" customHeight="1">
      <c r="D1010" s="2"/>
      <c r="E1010" s="1"/>
    </row>
    <row r="1011" ht="15.75" customHeight="1">
      <c r="D1011" s="2"/>
      <c r="E1011" s="1"/>
    </row>
    <row r="1012" ht="15.75" customHeight="1">
      <c r="D1012" s="2"/>
      <c r="E1012" s="1"/>
    </row>
    <row r="1013" ht="15.75" customHeight="1">
      <c r="D1013" s="2"/>
      <c r="E1013" s="1"/>
    </row>
    <row r="1014" ht="15.75" customHeight="1">
      <c r="D1014" s="2"/>
      <c r="E1014" s="1"/>
    </row>
    <row r="1015" ht="15.75" customHeight="1">
      <c r="D1015" s="2"/>
      <c r="E1015" s="1"/>
    </row>
    <row r="1016" ht="15.75" customHeight="1">
      <c r="D1016" s="2"/>
      <c r="E1016" s="1"/>
    </row>
    <row r="1017" ht="15.75" customHeight="1">
      <c r="D1017" s="2"/>
      <c r="E1017" s="1"/>
    </row>
    <row r="1018" ht="15.75" customHeight="1">
      <c r="D1018" s="2"/>
      <c r="E1018" s="1"/>
    </row>
    <row r="1019" ht="15.75" customHeight="1">
      <c r="D1019" s="2"/>
      <c r="E1019" s="1"/>
    </row>
    <row r="1020" ht="15.75" customHeight="1">
      <c r="D1020" s="2"/>
      <c r="E1020" s="1"/>
    </row>
    <row r="1021" ht="15.75" customHeight="1">
      <c r="D1021" s="2"/>
      <c r="E1021" s="1"/>
    </row>
    <row r="1022" ht="15.75" customHeight="1">
      <c r="D1022" s="2"/>
      <c r="E1022" s="1"/>
    </row>
    <row r="1023" ht="15.75" customHeight="1">
      <c r="D1023" s="2"/>
      <c r="E1023" s="1"/>
    </row>
    <row r="1024" ht="15.75" customHeight="1">
      <c r="D1024" s="2"/>
      <c r="E1024" s="1"/>
    </row>
    <row r="1025" ht="15.75" customHeight="1">
      <c r="D1025" s="2"/>
      <c r="E1025" s="1"/>
    </row>
    <row r="1026" ht="15.75" customHeight="1">
      <c r="D1026" s="2"/>
      <c r="E1026" s="1"/>
    </row>
    <row r="1027" ht="15.75" customHeight="1">
      <c r="D1027" s="2"/>
      <c r="E1027" s="1"/>
    </row>
    <row r="1028" ht="15.75" customHeight="1">
      <c r="D1028" s="2"/>
      <c r="E1028" s="1"/>
    </row>
    <row r="1029" ht="15.75" customHeight="1">
      <c r="D1029" s="2"/>
      <c r="E1029" s="1"/>
    </row>
    <row r="1030" ht="15.75" customHeight="1">
      <c r="D1030" s="2"/>
      <c r="E1030" s="1"/>
    </row>
    <row r="1031" ht="15.75" customHeight="1">
      <c r="D1031" s="2"/>
      <c r="E1031" s="1"/>
    </row>
    <row r="1032" ht="15.75" customHeight="1">
      <c r="D1032" s="2"/>
      <c r="E1032" s="1"/>
    </row>
    <row r="1033" ht="15.75" customHeight="1">
      <c r="D1033" s="2"/>
      <c r="E1033" s="1"/>
    </row>
    <row r="1034" ht="15.75" customHeight="1">
      <c r="D1034" s="2"/>
      <c r="E1034" s="1"/>
    </row>
    <row r="1035" ht="15.75" customHeight="1">
      <c r="D1035" s="2"/>
      <c r="E1035" s="1"/>
    </row>
    <row r="1036" ht="15.75" customHeight="1">
      <c r="D1036" s="2"/>
      <c r="E1036" s="1"/>
    </row>
    <row r="1037" ht="15.75" customHeight="1">
      <c r="D1037" s="2"/>
      <c r="E1037" s="1"/>
    </row>
    <row r="1038" ht="15.75" customHeight="1">
      <c r="D1038" s="2"/>
      <c r="E1038" s="1"/>
    </row>
    <row r="1039" ht="15.75" customHeight="1">
      <c r="D1039" s="2"/>
      <c r="E1039" s="1"/>
    </row>
    <row r="1040" ht="15.75" customHeight="1">
      <c r="D1040" s="2"/>
      <c r="E1040" s="1"/>
    </row>
    <row r="1041" ht="15.75" customHeight="1">
      <c r="D1041" s="2"/>
      <c r="E1041" s="1"/>
    </row>
    <row r="1042" ht="15.75" customHeight="1">
      <c r="D1042" s="2"/>
      <c r="E1042" s="1"/>
    </row>
    <row r="1043" ht="15.75" customHeight="1">
      <c r="D1043" s="2"/>
      <c r="E1043" s="1"/>
    </row>
    <row r="1044" ht="15.75" customHeight="1">
      <c r="D1044" s="2"/>
      <c r="E1044" s="1"/>
    </row>
    <row r="1045" ht="15.75" customHeight="1">
      <c r="D1045" s="2"/>
      <c r="E1045" s="1"/>
    </row>
    <row r="1046" ht="15.75" customHeight="1">
      <c r="D1046" s="2"/>
      <c r="E1046" s="1"/>
    </row>
    <row r="1047" ht="15.75" customHeight="1">
      <c r="D1047" s="2"/>
      <c r="E1047" s="1"/>
    </row>
    <row r="1048" ht="15.75" customHeight="1">
      <c r="D1048" s="2"/>
      <c r="E1048" s="1"/>
    </row>
    <row r="1049" ht="15.75" customHeight="1">
      <c r="D1049" s="2"/>
      <c r="E1049" s="1"/>
    </row>
    <row r="1050" ht="15.75" customHeight="1">
      <c r="D1050" s="2"/>
      <c r="E1050" s="1"/>
    </row>
    <row r="1051" ht="15.75" customHeight="1">
      <c r="D1051" s="2"/>
      <c r="E1051" s="1"/>
    </row>
    <row r="1052" ht="15.75" customHeight="1">
      <c r="D1052" s="2"/>
      <c r="E1052" s="1"/>
    </row>
    <row r="1053" ht="15.75" customHeight="1">
      <c r="D1053" s="2"/>
      <c r="E1053" s="1"/>
    </row>
    <row r="1054" ht="15.75" customHeight="1">
      <c r="D1054" s="2"/>
      <c r="E1054" s="1"/>
    </row>
    <row r="1055" ht="15.75" customHeight="1">
      <c r="D1055" s="2"/>
      <c r="E1055" s="1"/>
    </row>
    <row r="1056" ht="15.75" customHeight="1">
      <c r="D1056" s="2"/>
      <c r="E1056" s="1"/>
    </row>
    <row r="1057" ht="15.75" customHeight="1">
      <c r="D1057" s="2"/>
      <c r="E1057" s="1"/>
    </row>
    <row r="1058" ht="15.75" customHeight="1">
      <c r="D1058" s="2"/>
      <c r="E1058" s="1"/>
    </row>
    <row r="1059" ht="15.75" customHeight="1">
      <c r="D1059" s="2"/>
      <c r="E1059" s="1"/>
    </row>
    <row r="1060" ht="15.75" customHeight="1">
      <c r="D1060" s="2"/>
      <c r="E1060" s="1"/>
    </row>
    <row r="1061" ht="15.75" customHeight="1">
      <c r="D1061" s="2"/>
      <c r="E1061" s="1"/>
    </row>
    <row r="1062" ht="15.75" customHeight="1">
      <c r="D1062" s="2"/>
      <c r="E1062" s="1"/>
    </row>
    <row r="1063" ht="15.75" customHeight="1">
      <c r="D1063" s="2"/>
      <c r="E1063" s="1"/>
    </row>
    <row r="1064" ht="15.75" customHeight="1">
      <c r="D1064" s="2"/>
      <c r="E1064" s="1"/>
    </row>
    <row r="1065" ht="15.75" customHeight="1">
      <c r="D1065" s="2"/>
      <c r="E1065" s="1"/>
    </row>
    <row r="1066" ht="15.75" customHeight="1">
      <c r="D1066" s="2"/>
      <c r="E1066" s="1"/>
    </row>
    <row r="1067" ht="15.75" customHeight="1">
      <c r="D1067" s="2"/>
      <c r="E1067" s="1"/>
    </row>
    <row r="1068" ht="15.75" customHeight="1">
      <c r="D1068" s="2"/>
      <c r="E1068" s="1"/>
    </row>
    <row r="1069" ht="15.75" customHeight="1">
      <c r="D1069" s="2"/>
      <c r="E1069" s="1"/>
    </row>
    <row r="1070" ht="15.75" customHeight="1">
      <c r="D1070" s="2"/>
      <c r="E1070" s="1"/>
    </row>
    <row r="1071" ht="15.75" customHeight="1">
      <c r="D1071" s="2"/>
      <c r="E1071" s="1"/>
    </row>
    <row r="1072" ht="15.75" customHeight="1">
      <c r="D1072" s="2"/>
      <c r="E1072" s="1"/>
    </row>
    <row r="1073" ht="15.75" customHeight="1">
      <c r="D1073" s="2"/>
      <c r="E1073" s="1"/>
    </row>
    <row r="1074" ht="15.75" customHeight="1">
      <c r="D1074" s="2"/>
      <c r="E1074" s="1"/>
    </row>
    <row r="1075" ht="15.75" customHeight="1">
      <c r="D1075" s="2"/>
      <c r="E1075" s="1"/>
    </row>
    <row r="1076" ht="15.75" customHeight="1">
      <c r="D1076" s="2"/>
      <c r="E1076" s="1"/>
    </row>
    <row r="1077" ht="15.75" customHeight="1">
      <c r="D1077" s="2"/>
      <c r="E1077" s="1"/>
    </row>
    <row r="1078" ht="15.75" customHeight="1">
      <c r="D1078" s="2"/>
      <c r="E1078" s="1"/>
    </row>
    <row r="1079" ht="15.75" customHeight="1">
      <c r="D1079" s="2"/>
      <c r="E1079" s="1"/>
    </row>
    <row r="1080" ht="15.75" customHeight="1">
      <c r="D1080" s="2"/>
      <c r="E1080" s="1"/>
    </row>
    <row r="1081" ht="15.75" customHeight="1">
      <c r="D1081" s="2"/>
      <c r="E1081" s="1"/>
    </row>
    <row r="1082" ht="15.75" customHeight="1">
      <c r="D1082" s="2"/>
      <c r="E1082" s="1"/>
    </row>
    <row r="1083" ht="15.75" customHeight="1">
      <c r="D1083" s="2"/>
      <c r="E1083" s="1"/>
    </row>
    <row r="1084" ht="15.75" customHeight="1">
      <c r="D1084" s="2"/>
      <c r="E1084" s="1"/>
    </row>
    <row r="1085" ht="15.75" customHeight="1">
      <c r="D1085" s="2"/>
      <c r="E1085" s="1"/>
    </row>
    <row r="1086" ht="15.75" customHeight="1">
      <c r="D1086" s="2"/>
      <c r="E1086" s="1"/>
    </row>
    <row r="1087" ht="15.75" customHeight="1">
      <c r="D1087" s="2"/>
      <c r="E1087" s="1"/>
    </row>
    <row r="1088" ht="15.75" customHeight="1">
      <c r="D1088" s="2"/>
      <c r="E1088" s="1"/>
    </row>
    <row r="1089" ht="15.75" customHeight="1">
      <c r="D1089" s="2"/>
      <c r="E1089" s="1"/>
    </row>
    <row r="1090" ht="15.75" customHeight="1">
      <c r="D1090" s="2"/>
      <c r="E1090" s="1"/>
    </row>
    <row r="1091" ht="15.75" customHeight="1">
      <c r="D1091" s="2"/>
      <c r="E1091" s="1"/>
    </row>
    <row r="1092" ht="15.75" customHeight="1">
      <c r="D1092" s="2"/>
      <c r="E1092" s="1"/>
    </row>
    <row r="1093" ht="15.75" customHeight="1">
      <c r="D1093" s="2"/>
      <c r="E1093" s="1"/>
    </row>
    <row r="1094" ht="15.75" customHeight="1">
      <c r="D1094" s="2"/>
      <c r="E1094" s="1"/>
    </row>
    <row r="1095" ht="15.75" customHeight="1">
      <c r="D1095" s="2"/>
      <c r="E1095" s="1"/>
    </row>
    <row r="1096" ht="15.75" customHeight="1">
      <c r="D1096" s="2"/>
      <c r="E1096" s="1"/>
    </row>
    <row r="1097" ht="15.75" customHeight="1">
      <c r="D1097" s="2"/>
      <c r="E1097" s="1"/>
    </row>
    <row r="1098" ht="15.75" customHeight="1">
      <c r="D1098" s="2"/>
      <c r="E1098" s="1"/>
    </row>
    <row r="1099" ht="15.75" customHeight="1">
      <c r="D1099" s="2"/>
      <c r="E1099" s="1"/>
    </row>
    <row r="1100" ht="15.75" customHeight="1">
      <c r="D1100" s="2"/>
      <c r="E1100" s="1"/>
    </row>
    <row r="1101" ht="15.75" customHeight="1">
      <c r="D1101" s="2"/>
      <c r="E1101" s="1"/>
    </row>
    <row r="1102" ht="15.75" customHeight="1">
      <c r="D1102" s="2"/>
      <c r="E1102" s="1"/>
    </row>
    <row r="1103" ht="15.75" customHeight="1">
      <c r="D1103" s="2"/>
      <c r="E1103" s="1"/>
    </row>
    <row r="1104" ht="15.75" customHeight="1">
      <c r="D1104" s="2"/>
      <c r="E1104" s="1"/>
    </row>
    <row r="1105" ht="15.75" customHeight="1">
      <c r="D1105" s="2"/>
      <c r="E1105" s="1"/>
    </row>
    <row r="1106" ht="15.75" customHeight="1">
      <c r="D1106" s="2"/>
      <c r="E1106" s="1"/>
    </row>
    <row r="1107" ht="15.75" customHeight="1">
      <c r="D1107" s="2"/>
      <c r="E1107" s="1"/>
    </row>
    <row r="1108" ht="15.75" customHeight="1">
      <c r="D1108" s="2"/>
      <c r="E1108" s="1"/>
    </row>
    <row r="1109" ht="15.75" customHeight="1">
      <c r="D1109" s="2"/>
      <c r="E1109" s="1"/>
    </row>
    <row r="1110" ht="15.75" customHeight="1">
      <c r="D1110" s="2"/>
      <c r="E1110" s="1"/>
    </row>
    <row r="1111" ht="15.75" customHeight="1">
      <c r="D1111" s="2"/>
      <c r="E1111" s="1"/>
    </row>
    <row r="1112" ht="15.75" customHeight="1">
      <c r="D1112" s="2"/>
      <c r="E1112" s="1"/>
    </row>
    <row r="1113" ht="15.75" customHeight="1">
      <c r="D1113" s="2"/>
      <c r="E1113" s="1"/>
    </row>
    <row r="1114" ht="15.75" customHeight="1">
      <c r="D1114" s="2"/>
      <c r="E1114" s="1"/>
    </row>
    <row r="1115" ht="15.75" customHeight="1">
      <c r="D1115" s="2"/>
      <c r="E1115" s="1"/>
    </row>
    <row r="1116" ht="15.75" customHeight="1">
      <c r="D1116" s="2"/>
      <c r="E1116" s="1"/>
    </row>
    <row r="1117" ht="15.75" customHeight="1">
      <c r="D1117" s="2"/>
      <c r="E1117" s="1"/>
    </row>
    <row r="1118" ht="15.75" customHeight="1">
      <c r="D1118" s="2"/>
      <c r="E1118" s="1"/>
    </row>
    <row r="1119" ht="15.75" customHeight="1">
      <c r="D1119" s="2"/>
      <c r="E1119" s="1"/>
    </row>
    <row r="1120" ht="15.75" customHeight="1">
      <c r="D1120" s="2"/>
      <c r="E1120" s="1"/>
    </row>
    <row r="1121" ht="15.75" customHeight="1">
      <c r="D1121" s="2"/>
      <c r="E1121" s="1"/>
    </row>
    <row r="1122" ht="15.75" customHeight="1">
      <c r="D1122" s="2"/>
      <c r="E1122" s="1"/>
    </row>
    <row r="1123" ht="15.75" customHeight="1">
      <c r="D1123" s="2"/>
      <c r="E1123" s="1"/>
    </row>
    <row r="1124" ht="15.75" customHeight="1">
      <c r="D1124" s="2"/>
      <c r="E1124" s="1"/>
    </row>
    <row r="1125" ht="15.75" customHeight="1">
      <c r="D1125" s="2"/>
      <c r="E1125" s="1"/>
    </row>
    <row r="1126" ht="15.75" customHeight="1">
      <c r="D1126" s="2"/>
      <c r="E1126" s="1"/>
    </row>
    <row r="1127" ht="15.75" customHeight="1">
      <c r="D1127" s="2"/>
      <c r="E1127" s="1"/>
    </row>
    <row r="1128" ht="15.75" customHeight="1">
      <c r="D1128" s="2"/>
      <c r="E1128" s="1"/>
    </row>
    <row r="1129" ht="15.75" customHeight="1">
      <c r="D1129" s="2"/>
      <c r="E1129" s="1"/>
    </row>
    <row r="1130" ht="15.75" customHeight="1">
      <c r="D1130" s="2"/>
      <c r="E1130" s="1"/>
    </row>
    <row r="1131" ht="15.75" customHeight="1">
      <c r="D1131" s="2"/>
      <c r="E1131" s="1"/>
    </row>
    <row r="1132" ht="15.75" customHeight="1">
      <c r="D1132" s="2"/>
      <c r="E1132" s="1"/>
    </row>
    <row r="1133" ht="15.75" customHeight="1">
      <c r="D1133" s="2"/>
      <c r="E1133" s="1"/>
    </row>
    <row r="1134" ht="15.75" customHeight="1">
      <c r="D1134" s="2"/>
      <c r="E1134" s="1"/>
    </row>
    <row r="1135" ht="15.75" customHeight="1">
      <c r="D1135" s="2"/>
      <c r="E1135" s="1"/>
    </row>
    <row r="1136" ht="15.75" customHeight="1">
      <c r="D1136" s="2"/>
      <c r="E1136" s="1"/>
    </row>
    <row r="1137" ht="15.75" customHeight="1">
      <c r="D1137" s="2"/>
      <c r="E1137" s="1"/>
    </row>
    <row r="1138" ht="15.75" customHeight="1">
      <c r="D1138" s="2"/>
      <c r="E1138" s="1"/>
    </row>
    <row r="1139" ht="15.75" customHeight="1">
      <c r="D1139" s="2"/>
      <c r="E1139" s="1"/>
    </row>
    <row r="1140" ht="15.75" customHeight="1">
      <c r="D1140" s="2"/>
      <c r="E1140" s="1"/>
    </row>
    <row r="1141" ht="15.75" customHeight="1">
      <c r="D1141" s="2"/>
      <c r="E1141" s="1"/>
    </row>
    <row r="1142" ht="15.75" customHeight="1">
      <c r="D1142" s="2"/>
      <c r="E1142" s="1"/>
    </row>
    <row r="1143" ht="15.75" customHeight="1">
      <c r="D1143" s="2"/>
      <c r="E1143" s="1"/>
    </row>
    <row r="1144" ht="15.75" customHeight="1">
      <c r="D1144" s="2"/>
      <c r="E1144" s="1"/>
    </row>
    <row r="1145" ht="15.75" customHeight="1">
      <c r="D1145" s="2"/>
      <c r="E1145" s="1"/>
    </row>
    <row r="1146" ht="15.75" customHeight="1">
      <c r="D1146" s="2"/>
      <c r="E1146" s="1"/>
    </row>
    <row r="1147" ht="15.75" customHeight="1">
      <c r="D1147" s="2"/>
      <c r="E1147" s="1"/>
    </row>
    <row r="1148" ht="15.75" customHeight="1">
      <c r="D1148" s="2"/>
      <c r="E1148" s="1"/>
    </row>
    <row r="1149" ht="15.75" customHeight="1">
      <c r="D1149" s="2"/>
      <c r="E1149" s="1"/>
    </row>
    <row r="1150" ht="15.75" customHeight="1">
      <c r="D1150" s="2"/>
      <c r="E1150" s="1"/>
    </row>
    <row r="1151" ht="15.75" customHeight="1">
      <c r="D1151" s="2"/>
      <c r="E1151" s="1"/>
    </row>
    <row r="1152" ht="15.75" customHeight="1">
      <c r="D1152" s="2"/>
      <c r="E1152" s="1"/>
    </row>
    <row r="1153" ht="15.75" customHeight="1">
      <c r="D1153" s="2"/>
      <c r="E1153" s="1"/>
    </row>
    <row r="1154" ht="15.75" customHeight="1">
      <c r="D1154" s="2"/>
      <c r="E1154" s="1"/>
    </row>
    <row r="1155" ht="15.75" customHeight="1">
      <c r="D1155" s="2"/>
      <c r="E1155" s="1"/>
    </row>
    <row r="1156" ht="15.75" customHeight="1">
      <c r="D1156" s="2"/>
      <c r="E1156" s="1"/>
    </row>
    <row r="1157" ht="15.75" customHeight="1">
      <c r="D1157" s="2"/>
      <c r="E1157" s="1"/>
    </row>
    <row r="1158" ht="15.75" customHeight="1">
      <c r="D1158" s="2"/>
      <c r="E1158" s="1"/>
    </row>
    <row r="1159" ht="15.75" customHeight="1">
      <c r="D1159" s="2"/>
      <c r="E1159" s="1"/>
    </row>
    <row r="1160" ht="15.75" customHeight="1">
      <c r="D1160" s="2"/>
      <c r="E1160" s="1"/>
    </row>
    <row r="1161" ht="15.75" customHeight="1">
      <c r="D1161" s="2"/>
      <c r="E1161" s="1"/>
    </row>
    <row r="1162" ht="15.75" customHeight="1">
      <c r="D1162" s="2"/>
      <c r="E1162" s="1"/>
    </row>
    <row r="1163" ht="15.75" customHeight="1">
      <c r="D1163" s="2"/>
      <c r="E1163" s="1"/>
    </row>
    <row r="1164" ht="15.75" customHeight="1">
      <c r="D1164" s="2"/>
      <c r="E1164" s="1"/>
    </row>
    <row r="1165" ht="15.75" customHeight="1">
      <c r="D1165" s="2"/>
      <c r="E1165" s="1"/>
    </row>
    <row r="1166" ht="15.75" customHeight="1">
      <c r="D1166" s="2"/>
      <c r="E1166" s="1"/>
    </row>
    <row r="1167" ht="15.75" customHeight="1">
      <c r="D1167" s="2"/>
      <c r="E1167" s="1"/>
    </row>
    <row r="1168" ht="15.75" customHeight="1">
      <c r="D1168" s="2"/>
      <c r="E1168" s="1"/>
    </row>
    <row r="1169" ht="15.75" customHeight="1">
      <c r="D1169" s="2"/>
      <c r="E1169" s="1"/>
    </row>
    <row r="1170" ht="15.75" customHeight="1">
      <c r="D1170" s="2"/>
      <c r="E1170" s="1"/>
    </row>
    <row r="1171" ht="15.75" customHeight="1">
      <c r="D1171" s="2"/>
      <c r="E1171" s="1"/>
    </row>
    <row r="1172" ht="15.75" customHeight="1">
      <c r="D1172" s="2"/>
      <c r="E1172" s="1"/>
    </row>
    <row r="1173" ht="15.75" customHeight="1">
      <c r="D1173" s="2"/>
      <c r="E1173" s="1"/>
    </row>
    <row r="1174" ht="15.75" customHeight="1">
      <c r="D1174" s="2"/>
      <c r="E1174" s="1"/>
    </row>
    <row r="1175" ht="15.75" customHeight="1">
      <c r="D1175" s="2"/>
      <c r="E1175" s="1"/>
    </row>
    <row r="1176" ht="15.75" customHeight="1">
      <c r="D1176" s="2"/>
      <c r="E1176" s="1"/>
    </row>
    <row r="1177" ht="15.75" customHeight="1">
      <c r="D1177" s="2"/>
      <c r="E1177" s="1"/>
    </row>
    <row r="1178" ht="15.75" customHeight="1">
      <c r="D1178" s="2"/>
      <c r="E1178" s="1"/>
    </row>
    <row r="1179" ht="15.75" customHeight="1">
      <c r="D1179" s="2"/>
      <c r="E1179" s="1"/>
    </row>
    <row r="1180" ht="15.75" customHeight="1">
      <c r="D1180" s="2"/>
      <c r="E1180" s="1"/>
    </row>
    <row r="1181" ht="15.75" customHeight="1">
      <c r="D1181" s="2"/>
      <c r="E1181" s="1"/>
    </row>
    <row r="1182" ht="15.75" customHeight="1">
      <c r="D1182" s="2"/>
      <c r="E1182" s="1"/>
    </row>
    <row r="1183" ht="15.75" customHeight="1">
      <c r="D1183" s="2"/>
      <c r="E1183" s="1"/>
    </row>
    <row r="1184" ht="15.75" customHeight="1">
      <c r="D1184" s="2"/>
      <c r="E1184" s="1"/>
    </row>
    <row r="1185" ht="15.75" customHeight="1">
      <c r="D1185" s="2"/>
      <c r="E1185" s="1"/>
    </row>
    <row r="1186" ht="15.75" customHeight="1">
      <c r="D1186" s="2"/>
      <c r="E1186" s="1"/>
    </row>
    <row r="1187" ht="15.75" customHeight="1">
      <c r="D1187" s="2"/>
      <c r="E1187" s="1"/>
    </row>
    <row r="1188" ht="15.75" customHeight="1">
      <c r="D1188" s="2"/>
      <c r="E1188" s="1"/>
    </row>
    <row r="1189" ht="15.75" customHeight="1">
      <c r="D1189" s="2"/>
      <c r="E1189" s="1"/>
    </row>
    <row r="1190" ht="15.75" customHeight="1">
      <c r="D1190" s="2"/>
      <c r="E1190" s="1"/>
    </row>
    <row r="1191" ht="15.75" customHeight="1">
      <c r="D1191" s="2"/>
      <c r="E1191" s="1"/>
    </row>
    <row r="1192" ht="15.75" customHeight="1">
      <c r="D1192" s="2"/>
      <c r="E1192" s="1"/>
    </row>
    <row r="1193" ht="15.75" customHeight="1">
      <c r="D1193" s="2"/>
      <c r="E1193" s="1"/>
    </row>
    <row r="1194" ht="15.75" customHeight="1">
      <c r="D1194" s="2"/>
      <c r="E1194" s="1"/>
    </row>
    <row r="1195" ht="15.75" customHeight="1">
      <c r="D1195" s="2"/>
      <c r="E1195" s="1"/>
    </row>
    <row r="1196" ht="15.75" customHeight="1">
      <c r="D1196" s="2"/>
      <c r="E1196" s="1"/>
    </row>
    <row r="1197" ht="15.75" customHeight="1">
      <c r="D1197" s="2"/>
      <c r="E1197" s="1"/>
    </row>
    <row r="1198" ht="15.75" customHeight="1">
      <c r="D1198" s="2"/>
      <c r="E1198" s="1"/>
    </row>
    <row r="1199" ht="15.75" customHeight="1">
      <c r="D1199" s="2"/>
      <c r="E1199" s="1"/>
    </row>
    <row r="1200" ht="15.75" customHeight="1">
      <c r="D1200" s="2"/>
      <c r="E1200" s="1"/>
    </row>
    <row r="1201" ht="15.75" customHeight="1">
      <c r="D1201" s="2"/>
      <c r="E1201" s="1"/>
    </row>
    <row r="1202" ht="15.75" customHeight="1">
      <c r="D1202" s="2"/>
      <c r="E1202" s="1"/>
    </row>
    <row r="1203" ht="15.75" customHeight="1">
      <c r="D1203" s="2"/>
      <c r="E1203" s="1"/>
    </row>
    <row r="1204" ht="15.75" customHeight="1">
      <c r="D1204" s="2"/>
      <c r="E1204" s="1"/>
    </row>
    <row r="1205" ht="15.75" customHeight="1">
      <c r="D1205" s="2"/>
      <c r="E1205" s="1"/>
    </row>
    <row r="1206" ht="15.75" customHeight="1">
      <c r="D1206" s="2"/>
      <c r="E1206" s="1"/>
    </row>
    <row r="1207" ht="15.75" customHeight="1">
      <c r="D1207" s="2"/>
      <c r="E1207" s="1"/>
    </row>
    <row r="1208" ht="15.75" customHeight="1">
      <c r="D1208" s="2"/>
      <c r="E1208" s="1"/>
    </row>
    <row r="1209" ht="15.75" customHeight="1">
      <c r="D1209" s="2"/>
      <c r="E1209" s="1"/>
    </row>
    <row r="1210" ht="15.75" customHeight="1">
      <c r="D1210" s="2"/>
      <c r="E1210" s="1"/>
    </row>
    <row r="1211" ht="15.75" customHeight="1">
      <c r="D1211" s="2"/>
      <c r="E1211" s="1"/>
    </row>
    <row r="1212" ht="15.75" customHeight="1">
      <c r="D1212" s="2"/>
      <c r="E1212" s="1"/>
    </row>
    <row r="1213" ht="15.75" customHeight="1">
      <c r="D1213" s="2"/>
      <c r="E1213" s="1"/>
    </row>
    <row r="1214" ht="15.75" customHeight="1">
      <c r="D1214" s="2"/>
      <c r="E1214" s="1"/>
    </row>
    <row r="1215" ht="15.75" customHeight="1">
      <c r="D1215" s="2"/>
      <c r="E1215" s="1"/>
    </row>
    <row r="1216" ht="15.75" customHeight="1">
      <c r="D1216" s="2"/>
      <c r="E1216" s="1"/>
    </row>
    <row r="1217" ht="15.75" customHeight="1">
      <c r="D1217" s="2"/>
      <c r="E1217" s="1"/>
    </row>
    <row r="1218" ht="15.75" customHeight="1">
      <c r="D1218" s="2"/>
      <c r="E1218" s="1"/>
    </row>
    <row r="1219" ht="15.75" customHeight="1">
      <c r="D1219" s="2"/>
      <c r="E1219" s="1"/>
    </row>
    <row r="1220" ht="15.75" customHeight="1">
      <c r="D1220" s="2"/>
      <c r="E1220" s="1"/>
    </row>
    <row r="1221" ht="15.75" customHeight="1">
      <c r="D1221" s="2"/>
      <c r="E1221" s="1"/>
    </row>
    <row r="1222" ht="15.75" customHeight="1">
      <c r="D1222" s="2"/>
      <c r="E1222" s="1"/>
    </row>
    <row r="1223" ht="15.75" customHeight="1">
      <c r="D1223" s="2"/>
      <c r="E1223" s="1"/>
    </row>
    <row r="1224" ht="15.75" customHeight="1">
      <c r="D1224" s="2"/>
      <c r="E1224" s="1"/>
    </row>
    <row r="1225" ht="15.75" customHeight="1">
      <c r="D1225" s="2"/>
      <c r="E1225" s="1"/>
    </row>
    <row r="1226" ht="15.75" customHeight="1">
      <c r="D1226" s="2"/>
      <c r="E1226" s="1"/>
    </row>
    <row r="1227" ht="15.75" customHeight="1">
      <c r="D1227" s="2"/>
      <c r="E1227" s="1"/>
    </row>
    <row r="1228" ht="15.75" customHeight="1">
      <c r="D1228" s="2"/>
      <c r="E1228" s="1"/>
    </row>
    <row r="1229" ht="15.75" customHeight="1">
      <c r="D1229" s="2"/>
      <c r="E1229" s="1"/>
    </row>
    <row r="1230" ht="15.75" customHeight="1">
      <c r="D1230" s="2"/>
      <c r="E1230" s="1"/>
    </row>
    <row r="1231" ht="15.75" customHeight="1">
      <c r="D1231" s="2"/>
      <c r="E1231" s="1"/>
    </row>
    <row r="1232" ht="15.75" customHeight="1">
      <c r="D1232" s="2"/>
      <c r="E1232" s="1"/>
    </row>
    <row r="1233" ht="15.75" customHeight="1">
      <c r="D1233" s="2"/>
      <c r="E1233" s="1"/>
    </row>
    <row r="1234" ht="15.75" customHeight="1">
      <c r="D1234" s="2"/>
      <c r="E1234" s="1"/>
    </row>
    <row r="1235" ht="15.75" customHeight="1">
      <c r="D1235" s="2"/>
      <c r="E1235" s="1"/>
    </row>
    <row r="1236" ht="15.75" customHeight="1">
      <c r="D1236" s="2"/>
      <c r="E1236" s="1"/>
    </row>
    <row r="1237" ht="15.75" customHeight="1">
      <c r="D1237" s="2"/>
      <c r="E1237" s="1"/>
    </row>
    <row r="1238" ht="15.75" customHeight="1">
      <c r="D1238" s="2"/>
      <c r="E1238" s="1"/>
    </row>
    <row r="1239" ht="15.75" customHeight="1">
      <c r="D1239" s="2"/>
      <c r="E1239" s="1"/>
    </row>
    <row r="1240" ht="15.75" customHeight="1">
      <c r="D1240" s="2"/>
      <c r="E1240" s="1"/>
    </row>
    <row r="1241" ht="15.75" customHeight="1">
      <c r="D1241" s="2"/>
      <c r="E1241" s="1"/>
    </row>
    <row r="1242" ht="15.75" customHeight="1">
      <c r="D1242" s="2"/>
      <c r="E1242" s="1"/>
    </row>
    <row r="1243" ht="15.75" customHeight="1">
      <c r="D1243" s="2"/>
      <c r="E1243" s="1"/>
    </row>
    <row r="1244" ht="15.75" customHeight="1">
      <c r="D1244" s="2"/>
      <c r="E1244" s="1"/>
    </row>
    <row r="1245" ht="15.75" customHeight="1">
      <c r="D1245" s="2"/>
      <c r="E1245" s="1"/>
    </row>
    <row r="1246" ht="15.75" customHeight="1">
      <c r="D1246" s="2"/>
      <c r="E1246" s="1"/>
    </row>
    <row r="1247" ht="15.75" customHeight="1">
      <c r="D1247" s="2"/>
      <c r="E1247" s="1"/>
    </row>
    <row r="1248" ht="15.75" customHeight="1">
      <c r="D1248" s="2"/>
      <c r="E1248" s="1"/>
    </row>
    <row r="1249" ht="15.75" customHeight="1">
      <c r="D1249" s="2"/>
      <c r="E1249" s="1"/>
    </row>
    <row r="1250" ht="15.75" customHeight="1">
      <c r="D1250" s="2"/>
      <c r="E1250" s="1"/>
    </row>
    <row r="1251" ht="15.75" customHeight="1">
      <c r="D1251" s="2"/>
      <c r="E1251" s="1"/>
    </row>
    <row r="1252" ht="15.75" customHeight="1">
      <c r="D1252" s="2"/>
      <c r="E1252" s="1"/>
    </row>
    <row r="1253" ht="15.75" customHeight="1">
      <c r="D1253" s="2"/>
      <c r="E1253" s="1"/>
    </row>
    <row r="1254" ht="15.75" customHeight="1">
      <c r="D1254" s="2"/>
      <c r="E1254" s="1"/>
    </row>
    <row r="1255" ht="15.75" customHeight="1">
      <c r="D1255" s="2"/>
      <c r="E1255" s="1"/>
    </row>
    <row r="1256" ht="15.75" customHeight="1">
      <c r="D1256" s="2"/>
      <c r="E1256" s="1"/>
    </row>
    <row r="1257" ht="15.75" customHeight="1">
      <c r="D1257" s="2"/>
      <c r="E1257" s="1"/>
    </row>
    <row r="1258" ht="15.75" customHeight="1">
      <c r="D1258" s="2"/>
      <c r="E1258" s="1"/>
    </row>
    <row r="1259" ht="15.75" customHeight="1">
      <c r="D1259" s="2"/>
      <c r="E1259" s="1"/>
    </row>
    <row r="1260" ht="15.75" customHeight="1">
      <c r="D1260" s="2"/>
      <c r="E1260" s="1"/>
    </row>
    <row r="1261" ht="15.75" customHeight="1">
      <c r="D1261" s="2"/>
      <c r="E1261" s="1"/>
    </row>
    <row r="1262" ht="15.75" customHeight="1">
      <c r="D1262" s="2"/>
      <c r="E1262" s="1"/>
    </row>
    <row r="1263" ht="15.75" customHeight="1">
      <c r="D1263" s="2"/>
      <c r="E1263" s="1"/>
    </row>
    <row r="1264" ht="15.75" customHeight="1">
      <c r="D1264" s="2"/>
      <c r="E1264" s="1"/>
    </row>
    <row r="1265" ht="15.75" customHeight="1">
      <c r="D1265" s="2"/>
      <c r="E1265" s="1"/>
    </row>
    <row r="1266" ht="15.75" customHeight="1">
      <c r="D1266" s="2"/>
      <c r="E1266" s="1"/>
    </row>
    <row r="1267" ht="15.75" customHeight="1">
      <c r="D1267" s="2"/>
      <c r="E1267" s="1"/>
    </row>
    <row r="1268" ht="15.75" customHeight="1">
      <c r="D1268" s="2"/>
      <c r="E1268" s="1"/>
    </row>
    <row r="1269" ht="15.75" customHeight="1">
      <c r="D1269" s="2"/>
      <c r="E1269" s="1"/>
    </row>
    <row r="1270" ht="15.75" customHeight="1">
      <c r="D1270" s="2"/>
      <c r="E1270" s="1"/>
    </row>
    <row r="1271" ht="15.75" customHeight="1">
      <c r="D1271" s="2"/>
      <c r="E1271" s="1"/>
    </row>
    <row r="1272" ht="15.75" customHeight="1">
      <c r="D1272" s="2"/>
      <c r="E1272" s="1"/>
    </row>
    <row r="1273" ht="15.75" customHeight="1">
      <c r="D1273" s="2"/>
      <c r="E1273" s="1"/>
    </row>
    <row r="1274" ht="15.75" customHeight="1">
      <c r="D1274" s="2"/>
      <c r="E1274" s="1"/>
    </row>
    <row r="1275">
      <c r="D1275" s="2"/>
      <c r="E1275" s="1"/>
    </row>
    <row r="1276">
      <c r="D1276" s="2"/>
      <c r="E1276" s="1"/>
    </row>
    <row r="1277">
      <c r="D1277" s="2"/>
      <c r="E1277" s="1"/>
    </row>
    <row r="1278">
      <c r="D1278" s="2"/>
      <c r="E1278" s="1"/>
    </row>
    <row r="1279">
      <c r="D1279" s="2"/>
      <c r="E1279" s="1"/>
    </row>
    <row r="1280">
      <c r="D1280" s="2"/>
      <c r="E1280" s="1"/>
    </row>
    <row r="1281">
      <c r="D1281" s="2"/>
      <c r="E1281" s="1"/>
    </row>
    <row r="1282">
      <c r="D1282" s="2"/>
      <c r="E1282" s="1"/>
    </row>
    <row r="1283">
      <c r="D1283" s="2"/>
      <c r="E1283" s="1"/>
    </row>
    <row r="1284">
      <c r="D1284" s="2"/>
      <c r="E1284" s="1"/>
    </row>
    <row r="1285">
      <c r="D1285" s="2"/>
      <c r="E1285" s="1"/>
    </row>
    <row r="1286">
      <c r="D1286" s="2"/>
      <c r="E1286" s="1"/>
    </row>
    <row r="1287">
      <c r="D1287" s="2"/>
      <c r="E1287" s="1"/>
    </row>
    <row r="1288">
      <c r="D1288" s="2"/>
      <c r="E1288" s="1"/>
    </row>
    <row r="1289">
      <c r="D1289" s="2"/>
      <c r="E1289" s="1"/>
    </row>
    <row r="1290">
      <c r="D1290" s="2"/>
      <c r="E1290" s="1"/>
    </row>
    <row r="1291">
      <c r="D1291" s="2"/>
      <c r="E1291" s="1"/>
    </row>
    <row r="1292">
      <c r="D1292" s="2"/>
      <c r="E1292" s="1"/>
    </row>
    <row r="1293">
      <c r="D1293" s="2"/>
      <c r="E1293" s="1"/>
    </row>
  </sheetData>
  <mergeCells count="308">
    <mergeCell ref="G641:G648"/>
    <mergeCell ref="G656:G661"/>
    <mergeCell ref="G599:G605"/>
    <mergeCell ref="G606:G611"/>
    <mergeCell ref="G619:G625"/>
    <mergeCell ref="G626:G629"/>
    <mergeCell ref="G630:G633"/>
    <mergeCell ref="G634:G640"/>
    <mergeCell ref="J634:J640"/>
    <mergeCell ref="E494:E495"/>
    <mergeCell ref="E496:E499"/>
    <mergeCell ref="E500:E501"/>
    <mergeCell ref="E502:E505"/>
    <mergeCell ref="E506:E507"/>
    <mergeCell ref="E508:E511"/>
    <mergeCell ref="E513:E514"/>
    <mergeCell ref="E515:E518"/>
    <mergeCell ref="E519:E520"/>
    <mergeCell ref="E521:E524"/>
    <mergeCell ref="E525:E526"/>
    <mergeCell ref="G526:G531"/>
    <mergeCell ref="E527:E530"/>
    <mergeCell ref="G533:G541"/>
    <mergeCell ref="E540:E541"/>
    <mergeCell ref="E532:E535"/>
    <mergeCell ref="E536:E539"/>
    <mergeCell ref="E542:E545"/>
    <mergeCell ref="E546:E547"/>
    <mergeCell ref="E548:E551"/>
    <mergeCell ref="J549:J553"/>
    <mergeCell ref="E552:E553"/>
    <mergeCell ref="E554:E557"/>
    <mergeCell ref="E558:E559"/>
    <mergeCell ref="E560:E563"/>
    <mergeCell ref="E564:E565"/>
    <mergeCell ref="E566:E570"/>
    <mergeCell ref="E571:E572"/>
    <mergeCell ref="E573:E576"/>
    <mergeCell ref="E577:E578"/>
    <mergeCell ref="E579:E582"/>
    <mergeCell ref="E583:E585"/>
    <mergeCell ref="E586:E591"/>
    <mergeCell ref="E592:E598"/>
    <mergeCell ref="E599:E605"/>
    <mergeCell ref="E606:E612"/>
    <mergeCell ref="K635:K636"/>
    <mergeCell ref="L635:L636"/>
    <mergeCell ref="K649:K655"/>
    <mergeCell ref="E613:E618"/>
    <mergeCell ref="E619:E625"/>
    <mergeCell ref="E626:E632"/>
    <mergeCell ref="E633:E636"/>
    <mergeCell ref="E637:E640"/>
    <mergeCell ref="E641:E647"/>
    <mergeCell ref="E648:E655"/>
    <mergeCell ref="G123:G129"/>
    <mergeCell ref="G144:G156"/>
    <mergeCell ref="G163:G172"/>
    <mergeCell ref="G225:G241"/>
    <mergeCell ref="G3:G11"/>
    <mergeCell ref="G12:G21"/>
    <mergeCell ref="G51:G61"/>
    <mergeCell ref="G68:G78"/>
    <mergeCell ref="G85:G89"/>
    <mergeCell ref="G96:G104"/>
    <mergeCell ref="G114:G120"/>
    <mergeCell ref="E11:E18"/>
    <mergeCell ref="E19:E25"/>
    <mergeCell ref="G28:H36"/>
    <mergeCell ref="J34:J37"/>
    <mergeCell ref="J39:J44"/>
    <mergeCell ref="G40:G46"/>
    <mergeCell ref="A2:E2"/>
    <mergeCell ref="J3:J6"/>
    <mergeCell ref="A4:A10"/>
    <mergeCell ref="J7:J12"/>
    <mergeCell ref="A11:A18"/>
    <mergeCell ref="A19:A25"/>
    <mergeCell ref="E33:E36"/>
    <mergeCell ref="A26:A32"/>
    <mergeCell ref="A33:A36"/>
    <mergeCell ref="A37:A42"/>
    <mergeCell ref="A43:A49"/>
    <mergeCell ref="A50:A56"/>
    <mergeCell ref="A57:A66"/>
    <mergeCell ref="A67:A74"/>
    <mergeCell ref="E4:E10"/>
    <mergeCell ref="E26:E32"/>
    <mergeCell ref="E37:E42"/>
    <mergeCell ref="E43:E49"/>
    <mergeCell ref="E50:E56"/>
    <mergeCell ref="E57:E66"/>
    <mergeCell ref="E67:E74"/>
    <mergeCell ref="E75:E83"/>
    <mergeCell ref="E84:E90"/>
    <mergeCell ref="E91:E100"/>
    <mergeCell ref="E101:E111"/>
    <mergeCell ref="E112:E119"/>
    <mergeCell ref="E120:E124"/>
    <mergeCell ref="E125:E129"/>
    <mergeCell ref="E130:E140"/>
    <mergeCell ref="E141:E152"/>
    <mergeCell ref="E153:E159"/>
    <mergeCell ref="E160:E168"/>
    <mergeCell ref="E169:E175"/>
    <mergeCell ref="E176:E182"/>
    <mergeCell ref="G185:G187"/>
    <mergeCell ref="E183:E189"/>
    <mergeCell ref="E190:E199"/>
    <mergeCell ref="G192:I202"/>
    <mergeCell ref="E200:E206"/>
    <mergeCell ref="E207:E214"/>
    <mergeCell ref="G209:G218"/>
    <mergeCell ref="E215:E222"/>
    <mergeCell ref="E223:E232"/>
    <mergeCell ref="E233:E239"/>
    <mergeCell ref="E240:E246"/>
    <mergeCell ref="E247:E253"/>
    <mergeCell ref="G247:G255"/>
    <mergeCell ref="E254:E260"/>
    <mergeCell ref="G262:G266"/>
    <mergeCell ref="E278:E284"/>
    <mergeCell ref="E285:E294"/>
    <mergeCell ref="E261:E265"/>
    <mergeCell ref="E266:E272"/>
    <mergeCell ref="J266:J275"/>
    <mergeCell ref="I267:I273"/>
    <mergeCell ref="G268:G273"/>
    <mergeCell ref="G279:G287"/>
    <mergeCell ref="J285:J303"/>
    <mergeCell ref="E273:E277"/>
    <mergeCell ref="E295:E300"/>
    <mergeCell ref="E301:E307"/>
    <mergeCell ref="E308:E311"/>
    <mergeCell ref="E312:E317"/>
    <mergeCell ref="E318:E324"/>
    <mergeCell ref="E325:E332"/>
    <mergeCell ref="E333:E336"/>
    <mergeCell ref="E337:E338"/>
    <mergeCell ref="E339:E340"/>
    <mergeCell ref="E342:E345"/>
    <mergeCell ref="E346:E347"/>
    <mergeCell ref="E348:E351"/>
    <mergeCell ref="G349:G351"/>
    <mergeCell ref="E352:E353"/>
    <mergeCell ref="E354:E357"/>
    <mergeCell ref="E358:E359"/>
    <mergeCell ref="E360:E363"/>
    <mergeCell ref="E364:E365"/>
    <mergeCell ref="E366:E369"/>
    <mergeCell ref="E371:E372"/>
    <mergeCell ref="A423:A429"/>
    <mergeCell ref="A430:A434"/>
    <mergeCell ref="A436:A441"/>
    <mergeCell ref="A442:A447"/>
    <mergeCell ref="A448:A453"/>
    <mergeCell ref="A454:A459"/>
    <mergeCell ref="A460:A466"/>
    <mergeCell ref="A467:A472"/>
    <mergeCell ref="A473:A477"/>
    <mergeCell ref="A478:A482"/>
    <mergeCell ref="A483:A488"/>
    <mergeCell ref="A489:A494"/>
    <mergeCell ref="A495:A500"/>
    <mergeCell ref="A501:A507"/>
    <mergeCell ref="A508:A513"/>
    <mergeCell ref="A514:A519"/>
    <mergeCell ref="A520:A524"/>
    <mergeCell ref="A525:A528"/>
    <mergeCell ref="A529:A534"/>
    <mergeCell ref="A535:A540"/>
    <mergeCell ref="A541:A546"/>
    <mergeCell ref="A547:A552"/>
    <mergeCell ref="A553:A558"/>
    <mergeCell ref="A559:A565"/>
    <mergeCell ref="A566:A571"/>
    <mergeCell ref="A572:A575"/>
    <mergeCell ref="A576:A578"/>
    <mergeCell ref="A579:A584"/>
    <mergeCell ref="A585:A591"/>
    <mergeCell ref="A592:A598"/>
    <mergeCell ref="A599:A605"/>
    <mergeCell ref="A606:A612"/>
    <mergeCell ref="A613:A618"/>
    <mergeCell ref="A619:A625"/>
    <mergeCell ref="A626:A629"/>
    <mergeCell ref="A673:A676"/>
    <mergeCell ref="A677:A680"/>
    <mergeCell ref="A681:A685"/>
    <mergeCell ref="A686:A694"/>
    <mergeCell ref="A695:A700"/>
    <mergeCell ref="A701:A707"/>
    <mergeCell ref="A708:A714"/>
    <mergeCell ref="A630:A633"/>
    <mergeCell ref="A634:A640"/>
    <mergeCell ref="A641:A648"/>
    <mergeCell ref="A649:A655"/>
    <mergeCell ref="A656:A661"/>
    <mergeCell ref="A662:A666"/>
    <mergeCell ref="A667:A672"/>
    <mergeCell ref="A75:A83"/>
    <mergeCell ref="A84:A90"/>
    <mergeCell ref="A91:A100"/>
    <mergeCell ref="A101:A111"/>
    <mergeCell ref="A112:A119"/>
    <mergeCell ref="A120:A124"/>
    <mergeCell ref="A125:A129"/>
    <mergeCell ref="A130:A140"/>
    <mergeCell ref="A141:A152"/>
    <mergeCell ref="A153:A159"/>
    <mergeCell ref="A160:A168"/>
    <mergeCell ref="A169:A175"/>
    <mergeCell ref="A176:A182"/>
    <mergeCell ref="A183:A189"/>
    <mergeCell ref="A190:A199"/>
    <mergeCell ref="A200:A206"/>
    <mergeCell ref="A207:A214"/>
    <mergeCell ref="A215:A222"/>
    <mergeCell ref="A223:A232"/>
    <mergeCell ref="A233:A239"/>
    <mergeCell ref="A240:A246"/>
    <mergeCell ref="A247:A253"/>
    <mergeCell ref="A254:A260"/>
    <mergeCell ref="A261:A265"/>
    <mergeCell ref="A266:A272"/>
    <mergeCell ref="A273:A277"/>
    <mergeCell ref="A278:A284"/>
    <mergeCell ref="A285:A293"/>
    <mergeCell ref="A294:A300"/>
    <mergeCell ref="A301:A304"/>
    <mergeCell ref="A305:A310"/>
    <mergeCell ref="A311:A317"/>
    <mergeCell ref="A318:A325"/>
    <mergeCell ref="A326:A331"/>
    <mergeCell ref="A332:A334"/>
    <mergeCell ref="A335:A340"/>
    <mergeCell ref="A341:A346"/>
    <mergeCell ref="A347:A352"/>
    <mergeCell ref="A353:A358"/>
    <mergeCell ref="A359:A365"/>
    <mergeCell ref="A366:A372"/>
    <mergeCell ref="A373:A378"/>
    <mergeCell ref="A379:A383"/>
    <mergeCell ref="A385:A390"/>
    <mergeCell ref="A391:A396"/>
    <mergeCell ref="A397:A403"/>
    <mergeCell ref="A404:A410"/>
    <mergeCell ref="A411:A416"/>
    <mergeCell ref="A417:A422"/>
    <mergeCell ref="E373:E377"/>
    <mergeCell ref="E378:E379"/>
    <mergeCell ref="E380:E383"/>
    <mergeCell ref="E384:E385"/>
    <mergeCell ref="E386:E389"/>
    <mergeCell ref="E390:E391"/>
    <mergeCell ref="E392:E395"/>
    <mergeCell ref="E396:E397"/>
    <mergeCell ref="E398:E401"/>
    <mergeCell ref="E402:E403"/>
    <mergeCell ref="E404:E407"/>
    <mergeCell ref="E408:E410"/>
    <mergeCell ref="E411:E415"/>
    <mergeCell ref="E416:E417"/>
    <mergeCell ref="E418:E421"/>
    <mergeCell ref="G421:G428"/>
    <mergeCell ref="E422:E423"/>
    <mergeCell ref="E424:E427"/>
    <mergeCell ref="E428:E429"/>
    <mergeCell ref="E430:E434"/>
    <mergeCell ref="E435:E436"/>
    <mergeCell ref="E437:E440"/>
    <mergeCell ref="E441:E442"/>
    <mergeCell ref="G441:G447"/>
    <mergeCell ref="E443:E446"/>
    <mergeCell ref="E447:E448"/>
    <mergeCell ref="J450:J454"/>
    <mergeCell ref="M450:M454"/>
    <mergeCell ref="G458:G465"/>
    <mergeCell ref="G469:G477"/>
    <mergeCell ref="G494:G501"/>
    <mergeCell ref="E449:E452"/>
    <mergeCell ref="E453:E454"/>
    <mergeCell ref="E455:E458"/>
    <mergeCell ref="E459:E460"/>
    <mergeCell ref="E461:E464"/>
    <mergeCell ref="E465:E466"/>
    <mergeCell ref="E467:E471"/>
    <mergeCell ref="E472:E473"/>
    <mergeCell ref="E474:E477"/>
    <mergeCell ref="E478:E479"/>
    <mergeCell ref="E480:E482"/>
    <mergeCell ref="E483:E484"/>
    <mergeCell ref="E485:E489"/>
    <mergeCell ref="E490:E493"/>
    <mergeCell ref="E688:E692"/>
    <mergeCell ref="E693:E701"/>
    <mergeCell ref="E702:E707"/>
    <mergeCell ref="E708:E714"/>
    <mergeCell ref="E715:E721"/>
    <mergeCell ref="G695:G700"/>
    <mergeCell ref="G701:G707"/>
    <mergeCell ref="E656:E662"/>
    <mergeCell ref="E663:E668"/>
    <mergeCell ref="E669:E673"/>
    <mergeCell ref="E674:E679"/>
    <mergeCell ref="E680:E683"/>
    <mergeCell ref="E684:E687"/>
    <mergeCell ref="G686:G69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7.57"/>
    <col customWidth="1" min="3" max="3" width="20.43"/>
    <col customWidth="1" min="4" max="4" width="19.71"/>
    <col customWidth="1" min="5" max="5" width="23.43"/>
    <col customWidth="1" min="6" max="6" width="23.86"/>
    <col customWidth="1" min="7" max="7" width="29.57"/>
    <col customWidth="1" min="8" max="8" width="26.14"/>
    <col customWidth="1" min="9" max="9" width="27.86"/>
    <col customWidth="1" min="10" max="10" width="33.71"/>
    <col customWidth="1" min="11" max="11" width="39.0"/>
    <col customWidth="1" min="12" max="12" width="26.0"/>
    <col customWidth="1" min="13" max="13" width="30.14"/>
    <col customWidth="1" min="14" max="24" width="8.71"/>
  </cols>
  <sheetData>
    <row r="1">
      <c r="A1" s="1"/>
      <c r="D1" s="2"/>
      <c r="E1" s="1"/>
    </row>
    <row r="2" ht="39.75" customHeight="1">
      <c r="A2" s="280" t="s">
        <v>311</v>
      </c>
      <c r="B2" s="4"/>
      <c r="C2" s="4"/>
      <c r="D2" s="4"/>
      <c r="E2" s="5"/>
    </row>
    <row r="3">
      <c r="A3" s="6" t="s">
        <v>1</v>
      </c>
      <c r="B3" s="6"/>
      <c r="C3" s="6" t="s">
        <v>2</v>
      </c>
      <c r="D3" s="7" t="s">
        <v>3</v>
      </c>
      <c r="E3" s="6" t="s">
        <v>4</v>
      </c>
      <c r="H3" s="9"/>
      <c r="I3" s="10"/>
    </row>
    <row r="4" ht="27.0" customHeight="1">
      <c r="A4" s="12" t="s">
        <v>5</v>
      </c>
      <c r="B4" s="160" t="s">
        <v>312</v>
      </c>
      <c r="C4" s="155">
        <v>4567500.0</v>
      </c>
      <c r="D4" s="152"/>
      <c r="E4" s="153">
        <f>SUM(C4:C5)</f>
        <v>45547500</v>
      </c>
      <c r="H4" s="9"/>
      <c r="I4" s="17"/>
    </row>
    <row r="5" ht="25.5" customHeight="1">
      <c r="A5" s="18"/>
      <c r="B5" s="160" t="s">
        <v>313</v>
      </c>
      <c r="C5" s="155">
        <v>4.098E7</v>
      </c>
      <c r="D5" s="152"/>
      <c r="E5" s="18"/>
      <c r="F5" s="20"/>
      <c r="H5" s="9"/>
      <c r="I5" s="10"/>
    </row>
    <row r="6" ht="25.5" customHeight="1">
      <c r="A6" s="18"/>
      <c r="B6" s="154"/>
      <c r="C6" s="155"/>
      <c r="D6" s="156"/>
      <c r="E6" s="18"/>
      <c r="H6" s="9"/>
      <c r="I6" s="10"/>
    </row>
    <row r="7" ht="25.5" customHeight="1">
      <c r="A7" s="18"/>
      <c r="B7" s="157"/>
      <c r="C7" s="157"/>
      <c r="E7" s="18"/>
      <c r="H7" s="9"/>
      <c r="I7" s="10"/>
    </row>
    <row r="8" ht="25.5" customHeight="1">
      <c r="A8" s="18"/>
      <c r="B8" s="157"/>
      <c r="C8" s="158"/>
      <c r="D8" s="25"/>
      <c r="E8" s="18"/>
      <c r="F8" s="29"/>
      <c r="H8" s="27"/>
      <c r="I8" s="28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ht="25.5" customHeight="1">
      <c r="A9" s="18"/>
      <c r="B9" s="159"/>
      <c r="C9" s="160"/>
      <c r="D9" s="25"/>
      <c r="E9" s="18"/>
      <c r="F9" s="29"/>
      <c r="H9" s="27"/>
      <c r="I9" s="28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ht="25.5" customHeight="1">
      <c r="A10" s="22"/>
      <c r="B10" s="201"/>
      <c r="C10" s="207"/>
      <c r="D10" s="163"/>
      <c r="E10" s="22"/>
      <c r="F10" s="29"/>
      <c r="H10" s="27"/>
      <c r="I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ht="25.5" customHeight="1">
      <c r="A11" s="12" t="s">
        <v>11</v>
      </c>
      <c r="B11" s="181" t="s">
        <v>221</v>
      </c>
      <c r="C11" s="167">
        <v>5.162E7</v>
      </c>
      <c r="D11" s="156"/>
      <c r="E11" s="16">
        <f>sum(C11:C18)</f>
        <v>66430000</v>
      </c>
      <c r="H11" s="9"/>
      <c r="I11" s="10"/>
    </row>
    <row r="12" ht="25.5" customHeight="1">
      <c r="A12" s="18"/>
      <c r="B12" s="160" t="s">
        <v>314</v>
      </c>
      <c r="C12" s="160">
        <v>2130000.0</v>
      </c>
      <c r="D12" s="156"/>
      <c r="E12" s="18"/>
      <c r="G12" s="32"/>
      <c r="H12" s="9"/>
      <c r="I12" s="10"/>
    </row>
    <row r="13" ht="25.5" customHeight="1">
      <c r="A13" s="18"/>
      <c r="B13" s="160" t="s">
        <v>312</v>
      </c>
      <c r="C13" s="207">
        <v>7670000.0</v>
      </c>
      <c r="D13" s="156"/>
      <c r="E13" s="18"/>
      <c r="H13" s="9"/>
      <c r="I13" s="10"/>
    </row>
    <row r="14" ht="25.5" customHeight="1">
      <c r="A14" s="18"/>
      <c r="B14" s="160" t="s">
        <v>313</v>
      </c>
      <c r="C14" s="155">
        <v>5010000.0</v>
      </c>
      <c r="D14" s="156"/>
      <c r="E14" s="18"/>
      <c r="H14" s="9"/>
      <c r="I14" s="10"/>
    </row>
    <row r="15" ht="25.5" customHeight="1">
      <c r="A15" s="18"/>
      <c r="B15" s="160"/>
      <c r="C15" s="155"/>
      <c r="D15" s="156"/>
      <c r="E15" s="18"/>
      <c r="H15" s="9"/>
      <c r="I15" s="10"/>
    </row>
    <row r="16" ht="25.5" customHeight="1">
      <c r="A16" s="18"/>
      <c r="B16" s="160"/>
      <c r="C16" s="155"/>
      <c r="D16" s="156"/>
      <c r="E16" s="18"/>
      <c r="F16" s="281"/>
      <c r="H16" s="9"/>
      <c r="I16" s="10"/>
    </row>
    <row r="17" ht="25.5" customHeight="1">
      <c r="A17" s="18"/>
      <c r="B17" s="160"/>
      <c r="C17" s="160"/>
      <c r="D17" s="156"/>
      <c r="E17" s="18"/>
      <c r="F17" s="281"/>
      <c r="H17" s="9"/>
      <c r="I17" s="10"/>
    </row>
    <row r="18" ht="25.5" customHeight="1">
      <c r="A18" s="18"/>
      <c r="B18" s="160"/>
      <c r="C18" s="160"/>
      <c r="D18" s="156"/>
      <c r="E18" s="18"/>
      <c r="H18" s="9"/>
      <c r="I18" s="10"/>
    </row>
    <row r="19" ht="25.5" customHeight="1">
      <c r="A19" s="18"/>
      <c r="B19" s="157"/>
      <c r="C19" s="157"/>
      <c r="D19" s="34"/>
      <c r="E19" s="18"/>
      <c r="H19" s="9"/>
      <c r="I19" s="10"/>
    </row>
    <row r="20" ht="25.5" customHeight="1">
      <c r="A20" s="22"/>
      <c r="B20" s="157"/>
      <c r="C20" s="157"/>
      <c r="D20" s="34"/>
      <c r="E20" s="22"/>
      <c r="H20" s="9"/>
      <c r="I20" s="10"/>
    </row>
    <row r="21" ht="25.5" customHeight="1">
      <c r="A21" s="12" t="s">
        <v>16</v>
      </c>
      <c r="B21" s="108" t="s">
        <v>17</v>
      </c>
      <c r="C21" s="151">
        <v>7600000.0</v>
      </c>
      <c r="D21" s="168" t="s">
        <v>7</v>
      </c>
      <c r="E21" s="16">
        <f>sum(C24:C26)</f>
        <v>21600000</v>
      </c>
      <c r="H21" s="9"/>
      <c r="I21" s="10"/>
    </row>
    <row r="22" ht="25.5" customHeight="1">
      <c r="A22" s="18"/>
      <c r="B22" s="108" t="s">
        <v>10</v>
      </c>
      <c r="C22" s="151">
        <v>7600000.0</v>
      </c>
      <c r="D22" s="168" t="s">
        <v>7</v>
      </c>
      <c r="E22" s="18"/>
      <c r="H22" s="9"/>
      <c r="I22" s="10"/>
    </row>
    <row r="23" ht="25.5" customHeight="1">
      <c r="A23" s="18"/>
      <c r="B23" s="154" t="s">
        <v>55</v>
      </c>
      <c r="C23" s="160">
        <v>7600000.0</v>
      </c>
      <c r="D23" s="187" t="s">
        <v>7</v>
      </c>
      <c r="E23" s="18"/>
      <c r="H23" s="9"/>
      <c r="I23" s="10"/>
    </row>
    <row r="24" ht="25.5" customHeight="1">
      <c r="A24" s="18"/>
      <c r="B24" s="166" t="s">
        <v>221</v>
      </c>
      <c r="C24" s="170">
        <v>1.02E7</v>
      </c>
      <c r="D24" s="33"/>
      <c r="E24" s="18"/>
      <c r="G24" s="20">
        <f>4500*20</f>
        <v>90000</v>
      </c>
    </row>
    <row r="25" ht="25.5" customHeight="1">
      <c r="A25" s="18"/>
      <c r="B25" s="160" t="s">
        <v>314</v>
      </c>
      <c r="C25" s="160">
        <v>3800000.0</v>
      </c>
      <c r="D25" s="187"/>
      <c r="E25" s="18"/>
      <c r="G25" s="20"/>
    </row>
    <row r="26" ht="25.5" customHeight="1">
      <c r="A26" s="18"/>
      <c r="B26" s="160" t="s">
        <v>312</v>
      </c>
      <c r="C26" s="160">
        <v>7600000.0</v>
      </c>
      <c r="D26" s="33"/>
      <c r="E26" s="18"/>
      <c r="G26" s="20"/>
    </row>
    <row r="27" ht="25.5" customHeight="1">
      <c r="A27" s="18"/>
      <c r="B27" s="160" t="s">
        <v>313</v>
      </c>
      <c r="C27" s="134">
        <v>0.0</v>
      </c>
      <c r="D27" s="33"/>
      <c r="E27" s="18"/>
      <c r="G27" s="20"/>
    </row>
    <row r="28" ht="25.5" customHeight="1">
      <c r="A28" s="22"/>
      <c r="B28" s="116"/>
      <c r="C28" s="160"/>
      <c r="D28" s="33"/>
      <c r="E28" s="22"/>
      <c r="G28" s="20"/>
    </row>
    <row r="29" ht="25.5" customHeight="1">
      <c r="A29" s="12" t="s">
        <v>18</v>
      </c>
      <c r="B29" s="160" t="s">
        <v>312</v>
      </c>
      <c r="C29" s="160">
        <v>4.4135E7</v>
      </c>
      <c r="D29" s="34"/>
      <c r="E29" s="153">
        <f>SUM(C29:C30)</f>
        <v>47435000</v>
      </c>
      <c r="H29" s="20">
        <f>4500*20</f>
        <v>90000</v>
      </c>
    </row>
    <row r="30" ht="25.5" customHeight="1">
      <c r="A30" s="18"/>
      <c r="B30" s="160" t="s">
        <v>313</v>
      </c>
      <c r="C30" s="160">
        <v>3300000.0</v>
      </c>
      <c r="D30" s="282"/>
      <c r="E30" s="18"/>
      <c r="F30" s="20"/>
    </row>
    <row r="31" ht="25.5" customHeight="1">
      <c r="A31" s="18"/>
      <c r="B31" s="116"/>
      <c r="C31" s="151"/>
      <c r="D31" s="156"/>
      <c r="E31" s="18"/>
      <c r="G31" s="8"/>
      <c r="I31" s="28"/>
    </row>
    <row r="32" ht="25.5" customHeight="1">
      <c r="A32" s="18"/>
      <c r="B32" s="160"/>
      <c r="C32" s="155"/>
      <c r="D32" s="173"/>
      <c r="E32" s="18"/>
      <c r="I32" s="28"/>
    </row>
    <row r="33" ht="25.5" customHeight="1">
      <c r="A33" s="18"/>
      <c r="B33" s="160"/>
      <c r="C33" s="160"/>
      <c r="D33" s="156"/>
      <c r="E33" s="18"/>
      <c r="I33" s="28"/>
    </row>
    <row r="34" ht="25.5" customHeight="1">
      <c r="A34" s="18"/>
      <c r="E34" s="18"/>
      <c r="I34" s="28"/>
    </row>
    <row r="35" ht="25.5" customHeight="1">
      <c r="A35" s="22"/>
      <c r="E35" s="22"/>
      <c r="I35" s="28"/>
    </row>
    <row r="36" ht="25.5" customHeight="1">
      <c r="A36" s="12" t="s">
        <v>19</v>
      </c>
      <c r="B36" s="160" t="s">
        <v>314</v>
      </c>
      <c r="C36" s="155">
        <v>2.5915E7</v>
      </c>
      <c r="D36" s="172"/>
      <c r="E36" s="153">
        <f>SUM(C36:C38)</f>
        <v>44215000</v>
      </c>
      <c r="I36" s="28"/>
    </row>
    <row r="37" ht="25.5" customHeight="1">
      <c r="A37" s="18"/>
      <c r="B37" s="160" t="s">
        <v>312</v>
      </c>
      <c r="C37" s="155">
        <v>0.0</v>
      </c>
      <c r="D37" s="173"/>
      <c r="E37" s="18"/>
      <c r="I37" s="28"/>
      <c r="J37" s="38" t="str">
        <f>H40</f>
        <v/>
      </c>
    </row>
    <row r="38" ht="25.5" customHeight="1">
      <c r="A38" s="18"/>
      <c r="B38" s="160" t="s">
        <v>313</v>
      </c>
      <c r="C38" s="160">
        <v>1.83E7</v>
      </c>
      <c r="D38" s="33"/>
      <c r="E38" s="18"/>
      <c r="F38" s="20"/>
      <c r="I38" s="28"/>
    </row>
    <row r="39" ht="25.5" customHeight="1">
      <c r="A39" s="22"/>
      <c r="B39" s="175"/>
      <c r="C39" s="176"/>
      <c r="D39" s="34"/>
      <c r="E39" s="22"/>
      <c r="I39" s="28"/>
    </row>
    <row r="40" ht="25.5" customHeight="1">
      <c r="A40" s="12" t="s">
        <v>20</v>
      </c>
      <c r="B40" s="160" t="s">
        <v>312</v>
      </c>
      <c r="C40" s="178">
        <v>2.37705E7</v>
      </c>
      <c r="D40" s="283"/>
      <c r="E40" s="153">
        <f>SUM(C40:C41)</f>
        <v>49460000</v>
      </c>
    </row>
    <row r="41" ht="25.5" customHeight="1">
      <c r="A41" s="18"/>
      <c r="B41" s="160" t="s">
        <v>313</v>
      </c>
      <c r="C41" s="178">
        <v>2.56895E7</v>
      </c>
      <c r="D41" s="283"/>
      <c r="E41" s="18"/>
      <c r="F41" s="20"/>
    </row>
    <row r="42" ht="23.25" customHeight="1">
      <c r="A42" s="18"/>
      <c r="B42" s="116"/>
      <c r="C42" s="178"/>
      <c r="D42" s="284"/>
      <c r="E42" s="18"/>
      <c r="J42" s="38"/>
    </row>
    <row r="43" ht="23.25" customHeight="1">
      <c r="A43" s="18"/>
      <c r="B43" s="184"/>
      <c r="C43" s="185"/>
      <c r="D43" s="284"/>
      <c r="E43" s="18"/>
      <c r="G43" s="42"/>
      <c r="H43" s="9"/>
      <c r="I43" s="43"/>
    </row>
    <row r="44" ht="23.25" customHeight="1">
      <c r="A44" s="18"/>
      <c r="B44" s="116"/>
      <c r="C44" s="160"/>
      <c r="D44" s="284"/>
      <c r="E44" s="18"/>
      <c r="H44" s="9"/>
      <c r="I44" s="43"/>
    </row>
    <row r="45" ht="23.25" customHeight="1">
      <c r="A45" s="18"/>
      <c r="B45" s="184"/>
      <c r="C45" s="178"/>
      <c r="D45" s="192"/>
      <c r="E45" s="18"/>
      <c r="H45" s="9"/>
      <c r="I45" s="43"/>
    </row>
    <row r="46" ht="23.25" customHeight="1">
      <c r="A46" s="18"/>
      <c r="E46" s="18"/>
      <c r="H46" s="9"/>
      <c r="I46" s="43"/>
    </row>
    <row r="47" ht="23.25" customHeight="1">
      <c r="A47" s="22"/>
      <c r="E47" s="22"/>
      <c r="H47" s="9"/>
      <c r="I47" s="43"/>
    </row>
    <row r="48" ht="23.25" customHeight="1">
      <c r="A48" s="12" t="s">
        <v>22</v>
      </c>
      <c r="B48" s="184" t="s">
        <v>315</v>
      </c>
      <c r="C48" s="185">
        <v>1.60875E7</v>
      </c>
      <c r="D48" s="168"/>
      <c r="E48" s="153">
        <f>SUM(C48:C50)</f>
        <v>39093000</v>
      </c>
      <c r="H48" s="9"/>
      <c r="I48" s="43"/>
    </row>
    <row r="49" ht="23.25" customHeight="1">
      <c r="A49" s="18"/>
      <c r="B49" s="160" t="s">
        <v>312</v>
      </c>
      <c r="C49" s="155">
        <v>1.97055E7</v>
      </c>
      <c r="D49" s="173"/>
      <c r="E49" s="18"/>
      <c r="H49" s="45"/>
      <c r="I49" s="43"/>
    </row>
    <row r="50" ht="23.25" customHeight="1">
      <c r="A50" s="18"/>
      <c r="B50" s="160" t="s">
        <v>313</v>
      </c>
      <c r="C50" s="185">
        <v>3300000.0</v>
      </c>
      <c r="D50" s="173"/>
      <c r="E50" s="18"/>
      <c r="H50" s="9"/>
      <c r="I50" s="10"/>
      <c r="J50" s="46"/>
    </row>
    <row r="51" ht="23.25" customHeight="1">
      <c r="A51" s="18"/>
      <c r="B51" s="116"/>
      <c r="C51" s="185"/>
      <c r="D51" s="173"/>
      <c r="E51" s="18"/>
      <c r="H51" s="1"/>
      <c r="I51" s="1"/>
    </row>
    <row r="52" ht="23.25" customHeight="1">
      <c r="A52" s="18"/>
      <c r="D52" s="173"/>
      <c r="E52" s="18"/>
      <c r="G52" s="42"/>
      <c r="H52" s="1"/>
      <c r="I52" s="1"/>
    </row>
    <row r="53" ht="23.25" customHeight="1">
      <c r="A53" s="18"/>
      <c r="B53" s="157"/>
      <c r="C53" s="157"/>
      <c r="D53" s="157"/>
      <c r="E53" s="18"/>
      <c r="G53" s="42"/>
      <c r="H53" s="1"/>
      <c r="I53" s="1"/>
    </row>
    <row r="54" ht="23.25" customHeight="1">
      <c r="A54" s="22"/>
      <c r="B54" s="116"/>
      <c r="C54" s="160"/>
      <c r="D54" s="285"/>
      <c r="E54" s="22"/>
      <c r="G54" s="42"/>
      <c r="H54" s="1"/>
      <c r="I54" s="1"/>
    </row>
    <row r="55" ht="23.25" customHeight="1">
      <c r="A55" s="12" t="s">
        <v>23</v>
      </c>
      <c r="B55" s="181" t="s">
        <v>221</v>
      </c>
      <c r="C55" s="167">
        <v>1.749E7</v>
      </c>
      <c r="D55" s="156" t="s">
        <v>7</v>
      </c>
      <c r="E55" s="16">
        <f>SUM(C56:C62)</f>
        <v>73140400</v>
      </c>
    </row>
    <row r="56" ht="23.25" customHeight="1">
      <c r="A56" s="18"/>
      <c r="B56" s="184" t="s">
        <v>315</v>
      </c>
      <c r="C56" s="160">
        <v>4.12548E7</v>
      </c>
      <c r="D56" s="187"/>
      <c r="E56" s="18"/>
      <c r="G56" s="47"/>
      <c r="H56" s="35"/>
      <c r="I56" s="48"/>
    </row>
    <row r="57" ht="23.25" customHeight="1">
      <c r="A57" s="18"/>
      <c r="B57" s="184" t="s">
        <v>314</v>
      </c>
      <c r="C57" s="160">
        <v>2250000.0</v>
      </c>
      <c r="D57" s="157"/>
      <c r="E57" s="18"/>
      <c r="G57" s="18"/>
      <c r="H57" s="35"/>
      <c r="I57" s="48"/>
    </row>
    <row r="58" ht="23.25" customHeight="1">
      <c r="A58" s="18"/>
      <c r="B58" s="160" t="s">
        <v>312</v>
      </c>
      <c r="C58" s="192">
        <v>0.0</v>
      </c>
      <c r="D58" s="157"/>
      <c r="E58" s="18"/>
      <c r="G58" s="18"/>
      <c r="H58" s="35"/>
      <c r="I58" s="48"/>
    </row>
    <row r="59" ht="23.25" customHeight="1">
      <c r="A59" s="18"/>
      <c r="B59" s="160" t="s">
        <v>313</v>
      </c>
      <c r="C59" s="160">
        <v>2.96356E7</v>
      </c>
      <c r="D59" s="157"/>
      <c r="E59" s="18"/>
      <c r="G59" s="18"/>
      <c r="H59" s="35"/>
      <c r="I59" s="48"/>
    </row>
    <row r="60" ht="23.25" customHeight="1">
      <c r="A60" s="18"/>
      <c r="B60" s="157"/>
      <c r="C60" s="157"/>
      <c r="D60" s="157"/>
      <c r="E60" s="18"/>
      <c r="G60" s="18"/>
      <c r="H60" s="35"/>
      <c r="I60" s="48"/>
    </row>
    <row r="61" ht="23.25" customHeight="1">
      <c r="A61" s="18"/>
      <c r="B61" s="157"/>
      <c r="C61" s="157"/>
      <c r="D61" s="157"/>
      <c r="E61" s="18"/>
      <c r="G61" s="18"/>
      <c r="H61" s="35"/>
      <c r="I61" s="48"/>
    </row>
    <row r="62" ht="23.25" customHeight="1">
      <c r="A62" s="22"/>
      <c r="B62" s="157"/>
      <c r="C62" s="157"/>
      <c r="D62" s="187"/>
      <c r="E62" s="22"/>
      <c r="G62" s="18"/>
      <c r="H62" s="35"/>
      <c r="I62" s="48"/>
    </row>
    <row r="63" ht="23.25" customHeight="1">
      <c r="A63" s="49" t="s">
        <v>25</v>
      </c>
      <c r="B63" s="182" t="s">
        <v>222</v>
      </c>
      <c r="C63" s="189">
        <v>1212000.0</v>
      </c>
      <c r="D63" s="187"/>
      <c r="E63" s="16">
        <f>sum(C63:C70)</f>
        <v>105515000</v>
      </c>
      <c r="G63" s="18"/>
      <c r="H63" s="35"/>
      <c r="I63" s="48"/>
    </row>
    <row r="64" ht="23.25" customHeight="1">
      <c r="A64" s="18"/>
      <c r="B64" s="183" t="s">
        <v>53</v>
      </c>
      <c r="C64" s="155">
        <v>5466000.0</v>
      </c>
      <c r="D64" s="34"/>
      <c r="E64" s="18"/>
      <c r="G64" s="18"/>
      <c r="H64" s="23"/>
      <c r="I64" s="48"/>
      <c r="K64" s="10"/>
      <c r="L64" s="50"/>
    </row>
    <row r="65" ht="23.25" customHeight="1">
      <c r="A65" s="18"/>
      <c r="B65" s="183" t="s">
        <v>55</v>
      </c>
      <c r="C65" s="155">
        <v>1.0372E7</v>
      </c>
      <c r="D65" s="157"/>
      <c r="E65" s="18"/>
      <c r="G65" s="18"/>
      <c r="H65" s="35"/>
      <c r="I65" s="48"/>
      <c r="K65" s="10"/>
      <c r="L65" s="50"/>
    </row>
    <row r="66" ht="23.25" customHeight="1">
      <c r="A66" s="18"/>
      <c r="B66" s="166" t="s">
        <v>221</v>
      </c>
      <c r="C66" s="167">
        <v>6.299E7</v>
      </c>
      <c r="D66" s="157"/>
      <c r="E66" s="18"/>
      <c r="G66" s="18"/>
      <c r="K66" s="10"/>
      <c r="L66" s="50"/>
    </row>
    <row r="67" ht="23.25" customHeight="1">
      <c r="A67" s="18"/>
      <c r="B67" s="184" t="s">
        <v>315</v>
      </c>
      <c r="C67" s="155">
        <v>7224000.0</v>
      </c>
      <c r="D67" s="157"/>
      <c r="E67" s="18"/>
      <c r="G67" s="22"/>
      <c r="H67" s="30"/>
      <c r="I67" s="51"/>
      <c r="K67" s="10"/>
      <c r="L67" s="50"/>
    </row>
    <row r="68" ht="23.25" customHeight="1">
      <c r="A68" s="18"/>
      <c r="B68" s="184" t="s">
        <v>314</v>
      </c>
      <c r="C68" s="155">
        <v>8000000.0</v>
      </c>
      <c r="D68" s="157"/>
      <c r="E68" s="18"/>
      <c r="G68" s="52"/>
      <c r="H68" s="53"/>
      <c r="I68" s="54"/>
      <c r="K68" s="10"/>
      <c r="L68" s="50"/>
    </row>
    <row r="69" ht="23.25" customHeight="1">
      <c r="A69" s="18"/>
      <c r="B69" s="160" t="s">
        <v>312</v>
      </c>
      <c r="C69" s="155">
        <v>1864000.0</v>
      </c>
      <c r="D69" s="157"/>
      <c r="E69" s="18"/>
      <c r="G69" s="52"/>
      <c r="H69" s="53"/>
      <c r="I69" s="54"/>
      <c r="K69" s="10"/>
      <c r="L69" s="50"/>
    </row>
    <row r="70" ht="23.25" customHeight="1">
      <c r="A70" s="18"/>
      <c r="B70" s="160" t="s">
        <v>313</v>
      </c>
      <c r="C70" s="155">
        <v>8387000.0</v>
      </c>
      <c r="D70" s="157"/>
      <c r="E70" s="18"/>
      <c r="G70" s="52"/>
      <c r="K70" s="10"/>
      <c r="L70" s="50"/>
    </row>
    <row r="71" ht="23.25" customHeight="1">
      <c r="A71" s="18"/>
      <c r="B71" s="157"/>
      <c r="C71" s="157"/>
      <c r="D71" s="157"/>
      <c r="E71" s="18"/>
      <c r="G71" s="52"/>
      <c r="H71" s="53"/>
      <c r="I71" s="54"/>
      <c r="K71" s="10"/>
      <c r="L71" s="50"/>
    </row>
    <row r="72" ht="23.25" customHeight="1">
      <c r="A72" s="18"/>
      <c r="B72" s="157"/>
      <c r="C72" s="157"/>
      <c r="D72" s="157"/>
      <c r="E72" s="18"/>
      <c r="G72" s="52"/>
      <c r="H72" s="53"/>
      <c r="I72" s="54"/>
      <c r="K72" s="10"/>
      <c r="L72" s="50"/>
    </row>
    <row r="73" ht="23.25" customHeight="1">
      <c r="A73" s="22"/>
      <c r="B73" s="157"/>
      <c r="C73" s="157"/>
      <c r="D73" s="157"/>
      <c r="E73" s="22"/>
      <c r="G73" s="52"/>
      <c r="H73" s="53"/>
      <c r="I73" s="54"/>
      <c r="K73" s="10"/>
      <c r="L73" s="50"/>
    </row>
    <row r="74" ht="23.25" customHeight="1">
      <c r="A74" s="49" t="s">
        <v>26</v>
      </c>
      <c r="B74" s="184" t="s">
        <v>315</v>
      </c>
      <c r="C74" s="185">
        <v>2.9145E7</v>
      </c>
      <c r="D74" s="156" t="s">
        <v>7</v>
      </c>
      <c r="E74" s="153">
        <f>SUM(C77)</f>
        <v>82053500</v>
      </c>
    </row>
    <row r="75" ht="23.25" customHeight="1">
      <c r="A75" s="18"/>
      <c r="B75" s="183" t="s">
        <v>314</v>
      </c>
      <c r="C75" s="286">
        <v>1.95533E7</v>
      </c>
      <c r="D75" s="156" t="s">
        <v>7</v>
      </c>
      <c r="E75" s="18"/>
      <c r="F75" s="20"/>
      <c r="G75" s="49"/>
      <c r="H75" s="56"/>
      <c r="I75" s="24"/>
    </row>
    <row r="76" ht="23.25" customHeight="1">
      <c r="A76" s="18"/>
      <c r="B76" s="160" t="s">
        <v>312</v>
      </c>
      <c r="C76" s="160">
        <v>1.016644E8</v>
      </c>
      <c r="D76" s="287" t="s">
        <v>7</v>
      </c>
      <c r="E76" s="18"/>
      <c r="G76" s="18"/>
      <c r="H76" s="19"/>
      <c r="I76" s="57"/>
    </row>
    <row r="77" ht="23.25" customHeight="1">
      <c r="A77" s="18"/>
      <c r="B77" s="160" t="s">
        <v>313</v>
      </c>
      <c r="C77" s="160">
        <v>8.20535E7</v>
      </c>
      <c r="D77" s="287"/>
      <c r="E77" s="18"/>
      <c r="G77" s="18"/>
      <c r="H77" s="30"/>
      <c r="I77" s="24"/>
    </row>
    <row r="78" ht="23.25" customHeight="1">
      <c r="A78" s="18"/>
      <c r="B78" s="116"/>
      <c r="C78" s="207"/>
      <c r="D78" s="287"/>
      <c r="E78" s="18"/>
      <c r="G78" s="18"/>
      <c r="H78" s="30"/>
      <c r="I78" s="24"/>
    </row>
    <row r="79" ht="23.25" customHeight="1">
      <c r="A79" s="18"/>
      <c r="B79" s="288"/>
      <c r="C79" s="288"/>
      <c r="D79" s="288"/>
      <c r="E79" s="18"/>
      <c r="G79" s="18"/>
      <c r="H79" s="30"/>
      <c r="I79" s="24"/>
    </row>
    <row r="80" ht="23.25" customHeight="1">
      <c r="A80" s="18"/>
      <c r="B80" s="288"/>
      <c r="C80" s="288"/>
      <c r="D80" s="288"/>
      <c r="E80" s="18"/>
      <c r="G80" s="18"/>
      <c r="H80" s="30"/>
      <c r="I80" s="24"/>
    </row>
    <row r="81" ht="23.25" customHeight="1">
      <c r="A81" s="22"/>
      <c r="B81" s="157"/>
      <c r="C81" s="157"/>
      <c r="D81" s="157"/>
      <c r="E81" s="22"/>
      <c r="G81" s="18"/>
      <c r="H81" s="30"/>
      <c r="I81" s="24"/>
    </row>
    <row r="82" ht="21.75" customHeight="1">
      <c r="A82" s="12" t="s">
        <v>29</v>
      </c>
      <c r="B82" s="184" t="s">
        <v>314</v>
      </c>
      <c r="C82" s="155">
        <v>8485600.0</v>
      </c>
      <c r="D82" s="157"/>
      <c r="E82" s="16">
        <f>SUM(C82:C84)</f>
        <v>84902600</v>
      </c>
      <c r="F82" s="29"/>
      <c r="G82" s="18"/>
      <c r="H82" s="30"/>
      <c r="I82" s="24"/>
    </row>
    <row r="83" ht="21.75" customHeight="1">
      <c r="A83" s="18"/>
      <c r="B83" s="160" t="s">
        <v>312</v>
      </c>
      <c r="C83" s="155">
        <v>4.50277E7</v>
      </c>
      <c r="D83" s="157"/>
      <c r="E83" s="18"/>
      <c r="G83" s="18"/>
      <c r="H83" s="30"/>
      <c r="I83" s="24"/>
    </row>
    <row r="84" ht="21.75" customHeight="1">
      <c r="A84" s="18"/>
      <c r="B84" s="160" t="s">
        <v>313</v>
      </c>
      <c r="C84" s="155">
        <v>3.13893E7</v>
      </c>
      <c r="D84" s="173"/>
      <c r="E84" s="18"/>
      <c r="G84" s="18"/>
      <c r="H84" s="30"/>
      <c r="I84" s="24"/>
    </row>
    <row r="85" ht="21.75" customHeight="1">
      <c r="A85" s="18"/>
      <c r="B85" s="177"/>
      <c r="C85" s="155"/>
      <c r="D85" s="173"/>
      <c r="E85" s="18"/>
      <c r="G85" s="22"/>
      <c r="H85" s="30"/>
      <c r="I85" s="58"/>
    </row>
    <row r="86" ht="21.75" customHeight="1">
      <c r="A86" s="18"/>
      <c r="B86" s="177"/>
      <c r="C86" s="155"/>
      <c r="D86" s="173"/>
      <c r="E86" s="18"/>
    </row>
    <row r="87" ht="21.75" customHeight="1">
      <c r="A87" s="18"/>
      <c r="B87" s="177"/>
      <c r="C87" s="154"/>
      <c r="D87" s="173"/>
      <c r="E87" s="18"/>
    </row>
    <row r="88" ht="21.75" customHeight="1">
      <c r="A88" s="18"/>
      <c r="B88" s="183"/>
      <c r="C88" s="155"/>
      <c r="D88" s="173"/>
      <c r="E88" s="18"/>
    </row>
    <row r="89" ht="21.75" customHeight="1">
      <c r="A89" s="18"/>
      <c r="E89" s="18"/>
    </row>
    <row r="90" ht="21.75" customHeight="1">
      <c r="A90" s="22"/>
      <c r="E90" s="22"/>
    </row>
    <row r="91" ht="21.75" customHeight="1">
      <c r="A91" s="12" t="s">
        <v>30</v>
      </c>
      <c r="B91" s="116" t="s">
        <v>55</v>
      </c>
      <c r="C91" s="185">
        <v>3.23598E7</v>
      </c>
      <c r="D91" s="156" t="s">
        <v>7</v>
      </c>
      <c r="E91" s="153">
        <f>SUM(C96)</f>
        <v>39008700</v>
      </c>
    </row>
    <row r="92" ht="21.75" customHeight="1">
      <c r="A92" s="18"/>
      <c r="B92" s="116" t="s">
        <v>57</v>
      </c>
      <c r="C92" s="185">
        <v>1.10498E7</v>
      </c>
      <c r="D92" s="156" t="s">
        <v>7</v>
      </c>
      <c r="E92" s="18"/>
      <c r="G92" s="42"/>
      <c r="H92" s="9"/>
      <c r="I92" s="43"/>
    </row>
    <row r="93" ht="21.75" customHeight="1">
      <c r="A93" s="18"/>
      <c r="B93" s="184" t="s">
        <v>315</v>
      </c>
      <c r="C93" s="185">
        <v>3.4784E7</v>
      </c>
      <c r="D93" s="156" t="s">
        <v>7</v>
      </c>
      <c r="E93" s="18"/>
      <c r="H93" s="9"/>
      <c r="I93" s="43"/>
    </row>
    <row r="94" ht="21.75" customHeight="1">
      <c r="A94" s="18"/>
      <c r="B94" s="184" t="s">
        <v>314</v>
      </c>
      <c r="C94" s="185">
        <v>6286100.0</v>
      </c>
      <c r="D94" s="156" t="s">
        <v>7</v>
      </c>
      <c r="E94" s="18"/>
      <c r="H94" s="45"/>
      <c r="I94" s="43"/>
    </row>
    <row r="95" ht="21.75" customHeight="1">
      <c r="A95" s="18"/>
      <c r="B95" s="160" t="s">
        <v>312</v>
      </c>
      <c r="C95" s="185">
        <v>4.36534E7</v>
      </c>
      <c r="D95" s="156" t="s">
        <v>7</v>
      </c>
      <c r="E95" s="18"/>
      <c r="H95" s="9"/>
      <c r="I95" s="10"/>
    </row>
    <row r="96" ht="21.75" customHeight="1">
      <c r="A96" s="18"/>
      <c r="B96" s="160" t="s">
        <v>313</v>
      </c>
      <c r="C96" s="185">
        <v>3.90087E7</v>
      </c>
      <c r="D96" s="30"/>
      <c r="E96" s="18"/>
      <c r="H96" s="1"/>
      <c r="I96" s="1"/>
    </row>
    <row r="97" ht="21.75" customHeight="1">
      <c r="A97" s="22"/>
      <c r="B97" s="177"/>
      <c r="C97" s="154"/>
      <c r="D97" s="285"/>
      <c r="E97" s="22"/>
      <c r="G97" s="42"/>
      <c r="H97" s="1"/>
      <c r="I97" s="1"/>
    </row>
    <row r="98" ht="21.75" customHeight="1">
      <c r="A98" s="12" t="s">
        <v>31</v>
      </c>
      <c r="B98" s="160" t="s">
        <v>312</v>
      </c>
      <c r="C98" s="155">
        <v>1.3176E7</v>
      </c>
      <c r="D98" s="157"/>
      <c r="E98" s="16">
        <f>SUM(C98)</f>
        <v>13176000</v>
      </c>
      <c r="G98" s="42"/>
      <c r="H98" s="1"/>
      <c r="I98" s="1"/>
    </row>
    <row r="99" ht="21.75" customHeight="1">
      <c r="A99" s="18"/>
      <c r="B99" s="160" t="s">
        <v>313</v>
      </c>
      <c r="C99" s="155">
        <v>0.0</v>
      </c>
      <c r="D99" s="156"/>
      <c r="E99" s="18"/>
    </row>
    <row r="100" ht="21.75" customHeight="1">
      <c r="A100" s="18"/>
      <c r="B100" s="108"/>
      <c r="C100" s="151"/>
      <c r="D100" s="110"/>
      <c r="E100" s="18"/>
    </row>
    <row r="101" ht="21.75" customHeight="1">
      <c r="A101" s="18"/>
      <c r="B101" s="116"/>
      <c r="C101" s="151"/>
      <c r="D101" s="110"/>
      <c r="E101" s="18"/>
      <c r="F101" s="20"/>
    </row>
    <row r="102" ht="21.75" customHeight="1">
      <c r="A102" s="18"/>
      <c r="B102" s="182"/>
      <c r="C102" s="155"/>
      <c r="D102" s="110"/>
      <c r="E102" s="18"/>
    </row>
    <row r="103" ht="21.75" customHeight="1">
      <c r="A103" s="18"/>
      <c r="B103" s="116"/>
      <c r="C103" s="155"/>
      <c r="D103" s="110"/>
      <c r="E103" s="18"/>
      <c r="G103" s="42"/>
      <c r="H103" s="9"/>
      <c r="I103" s="43"/>
    </row>
    <row r="104" ht="21.75" customHeight="1">
      <c r="A104" s="18"/>
      <c r="B104" s="116"/>
      <c r="C104" s="155"/>
      <c r="D104" s="110"/>
      <c r="E104" s="18"/>
      <c r="H104" s="9"/>
      <c r="I104" s="43"/>
    </row>
    <row r="105" ht="21.75" customHeight="1">
      <c r="A105" s="18"/>
      <c r="B105" s="177"/>
      <c r="C105" s="160"/>
      <c r="D105" s="110"/>
      <c r="E105" s="18"/>
      <c r="H105" s="9"/>
      <c r="I105" s="43"/>
    </row>
    <row r="106" ht="21.75" customHeight="1">
      <c r="A106" s="18"/>
      <c r="B106" s="184"/>
      <c r="C106" s="155"/>
      <c r="D106" s="110"/>
      <c r="E106" s="18"/>
      <c r="H106" s="9"/>
      <c r="I106" s="43"/>
    </row>
    <row r="107" ht="21.75" customHeight="1">
      <c r="A107" s="22"/>
      <c r="E107" s="22"/>
      <c r="H107" s="9"/>
      <c r="I107" s="43"/>
    </row>
    <row r="108" ht="21.75" customHeight="1">
      <c r="A108" s="12" t="s">
        <v>32</v>
      </c>
      <c r="B108" s="116" t="s">
        <v>55</v>
      </c>
      <c r="C108" s="160">
        <v>4.87365E7</v>
      </c>
      <c r="D108" s="193" t="s">
        <v>7</v>
      </c>
      <c r="E108" s="16">
        <f>sum(C110:C118)</f>
        <v>222557500</v>
      </c>
      <c r="F108" s="20"/>
      <c r="H108" s="9"/>
      <c r="I108" s="43"/>
    </row>
    <row r="109" ht="21.75" customHeight="1">
      <c r="A109" s="18"/>
      <c r="B109" s="116" t="s">
        <v>57</v>
      </c>
      <c r="C109" s="154">
        <v>1.275E7</v>
      </c>
      <c r="D109" s="193" t="s">
        <v>7</v>
      </c>
      <c r="E109" s="18"/>
      <c r="F109" s="20"/>
      <c r="H109" s="45"/>
      <c r="I109" s="43"/>
    </row>
    <row r="110" ht="21.75" customHeight="1">
      <c r="A110" s="18"/>
      <c r="B110" s="184" t="s">
        <v>315</v>
      </c>
      <c r="C110" s="154">
        <v>4377500.0</v>
      </c>
      <c r="D110" s="64"/>
      <c r="E110" s="18"/>
      <c r="H110" s="9"/>
      <c r="I110" s="10"/>
    </row>
    <row r="111" ht="21.75" customHeight="1">
      <c r="A111" s="18"/>
      <c r="B111" s="181" t="s">
        <v>221</v>
      </c>
      <c r="C111" s="167">
        <v>7.56225E7</v>
      </c>
      <c r="D111" s="157"/>
      <c r="E111" s="18"/>
      <c r="H111" s="1"/>
      <c r="I111" s="1"/>
    </row>
    <row r="112" ht="21.75" customHeight="1">
      <c r="A112" s="18"/>
      <c r="B112" s="192" t="s">
        <v>316</v>
      </c>
      <c r="C112" s="185">
        <v>5.1365E7</v>
      </c>
      <c r="D112" s="157"/>
      <c r="E112" s="18"/>
      <c r="G112" s="42"/>
      <c r="H112" s="1"/>
      <c r="I112" s="1"/>
    </row>
    <row r="113" ht="21.75" customHeight="1">
      <c r="A113" s="18"/>
      <c r="B113" s="184" t="s">
        <v>314</v>
      </c>
      <c r="C113" s="185">
        <v>1.9209E7</v>
      </c>
      <c r="D113" s="64"/>
      <c r="E113" s="18"/>
      <c r="G113" s="42"/>
      <c r="H113" s="1"/>
      <c r="I113" s="1"/>
    </row>
    <row r="114" ht="21.75" customHeight="1">
      <c r="A114" s="18"/>
      <c r="B114" s="160" t="s">
        <v>312</v>
      </c>
      <c r="C114" s="185">
        <v>3.78815E7</v>
      </c>
      <c r="D114" s="157"/>
      <c r="E114" s="18"/>
      <c r="G114" s="42"/>
      <c r="H114" s="1"/>
      <c r="I114" s="1"/>
    </row>
    <row r="115" ht="21.75" customHeight="1">
      <c r="A115" s="18"/>
      <c r="B115" s="160" t="s">
        <v>313</v>
      </c>
      <c r="C115" s="185">
        <v>3.4102E7</v>
      </c>
      <c r="D115" s="157"/>
      <c r="E115" s="18"/>
      <c r="G115" s="42"/>
      <c r="H115" s="1"/>
      <c r="I115" s="1"/>
    </row>
    <row r="116" ht="21.75" customHeight="1">
      <c r="A116" s="18"/>
      <c r="B116" s="157"/>
      <c r="C116" s="157"/>
      <c r="D116" s="157"/>
      <c r="E116" s="18"/>
      <c r="G116" s="42"/>
      <c r="H116" s="1"/>
      <c r="I116" s="1"/>
    </row>
    <row r="117" ht="21.75" customHeight="1">
      <c r="A117" s="18"/>
      <c r="B117" s="157"/>
      <c r="C117" s="157"/>
      <c r="D117" s="157"/>
      <c r="E117" s="18"/>
      <c r="G117" s="42"/>
      <c r="H117" s="1"/>
      <c r="I117" s="1"/>
    </row>
    <row r="118" ht="21.75" customHeight="1">
      <c r="A118" s="22"/>
      <c r="B118" s="157"/>
      <c r="C118" s="157"/>
      <c r="D118" s="157"/>
      <c r="E118" s="22"/>
      <c r="G118" s="42"/>
      <c r="H118" s="1"/>
      <c r="I118" s="1"/>
    </row>
    <row r="119" ht="21.75" customHeight="1">
      <c r="A119" s="12" t="s">
        <v>33</v>
      </c>
      <c r="B119" s="160" t="s">
        <v>313</v>
      </c>
      <c r="C119" s="154">
        <v>3.2612E7</v>
      </c>
      <c r="D119" s="156"/>
      <c r="E119" s="153">
        <f>SUM(C119)</f>
        <v>32612000</v>
      </c>
      <c r="G119" s="42"/>
      <c r="H119" s="1"/>
      <c r="I119" s="1"/>
    </row>
    <row r="120" ht="21.75" customHeight="1">
      <c r="A120" s="18"/>
      <c r="B120" s="177"/>
      <c r="C120" s="178"/>
      <c r="D120" s="193"/>
      <c r="E120" s="18"/>
      <c r="G120" s="42"/>
      <c r="H120" s="1"/>
      <c r="I120" s="1"/>
    </row>
    <row r="121" ht="21.75" customHeight="1">
      <c r="A121" s="18"/>
      <c r="B121" s="177"/>
      <c r="C121" s="178"/>
      <c r="D121" s="194"/>
      <c r="E121" s="18"/>
      <c r="G121" s="42"/>
      <c r="H121" s="9"/>
      <c r="I121" s="43"/>
    </row>
    <row r="122" ht="21.75" customHeight="1">
      <c r="A122" s="18"/>
      <c r="B122" s="177"/>
      <c r="C122" s="178"/>
      <c r="D122" s="156"/>
      <c r="E122" s="18"/>
      <c r="H122" s="9"/>
      <c r="I122" s="43"/>
    </row>
    <row r="123" ht="21.75" customHeight="1">
      <c r="A123" s="18"/>
      <c r="B123" s="177"/>
      <c r="C123" s="154"/>
      <c r="D123" s="156"/>
      <c r="E123" s="18"/>
      <c r="H123" s="1"/>
      <c r="I123" s="1"/>
    </row>
    <row r="124" ht="21.75" customHeight="1">
      <c r="A124" s="18"/>
      <c r="B124" s="184"/>
      <c r="C124" s="154"/>
      <c r="D124" s="156"/>
      <c r="E124" s="18"/>
      <c r="H124" s="9"/>
      <c r="I124" s="43"/>
    </row>
    <row r="125" ht="21.75" customHeight="1">
      <c r="A125" s="18"/>
      <c r="B125" s="184"/>
      <c r="C125" s="154"/>
      <c r="D125" s="156"/>
      <c r="E125" s="18"/>
      <c r="H125" s="9"/>
      <c r="I125" s="43"/>
    </row>
    <row r="126" ht="21.75" customHeight="1">
      <c r="A126" s="18"/>
      <c r="B126" s="160"/>
      <c r="C126" s="154"/>
      <c r="D126" s="156"/>
      <c r="E126" s="18"/>
      <c r="H126" s="9"/>
      <c r="I126" s="43"/>
    </row>
    <row r="127" ht="21.75" customHeight="1">
      <c r="A127" s="22"/>
      <c r="B127" s="157"/>
      <c r="C127" s="157"/>
      <c r="D127" s="157"/>
      <c r="E127" s="22"/>
      <c r="H127" s="9"/>
      <c r="I127" s="43"/>
    </row>
    <row r="128" ht="21.75" customHeight="1">
      <c r="A128" s="12" t="s">
        <v>35</v>
      </c>
      <c r="B128" s="192" t="s">
        <v>317</v>
      </c>
      <c r="C128" s="185">
        <v>1.34985E7</v>
      </c>
      <c r="D128" s="169" t="s">
        <v>7</v>
      </c>
      <c r="E128" s="153">
        <f>SUM(C131)</f>
        <v>11054100</v>
      </c>
      <c r="H128" s="9"/>
      <c r="I128" s="43"/>
    </row>
    <row r="129" ht="21.75" customHeight="1">
      <c r="A129" s="18"/>
      <c r="B129" s="184" t="s">
        <v>318</v>
      </c>
      <c r="C129" s="178">
        <v>3.26755E7</v>
      </c>
      <c r="D129" s="289" t="s">
        <v>7</v>
      </c>
      <c r="E129" s="18"/>
      <c r="G129" s="42"/>
      <c r="H129" s="9"/>
      <c r="I129" s="10"/>
    </row>
    <row r="130" ht="21.75" customHeight="1">
      <c r="A130" s="18"/>
      <c r="B130" s="160" t="s">
        <v>312</v>
      </c>
      <c r="C130" s="160">
        <v>2.4472E7</v>
      </c>
      <c r="D130" s="168" t="s">
        <v>132</v>
      </c>
      <c r="E130" s="18"/>
      <c r="F130" s="20"/>
    </row>
    <row r="131" ht="21.75" customHeight="1">
      <c r="A131" s="18"/>
      <c r="B131" s="160" t="s">
        <v>313</v>
      </c>
      <c r="C131" s="160">
        <v>1.10541E7</v>
      </c>
      <c r="D131" s="168" t="s">
        <v>7</v>
      </c>
      <c r="E131" s="18"/>
      <c r="G131" s="290"/>
      <c r="H131" s="291"/>
      <c r="I131" s="10"/>
    </row>
    <row r="132" ht="21.75" customHeight="1">
      <c r="A132" s="18"/>
      <c r="B132" s="184"/>
      <c r="C132" s="185"/>
      <c r="D132" s="192"/>
      <c r="E132" s="18"/>
      <c r="H132" s="291"/>
      <c r="I132" s="10"/>
    </row>
    <row r="133" ht="21.75" customHeight="1">
      <c r="A133" s="18"/>
      <c r="B133" s="157"/>
      <c r="C133" s="157"/>
      <c r="D133" s="157"/>
      <c r="E133" s="18"/>
      <c r="F133" s="134"/>
      <c r="H133" s="291"/>
      <c r="I133" s="10"/>
    </row>
    <row r="134" ht="21.75" customHeight="1">
      <c r="A134" s="22"/>
      <c r="B134" s="157"/>
      <c r="C134" s="157"/>
      <c r="D134" s="157"/>
      <c r="E134" s="22"/>
      <c r="F134" s="134"/>
      <c r="H134" s="291"/>
      <c r="I134" s="10"/>
    </row>
    <row r="135" ht="21.75" customHeight="1">
      <c r="A135" s="12" t="s">
        <v>36</v>
      </c>
      <c r="B135" s="116" t="s">
        <v>57</v>
      </c>
      <c r="C135" s="185">
        <v>2.1502E7</v>
      </c>
      <c r="D135" s="156" t="s">
        <v>7</v>
      </c>
      <c r="E135" s="153">
        <f>SUM(C139)</f>
        <v>13849300</v>
      </c>
      <c r="H135" s="291"/>
      <c r="I135" s="10"/>
    </row>
    <row r="136" ht="21.75" customHeight="1">
      <c r="A136" s="18"/>
      <c r="B136" s="184" t="s">
        <v>315</v>
      </c>
      <c r="C136" s="160">
        <v>2.84191E7</v>
      </c>
      <c r="D136" s="156" t="s">
        <v>7</v>
      </c>
      <c r="E136" s="18"/>
      <c r="H136" s="291"/>
      <c r="I136" s="43"/>
    </row>
    <row r="137" ht="21.75" customHeight="1">
      <c r="A137" s="18"/>
      <c r="B137" s="184" t="s">
        <v>314</v>
      </c>
      <c r="C137" s="185">
        <v>3.13739E7</v>
      </c>
      <c r="D137" s="156" t="s">
        <v>7</v>
      </c>
      <c r="E137" s="18"/>
      <c r="F137" s="20"/>
      <c r="H137" s="45"/>
      <c r="I137" s="43"/>
    </row>
    <row r="138" ht="21.75" customHeight="1">
      <c r="A138" s="18"/>
      <c r="B138" s="160" t="s">
        <v>312</v>
      </c>
      <c r="C138" s="185">
        <v>3.6096E7</v>
      </c>
      <c r="D138" s="156" t="s">
        <v>7</v>
      </c>
      <c r="E138" s="18"/>
      <c r="H138" s="291"/>
      <c r="I138" s="43"/>
    </row>
    <row r="139" ht="21.75" customHeight="1">
      <c r="A139" s="18"/>
      <c r="B139" s="160" t="s">
        <v>313</v>
      </c>
      <c r="C139" s="185">
        <v>1.38493E7</v>
      </c>
      <c r="D139" s="169" t="s">
        <v>7</v>
      </c>
      <c r="E139" s="18"/>
      <c r="H139" s="9"/>
      <c r="I139" s="50"/>
    </row>
    <row r="140" ht="21.75" customHeight="1">
      <c r="A140" s="22"/>
      <c r="B140" s="157"/>
      <c r="C140" s="157"/>
      <c r="D140" s="157"/>
      <c r="E140" s="22"/>
      <c r="G140" s="290"/>
      <c r="H140" s="9"/>
      <c r="I140" s="50"/>
    </row>
    <row r="141" ht="21.75" customHeight="1">
      <c r="A141" s="12" t="s">
        <v>37</v>
      </c>
      <c r="B141" s="183" t="s">
        <v>315</v>
      </c>
      <c r="C141" s="154">
        <v>1.593E7</v>
      </c>
      <c r="D141" s="168"/>
      <c r="E141" s="16">
        <f>sum(C141:C145)</f>
        <v>155420000</v>
      </c>
    </row>
    <row r="142" ht="21.75" customHeight="1">
      <c r="A142" s="18"/>
      <c r="B142" s="183" t="s">
        <v>314</v>
      </c>
      <c r="C142" s="154">
        <v>4451500.0</v>
      </c>
      <c r="D142" s="163"/>
      <c r="E142" s="18"/>
      <c r="H142" s="45"/>
      <c r="I142" s="43"/>
    </row>
    <row r="143" ht="21.75" customHeight="1">
      <c r="A143" s="18"/>
      <c r="B143" s="166" t="s">
        <v>221</v>
      </c>
      <c r="C143" s="170">
        <v>1.030025E8</v>
      </c>
      <c r="D143" s="198"/>
      <c r="E143" s="18"/>
      <c r="G143" s="42"/>
      <c r="H143" s="9"/>
      <c r="I143" s="43"/>
    </row>
    <row r="144" ht="21.75" customHeight="1">
      <c r="A144" s="18"/>
      <c r="B144" s="160" t="s">
        <v>312</v>
      </c>
      <c r="C144" s="160">
        <v>1715000.0</v>
      </c>
      <c r="D144" s="198"/>
      <c r="E144" s="18"/>
      <c r="G144" s="42"/>
      <c r="H144" s="9"/>
      <c r="I144" s="43"/>
    </row>
    <row r="145" ht="21.75" customHeight="1">
      <c r="A145" s="18"/>
      <c r="B145" s="160" t="s">
        <v>313</v>
      </c>
      <c r="C145" s="154">
        <v>3.0321E7</v>
      </c>
      <c r="D145" s="198"/>
      <c r="E145" s="18"/>
      <c r="G145" s="42"/>
      <c r="H145" s="9"/>
      <c r="I145" s="43"/>
    </row>
    <row r="146" ht="21.75" customHeight="1">
      <c r="A146" s="18"/>
      <c r="B146" s="177"/>
      <c r="C146" s="154"/>
      <c r="D146" s="198"/>
      <c r="E146" s="18"/>
      <c r="G146" s="42"/>
      <c r="H146" s="9"/>
      <c r="I146" s="43"/>
    </row>
    <row r="147" ht="21.75" customHeight="1">
      <c r="A147" s="18"/>
      <c r="B147" s="157"/>
      <c r="C147" s="157"/>
      <c r="D147" s="157"/>
      <c r="E147" s="18"/>
      <c r="G147" s="42"/>
      <c r="H147" s="9"/>
      <c r="I147" s="43"/>
    </row>
    <row r="148" ht="21.75" customHeight="1">
      <c r="A148" s="18"/>
      <c r="B148" s="157"/>
      <c r="C148" s="157"/>
      <c r="D148" s="157"/>
      <c r="E148" s="18"/>
      <c r="G148" s="42"/>
      <c r="H148" s="9"/>
      <c r="I148" s="43"/>
    </row>
    <row r="149" ht="21.75" customHeight="1">
      <c r="A149" s="18"/>
      <c r="B149" s="157"/>
      <c r="C149" s="157"/>
      <c r="D149" s="157"/>
      <c r="E149" s="18"/>
      <c r="G149" s="42"/>
      <c r="H149" s="9"/>
      <c r="I149" s="43"/>
    </row>
    <row r="150" ht="21.75" customHeight="1">
      <c r="A150" s="18"/>
      <c r="B150" s="157"/>
      <c r="C150" s="157"/>
      <c r="D150" s="24"/>
      <c r="E150" s="18"/>
      <c r="G150" s="42"/>
      <c r="H150" s="9"/>
      <c r="I150" s="43"/>
    </row>
    <row r="151" ht="21.75" customHeight="1">
      <c r="A151" s="22"/>
      <c r="B151" s="157"/>
      <c r="C151" s="157"/>
      <c r="D151" s="24"/>
      <c r="E151" s="22"/>
      <c r="F151" s="134"/>
      <c r="G151" s="42"/>
      <c r="H151" s="9"/>
      <c r="I151" s="43"/>
    </row>
    <row r="152" ht="21.75" customHeight="1">
      <c r="A152" s="49" t="s">
        <v>39</v>
      </c>
      <c r="B152" s="184" t="s">
        <v>319</v>
      </c>
      <c r="C152" s="160">
        <v>3.71E7</v>
      </c>
      <c r="D152" s="157"/>
      <c r="E152" s="16">
        <f>SUM(C152:C156)</f>
        <v>190318500</v>
      </c>
      <c r="G152" s="42"/>
      <c r="H152" s="9"/>
      <c r="I152" s="43"/>
    </row>
    <row r="153" ht="21.75" customHeight="1">
      <c r="A153" s="18"/>
      <c r="B153" s="292" t="s">
        <v>221</v>
      </c>
      <c r="C153" s="162">
        <v>1.43534E8</v>
      </c>
      <c r="D153" s="157"/>
      <c r="E153" s="18"/>
      <c r="G153" s="42"/>
      <c r="H153" s="1"/>
      <c r="I153" s="43"/>
    </row>
    <row r="154" ht="21.75" customHeight="1">
      <c r="A154" s="18"/>
      <c r="B154" s="184" t="s">
        <v>318</v>
      </c>
      <c r="C154" s="155">
        <v>4790000.0</v>
      </c>
      <c r="D154" s="157"/>
      <c r="E154" s="18"/>
      <c r="G154" s="42"/>
      <c r="H154" s="9"/>
      <c r="I154" s="43"/>
      <c r="J154" s="9"/>
    </row>
    <row r="155" ht="21.75" customHeight="1">
      <c r="A155" s="18"/>
      <c r="B155" s="160" t="s">
        <v>312</v>
      </c>
      <c r="C155" s="192">
        <v>0.0</v>
      </c>
      <c r="D155" s="157"/>
      <c r="E155" s="18"/>
      <c r="G155" s="42"/>
      <c r="H155" s="9"/>
      <c r="I155" s="10"/>
      <c r="J155" s="9"/>
    </row>
    <row r="156" ht="21.75" customHeight="1">
      <c r="A156" s="18"/>
      <c r="B156" s="160" t="s">
        <v>313</v>
      </c>
      <c r="C156" s="155">
        <v>4894500.0</v>
      </c>
      <c r="D156" s="157"/>
      <c r="E156" s="18"/>
      <c r="G156" s="42"/>
      <c r="H156" s="10"/>
      <c r="I156" s="10"/>
      <c r="J156" s="9"/>
    </row>
    <row r="157" ht="21.75" customHeight="1">
      <c r="A157" s="18"/>
      <c r="B157" s="157"/>
      <c r="C157" s="157"/>
      <c r="D157" s="157"/>
      <c r="E157" s="18"/>
      <c r="G157" s="42"/>
      <c r="H157" s="10"/>
      <c r="I157" s="10"/>
      <c r="J157" s="9"/>
    </row>
    <row r="158" ht="21.75" customHeight="1">
      <c r="A158" s="18"/>
      <c r="B158" s="157"/>
      <c r="C158" s="157"/>
      <c r="D158" s="157"/>
      <c r="E158" s="18"/>
      <c r="G158" s="42"/>
      <c r="H158" s="10"/>
      <c r="I158" s="10"/>
      <c r="J158" s="9"/>
    </row>
    <row r="159" ht="21.75" customHeight="1">
      <c r="A159" s="18"/>
      <c r="B159" s="157"/>
      <c r="C159" s="157"/>
      <c r="D159" s="157"/>
      <c r="E159" s="18"/>
      <c r="G159" s="42"/>
      <c r="H159" s="10"/>
      <c r="I159" s="10"/>
      <c r="J159" s="9"/>
    </row>
    <row r="160" ht="21.75" customHeight="1">
      <c r="A160" s="18"/>
      <c r="B160" s="157"/>
      <c r="C160" s="157"/>
      <c r="D160" s="157"/>
      <c r="E160" s="18"/>
      <c r="G160" s="42"/>
      <c r="H160" s="10"/>
      <c r="I160" s="10"/>
      <c r="J160" s="9"/>
    </row>
    <row r="161" ht="21.75" customHeight="1">
      <c r="A161" s="18"/>
      <c r="B161" s="157"/>
      <c r="C161" s="157"/>
      <c r="D161" s="157"/>
      <c r="E161" s="18"/>
      <c r="F161" s="134"/>
      <c r="G161" s="42"/>
      <c r="H161" s="10"/>
      <c r="I161" s="10"/>
      <c r="J161" s="9"/>
    </row>
    <row r="162" ht="21.75" customHeight="1">
      <c r="A162" s="18"/>
      <c r="B162" s="157"/>
      <c r="C162" s="157"/>
      <c r="D162" s="157"/>
      <c r="E162" s="18"/>
      <c r="F162" s="134"/>
      <c r="G162" s="42"/>
      <c r="H162" s="10"/>
      <c r="I162" s="10"/>
      <c r="J162" s="9"/>
    </row>
    <row r="163" ht="21.75" customHeight="1">
      <c r="A163" s="22"/>
      <c r="B163" s="157"/>
      <c r="C163" s="157"/>
      <c r="D163" s="157"/>
      <c r="E163" s="22"/>
      <c r="F163" s="134"/>
      <c r="G163" s="42"/>
      <c r="H163" s="10"/>
      <c r="I163" s="10"/>
      <c r="J163" s="9"/>
    </row>
    <row r="164" ht="21.75" customHeight="1">
      <c r="A164" s="12" t="s">
        <v>40</v>
      </c>
      <c r="B164" s="173" t="s">
        <v>320</v>
      </c>
      <c r="C164" s="185">
        <v>2.765E7</v>
      </c>
      <c r="D164" s="110"/>
      <c r="E164" s="153">
        <f>SUM(C164:C167)</f>
        <v>121740800</v>
      </c>
      <c r="G164" s="42"/>
      <c r="H164" s="10"/>
      <c r="I164" s="10"/>
    </row>
    <row r="165" ht="21.75" customHeight="1">
      <c r="A165" s="18"/>
      <c r="B165" s="184" t="s">
        <v>314</v>
      </c>
      <c r="C165" s="185">
        <v>2.97948E7</v>
      </c>
      <c r="D165" s="110"/>
      <c r="E165" s="18"/>
      <c r="G165" s="42"/>
      <c r="H165" s="9"/>
      <c r="I165" s="10"/>
    </row>
    <row r="166" ht="21.75" customHeight="1">
      <c r="A166" s="18"/>
      <c r="B166" s="160" t="s">
        <v>312</v>
      </c>
      <c r="C166" s="185">
        <v>4.2641E7</v>
      </c>
      <c r="D166" s="110"/>
      <c r="E166" s="18"/>
      <c r="G166" s="42"/>
      <c r="H166" s="9"/>
      <c r="I166" s="10"/>
    </row>
    <row r="167" ht="21.75" customHeight="1">
      <c r="A167" s="18"/>
      <c r="B167" s="160" t="s">
        <v>313</v>
      </c>
      <c r="C167" s="185">
        <v>2.1655E7</v>
      </c>
      <c r="D167" s="169"/>
      <c r="E167" s="18"/>
      <c r="G167" s="42"/>
      <c r="H167" s="9"/>
      <c r="I167" s="10"/>
    </row>
    <row r="168" ht="21.75" customHeight="1">
      <c r="A168" s="18"/>
      <c r="B168" s="116"/>
      <c r="C168" s="160"/>
      <c r="D168" s="110"/>
      <c r="E168" s="18"/>
      <c r="G168" s="42"/>
      <c r="H168" s="9"/>
      <c r="I168" s="10"/>
    </row>
    <row r="169" ht="21.75" customHeight="1">
      <c r="A169" s="18"/>
      <c r="B169" s="157"/>
      <c r="C169" s="157"/>
      <c r="D169" s="19"/>
      <c r="E169" s="18"/>
      <c r="G169" s="42"/>
      <c r="H169" s="9"/>
      <c r="I169" s="10"/>
    </row>
    <row r="170" ht="21.75" customHeight="1">
      <c r="A170" s="22"/>
      <c r="B170" s="157"/>
      <c r="C170" s="157"/>
      <c r="D170" s="157"/>
      <c r="E170" s="22"/>
      <c r="G170" s="42"/>
      <c r="H170" s="9"/>
      <c r="I170" s="10"/>
    </row>
    <row r="171" ht="21.75" customHeight="1">
      <c r="A171" s="12" t="s">
        <v>41</v>
      </c>
      <c r="B171" s="116" t="s">
        <v>55</v>
      </c>
      <c r="C171" s="185">
        <v>4.0348E7</v>
      </c>
      <c r="D171" s="110" t="s">
        <v>7</v>
      </c>
      <c r="E171" s="16">
        <f>SUM(C172:C176)</f>
        <v>230996000</v>
      </c>
      <c r="G171" s="42"/>
      <c r="H171" s="9"/>
      <c r="I171" s="10"/>
    </row>
    <row r="172" ht="21.75" customHeight="1">
      <c r="A172" s="18"/>
      <c r="B172" s="177" t="s">
        <v>57</v>
      </c>
      <c r="C172" s="185">
        <v>4.3658E7</v>
      </c>
      <c r="D172" s="110"/>
      <c r="E172" s="18"/>
      <c r="F172" s="17"/>
      <c r="G172" s="42"/>
      <c r="H172" s="76"/>
      <c r="I172" s="10"/>
    </row>
    <row r="173" ht="21.75" customHeight="1">
      <c r="A173" s="18"/>
      <c r="B173" s="183" t="s">
        <v>315</v>
      </c>
      <c r="C173" s="185">
        <v>3.38985E7</v>
      </c>
      <c r="D173" s="110"/>
      <c r="E173" s="18"/>
    </row>
    <row r="174" ht="21.75" customHeight="1">
      <c r="A174" s="18"/>
      <c r="B174" s="184" t="s">
        <v>321</v>
      </c>
      <c r="C174" s="155">
        <v>5.77915E7</v>
      </c>
      <c r="D174" s="110"/>
      <c r="E174" s="18"/>
      <c r="G174" s="42"/>
      <c r="H174" s="9"/>
      <c r="I174" s="43"/>
    </row>
    <row r="175" ht="21.75" customHeight="1">
      <c r="A175" s="18"/>
      <c r="B175" s="183" t="s">
        <v>314</v>
      </c>
      <c r="C175" s="155">
        <v>5.69585E7</v>
      </c>
      <c r="D175" s="110"/>
      <c r="E175" s="18"/>
      <c r="F175" s="17"/>
      <c r="H175" s="9"/>
      <c r="I175" s="43"/>
    </row>
    <row r="176" ht="21.75" customHeight="1">
      <c r="A176" s="18"/>
      <c r="B176" s="160" t="s">
        <v>312</v>
      </c>
      <c r="C176" s="185">
        <v>3.86895E7</v>
      </c>
      <c r="D176" s="110"/>
      <c r="E176" s="18"/>
      <c r="F176" s="17"/>
      <c r="H176" s="9"/>
      <c r="I176" s="43"/>
    </row>
    <row r="177" ht="21.75" customHeight="1">
      <c r="A177" s="18"/>
      <c r="B177" s="160" t="s">
        <v>313</v>
      </c>
      <c r="C177" s="185">
        <v>2.3153E7</v>
      </c>
      <c r="D177" s="33"/>
      <c r="E177" s="18"/>
      <c r="F177" s="17"/>
      <c r="H177" s="9"/>
      <c r="I177" s="43"/>
    </row>
    <row r="178" ht="21.75" customHeight="1">
      <c r="A178" s="18"/>
      <c r="B178" s="157"/>
      <c r="C178" s="157"/>
      <c r="D178" s="33"/>
      <c r="E178" s="18"/>
      <c r="F178" s="17"/>
      <c r="H178" s="9"/>
      <c r="I178" s="43"/>
    </row>
    <row r="179" ht="21.75" customHeight="1">
      <c r="A179" s="22"/>
      <c r="B179" s="116"/>
      <c r="C179" s="293"/>
      <c r="D179" s="33"/>
      <c r="E179" s="22"/>
      <c r="F179" s="17"/>
      <c r="H179" s="9"/>
      <c r="I179" s="43"/>
    </row>
    <row r="180" ht="21.75" customHeight="1">
      <c r="A180" s="12" t="s">
        <v>42</v>
      </c>
      <c r="B180" s="192" t="s">
        <v>322</v>
      </c>
      <c r="C180" s="155">
        <v>3320000.0</v>
      </c>
      <c r="D180" s="187"/>
      <c r="E180" s="153">
        <f>SUM(C180:C183)</f>
        <v>88490500</v>
      </c>
      <c r="F180" s="17"/>
      <c r="H180" s="9"/>
      <c r="I180" s="43"/>
    </row>
    <row r="181" ht="21.75" customHeight="1">
      <c r="A181" s="18"/>
      <c r="B181" s="184" t="s">
        <v>314</v>
      </c>
      <c r="C181" s="155">
        <v>5101000.0</v>
      </c>
      <c r="D181" s="193"/>
      <c r="E181" s="18"/>
      <c r="H181" s="9"/>
      <c r="I181" s="43"/>
    </row>
    <row r="182" ht="21.75" customHeight="1">
      <c r="A182" s="18"/>
      <c r="B182" s="160" t="s">
        <v>312</v>
      </c>
      <c r="C182" s="178">
        <v>4.03035E7</v>
      </c>
      <c r="D182" s="115"/>
      <c r="E182" s="18"/>
      <c r="H182" s="9"/>
      <c r="I182" s="43"/>
    </row>
    <row r="183" ht="21.75" customHeight="1">
      <c r="A183" s="18"/>
      <c r="B183" s="160" t="s">
        <v>313</v>
      </c>
      <c r="C183" s="155">
        <v>3.9766E7</v>
      </c>
      <c r="D183" s="115"/>
      <c r="E183" s="18"/>
      <c r="F183" s="203"/>
      <c r="H183" s="9"/>
      <c r="I183" s="10"/>
    </row>
    <row r="184" ht="21.75" customHeight="1">
      <c r="A184" s="18"/>
      <c r="B184" s="184"/>
      <c r="C184" s="155"/>
      <c r="D184" s="115"/>
      <c r="E184" s="18"/>
    </row>
    <row r="185" ht="21.75" customHeight="1">
      <c r="A185" s="18"/>
      <c r="B185" s="116"/>
      <c r="C185" s="160"/>
      <c r="D185" s="115"/>
      <c r="E185" s="18"/>
      <c r="F185" s="20"/>
      <c r="H185" s="20"/>
    </row>
    <row r="186" ht="21.75" customHeight="1">
      <c r="A186" s="18"/>
      <c r="B186" s="157"/>
      <c r="C186" s="157"/>
      <c r="D186" s="157"/>
      <c r="E186" s="18"/>
      <c r="F186" s="294"/>
    </row>
    <row r="187" ht="21.75" customHeight="1">
      <c r="A187" s="22"/>
      <c r="B187" s="157"/>
      <c r="C187" s="157"/>
      <c r="D187" s="157"/>
      <c r="E187" s="22"/>
      <c r="F187" s="294"/>
      <c r="G187" s="294"/>
      <c r="H187" s="294"/>
      <c r="I187" s="294"/>
      <c r="J187" s="294"/>
      <c r="K187" s="294"/>
      <c r="L187" s="294"/>
      <c r="M187" s="294"/>
      <c r="N187" s="294"/>
    </row>
    <row r="188" ht="21.75" customHeight="1">
      <c r="A188" s="295" t="s">
        <v>43</v>
      </c>
      <c r="B188" s="182" t="s">
        <v>15</v>
      </c>
      <c r="C188" s="155">
        <v>1.8781E7</v>
      </c>
      <c r="D188" s="115" t="s">
        <v>7</v>
      </c>
      <c r="E188" s="222">
        <f>C193+C194</f>
        <v>30820000</v>
      </c>
      <c r="F188" s="296"/>
      <c r="G188" s="297"/>
      <c r="H188" s="298"/>
      <c r="I188" s="297"/>
      <c r="J188" s="297"/>
      <c r="K188" s="297"/>
      <c r="L188" s="297"/>
      <c r="M188" s="299"/>
      <c r="N188" s="300"/>
    </row>
    <row r="189" ht="21.75" customHeight="1">
      <c r="A189" s="18"/>
      <c r="B189" s="116" t="s">
        <v>10</v>
      </c>
      <c r="C189" s="151">
        <v>2600000.0</v>
      </c>
      <c r="D189" s="301" t="s">
        <v>7</v>
      </c>
      <c r="E189" s="18"/>
      <c r="F189" s="302"/>
      <c r="G189" s="303"/>
      <c r="J189" s="304"/>
      <c r="K189" s="305"/>
      <c r="L189" s="305"/>
      <c r="M189" s="306"/>
      <c r="N189" s="305"/>
    </row>
    <row r="190" ht="21.75" customHeight="1">
      <c r="A190" s="18"/>
      <c r="B190" s="116" t="s">
        <v>55</v>
      </c>
      <c r="C190" s="155">
        <v>6044000.0</v>
      </c>
      <c r="D190" s="110" t="s">
        <v>7</v>
      </c>
      <c r="E190" s="18"/>
      <c r="F190" s="307"/>
      <c r="G190" s="308"/>
      <c r="J190" s="306"/>
      <c r="K190" s="306"/>
      <c r="L190" s="306"/>
      <c r="M190" s="306"/>
      <c r="N190" s="306"/>
    </row>
    <row r="191" ht="21.75" customHeight="1">
      <c r="A191" s="18"/>
      <c r="B191" s="184" t="s">
        <v>323</v>
      </c>
      <c r="C191" s="178">
        <v>2.058E7</v>
      </c>
      <c r="D191" s="205" t="s">
        <v>7</v>
      </c>
      <c r="E191" s="18"/>
      <c r="F191" s="307"/>
      <c r="G191" s="309"/>
      <c r="J191" s="310"/>
      <c r="K191" s="310"/>
      <c r="L191" s="311"/>
      <c r="M191" s="311"/>
      <c r="N191" s="312"/>
    </row>
    <row r="192" ht="21.75" customHeight="1">
      <c r="A192" s="18"/>
      <c r="B192" s="166" t="s">
        <v>221</v>
      </c>
      <c r="C192" s="167">
        <v>7.044E7</v>
      </c>
      <c r="D192" s="205" t="s">
        <v>7</v>
      </c>
      <c r="E192" s="18"/>
      <c r="F192" s="313"/>
      <c r="G192" s="306"/>
      <c r="H192" s="314"/>
      <c r="I192" s="306"/>
      <c r="J192" s="306"/>
      <c r="K192" s="306"/>
      <c r="L192" s="306"/>
      <c r="M192" s="315"/>
      <c r="N192" s="312"/>
    </row>
    <row r="193" ht="21.75" customHeight="1">
      <c r="A193" s="18"/>
      <c r="B193" s="184" t="s">
        <v>315</v>
      </c>
      <c r="C193" s="185">
        <v>2.822E7</v>
      </c>
      <c r="D193" s="19"/>
      <c r="E193" s="18"/>
      <c r="F193" s="316"/>
      <c r="G193" s="317"/>
      <c r="H193" s="317"/>
      <c r="I193" s="317"/>
      <c r="J193" s="318"/>
      <c r="K193" s="319"/>
      <c r="L193" s="320"/>
      <c r="M193" s="320"/>
      <c r="N193" s="320"/>
    </row>
    <row r="194" ht="21.75" customHeight="1">
      <c r="A194" s="22"/>
      <c r="B194" s="184" t="s">
        <v>313</v>
      </c>
      <c r="C194" s="185">
        <v>2600000.0</v>
      </c>
      <c r="D194" s="321"/>
      <c r="E194" s="22"/>
      <c r="F194" s="322"/>
      <c r="G194" s="323"/>
      <c r="H194" s="323"/>
      <c r="I194" s="306"/>
      <c r="J194" s="306"/>
      <c r="K194" s="306"/>
      <c r="L194" s="306"/>
      <c r="M194" s="324"/>
      <c r="N194" s="325"/>
    </row>
    <row r="195" ht="21.75" customHeight="1">
      <c r="A195" s="295" t="s">
        <v>44</v>
      </c>
      <c r="B195" s="184" t="s">
        <v>315</v>
      </c>
      <c r="C195" s="185">
        <v>38600.0</v>
      </c>
      <c r="D195" s="205" t="s">
        <v>7</v>
      </c>
      <c r="E195" s="222">
        <v>0.0</v>
      </c>
      <c r="F195" s="326"/>
      <c r="G195" s="327"/>
      <c r="H195" s="327"/>
      <c r="I195" s="327"/>
      <c r="J195" s="328"/>
      <c r="K195" s="328"/>
      <c r="L195" s="328"/>
      <c r="M195" s="329"/>
      <c r="N195" s="330"/>
    </row>
    <row r="196" ht="21.75" customHeight="1">
      <c r="A196" s="18"/>
      <c r="B196" s="160" t="s">
        <v>312</v>
      </c>
      <c r="C196" s="331">
        <v>1.4975E7</v>
      </c>
      <c r="D196" s="110" t="s">
        <v>7</v>
      </c>
      <c r="E196" s="18"/>
      <c r="F196" s="326"/>
      <c r="G196" s="327"/>
      <c r="H196" s="327"/>
      <c r="I196" s="327"/>
      <c r="J196" s="328"/>
      <c r="K196" s="328"/>
      <c r="L196" s="328"/>
      <c r="M196" s="329"/>
      <c r="N196" s="330"/>
    </row>
    <row r="197" ht="21.75" customHeight="1">
      <c r="A197" s="22"/>
      <c r="B197" s="184" t="s">
        <v>313</v>
      </c>
      <c r="C197" s="185">
        <v>1.05445E7</v>
      </c>
      <c r="D197" s="110" t="s">
        <v>7</v>
      </c>
      <c r="E197" s="22"/>
      <c r="F197" s="326"/>
      <c r="G197" s="327"/>
      <c r="H197" s="327"/>
      <c r="I197" s="332"/>
      <c r="J197" s="328"/>
      <c r="K197" s="328"/>
      <c r="L197" s="328"/>
      <c r="M197" s="329"/>
      <c r="N197" s="330"/>
    </row>
    <row r="198" ht="21.75" customHeight="1">
      <c r="A198" s="295" t="s">
        <v>45</v>
      </c>
      <c r="B198" s="116" t="s">
        <v>53</v>
      </c>
      <c r="C198" s="185">
        <v>3.7979E7</v>
      </c>
      <c r="D198" s="110" t="s">
        <v>7</v>
      </c>
      <c r="E198" s="222">
        <v>0.0</v>
      </c>
      <c r="G198" s="95"/>
    </row>
    <row r="199" ht="21.75" customHeight="1">
      <c r="A199" s="18"/>
      <c r="B199" s="116" t="s">
        <v>55</v>
      </c>
      <c r="C199" s="207">
        <v>1.63469E7</v>
      </c>
      <c r="D199" s="110" t="s">
        <v>7</v>
      </c>
      <c r="E199" s="18"/>
    </row>
    <row r="200" ht="21.75" customHeight="1">
      <c r="A200" s="18"/>
      <c r="B200" s="116" t="s">
        <v>57</v>
      </c>
      <c r="C200" s="160">
        <v>1.8897E7</v>
      </c>
      <c r="D200" s="110" t="s">
        <v>7</v>
      </c>
      <c r="E200" s="18"/>
      <c r="G200" s="95"/>
      <c r="H200" s="95"/>
      <c r="I200" s="95"/>
    </row>
    <row r="201" ht="21.75" customHeight="1">
      <c r="A201" s="18"/>
      <c r="B201" s="181" t="s">
        <v>225</v>
      </c>
      <c r="C201" s="167">
        <v>3.65999E7</v>
      </c>
      <c r="D201" s="110" t="s">
        <v>7</v>
      </c>
      <c r="E201" s="18"/>
      <c r="G201" s="95"/>
      <c r="H201" s="95"/>
      <c r="I201" s="95"/>
    </row>
    <row r="202" ht="21.75" customHeight="1">
      <c r="A202" s="18"/>
      <c r="B202" s="184" t="s">
        <v>315</v>
      </c>
      <c r="C202" s="160">
        <v>3830000.0</v>
      </c>
      <c r="D202" s="169" t="s">
        <v>7</v>
      </c>
      <c r="E202" s="18"/>
      <c r="G202" s="95"/>
      <c r="H202" s="95"/>
      <c r="I202" s="95"/>
    </row>
    <row r="203" ht="21.75" customHeight="1">
      <c r="A203" s="18"/>
      <c r="B203" s="187" t="s">
        <v>324</v>
      </c>
      <c r="C203" s="160">
        <v>4.39218E7</v>
      </c>
      <c r="D203" s="169" t="s">
        <v>7</v>
      </c>
      <c r="E203" s="18"/>
      <c r="G203" s="95"/>
      <c r="H203" s="95"/>
      <c r="I203" s="95"/>
    </row>
    <row r="204" ht="21.75" customHeight="1">
      <c r="A204" s="18"/>
      <c r="B204" s="184" t="s">
        <v>314</v>
      </c>
      <c r="C204" s="160">
        <v>1.5078E7</v>
      </c>
      <c r="D204" s="169" t="s">
        <v>7</v>
      </c>
      <c r="E204" s="18"/>
      <c r="G204" s="95"/>
      <c r="H204" s="95"/>
      <c r="I204" s="95"/>
    </row>
    <row r="205" ht="21.75" customHeight="1">
      <c r="A205" s="18"/>
      <c r="B205" s="160" t="s">
        <v>312</v>
      </c>
      <c r="C205" s="160">
        <v>2.51906E7</v>
      </c>
      <c r="D205" s="169" t="s">
        <v>7</v>
      </c>
      <c r="E205" s="18"/>
      <c r="G205" s="95"/>
      <c r="H205" s="95"/>
      <c r="I205" s="95"/>
    </row>
    <row r="206" ht="21.75" customHeight="1">
      <c r="A206" s="22"/>
      <c r="B206" s="184" t="s">
        <v>313</v>
      </c>
      <c r="C206" s="160">
        <v>2.101E7</v>
      </c>
      <c r="D206" s="169" t="s">
        <v>7</v>
      </c>
      <c r="E206" s="22"/>
      <c r="H206" s="95"/>
      <c r="I206" s="95"/>
    </row>
    <row r="207" ht="21.75" customHeight="1">
      <c r="A207" s="295" t="s">
        <v>46</v>
      </c>
      <c r="B207" s="116" t="s">
        <v>17</v>
      </c>
      <c r="C207" s="164">
        <v>1.6585E7</v>
      </c>
      <c r="D207" s="198" t="s">
        <v>7</v>
      </c>
      <c r="E207" s="333">
        <f>C212+D212</f>
        <v>37350000</v>
      </c>
      <c r="G207" s="95"/>
      <c r="H207" s="95"/>
      <c r="I207" s="95"/>
    </row>
    <row r="208" ht="21.75" customHeight="1">
      <c r="A208" s="18"/>
      <c r="B208" s="116" t="s">
        <v>10</v>
      </c>
      <c r="C208" s="164">
        <v>1.387E7</v>
      </c>
      <c r="D208" s="198" t="s">
        <v>7</v>
      </c>
      <c r="E208" s="18"/>
      <c r="G208" s="95"/>
      <c r="H208" s="95"/>
      <c r="I208" s="95"/>
    </row>
    <row r="209" ht="21.75" customHeight="1">
      <c r="A209" s="18"/>
      <c r="B209" s="182" t="s">
        <v>222</v>
      </c>
      <c r="C209" s="164">
        <v>1.571E7</v>
      </c>
      <c r="D209" s="198" t="s">
        <v>7</v>
      </c>
      <c r="E209" s="18"/>
      <c r="G209" s="95"/>
      <c r="H209" s="95"/>
      <c r="I209" s="95"/>
    </row>
    <row r="210" ht="21.75" customHeight="1">
      <c r="A210" s="18"/>
      <c r="B210" s="116" t="s">
        <v>55</v>
      </c>
      <c r="C210" s="160">
        <v>1.4775E7</v>
      </c>
      <c r="D210" s="198" t="s">
        <v>7</v>
      </c>
      <c r="E210" s="18"/>
    </row>
    <row r="211" ht="21.75" customHeight="1">
      <c r="A211" s="18"/>
      <c r="B211" s="116" t="s">
        <v>57</v>
      </c>
      <c r="C211" s="207">
        <v>5725000.0</v>
      </c>
      <c r="D211" s="198" t="s">
        <v>7</v>
      </c>
      <c r="E211" s="18"/>
      <c r="F211" s="334"/>
    </row>
    <row r="212" ht="21.75" customHeight="1">
      <c r="A212" s="18"/>
      <c r="B212" s="181" t="s">
        <v>225</v>
      </c>
      <c r="C212" s="167">
        <v>3.8475E7</v>
      </c>
      <c r="D212" s="198">
        <v>-1125000.0</v>
      </c>
      <c r="E212" s="18"/>
    </row>
    <row r="213" ht="21.75" customHeight="1">
      <c r="A213" s="22"/>
      <c r="B213" s="184" t="s">
        <v>313</v>
      </c>
      <c r="C213" s="335">
        <v>1.925E7</v>
      </c>
      <c r="D213" s="198" t="s">
        <v>7</v>
      </c>
      <c r="E213" s="22"/>
    </row>
    <row r="214" ht="21.75" customHeight="1">
      <c r="A214" s="295" t="s">
        <v>47</v>
      </c>
      <c r="B214" s="116" t="s">
        <v>48</v>
      </c>
      <c r="C214" s="151">
        <v>4.0E7</v>
      </c>
      <c r="D214" s="24"/>
      <c r="E214" s="222">
        <f>C214+C215</f>
        <v>67415000</v>
      </c>
    </row>
    <row r="215" ht="21.75" customHeight="1">
      <c r="A215" s="18"/>
      <c r="B215" s="184" t="s">
        <v>325</v>
      </c>
      <c r="C215" s="207">
        <v>2.7415E7</v>
      </c>
      <c r="D215" s="24"/>
      <c r="E215" s="18"/>
    </row>
    <row r="216" ht="21.75" customHeight="1">
      <c r="A216" s="18"/>
      <c r="B216" s="208" t="s">
        <v>49</v>
      </c>
      <c r="C216" s="151">
        <v>2.0363E7</v>
      </c>
      <c r="D216" s="110" t="s">
        <v>7</v>
      </c>
      <c r="E216" s="18"/>
    </row>
    <row r="217" ht="21.75" customHeight="1">
      <c r="A217" s="18"/>
      <c r="B217" s="116" t="s">
        <v>52</v>
      </c>
      <c r="C217" s="151">
        <v>220000.0</v>
      </c>
      <c r="D217" s="110" t="s">
        <v>7</v>
      </c>
      <c r="E217" s="18"/>
      <c r="G217" s="90" t="s">
        <v>50</v>
      </c>
      <c r="H217" s="56" t="s">
        <v>51</v>
      </c>
      <c r="I217" s="19">
        <v>3.58355E7</v>
      </c>
    </row>
    <row r="218" ht="21.75" customHeight="1">
      <c r="A218" s="18"/>
      <c r="B218" s="108" t="s">
        <v>54</v>
      </c>
      <c r="C218" s="164">
        <v>1.9985E7</v>
      </c>
      <c r="D218" s="110" t="s">
        <v>7</v>
      </c>
      <c r="E218" s="18"/>
      <c r="F218" s="91"/>
      <c r="G218" s="18"/>
      <c r="H218" s="56" t="s">
        <v>53</v>
      </c>
      <c r="I218" s="19">
        <v>4.2089E7</v>
      </c>
    </row>
    <row r="219" ht="21.75" customHeight="1">
      <c r="A219" s="18"/>
      <c r="B219" s="184" t="s">
        <v>226</v>
      </c>
      <c r="C219" s="209">
        <v>3.5645E7</v>
      </c>
      <c r="D219" s="110" t="s">
        <v>7</v>
      </c>
      <c r="E219" s="18"/>
      <c r="F219" s="91"/>
      <c r="G219" s="18"/>
      <c r="H219" s="56" t="s">
        <v>55</v>
      </c>
      <c r="I219" s="19">
        <v>3.9621E7</v>
      </c>
    </row>
    <row r="220" ht="21.75" customHeight="1">
      <c r="A220" s="22"/>
      <c r="B220" s="184" t="s">
        <v>227</v>
      </c>
      <c r="C220" s="207">
        <v>1.95E7</v>
      </c>
      <c r="D220" s="110" t="s">
        <v>7</v>
      </c>
      <c r="E220" s="22"/>
      <c r="F220" s="91"/>
      <c r="G220" s="18"/>
      <c r="H220" s="56"/>
      <c r="I220" s="19"/>
    </row>
    <row r="221" ht="21.75" customHeight="1">
      <c r="A221" s="295" t="s">
        <v>56</v>
      </c>
      <c r="B221" s="192" t="s">
        <v>326</v>
      </c>
      <c r="C221" s="207">
        <v>5900000.0</v>
      </c>
      <c r="D221" s="110" t="s">
        <v>7</v>
      </c>
      <c r="E221" s="222">
        <v>0.0</v>
      </c>
      <c r="F221" s="91"/>
      <c r="G221" s="18"/>
      <c r="H221" s="56"/>
      <c r="I221" s="19"/>
    </row>
    <row r="222" ht="21.75" customHeight="1">
      <c r="A222" s="18"/>
      <c r="B222" s="184" t="s">
        <v>314</v>
      </c>
      <c r="C222" s="207">
        <v>2.94865E7</v>
      </c>
      <c r="D222" s="169" t="s">
        <v>7</v>
      </c>
      <c r="E222" s="18"/>
      <c r="F222" s="91"/>
      <c r="G222" s="18"/>
      <c r="H222" s="56" t="s">
        <v>57</v>
      </c>
      <c r="I222" s="19">
        <v>6.7791E7</v>
      </c>
    </row>
    <row r="223" ht="21.75" customHeight="1">
      <c r="A223" s="18"/>
      <c r="B223" s="160" t="s">
        <v>312</v>
      </c>
      <c r="C223" s="160">
        <v>2.9678E7</v>
      </c>
      <c r="D223" s="110" t="s">
        <v>7</v>
      </c>
      <c r="E223" s="18"/>
      <c r="F223" s="91"/>
      <c r="G223" s="18"/>
    </row>
    <row r="224" ht="21.75" customHeight="1">
      <c r="A224" s="22"/>
      <c r="B224" s="184" t="s">
        <v>313</v>
      </c>
      <c r="C224" s="207">
        <v>2.71105E7</v>
      </c>
      <c r="D224" s="110" t="s">
        <v>7</v>
      </c>
      <c r="E224" s="22"/>
      <c r="G224" s="18"/>
      <c r="I224" s="2">
        <f>SUM(I235:I236)</f>
        <v>146720000</v>
      </c>
    </row>
    <row r="225" ht="21.75" customHeight="1">
      <c r="A225" s="102" t="s">
        <v>58</v>
      </c>
      <c r="B225" s="116" t="s">
        <v>53</v>
      </c>
      <c r="C225" s="160">
        <v>2.64235E7</v>
      </c>
      <c r="D225" s="110" t="s">
        <v>7</v>
      </c>
      <c r="E225" s="96">
        <f>C230+C231+C232</f>
        <v>132858500</v>
      </c>
      <c r="F225" s="91"/>
    </row>
    <row r="226" ht="22.5" customHeight="1">
      <c r="A226" s="18"/>
      <c r="B226" s="116" t="s">
        <v>55</v>
      </c>
      <c r="C226" s="185">
        <v>5.79755E7</v>
      </c>
      <c r="D226" s="110" t="s">
        <v>7</v>
      </c>
      <c r="E226" s="18"/>
      <c r="G226" s="95"/>
      <c r="H226" s="9"/>
      <c r="I226" s="28"/>
    </row>
    <row r="227" ht="22.5" customHeight="1">
      <c r="A227" s="18"/>
      <c r="B227" s="116" t="s">
        <v>57</v>
      </c>
      <c r="C227" s="207">
        <v>1.225E7</v>
      </c>
      <c r="D227" s="110" t="s">
        <v>7</v>
      </c>
      <c r="E227" s="18"/>
      <c r="F227" s="91"/>
      <c r="G227" s="79"/>
      <c r="H227" s="56"/>
      <c r="I227" s="24">
        <v>1.11365E7</v>
      </c>
    </row>
    <row r="228" ht="22.5" customHeight="1">
      <c r="A228" s="18"/>
      <c r="B228" s="181" t="s">
        <v>225</v>
      </c>
      <c r="C228" s="167">
        <v>2.66785E8</v>
      </c>
      <c r="D228" s="110" t="s">
        <v>7</v>
      </c>
      <c r="E228" s="18"/>
      <c r="G228" s="18"/>
      <c r="H228" s="56"/>
      <c r="I228" s="24">
        <v>4.38625E7</v>
      </c>
    </row>
    <row r="229" ht="22.5" customHeight="1">
      <c r="A229" s="18"/>
      <c r="B229" s="184" t="s">
        <v>315</v>
      </c>
      <c r="C229" s="207">
        <v>1.03285E7</v>
      </c>
      <c r="D229" s="110" t="s">
        <v>7</v>
      </c>
      <c r="E229" s="18"/>
      <c r="G229" s="18"/>
      <c r="H229" s="56"/>
      <c r="I229" s="24">
        <v>5.06925E7</v>
      </c>
    </row>
    <row r="230" ht="22.5" customHeight="1">
      <c r="A230" s="18"/>
      <c r="B230" s="184" t="s">
        <v>314</v>
      </c>
      <c r="C230" s="207">
        <v>7.6236E7</v>
      </c>
      <c r="D230" s="210"/>
      <c r="E230" s="18"/>
      <c r="G230" s="18"/>
      <c r="H230" s="56"/>
      <c r="I230" s="24">
        <v>5.31555E7</v>
      </c>
    </row>
    <row r="231" ht="22.5" customHeight="1">
      <c r="A231" s="18"/>
      <c r="B231" s="160" t="s">
        <v>312</v>
      </c>
      <c r="C231" s="207">
        <v>5.33225E7</v>
      </c>
      <c r="D231" s="93"/>
      <c r="E231" s="18"/>
      <c r="G231" s="18"/>
      <c r="H231" s="56"/>
      <c r="I231" s="24"/>
    </row>
    <row r="232" ht="22.5" customHeight="1">
      <c r="A232" s="22"/>
      <c r="B232" s="184" t="s">
        <v>313</v>
      </c>
      <c r="C232" s="207">
        <v>3300000.0</v>
      </c>
      <c r="D232" s="93"/>
      <c r="E232" s="22"/>
      <c r="G232" s="18"/>
      <c r="H232" s="56"/>
      <c r="I232" s="24"/>
    </row>
    <row r="233" ht="22.5" customHeight="1">
      <c r="A233" s="102" t="s">
        <v>60</v>
      </c>
      <c r="B233" s="184" t="s">
        <v>315</v>
      </c>
      <c r="C233" s="110">
        <v>6160000.0</v>
      </c>
      <c r="D233" s="110" t="s">
        <v>7</v>
      </c>
      <c r="E233" s="336">
        <v>3735000.0</v>
      </c>
      <c r="G233" s="18"/>
      <c r="H233" s="56"/>
      <c r="I233" s="24"/>
    </row>
    <row r="234" ht="22.5" customHeight="1">
      <c r="A234" s="18"/>
      <c r="B234" s="184" t="s">
        <v>314</v>
      </c>
      <c r="C234" s="110">
        <v>4385000.0</v>
      </c>
      <c r="D234" s="110" t="s">
        <v>7</v>
      </c>
      <c r="E234" s="18"/>
      <c r="G234" s="18"/>
      <c r="H234" s="56"/>
      <c r="I234" s="24"/>
    </row>
    <row r="235" ht="22.5" customHeight="1">
      <c r="A235" s="18"/>
      <c r="B235" s="160" t="s">
        <v>312</v>
      </c>
      <c r="C235" s="207">
        <v>4800000.0</v>
      </c>
      <c r="D235" s="110" t="s">
        <v>7</v>
      </c>
      <c r="E235" s="18"/>
      <c r="G235" s="18"/>
      <c r="H235" s="56"/>
      <c r="I235" s="24">
        <v>9.8639E7</v>
      </c>
    </row>
    <row r="236" ht="22.5" customHeight="1">
      <c r="A236" s="22"/>
      <c r="B236" s="184" t="s">
        <v>313</v>
      </c>
      <c r="C236" s="207">
        <v>3735000.0</v>
      </c>
      <c r="D236" s="157"/>
      <c r="E236" s="22"/>
      <c r="G236" s="18"/>
      <c r="H236" s="56"/>
      <c r="I236" s="24">
        <v>4.8081E7</v>
      </c>
    </row>
    <row r="237" ht="22.5" customHeight="1">
      <c r="A237" s="295" t="s">
        <v>61</v>
      </c>
      <c r="B237" s="116" t="s">
        <v>10</v>
      </c>
      <c r="C237" s="164">
        <v>2.6125E7</v>
      </c>
      <c r="D237" s="337" t="s">
        <v>7</v>
      </c>
      <c r="E237" s="96">
        <f>C239+C240+C241</f>
        <v>35880000</v>
      </c>
      <c r="F237" s="20" t="s">
        <v>62</v>
      </c>
      <c r="G237" s="18"/>
    </row>
    <row r="238" ht="22.5" customHeight="1">
      <c r="A238" s="18"/>
      <c r="B238" s="116" t="s">
        <v>57</v>
      </c>
      <c r="C238" s="110">
        <v>1.59375E7</v>
      </c>
      <c r="D238" s="110" t="s">
        <v>7</v>
      </c>
      <c r="E238" s="18"/>
      <c r="G238" s="18"/>
      <c r="H238" s="56"/>
      <c r="I238" s="99">
        <f>SUM(I227:I236)</f>
        <v>305567000</v>
      </c>
    </row>
    <row r="239" ht="22.5" customHeight="1">
      <c r="A239" s="18"/>
      <c r="B239" s="184" t="s">
        <v>314</v>
      </c>
      <c r="C239" s="110">
        <v>5085000.0</v>
      </c>
      <c r="D239" s="19"/>
      <c r="E239" s="18"/>
    </row>
    <row r="240" ht="22.5" customHeight="1">
      <c r="A240" s="18"/>
      <c r="B240" s="184" t="s">
        <v>312</v>
      </c>
      <c r="C240" s="110">
        <v>1.03E7</v>
      </c>
      <c r="D240" s="19"/>
      <c r="E240" s="18"/>
      <c r="H240" s="20" t="str">
        <f>40000000-I241-I243-#REF!-I245</f>
        <v>#REF!</v>
      </c>
    </row>
    <row r="241" ht="22.5" customHeight="1">
      <c r="A241" s="22"/>
      <c r="B241" s="184" t="s">
        <v>313</v>
      </c>
      <c r="C241" s="110">
        <v>2.0495E7</v>
      </c>
      <c r="D241" s="19"/>
      <c r="E241" s="22"/>
      <c r="H241" s="20"/>
    </row>
    <row r="242" ht="22.5" customHeight="1">
      <c r="A242" s="102" t="s">
        <v>63</v>
      </c>
      <c r="B242" s="184" t="s">
        <v>315</v>
      </c>
      <c r="C242" s="110">
        <v>3.4615E7</v>
      </c>
      <c r="D242" s="169" t="s">
        <v>7</v>
      </c>
      <c r="E242" s="104">
        <v>0.0</v>
      </c>
    </row>
    <row r="243" ht="22.5" customHeight="1">
      <c r="A243" s="18"/>
      <c r="B243" s="184" t="s">
        <v>314</v>
      </c>
      <c r="C243" s="198">
        <v>1.77685E7</v>
      </c>
      <c r="D243" s="110" t="s">
        <v>7</v>
      </c>
      <c r="E243" s="18"/>
    </row>
    <row r="244" ht="22.5" customHeight="1">
      <c r="A244" s="18"/>
      <c r="B244" s="184" t="s">
        <v>312</v>
      </c>
      <c r="C244" s="110">
        <f>45439500-66000</f>
        <v>45373500</v>
      </c>
      <c r="D244" s="110" t="s">
        <v>7</v>
      </c>
      <c r="E244" s="18"/>
    </row>
    <row r="245" ht="22.5" customHeight="1">
      <c r="A245" s="22"/>
      <c r="B245" s="184" t="s">
        <v>313</v>
      </c>
      <c r="C245" s="198">
        <v>4.4968E7</v>
      </c>
      <c r="D245" s="110" t="s">
        <v>7</v>
      </c>
      <c r="E245" s="22"/>
    </row>
    <row r="246" ht="22.5" customHeight="1">
      <c r="A246" s="338" t="s">
        <v>64</v>
      </c>
      <c r="B246" s="169" t="s">
        <v>327</v>
      </c>
      <c r="C246" s="198">
        <v>2.505E7</v>
      </c>
      <c r="D246" s="115" t="s">
        <v>7</v>
      </c>
      <c r="E246" s="104">
        <v>0.0</v>
      </c>
    </row>
    <row r="247" ht="22.5" customHeight="1">
      <c r="A247" s="18"/>
      <c r="B247" s="184" t="s">
        <v>314</v>
      </c>
      <c r="C247" s="198">
        <v>6.86185E7</v>
      </c>
      <c r="D247" s="115" t="s">
        <v>7</v>
      </c>
      <c r="E247" s="18"/>
    </row>
    <row r="248" ht="22.5" customHeight="1">
      <c r="A248" s="18"/>
      <c r="B248" s="184" t="s">
        <v>312</v>
      </c>
      <c r="C248" s="198">
        <v>6.85515E7</v>
      </c>
      <c r="D248" s="115" t="s">
        <v>7</v>
      </c>
      <c r="E248" s="18"/>
    </row>
    <row r="249" ht="22.5" customHeight="1">
      <c r="A249" s="18"/>
      <c r="B249" s="184"/>
      <c r="C249" s="198"/>
      <c r="D249" s="115"/>
      <c r="E249" s="18"/>
      <c r="L249" s="20">
        <f>SUM(I249:I252)</f>
        <v>38616000</v>
      </c>
    </row>
    <row r="250" ht="22.5" customHeight="1">
      <c r="A250" s="22"/>
      <c r="B250" s="157"/>
      <c r="C250" s="157"/>
      <c r="D250" s="157"/>
      <c r="E250" s="22"/>
      <c r="L250" s="20"/>
    </row>
    <row r="251" ht="22.5" customHeight="1">
      <c r="A251" s="102" t="s">
        <v>65</v>
      </c>
      <c r="B251" s="56" t="s">
        <v>51</v>
      </c>
      <c r="C251" s="115"/>
      <c r="D251" s="115"/>
      <c r="E251" s="96"/>
      <c r="G251" s="103" t="s">
        <v>65</v>
      </c>
      <c r="H251" s="56" t="s">
        <v>12</v>
      </c>
      <c r="I251" s="101">
        <v>3000000.0</v>
      </c>
    </row>
    <row r="252" ht="22.5" customHeight="1">
      <c r="A252" s="18"/>
      <c r="B252" s="56" t="s">
        <v>53</v>
      </c>
      <c r="C252" s="115">
        <v>2625000.0</v>
      </c>
      <c r="D252" s="48"/>
      <c r="E252" s="18"/>
      <c r="G252" s="18"/>
      <c r="H252" s="56" t="s">
        <v>13</v>
      </c>
      <c r="I252" s="48">
        <v>3.5616E7</v>
      </c>
    </row>
    <row r="253" ht="22.5" customHeight="1">
      <c r="A253" s="18"/>
      <c r="B253" s="56" t="s">
        <v>55</v>
      </c>
      <c r="C253" s="115"/>
      <c r="D253" s="48"/>
      <c r="E253" s="18"/>
      <c r="G253" s="18"/>
      <c r="H253" s="56" t="s">
        <v>66</v>
      </c>
      <c r="I253" s="48">
        <v>1.88395E7</v>
      </c>
    </row>
    <row r="254" ht="22.5" customHeight="1">
      <c r="A254" s="22"/>
      <c r="B254" s="56" t="s">
        <v>57</v>
      </c>
      <c r="C254" s="115"/>
      <c r="D254" s="48"/>
      <c r="E254" s="22"/>
      <c r="G254" s="18"/>
      <c r="H254" s="56" t="s">
        <v>67</v>
      </c>
      <c r="I254" s="48">
        <v>2.7162E7</v>
      </c>
    </row>
    <row r="255" ht="22.5" customHeight="1">
      <c r="A255" s="102" t="s">
        <v>68</v>
      </c>
      <c r="B255" s="339" t="s">
        <v>225</v>
      </c>
      <c r="C255" s="221">
        <v>1.16E7</v>
      </c>
      <c r="D255" s="110" t="s">
        <v>7</v>
      </c>
      <c r="E255" s="104">
        <v>3.8549E7</v>
      </c>
      <c r="G255" s="18"/>
      <c r="H255" s="56"/>
      <c r="I255" s="99"/>
      <c r="J255" s="340"/>
      <c r="K255" s="341"/>
      <c r="L255" s="342"/>
    </row>
    <row r="256" ht="22.5" customHeight="1">
      <c r="A256" s="18"/>
      <c r="B256" s="56" t="s">
        <v>51</v>
      </c>
      <c r="C256" s="115"/>
      <c r="D256" s="110"/>
      <c r="E256" s="18"/>
      <c r="G256" s="22"/>
      <c r="H256" s="56" t="s">
        <v>69</v>
      </c>
      <c r="I256" s="99">
        <f>sum(I249:I254)</f>
        <v>84617500</v>
      </c>
      <c r="J256" s="105" t="s">
        <v>70</v>
      </c>
      <c r="K256" s="106" t="s">
        <v>71</v>
      </c>
      <c r="L256" s="107">
        <v>3.94992E7</v>
      </c>
    </row>
    <row r="257" ht="22.5" customHeight="1">
      <c r="A257" s="18"/>
      <c r="B257" s="56" t="s">
        <v>53</v>
      </c>
      <c r="C257" s="115">
        <v>8170000.0</v>
      </c>
      <c r="D257" s="110" t="s">
        <v>7</v>
      </c>
      <c r="E257" s="18"/>
      <c r="J257" s="18"/>
      <c r="K257" s="108" t="s">
        <v>72</v>
      </c>
      <c r="L257" s="109">
        <v>4.4902E7</v>
      </c>
    </row>
    <row r="258" ht="22.5" customHeight="1">
      <c r="A258" s="18"/>
      <c r="B258" s="56" t="s">
        <v>55</v>
      </c>
      <c r="C258" s="115"/>
      <c r="D258" s="115"/>
      <c r="E258" s="18"/>
      <c r="G258" s="223" t="s">
        <v>68</v>
      </c>
      <c r="H258" s="56"/>
      <c r="J258" s="18"/>
      <c r="K258" s="108" t="s">
        <v>73</v>
      </c>
      <c r="L258" s="109">
        <v>2.968E7</v>
      </c>
    </row>
    <row r="259" ht="22.5" customHeight="1">
      <c r="A259" s="18"/>
      <c r="B259" s="56" t="s">
        <v>57</v>
      </c>
      <c r="C259" s="115">
        <v>5.6327E7</v>
      </c>
      <c r="D259" s="110" t="s">
        <v>7</v>
      </c>
      <c r="E259" s="18"/>
      <c r="G259" s="18"/>
      <c r="H259" s="56"/>
      <c r="J259" s="18"/>
      <c r="K259" s="108" t="s">
        <v>74</v>
      </c>
      <c r="L259" s="109">
        <v>3.87375E7</v>
      </c>
    </row>
    <row r="260" ht="22.5" customHeight="1">
      <c r="A260" s="22"/>
      <c r="B260" s="129" t="s">
        <v>328</v>
      </c>
      <c r="C260" s="115">
        <v>3.8549E7</v>
      </c>
      <c r="D260" s="110"/>
      <c r="E260" s="22"/>
      <c r="G260" s="18"/>
      <c r="H260" s="56"/>
      <c r="J260" s="18"/>
      <c r="K260" s="108"/>
      <c r="L260" s="109"/>
    </row>
    <row r="261" ht="22.5" customHeight="1">
      <c r="A261" s="102" t="s">
        <v>75</v>
      </c>
      <c r="B261" s="56" t="s">
        <v>51</v>
      </c>
      <c r="C261" s="115"/>
      <c r="D261" s="110"/>
      <c r="E261" s="104">
        <v>0.0</v>
      </c>
      <c r="G261" s="22"/>
      <c r="H261" s="56"/>
      <c r="J261" s="18"/>
      <c r="K261" s="108" t="s">
        <v>76</v>
      </c>
      <c r="L261" s="112">
        <v>2.9435E7</v>
      </c>
    </row>
    <row r="262" ht="22.5" customHeight="1">
      <c r="A262" s="18"/>
      <c r="B262" s="56" t="s">
        <v>53</v>
      </c>
      <c r="C262" s="115">
        <v>5.17115E7</v>
      </c>
      <c r="D262" s="110" t="s">
        <v>7</v>
      </c>
      <c r="E262" s="18"/>
      <c r="J262" s="18"/>
      <c r="K262" s="108" t="s">
        <v>77</v>
      </c>
      <c r="L262" s="112">
        <v>3.428E7</v>
      </c>
    </row>
    <row r="263" ht="22.5" customHeight="1">
      <c r="A263" s="18"/>
      <c r="B263" s="56" t="s">
        <v>55</v>
      </c>
      <c r="C263" s="115"/>
      <c r="D263" s="110"/>
      <c r="E263" s="18"/>
      <c r="J263" s="22"/>
      <c r="K263" s="108" t="s">
        <v>78</v>
      </c>
      <c r="L263" s="113">
        <f>sum(L256:L262)</f>
        <v>216533700</v>
      </c>
    </row>
    <row r="264" ht="22.5" customHeight="1">
      <c r="A264" s="18"/>
      <c r="B264" s="56" t="s">
        <v>57</v>
      </c>
      <c r="C264" s="115">
        <v>2.50735E7</v>
      </c>
      <c r="D264" s="110" t="s">
        <v>7</v>
      </c>
      <c r="E264" s="18"/>
      <c r="H264" s="20"/>
    </row>
    <row r="265" ht="22.5" customHeight="1">
      <c r="A265" s="22"/>
      <c r="B265" s="129" t="s">
        <v>328</v>
      </c>
      <c r="C265" s="115">
        <v>2.9021E7</v>
      </c>
      <c r="D265" s="110" t="s">
        <v>7</v>
      </c>
      <c r="E265" s="22"/>
      <c r="H265" s="20"/>
    </row>
    <row r="266" ht="22.5" customHeight="1">
      <c r="A266" s="102" t="s">
        <v>79</v>
      </c>
      <c r="B266" s="244" t="s">
        <v>329</v>
      </c>
      <c r="C266" s="238">
        <v>1.31115E7</v>
      </c>
      <c r="D266" s="115" t="s">
        <v>7</v>
      </c>
      <c r="E266" s="222">
        <v>0.0</v>
      </c>
    </row>
    <row r="267" ht="22.5" customHeight="1">
      <c r="A267" s="18"/>
      <c r="B267" s="56" t="s">
        <v>51</v>
      </c>
      <c r="C267" s="115">
        <v>6.9311E7</v>
      </c>
      <c r="D267" s="115" t="s">
        <v>7</v>
      </c>
      <c r="E267" s="18"/>
    </row>
    <row r="268" ht="22.5" customHeight="1">
      <c r="A268" s="18"/>
      <c r="B268" s="56" t="s">
        <v>53</v>
      </c>
      <c r="C268" s="115"/>
      <c r="D268" s="48"/>
      <c r="E268" s="18"/>
      <c r="G268" s="114"/>
      <c r="H268" s="116" t="s">
        <v>6</v>
      </c>
      <c r="I268" s="117">
        <f>C272</f>
        <v>128089000</v>
      </c>
    </row>
    <row r="269" ht="22.5" customHeight="1">
      <c r="A269" s="18"/>
      <c r="B269" s="56" t="s">
        <v>55</v>
      </c>
      <c r="C269" s="343">
        <v>3.68955E7</v>
      </c>
      <c r="D269" s="344" t="s">
        <v>7</v>
      </c>
      <c r="E269" s="18"/>
      <c r="G269" s="18"/>
      <c r="H269" s="116"/>
      <c r="I269" s="117"/>
    </row>
    <row r="270" ht="22.5" customHeight="1">
      <c r="A270" s="18"/>
      <c r="B270" s="56" t="s">
        <v>57</v>
      </c>
      <c r="C270" s="343">
        <v>1895000.0</v>
      </c>
      <c r="D270" s="115" t="s">
        <v>7</v>
      </c>
      <c r="E270" s="18"/>
      <c r="G270" s="18"/>
      <c r="H270" s="116"/>
      <c r="I270" s="117"/>
    </row>
    <row r="271" ht="22.5" customHeight="1">
      <c r="A271" s="22"/>
      <c r="B271" s="129" t="s">
        <v>330</v>
      </c>
      <c r="C271" s="343">
        <v>5.1626E7</v>
      </c>
      <c r="D271" s="115" t="s">
        <v>7</v>
      </c>
      <c r="E271" s="22"/>
      <c r="G271" s="18"/>
      <c r="H271" s="116"/>
      <c r="I271" s="117"/>
    </row>
    <row r="272" ht="22.5" customHeight="1">
      <c r="A272" s="102" t="s">
        <v>80</v>
      </c>
      <c r="B272" s="230" t="s">
        <v>329</v>
      </c>
      <c r="C272" s="231">
        <v>1.28089E8</v>
      </c>
      <c r="D272" s="115" t="s">
        <v>7</v>
      </c>
      <c r="E272" s="111">
        <v>0.0</v>
      </c>
      <c r="G272" s="18"/>
      <c r="H272" s="56" t="s">
        <v>66</v>
      </c>
      <c r="I272" s="48">
        <v>6.4686E7</v>
      </c>
      <c r="J272" s="103" t="s">
        <v>82</v>
      </c>
      <c r="K272" s="23" t="s">
        <v>83</v>
      </c>
      <c r="L272" s="118">
        <v>4.7254E7</v>
      </c>
    </row>
    <row r="273" ht="22.5" customHeight="1">
      <c r="A273" s="18"/>
      <c r="B273" s="56" t="s">
        <v>53</v>
      </c>
      <c r="C273" s="115">
        <v>8500000.0</v>
      </c>
      <c r="D273" s="115" t="s">
        <v>7</v>
      </c>
      <c r="E273" s="18"/>
      <c r="G273" s="18"/>
      <c r="H273" s="56" t="s">
        <v>17</v>
      </c>
      <c r="I273" s="101">
        <v>5.4141E7</v>
      </c>
      <c r="J273" s="18"/>
      <c r="K273" s="23"/>
      <c r="L273" s="118"/>
    </row>
    <row r="274" ht="22.5" customHeight="1">
      <c r="A274" s="18"/>
      <c r="B274" s="56" t="s">
        <v>55</v>
      </c>
      <c r="C274" s="119">
        <v>2.522E7</v>
      </c>
      <c r="D274" s="115" t="s">
        <v>7</v>
      </c>
      <c r="E274" s="18"/>
      <c r="G274" s="18"/>
      <c r="H274" s="56" t="s">
        <v>69</v>
      </c>
      <c r="I274" s="99">
        <f>sum(I267:I273)</f>
        <v>246916000</v>
      </c>
      <c r="J274" s="18"/>
      <c r="K274" s="23" t="s">
        <v>84</v>
      </c>
      <c r="L274" s="48">
        <v>3.8867E7</v>
      </c>
    </row>
    <row r="275" ht="22.5" customHeight="1">
      <c r="A275" s="18"/>
      <c r="B275" s="56" t="s">
        <v>57</v>
      </c>
      <c r="C275" s="119">
        <v>2.786E7</v>
      </c>
      <c r="D275" s="115" t="s">
        <v>7</v>
      </c>
      <c r="E275" s="18"/>
      <c r="J275" s="18"/>
      <c r="K275" s="56" t="s">
        <v>85</v>
      </c>
      <c r="L275" s="48">
        <v>4.1088E7</v>
      </c>
    </row>
    <row r="276" ht="22.5" customHeight="1">
      <c r="A276" s="22"/>
      <c r="B276" s="129" t="s">
        <v>330</v>
      </c>
      <c r="C276" s="119">
        <v>2.2596E7</v>
      </c>
      <c r="D276" s="115" t="s">
        <v>7</v>
      </c>
      <c r="E276" s="22"/>
      <c r="J276" s="18"/>
      <c r="K276" s="56"/>
      <c r="L276" s="48"/>
    </row>
    <row r="277" ht="22.5" customHeight="1">
      <c r="A277" s="102" t="s">
        <v>86</v>
      </c>
      <c r="B277" s="129" t="s">
        <v>51</v>
      </c>
      <c r="C277" s="115"/>
      <c r="D277" s="110"/>
      <c r="E277" s="111">
        <v>0.0</v>
      </c>
      <c r="J277" s="18"/>
      <c r="K277" s="30"/>
      <c r="L277" s="24"/>
    </row>
    <row r="278" ht="22.5" customHeight="1">
      <c r="A278" s="18"/>
      <c r="B278" s="56" t="s">
        <v>53</v>
      </c>
      <c r="C278" s="115">
        <v>5.689E7</v>
      </c>
      <c r="D278" s="110" t="s">
        <v>7</v>
      </c>
      <c r="E278" s="18"/>
      <c r="J278" s="18"/>
      <c r="K278" s="30"/>
      <c r="L278" s="24"/>
    </row>
    <row r="279" ht="22.5" customHeight="1">
      <c r="A279" s="18"/>
      <c r="B279" s="56" t="s">
        <v>55</v>
      </c>
      <c r="C279" s="115">
        <v>3570000.0</v>
      </c>
      <c r="D279" s="110" t="s">
        <v>7</v>
      </c>
      <c r="E279" s="18"/>
      <c r="J279" s="18"/>
      <c r="K279" s="30" t="s">
        <v>81</v>
      </c>
      <c r="L279" s="24">
        <v>3.38955E7</v>
      </c>
    </row>
    <row r="280" ht="22.5" customHeight="1">
      <c r="A280" s="18"/>
      <c r="B280" s="56" t="s">
        <v>57</v>
      </c>
      <c r="C280" s="119">
        <v>4.10735E7</v>
      </c>
      <c r="D280" s="110" t="s">
        <v>7</v>
      </c>
      <c r="E280" s="18"/>
      <c r="J280" s="18"/>
      <c r="K280" s="56" t="s">
        <v>51</v>
      </c>
      <c r="L280" s="48">
        <f>10465000</f>
        <v>10465000</v>
      </c>
    </row>
    <row r="281" ht="22.5" customHeight="1">
      <c r="A281" s="22"/>
      <c r="B281" s="129" t="s">
        <v>330</v>
      </c>
      <c r="C281" s="119">
        <v>4.9548E7</v>
      </c>
      <c r="D281" s="110" t="s">
        <v>7</v>
      </c>
      <c r="E281" s="22"/>
      <c r="J281" s="18"/>
      <c r="K281" s="56"/>
      <c r="L281" s="48"/>
    </row>
    <row r="282" ht="22.5" customHeight="1">
      <c r="A282" s="102" t="s">
        <v>87</v>
      </c>
      <c r="B282" s="56" t="s">
        <v>51</v>
      </c>
      <c r="C282" s="115">
        <v>1.530385E8</v>
      </c>
      <c r="D282" s="110" t="s">
        <v>7</v>
      </c>
      <c r="E282" s="111">
        <f>C284+C285+C286</f>
        <v>83186150</v>
      </c>
      <c r="J282" s="18"/>
      <c r="K282" s="30" t="s">
        <v>88</v>
      </c>
      <c r="L282" s="24">
        <v>5718000.0</v>
      </c>
    </row>
    <row r="283" ht="22.5" customHeight="1">
      <c r="A283" s="18"/>
      <c r="B283" s="56" t="s">
        <v>53</v>
      </c>
      <c r="C283" s="119"/>
      <c r="D283" s="24"/>
      <c r="E283" s="18"/>
      <c r="J283" s="18"/>
      <c r="K283" s="30"/>
      <c r="L283" s="24"/>
    </row>
    <row r="284" ht="22.5" customHeight="1">
      <c r="A284" s="18"/>
      <c r="B284" s="56" t="s">
        <v>55</v>
      </c>
      <c r="C284" s="119">
        <v>3.56105E7</v>
      </c>
      <c r="D284" s="19"/>
      <c r="E284" s="18"/>
      <c r="J284" s="18"/>
      <c r="K284" s="30" t="s">
        <v>89</v>
      </c>
      <c r="L284" s="24">
        <v>5970000.0</v>
      </c>
    </row>
    <row r="285" ht="22.5" customHeight="1">
      <c r="A285" s="18"/>
      <c r="B285" s="56" t="s">
        <v>57</v>
      </c>
      <c r="C285" s="119">
        <v>2.830865E7</v>
      </c>
      <c r="D285" s="19"/>
      <c r="E285" s="18"/>
      <c r="J285" s="22"/>
      <c r="K285" s="30" t="s">
        <v>78</v>
      </c>
      <c r="L285" s="99">
        <f>SUM(L272:L284)</f>
        <v>183257500</v>
      </c>
    </row>
    <row r="286" ht="22.5" customHeight="1">
      <c r="A286" s="22"/>
      <c r="B286" s="129" t="s">
        <v>330</v>
      </c>
      <c r="C286" s="119">
        <v>1.9267E7</v>
      </c>
      <c r="D286" s="19"/>
      <c r="E286" s="22"/>
      <c r="J286" s="218"/>
      <c r="K286" s="53"/>
      <c r="L286" s="234"/>
    </row>
    <row r="287" ht="22.5" customHeight="1">
      <c r="A287" s="102" t="s">
        <v>90</v>
      </c>
      <c r="B287" s="56" t="s">
        <v>51</v>
      </c>
      <c r="C287" s="48"/>
      <c r="D287" s="19"/>
      <c r="E287" s="104">
        <v>0.0</v>
      </c>
    </row>
    <row r="288" ht="22.5" customHeight="1">
      <c r="A288" s="18"/>
      <c r="B288" s="56" t="s">
        <v>53</v>
      </c>
      <c r="C288" s="115">
        <v>2.0685E7</v>
      </c>
      <c r="D288" s="110" t="s">
        <v>7</v>
      </c>
      <c r="E288" s="18"/>
    </row>
    <row r="289" ht="22.5" customHeight="1">
      <c r="A289" s="18"/>
      <c r="B289" s="56" t="s">
        <v>55</v>
      </c>
      <c r="C289" s="115"/>
      <c r="D289" s="110"/>
      <c r="E289" s="18"/>
    </row>
    <row r="290" ht="22.5" customHeight="1">
      <c r="A290" s="18"/>
      <c r="B290" s="56" t="s">
        <v>57</v>
      </c>
      <c r="C290" s="119">
        <v>2.2189E7</v>
      </c>
      <c r="D290" s="110" t="s">
        <v>7</v>
      </c>
      <c r="E290" s="18"/>
    </row>
    <row r="291" ht="22.5" customHeight="1">
      <c r="A291" s="22"/>
      <c r="B291" s="129" t="s">
        <v>330</v>
      </c>
      <c r="C291" s="119">
        <v>2.85685E7</v>
      </c>
      <c r="D291" s="110" t="s">
        <v>7</v>
      </c>
      <c r="E291" s="22"/>
    </row>
    <row r="292" ht="22.5" customHeight="1">
      <c r="A292" s="102" t="s">
        <v>91</v>
      </c>
      <c r="B292" s="56" t="s">
        <v>51</v>
      </c>
      <c r="C292" s="115"/>
      <c r="D292" s="19"/>
      <c r="E292" s="104">
        <f>C294+C295+C296</f>
        <v>70054600</v>
      </c>
    </row>
    <row r="293" ht="22.5" customHeight="1">
      <c r="A293" s="18"/>
      <c r="B293" s="56" t="s">
        <v>53</v>
      </c>
      <c r="C293" s="115"/>
      <c r="D293" s="19"/>
      <c r="E293" s="18"/>
    </row>
    <row r="294" ht="22.5" customHeight="1">
      <c r="A294" s="18"/>
      <c r="B294" s="56" t="s">
        <v>55</v>
      </c>
      <c r="C294" s="115">
        <v>1.68161E7</v>
      </c>
      <c r="D294" s="19"/>
      <c r="E294" s="18"/>
    </row>
    <row r="295" ht="22.5" customHeight="1">
      <c r="A295" s="18"/>
      <c r="B295" s="56" t="s">
        <v>57</v>
      </c>
      <c r="C295" s="115">
        <v>2.7237E7</v>
      </c>
      <c r="D295" s="48"/>
      <c r="E295" s="18"/>
    </row>
    <row r="296" ht="22.5" customHeight="1">
      <c r="A296" s="22"/>
      <c r="B296" s="129" t="s">
        <v>330</v>
      </c>
      <c r="C296" s="115">
        <v>2.60015E7</v>
      </c>
      <c r="D296" s="48"/>
      <c r="E296" s="22"/>
    </row>
    <row r="297" ht="22.5" customHeight="1">
      <c r="A297" s="102" t="s">
        <v>93</v>
      </c>
      <c r="B297" s="244" t="s">
        <v>329</v>
      </c>
      <c r="C297" s="238">
        <v>9.9414E7</v>
      </c>
      <c r="D297" s="19"/>
      <c r="E297" s="345">
        <f>C297+C299+C301</f>
        <v>153447000</v>
      </c>
    </row>
    <row r="298" ht="22.5" customHeight="1">
      <c r="A298" s="18"/>
      <c r="B298" s="56" t="s">
        <v>51</v>
      </c>
      <c r="C298" s="115"/>
      <c r="D298" s="19"/>
      <c r="E298" s="18"/>
    </row>
    <row r="299" ht="22.5" customHeight="1">
      <c r="A299" s="18"/>
      <c r="B299" s="56" t="s">
        <v>53</v>
      </c>
      <c r="C299" s="115">
        <v>2.2653E7</v>
      </c>
      <c r="D299" s="19"/>
      <c r="E299" s="18"/>
    </row>
    <row r="300" ht="22.5" customHeight="1">
      <c r="A300" s="18"/>
      <c r="B300" s="56" t="s">
        <v>55</v>
      </c>
      <c r="C300" s="115"/>
      <c r="D300" s="19"/>
      <c r="E300" s="18"/>
      <c r="I300" s="346"/>
    </row>
    <row r="301" ht="22.5" customHeight="1">
      <c r="A301" s="22"/>
      <c r="B301" s="56" t="s">
        <v>57</v>
      </c>
      <c r="C301" s="115">
        <v>3.138E7</v>
      </c>
      <c r="D301" s="19"/>
      <c r="E301" s="22"/>
      <c r="I301" s="346"/>
    </row>
    <row r="302" ht="22.5" customHeight="1">
      <c r="A302" s="128" t="s">
        <v>96</v>
      </c>
      <c r="B302" s="56" t="s">
        <v>51</v>
      </c>
      <c r="C302" s="115">
        <v>5290000.0</v>
      </c>
      <c r="D302" s="115" t="s">
        <v>7</v>
      </c>
      <c r="E302" s="96">
        <f>SUM(C302:C305)</f>
        <v>51361000</v>
      </c>
      <c r="I302" s="346"/>
    </row>
    <row r="303" ht="22.5" customHeight="1">
      <c r="A303" s="18"/>
      <c r="B303" s="56" t="s">
        <v>53</v>
      </c>
      <c r="C303" s="115">
        <v>0.0</v>
      </c>
      <c r="D303" s="115" t="s">
        <v>7</v>
      </c>
      <c r="E303" s="18"/>
      <c r="I303" s="346"/>
    </row>
    <row r="304" ht="22.5" customHeight="1">
      <c r="A304" s="18"/>
      <c r="B304" s="56" t="s">
        <v>55</v>
      </c>
      <c r="C304" s="115">
        <v>2.86975E7</v>
      </c>
      <c r="D304" s="115" t="s">
        <v>7</v>
      </c>
      <c r="E304" s="18"/>
      <c r="I304" s="346"/>
    </row>
    <row r="305" ht="22.5" customHeight="1">
      <c r="A305" s="22"/>
      <c r="B305" s="56" t="s">
        <v>57</v>
      </c>
      <c r="C305" s="115">
        <v>1.73735E7</v>
      </c>
      <c r="D305" s="115" t="s">
        <v>7</v>
      </c>
      <c r="E305" s="22"/>
      <c r="I305" s="346"/>
    </row>
    <row r="306" ht="22.5" customHeight="1">
      <c r="A306" s="128" t="s">
        <v>100</v>
      </c>
      <c r="B306" s="157"/>
      <c r="C306" s="157"/>
      <c r="D306" s="19"/>
      <c r="E306" s="100"/>
    </row>
    <row r="307" ht="22.5" customHeight="1">
      <c r="A307" s="18"/>
      <c r="B307" s="157"/>
      <c r="C307" s="157"/>
      <c r="D307" s="19"/>
      <c r="E307" s="18"/>
    </row>
    <row r="308" ht="22.5" customHeight="1">
      <c r="A308" s="18"/>
      <c r="B308" s="347"/>
      <c r="C308" s="115"/>
      <c r="D308" s="19"/>
      <c r="E308" s="18"/>
    </row>
    <row r="309" ht="22.5" customHeight="1">
      <c r="A309" s="18"/>
      <c r="B309" s="347" t="s">
        <v>331</v>
      </c>
      <c r="C309" s="115"/>
      <c r="D309" s="19"/>
      <c r="E309" s="18"/>
    </row>
    <row r="310" ht="22.5" customHeight="1">
      <c r="A310" s="18"/>
      <c r="B310" s="347"/>
      <c r="C310" s="115"/>
      <c r="D310" s="19"/>
      <c r="E310" s="18"/>
      <c r="F310" s="134" t="s">
        <v>332</v>
      </c>
    </row>
    <row r="311" ht="22.5" customHeight="1">
      <c r="A311" s="18"/>
      <c r="B311" s="347" t="s">
        <v>333</v>
      </c>
      <c r="C311" s="115">
        <v>5400000.0</v>
      </c>
      <c r="D311" s="19"/>
      <c r="E311" s="18"/>
    </row>
    <row r="312" ht="22.5" customHeight="1">
      <c r="A312" s="18"/>
      <c r="B312" s="347" t="s">
        <v>334</v>
      </c>
      <c r="C312" s="115">
        <v>4.36896E7</v>
      </c>
      <c r="D312" s="19"/>
      <c r="E312" s="18"/>
    </row>
    <row r="313" ht="22.5" customHeight="1">
      <c r="A313" s="18"/>
      <c r="B313" s="348" t="s">
        <v>335</v>
      </c>
      <c r="C313" s="119">
        <v>7.4584E7</v>
      </c>
      <c r="D313" s="19"/>
      <c r="E313" s="345"/>
    </row>
    <row r="314" ht="22.5" customHeight="1">
      <c r="A314" s="18"/>
      <c r="B314" s="348" t="s">
        <v>336</v>
      </c>
      <c r="C314" s="119">
        <v>9900000.0</v>
      </c>
      <c r="D314" s="19"/>
      <c r="E314" s="132" t="str">
        <f>#REF!+C313</f>
        <v>#REF!</v>
      </c>
    </row>
    <row r="315" ht="22.5" customHeight="1">
      <c r="A315" s="18"/>
      <c r="B315" s="348" t="s">
        <v>337</v>
      </c>
      <c r="C315" s="119">
        <v>8.9555E7</v>
      </c>
      <c r="D315" s="19"/>
      <c r="E315" s="18"/>
    </row>
    <row r="316" ht="22.5" customHeight="1">
      <c r="A316" s="22"/>
      <c r="B316" s="124" t="s">
        <v>99</v>
      </c>
      <c r="C316" s="51">
        <f>SUM(C308:C315)</f>
        <v>223128600</v>
      </c>
      <c r="D316" s="19"/>
      <c r="E316" s="242"/>
    </row>
    <row r="317" ht="22.5" customHeight="1">
      <c r="A317" s="128" t="s">
        <v>101</v>
      </c>
      <c r="B317" s="56" t="s">
        <v>51</v>
      </c>
      <c r="C317" s="115">
        <v>0.0</v>
      </c>
      <c r="D317" s="115"/>
      <c r="E317" s="96">
        <f>SUM(C317:C320)</f>
        <v>79567800</v>
      </c>
    </row>
    <row r="318" ht="22.5" customHeight="1">
      <c r="A318" s="18"/>
      <c r="B318" s="56" t="s">
        <v>53</v>
      </c>
      <c r="C318" s="115">
        <v>3.62958E7</v>
      </c>
      <c r="D318" s="115"/>
      <c r="E318" s="18"/>
      <c r="I318" s="131">
        <f>100000000-I319</f>
        <v>100000000</v>
      </c>
    </row>
    <row r="319" ht="22.5" customHeight="1">
      <c r="A319" s="18"/>
      <c r="B319" s="56" t="s">
        <v>55</v>
      </c>
      <c r="C319" s="115">
        <v>2.2119E7</v>
      </c>
      <c r="D319" s="115"/>
      <c r="E319" s="18"/>
      <c r="G319" s="103" t="s">
        <v>108</v>
      </c>
      <c r="H319" s="244"/>
      <c r="I319" s="238"/>
    </row>
    <row r="320" ht="22.5" customHeight="1">
      <c r="A320" s="22"/>
      <c r="B320" s="56" t="s">
        <v>57</v>
      </c>
      <c r="C320" s="119">
        <v>2.1153E7</v>
      </c>
      <c r="D320" s="115"/>
      <c r="E320" s="18"/>
      <c r="G320" s="18"/>
      <c r="H320" s="239" t="s">
        <v>239</v>
      </c>
      <c r="I320" s="238">
        <f>84025000-62479600</f>
        <v>21545400</v>
      </c>
    </row>
    <row r="321" ht="22.5" customHeight="1">
      <c r="A321" s="128" t="s">
        <v>107</v>
      </c>
      <c r="B321" s="129" t="s">
        <v>249</v>
      </c>
      <c r="C321" s="115">
        <v>1.178E7</v>
      </c>
      <c r="D321" s="115" t="s">
        <v>7</v>
      </c>
      <c r="E321" s="111">
        <f>C325</f>
        <v>48680000</v>
      </c>
      <c r="G321" s="18"/>
      <c r="H321" s="129" t="s">
        <v>315</v>
      </c>
      <c r="I321" s="115">
        <v>1.3331E7</v>
      </c>
    </row>
    <row r="322" ht="22.5" customHeight="1">
      <c r="A322" s="18"/>
      <c r="B322" s="56" t="s">
        <v>51</v>
      </c>
      <c r="C322" s="115">
        <v>1.239E7</v>
      </c>
      <c r="D322" s="115" t="s">
        <v>7</v>
      </c>
      <c r="E322" s="18"/>
      <c r="G322" s="18"/>
      <c r="H322" s="129" t="s">
        <v>314</v>
      </c>
      <c r="I322" s="115">
        <v>6493000.0</v>
      </c>
    </row>
    <row r="323" ht="22.5" customHeight="1">
      <c r="A323" s="18"/>
      <c r="B323" s="56" t="s">
        <v>53</v>
      </c>
      <c r="C323" s="115">
        <v>0.0</v>
      </c>
      <c r="D323" s="115" t="s">
        <v>7</v>
      </c>
      <c r="E323" s="18"/>
      <c r="F323" s="134" t="s">
        <v>338</v>
      </c>
      <c r="G323" s="18"/>
      <c r="H323" s="129" t="s">
        <v>312</v>
      </c>
      <c r="I323" s="115">
        <v>2.8756E7</v>
      </c>
    </row>
    <row r="324" ht="22.5" customHeight="1">
      <c r="A324" s="18"/>
      <c r="B324" s="56" t="s">
        <v>55</v>
      </c>
      <c r="C324" s="115">
        <v>5.1389E7</v>
      </c>
      <c r="D324" s="115" t="s">
        <v>7</v>
      </c>
      <c r="E324" s="18"/>
      <c r="G324" s="18"/>
      <c r="H324" s="129" t="s">
        <v>313</v>
      </c>
      <c r="I324" s="115">
        <v>1.74388E7</v>
      </c>
    </row>
    <row r="325" ht="22.5" customHeight="1">
      <c r="A325" s="22"/>
      <c r="B325" s="56" t="s">
        <v>57</v>
      </c>
      <c r="C325" s="115">
        <v>4.868E7</v>
      </c>
      <c r="D325" s="115"/>
      <c r="E325" s="18"/>
      <c r="G325" s="18"/>
      <c r="H325" s="56" t="s">
        <v>99</v>
      </c>
      <c r="I325" s="122">
        <f>SUM(I320:I324)</f>
        <v>87564200</v>
      </c>
    </row>
    <row r="326" ht="22.5" customHeight="1">
      <c r="A326" s="128" t="s">
        <v>108</v>
      </c>
      <c r="B326" s="56" t="s">
        <v>51</v>
      </c>
      <c r="C326" s="115">
        <v>1.3331E7</v>
      </c>
      <c r="D326" s="48"/>
      <c r="E326" s="96">
        <f>SUM(C326:C329)</f>
        <v>67518800</v>
      </c>
    </row>
    <row r="327" ht="22.5" customHeight="1">
      <c r="A327" s="18"/>
      <c r="B327" s="56" t="s">
        <v>53</v>
      </c>
      <c r="C327" s="115">
        <v>6493000.0</v>
      </c>
      <c r="D327" s="48"/>
      <c r="E327" s="18"/>
    </row>
    <row r="328" ht="22.5" customHeight="1">
      <c r="A328" s="18"/>
      <c r="B328" s="56" t="s">
        <v>55</v>
      </c>
      <c r="C328" s="115">
        <v>2.8756E7</v>
      </c>
      <c r="D328" s="48"/>
      <c r="E328" s="18"/>
      <c r="F328" s="134" t="s">
        <v>339</v>
      </c>
    </row>
    <row r="329" ht="22.5" customHeight="1">
      <c r="A329" s="22"/>
      <c r="B329" s="56" t="s">
        <v>57</v>
      </c>
      <c r="C329" s="115">
        <v>1.89388E7</v>
      </c>
      <c r="D329" s="48"/>
      <c r="E329" s="18"/>
    </row>
    <row r="330" ht="22.5" customHeight="1">
      <c r="A330" s="128" t="s">
        <v>110</v>
      </c>
      <c r="B330" s="56" t="s">
        <v>51</v>
      </c>
      <c r="C330" s="119">
        <v>3.981E7</v>
      </c>
      <c r="D330" s="115" t="s">
        <v>7</v>
      </c>
      <c r="E330" s="96">
        <f>C331+C332</f>
        <v>206932000</v>
      </c>
    </row>
    <row r="331" ht="22.5" customHeight="1">
      <c r="A331" s="18"/>
      <c r="B331" s="56" t="s">
        <v>53</v>
      </c>
      <c r="C331" s="115">
        <v>1.43814E8</v>
      </c>
      <c r="D331" s="115"/>
      <c r="E331" s="18"/>
    </row>
    <row r="332" ht="22.5" customHeight="1">
      <c r="A332" s="18"/>
      <c r="B332" s="56" t="s">
        <v>55</v>
      </c>
      <c r="C332" s="115">
        <v>6.3118E7</v>
      </c>
      <c r="D332" s="115"/>
      <c r="E332" s="18"/>
    </row>
    <row r="333" ht="22.5" customHeight="1">
      <c r="A333" s="22"/>
      <c r="B333" s="56" t="s">
        <v>57</v>
      </c>
      <c r="C333" s="115">
        <v>0.0</v>
      </c>
      <c r="D333" s="48"/>
      <c r="E333" s="18"/>
    </row>
    <row r="334" ht="22.5" customHeight="1">
      <c r="A334" s="128" t="s">
        <v>112</v>
      </c>
      <c r="B334" s="129" t="s">
        <v>340</v>
      </c>
      <c r="C334" s="115">
        <v>1.01E7</v>
      </c>
      <c r="D334" s="115" t="s">
        <v>7</v>
      </c>
      <c r="E334" s="111">
        <v>0.0</v>
      </c>
    </row>
    <row r="335" ht="22.5" customHeight="1">
      <c r="A335" s="18"/>
      <c r="B335" s="56" t="s">
        <v>51</v>
      </c>
      <c r="C335" s="115">
        <v>6.8268E7</v>
      </c>
      <c r="D335" s="115" t="s">
        <v>7</v>
      </c>
      <c r="E335" s="18"/>
    </row>
    <row r="336" ht="22.5" customHeight="1">
      <c r="A336" s="18"/>
      <c r="B336" s="56" t="s">
        <v>53</v>
      </c>
      <c r="C336" s="115">
        <v>0.0</v>
      </c>
      <c r="D336" s="115" t="s">
        <v>7</v>
      </c>
      <c r="E336" s="18"/>
    </row>
    <row r="337" ht="22.5" customHeight="1">
      <c r="A337" s="18"/>
      <c r="B337" s="56" t="s">
        <v>55</v>
      </c>
      <c r="C337" s="115">
        <v>5.8989E7</v>
      </c>
      <c r="D337" s="115" t="s">
        <v>7</v>
      </c>
      <c r="E337" s="18"/>
    </row>
    <row r="338" ht="22.5" customHeight="1">
      <c r="A338" s="22"/>
      <c r="B338" s="56" t="s">
        <v>57</v>
      </c>
      <c r="C338" s="115">
        <v>2.93665E7</v>
      </c>
      <c r="D338" s="115"/>
      <c r="E338" s="22"/>
    </row>
    <row r="339" ht="22.5" customHeight="1">
      <c r="A339" s="128" t="s">
        <v>115</v>
      </c>
      <c r="B339" s="56" t="s">
        <v>51</v>
      </c>
      <c r="C339" s="119">
        <v>1.6635E7</v>
      </c>
      <c r="D339" s="115" t="s">
        <v>7</v>
      </c>
      <c r="E339" s="96">
        <f>C341+C342</f>
        <v>57438000</v>
      </c>
    </row>
    <row r="340" ht="22.5" customHeight="1">
      <c r="A340" s="18"/>
      <c r="B340" s="56" t="s">
        <v>53</v>
      </c>
      <c r="C340" s="115">
        <v>3030000.0</v>
      </c>
      <c r="D340" s="115" t="s">
        <v>7</v>
      </c>
      <c r="E340" s="18"/>
    </row>
    <row r="341" ht="22.5" customHeight="1">
      <c r="A341" s="18"/>
      <c r="B341" s="56" t="s">
        <v>55</v>
      </c>
      <c r="C341" s="115">
        <v>3.0235E7</v>
      </c>
      <c r="D341" s="48"/>
      <c r="E341" s="18"/>
    </row>
    <row r="342" ht="22.5" customHeight="1">
      <c r="A342" s="22"/>
      <c r="B342" s="56" t="s">
        <v>57</v>
      </c>
      <c r="C342" s="115">
        <v>2.7203E7</v>
      </c>
      <c r="D342" s="48"/>
      <c r="E342" s="22"/>
      <c r="J342" s="20"/>
    </row>
    <row r="343" ht="22.5" customHeight="1">
      <c r="A343" s="128" t="s">
        <v>116</v>
      </c>
      <c r="B343" s="56" t="s">
        <v>51</v>
      </c>
      <c r="C343" s="115">
        <v>9.6624E7</v>
      </c>
      <c r="D343" s="115" t="s">
        <v>7</v>
      </c>
      <c r="E343" s="111">
        <v>0.0</v>
      </c>
      <c r="J343" s="20"/>
    </row>
    <row r="344" ht="22.5" customHeight="1">
      <c r="A344" s="18"/>
      <c r="B344" s="56" t="s">
        <v>53</v>
      </c>
      <c r="C344" s="115">
        <v>3.2917E7</v>
      </c>
      <c r="D344" s="115" t="s">
        <v>7</v>
      </c>
      <c r="E344" s="18"/>
    </row>
    <row r="345" ht="22.5" customHeight="1">
      <c r="A345" s="18"/>
      <c r="B345" s="56" t="s">
        <v>55</v>
      </c>
      <c r="C345" s="119">
        <v>6.0378E7</v>
      </c>
      <c r="D345" s="115" t="s">
        <v>7</v>
      </c>
      <c r="E345" s="18"/>
    </row>
    <row r="346" ht="22.5" customHeight="1">
      <c r="A346" s="22"/>
      <c r="B346" s="56" t="s">
        <v>57</v>
      </c>
      <c r="C346" s="119">
        <v>5.0101E7</v>
      </c>
      <c r="D346" s="115" t="s">
        <v>7</v>
      </c>
      <c r="E346" s="18"/>
      <c r="J346" s="20"/>
    </row>
    <row r="347" ht="22.5" customHeight="1">
      <c r="A347" s="128" t="s">
        <v>117</v>
      </c>
      <c r="B347" s="56" t="s">
        <v>51</v>
      </c>
      <c r="C347" s="115">
        <v>900000.0</v>
      </c>
      <c r="D347" s="115" t="s">
        <v>7</v>
      </c>
      <c r="E347" s="111">
        <v>0.0</v>
      </c>
    </row>
    <row r="348" ht="22.5" customHeight="1">
      <c r="A348" s="18"/>
      <c r="B348" s="56" t="s">
        <v>53</v>
      </c>
      <c r="C348" s="115">
        <v>1.5047E7</v>
      </c>
      <c r="D348" s="115" t="s">
        <v>7</v>
      </c>
      <c r="E348" s="18"/>
    </row>
    <row r="349" ht="22.5" customHeight="1">
      <c r="A349" s="18"/>
      <c r="B349" s="56" t="s">
        <v>55</v>
      </c>
      <c r="C349" s="115">
        <v>3.8439E7</v>
      </c>
      <c r="D349" s="115" t="s">
        <v>7</v>
      </c>
      <c r="E349" s="18"/>
    </row>
    <row r="350" ht="22.5" customHeight="1">
      <c r="A350" s="22"/>
      <c r="B350" s="56" t="s">
        <v>57</v>
      </c>
      <c r="C350" s="119">
        <v>1.7426E7</v>
      </c>
      <c r="D350" s="115" t="s">
        <v>7</v>
      </c>
      <c r="E350" s="18"/>
    </row>
    <row r="351" ht="22.5" customHeight="1">
      <c r="A351" s="128" t="s">
        <v>118</v>
      </c>
      <c r="B351" s="56" t="s">
        <v>51</v>
      </c>
      <c r="C351" s="115">
        <v>6.6906E7</v>
      </c>
      <c r="D351" s="115" t="s">
        <v>7</v>
      </c>
      <c r="E351" s="111">
        <v>0.0</v>
      </c>
    </row>
    <row r="352" ht="22.5" customHeight="1">
      <c r="A352" s="18"/>
      <c r="B352" s="56" t="s">
        <v>53</v>
      </c>
      <c r="C352" s="115">
        <v>1936000.0</v>
      </c>
      <c r="D352" s="115" t="s">
        <v>7</v>
      </c>
      <c r="E352" s="18"/>
    </row>
    <row r="353" ht="22.5" customHeight="1">
      <c r="A353" s="18"/>
      <c r="B353" s="56" t="s">
        <v>55</v>
      </c>
      <c r="C353" s="115">
        <v>5.8216E7</v>
      </c>
      <c r="D353" s="115" t="s">
        <v>7</v>
      </c>
      <c r="E353" s="18"/>
    </row>
    <row r="354" ht="22.5" customHeight="1">
      <c r="A354" s="22"/>
      <c r="B354" s="56" t="s">
        <v>57</v>
      </c>
      <c r="C354" s="115">
        <v>4.1113E7</v>
      </c>
      <c r="D354" s="115" t="s">
        <v>7</v>
      </c>
      <c r="E354" s="18"/>
    </row>
    <row r="355" ht="22.5" customHeight="1">
      <c r="A355" s="128" t="s">
        <v>119</v>
      </c>
      <c r="B355" s="56" t="s">
        <v>51</v>
      </c>
      <c r="C355" s="115">
        <v>3.04625E7</v>
      </c>
      <c r="D355" s="115" t="s">
        <v>7</v>
      </c>
      <c r="E355" s="111">
        <f>C358</f>
        <v>21031500</v>
      </c>
    </row>
    <row r="356" ht="22.5" customHeight="1">
      <c r="A356" s="18"/>
      <c r="B356" s="56" t="s">
        <v>53</v>
      </c>
      <c r="C356" s="115">
        <v>500000.0</v>
      </c>
      <c r="D356" s="115" t="s">
        <v>7</v>
      </c>
      <c r="E356" s="18"/>
    </row>
    <row r="357" ht="22.5" customHeight="1">
      <c r="A357" s="18"/>
      <c r="B357" s="56" t="s">
        <v>55</v>
      </c>
      <c r="C357" s="115">
        <v>1.9436E7</v>
      </c>
      <c r="D357" s="115" t="s">
        <v>7</v>
      </c>
      <c r="E357" s="18"/>
    </row>
    <row r="358" ht="22.5" customHeight="1">
      <c r="A358" s="22"/>
      <c r="B358" s="56" t="s">
        <v>57</v>
      </c>
      <c r="C358" s="115">
        <v>2.10315E7</v>
      </c>
      <c r="D358" s="115"/>
      <c r="E358" s="22"/>
    </row>
    <row r="359" ht="22.5" customHeight="1">
      <c r="A359" s="128" t="s">
        <v>120</v>
      </c>
      <c r="B359" s="56" t="s">
        <v>51</v>
      </c>
      <c r="C359" s="115">
        <v>6.7472E7</v>
      </c>
      <c r="D359" s="115" t="s">
        <v>7</v>
      </c>
      <c r="E359" s="111">
        <f>C362</f>
        <v>62699000</v>
      </c>
    </row>
    <row r="360" ht="22.5" customHeight="1">
      <c r="A360" s="18"/>
      <c r="B360" s="56" t="s">
        <v>53</v>
      </c>
      <c r="C360" s="119">
        <v>280000.0</v>
      </c>
      <c r="D360" s="115" t="s">
        <v>7</v>
      </c>
      <c r="E360" s="18"/>
    </row>
    <row r="361" ht="22.5" customHeight="1">
      <c r="A361" s="18"/>
      <c r="B361" s="56" t="s">
        <v>55</v>
      </c>
      <c r="C361" s="115">
        <v>7.1201E7</v>
      </c>
      <c r="D361" s="115" t="s">
        <v>7</v>
      </c>
      <c r="E361" s="18"/>
    </row>
    <row r="362" ht="22.5" customHeight="1">
      <c r="A362" s="22"/>
      <c r="B362" s="56" t="s">
        <v>57</v>
      </c>
      <c r="C362" s="119">
        <v>6.2699E7</v>
      </c>
      <c r="D362" s="115"/>
      <c r="E362" s="18"/>
    </row>
    <row r="363" ht="22.5" customHeight="1">
      <c r="A363" s="128" t="s">
        <v>121</v>
      </c>
      <c r="B363" s="56" t="s">
        <v>51</v>
      </c>
      <c r="C363" s="115">
        <v>5700000.0</v>
      </c>
      <c r="D363" s="115" t="s">
        <v>7</v>
      </c>
      <c r="E363" s="111">
        <v>0.0</v>
      </c>
    </row>
    <row r="364" ht="22.5" customHeight="1">
      <c r="A364" s="18"/>
      <c r="B364" s="56" t="s">
        <v>53</v>
      </c>
      <c r="C364" s="247">
        <v>2.07675E7</v>
      </c>
      <c r="D364" s="115" t="s">
        <v>7</v>
      </c>
      <c r="E364" s="18"/>
    </row>
    <row r="365" ht="22.5" customHeight="1">
      <c r="A365" s="18"/>
      <c r="B365" s="56" t="s">
        <v>55</v>
      </c>
      <c r="C365" s="115">
        <v>2.31275E7</v>
      </c>
      <c r="D365" s="115" t="s">
        <v>7</v>
      </c>
      <c r="E365" s="18"/>
      <c r="G365" s="131">
        <f>E367-620000</f>
        <v>-620000</v>
      </c>
    </row>
    <row r="366" ht="22.5" customHeight="1">
      <c r="A366" s="22"/>
      <c r="B366" s="56" t="s">
        <v>57</v>
      </c>
      <c r="C366" s="115">
        <v>2.5893E7</v>
      </c>
      <c r="D366" s="115" t="s">
        <v>7</v>
      </c>
      <c r="E366" s="18"/>
    </row>
    <row r="367" ht="22.5" customHeight="1">
      <c r="A367" s="128" t="s">
        <v>122</v>
      </c>
      <c r="B367" s="56" t="s">
        <v>51</v>
      </c>
      <c r="C367" s="115">
        <v>7780000.0</v>
      </c>
      <c r="D367" s="115" t="s">
        <v>7</v>
      </c>
      <c r="E367" s="111">
        <v>0.0</v>
      </c>
      <c r="F367" s="131">
        <f>E367-67852200</f>
        <v>-67852200</v>
      </c>
    </row>
    <row r="368" ht="22.5" customHeight="1">
      <c r="A368" s="18"/>
      <c r="B368" s="56" t="s">
        <v>53</v>
      </c>
      <c r="C368" s="119">
        <v>8549000.0</v>
      </c>
      <c r="D368" s="115" t="s">
        <v>7</v>
      </c>
      <c r="E368" s="18"/>
    </row>
    <row r="369" ht="22.5" customHeight="1">
      <c r="A369" s="18"/>
      <c r="B369" s="56" t="s">
        <v>55</v>
      </c>
      <c r="C369" s="119">
        <v>5.11092E7</v>
      </c>
      <c r="D369" s="115" t="s">
        <v>7</v>
      </c>
      <c r="E369" s="18"/>
    </row>
    <row r="370" ht="22.5" customHeight="1">
      <c r="A370" s="22"/>
      <c r="B370" s="56" t="s">
        <v>57</v>
      </c>
      <c r="C370" s="115">
        <v>1.2653E7</v>
      </c>
      <c r="D370" s="115" t="s">
        <v>7</v>
      </c>
      <c r="E370" s="18"/>
    </row>
    <row r="371" ht="22.5" customHeight="1">
      <c r="A371" s="128" t="s">
        <v>123</v>
      </c>
      <c r="B371" s="56" t="s">
        <v>51</v>
      </c>
      <c r="C371" s="115">
        <v>0.0</v>
      </c>
      <c r="D371" s="115"/>
      <c r="E371" s="111">
        <f>C372+C374+C375+D375</f>
        <v>61523000</v>
      </c>
      <c r="J371" s="127">
        <f>I371+I372+I373+I374</f>
        <v>0</v>
      </c>
    </row>
    <row r="372" ht="22.5" customHeight="1">
      <c r="A372" s="18"/>
      <c r="B372" s="56" t="s">
        <v>53</v>
      </c>
      <c r="C372" s="115">
        <v>1.6113E7</v>
      </c>
      <c r="D372" s="115"/>
      <c r="E372" s="18"/>
    </row>
    <row r="373" ht="22.5" customHeight="1">
      <c r="A373" s="18"/>
      <c r="B373" s="56" t="s">
        <v>55</v>
      </c>
      <c r="C373" s="115">
        <v>0.0</v>
      </c>
      <c r="D373" s="115"/>
      <c r="E373" s="18"/>
    </row>
    <row r="374" ht="22.5" customHeight="1">
      <c r="A374" s="18"/>
      <c r="B374" s="56" t="s">
        <v>57</v>
      </c>
      <c r="C374" s="115">
        <v>2.1523E7</v>
      </c>
      <c r="D374" s="115"/>
      <c r="E374" s="18"/>
    </row>
    <row r="375" ht="22.5" customHeight="1">
      <c r="A375" s="22"/>
      <c r="B375" s="244" t="s">
        <v>239</v>
      </c>
      <c r="C375" s="238">
        <v>4.5475E7</v>
      </c>
      <c r="D375" s="115">
        <v>-2.1588E7</v>
      </c>
      <c r="E375" s="22"/>
      <c r="G375" s="131">
        <f>21588000-C372</f>
        <v>5475000</v>
      </c>
    </row>
    <row r="376" ht="22.5" customHeight="1">
      <c r="A376" s="128" t="s">
        <v>124</v>
      </c>
      <c r="B376" s="129" t="s">
        <v>249</v>
      </c>
      <c r="C376" s="115">
        <v>783000.0</v>
      </c>
      <c r="D376" s="48"/>
      <c r="E376" s="248">
        <f>SUM(C376:C380)</f>
        <v>68077000</v>
      </c>
      <c r="J376" s="20"/>
    </row>
    <row r="377" ht="22.5" customHeight="1">
      <c r="A377" s="18"/>
      <c r="B377" s="56" t="s">
        <v>51</v>
      </c>
      <c r="C377" s="115">
        <v>9525000.0</v>
      </c>
      <c r="D377" s="48"/>
      <c r="E377" s="18"/>
      <c r="J377" s="20"/>
    </row>
    <row r="378" ht="22.5" customHeight="1">
      <c r="A378" s="18"/>
      <c r="B378" s="56" t="s">
        <v>53</v>
      </c>
      <c r="C378" s="115">
        <v>0.0</v>
      </c>
      <c r="D378" s="48"/>
      <c r="E378" s="18"/>
    </row>
    <row r="379" ht="22.5" customHeight="1">
      <c r="A379" s="18"/>
      <c r="B379" s="56" t="s">
        <v>55</v>
      </c>
      <c r="C379" s="115">
        <v>3.4308E7</v>
      </c>
      <c r="D379" s="48"/>
      <c r="E379" s="18"/>
    </row>
    <row r="380" ht="22.5" customHeight="1">
      <c r="A380" s="22"/>
      <c r="B380" s="56" t="s">
        <v>57</v>
      </c>
      <c r="C380" s="119">
        <v>2.3461E7</v>
      </c>
      <c r="D380" s="48"/>
      <c r="E380" s="18"/>
    </row>
    <row r="381" ht="22.5" customHeight="1">
      <c r="A381" s="128" t="s">
        <v>126</v>
      </c>
      <c r="B381" s="56" t="s">
        <v>51</v>
      </c>
      <c r="C381" s="115">
        <v>9744500.0</v>
      </c>
      <c r="D381" s="115" t="s">
        <v>7</v>
      </c>
      <c r="E381" s="111">
        <v>0.0</v>
      </c>
    </row>
    <row r="382" ht="22.5" customHeight="1">
      <c r="A382" s="18"/>
      <c r="B382" s="56" t="s">
        <v>53</v>
      </c>
      <c r="C382" s="115">
        <v>7415000.0</v>
      </c>
      <c r="D382" s="115" t="s">
        <v>7</v>
      </c>
      <c r="E382" s="18"/>
    </row>
    <row r="383" ht="22.5" customHeight="1">
      <c r="A383" s="18"/>
      <c r="B383" s="56" t="s">
        <v>55</v>
      </c>
      <c r="C383" s="115">
        <v>4.1228E7</v>
      </c>
      <c r="D383" s="115" t="s">
        <v>7</v>
      </c>
      <c r="E383" s="18"/>
    </row>
    <row r="384" ht="22.5" customHeight="1">
      <c r="A384" s="22"/>
      <c r="B384" s="56" t="s">
        <v>57</v>
      </c>
      <c r="C384" s="115">
        <v>4.04655E7</v>
      </c>
      <c r="D384" s="115" t="s">
        <v>7</v>
      </c>
      <c r="E384" s="18"/>
    </row>
    <row r="385" ht="22.5" customHeight="1">
      <c r="A385" s="128" t="s">
        <v>127</v>
      </c>
      <c r="B385" s="56" t="s">
        <v>51</v>
      </c>
      <c r="C385" s="115">
        <v>4010000.0</v>
      </c>
      <c r="D385" s="115" t="s">
        <v>7</v>
      </c>
      <c r="E385" s="111">
        <v>0.0</v>
      </c>
    </row>
    <row r="386" ht="22.5" customHeight="1">
      <c r="A386" s="18"/>
      <c r="B386" s="56" t="s">
        <v>53</v>
      </c>
      <c r="C386" s="119">
        <v>0.0</v>
      </c>
      <c r="D386" s="115" t="s">
        <v>7</v>
      </c>
      <c r="E386" s="18"/>
    </row>
    <row r="387" ht="22.5" customHeight="1">
      <c r="A387" s="18"/>
      <c r="B387" s="56" t="s">
        <v>55</v>
      </c>
      <c r="C387" s="115">
        <v>1.27055E7</v>
      </c>
      <c r="D387" s="115" t="s">
        <v>7</v>
      </c>
      <c r="E387" s="18"/>
      <c r="J387" s="20"/>
    </row>
    <row r="388" ht="22.5" customHeight="1">
      <c r="A388" s="22"/>
      <c r="B388" s="56" t="s">
        <v>57</v>
      </c>
      <c r="C388" s="119">
        <v>3300000.0</v>
      </c>
      <c r="D388" s="115" t="s">
        <v>7</v>
      </c>
      <c r="E388" s="18"/>
    </row>
    <row r="389" ht="22.5" customHeight="1">
      <c r="A389" s="128" t="s">
        <v>128</v>
      </c>
      <c r="B389" s="56" t="s">
        <v>51</v>
      </c>
      <c r="C389" s="115">
        <v>1.1011E7</v>
      </c>
      <c r="D389" s="48"/>
      <c r="E389" s="96">
        <f>SUM(C389:C392)</f>
        <v>40715000</v>
      </c>
    </row>
    <row r="390" ht="22.5" customHeight="1">
      <c r="A390" s="18"/>
      <c r="B390" s="56" t="s">
        <v>53</v>
      </c>
      <c r="C390" s="119">
        <v>3192000.0</v>
      </c>
      <c r="D390" s="48"/>
      <c r="E390" s="18"/>
    </row>
    <row r="391" ht="22.5" customHeight="1">
      <c r="A391" s="18"/>
      <c r="B391" s="56" t="s">
        <v>55</v>
      </c>
      <c r="C391" s="115">
        <v>0.0</v>
      </c>
      <c r="D391" s="48"/>
      <c r="E391" s="18"/>
    </row>
    <row r="392" ht="22.5" customHeight="1">
      <c r="A392" s="22"/>
      <c r="B392" s="56" t="s">
        <v>57</v>
      </c>
      <c r="C392" s="119">
        <v>2.6512E7</v>
      </c>
      <c r="D392" s="48"/>
      <c r="E392" s="18"/>
    </row>
    <row r="393" ht="22.5" customHeight="1">
      <c r="A393" s="128" t="s">
        <v>129</v>
      </c>
      <c r="B393" s="56" t="s">
        <v>51</v>
      </c>
      <c r="C393" s="115">
        <v>6.3567E7</v>
      </c>
      <c r="D393" s="115" t="s">
        <v>7</v>
      </c>
      <c r="E393" s="111">
        <f>C396</f>
        <v>51344000</v>
      </c>
    </row>
    <row r="394" ht="22.5" customHeight="1">
      <c r="A394" s="18"/>
      <c r="B394" s="56" t="s">
        <v>53</v>
      </c>
      <c r="C394" s="119">
        <v>0.0</v>
      </c>
      <c r="D394" s="115" t="s">
        <v>7</v>
      </c>
      <c r="E394" s="18"/>
      <c r="M394" s="248"/>
    </row>
    <row r="395" ht="22.5" customHeight="1">
      <c r="A395" s="18"/>
      <c r="B395" s="56" t="s">
        <v>55</v>
      </c>
      <c r="C395" s="115">
        <v>4.21005E7</v>
      </c>
      <c r="D395" s="115" t="s">
        <v>7</v>
      </c>
      <c r="E395" s="18"/>
    </row>
    <row r="396" ht="22.5" customHeight="1">
      <c r="A396" s="22"/>
      <c r="B396" s="56" t="s">
        <v>57</v>
      </c>
      <c r="C396" s="119">
        <v>5.1344E7</v>
      </c>
      <c r="D396" s="115"/>
      <c r="E396" s="18"/>
    </row>
    <row r="397" ht="22.5" customHeight="1">
      <c r="A397" s="349" t="s">
        <v>131</v>
      </c>
      <c r="B397" s="129" t="s">
        <v>248</v>
      </c>
      <c r="C397" s="115">
        <v>3030000.0</v>
      </c>
      <c r="D397" s="115" t="s">
        <v>7</v>
      </c>
      <c r="E397" s="96">
        <f>C401+C402</f>
        <v>75026500</v>
      </c>
    </row>
    <row r="398" ht="22.5" customHeight="1">
      <c r="A398" s="18"/>
      <c r="B398" s="56" t="s">
        <v>51</v>
      </c>
      <c r="C398" s="115">
        <v>6.6245E7</v>
      </c>
      <c r="D398" s="115" t="s">
        <v>7</v>
      </c>
      <c r="E398" s="18"/>
    </row>
    <row r="399" ht="22.5" customHeight="1">
      <c r="A399" s="18"/>
      <c r="B399" s="56" t="s">
        <v>53</v>
      </c>
      <c r="C399" s="115">
        <v>1.342E7</v>
      </c>
      <c r="D399" s="115" t="s">
        <v>7</v>
      </c>
      <c r="E399" s="18"/>
    </row>
    <row r="400" ht="22.5" customHeight="1">
      <c r="A400" s="18"/>
      <c r="B400" s="56" t="s">
        <v>55</v>
      </c>
      <c r="C400" s="115">
        <v>7.0289E7</v>
      </c>
      <c r="D400" s="115" t="s">
        <v>7</v>
      </c>
      <c r="E400" s="18"/>
    </row>
    <row r="401" ht="22.5" customHeight="1">
      <c r="A401" s="18"/>
      <c r="B401" s="56" t="s">
        <v>57</v>
      </c>
      <c r="C401" s="115">
        <f>3257500+3300000+68519000</f>
        <v>75076500</v>
      </c>
      <c r="D401" s="48"/>
      <c r="E401" s="18"/>
    </row>
    <row r="402" ht="22.5" customHeight="1">
      <c r="A402" s="22"/>
      <c r="B402" s="129" t="s">
        <v>341</v>
      </c>
      <c r="C402" s="115">
        <f>-5*10000</f>
        <v>-50000</v>
      </c>
      <c r="D402" s="48"/>
      <c r="E402" s="18"/>
    </row>
    <row r="403" ht="22.5" customHeight="1">
      <c r="A403" s="349" t="s">
        <v>130</v>
      </c>
      <c r="B403" s="56" t="s">
        <v>51</v>
      </c>
      <c r="C403" s="119">
        <v>2.3139E7</v>
      </c>
      <c r="D403" s="115" t="s">
        <v>7</v>
      </c>
      <c r="E403" s="96">
        <f>C404+C405+C406</f>
        <v>84067600</v>
      </c>
    </row>
    <row r="404" ht="22.5" customHeight="1">
      <c r="A404" s="18"/>
      <c r="B404" s="56" t="s">
        <v>53</v>
      </c>
      <c r="C404" s="115">
        <v>2.5555E7</v>
      </c>
      <c r="D404" s="115"/>
      <c r="E404" s="18"/>
    </row>
    <row r="405" ht="22.5" customHeight="1">
      <c r="A405" s="18"/>
      <c r="B405" s="56" t="s">
        <v>55</v>
      </c>
      <c r="C405" s="115">
        <v>2.51216E7</v>
      </c>
      <c r="D405" s="48"/>
      <c r="E405" s="18"/>
    </row>
    <row r="406" ht="22.5" customHeight="1">
      <c r="A406" s="22"/>
      <c r="B406" s="56" t="s">
        <v>57</v>
      </c>
      <c r="C406" s="115">
        <v>3.3391E7</v>
      </c>
      <c r="D406" s="48"/>
      <c r="E406" s="18"/>
    </row>
    <row r="407" ht="19.5" customHeight="1">
      <c r="A407" s="349" t="s">
        <v>136</v>
      </c>
      <c r="B407" s="56" t="s">
        <v>51</v>
      </c>
      <c r="C407" s="249">
        <v>2.76215E7</v>
      </c>
      <c r="D407" s="115" t="s">
        <v>7</v>
      </c>
      <c r="E407" s="96">
        <f>C408+C409+D408+D409</f>
        <v>35707500</v>
      </c>
    </row>
    <row r="408" ht="19.5" customHeight="1">
      <c r="A408" s="18"/>
      <c r="B408" s="56" t="s">
        <v>53</v>
      </c>
      <c r="C408" s="249">
        <v>7.22865E7</v>
      </c>
      <c r="D408" s="115">
        <v>-2.23785E7</v>
      </c>
      <c r="E408" s="18"/>
    </row>
    <row r="409" ht="19.5" customHeight="1">
      <c r="A409" s="18"/>
      <c r="B409" s="56" t="s">
        <v>55</v>
      </c>
      <c r="C409" s="249">
        <v>3.57995E7</v>
      </c>
      <c r="D409" s="115">
        <v>-5.0E7</v>
      </c>
      <c r="E409" s="18"/>
    </row>
    <row r="410" ht="19.5" customHeight="1">
      <c r="A410" s="22"/>
      <c r="B410" s="56" t="s">
        <v>57</v>
      </c>
      <c r="C410" s="249"/>
      <c r="D410" s="48"/>
      <c r="E410" s="22"/>
    </row>
    <row r="411" ht="18.75" customHeight="1">
      <c r="A411" s="349" t="s">
        <v>138</v>
      </c>
      <c r="B411" s="56" t="s">
        <v>51</v>
      </c>
      <c r="C411" s="251">
        <v>7799000.0</v>
      </c>
      <c r="D411" s="115" t="s">
        <v>7</v>
      </c>
      <c r="E411" s="111">
        <v>0.0</v>
      </c>
    </row>
    <row r="412" ht="18.75" customHeight="1">
      <c r="A412" s="18"/>
      <c r="B412" s="56" t="s">
        <v>53</v>
      </c>
      <c r="C412" s="115">
        <v>2.1673E7</v>
      </c>
      <c r="D412" s="115" t="s">
        <v>7</v>
      </c>
      <c r="E412" s="18"/>
    </row>
    <row r="413" ht="18.75" customHeight="1">
      <c r="A413" s="18"/>
      <c r="B413" s="56" t="s">
        <v>55</v>
      </c>
      <c r="C413" s="115">
        <v>1.7267E7</v>
      </c>
      <c r="D413" s="115" t="s">
        <v>7</v>
      </c>
      <c r="E413" s="18"/>
    </row>
    <row r="414" ht="18.75" customHeight="1">
      <c r="A414" s="22"/>
      <c r="B414" s="56" t="s">
        <v>57</v>
      </c>
      <c r="C414" s="115"/>
      <c r="D414" s="48"/>
      <c r="E414" s="18"/>
    </row>
    <row r="415" ht="18.75" customHeight="1">
      <c r="A415" s="350" t="s">
        <v>139</v>
      </c>
      <c r="B415" s="56" t="s">
        <v>51</v>
      </c>
      <c r="C415" s="115">
        <v>3.8585E7</v>
      </c>
      <c r="D415" s="115" t="s">
        <v>7</v>
      </c>
      <c r="E415" s="111">
        <v>0.0</v>
      </c>
    </row>
    <row r="416" ht="18.75" customHeight="1">
      <c r="A416" s="18"/>
      <c r="B416" s="56" t="s">
        <v>53</v>
      </c>
      <c r="C416" s="115">
        <v>0.0</v>
      </c>
      <c r="D416" s="115"/>
      <c r="E416" s="18"/>
    </row>
    <row r="417" ht="18.75" customHeight="1">
      <c r="A417" s="18"/>
      <c r="B417" s="56" t="s">
        <v>55</v>
      </c>
      <c r="C417" s="115">
        <v>1.732E7</v>
      </c>
      <c r="D417" s="115" t="s">
        <v>7</v>
      </c>
      <c r="E417" s="18"/>
    </row>
    <row r="418" ht="18.75" customHeight="1">
      <c r="A418" s="22"/>
      <c r="B418" s="56" t="s">
        <v>57</v>
      </c>
      <c r="C418" s="115">
        <v>1.7725E7</v>
      </c>
      <c r="D418" s="115" t="s">
        <v>7</v>
      </c>
      <c r="E418" s="22"/>
      <c r="F418" s="351" t="s">
        <v>342</v>
      </c>
    </row>
    <row r="419" ht="22.5" customHeight="1">
      <c r="A419" s="349" t="s">
        <v>140</v>
      </c>
      <c r="B419" s="56" t="s">
        <v>51</v>
      </c>
      <c r="C419" s="115">
        <v>2.52122E7</v>
      </c>
      <c r="D419" s="115" t="s">
        <v>7</v>
      </c>
      <c r="E419" s="96">
        <f>C422</f>
        <v>16951000</v>
      </c>
    </row>
    <row r="420" ht="22.5" customHeight="1">
      <c r="A420" s="18"/>
      <c r="B420" s="56" t="s">
        <v>53</v>
      </c>
      <c r="C420" s="115">
        <v>2.1315E7</v>
      </c>
      <c r="D420" s="115" t="s">
        <v>7</v>
      </c>
      <c r="E420" s="18"/>
    </row>
    <row r="421" ht="22.5" customHeight="1">
      <c r="A421" s="18"/>
      <c r="B421" s="56" t="s">
        <v>55</v>
      </c>
      <c r="C421" s="115">
        <v>1485000.0</v>
      </c>
      <c r="D421" s="115" t="s">
        <v>7</v>
      </c>
      <c r="E421" s="18"/>
    </row>
    <row r="422" ht="22.5" customHeight="1">
      <c r="A422" s="22"/>
      <c r="B422" s="56" t="s">
        <v>57</v>
      </c>
      <c r="C422" s="115">
        <v>1.6951E7</v>
      </c>
      <c r="D422" s="48"/>
      <c r="E422" s="18"/>
    </row>
    <row r="423" ht="22.5" customHeight="1">
      <c r="A423" s="349" t="s">
        <v>141</v>
      </c>
      <c r="B423" s="129" t="s">
        <v>248</v>
      </c>
      <c r="C423" s="115">
        <v>8591000.0</v>
      </c>
      <c r="D423" s="115" t="s">
        <v>7</v>
      </c>
      <c r="E423" s="111">
        <v>0.0</v>
      </c>
      <c r="F423" s="352"/>
    </row>
    <row r="424" ht="22.5" customHeight="1">
      <c r="A424" s="18"/>
      <c r="B424" s="244" t="s">
        <v>254</v>
      </c>
      <c r="C424" s="238">
        <v>895000.0</v>
      </c>
      <c r="D424" s="115" t="s">
        <v>7</v>
      </c>
      <c r="E424" s="18"/>
      <c r="F424" s="352"/>
    </row>
    <row r="425" ht="22.5" customHeight="1">
      <c r="A425" s="18"/>
      <c r="B425" s="56" t="s">
        <v>51</v>
      </c>
      <c r="C425" s="119">
        <v>1.9465E7</v>
      </c>
      <c r="D425" s="115" t="s">
        <v>7</v>
      </c>
      <c r="E425" s="18"/>
      <c r="F425" s="352"/>
    </row>
    <row r="426" ht="22.5" customHeight="1">
      <c r="A426" s="18"/>
      <c r="B426" s="56" t="s">
        <v>53</v>
      </c>
      <c r="C426" s="115">
        <v>3.3344E7</v>
      </c>
      <c r="D426" s="115" t="s">
        <v>7</v>
      </c>
      <c r="E426" s="18"/>
      <c r="F426" s="352"/>
    </row>
    <row r="427" ht="22.5" customHeight="1">
      <c r="A427" s="18"/>
      <c r="B427" s="56" t="s">
        <v>55</v>
      </c>
      <c r="C427" s="119">
        <v>4.55769E7</v>
      </c>
      <c r="D427" s="115" t="s">
        <v>7</v>
      </c>
      <c r="E427" s="18"/>
      <c r="F427" s="352"/>
    </row>
    <row r="428" ht="22.5" customHeight="1">
      <c r="A428" s="22"/>
      <c r="B428" s="56" t="s">
        <v>57</v>
      </c>
      <c r="C428" s="115">
        <f>30026600+280000</f>
        <v>30306600</v>
      </c>
      <c r="D428" s="115" t="s">
        <v>7</v>
      </c>
      <c r="E428" s="18"/>
      <c r="F428" s="134" t="s">
        <v>343</v>
      </c>
    </row>
    <row r="429" ht="22.5" customHeight="1">
      <c r="A429" s="349" t="s">
        <v>142</v>
      </c>
      <c r="B429" s="56" t="s">
        <v>51</v>
      </c>
      <c r="C429" s="115">
        <v>9630000.0</v>
      </c>
      <c r="D429" s="48"/>
      <c r="E429" s="96">
        <f>SUM(C429:C432)</f>
        <v>80410500</v>
      </c>
    </row>
    <row r="430" ht="22.5" customHeight="1">
      <c r="A430" s="18"/>
      <c r="B430" s="56" t="s">
        <v>53</v>
      </c>
      <c r="C430" s="115">
        <v>8545000.0</v>
      </c>
      <c r="D430" s="48"/>
      <c r="E430" s="18"/>
    </row>
    <row r="431" ht="22.5" customHeight="1">
      <c r="A431" s="18"/>
      <c r="B431" s="56" t="s">
        <v>55</v>
      </c>
      <c r="C431" s="115">
        <v>2600000.0</v>
      </c>
      <c r="D431" s="48"/>
      <c r="E431" s="18"/>
    </row>
    <row r="432" ht="22.5" customHeight="1">
      <c r="A432" s="22"/>
      <c r="B432" s="56" t="s">
        <v>57</v>
      </c>
      <c r="C432" s="115">
        <f>58685500+950000</f>
        <v>59635500</v>
      </c>
      <c r="D432" s="48"/>
      <c r="E432" s="18"/>
    </row>
    <row r="433" ht="22.5" customHeight="1">
      <c r="A433" s="349" t="s">
        <v>143</v>
      </c>
      <c r="B433" s="56" t="s">
        <v>51</v>
      </c>
      <c r="C433" s="115">
        <v>1.536E7</v>
      </c>
      <c r="D433" s="115" t="s">
        <v>7</v>
      </c>
      <c r="E433" s="111">
        <f>C436</f>
        <v>25710000</v>
      </c>
    </row>
    <row r="434" ht="22.5" customHeight="1">
      <c r="A434" s="18"/>
      <c r="B434" s="56" t="s">
        <v>53</v>
      </c>
      <c r="C434" s="115">
        <v>0.0</v>
      </c>
      <c r="D434" s="115"/>
      <c r="E434" s="18"/>
    </row>
    <row r="435" ht="22.5" customHeight="1">
      <c r="A435" s="18"/>
      <c r="B435" s="56" t="s">
        <v>55</v>
      </c>
      <c r="C435" s="115">
        <v>3.1375E7</v>
      </c>
      <c r="D435" s="115" t="s">
        <v>7</v>
      </c>
      <c r="E435" s="18"/>
      <c r="J435" s="2"/>
    </row>
    <row r="436" ht="22.5" customHeight="1">
      <c r="A436" s="22"/>
      <c r="B436" s="56" t="s">
        <v>57</v>
      </c>
      <c r="C436" s="115">
        <v>2.571E7</v>
      </c>
      <c r="D436" s="115"/>
      <c r="E436" s="18"/>
    </row>
    <row r="437" ht="22.5" customHeight="1">
      <c r="A437" s="349" t="s">
        <v>144</v>
      </c>
      <c r="B437" s="56" t="s">
        <v>51</v>
      </c>
      <c r="C437" s="115">
        <v>1.3915E7</v>
      </c>
      <c r="D437" s="115" t="s">
        <v>7</v>
      </c>
      <c r="E437" s="111">
        <v>0.0</v>
      </c>
    </row>
    <row r="438" ht="22.5" customHeight="1">
      <c r="A438" s="18"/>
      <c r="B438" s="56" t="s">
        <v>53</v>
      </c>
      <c r="C438" s="115">
        <v>0.0</v>
      </c>
      <c r="D438" s="115"/>
      <c r="E438" s="18"/>
    </row>
    <row r="439" ht="22.5" customHeight="1">
      <c r="A439" s="18"/>
      <c r="B439" s="56" t="s">
        <v>55</v>
      </c>
      <c r="C439" s="115">
        <v>2.1655E7</v>
      </c>
      <c r="D439" s="115" t="s">
        <v>7</v>
      </c>
      <c r="E439" s="18"/>
    </row>
    <row r="440" ht="22.5" customHeight="1">
      <c r="A440" s="22"/>
      <c r="B440" s="56" t="s">
        <v>57</v>
      </c>
      <c r="C440" s="115">
        <v>1.834E7</v>
      </c>
      <c r="D440" s="115" t="s">
        <v>7</v>
      </c>
      <c r="E440" s="18"/>
    </row>
    <row r="441" ht="22.5" customHeight="1">
      <c r="A441" s="349" t="s">
        <v>145</v>
      </c>
      <c r="B441" s="129" t="s">
        <v>243</v>
      </c>
      <c r="C441" s="115">
        <v>9405000.0</v>
      </c>
      <c r="D441" s="115" t="s">
        <v>7</v>
      </c>
      <c r="E441" s="353">
        <f>SUM(C445:C447)</f>
        <v>32125000</v>
      </c>
    </row>
    <row r="442" ht="22.5" customHeight="1">
      <c r="A442" s="18"/>
      <c r="B442" s="56" t="s">
        <v>51</v>
      </c>
      <c r="C442" s="115">
        <v>9120000.0</v>
      </c>
      <c r="D442" s="115" t="s">
        <v>7</v>
      </c>
      <c r="E442" s="18"/>
    </row>
    <row r="443" ht="22.5" customHeight="1">
      <c r="A443" s="18"/>
      <c r="B443" s="56" t="s">
        <v>53</v>
      </c>
      <c r="C443" s="119">
        <v>0.0</v>
      </c>
      <c r="D443" s="115"/>
      <c r="E443" s="18"/>
    </row>
    <row r="444" ht="22.5" customHeight="1">
      <c r="A444" s="18"/>
      <c r="B444" s="129" t="s">
        <v>344</v>
      </c>
      <c r="C444" s="119">
        <v>5.1919E7</v>
      </c>
      <c r="D444" s="115" t="s">
        <v>7</v>
      </c>
      <c r="E444" s="18"/>
    </row>
    <row r="445" ht="22.5" customHeight="1">
      <c r="A445" s="18"/>
      <c r="B445" s="129" t="s">
        <v>345</v>
      </c>
      <c r="C445" s="115">
        <f>-(5+20)*10000</f>
        <v>-250000</v>
      </c>
      <c r="D445" s="115"/>
      <c r="E445" s="18"/>
    </row>
    <row r="446" ht="22.5" customHeight="1">
      <c r="A446" s="18"/>
      <c r="B446" s="354" t="s">
        <v>346</v>
      </c>
      <c r="C446" s="110">
        <v>-1500000.0</v>
      </c>
      <c r="D446" s="115"/>
      <c r="E446" s="18"/>
    </row>
    <row r="447" ht="22.5" customHeight="1">
      <c r="A447" s="22"/>
      <c r="B447" s="56" t="s">
        <v>57</v>
      </c>
      <c r="C447" s="115">
        <f>550000+33325000</f>
        <v>33875000</v>
      </c>
      <c r="D447" s="115"/>
      <c r="E447" s="18"/>
    </row>
    <row r="448" ht="22.5" customHeight="1">
      <c r="A448" s="355" t="s">
        <v>146</v>
      </c>
      <c r="B448" s="56" t="s">
        <v>51</v>
      </c>
      <c r="C448" s="119">
        <v>1.81225E7</v>
      </c>
      <c r="D448" s="48"/>
      <c r="E448" s="356">
        <f>SUM(C448:C451)</f>
        <v>144846500</v>
      </c>
      <c r="G448" s="357" t="s">
        <v>146</v>
      </c>
      <c r="H448" s="129" t="s">
        <v>251</v>
      </c>
      <c r="I448" s="115">
        <v>7758400.0</v>
      </c>
    </row>
    <row r="449" ht="22.5" customHeight="1">
      <c r="A449" s="18"/>
      <c r="B449" s="56" t="s">
        <v>53</v>
      </c>
      <c r="C449" s="115">
        <v>7.7167E7</v>
      </c>
      <c r="D449" s="48"/>
      <c r="E449" s="18"/>
      <c r="G449" s="18"/>
      <c r="H449" s="129" t="s">
        <v>248</v>
      </c>
      <c r="I449" s="115">
        <v>1500000.0</v>
      </c>
    </row>
    <row r="450" ht="22.5" customHeight="1">
      <c r="A450" s="18"/>
      <c r="B450" s="56" t="s">
        <v>55</v>
      </c>
      <c r="C450" s="115">
        <v>4.5457E7</v>
      </c>
      <c r="D450" s="48"/>
      <c r="E450" s="18"/>
      <c r="G450" s="18"/>
      <c r="H450" s="244" t="s">
        <v>254</v>
      </c>
      <c r="I450" s="238">
        <v>1.11953E8</v>
      </c>
    </row>
    <row r="451" ht="21.75" customHeight="1">
      <c r="A451" s="22"/>
      <c r="B451" s="56" t="s">
        <v>57</v>
      </c>
      <c r="C451" s="115">
        <v>4100000.0</v>
      </c>
      <c r="D451" s="48"/>
      <c r="E451" s="22"/>
      <c r="G451" s="18"/>
      <c r="H451" s="129" t="s">
        <v>315</v>
      </c>
      <c r="I451" s="119">
        <v>1.81225E7</v>
      </c>
    </row>
    <row r="452" ht="22.5" customHeight="1">
      <c r="A452" s="349" t="s">
        <v>148</v>
      </c>
      <c r="B452" s="56" t="s">
        <v>51</v>
      </c>
      <c r="C452" s="115">
        <v>4055500.0</v>
      </c>
      <c r="D452" s="115" t="s">
        <v>7</v>
      </c>
      <c r="E452" s="222">
        <v>0.0</v>
      </c>
      <c r="G452" s="18"/>
      <c r="H452" s="129" t="s">
        <v>314</v>
      </c>
      <c r="I452" s="115">
        <v>7.7167E7</v>
      </c>
    </row>
    <row r="453" ht="22.5" customHeight="1">
      <c r="A453" s="18"/>
      <c r="B453" s="56" t="s">
        <v>53</v>
      </c>
      <c r="C453" s="115">
        <v>0.0</v>
      </c>
      <c r="D453" s="48"/>
      <c r="E453" s="18"/>
      <c r="G453" s="18"/>
      <c r="H453" s="129" t="s">
        <v>312</v>
      </c>
      <c r="I453" s="115">
        <v>4.5457E7</v>
      </c>
    </row>
    <row r="454" ht="22.5" customHeight="1">
      <c r="A454" s="18"/>
      <c r="B454" s="56" t="s">
        <v>55</v>
      </c>
      <c r="C454" s="115">
        <v>1.50664E8</v>
      </c>
      <c r="D454" s="115" t="s">
        <v>7</v>
      </c>
      <c r="E454" s="18"/>
      <c r="G454" s="18"/>
      <c r="H454" s="129" t="s">
        <v>347</v>
      </c>
      <c r="I454" s="358">
        <v>-5.0E7</v>
      </c>
    </row>
    <row r="455" ht="22.5" customHeight="1">
      <c r="A455" s="18"/>
      <c r="B455" s="129" t="s">
        <v>348</v>
      </c>
      <c r="C455" s="115">
        <f>-93*3000</f>
        <v>-279000</v>
      </c>
      <c r="D455" s="48"/>
      <c r="E455" s="18"/>
      <c r="G455" s="18"/>
      <c r="H455" s="129" t="s">
        <v>313</v>
      </c>
      <c r="I455" s="358">
        <v>4100000.0</v>
      </c>
    </row>
    <row r="456" ht="22.5" customHeight="1">
      <c r="A456" s="18"/>
      <c r="B456" s="56" t="s">
        <v>57</v>
      </c>
      <c r="C456" s="115">
        <v>0.0</v>
      </c>
      <c r="D456" s="48"/>
      <c r="E456" s="18"/>
      <c r="G456" s="18"/>
      <c r="H456" s="129" t="s">
        <v>349</v>
      </c>
      <c r="I456" s="358">
        <v>-5.0E7</v>
      </c>
    </row>
    <row r="457" ht="22.5" customHeight="1">
      <c r="A457" s="22"/>
      <c r="B457" s="56"/>
      <c r="C457" s="115"/>
      <c r="D457" s="48"/>
      <c r="E457" s="22"/>
      <c r="F457" s="351" t="s">
        <v>350</v>
      </c>
      <c r="G457" s="22"/>
      <c r="H457" s="359" t="s">
        <v>99</v>
      </c>
      <c r="I457" s="99">
        <f>SUM(I447:I456)</f>
        <v>166057900</v>
      </c>
    </row>
    <row r="458" ht="20.25" customHeight="1">
      <c r="A458" s="349" t="s">
        <v>149</v>
      </c>
      <c r="B458" s="129" t="s">
        <v>351</v>
      </c>
      <c r="C458" s="115">
        <v>941300.0</v>
      </c>
      <c r="D458" s="48"/>
      <c r="E458" s="360">
        <f>SUM(C458:D462)</f>
        <v>6355300</v>
      </c>
      <c r="H458" s="351" t="s">
        <v>352</v>
      </c>
    </row>
    <row r="459" ht="20.25" customHeight="1">
      <c r="A459" s="18"/>
      <c r="B459" s="56" t="s">
        <v>53</v>
      </c>
      <c r="C459" s="115">
        <v>0.0</v>
      </c>
      <c r="D459" s="48"/>
      <c r="E459" s="18"/>
    </row>
    <row r="460" ht="20.25" customHeight="1">
      <c r="A460" s="18"/>
      <c r="B460" s="56" t="s">
        <v>55</v>
      </c>
      <c r="C460" s="119">
        <f>8665000+3861000</f>
        <v>12526000</v>
      </c>
      <c r="D460" s="48"/>
      <c r="E460" s="18"/>
    </row>
    <row r="461" ht="20.25" customHeight="1">
      <c r="A461" s="18"/>
      <c r="B461" s="129" t="s">
        <v>353</v>
      </c>
      <c r="C461" s="119">
        <v>-3000000.0</v>
      </c>
      <c r="D461" s="48"/>
      <c r="E461" s="18"/>
    </row>
    <row r="462" ht="20.25" customHeight="1">
      <c r="A462" s="22"/>
      <c r="B462" s="56" t="s">
        <v>57</v>
      </c>
      <c r="C462" s="119">
        <v>5888000.0</v>
      </c>
      <c r="D462" s="115">
        <v>-1.0E7</v>
      </c>
      <c r="E462" s="22"/>
    </row>
    <row r="463" ht="20.25" customHeight="1">
      <c r="A463" s="349" t="s">
        <v>150</v>
      </c>
      <c r="B463" s="56" t="s">
        <v>51</v>
      </c>
      <c r="C463" s="115">
        <v>3.6343E7</v>
      </c>
      <c r="D463" s="115" t="s">
        <v>7</v>
      </c>
      <c r="E463" s="361">
        <f>C469</f>
        <v>-45000</v>
      </c>
    </row>
    <row r="464" ht="21.0" customHeight="1">
      <c r="A464" s="18"/>
      <c r="B464" s="56" t="s">
        <v>53</v>
      </c>
      <c r="C464" s="115">
        <v>3.4491E7</v>
      </c>
      <c r="D464" s="115" t="s">
        <v>7</v>
      </c>
      <c r="E464" s="18"/>
    </row>
    <row r="465" ht="20.25" customHeight="1">
      <c r="A465" s="18"/>
      <c r="B465" s="56" t="s">
        <v>55</v>
      </c>
      <c r="C465" s="115">
        <v>5.1667E7</v>
      </c>
      <c r="D465" s="115" t="s">
        <v>7</v>
      </c>
      <c r="E465" s="18"/>
    </row>
    <row r="466" ht="20.25" customHeight="1">
      <c r="A466" s="18"/>
      <c r="B466" s="129" t="s">
        <v>354</v>
      </c>
      <c r="C466" s="115">
        <f>-3000*18</f>
        <v>-54000</v>
      </c>
      <c r="D466" s="115"/>
      <c r="E466" s="18"/>
    </row>
    <row r="467" ht="20.25" customHeight="1">
      <c r="A467" s="18"/>
      <c r="B467" s="129" t="s">
        <v>355</v>
      </c>
      <c r="C467" s="115">
        <f>-3000*14</f>
        <v>-42000</v>
      </c>
      <c r="D467" s="48"/>
      <c r="E467" s="18"/>
    </row>
    <row r="468" ht="20.25" customHeight="1">
      <c r="A468" s="18"/>
      <c r="B468" s="56" t="s">
        <v>57</v>
      </c>
      <c r="C468" s="115">
        <v>3.68045E7</v>
      </c>
      <c r="D468" s="115" t="s">
        <v>7</v>
      </c>
      <c r="E468" s="18"/>
      <c r="F468" s="134"/>
    </row>
    <row r="469" ht="20.25" customHeight="1">
      <c r="A469" s="22"/>
      <c r="B469" s="129" t="s">
        <v>356</v>
      </c>
      <c r="C469" s="115">
        <f>-3000*15</f>
        <v>-45000</v>
      </c>
      <c r="D469" s="115" t="s">
        <v>7</v>
      </c>
      <c r="E469" s="18"/>
      <c r="F469" s="134" t="s">
        <v>357</v>
      </c>
    </row>
    <row r="470" ht="20.25" customHeight="1">
      <c r="A470" s="349" t="s">
        <v>153</v>
      </c>
      <c r="B470" s="56" t="s">
        <v>51</v>
      </c>
      <c r="C470" s="119">
        <v>2063000.0</v>
      </c>
      <c r="D470" s="115" t="s">
        <v>7</v>
      </c>
      <c r="E470" s="111">
        <v>0.0</v>
      </c>
    </row>
    <row r="471" ht="20.25" customHeight="1">
      <c r="A471" s="18"/>
      <c r="B471" s="56" t="s">
        <v>53</v>
      </c>
      <c r="C471" s="119">
        <v>9171500.0</v>
      </c>
      <c r="D471" s="115" t="s">
        <v>7</v>
      </c>
      <c r="E471" s="18"/>
    </row>
    <row r="472" ht="20.25" customHeight="1">
      <c r="A472" s="18"/>
      <c r="B472" s="56" t="s">
        <v>55</v>
      </c>
      <c r="C472" s="119">
        <v>6.93738E7</v>
      </c>
      <c r="D472" s="115" t="s">
        <v>7</v>
      </c>
      <c r="E472" s="18"/>
    </row>
    <row r="473" ht="22.5" customHeight="1">
      <c r="A473" s="22"/>
      <c r="B473" s="56" t="s">
        <v>57</v>
      </c>
      <c r="C473" s="119">
        <f>89651500+6320000</f>
        <v>95971500</v>
      </c>
      <c r="D473" s="115" t="s">
        <v>7</v>
      </c>
      <c r="E473" s="18"/>
    </row>
    <row r="474" ht="22.5" customHeight="1">
      <c r="A474" s="349" t="s">
        <v>154</v>
      </c>
      <c r="B474" s="244" t="s">
        <v>239</v>
      </c>
      <c r="C474" s="238">
        <v>3.46275E7</v>
      </c>
      <c r="D474" s="115" t="s">
        <v>7</v>
      </c>
      <c r="E474" s="111">
        <v>0.0</v>
      </c>
    </row>
    <row r="475" ht="22.5" customHeight="1">
      <c r="A475" s="18"/>
      <c r="B475" s="56" t="s">
        <v>51</v>
      </c>
      <c r="C475" s="110">
        <v>3.78488E7</v>
      </c>
      <c r="D475" s="115" t="s">
        <v>7</v>
      </c>
      <c r="E475" s="18"/>
    </row>
    <row r="476" ht="22.5" customHeight="1">
      <c r="A476" s="18"/>
      <c r="B476" s="56" t="s">
        <v>53</v>
      </c>
      <c r="C476" s="110">
        <v>0.0</v>
      </c>
      <c r="D476" s="115"/>
      <c r="E476" s="18"/>
    </row>
    <row r="477" ht="22.5" customHeight="1">
      <c r="A477" s="18"/>
      <c r="B477" s="56" t="s">
        <v>55</v>
      </c>
      <c r="C477" s="110">
        <v>2.99323E7</v>
      </c>
      <c r="D477" s="115" t="s">
        <v>7</v>
      </c>
      <c r="E477" s="18"/>
    </row>
    <row r="478" ht="22.5" customHeight="1">
      <c r="A478" s="22"/>
      <c r="B478" s="56" t="s">
        <v>57</v>
      </c>
      <c r="C478" s="110">
        <v>4.02926E7</v>
      </c>
      <c r="D478" s="115" t="s">
        <v>7</v>
      </c>
      <c r="E478" s="22"/>
    </row>
    <row r="479" ht="22.5" customHeight="1">
      <c r="A479" s="349" t="s">
        <v>155</v>
      </c>
      <c r="B479" s="56" t="s">
        <v>51</v>
      </c>
      <c r="C479" s="110">
        <v>3.342E7</v>
      </c>
      <c r="D479" s="115" t="s">
        <v>7</v>
      </c>
      <c r="E479" s="361">
        <v>0.0</v>
      </c>
    </row>
    <row r="480" ht="22.5" customHeight="1">
      <c r="A480" s="18"/>
      <c r="B480" s="56" t="s">
        <v>53</v>
      </c>
      <c r="C480" s="110">
        <v>2.5158E7</v>
      </c>
      <c r="D480" s="115" t="s">
        <v>7</v>
      </c>
      <c r="E480" s="18"/>
      <c r="J480" s="135" t="s">
        <v>157</v>
      </c>
      <c r="K480" s="133" t="s">
        <v>151</v>
      </c>
      <c r="L480" s="51">
        <v>9.46043E8</v>
      </c>
    </row>
    <row r="481" ht="22.5" customHeight="1">
      <c r="A481" s="18"/>
      <c r="B481" s="56" t="s">
        <v>55</v>
      </c>
      <c r="C481" s="110">
        <v>2.712E7</v>
      </c>
      <c r="D481" s="115" t="s">
        <v>7</v>
      </c>
      <c r="E481" s="18"/>
      <c r="J481" s="18"/>
      <c r="K481" s="56"/>
      <c r="L481" s="48"/>
    </row>
    <row r="482" ht="22.5" customHeight="1">
      <c r="A482" s="22"/>
      <c r="B482" s="56" t="s">
        <v>57</v>
      </c>
      <c r="C482" s="110">
        <v>3.353E7</v>
      </c>
      <c r="D482" s="115" t="s">
        <v>7</v>
      </c>
      <c r="E482" s="18"/>
      <c r="G482" s="240" t="s">
        <v>156</v>
      </c>
      <c r="H482" s="244" t="s">
        <v>238</v>
      </c>
      <c r="I482" s="238">
        <v>1.0494E8</v>
      </c>
      <c r="J482" s="22"/>
      <c r="K482" s="56" t="s">
        <v>99</v>
      </c>
      <c r="L482" s="122"/>
    </row>
    <row r="483" ht="22.5" customHeight="1">
      <c r="A483" s="362" t="s">
        <v>156</v>
      </c>
      <c r="B483" s="56" t="s">
        <v>51</v>
      </c>
      <c r="C483" s="110">
        <v>4050000.0</v>
      </c>
      <c r="D483" s="48"/>
      <c r="E483" s="356">
        <f>SUM(C483:C487)</f>
        <v>62153000</v>
      </c>
      <c r="G483" s="18"/>
      <c r="H483" s="244" t="s">
        <v>239</v>
      </c>
      <c r="I483" s="238">
        <v>7.033E7</v>
      </c>
    </row>
    <row r="484" ht="22.5" customHeight="1">
      <c r="A484" s="18"/>
      <c r="B484" s="56" t="s">
        <v>53</v>
      </c>
      <c r="C484" s="198">
        <v>1.35E7</v>
      </c>
      <c r="D484" s="48"/>
      <c r="E484" s="18"/>
      <c r="G484" s="18"/>
      <c r="H484" s="129" t="s">
        <v>315</v>
      </c>
      <c r="I484" s="110">
        <v>4050000.0</v>
      </c>
    </row>
    <row r="485" ht="22.5" customHeight="1">
      <c r="A485" s="18"/>
      <c r="B485" s="56" t="s">
        <v>55</v>
      </c>
      <c r="C485" s="198">
        <v>3.0714E7</v>
      </c>
      <c r="D485" s="48"/>
      <c r="E485" s="18"/>
      <c r="G485" s="18"/>
      <c r="H485" s="129" t="s">
        <v>314</v>
      </c>
      <c r="I485" s="198">
        <v>1.35E7</v>
      </c>
    </row>
    <row r="486" ht="22.5" customHeight="1">
      <c r="A486" s="18"/>
      <c r="B486" s="56" t="s">
        <v>57</v>
      </c>
      <c r="C486" s="110">
        <v>1.5389E7</v>
      </c>
      <c r="D486" s="48"/>
      <c r="E486" s="18"/>
      <c r="G486" s="18"/>
      <c r="H486" s="129" t="s">
        <v>312</v>
      </c>
      <c r="I486" s="198">
        <v>3.0714E7</v>
      </c>
    </row>
    <row r="487" ht="22.5" customHeight="1">
      <c r="A487" s="22"/>
      <c r="B487" s="354" t="s">
        <v>346</v>
      </c>
      <c r="C487" s="110">
        <v>-1500000.0</v>
      </c>
      <c r="D487" s="48"/>
      <c r="E487" s="18"/>
      <c r="G487" s="18"/>
      <c r="H487" s="129" t="s">
        <v>358</v>
      </c>
      <c r="I487" s="198">
        <v>-7.033E7</v>
      </c>
    </row>
    <row r="488" ht="22.5" customHeight="1">
      <c r="A488" s="349" t="s">
        <v>158</v>
      </c>
      <c r="B488" s="56" t="s">
        <v>51</v>
      </c>
      <c r="C488" s="110">
        <v>9213500.0</v>
      </c>
      <c r="D488" s="115" t="s">
        <v>7</v>
      </c>
      <c r="E488" s="111">
        <v>0.0</v>
      </c>
      <c r="G488" s="18"/>
      <c r="H488" s="354" t="s">
        <v>346</v>
      </c>
      <c r="I488" s="198">
        <v>-1500000.0</v>
      </c>
    </row>
    <row r="489" ht="22.5" customHeight="1">
      <c r="A489" s="18"/>
      <c r="B489" s="56" t="s">
        <v>53</v>
      </c>
      <c r="C489" s="110">
        <v>1.283E7</v>
      </c>
      <c r="D489" s="115" t="s">
        <v>7</v>
      </c>
      <c r="E489" s="18"/>
      <c r="G489" s="18"/>
      <c r="H489" s="129" t="s">
        <v>313</v>
      </c>
      <c r="I489" s="110">
        <v>1.5389E7</v>
      </c>
    </row>
    <row r="490" ht="22.5" customHeight="1">
      <c r="A490" s="18"/>
      <c r="B490" s="56" t="s">
        <v>55</v>
      </c>
      <c r="C490" s="110">
        <v>1.5785E7</v>
      </c>
      <c r="D490" s="115" t="s">
        <v>7</v>
      </c>
      <c r="E490" s="18"/>
      <c r="G490" s="22"/>
      <c r="H490" s="56" t="s">
        <v>99</v>
      </c>
      <c r="I490" s="122">
        <f>SUM(I482:I489)</f>
        <v>167093000</v>
      </c>
    </row>
    <row r="491" ht="22.5" customHeight="1">
      <c r="A491" s="18"/>
      <c r="B491" s="129" t="s">
        <v>359</v>
      </c>
      <c r="C491" s="110">
        <f>-57*3000</f>
        <v>-171000</v>
      </c>
      <c r="D491" s="115"/>
      <c r="E491" s="18"/>
      <c r="I491" s="134" t="s">
        <v>360</v>
      </c>
    </row>
    <row r="492" ht="22.5" customHeight="1">
      <c r="A492" s="18"/>
      <c r="B492" s="56" t="s">
        <v>57</v>
      </c>
      <c r="C492" s="110">
        <v>1.333E7</v>
      </c>
      <c r="D492" s="115" t="s">
        <v>7</v>
      </c>
      <c r="E492" s="18"/>
      <c r="F492" s="363"/>
      <c r="G492" s="364"/>
    </row>
    <row r="493" ht="22.5" customHeight="1">
      <c r="A493" s="22"/>
      <c r="B493" s="354" t="s">
        <v>346</v>
      </c>
      <c r="C493" s="110">
        <v>-1500000.0</v>
      </c>
      <c r="D493" s="48"/>
      <c r="E493" s="18"/>
      <c r="F493" s="363" t="s">
        <v>361</v>
      </c>
      <c r="G493" s="365">
        <f>E488+I490+E479+E474+E470+E463+E458+E452+I457+E441+E437+E433+E429+E423+E419+E415+E411+E407+E403+E397</f>
        <v>689459300</v>
      </c>
    </row>
    <row r="494" ht="22.5" customHeight="1">
      <c r="A494" s="366" t="s">
        <v>159</v>
      </c>
      <c r="B494" s="129" t="s">
        <v>51</v>
      </c>
      <c r="C494" s="110">
        <v>7600000.0</v>
      </c>
      <c r="D494" s="115" t="s">
        <v>7</v>
      </c>
      <c r="E494" s="367">
        <v>0.0</v>
      </c>
    </row>
    <row r="495" ht="22.5" customHeight="1">
      <c r="A495" s="18"/>
      <c r="B495" s="129" t="s">
        <v>362</v>
      </c>
      <c r="C495" s="110">
        <v>0.0</v>
      </c>
      <c r="D495" s="115"/>
      <c r="E495" s="18"/>
    </row>
    <row r="496" ht="22.5" customHeight="1">
      <c r="A496" s="18"/>
      <c r="B496" s="116" t="s">
        <v>55</v>
      </c>
      <c r="C496" s="110">
        <v>1.91875E7</v>
      </c>
      <c r="D496" s="115" t="s">
        <v>7</v>
      </c>
      <c r="E496" s="18"/>
    </row>
    <row r="497" ht="22.5" customHeight="1">
      <c r="A497" s="18"/>
      <c r="B497" s="354" t="s">
        <v>57</v>
      </c>
      <c r="C497" s="110">
        <v>1.961E7</v>
      </c>
      <c r="D497" s="115" t="s">
        <v>7</v>
      </c>
      <c r="E497" s="18"/>
    </row>
    <row r="498" ht="22.5" customHeight="1">
      <c r="A498" s="22"/>
      <c r="B498" s="354"/>
      <c r="C498" s="151"/>
      <c r="D498" s="115"/>
      <c r="E498" s="22"/>
    </row>
    <row r="499" ht="22.5" customHeight="1">
      <c r="A499" s="366" t="s">
        <v>160</v>
      </c>
      <c r="B499" s="129" t="s">
        <v>222</v>
      </c>
      <c r="C499" s="19">
        <f>1200000+47267500+56343000+9500000</f>
        <v>114310500</v>
      </c>
      <c r="D499" s="115"/>
      <c r="E499" s="368">
        <f>SUM(C499:C506)</f>
        <v>455071000</v>
      </c>
    </row>
    <row r="500" ht="22.5" customHeight="1">
      <c r="A500" s="18"/>
      <c r="B500" s="369" t="s">
        <v>257</v>
      </c>
      <c r="C500" s="370">
        <v>1.30129E8</v>
      </c>
      <c r="D500" s="115"/>
      <c r="E500" s="18"/>
    </row>
    <row r="501" ht="22.5" customHeight="1">
      <c r="A501" s="18"/>
      <c r="B501" s="369" t="s">
        <v>225</v>
      </c>
      <c r="C501" s="370">
        <v>1.00451E8</v>
      </c>
      <c r="D501" s="48"/>
      <c r="E501" s="18"/>
    </row>
    <row r="502" ht="22.5" customHeight="1">
      <c r="A502" s="18"/>
      <c r="B502" s="192" t="s">
        <v>272</v>
      </c>
      <c r="C502" s="110">
        <v>1.7633E7</v>
      </c>
      <c r="D502" s="48"/>
      <c r="E502" s="18"/>
    </row>
    <row r="503" ht="22.5" customHeight="1">
      <c r="A503" s="18"/>
      <c r="B503" s="192" t="s">
        <v>53</v>
      </c>
      <c r="C503" s="110">
        <v>2.5525E7</v>
      </c>
      <c r="D503" s="48"/>
      <c r="E503" s="18"/>
      <c r="F503" s="20"/>
      <c r="G503" s="134" t="s">
        <v>50</v>
      </c>
    </row>
    <row r="504" ht="22.5" customHeight="1">
      <c r="A504" s="18"/>
      <c r="B504" s="116" t="s">
        <v>55</v>
      </c>
      <c r="C504" s="110">
        <v>4.6093E7</v>
      </c>
      <c r="D504" s="48"/>
      <c r="E504" s="18"/>
    </row>
    <row r="505" ht="22.5" customHeight="1">
      <c r="A505" s="18"/>
      <c r="B505" s="354" t="s">
        <v>57</v>
      </c>
      <c r="C505" s="110">
        <v>2.24295E7</v>
      </c>
      <c r="D505" s="48"/>
      <c r="E505" s="18"/>
    </row>
    <row r="506" ht="22.5" customHeight="1">
      <c r="A506" s="22"/>
      <c r="B506" s="354" t="s">
        <v>346</v>
      </c>
      <c r="C506" s="155">
        <v>-1500000.0</v>
      </c>
      <c r="D506" s="190" t="s">
        <v>7</v>
      </c>
      <c r="E506" s="22"/>
    </row>
    <row r="507" ht="22.5" customHeight="1">
      <c r="A507" s="366" t="s">
        <v>167</v>
      </c>
      <c r="B507" s="129" t="s">
        <v>51</v>
      </c>
      <c r="C507" s="110">
        <v>0.0</v>
      </c>
      <c r="D507" s="48"/>
      <c r="E507" s="367">
        <v>0.0</v>
      </c>
    </row>
    <row r="508" ht="22.5" customHeight="1">
      <c r="A508" s="18"/>
      <c r="B508" s="192" t="s">
        <v>53</v>
      </c>
      <c r="C508" s="110">
        <v>5270000.0</v>
      </c>
      <c r="D508" s="115" t="s">
        <v>7</v>
      </c>
      <c r="E508" s="18"/>
    </row>
    <row r="509" ht="22.5" customHeight="1">
      <c r="A509" s="18"/>
      <c r="B509" s="116" t="s">
        <v>55</v>
      </c>
      <c r="C509" s="110">
        <v>1.40336E7</v>
      </c>
      <c r="D509" s="115" t="s">
        <v>7</v>
      </c>
      <c r="E509" s="18"/>
    </row>
    <row r="510" ht="22.5" customHeight="1">
      <c r="A510" s="18"/>
      <c r="B510" s="354" t="s">
        <v>57</v>
      </c>
      <c r="C510" s="110">
        <v>1.2103E7</v>
      </c>
      <c r="D510" s="115" t="s">
        <v>7</v>
      </c>
      <c r="E510" s="18"/>
    </row>
    <row r="511" ht="22.5" customHeight="1">
      <c r="A511" s="22"/>
      <c r="B511" s="354" t="s">
        <v>346</v>
      </c>
      <c r="C511" s="151">
        <v>1500000.0</v>
      </c>
      <c r="D511" s="115" t="s">
        <v>7</v>
      </c>
      <c r="E511" s="22"/>
    </row>
    <row r="512" ht="22.5" customHeight="1">
      <c r="A512" s="366" t="s">
        <v>172</v>
      </c>
      <c r="B512" s="129" t="s">
        <v>258</v>
      </c>
      <c r="C512" s="110">
        <v>5166000.0</v>
      </c>
      <c r="D512" s="48"/>
      <c r="E512" s="368">
        <f>SUM(C512:C518)</f>
        <v>132721500</v>
      </c>
    </row>
    <row r="513" ht="22.5" customHeight="1">
      <c r="A513" s="18"/>
      <c r="B513" s="129" t="s">
        <v>363</v>
      </c>
      <c r="C513" s="110">
        <f>88360000-4086000</f>
        <v>84274000</v>
      </c>
      <c r="D513" s="48"/>
      <c r="E513" s="18"/>
    </row>
    <row r="514" ht="22.5" customHeight="1">
      <c r="A514" s="18"/>
      <c r="B514" s="129" t="s">
        <v>272</v>
      </c>
      <c r="C514" s="110">
        <v>8850000.0</v>
      </c>
      <c r="D514" s="48"/>
      <c r="E514" s="18"/>
    </row>
    <row r="515" ht="22.5" customHeight="1">
      <c r="A515" s="18"/>
      <c r="B515" s="192" t="s">
        <v>53</v>
      </c>
      <c r="C515" s="110">
        <v>1.6627E7</v>
      </c>
      <c r="D515" s="48"/>
      <c r="E515" s="18"/>
      <c r="F515" s="134"/>
    </row>
    <row r="516" ht="22.5" customHeight="1">
      <c r="A516" s="18"/>
      <c r="B516" s="116" t="s">
        <v>55</v>
      </c>
      <c r="C516" s="110">
        <v>5616000.0</v>
      </c>
      <c r="D516" s="48"/>
      <c r="E516" s="18"/>
      <c r="F516" s="134" t="s">
        <v>260</v>
      </c>
    </row>
    <row r="517" ht="22.5" customHeight="1">
      <c r="A517" s="18"/>
      <c r="B517" s="354" t="s">
        <v>57</v>
      </c>
      <c r="C517" s="110">
        <v>1.36885E7</v>
      </c>
      <c r="D517" s="48"/>
      <c r="E517" s="18"/>
    </row>
    <row r="518" ht="24.0" customHeight="1">
      <c r="A518" s="22"/>
      <c r="B518" s="354" t="s">
        <v>346</v>
      </c>
      <c r="C518" s="155">
        <v>-1500000.0</v>
      </c>
      <c r="D518" s="115" t="s">
        <v>7</v>
      </c>
      <c r="E518" s="22"/>
      <c r="F518" s="20"/>
    </row>
    <row r="519" ht="24.0" customHeight="1">
      <c r="A519" s="366" t="s">
        <v>178</v>
      </c>
      <c r="B519" s="129" t="s">
        <v>51</v>
      </c>
      <c r="C519" s="110">
        <v>1.888E7</v>
      </c>
      <c r="D519" s="115"/>
      <c r="E519" s="368">
        <f>sum(C519:C524)</f>
        <v>122362000</v>
      </c>
      <c r="F519" s="20"/>
    </row>
    <row r="520" ht="24.0" customHeight="1">
      <c r="A520" s="18"/>
      <c r="B520" s="129" t="s">
        <v>53</v>
      </c>
      <c r="C520" s="110">
        <v>4.9347E7</v>
      </c>
      <c r="D520" s="115"/>
      <c r="E520" s="18"/>
    </row>
    <row r="521" ht="24.0" customHeight="1">
      <c r="A521" s="18"/>
      <c r="B521" s="116" t="s">
        <v>55</v>
      </c>
      <c r="C521" s="110">
        <v>4310000.0</v>
      </c>
      <c r="D521" s="48"/>
      <c r="E521" s="18"/>
    </row>
    <row r="522" ht="27.75" customHeight="1">
      <c r="A522" s="18"/>
      <c r="B522" s="354" t="s">
        <v>57</v>
      </c>
      <c r="C522" s="110">
        <v>5.1355E7</v>
      </c>
      <c r="D522" s="48"/>
      <c r="E522" s="18"/>
      <c r="F522" s="134" t="s">
        <v>261</v>
      </c>
    </row>
    <row r="523" ht="27.75" customHeight="1">
      <c r="A523" s="18"/>
      <c r="B523" s="184" t="s">
        <v>364</v>
      </c>
      <c r="C523" s="155">
        <v>-30000.0</v>
      </c>
      <c r="D523" s="115" t="s">
        <v>7</v>
      </c>
      <c r="E523" s="18"/>
    </row>
    <row r="524" ht="27.75" customHeight="1">
      <c r="A524" s="22"/>
      <c r="B524" s="354" t="s">
        <v>346</v>
      </c>
      <c r="C524" s="155">
        <v>-1500000.0</v>
      </c>
      <c r="D524" s="115" t="s">
        <v>7</v>
      </c>
      <c r="E524" s="22"/>
    </row>
    <row r="525" ht="27.75" customHeight="1">
      <c r="A525" s="366" t="s">
        <v>182</v>
      </c>
      <c r="B525" s="190" t="s">
        <v>51</v>
      </c>
      <c r="C525" s="110">
        <v>0.0</v>
      </c>
      <c r="D525" s="115"/>
      <c r="E525" s="367">
        <f>SUM(C526:C530)</f>
        <v>91095200</v>
      </c>
    </row>
    <row r="526" ht="27.75" customHeight="1">
      <c r="A526" s="18"/>
      <c r="B526" s="129" t="s">
        <v>53</v>
      </c>
      <c r="C526" s="110">
        <v>2440000.0</v>
      </c>
      <c r="D526" s="48"/>
      <c r="E526" s="18"/>
    </row>
    <row r="527" ht="27.75" customHeight="1">
      <c r="A527" s="18"/>
      <c r="B527" s="116" t="s">
        <v>55</v>
      </c>
      <c r="C527" s="110">
        <v>2.1833E7</v>
      </c>
      <c r="D527" s="157"/>
      <c r="E527" s="18"/>
    </row>
    <row r="528" ht="27.75" customHeight="1">
      <c r="A528" s="18"/>
      <c r="B528" s="354" t="s">
        <v>57</v>
      </c>
      <c r="C528" s="110">
        <v>1.15955E7</v>
      </c>
      <c r="E528" s="18"/>
      <c r="G528" s="261" t="s">
        <v>262</v>
      </c>
    </row>
    <row r="529" ht="27.75" customHeight="1">
      <c r="A529" s="18"/>
      <c r="B529" s="371" t="s">
        <v>257</v>
      </c>
      <c r="C529" s="372">
        <v>5.67267E7</v>
      </c>
      <c r="D529" s="48"/>
      <c r="E529" s="18"/>
      <c r="G529" s="18"/>
      <c r="I529" s="134">
        <v>1.62018E8</v>
      </c>
    </row>
    <row r="530" ht="27.75" customHeight="1">
      <c r="A530" s="22"/>
      <c r="B530" s="354" t="s">
        <v>346</v>
      </c>
      <c r="C530" s="155">
        <v>-1500000.0</v>
      </c>
      <c r="D530" s="190" t="s">
        <v>7</v>
      </c>
      <c r="E530" s="22"/>
      <c r="G530" s="18"/>
      <c r="H530" s="133" t="s">
        <v>151</v>
      </c>
      <c r="I530" s="233">
        <v>1.33234E8</v>
      </c>
    </row>
    <row r="531" ht="27.75" customHeight="1">
      <c r="A531" s="366" t="s">
        <v>184</v>
      </c>
      <c r="B531" s="129"/>
      <c r="C531" s="110"/>
      <c r="D531" s="373"/>
      <c r="E531" s="367">
        <v>0.0</v>
      </c>
      <c r="G531" s="18"/>
      <c r="H531" s="129" t="s">
        <v>264</v>
      </c>
      <c r="I531" s="115">
        <v>-3.0E7</v>
      </c>
    </row>
    <row r="532" ht="27.75" customHeight="1">
      <c r="A532" s="18"/>
      <c r="B532" s="129"/>
      <c r="C532" s="110"/>
      <c r="D532" s="373"/>
      <c r="E532" s="18"/>
      <c r="G532" s="18"/>
      <c r="H532" s="56"/>
      <c r="I532" s="122"/>
    </row>
    <row r="533" ht="27.75" customHeight="1">
      <c r="A533" s="18"/>
      <c r="B533" s="192" t="s">
        <v>51</v>
      </c>
      <c r="C533" s="110">
        <f>sum(57406000-50000000)</f>
        <v>7406000</v>
      </c>
      <c r="D533" s="373" t="s">
        <v>7</v>
      </c>
      <c r="E533" s="18"/>
      <c r="G533" s="22"/>
      <c r="H533" s="56"/>
      <c r="I533" s="122"/>
    </row>
    <row r="534" ht="27.75" customHeight="1">
      <c r="A534" s="18"/>
      <c r="B534" s="192" t="s">
        <v>53</v>
      </c>
      <c r="C534" s="110">
        <v>1.91955E7</v>
      </c>
      <c r="D534" s="373" t="s">
        <v>7</v>
      </c>
      <c r="E534" s="18"/>
      <c r="G534" s="135" t="s">
        <v>185</v>
      </c>
      <c r="H534" s="56"/>
      <c r="I534" s="122"/>
    </row>
    <row r="535" ht="27.75" customHeight="1">
      <c r="A535" s="18"/>
      <c r="B535" s="116" t="s">
        <v>55</v>
      </c>
      <c r="C535" s="110">
        <v>0.0</v>
      </c>
      <c r="D535" s="374"/>
      <c r="E535" s="18"/>
      <c r="G535" s="18"/>
      <c r="H535" s="56" t="s">
        <v>99</v>
      </c>
      <c r="I535" s="122">
        <f>SUM(I530:I531)</f>
        <v>103234000</v>
      </c>
    </row>
    <row r="536" ht="27.75" customHeight="1">
      <c r="A536" s="18"/>
      <c r="B536" s="354" t="s">
        <v>57</v>
      </c>
      <c r="C536" s="110">
        <v>0.0</v>
      </c>
      <c r="D536" s="374"/>
      <c r="E536" s="18"/>
      <c r="G536" s="18"/>
      <c r="H536" s="133" t="s">
        <v>151</v>
      </c>
      <c r="I536" s="233">
        <v>3.00991E8</v>
      </c>
    </row>
    <row r="537" ht="27.75" customHeight="1">
      <c r="A537" s="18"/>
      <c r="B537" s="354" t="s">
        <v>346</v>
      </c>
      <c r="C537" s="151">
        <v>1500000.0</v>
      </c>
      <c r="D537" s="110"/>
      <c r="E537" s="18"/>
      <c r="G537" s="18"/>
      <c r="H537" s="129" t="s">
        <v>268</v>
      </c>
      <c r="I537" s="115">
        <v>-2.0E8</v>
      </c>
    </row>
    <row r="538" ht="27.75" customHeight="1">
      <c r="A538" s="18"/>
      <c r="B538" s="110"/>
      <c r="C538" s="110"/>
      <c r="D538" s="110"/>
      <c r="E538" s="18"/>
      <c r="G538" s="18"/>
      <c r="H538" s="129" t="s">
        <v>269</v>
      </c>
      <c r="I538" s="115">
        <v>-5.0999E7</v>
      </c>
    </row>
    <row r="539" ht="27.75" customHeight="1">
      <c r="A539" s="22"/>
      <c r="B539" s="110"/>
      <c r="C539" s="110"/>
      <c r="D539" s="110"/>
      <c r="E539" s="22"/>
      <c r="G539" s="18"/>
      <c r="H539" s="129" t="s">
        <v>365</v>
      </c>
      <c r="I539" s="130">
        <v>-4.9992E7</v>
      </c>
    </row>
    <row r="540" ht="27.75" customHeight="1">
      <c r="A540" s="366" t="s">
        <v>188</v>
      </c>
      <c r="B540" s="129" t="s">
        <v>51</v>
      </c>
      <c r="C540" s="110">
        <v>3.513E7</v>
      </c>
      <c r="D540" s="115" t="s">
        <v>7</v>
      </c>
      <c r="E540" s="367">
        <v>0.0</v>
      </c>
      <c r="G540" s="18"/>
      <c r="H540" s="56"/>
      <c r="I540" s="122"/>
    </row>
    <row r="541" ht="27.75" customHeight="1">
      <c r="A541" s="18"/>
      <c r="B541" s="129" t="s">
        <v>53</v>
      </c>
      <c r="C541" s="110">
        <v>5.5539E7</v>
      </c>
      <c r="D541" s="115" t="s">
        <v>7</v>
      </c>
      <c r="E541" s="18"/>
      <c r="G541" s="22"/>
      <c r="H541" s="56"/>
      <c r="I541" s="122"/>
    </row>
    <row r="542" ht="27.75" customHeight="1">
      <c r="A542" s="18"/>
      <c r="B542" s="116" t="s">
        <v>55</v>
      </c>
      <c r="C542" s="110">
        <v>4.50265E7</v>
      </c>
      <c r="D542" s="115" t="s">
        <v>7</v>
      </c>
      <c r="E542" s="18"/>
      <c r="H542" s="56"/>
      <c r="I542" s="122"/>
    </row>
    <row r="543" ht="27.75" customHeight="1">
      <c r="A543" s="18"/>
      <c r="B543" s="354" t="s">
        <v>57</v>
      </c>
      <c r="C543" s="110">
        <v>0.0</v>
      </c>
      <c r="D543" s="48"/>
      <c r="E543" s="18"/>
      <c r="H543" s="56" t="s">
        <v>99</v>
      </c>
      <c r="I543" s="130">
        <v>0.0</v>
      </c>
    </row>
    <row r="544" ht="27.75" customHeight="1">
      <c r="A544" s="22"/>
      <c r="B544" s="354"/>
      <c r="C544" s="151"/>
      <c r="D544" s="266"/>
      <c r="E544" s="22"/>
    </row>
    <row r="545" ht="27.75" customHeight="1">
      <c r="A545" s="366" t="s">
        <v>190</v>
      </c>
      <c r="B545" s="129" t="s">
        <v>272</v>
      </c>
      <c r="C545" s="110">
        <v>0.0</v>
      </c>
      <c r="D545" s="266"/>
      <c r="E545" s="367">
        <f>SUM(C545:C548)</f>
        <v>108200500</v>
      </c>
    </row>
    <row r="546" ht="27.75" customHeight="1">
      <c r="A546" s="18"/>
      <c r="B546" s="129" t="s">
        <v>53</v>
      </c>
      <c r="C546" s="115">
        <v>7.98625E7</v>
      </c>
      <c r="E546" s="18"/>
    </row>
    <row r="547" ht="27.75" customHeight="1">
      <c r="A547" s="18"/>
      <c r="B547" s="159" t="s">
        <v>55</v>
      </c>
      <c r="C547" s="115">
        <v>2.8338E7</v>
      </c>
      <c r="D547" s="48"/>
      <c r="E547" s="18"/>
    </row>
    <row r="548" ht="28.5" customHeight="1">
      <c r="A548" s="18"/>
      <c r="B548" s="159" t="s">
        <v>57</v>
      </c>
      <c r="C548" s="110">
        <v>0.0</v>
      </c>
      <c r="D548" s="48"/>
      <c r="E548" s="18"/>
      <c r="G548" s="261" t="s">
        <v>271</v>
      </c>
    </row>
    <row r="549" ht="28.5" customHeight="1">
      <c r="A549" s="22"/>
      <c r="B549" s="354" t="s">
        <v>346</v>
      </c>
      <c r="C549" s="155">
        <v>1500000.0</v>
      </c>
      <c r="D549" s="48"/>
      <c r="E549" s="22"/>
      <c r="G549" s="18"/>
    </row>
    <row r="550" ht="28.5" customHeight="1">
      <c r="A550" s="366" t="s">
        <v>192</v>
      </c>
      <c r="B550" s="129" t="s">
        <v>51</v>
      </c>
      <c r="C550" s="110">
        <v>0.0</v>
      </c>
      <c r="D550" s="48"/>
      <c r="E550" s="367">
        <v>0.0</v>
      </c>
      <c r="G550" s="18"/>
      <c r="H550" s="133" t="s">
        <v>151</v>
      </c>
      <c r="I550" s="233">
        <v>8.12009E8</v>
      </c>
    </row>
    <row r="551" ht="28.5" customHeight="1">
      <c r="A551" s="18"/>
      <c r="B551" s="129" t="s">
        <v>53</v>
      </c>
      <c r="C551" s="110">
        <v>8.241E7</v>
      </c>
      <c r="D551" s="115" t="s">
        <v>7</v>
      </c>
      <c r="E551" s="18"/>
      <c r="G551" s="18"/>
      <c r="H551" s="129"/>
      <c r="I551" s="115"/>
    </row>
    <row r="552" ht="28.5" customHeight="1">
      <c r="A552" s="18"/>
      <c r="B552" s="129" t="s">
        <v>55</v>
      </c>
      <c r="C552" s="110">
        <v>4.1866E7</v>
      </c>
      <c r="D552" s="115" t="s">
        <v>7</v>
      </c>
      <c r="E552" s="18"/>
      <c r="G552" s="22"/>
      <c r="H552" s="129" t="s">
        <v>366</v>
      </c>
      <c r="I552" s="115"/>
    </row>
    <row r="553" ht="27.0" customHeight="1">
      <c r="A553" s="18"/>
      <c r="B553" s="129" t="s">
        <v>57</v>
      </c>
      <c r="C553" s="110">
        <v>3698000.0</v>
      </c>
      <c r="D553" s="115" t="s">
        <v>7</v>
      </c>
      <c r="E553" s="18"/>
      <c r="G553" s="261" t="s">
        <v>273</v>
      </c>
      <c r="H553" s="56"/>
      <c r="I553" s="48"/>
    </row>
    <row r="554" ht="27.0" customHeight="1">
      <c r="A554" s="22"/>
      <c r="B554" s="354" t="s">
        <v>346</v>
      </c>
      <c r="C554" s="155">
        <v>-1500000.0</v>
      </c>
      <c r="D554" s="115" t="s">
        <v>7</v>
      </c>
      <c r="E554" s="22"/>
      <c r="G554" s="18"/>
      <c r="H554" s="56" t="s">
        <v>99</v>
      </c>
      <c r="I554" s="122">
        <f>SUM(I550:I553)</f>
        <v>812009000</v>
      </c>
      <c r="M554" s="20"/>
    </row>
    <row r="555" ht="27.0" customHeight="1">
      <c r="A555" s="366" t="s">
        <v>196</v>
      </c>
      <c r="B555" s="129" t="s">
        <v>51</v>
      </c>
      <c r="C555" s="110">
        <v>1.092E7</v>
      </c>
      <c r="D555" s="115" t="s">
        <v>7</v>
      </c>
      <c r="E555" s="367">
        <v>0.0</v>
      </c>
      <c r="G555" s="18"/>
      <c r="H555" s="133" t="s">
        <v>151</v>
      </c>
      <c r="I555" s="233">
        <v>2.5E8</v>
      </c>
      <c r="M555" s="20">
        <f>69.5*30000</f>
        <v>2085000</v>
      </c>
    </row>
    <row r="556" ht="27.0" customHeight="1">
      <c r="A556" s="18"/>
      <c r="B556" s="129" t="s">
        <v>53</v>
      </c>
      <c r="C556" s="110">
        <v>1.64475E7</v>
      </c>
      <c r="D556" s="115" t="s">
        <v>7</v>
      </c>
      <c r="E556" s="18"/>
      <c r="F556" s="20"/>
      <c r="G556" s="18"/>
      <c r="H556" s="129"/>
      <c r="I556" s="115"/>
    </row>
    <row r="557" ht="27.0" customHeight="1">
      <c r="A557" s="18"/>
      <c r="B557" s="129" t="s">
        <v>55</v>
      </c>
      <c r="C557" s="110">
        <v>9177500.0</v>
      </c>
      <c r="D557" s="115" t="s">
        <v>7</v>
      </c>
      <c r="E557" s="18"/>
      <c r="F557" s="20" t="s">
        <v>195</v>
      </c>
      <c r="G557" s="22"/>
      <c r="H557" s="129"/>
      <c r="I557" s="115"/>
    </row>
    <row r="558" ht="27.0" customHeight="1">
      <c r="A558" s="18"/>
      <c r="B558" s="129" t="s">
        <v>57</v>
      </c>
      <c r="C558" s="110">
        <v>0.0</v>
      </c>
      <c r="D558" s="48"/>
      <c r="E558" s="18"/>
      <c r="G558" s="135" t="s">
        <v>197</v>
      </c>
      <c r="H558" s="56"/>
      <c r="I558" s="115"/>
    </row>
    <row r="559" ht="27.0" customHeight="1">
      <c r="A559" s="22"/>
      <c r="B559" s="354"/>
      <c r="C559" s="151"/>
      <c r="D559" s="115"/>
      <c r="E559" s="22"/>
      <c r="G559" s="18"/>
      <c r="H559" s="56" t="s">
        <v>99</v>
      </c>
      <c r="I559" s="122">
        <f>SUM(I555:I557)</f>
        <v>250000000</v>
      </c>
    </row>
    <row r="560" ht="27.0" customHeight="1">
      <c r="A560" s="366" t="s">
        <v>200</v>
      </c>
      <c r="B560" s="129"/>
      <c r="C560" s="110"/>
      <c r="D560" s="115"/>
      <c r="E560" s="368">
        <f>SUM(C561:C564)</f>
        <v>38877500</v>
      </c>
      <c r="G560" s="18"/>
      <c r="H560" s="133" t="s">
        <v>151</v>
      </c>
      <c r="I560" s="51">
        <v>5.48422E8</v>
      </c>
    </row>
    <row r="561" ht="27.0" customHeight="1">
      <c r="A561" s="18"/>
      <c r="B561" s="129" t="s">
        <v>53</v>
      </c>
      <c r="C561" s="110">
        <v>3960000.0</v>
      </c>
      <c r="D561" s="115"/>
      <c r="E561" s="18"/>
      <c r="F561" s="20"/>
      <c r="G561" s="18"/>
      <c r="H561" s="56"/>
      <c r="I561" s="48"/>
    </row>
    <row r="562" ht="27.0" customHeight="1">
      <c r="A562" s="18"/>
      <c r="B562" s="129" t="s">
        <v>55</v>
      </c>
      <c r="C562" s="110">
        <v>1.1981E7</v>
      </c>
      <c r="D562" s="115"/>
      <c r="E562" s="18"/>
      <c r="F562" s="203"/>
      <c r="G562" s="22"/>
      <c r="H562" s="56" t="s">
        <v>198</v>
      </c>
      <c r="I562" s="48">
        <v>-1.1202E7</v>
      </c>
    </row>
    <row r="563" ht="27.0" customHeight="1">
      <c r="A563" s="18"/>
      <c r="B563" s="129" t="s">
        <v>57</v>
      </c>
      <c r="C563" s="110">
        <v>2.44365E7</v>
      </c>
      <c r="D563" s="157"/>
      <c r="E563" s="18"/>
      <c r="G563" s="261" t="s">
        <v>276</v>
      </c>
      <c r="H563" s="56"/>
      <c r="I563" s="48"/>
      <c r="J563" s="261" t="s">
        <v>277</v>
      </c>
      <c r="K563" s="133" t="s">
        <v>151</v>
      </c>
      <c r="L563" s="233">
        <v>7.91183E8</v>
      </c>
    </row>
    <row r="564" ht="27.0" customHeight="1">
      <c r="A564" s="18"/>
      <c r="B564" s="354" t="s">
        <v>346</v>
      </c>
      <c r="C564" s="155">
        <v>-1500000.0</v>
      </c>
      <c r="D564" s="190" t="s">
        <v>7</v>
      </c>
      <c r="E564" s="18"/>
      <c r="G564" s="18"/>
      <c r="H564" s="56"/>
      <c r="I564" s="122"/>
      <c r="J564" s="18"/>
      <c r="K564" s="268" t="s">
        <v>279</v>
      </c>
      <c r="L564" s="120">
        <f>-4000000-3500000-6750000</f>
        <v>-14250000</v>
      </c>
    </row>
    <row r="565" ht="27.0" customHeight="1">
      <c r="A565" s="18"/>
      <c r="B565" s="129"/>
      <c r="C565" s="110"/>
      <c r="D565" s="115"/>
      <c r="E565" s="18"/>
      <c r="G565" s="18"/>
      <c r="H565" s="129" t="s">
        <v>228</v>
      </c>
      <c r="I565" s="48">
        <f>46972000+55721000+48467500</f>
        <v>151160500</v>
      </c>
      <c r="J565" s="18"/>
      <c r="K565" s="22"/>
      <c r="L565" s="22"/>
    </row>
    <row r="566" ht="27.0" customHeight="1">
      <c r="A566" s="22"/>
      <c r="B566" s="129"/>
      <c r="C566" s="110"/>
      <c r="D566" s="115"/>
      <c r="E566" s="22"/>
      <c r="G566" s="18"/>
      <c r="H566" s="129" t="s">
        <v>278</v>
      </c>
      <c r="I566" s="115">
        <v>3.80105E7</v>
      </c>
      <c r="J566" s="18"/>
      <c r="K566" s="56"/>
      <c r="L566" s="122"/>
    </row>
    <row r="567" ht="27.0" customHeight="1">
      <c r="A567" s="375" t="s">
        <v>367</v>
      </c>
      <c r="B567" s="374" t="s">
        <v>51</v>
      </c>
      <c r="C567" s="110">
        <v>1.280385E8</v>
      </c>
      <c r="D567" s="190" t="s">
        <v>7</v>
      </c>
      <c r="E567" s="368">
        <f>SUM(C569:C572)</f>
        <v>112517500</v>
      </c>
      <c r="G567" s="22"/>
      <c r="H567" s="56"/>
      <c r="I567" s="48"/>
      <c r="J567" s="22"/>
      <c r="K567" s="56" t="s">
        <v>99</v>
      </c>
      <c r="L567" s="122">
        <f>SUM(L563:L565)</f>
        <v>776933000</v>
      </c>
    </row>
    <row r="568" ht="27.0" customHeight="1">
      <c r="A568" s="18"/>
      <c r="B568" s="192" t="s">
        <v>53</v>
      </c>
      <c r="C568" s="110">
        <v>6.52925E7</v>
      </c>
      <c r="D568" s="115" t="s">
        <v>7</v>
      </c>
      <c r="E568" s="18"/>
      <c r="F568" s="134" t="s">
        <v>368</v>
      </c>
      <c r="G568" s="261" t="s">
        <v>281</v>
      </c>
      <c r="H568" s="56"/>
      <c r="I568" s="122"/>
    </row>
    <row r="569" ht="27.0" customHeight="1">
      <c r="A569" s="18"/>
      <c r="B569" s="129" t="s">
        <v>55</v>
      </c>
      <c r="C569" s="110">
        <v>3.68475E7</v>
      </c>
      <c r="E569" s="18"/>
      <c r="F569" s="134" t="s">
        <v>369</v>
      </c>
      <c r="G569" s="18"/>
      <c r="H569" s="56" t="s">
        <v>99</v>
      </c>
      <c r="I569" s="122">
        <f>SUM(I565:I567)</f>
        <v>189171000</v>
      </c>
    </row>
    <row r="570" ht="27.0" customHeight="1">
      <c r="A570" s="18"/>
      <c r="B570" s="129" t="s">
        <v>370</v>
      </c>
      <c r="C570" s="110">
        <v>-570000.0</v>
      </c>
      <c r="D570" s="48"/>
      <c r="E570" s="18"/>
      <c r="F570" s="134" t="s">
        <v>371</v>
      </c>
      <c r="G570" s="18"/>
      <c r="H570" s="133" t="s">
        <v>151</v>
      </c>
      <c r="I570" s="233">
        <v>1.296402E9</v>
      </c>
    </row>
    <row r="571" ht="27.0" customHeight="1">
      <c r="A571" s="18"/>
      <c r="B571" s="129" t="s">
        <v>57</v>
      </c>
      <c r="C571" s="110">
        <v>7.774E7</v>
      </c>
      <c r="D571" s="48"/>
      <c r="E571" s="18"/>
      <c r="G571" s="18"/>
      <c r="H571" s="56"/>
      <c r="I571" s="48"/>
    </row>
    <row r="572" ht="27.0" customHeight="1">
      <c r="A572" s="22"/>
      <c r="B572" s="354" t="s">
        <v>346</v>
      </c>
      <c r="C572" s="155">
        <v>-1500000.0</v>
      </c>
      <c r="D572" s="190" t="s">
        <v>7</v>
      </c>
      <c r="E572" s="22"/>
      <c r="G572" s="18"/>
      <c r="H572" s="56"/>
      <c r="I572" s="48"/>
    </row>
    <row r="573" ht="27.0" customHeight="1">
      <c r="A573" s="366" t="s">
        <v>202</v>
      </c>
      <c r="B573" s="129" t="s">
        <v>372</v>
      </c>
      <c r="C573" s="110">
        <f>sum(38984000-16198000)</f>
        <v>22786000</v>
      </c>
      <c r="D573" s="157"/>
      <c r="E573" s="367">
        <f>SUM(C573:C583)</f>
        <v>149764500</v>
      </c>
      <c r="G573" s="18"/>
      <c r="H573" s="56"/>
      <c r="I573" s="122"/>
    </row>
    <row r="574" ht="27.0" customHeight="1">
      <c r="A574" s="18"/>
      <c r="B574" s="192" t="s">
        <v>51</v>
      </c>
      <c r="C574" s="192">
        <v>0.0</v>
      </c>
      <c r="D574" s="157"/>
      <c r="E574" s="18"/>
      <c r="G574" s="18"/>
      <c r="H574" s="56"/>
      <c r="I574" s="122"/>
    </row>
    <row r="575" ht="27.0" customHeight="1">
      <c r="A575" s="18"/>
      <c r="B575" s="376" t="s">
        <v>53</v>
      </c>
      <c r="C575" s="110">
        <v>9170000.0</v>
      </c>
      <c r="D575" s="157"/>
      <c r="E575" s="18"/>
      <c r="F575" s="377"/>
      <c r="G575" s="22"/>
      <c r="H575" s="56"/>
      <c r="I575" s="122"/>
    </row>
    <row r="576" ht="27.0" customHeight="1">
      <c r="A576" s="18"/>
      <c r="B576" s="129" t="s">
        <v>55</v>
      </c>
      <c r="C576" s="110">
        <v>1.3116E7</v>
      </c>
      <c r="D576" s="157"/>
      <c r="E576" s="18"/>
      <c r="F576" s="378"/>
      <c r="G576" s="379" t="s">
        <v>373</v>
      </c>
      <c r="H576" s="56"/>
      <c r="I576" s="122"/>
    </row>
    <row r="577" ht="27.0" customHeight="1">
      <c r="A577" s="18"/>
      <c r="B577" s="380" t="s">
        <v>374</v>
      </c>
      <c r="C577" s="381">
        <v>-225000.0</v>
      </c>
      <c r="D577" s="192"/>
      <c r="E577" s="18"/>
      <c r="F577" s="377"/>
      <c r="G577" s="86"/>
      <c r="H577" s="56" t="s">
        <v>99</v>
      </c>
      <c r="I577" s="122">
        <f>SUM(I570:I572)</f>
        <v>1296402000</v>
      </c>
    </row>
    <row r="578" ht="27.75" customHeight="1">
      <c r="A578" s="18"/>
      <c r="B578" s="380" t="s">
        <v>375</v>
      </c>
      <c r="C578" s="381">
        <v>-378000.0</v>
      </c>
      <c r="D578" s="192"/>
      <c r="E578" s="18"/>
      <c r="F578" s="377"/>
      <c r="G578" s="89"/>
      <c r="H578" s="133" t="s">
        <v>151</v>
      </c>
      <c r="I578" s="233">
        <v>1.434371E9</v>
      </c>
    </row>
    <row r="579" ht="27.0" customHeight="1">
      <c r="A579" s="18"/>
      <c r="B579" s="380" t="s">
        <v>376</v>
      </c>
      <c r="C579" s="381">
        <v>-266000.0</v>
      </c>
      <c r="D579" s="192"/>
      <c r="E579" s="18"/>
      <c r="F579" s="377"/>
      <c r="G579" s="382"/>
      <c r="H579" s="56"/>
      <c r="I579" s="48"/>
    </row>
    <row r="580" ht="28.5" customHeight="1">
      <c r="A580" s="18"/>
      <c r="B580" s="383" t="s">
        <v>346</v>
      </c>
      <c r="C580" s="384">
        <v>-1500000.0</v>
      </c>
      <c r="D580" s="115" t="s">
        <v>7</v>
      </c>
      <c r="E580" s="18"/>
      <c r="F580" s="377"/>
      <c r="G580" s="382"/>
      <c r="H580" s="56" t="s">
        <v>99</v>
      </c>
      <c r="I580" s="122">
        <f>SUM(I578:I579)</f>
        <v>1434371000</v>
      </c>
    </row>
    <row r="581" ht="27.0" customHeight="1">
      <c r="A581" s="18"/>
      <c r="B581" s="110" t="s">
        <v>57</v>
      </c>
      <c r="C581" s="110">
        <v>2.99375E7</v>
      </c>
      <c r="D581" s="110"/>
      <c r="E581" s="18"/>
      <c r="G581" s="143"/>
      <c r="H581" s="30"/>
      <c r="I581" s="48"/>
    </row>
    <row r="582" ht="27.0" customHeight="1">
      <c r="A582" s="18"/>
      <c r="B582" s="380" t="s">
        <v>377</v>
      </c>
      <c r="C582" s="385">
        <v>-90000.0</v>
      </c>
      <c r="D582" s="110"/>
      <c r="E582" s="18"/>
      <c r="G582" s="143"/>
      <c r="H582" s="30"/>
      <c r="I582" s="48"/>
    </row>
    <row r="583" ht="27.0" customHeight="1">
      <c r="A583" s="22"/>
      <c r="B583" s="369" t="s">
        <v>257</v>
      </c>
      <c r="C583" s="370">
        <f>SUM(177214000-100000000)</f>
        <v>77214000</v>
      </c>
      <c r="E583" s="22"/>
      <c r="G583" s="143"/>
      <c r="H583" s="30"/>
      <c r="I583" s="48"/>
    </row>
    <row r="584" ht="27.0" customHeight="1">
      <c r="A584" s="366" t="s">
        <v>205</v>
      </c>
      <c r="B584" s="129" t="s">
        <v>51</v>
      </c>
      <c r="C584" s="110">
        <v>2.61535E7</v>
      </c>
      <c r="D584" s="115" t="s">
        <v>7</v>
      </c>
      <c r="E584" s="368">
        <f>sum(C587:C590)</f>
        <v>17313000</v>
      </c>
      <c r="G584" s="143"/>
      <c r="H584" s="30"/>
      <c r="I584" s="48"/>
    </row>
    <row r="585" ht="27.0" customHeight="1">
      <c r="A585" s="18"/>
      <c r="B585" s="129" t="s">
        <v>53</v>
      </c>
      <c r="C585" s="110">
        <v>2.18243E7</v>
      </c>
      <c r="D585" s="115" t="s">
        <v>7</v>
      </c>
      <c r="E585" s="18"/>
      <c r="G585" s="143"/>
      <c r="H585" s="30"/>
      <c r="I585" s="48"/>
    </row>
    <row r="586" ht="27.0" customHeight="1">
      <c r="A586" s="18"/>
      <c r="B586" s="129" t="s">
        <v>55</v>
      </c>
      <c r="C586" s="110">
        <v>1.4615E7</v>
      </c>
      <c r="D586" s="115" t="s">
        <v>7</v>
      </c>
      <c r="E586" s="18"/>
      <c r="G586" s="135" t="s">
        <v>204</v>
      </c>
      <c r="H586" s="30"/>
      <c r="I586" s="48"/>
    </row>
    <row r="587" ht="25.5" customHeight="1">
      <c r="A587" s="18"/>
      <c r="B587" s="129" t="s">
        <v>57</v>
      </c>
      <c r="C587" s="110">
        <v>1.8978E7</v>
      </c>
      <c r="D587" s="157"/>
      <c r="E587" s="18"/>
      <c r="F587" s="272"/>
      <c r="G587" s="18"/>
      <c r="H587" s="30"/>
      <c r="I587" s="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</row>
    <row r="588" ht="25.5" customHeight="1">
      <c r="A588" s="18"/>
      <c r="B588" s="192" t="s">
        <v>378</v>
      </c>
      <c r="C588" s="110">
        <v>-1400000.0</v>
      </c>
      <c r="D588" s="190" t="s">
        <v>7</v>
      </c>
      <c r="E588" s="18"/>
      <c r="F588" s="272"/>
      <c r="G588" s="18"/>
      <c r="H588" s="30"/>
      <c r="I588" s="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</row>
    <row r="589" ht="25.5" customHeight="1">
      <c r="A589" s="18"/>
      <c r="B589" s="192" t="s">
        <v>379</v>
      </c>
      <c r="C589" s="110">
        <v>-160000.0</v>
      </c>
      <c r="D589" s="115" t="s">
        <v>7</v>
      </c>
      <c r="E589" s="18"/>
      <c r="F589" s="272" t="s">
        <v>289</v>
      </c>
      <c r="G589" s="18"/>
      <c r="H589" s="30" t="s">
        <v>135</v>
      </c>
      <c r="I589" s="48">
        <v>4.15701E7</v>
      </c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</row>
    <row r="590" ht="25.5" customHeight="1">
      <c r="A590" s="18"/>
      <c r="B590" s="129" t="s">
        <v>380</v>
      </c>
      <c r="C590" s="110">
        <v>-105000.0</v>
      </c>
      <c r="D590" s="115" t="s">
        <v>7</v>
      </c>
      <c r="E590" s="18"/>
      <c r="F590" s="148"/>
      <c r="G590" s="18"/>
      <c r="H590" s="30"/>
      <c r="I590" s="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</row>
    <row r="591" ht="25.5" customHeight="1">
      <c r="A591" s="22"/>
      <c r="B591" s="354"/>
      <c r="C591" s="151"/>
      <c r="D591" s="115"/>
      <c r="E591" s="22"/>
      <c r="F591" s="148"/>
      <c r="G591" s="18"/>
      <c r="H591" s="30" t="s">
        <v>137</v>
      </c>
      <c r="I591" s="48">
        <v>7.24998E7</v>
      </c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</row>
    <row r="592" ht="25.5" customHeight="1">
      <c r="A592" s="375" t="s">
        <v>290</v>
      </c>
      <c r="B592" s="129" t="s">
        <v>51</v>
      </c>
      <c r="C592" s="110">
        <v>2.6815E7</v>
      </c>
      <c r="D592" s="115" t="s">
        <v>7</v>
      </c>
      <c r="E592" s="367">
        <f>SUM(C594:C596)</f>
        <v>1121000</v>
      </c>
      <c r="F592" s="148"/>
      <c r="G592" s="18"/>
      <c r="H592" s="30"/>
      <c r="I592" s="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</row>
    <row r="593" ht="25.5" customHeight="1">
      <c r="A593" s="18"/>
      <c r="B593" s="129" t="s">
        <v>53</v>
      </c>
      <c r="C593" s="115">
        <v>5.3654E7</v>
      </c>
      <c r="D593" s="115" t="s">
        <v>7</v>
      </c>
      <c r="E593" s="18"/>
      <c r="G593" s="22"/>
      <c r="H593" s="30"/>
      <c r="I593" s="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</row>
    <row r="594" ht="25.5" customHeight="1">
      <c r="A594" s="18"/>
      <c r="B594" s="129" t="s">
        <v>55</v>
      </c>
      <c r="C594" s="115">
        <v>129000.0</v>
      </c>
      <c r="D594" s="115"/>
      <c r="E594" s="18"/>
      <c r="F594" s="148"/>
      <c r="H594" s="30" t="s">
        <v>206</v>
      </c>
      <c r="I594" s="48">
        <f>-720000-100000-223000</f>
        <v>-1043000</v>
      </c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</row>
    <row r="595" ht="24.0" customHeight="1">
      <c r="A595" s="18"/>
      <c r="B595" s="129" t="s">
        <v>57</v>
      </c>
      <c r="C595" s="115">
        <v>2492000.0</v>
      </c>
      <c r="D595" s="115"/>
      <c r="E595" s="18"/>
      <c r="H595" s="56" t="s">
        <v>99</v>
      </c>
      <c r="I595" s="122">
        <f>SUM(I589:I594)</f>
        <v>113026900</v>
      </c>
    </row>
    <row r="596" ht="26.25" customHeight="1">
      <c r="A596" s="22"/>
      <c r="B596" s="354" t="s">
        <v>346</v>
      </c>
      <c r="C596" s="155">
        <v>-1500000.0</v>
      </c>
      <c r="D596" s="115"/>
      <c r="E596" s="22"/>
    </row>
    <row r="597" ht="26.25" customHeight="1">
      <c r="A597" s="375" t="s">
        <v>292</v>
      </c>
      <c r="B597" s="129" t="s">
        <v>51</v>
      </c>
      <c r="C597" s="110">
        <f>sum(133697000-2200000)</f>
        <v>131497000</v>
      </c>
      <c r="D597" s="115" t="s">
        <v>7</v>
      </c>
      <c r="E597" s="368">
        <f>SUM(C599:C601)</f>
        <v>144976500</v>
      </c>
      <c r="F597" s="190"/>
      <c r="H597" s="134">
        <v>221045.0</v>
      </c>
    </row>
    <row r="598" ht="24.0" customHeight="1">
      <c r="A598" s="18"/>
      <c r="B598" s="129" t="s">
        <v>53</v>
      </c>
      <c r="C598" s="192">
        <v>0.0</v>
      </c>
      <c r="E598" s="18"/>
    </row>
    <row r="599" ht="24.0" customHeight="1">
      <c r="A599" s="18"/>
      <c r="B599" s="129" t="s">
        <v>55</v>
      </c>
      <c r="C599" s="110">
        <v>9.90465E7</v>
      </c>
      <c r="D599" s="115"/>
      <c r="E599" s="18"/>
      <c r="G599" s="386"/>
    </row>
    <row r="600" ht="24.0" customHeight="1">
      <c r="A600" s="18"/>
      <c r="B600" s="129" t="s">
        <v>57</v>
      </c>
      <c r="C600" s="110">
        <v>4.903E7</v>
      </c>
      <c r="D600" s="115"/>
      <c r="E600" s="18"/>
    </row>
    <row r="601" ht="24.0" customHeight="1">
      <c r="A601" s="22"/>
      <c r="B601" s="190" t="s">
        <v>381</v>
      </c>
      <c r="C601" s="110">
        <v>-3100000.0</v>
      </c>
      <c r="D601" s="115" t="s">
        <v>7</v>
      </c>
      <c r="E601" s="22"/>
    </row>
    <row r="602" ht="24.0" customHeight="1">
      <c r="A602" s="375" t="s">
        <v>293</v>
      </c>
      <c r="B602" s="129" t="s">
        <v>51</v>
      </c>
      <c r="C602" s="110">
        <v>1.698E7</v>
      </c>
      <c r="D602" s="115" t="s">
        <v>7</v>
      </c>
      <c r="E602" s="367">
        <v>0.0</v>
      </c>
    </row>
    <row r="603" ht="24.0" customHeight="1">
      <c r="A603" s="18"/>
      <c r="B603" s="129" t="s">
        <v>53</v>
      </c>
      <c r="C603" s="110">
        <v>0.0</v>
      </c>
      <c r="D603" s="48"/>
      <c r="E603" s="18"/>
    </row>
    <row r="604" ht="24.0" customHeight="1">
      <c r="A604" s="18"/>
      <c r="B604" s="129" t="s">
        <v>55</v>
      </c>
      <c r="C604" s="110">
        <v>4.8436E7</v>
      </c>
      <c r="D604" s="115" t="s">
        <v>7</v>
      </c>
      <c r="E604" s="18"/>
    </row>
    <row r="605" ht="23.25" customHeight="1">
      <c r="A605" s="18"/>
      <c r="B605" s="129" t="s">
        <v>57</v>
      </c>
      <c r="C605" s="110">
        <v>4940000.0</v>
      </c>
      <c r="D605" s="115" t="s">
        <v>7</v>
      </c>
      <c r="E605" s="18"/>
    </row>
    <row r="606" ht="23.25" customHeight="1">
      <c r="A606" s="22"/>
      <c r="B606" s="129" t="s">
        <v>346</v>
      </c>
      <c r="C606" s="110">
        <v>-1500000.0</v>
      </c>
      <c r="D606" s="115" t="s">
        <v>7</v>
      </c>
      <c r="E606" s="22"/>
    </row>
    <row r="607" ht="23.25" customHeight="1">
      <c r="A607" s="375" t="s">
        <v>296</v>
      </c>
      <c r="B607" s="129" t="s">
        <v>51</v>
      </c>
      <c r="C607" s="110">
        <v>5.4217E7</v>
      </c>
      <c r="D607" s="115" t="s">
        <v>7</v>
      </c>
      <c r="E607" s="367">
        <v>0.0</v>
      </c>
    </row>
    <row r="608" ht="23.25" customHeight="1">
      <c r="A608" s="18"/>
      <c r="B608" s="129" t="s">
        <v>53</v>
      </c>
      <c r="C608" s="110">
        <v>5.923E7</v>
      </c>
      <c r="D608" s="115" t="s">
        <v>7</v>
      </c>
      <c r="E608" s="18"/>
    </row>
    <row r="609" ht="23.25" customHeight="1">
      <c r="A609" s="18"/>
      <c r="B609" s="129" t="s">
        <v>55</v>
      </c>
      <c r="C609" s="110">
        <v>3.1669E7</v>
      </c>
      <c r="D609" s="115" t="s">
        <v>7</v>
      </c>
      <c r="E609" s="18"/>
      <c r="G609" s="8"/>
    </row>
    <row r="610" ht="23.25" customHeight="1">
      <c r="A610" s="18"/>
      <c r="B610" s="129" t="s">
        <v>57</v>
      </c>
      <c r="C610" s="110">
        <v>1.907E7</v>
      </c>
      <c r="D610" s="115" t="s">
        <v>7</v>
      </c>
      <c r="E610" s="18"/>
      <c r="G610" s="8"/>
    </row>
    <row r="611" ht="23.25" customHeight="1">
      <c r="A611" s="22"/>
      <c r="B611" s="129" t="s">
        <v>346</v>
      </c>
      <c r="C611" s="110">
        <v>-1500000.0</v>
      </c>
      <c r="D611" s="115" t="s">
        <v>7</v>
      </c>
      <c r="E611" s="22"/>
      <c r="G611" s="8"/>
      <c r="H611" s="53"/>
      <c r="I611" s="273"/>
    </row>
    <row r="612" ht="23.25" customHeight="1">
      <c r="A612" s="366" t="s">
        <v>207</v>
      </c>
      <c r="B612" s="129" t="s">
        <v>272</v>
      </c>
      <c r="C612" s="110">
        <v>4120000.0</v>
      </c>
      <c r="D612" s="115" t="s">
        <v>7</v>
      </c>
      <c r="E612" s="367">
        <v>0.0</v>
      </c>
      <c r="G612" s="8"/>
      <c r="H612" s="53"/>
      <c r="I612" s="273"/>
    </row>
    <row r="613" ht="23.25" customHeight="1">
      <c r="A613" s="18"/>
      <c r="B613" s="129" t="s">
        <v>53</v>
      </c>
      <c r="C613" s="110">
        <v>2975000.0</v>
      </c>
      <c r="D613" s="115" t="s">
        <v>7</v>
      </c>
      <c r="E613" s="18"/>
      <c r="G613" s="8"/>
      <c r="H613" s="53"/>
      <c r="I613" s="273"/>
    </row>
    <row r="614" ht="23.25" customHeight="1">
      <c r="A614" s="18"/>
      <c r="B614" s="129" t="s">
        <v>55</v>
      </c>
      <c r="C614" s="110">
        <v>1.76155E7</v>
      </c>
      <c r="D614" s="115" t="s">
        <v>7</v>
      </c>
      <c r="E614" s="18"/>
      <c r="G614" s="8"/>
      <c r="H614" s="53"/>
      <c r="I614" s="273"/>
    </row>
    <row r="615" ht="23.25" customHeight="1">
      <c r="A615" s="18"/>
      <c r="B615" s="129" t="s">
        <v>57</v>
      </c>
      <c r="C615" s="110">
        <v>1.63155E7</v>
      </c>
      <c r="D615" s="115" t="s">
        <v>7</v>
      </c>
      <c r="E615" s="18"/>
      <c r="G615" s="8"/>
      <c r="H615" s="53"/>
      <c r="I615" s="273"/>
    </row>
    <row r="616" ht="23.25" customHeight="1">
      <c r="A616" s="22"/>
      <c r="B616" s="129" t="s">
        <v>346</v>
      </c>
      <c r="C616" s="110">
        <v>-1500000.0</v>
      </c>
      <c r="D616" s="192" t="s">
        <v>7</v>
      </c>
      <c r="E616" s="22"/>
      <c r="F616" s="134"/>
      <c r="G616" s="8"/>
      <c r="H616" s="53"/>
      <c r="I616" s="273"/>
    </row>
    <row r="617" ht="23.25" customHeight="1">
      <c r="A617" s="366" t="s">
        <v>211</v>
      </c>
      <c r="B617" s="190" t="s">
        <v>51</v>
      </c>
      <c r="C617" s="110">
        <v>3250000.0</v>
      </c>
      <c r="D617" s="192" t="s">
        <v>7</v>
      </c>
      <c r="E617" s="367">
        <f>SUM(C621+C622)</f>
        <v>154729500</v>
      </c>
      <c r="F617" s="134" t="s">
        <v>297</v>
      </c>
      <c r="G617" s="8"/>
      <c r="H617" s="53"/>
      <c r="I617" s="273"/>
    </row>
    <row r="618" ht="23.25" customHeight="1">
      <c r="A618" s="18"/>
      <c r="B618" s="129" t="s">
        <v>53</v>
      </c>
      <c r="C618" s="110">
        <v>4797000.0</v>
      </c>
      <c r="D618" s="192" t="s">
        <v>7</v>
      </c>
      <c r="E618" s="18"/>
      <c r="G618" s="8"/>
      <c r="H618" s="53"/>
      <c r="I618" s="273"/>
    </row>
    <row r="619" ht="23.25" customHeight="1">
      <c r="A619" s="18"/>
      <c r="B619" s="129" t="s">
        <v>55</v>
      </c>
      <c r="C619" s="110">
        <v>7850000.0</v>
      </c>
      <c r="D619" s="192" t="s">
        <v>7</v>
      </c>
      <c r="E619" s="18"/>
      <c r="G619" s="8"/>
      <c r="H619" s="53"/>
      <c r="I619" s="273"/>
    </row>
    <row r="620" ht="23.25" customHeight="1">
      <c r="A620" s="18"/>
      <c r="B620" s="129" t="s">
        <v>57</v>
      </c>
      <c r="C620" s="190">
        <v>0.0</v>
      </c>
      <c r="D620" s="115"/>
      <c r="E620" s="18"/>
      <c r="F620" s="131">
        <f>SUM( 50000000-C618-C619)</f>
        <v>37353000</v>
      </c>
      <c r="G620" s="135" t="s">
        <v>212</v>
      </c>
      <c r="H620" s="53"/>
      <c r="I620" s="273"/>
    </row>
    <row r="621" ht="23.25" customHeight="1">
      <c r="A621" s="18"/>
      <c r="B621" s="369" t="s">
        <v>257</v>
      </c>
      <c r="C621" s="370">
        <f>SUM(193582500-F620)</f>
        <v>156229500</v>
      </c>
      <c r="D621" s="48"/>
      <c r="E621" s="18"/>
      <c r="G621" s="18"/>
      <c r="H621" s="53"/>
      <c r="I621" s="273"/>
    </row>
    <row r="622" ht="23.25" customHeight="1">
      <c r="A622" s="22"/>
      <c r="B622" s="129" t="s">
        <v>346</v>
      </c>
      <c r="C622" s="110">
        <v>-1500000.0</v>
      </c>
      <c r="D622" s="190" t="s">
        <v>7</v>
      </c>
      <c r="E622" s="22"/>
      <c r="G622" s="18"/>
      <c r="H622" s="30" t="s">
        <v>151</v>
      </c>
      <c r="I622" s="115">
        <v>4.60129E8</v>
      </c>
    </row>
    <row r="623" ht="23.25" customHeight="1">
      <c r="A623" s="375" t="s">
        <v>302</v>
      </c>
      <c r="B623" s="129" t="s">
        <v>51</v>
      </c>
      <c r="C623" s="110">
        <v>0.0</v>
      </c>
      <c r="D623" s="48"/>
      <c r="E623" s="368">
        <f>sum(C626)</f>
        <v>19151400</v>
      </c>
      <c r="G623" s="18"/>
      <c r="H623" s="173" t="s">
        <v>298</v>
      </c>
      <c r="I623" s="115">
        <v>-5.7863E7</v>
      </c>
    </row>
    <row r="624" ht="23.25" customHeight="1">
      <c r="A624" s="18"/>
      <c r="B624" s="129" t="s">
        <v>382</v>
      </c>
      <c r="C624" s="110">
        <f>sum(16796000-630000)</f>
        <v>16166000</v>
      </c>
      <c r="D624" s="115" t="s">
        <v>7</v>
      </c>
      <c r="E624" s="18"/>
      <c r="G624" s="18"/>
      <c r="H624" s="30"/>
      <c r="I624" s="48"/>
    </row>
    <row r="625" ht="23.25" customHeight="1">
      <c r="A625" s="18"/>
      <c r="B625" s="129" t="s">
        <v>55</v>
      </c>
      <c r="C625" s="110">
        <v>2.251E7</v>
      </c>
      <c r="D625" s="115" t="s">
        <v>7</v>
      </c>
      <c r="E625" s="18"/>
      <c r="G625" s="22"/>
      <c r="H625" s="30"/>
      <c r="I625" s="48"/>
    </row>
    <row r="626" ht="24.0" customHeight="1">
      <c r="A626" s="18"/>
      <c r="B626" s="129" t="s">
        <v>57</v>
      </c>
      <c r="C626" s="110">
        <v>1.91514E7</v>
      </c>
      <c r="D626" s="48"/>
      <c r="E626" s="18"/>
      <c r="G626" s="261" t="s">
        <v>303</v>
      </c>
      <c r="H626" s="56"/>
      <c r="I626" s="122"/>
    </row>
    <row r="627" ht="24.0" customHeight="1">
      <c r="A627" s="22"/>
      <c r="B627" s="129"/>
      <c r="C627" s="110"/>
      <c r="D627" s="48"/>
      <c r="E627" s="22"/>
      <c r="G627" s="18"/>
      <c r="H627" s="56" t="s">
        <v>99</v>
      </c>
      <c r="I627" s="122">
        <f>SUM(I622:I625)</f>
        <v>402266000</v>
      </c>
    </row>
    <row r="628" ht="24.0" customHeight="1">
      <c r="A628" s="366" t="s">
        <v>215</v>
      </c>
      <c r="B628" s="190" t="s">
        <v>383</v>
      </c>
      <c r="C628" s="110">
        <v>5840000.0</v>
      </c>
      <c r="D628" s="115" t="s">
        <v>7</v>
      </c>
      <c r="E628" s="368">
        <f>sum(C629:C633)</f>
        <v>30000600</v>
      </c>
      <c r="G628" s="18"/>
      <c r="H628" s="30" t="s">
        <v>151</v>
      </c>
      <c r="I628" s="115">
        <v>4.41409E8</v>
      </c>
    </row>
    <row r="629" ht="24.0" customHeight="1">
      <c r="A629" s="18"/>
      <c r="B629" s="129" t="s">
        <v>51</v>
      </c>
      <c r="C629" s="110">
        <f>SUM(23434400-F630)</f>
        <v>9199400</v>
      </c>
      <c r="D629" s="190"/>
      <c r="E629" s="18"/>
      <c r="G629" s="18"/>
      <c r="H629" s="30"/>
      <c r="I629" s="48"/>
    </row>
    <row r="630" ht="24.0" customHeight="1">
      <c r="A630" s="18"/>
      <c r="B630" s="129" t="s">
        <v>53</v>
      </c>
      <c r="C630" s="110">
        <v>0.0</v>
      </c>
      <c r="D630" s="48"/>
      <c r="E630" s="18"/>
      <c r="F630" s="115">
        <v>1.4235E7</v>
      </c>
      <c r="G630" s="22"/>
      <c r="H630" s="30"/>
      <c r="I630" s="48"/>
    </row>
    <row r="631" ht="24.75" customHeight="1">
      <c r="A631" s="18"/>
      <c r="B631" s="129" t="s">
        <v>55</v>
      </c>
      <c r="C631" s="110">
        <v>2.1319E7</v>
      </c>
      <c r="D631" s="48"/>
      <c r="E631" s="18"/>
      <c r="G631" s="261" t="s">
        <v>305</v>
      </c>
      <c r="H631" s="30"/>
      <c r="I631" s="48"/>
    </row>
    <row r="632" ht="24.75" customHeight="1">
      <c r="A632" s="18"/>
      <c r="B632" s="129" t="s">
        <v>57</v>
      </c>
      <c r="C632" s="110">
        <v>982200.0</v>
      </c>
      <c r="D632" s="48"/>
      <c r="E632" s="18"/>
      <c r="G632" s="18"/>
      <c r="H632" s="56" t="s">
        <v>99</v>
      </c>
      <c r="I632" s="122">
        <f>SUM(I628:I631)</f>
        <v>441409000</v>
      </c>
    </row>
    <row r="633" ht="24.75" customHeight="1">
      <c r="A633" s="22"/>
      <c r="B633" s="129" t="s">
        <v>346</v>
      </c>
      <c r="C633" s="110">
        <v>-1500000.0</v>
      </c>
      <c r="D633" s="115" t="s">
        <v>7</v>
      </c>
      <c r="E633" s="22"/>
      <c r="G633" s="18"/>
      <c r="H633" s="30" t="s">
        <v>151</v>
      </c>
      <c r="I633" s="115">
        <v>3.86798E8</v>
      </c>
    </row>
    <row r="634" ht="24.75" customHeight="1">
      <c r="A634" s="366" t="s">
        <v>216</v>
      </c>
      <c r="B634" s="129"/>
      <c r="C634" s="110"/>
      <c r="D634" s="115"/>
      <c r="E634" s="368">
        <f>sum(C640:C641)</f>
        <v>47165000</v>
      </c>
      <c r="G634" s="18"/>
      <c r="H634" s="173" t="s">
        <v>306</v>
      </c>
      <c r="I634" s="115">
        <v>-2.36798E8</v>
      </c>
    </row>
    <row r="635" ht="24.0" customHeight="1">
      <c r="A635" s="18"/>
      <c r="B635" s="190"/>
      <c r="C635" s="110"/>
      <c r="D635" s="190"/>
      <c r="E635" s="18"/>
      <c r="G635" s="18"/>
      <c r="H635" s="276"/>
      <c r="I635" s="277"/>
    </row>
    <row r="636" ht="24.0" customHeight="1">
      <c r="A636" s="18"/>
      <c r="B636" s="129" t="s">
        <v>51</v>
      </c>
      <c r="C636" s="110">
        <v>9955000.0</v>
      </c>
      <c r="D636" s="115" t="s">
        <v>7</v>
      </c>
      <c r="E636" s="18"/>
      <c r="G636" s="22"/>
      <c r="H636" s="276"/>
      <c r="I636" s="277"/>
    </row>
    <row r="637" ht="21.75" customHeight="1">
      <c r="A637" s="18"/>
      <c r="B637" s="129" t="s">
        <v>53</v>
      </c>
      <c r="C637" s="110">
        <v>7.0056E7</v>
      </c>
      <c r="D637" s="387" t="s">
        <v>384</v>
      </c>
      <c r="E637" s="18"/>
      <c r="H637" s="278"/>
      <c r="I637" s="279"/>
    </row>
    <row r="638" ht="21.75" customHeight="1">
      <c r="A638" s="18"/>
      <c r="B638" s="129" t="s">
        <v>55</v>
      </c>
      <c r="C638" s="110">
        <v>5.54815E7</v>
      </c>
      <c r="D638" s="192" t="s">
        <v>7</v>
      </c>
      <c r="E638" s="18"/>
      <c r="F638" s="134" t="s">
        <v>308</v>
      </c>
      <c r="H638" s="56" t="s">
        <v>99</v>
      </c>
      <c r="I638" s="122">
        <f>SUM(I633:I636)</f>
        <v>150000000</v>
      </c>
    </row>
    <row r="639" ht="21.75" customHeight="1">
      <c r="A639" s="18"/>
      <c r="B639" s="129" t="s">
        <v>346</v>
      </c>
      <c r="C639" s="110">
        <v>1500000.0</v>
      </c>
      <c r="D639" s="115" t="s">
        <v>7</v>
      </c>
      <c r="E639" s="18"/>
      <c r="F639" s="388"/>
    </row>
    <row r="640" ht="21.75" customHeight="1">
      <c r="A640" s="18"/>
      <c r="B640" s="129" t="s">
        <v>57</v>
      </c>
      <c r="C640" s="110">
        <v>4.7265E7</v>
      </c>
      <c r="D640" s="157"/>
      <c r="E640" s="18"/>
      <c r="F640" s="388">
        <v>45687.0</v>
      </c>
    </row>
    <row r="641" ht="21.75" customHeight="1">
      <c r="A641" s="22"/>
      <c r="B641" s="129" t="s">
        <v>385</v>
      </c>
      <c r="C641" s="110">
        <v>-100000.0</v>
      </c>
      <c r="D641" s="115"/>
      <c r="E641" s="22"/>
    </row>
    <row r="642" ht="21.75" customHeight="1">
      <c r="A642" s="375" t="s">
        <v>386</v>
      </c>
      <c r="B642" s="129" t="s">
        <v>387</v>
      </c>
      <c r="C642" s="110">
        <v>1790000.0</v>
      </c>
      <c r="D642" s="115"/>
      <c r="E642" s="368">
        <f>SUM(C642:C643)</f>
        <v>13630000</v>
      </c>
    </row>
    <row r="643" ht="21.75" customHeight="1">
      <c r="A643" s="18"/>
      <c r="B643" s="190" t="s">
        <v>388</v>
      </c>
      <c r="C643" s="110">
        <v>1.184E7</v>
      </c>
      <c r="D643" s="190"/>
      <c r="E643" s="18"/>
    </row>
    <row r="644" ht="21.75" customHeight="1">
      <c r="A644" s="18"/>
      <c r="B644" s="129"/>
      <c r="C644" s="110"/>
      <c r="D644" s="115"/>
      <c r="E644" s="18"/>
    </row>
    <row r="645" ht="21.75" customHeight="1">
      <c r="A645" s="18"/>
      <c r="B645" s="129"/>
      <c r="C645" s="110"/>
      <c r="D645" s="387"/>
      <c r="E645" s="18"/>
    </row>
    <row r="646" ht="21.75" customHeight="1">
      <c r="A646" s="18"/>
      <c r="B646" s="129"/>
      <c r="C646" s="110"/>
      <c r="D646" s="192"/>
      <c r="E646" s="18"/>
    </row>
    <row r="647" ht="21.75" customHeight="1">
      <c r="A647" s="18"/>
      <c r="B647" s="129"/>
      <c r="C647" s="110"/>
      <c r="D647" s="115"/>
      <c r="E647" s="18"/>
    </row>
    <row r="648" ht="21.75" customHeight="1">
      <c r="A648" s="22"/>
      <c r="B648" s="129"/>
      <c r="C648" s="110"/>
      <c r="D648" s="157"/>
      <c r="E648" s="22"/>
    </row>
    <row r="649" ht="19.5" customHeight="1">
      <c r="A649" s="389"/>
      <c r="B649" s="389"/>
      <c r="C649" s="389"/>
      <c r="D649" s="389"/>
    </row>
    <row r="650" ht="19.5" customHeight="1">
      <c r="A650" s="389"/>
      <c r="B650" s="389"/>
      <c r="C650" s="389"/>
      <c r="D650" s="389"/>
    </row>
    <row r="651" ht="19.5" customHeight="1">
      <c r="A651" s="389"/>
      <c r="B651" s="389"/>
      <c r="C651" s="389"/>
      <c r="D651" s="389"/>
    </row>
    <row r="652" ht="19.5" customHeight="1">
      <c r="A652" s="389"/>
      <c r="B652" s="389"/>
      <c r="C652" s="389"/>
      <c r="D652" s="389"/>
    </row>
    <row r="653" ht="19.5" customHeight="1">
      <c r="A653" s="389"/>
      <c r="B653" s="389"/>
      <c r="C653" s="389"/>
      <c r="D653" s="389"/>
    </row>
    <row r="654" ht="19.5" customHeight="1">
      <c r="A654" s="389"/>
      <c r="B654" s="389"/>
      <c r="C654" s="389"/>
      <c r="D654" s="389"/>
    </row>
    <row r="655" ht="19.5" customHeight="1">
      <c r="A655" s="390" t="s">
        <v>389</v>
      </c>
      <c r="B655" s="4"/>
      <c r="C655" s="5"/>
      <c r="D655" s="389"/>
      <c r="E655" s="391" t="s">
        <v>390</v>
      </c>
      <c r="F655" s="4"/>
      <c r="G655" s="5"/>
    </row>
    <row r="656" ht="19.5" customHeight="1">
      <c r="A656" s="392"/>
      <c r="B656" s="393"/>
      <c r="C656" s="394"/>
      <c r="D656" s="389"/>
      <c r="E656" s="392" t="s">
        <v>129</v>
      </c>
      <c r="F656" s="393" t="s">
        <v>391</v>
      </c>
      <c r="G656" s="394" t="s">
        <v>392</v>
      </c>
      <c r="H656" s="134" t="s">
        <v>393</v>
      </c>
    </row>
    <row r="657" ht="15.75" customHeight="1">
      <c r="A657" s="392" t="s">
        <v>192</v>
      </c>
      <c r="B657" s="393" t="s">
        <v>394</v>
      </c>
      <c r="C657" s="394" t="s">
        <v>395</v>
      </c>
      <c r="D657" s="389" t="s">
        <v>396</v>
      </c>
      <c r="E657" s="392"/>
      <c r="F657" s="393"/>
      <c r="G657" s="394"/>
      <c r="H657" s="389"/>
    </row>
    <row r="658" ht="15.75" customHeight="1">
      <c r="A658" s="392" t="s">
        <v>397</v>
      </c>
      <c r="B658" s="393" t="s">
        <v>398</v>
      </c>
      <c r="C658" s="394" t="s">
        <v>399</v>
      </c>
      <c r="D658" s="389" t="s">
        <v>396</v>
      </c>
      <c r="E658" s="392"/>
      <c r="F658" s="393"/>
      <c r="G658" s="394"/>
    </row>
    <row r="659" ht="15.75" customHeight="1">
      <c r="A659" s="392" t="s">
        <v>75</v>
      </c>
      <c r="B659" s="393" t="s">
        <v>394</v>
      </c>
      <c r="C659" s="394" t="s">
        <v>400</v>
      </c>
      <c r="D659" s="389" t="s">
        <v>401</v>
      </c>
      <c r="E659" s="392"/>
      <c r="F659" s="393"/>
      <c r="G659" s="395"/>
    </row>
    <row r="660" ht="15.75" customHeight="1">
      <c r="A660" s="394" t="s">
        <v>402</v>
      </c>
      <c r="B660" s="394" t="s">
        <v>398</v>
      </c>
      <c r="C660" s="394" t="s">
        <v>403</v>
      </c>
      <c r="D660" s="2"/>
      <c r="E660" s="395"/>
      <c r="F660" s="395"/>
      <c r="G660" s="395"/>
    </row>
    <row r="661" ht="15.75" customHeight="1">
      <c r="A661" s="394"/>
      <c r="B661" s="394"/>
      <c r="C661" s="394"/>
      <c r="D661" s="389"/>
      <c r="E661" s="396"/>
      <c r="F661" s="157"/>
      <c r="G661" s="157"/>
    </row>
    <row r="662" ht="15.75" customHeight="1">
      <c r="A662" s="394"/>
      <c r="B662" s="394"/>
      <c r="C662" s="394"/>
      <c r="D662" s="2"/>
      <c r="E662" s="396"/>
      <c r="F662" s="157"/>
      <c r="G662" s="157"/>
    </row>
    <row r="663" ht="15.75" customHeight="1">
      <c r="A663" s="157"/>
      <c r="B663" s="157"/>
      <c r="C663" s="157"/>
      <c r="D663" s="2"/>
      <c r="E663" s="396"/>
      <c r="F663" s="157"/>
      <c r="G663" s="157"/>
    </row>
    <row r="664" ht="15.75" customHeight="1">
      <c r="A664" s="394"/>
      <c r="B664" s="394"/>
      <c r="C664" s="394"/>
      <c r="D664" s="389"/>
      <c r="E664" s="396"/>
      <c r="F664" s="157"/>
      <c r="G664" s="157"/>
    </row>
    <row r="665" ht="15.75" customHeight="1">
      <c r="A665" s="396"/>
      <c r="B665" s="157"/>
      <c r="C665" s="157"/>
      <c r="D665" s="2"/>
      <c r="E665" s="396"/>
      <c r="F665" s="157"/>
      <c r="G665" s="157"/>
    </row>
    <row r="666" ht="15.75" customHeight="1">
      <c r="A666" s="396"/>
      <c r="B666" s="157"/>
      <c r="C666" s="157"/>
      <c r="D666" s="2"/>
      <c r="E666" s="396"/>
      <c r="F666" s="157"/>
      <c r="G666" s="157"/>
    </row>
    <row r="667" ht="15.75" customHeight="1">
      <c r="A667" s="396"/>
      <c r="B667" s="157"/>
      <c r="C667" s="157"/>
      <c r="D667" s="2"/>
      <c r="E667" s="396"/>
      <c r="F667" s="157"/>
      <c r="G667" s="157"/>
    </row>
    <row r="668" ht="15.75" customHeight="1">
      <c r="A668" s="396"/>
      <c r="B668" s="157"/>
      <c r="C668" s="157"/>
      <c r="D668" s="2"/>
      <c r="E668" s="396"/>
      <c r="F668" s="157"/>
      <c r="G668" s="157"/>
    </row>
    <row r="669" ht="15.75" customHeight="1">
      <c r="A669" s="2"/>
      <c r="B669" s="2"/>
      <c r="C669" s="2"/>
      <c r="D669" s="2"/>
      <c r="E669" s="1"/>
    </row>
    <row r="670" ht="15.75" customHeight="1">
      <c r="D670" s="2"/>
      <c r="E670" s="1"/>
    </row>
    <row r="671" ht="21.75" customHeight="1">
      <c r="A671" s="391" t="s">
        <v>404</v>
      </c>
      <c r="B671" s="4"/>
      <c r="C671" s="5"/>
      <c r="D671" s="2"/>
      <c r="E671" s="1"/>
    </row>
    <row r="672" ht="22.5" customHeight="1">
      <c r="A672" s="392" t="s">
        <v>141</v>
      </c>
      <c r="B672" s="393" t="s">
        <v>405</v>
      </c>
      <c r="C672" s="394" t="s">
        <v>7</v>
      </c>
      <c r="D672" s="2"/>
      <c r="E672" s="1"/>
    </row>
    <row r="673" ht="15.75" customHeight="1">
      <c r="A673" s="392"/>
      <c r="B673" s="393"/>
      <c r="C673" s="394"/>
      <c r="D673" s="2"/>
      <c r="E673" s="1"/>
    </row>
    <row r="674" ht="15.75" customHeight="1">
      <c r="A674" s="392"/>
      <c r="B674" s="393"/>
      <c r="C674" s="394"/>
      <c r="D674" s="2"/>
      <c r="E674" s="1"/>
    </row>
    <row r="675" ht="15.75" customHeight="1">
      <c r="A675" s="392"/>
      <c r="B675" s="393"/>
      <c r="C675" s="394"/>
      <c r="D675" s="2"/>
      <c r="E675" s="1"/>
    </row>
    <row r="676" ht="15.75" customHeight="1">
      <c r="A676" s="392"/>
      <c r="B676" s="393"/>
      <c r="C676" s="394"/>
      <c r="D676" s="2"/>
      <c r="E676" s="1"/>
    </row>
    <row r="677" ht="15.75" customHeight="1">
      <c r="A677" s="392"/>
      <c r="B677" s="393"/>
      <c r="C677" s="394"/>
      <c r="D677" s="2"/>
      <c r="E677" s="1"/>
    </row>
    <row r="678" ht="15.75" customHeight="1">
      <c r="A678" s="392"/>
      <c r="B678" s="393"/>
      <c r="C678" s="394"/>
      <c r="D678" s="2"/>
      <c r="E678" s="1"/>
    </row>
    <row r="679" ht="15.75" customHeight="1">
      <c r="A679" s="392"/>
      <c r="B679" s="393"/>
      <c r="C679" s="394"/>
      <c r="D679" s="2"/>
      <c r="E679" s="1"/>
    </row>
    <row r="680" ht="15.75" customHeight="1">
      <c r="D680" s="2"/>
      <c r="E680" s="1"/>
    </row>
    <row r="681" ht="15.75" customHeight="1">
      <c r="D681" s="2"/>
      <c r="E681" s="1"/>
    </row>
    <row r="682" ht="15.75" customHeight="1">
      <c r="D682" s="2"/>
      <c r="E682" s="1"/>
    </row>
    <row r="683" ht="15.75" customHeight="1">
      <c r="D683" s="2"/>
      <c r="E683" s="1"/>
    </row>
    <row r="684" ht="15.75" customHeight="1">
      <c r="D684" s="2"/>
      <c r="E684" s="1"/>
    </row>
    <row r="685" ht="15.75" customHeight="1">
      <c r="D685" s="2"/>
      <c r="E685" s="1"/>
    </row>
    <row r="686" ht="15.75" customHeight="1">
      <c r="D686" s="2"/>
      <c r="E686" s="1"/>
    </row>
    <row r="687" ht="15.75" customHeight="1">
      <c r="D687" s="2"/>
      <c r="E687" s="1"/>
    </row>
    <row r="688" ht="15.75" customHeight="1">
      <c r="D688" s="2"/>
      <c r="E688" s="1"/>
    </row>
    <row r="689" ht="15.75" customHeight="1">
      <c r="D689" s="2"/>
      <c r="E689" s="1"/>
    </row>
    <row r="690" ht="15.75" customHeight="1">
      <c r="D690" s="2"/>
      <c r="E690" s="1"/>
    </row>
    <row r="691" ht="15.75" customHeight="1">
      <c r="D691" s="2"/>
      <c r="E691" s="1"/>
    </row>
    <row r="692" ht="15.75" customHeight="1">
      <c r="D692" s="2"/>
      <c r="E692" s="1"/>
    </row>
    <row r="693" ht="15.75" customHeight="1">
      <c r="D693" s="2"/>
      <c r="E693" s="1"/>
    </row>
    <row r="694" ht="15.75" customHeight="1">
      <c r="D694" s="2"/>
      <c r="E694" s="1"/>
    </row>
    <row r="695" ht="15.75" customHeight="1">
      <c r="D695" s="2"/>
      <c r="E695" s="1"/>
    </row>
    <row r="696" ht="15.75" customHeight="1">
      <c r="D696" s="2"/>
      <c r="E696" s="1"/>
    </row>
    <row r="697" ht="15.75" customHeight="1">
      <c r="D697" s="2"/>
      <c r="E697" s="1"/>
    </row>
    <row r="698" ht="15.75" customHeight="1">
      <c r="D698" s="2"/>
      <c r="E698" s="1"/>
    </row>
    <row r="699" ht="15.75" customHeight="1">
      <c r="D699" s="2"/>
      <c r="E699" s="1"/>
    </row>
    <row r="700" ht="15.75" customHeight="1">
      <c r="D700" s="2"/>
      <c r="E700" s="1"/>
    </row>
    <row r="701" ht="15.75" customHeight="1">
      <c r="D701" s="2"/>
      <c r="E701" s="1"/>
    </row>
    <row r="702" ht="15.75" customHeight="1">
      <c r="D702" s="2"/>
      <c r="E702" s="1"/>
    </row>
    <row r="703" ht="15.75" customHeight="1">
      <c r="D703" s="2"/>
      <c r="E703" s="1"/>
    </row>
    <row r="704" ht="15.75" customHeight="1">
      <c r="D704" s="2"/>
      <c r="E704" s="1"/>
    </row>
    <row r="705" ht="15.75" customHeight="1">
      <c r="D705" s="2"/>
      <c r="E705" s="1"/>
    </row>
    <row r="706" ht="15.75" customHeight="1">
      <c r="D706" s="2"/>
      <c r="E706" s="1"/>
    </row>
    <row r="707" ht="15.75" customHeight="1">
      <c r="D707" s="2"/>
      <c r="E707" s="1"/>
    </row>
    <row r="708" ht="15.75" customHeight="1">
      <c r="D708" s="2"/>
      <c r="E708" s="1"/>
    </row>
    <row r="709" ht="15.75" customHeight="1">
      <c r="D709" s="2"/>
      <c r="E709" s="1"/>
    </row>
    <row r="710" ht="15.75" customHeight="1">
      <c r="D710" s="2"/>
      <c r="E710" s="1"/>
    </row>
    <row r="711" ht="15.75" customHeight="1">
      <c r="D711" s="2"/>
      <c r="E711" s="1"/>
    </row>
    <row r="712" ht="15.75" customHeight="1">
      <c r="D712" s="2"/>
      <c r="E712" s="1"/>
    </row>
    <row r="713" ht="15.75" customHeight="1">
      <c r="D713" s="2"/>
      <c r="E713" s="1"/>
    </row>
    <row r="714" ht="15.75" customHeight="1">
      <c r="D714" s="2"/>
      <c r="E714" s="1"/>
    </row>
    <row r="715" ht="15.75" customHeight="1">
      <c r="D715" s="2"/>
      <c r="E715" s="1"/>
    </row>
    <row r="716" ht="15.75" customHeight="1">
      <c r="D716" s="2"/>
      <c r="E716" s="1"/>
    </row>
    <row r="717" ht="15.75" customHeight="1">
      <c r="D717" s="2"/>
      <c r="E717" s="1"/>
    </row>
    <row r="718" ht="15.75" customHeight="1">
      <c r="D718" s="2"/>
      <c r="E718" s="1"/>
    </row>
    <row r="719" ht="15.75" customHeight="1">
      <c r="D719" s="2"/>
      <c r="E719" s="1"/>
    </row>
    <row r="720" ht="15.75" customHeight="1">
      <c r="D720" s="2"/>
      <c r="E720" s="1"/>
    </row>
    <row r="721" ht="15.75" customHeight="1">
      <c r="D721" s="2"/>
      <c r="E721" s="1"/>
    </row>
    <row r="722" ht="15.75" customHeight="1">
      <c r="D722" s="2"/>
      <c r="E722" s="1"/>
    </row>
    <row r="723" ht="15.75" customHeight="1">
      <c r="D723" s="2"/>
      <c r="E723" s="1"/>
    </row>
    <row r="724" ht="15.75" customHeight="1">
      <c r="D724" s="2"/>
      <c r="E724" s="1"/>
    </row>
    <row r="725" ht="15.75" customHeight="1">
      <c r="D725" s="2"/>
      <c r="E725" s="1"/>
    </row>
    <row r="726" ht="15.75" customHeight="1">
      <c r="D726" s="2"/>
      <c r="E726" s="1"/>
    </row>
    <row r="727" ht="15.75" customHeight="1">
      <c r="D727" s="2"/>
      <c r="E727" s="1"/>
    </row>
    <row r="728" ht="15.75" customHeight="1">
      <c r="D728" s="2"/>
      <c r="E728" s="1"/>
    </row>
    <row r="729" ht="15.75" customHeight="1">
      <c r="D729" s="2"/>
      <c r="E729" s="1"/>
    </row>
    <row r="730" ht="15.75" customHeight="1">
      <c r="D730" s="2"/>
      <c r="E730" s="1"/>
    </row>
    <row r="731" ht="15.75" customHeight="1">
      <c r="D731" s="2"/>
      <c r="E731" s="1"/>
    </row>
    <row r="732" ht="15.75" customHeight="1">
      <c r="D732" s="2"/>
      <c r="E732" s="1"/>
    </row>
    <row r="733" ht="15.75" customHeight="1">
      <c r="D733" s="2"/>
      <c r="E733" s="1"/>
    </row>
    <row r="734" ht="15.75" customHeight="1">
      <c r="D734" s="2"/>
      <c r="E734" s="1"/>
    </row>
    <row r="735" ht="15.75" customHeight="1">
      <c r="D735" s="2"/>
      <c r="E735" s="1"/>
    </row>
    <row r="736" ht="15.75" customHeight="1">
      <c r="D736" s="2"/>
      <c r="E736" s="1"/>
    </row>
    <row r="737" ht="15.75" customHeight="1">
      <c r="D737" s="2"/>
      <c r="E737" s="1"/>
    </row>
    <row r="738" ht="15.75" customHeight="1">
      <c r="D738" s="2"/>
      <c r="E738" s="1"/>
    </row>
    <row r="739" ht="15.75" customHeight="1">
      <c r="D739" s="2"/>
      <c r="E739" s="1"/>
    </row>
    <row r="740" ht="15.75" customHeight="1">
      <c r="D740" s="2"/>
      <c r="E740" s="1"/>
    </row>
    <row r="741" ht="15.75" customHeight="1">
      <c r="D741" s="2"/>
      <c r="E741" s="1"/>
    </row>
    <row r="742" ht="15.75" customHeight="1">
      <c r="D742" s="2"/>
      <c r="E742" s="1"/>
    </row>
    <row r="743" ht="15.75" customHeight="1">
      <c r="D743" s="2"/>
      <c r="E743" s="1"/>
    </row>
    <row r="744" ht="15.75" customHeight="1">
      <c r="D744" s="2"/>
      <c r="E744" s="1"/>
    </row>
    <row r="745" ht="15.75" customHeight="1">
      <c r="D745" s="2"/>
      <c r="E745" s="1"/>
    </row>
    <row r="746" ht="15.75" customHeight="1">
      <c r="D746" s="2"/>
      <c r="E746" s="1"/>
    </row>
    <row r="747" ht="15.75" customHeight="1">
      <c r="D747" s="2"/>
      <c r="E747" s="1"/>
    </row>
    <row r="748" ht="15.75" customHeight="1">
      <c r="D748" s="2"/>
      <c r="E748" s="1"/>
    </row>
    <row r="749" ht="15.75" customHeight="1">
      <c r="D749" s="2"/>
      <c r="E749" s="1"/>
    </row>
    <row r="750" ht="15.75" customHeight="1">
      <c r="D750" s="2"/>
      <c r="E750" s="1"/>
    </row>
    <row r="751" ht="15.75" customHeight="1">
      <c r="D751" s="2"/>
      <c r="E751" s="1"/>
    </row>
    <row r="752" ht="15.75" customHeight="1">
      <c r="D752" s="2"/>
      <c r="E752" s="1"/>
    </row>
    <row r="753" ht="15.75" customHeight="1">
      <c r="D753" s="2"/>
      <c r="E753" s="1"/>
    </row>
    <row r="754" ht="15.75" customHeight="1">
      <c r="D754" s="2"/>
      <c r="E754" s="1"/>
    </row>
    <row r="755" ht="15.75" customHeight="1">
      <c r="D755" s="2"/>
      <c r="E755" s="1"/>
    </row>
    <row r="756" ht="15.75" customHeight="1">
      <c r="D756" s="2"/>
      <c r="E756" s="1"/>
    </row>
    <row r="757" ht="15.75" customHeight="1">
      <c r="D757" s="2"/>
      <c r="E757" s="1"/>
    </row>
    <row r="758" ht="15.75" customHeight="1">
      <c r="D758" s="2"/>
      <c r="E758" s="1"/>
    </row>
    <row r="759" ht="15.75" customHeight="1">
      <c r="D759" s="2"/>
      <c r="E759" s="1"/>
    </row>
    <row r="760" ht="15.75" customHeight="1">
      <c r="D760" s="2"/>
      <c r="E760" s="1"/>
    </row>
    <row r="761" ht="15.75" customHeight="1">
      <c r="D761" s="2"/>
      <c r="E761" s="1"/>
    </row>
    <row r="762" ht="15.75" customHeight="1">
      <c r="D762" s="2"/>
      <c r="E762" s="1"/>
    </row>
    <row r="763" ht="15.75" customHeight="1">
      <c r="D763" s="2"/>
      <c r="E763" s="1"/>
    </row>
    <row r="764" ht="15.75" customHeight="1">
      <c r="D764" s="2"/>
      <c r="E764" s="1"/>
    </row>
    <row r="765" ht="15.75" customHeight="1">
      <c r="D765" s="2"/>
      <c r="E765" s="1"/>
    </row>
    <row r="766" ht="15.75" customHeight="1">
      <c r="D766" s="2"/>
      <c r="E766" s="1"/>
    </row>
    <row r="767" ht="15.75" customHeight="1">
      <c r="D767" s="2"/>
      <c r="E767" s="1"/>
    </row>
    <row r="768" ht="15.75" customHeight="1">
      <c r="D768" s="2"/>
      <c r="E768" s="1"/>
    </row>
    <row r="769" ht="15.75" customHeight="1">
      <c r="D769" s="2"/>
      <c r="E769" s="1"/>
    </row>
    <row r="770" ht="15.75" customHeight="1">
      <c r="D770" s="2"/>
      <c r="E770" s="1"/>
    </row>
    <row r="771" ht="15.75" customHeight="1">
      <c r="D771" s="2"/>
      <c r="E771" s="1"/>
    </row>
    <row r="772" ht="15.75" customHeight="1">
      <c r="D772" s="2"/>
      <c r="E772" s="1"/>
    </row>
    <row r="773" ht="15.75" customHeight="1">
      <c r="D773" s="2"/>
      <c r="E773" s="1"/>
    </row>
    <row r="774" ht="15.75" customHeight="1">
      <c r="D774" s="2"/>
      <c r="E774" s="1"/>
    </row>
    <row r="775" ht="15.75" customHeight="1">
      <c r="D775" s="2"/>
      <c r="E775" s="1"/>
    </row>
    <row r="776" ht="15.75" customHeight="1">
      <c r="D776" s="2"/>
      <c r="E776" s="1"/>
    </row>
    <row r="777" ht="15.75" customHeight="1">
      <c r="D777" s="2"/>
      <c r="E777" s="1"/>
    </row>
    <row r="778" ht="15.75" customHeight="1">
      <c r="D778" s="2"/>
      <c r="E778" s="1"/>
    </row>
    <row r="779" ht="15.75" customHeight="1">
      <c r="D779" s="2"/>
      <c r="E779" s="1"/>
    </row>
    <row r="780" ht="15.75" customHeight="1">
      <c r="D780" s="2"/>
      <c r="E780" s="1"/>
    </row>
    <row r="781" ht="15.75" customHeight="1">
      <c r="D781" s="2"/>
      <c r="E781" s="1"/>
    </row>
    <row r="782" ht="15.75" customHeight="1">
      <c r="D782" s="2"/>
      <c r="E782" s="1"/>
    </row>
    <row r="783" ht="15.75" customHeight="1">
      <c r="D783" s="2"/>
      <c r="E783" s="1"/>
    </row>
    <row r="784" ht="15.75" customHeight="1">
      <c r="D784" s="2"/>
      <c r="E784" s="1"/>
    </row>
    <row r="785" ht="15.75" customHeight="1">
      <c r="D785" s="2"/>
      <c r="E785" s="1"/>
    </row>
    <row r="786" ht="15.75" customHeight="1">
      <c r="D786" s="2"/>
      <c r="E786" s="1"/>
    </row>
    <row r="787" ht="15.75" customHeight="1">
      <c r="D787" s="2"/>
      <c r="E787" s="1"/>
    </row>
    <row r="788" ht="15.75" customHeight="1">
      <c r="D788" s="2"/>
      <c r="E788" s="1"/>
    </row>
    <row r="789" ht="15.75" customHeight="1">
      <c r="D789" s="2"/>
      <c r="E789" s="1"/>
    </row>
    <row r="790" ht="15.75" customHeight="1">
      <c r="D790" s="2"/>
      <c r="E790" s="1"/>
    </row>
    <row r="791" ht="15.75" customHeight="1">
      <c r="D791" s="2"/>
      <c r="E791" s="1"/>
    </row>
    <row r="792" ht="15.75" customHeight="1">
      <c r="D792" s="2"/>
      <c r="E792" s="1"/>
    </row>
    <row r="793" ht="15.75" customHeight="1">
      <c r="D793" s="2"/>
      <c r="E793" s="1"/>
    </row>
    <row r="794" ht="15.75" customHeight="1">
      <c r="D794" s="2"/>
      <c r="E794" s="1"/>
    </row>
    <row r="795" ht="15.75" customHeight="1">
      <c r="D795" s="2"/>
      <c r="E795" s="1"/>
    </row>
    <row r="796" ht="15.75" customHeight="1">
      <c r="D796" s="2"/>
      <c r="E796" s="1"/>
    </row>
    <row r="797" ht="15.75" customHeight="1">
      <c r="D797" s="2"/>
      <c r="E797" s="1"/>
    </row>
    <row r="798" ht="15.75" customHeight="1">
      <c r="D798" s="2"/>
      <c r="E798" s="1"/>
    </row>
    <row r="799" ht="15.75" customHeight="1">
      <c r="D799" s="2"/>
      <c r="E799" s="1"/>
    </row>
    <row r="800" ht="15.75" customHeight="1">
      <c r="D800" s="2"/>
      <c r="E800" s="1"/>
    </row>
    <row r="801" ht="15.75" customHeight="1">
      <c r="D801" s="2"/>
      <c r="E801" s="1"/>
    </row>
    <row r="802" ht="15.75" customHeight="1">
      <c r="D802" s="2"/>
      <c r="E802" s="1"/>
    </row>
    <row r="803" ht="15.75" customHeight="1">
      <c r="D803" s="2"/>
      <c r="E803" s="1"/>
    </row>
    <row r="804" ht="15.75" customHeight="1">
      <c r="D804" s="2"/>
      <c r="E804" s="1"/>
    </row>
    <row r="805" ht="15.75" customHeight="1">
      <c r="D805" s="2"/>
      <c r="E805" s="1"/>
    </row>
    <row r="806" ht="15.75" customHeight="1">
      <c r="D806" s="2"/>
      <c r="E806" s="1"/>
    </row>
    <row r="807" ht="15.75" customHeight="1">
      <c r="D807" s="2"/>
      <c r="E807" s="1"/>
    </row>
    <row r="808" ht="15.75" customHeight="1">
      <c r="D808" s="2"/>
      <c r="E808" s="1"/>
    </row>
    <row r="809" ht="15.75" customHeight="1">
      <c r="D809" s="2"/>
      <c r="E809" s="1"/>
    </row>
    <row r="810" ht="15.75" customHeight="1">
      <c r="D810" s="2"/>
      <c r="E810" s="1"/>
    </row>
    <row r="811" ht="15.75" customHeight="1">
      <c r="D811" s="2"/>
      <c r="E811" s="1"/>
    </row>
    <row r="812" ht="15.75" customHeight="1">
      <c r="D812" s="2"/>
      <c r="E812" s="1"/>
    </row>
    <row r="813" ht="15.75" customHeight="1">
      <c r="D813" s="2"/>
      <c r="E813" s="1"/>
    </row>
    <row r="814" ht="15.75" customHeight="1">
      <c r="D814" s="2"/>
      <c r="E814" s="1"/>
    </row>
    <row r="815" ht="15.75" customHeight="1">
      <c r="D815" s="2"/>
      <c r="E815" s="1"/>
    </row>
    <row r="816" ht="15.75" customHeight="1">
      <c r="D816" s="2"/>
      <c r="E816" s="1"/>
    </row>
    <row r="817" ht="15.75" customHeight="1">
      <c r="D817" s="2"/>
      <c r="E817" s="1"/>
    </row>
    <row r="818" ht="15.75" customHeight="1">
      <c r="D818" s="2"/>
      <c r="E818" s="1"/>
    </row>
    <row r="819" ht="15.75" customHeight="1">
      <c r="D819" s="2"/>
      <c r="E819" s="1"/>
    </row>
    <row r="820" ht="15.75" customHeight="1">
      <c r="D820" s="2"/>
      <c r="E820" s="1"/>
    </row>
    <row r="821" ht="15.75" customHeight="1">
      <c r="D821" s="2"/>
      <c r="E821" s="1"/>
    </row>
    <row r="822" ht="15.75" customHeight="1">
      <c r="D822" s="2"/>
      <c r="E822" s="1"/>
    </row>
    <row r="823" ht="15.75" customHeight="1">
      <c r="D823" s="2"/>
      <c r="E823" s="1"/>
    </row>
    <row r="824" ht="15.75" customHeight="1">
      <c r="D824" s="2"/>
      <c r="E824" s="1"/>
    </row>
    <row r="825" ht="15.75" customHeight="1">
      <c r="D825" s="2"/>
      <c r="E825" s="1"/>
    </row>
    <row r="826" ht="15.75" customHeight="1">
      <c r="D826" s="2"/>
      <c r="E826" s="1"/>
    </row>
    <row r="827" ht="15.75" customHeight="1">
      <c r="D827" s="2"/>
      <c r="E827" s="1"/>
    </row>
    <row r="828" ht="15.75" customHeight="1">
      <c r="D828" s="2"/>
      <c r="E828" s="1"/>
    </row>
    <row r="829" ht="15.75" customHeight="1">
      <c r="D829" s="2"/>
      <c r="E829" s="1"/>
    </row>
    <row r="830" ht="15.75" customHeight="1">
      <c r="D830" s="2"/>
      <c r="E830" s="1"/>
    </row>
    <row r="831" ht="15.75" customHeight="1">
      <c r="D831" s="2"/>
      <c r="E831" s="1"/>
    </row>
    <row r="832" ht="15.75" customHeight="1">
      <c r="D832" s="2"/>
      <c r="E832" s="1"/>
    </row>
    <row r="833" ht="15.75" customHeight="1">
      <c r="D833" s="2"/>
      <c r="E833" s="1"/>
    </row>
    <row r="834" ht="15.75" customHeight="1">
      <c r="D834" s="2"/>
      <c r="E834" s="1"/>
    </row>
    <row r="835" ht="15.75" customHeight="1">
      <c r="D835" s="2"/>
      <c r="E835" s="1"/>
    </row>
    <row r="836" ht="15.75" customHeight="1">
      <c r="D836" s="2"/>
      <c r="E836" s="1"/>
    </row>
    <row r="837" ht="15.75" customHeight="1">
      <c r="D837" s="2"/>
      <c r="E837" s="1"/>
    </row>
    <row r="838" ht="15.75" customHeight="1">
      <c r="D838" s="2"/>
      <c r="E838" s="1"/>
    </row>
    <row r="839" ht="15.75" customHeight="1">
      <c r="D839" s="2"/>
      <c r="E839" s="1"/>
    </row>
    <row r="840" ht="15.75" customHeight="1">
      <c r="D840" s="2"/>
      <c r="E840" s="1"/>
    </row>
    <row r="841" ht="15.75" customHeight="1">
      <c r="D841" s="2"/>
      <c r="E841" s="1"/>
    </row>
    <row r="842" ht="15.75" customHeight="1">
      <c r="D842" s="2"/>
      <c r="E842" s="1"/>
    </row>
    <row r="843" ht="15.75" customHeight="1">
      <c r="D843" s="2"/>
      <c r="E843" s="1"/>
    </row>
    <row r="844" ht="15.75" customHeight="1">
      <c r="D844" s="2"/>
      <c r="E844" s="1"/>
    </row>
    <row r="845" ht="15.75" customHeight="1">
      <c r="D845" s="2"/>
      <c r="E845" s="1"/>
    </row>
    <row r="846" ht="15.75" customHeight="1">
      <c r="D846" s="2"/>
      <c r="E846" s="1"/>
    </row>
    <row r="847" ht="15.75" customHeight="1">
      <c r="D847" s="2"/>
      <c r="E847" s="1"/>
    </row>
    <row r="848" ht="15.75" customHeight="1">
      <c r="D848" s="2"/>
      <c r="E848" s="1"/>
    </row>
    <row r="849" ht="15.75" customHeight="1">
      <c r="D849" s="2"/>
      <c r="E849" s="1"/>
    </row>
    <row r="850" ht="15.75" customHeight="1">
      <c r="D850" s="2"/>
      <c r="E850" s="1"/>
    </row>
    <row r="851" ht="15.75" customHeight="1">
      <c r="D851" s="2"/>
      <c r="E851" s="1"/>
    </row>
    <row r="852" ht="15.75" customHeight="1">
      <c r="D852" s="2"/>
      <c r="E852" s="1"/>
    </row>
    <row r="853" ht="15.75" customHeight="1">
      <c r="D853" s="2"/>
      <c r="E853" s="1"/>
    </row>
    <row r="854" ht="15.75" customHeight="1">
      <c r="D854" s="2"/>
      <c r="E854" s="1"/>
    </row>
    <row r="855" ht="15.75" customHeight="1">
      <c r="D855" s="2"/>
      <c r="E855" s="1"/>
    </row>
    <row r="856" ht="15.75" customHeight="1">
      <c r="D856" s="2"/>
      <c r="E856" s="1"/>
    </row>
    <row r="857" ht="15.75" customHeight="1">
      <c r="D857" s="2"/>
      <c r="E857" s="1"/>
    </row>
    <row r="858" ht="15.75" customHeight="1">
      <c r="D858" s="2"/>
      <c r="E858" s="1"/>
    </row>
    <row r="859" ht="15.75" customHeight="1">
      <c r="D859" s="2"/>
      <c r="E859" s="1"/>
    </row>
    <row r="860" ht="15.75" customHeight="1">
      <c r="D860" s="2"/>
      <c r="E860" s="1"/>
    </row>
    <row r="861" ht="15.75" customHeight="1">
      <c r="D861" s="2"/>
      <c r="E861" s="1"/>
    </row>
    <row r="862" ht="15.75" customHeight="1">
      <c r="D862" s="2"/>
      <c r="E862" s="1"/>
    </row>
    <row r="863" ht="15.75" customHeight="1">
      <c r="D863" s="2"/>
      <c r="E863" s="1"/>
    </row>
    <row r="864" ht="15.75" customHeight="1">
      <c r="D864" s="2"/>
      <c r="E864" s="1"/>
    </row>
    <row r="865" ht="15.75" customHeight="1">
      <c r="D865" s="2"/>
      <c r="E865" s="1"/>
    </row>
    <row r="866" ht="15.75" customHeight="1">
      <c r="D866" s="2"/>
      <c r="E866" s="1"/>
    </row>
    <row r="867" ht="15.75" customHeight="1">
      <c r="D867" s="2"/>
      <c r="E867" s="1"/>
    </row>
    <row r="868" ht="15.75" customHeight="1">
      <c r="D868" s="2"/>
      <c r="E868" s="1"/>
    </row>
    <row r="869" ht="15.75" customHeight="1">
      <c r="D869" s="2"/>
      <c r="E869" s="1"/>
    </row>
    <row r="870" ht="15.75" customHeight="1">
      <c r="D870" s="2"/>
      <c r="E870" s="1"/>
    </row>
    <row r="871" ht="15.75" customHeight="1">
      <c r="D871" s="2"/>
      <c r="E871" s="1"/>
    </row>
    <row r="872" ht="15.75" customHeight="1">
      <c r="D872" s="2"/>
      <c r="E872" s="1"/>
    </row>
    <row r="873" ht="15.75" customHeight="1">
      <c r="D873" s="2"/>
      <c r="E873" s="1"/>
    </row>
    <row r="874" ht="15.75" customHeight="1">
      <c r="D874" s="2"/>
      <c r="E874" s="1"/>
    </row>
    <row r="875" ht="15.75" customHeight="1">
      <c r="D875" s="2"/>
      <c r="E875" s="1"/>
    </row>
    <row r="876" ht="15.75" customHeight="1">
      <c r="D876" s="2"/>
      <c r="E876" s="1"/>
    </row>
    <row r="877" ht="15.75" customHeight="1">
      <c r="D877" s="2"/>
      <c r="E877" s="1"/>
    </row>
    <row r="878" ht="15.75" customHeight="1">
      <c r="D878" s="2"/>
      <c r="E878" s="1"/>
    </row>
    <row r="879" ht="15.75" customHeight="1">
      <c r="D879" s="2"/>
      <c r="E879" s="1"/>
    </row>
    <row r="880" ht="15.75" customHeight="1">
      <c r="D880" s="2"/>
      <c r="E880" s="1"/>
    </row>
    <row r="881" ht="15.75" customHeight="1">
      <c r="D881" s="2"/>
      <c r="E881" s="1"/>
    </row>
    <row r="882" ht="15.75" customHeight="1">
      <c r="D882" s="2"/>
      <c r="E882" s="1"/>
    </row>
    <row r="883" ht="15.75" customHeight="1">
      <c r="D883" s="2"/>
      <c r="E883" s="1"/>
    </row>
    <row r="884" ht="15.75" customHeight="1">
      <c r="D884" s="2"/>
      <c r="E884" s="1"/>
    </row>
    <row r="885" ht="15.75" customHeight="1">
      <c r="D885" s="2"/>
      <c r="E885" s="1"/>
    </row>
    <row r="886" ht="15.75" customHeight="1">
      <c r="D886" s="2"/>
      <c r="E886" s="1"/>
    </row>
    <row r="887" ht="15.75" customHeight="1">
      <c r="D887" s="2"/>
      <c r="E887" s="1"/>
    </row>
    <row r="888" ht="15.75" customHeight="1">
      <c r="D888" s="2"/>
      <c r="E888" s="1"/>
    </row>
    <row r="889" ht="15.75" customHeight="1">
      <c r="D889" s="2"/>
      <c r="E889" s="1"/>
    </row>
    <row r="890" ht="15.75" customHeight="1">
      <c r="D890" s="2"/>
      <c r="E890" s="1"/>
    </row>
    <row r="891" ht="15.75" customHeight="1">
      <c r="D891" s="2"/>
      <c r="E891" s="1"/>
    </row>
    <row r="892" ht="15.75" customHeight="1">
      <c r="D892" s="2"/>
      <c r="E892" s="1"/>
    </row>
    <row r="893" ht="15.75" customHeight="1">
      <c r="D893" s="2"/>
      <c r="E893" s="1"/>
    </row>
    <row r="894" ht="15.75" customHeight="1">
      <c r="D894" s="2"/>
      <c r="E894" s="1"/>
    </row>
    <row r="895" ht="15.75" customHeight="1">
      <c r="D895" s="2"/>
      <c r="E895" s="1"/>
    </row>
    <row r="896" ht="15.75" customHeight="1">
      <c r="D896" s="2"/>
      <c r="E896" s="1"/>
    </row>
    <row r="897" ht="15.75" customHeight="1">
      <c r="D897" s="2"/>
      <c r="E897" s="1"/>
    </row>
    <row r="898" ht="15.75" customHeight="1">
      <c r="D898" s="2"/>
      <c r="E898" s="1"/>
    </row>
    <row r="899" ht="15.75" customHeight="1">
      <c r="D899" s="2"/>
      <c r="E899" s="1"/>
    </row>
    <row r="900" ht="15.75" customHeight="1">
      <c r="D900" s="2"/>
      <c r="E900" s="1"/>
    </row>
    <row r="901" ht="15.75" customHeight="1">
      <c r="D901" s="2"/>
      <c r="E901" s="1"/>
    </row>
    <row r="902" ht="15.75" customHeight="1">
      <c r="D902" s="2"/>
      <c r="E902" s="1"/>
    </row>
    <row r="903" ht="15.75" customHeight="1">
      <c r="D903" s="2"/>
      <c r="E903" s="1"/>
    </row>
    <row r="904" ht="15.75" customHeight="1">
      <c r="D904" s="2"/>
      <c r="E904" s="1"/>
    </row>
    <row r="905" ht="15.75" customHeight="1">
      <c r="D905" s="2"/>
      <c r="E905" s="1"/>
    </row>
    <row r="906" ht="15.75" customHeight="1">
      <c r="D906" s="2"/>
      <c r="E906" s="1"/>
    </row>
    <row r="907" ht="15.75" customHeight="1">
      <c r="D907" s="2"/>
      <c r="E907" s="1"/>
    </row>
    <row r="908" ht="15.75" customHeight="1">
      <c r="D908" s="2"/>
      <c r="E908" s="1"/>
    </row>
    <row r="909" ht="15.75" customHeight="1">
      <c r="D909" s="2"/>
      <c r="E909" s="1"/>
    </row>
    <row r="910" ht="15.75" customHeight="1">
      <c r="D910" s="2"/>
      <c r="E910" s="1"/>
    </row>
    <row r="911" ht="15.75" customHeight="1">
      <c r="D911" s="2"/>
      <c r="E911" s="1"/>
    </row>
    <row r="912" ht="15.75" customHeight="1">
      <c r="D912" s="2"/>
      <c r="E912" s="1"/>
    </row>
    <row r="913" ht="15.75" customHeight="1">
      <c r="D913" s="2"/>
      <c r="E913" s="1"/>
    </row>
    <row r="914" ht="15.75" customHeight="1">
      <c r="D914" s="2"/>
      <c r="E914" s="1"/>
    </row>
    <row r="915" ht="15.75" customHeight="1">
      <c r="D915" s="2"/>
      <c r="E915" s="1"/>
    </row>
    <row r="916" ht="15.75" customHeight="1">
      <c r="D916" s="2"/>
      <c r="E916" s="1"/>
    </row>
    <row r="917" ht="15.75" customHeight="1">
      <c r="D917" s="2"/>
      <c r="E917" s="1"/>
    </row>
    <row r="918" ht="15.75" customHeight="1">
      <c r="D918" s="2"/>
      <c r="E918" s="1"/>
    </row>
    <row r="919" ht="15.75" customHeight="1">
      <c r="D919" s="2"/>
      <c r="E919" s="1"/>
    </row>
    <row r="920" ht="15.75" customHeight="1">
      <c r="D920" s="2"/>
      <c r="E920" s="1"/>
    </row>
    <row r="921" ht="15.75" customHeight="1">
      <c r="D921" s="2"/>
      <c r="E921" s="1"/>
    </row>
    <row r="922" ht="15.75" customHeight="1">
      <c r="D922" s="2"/>
      <c r="E922" s="1"/>
    </row>
    <row r="923" ht="15.75" customHeight="1">
      <c r="D923" s="2"/>
      <c r="E923" s="1"/>
    </row>
    <row r="924" ht="15.75" customHeight="1">
      <c r="D924" s="2"/>
      <c r="E924" s="1"/>
    </row>
    <row r="925" ht="15.75" customHeight="1">
      <c r="D925" s="2"/>
      <c r="E925" s="1"/>
    </row>
    <row r="926" ht="15.75" customHeight="1">
      <c r="D926" s="2"/>
      <c r="E926" s="1"/>
    </row>
    <row r="927" ht="15.75" customHeight="1">
      <c r="D927" s="2"/>
      <c r="E927" s="1"/>
    </row>
    <row r="928" ht="15.75" customHeight="1">
      <c r="D928" s="2"/>
      <c r="E928" s="1"/>
    </row>
    <row r="929" ht="15.75" customHeight="1">
      <c r="D929" s="2"/>
      <c r="E929" s="1"/>
    </row>
    <row r="930" ht="15.75" customHeight="1">
      <c r="D930" s="2"/>
      <c r="E930" s="1"/>
    </row>
    <row r="931" ht="15.75" customHeight="1">
      <c r="D931" s="2"/>
      <c r="E931" s="1"/>
    </row>
    <row r="932" ht="15.75" customHeight="1">
      <c r="D932" s="2"/>
      <c r="E932" s="1"/>
    </row>
    <row r="933" ht="15.75" customHeight="1">
      <c r="D933" s="2"/>
      <c r="E933" s="1"/>
    </row>
    <row r="934" ht="15.75" customHeight="1">
      <c r="D934" s="2"/>
      <c r="E934" s="1"/>
    </row>
    <row r="935" ht="15.75" customHeight="1">
      <c r="D935" s="2"/>
      <c r="E935" s="1"/>
    </row>
    <row r="936" ht="15.75" customHeight="1">
      <c r="D936" s="2"/>
      <c r="E936" s="1"/>
    </row>
    <row r="937" ht="15.75" customHeight="1">
      <c r="D937" s="2"/>
      <c r="E937" s="1"/>
    </row>
    <row r="938" ht="15.75" customHeight="1">
      <c r="D938" s="2"/>
      <c r="E938" s="1"/>
    </row>
    <row r="939" ht="15.75" customHeight="1">
      <c r="D939" s="2"/>
      <c r="E939" s="1"/>
    </row>
    <row r="940" ht="15.75" customHeight="1">
      <c r="D940" s="2"/>
      <c r="E940" s="1"/>
    </row>
    <row r="941" ht="15.75" customHeight="1">
      <c r="D941" s="2"/>
      <c r="E941" s="1"/>
    </row>
    <row r="942" ht="15.75" customHeight="1">
      <c r="D942" s="2"/>
      <c r="E942" s="1"/>
    </row>
    <row r="943" ht="15.75" customHeight="1">
      <c r="D943" s="2"/>
      <c r="E943" s="1"/>
    </row>
    <row r="944" ht="15.75" customHeight="1">
      <c r="D944" s="2"/>
      <c r="E944" s="1"/>
    </row>
    <row r="945" ht="15.75" customHeight="1">
      <c r="D945" s="2"/>
      <c r="E945" s="1"/>
    </row>
    <row r="946" ht="15.75" customHeight="1">
      <c r="D946" s="2"/>
      <c r="E946" s="1"/>
    </row>
    <row r="947" ht="15.75" customHeight="1">
      <c r="D947" s="2"/>
      <c r="E947" s="1"/>
    </row>
    <row r="948" ht="15.75" customHeight="1">
      <c r="D948" s="2"/>
      <c r="E948" s="1"/>
    </row>
    <row r="949" ht="15.75" customHeight="1">
      <c r="D949" s="2"/>
      <c r="E949" s="1"/>
    </row>
    <row r="950" ht="15.75" customHeight="1">
      <c r="D950" s="2"/>
      <c r="E950" s="1"/>
    </row>
    <row r="951" ht="15.75" customHeight="1">
      <c r="D951" s="2"/>
      <c r="E951" s="1"/>
    </row>
    <row r="952" ht="15.75" customHeight="1">
      <c r="D952" s="2"/>
      <c r="E952" s="1"/>
    </row>
    <row r="953" ht="15.75" customHeight="1">
      <c r="D953" s="2"/>
      <c r="E953" s="1"/>
    </row>
    <row r="954" ht="15.75" customHeight="1">
      <c r="D954" s="2"/>
      <c r="E954" s="1"/>
    </row>
    <row r="955" ht="15.75" customHeight="1">
      <c r="D955" s="2"/>
      <c r="E955" s="1"/>
    </row>
    <row r="956" ht="15.75" customHeight="1">
      <c r="D956" s="2"/>
      <c r="E956" s="1"/>
    </row>
    <row r="957" ht="15.75" customHeight="1">
      <c r="D957" s="2"/>
      <c r="E957" s="1"/>
    </row>
    <row r="958" ht="15.75" customHeight="1">
      <c r="D958" s="2"/>
      <c r="E958" s="1"/>
    </row>
    <row r="959" ht="15.75" customHeight="1">
      <c r="D959" s="2"/>
      <c r="E959" s="1"/>
    </row>
    <row r="960" ht="15.75" customHeight="1">
      <c r="D960" s="2"/>
      <c r="E960" s="1"/>
    </row>
    <row r="961" ht="15.75" customHeight="1">
      <c r="D961" s="2"/>
      <c r="E961" s="1"/>
    </row>
    <row r="962" ht="15.75" customHeight="1">
      <c r="D962" s="2"/>
      <c r="E962" s="1"/>
    </row>
    <row r="963" ht="15.75" customHeight="1">
      <c r="D963" s="2"/>
      <c r="E963" s="1"/>
    </row>
    <row r="964" ht="15.75" customHeight="1">
      <c r="D964" s="2"/>
      <c r="E964" s="1"/>
    </row>
    <row r="965" ht="15.75" customHeight="1">
      <c r="D965" s="2"/>
      <c r="E965" s="1"/>
    </row>
    <row r="966" ht="15.75" customHeight="1">
      <c r="D966" s="2"/>
      <c r="E966" s="1"/>
    </row>
    <row r="967" ht="15.75" customHeight="1">
      <c r="D967" s="2"/>
      <c r="E967" s="1"/>
    </row>
    <row r="968" ht="15.75" customHeight="1">
      <c r="D968" s="2"/>
      <c r="E968" s="1"/>
    </row>
    <row r="969" ht="15.75" customHeight="1">
      <c r="D969" s="2"/>
      <c r="E969" s="1"/>
    </row>
    <row r="970" ht="15.75" customHeight="1">
      <c r="D970" s="2"/>
      <c r="E970" s="1"/>
    </row>
    <row r="971" ht="15.75" customHeight="1">
      <c r="D971" s="2"/>
      <c r="E971" s="1"/>
    </row>
    <row r="972" ht="15.75" customHeight="1">
      <c r="D972" s="2"/>
      <c r="E972" s="1"/>
    </row>
    <row r="973" ht="15.75" customHeight="1">
      <c r="D973" s="2"/>
      <c r="E973" s="1"/>
    </row>
    <row r="974" ht="15.75" customHeight="1">
      <c r="D974" s="2"/>
      <c r="E974" s="1"/>
    </row>
    <row r="975" ht="15.75" customHeight="1">
      <c r="D975" s="2"/>
      <c r="E975" s="1"/>
    </row>
    <row r="976" ht="15.75" customHeight="1">
      <c r="D976" s="2"/>
      <c r="E976" s="1"/>
    </row>
    <row r="977" ht="15.75" customHeight="1">
      <c r="D977" s="2"/>
      <c r="E977" s="1"/>
    </row>
    <row r="978" ht="15.75" customHeight="1">
      <c r="D978" s="2"/>
      <c r="E978" s="1"/>
    </row>
    <row r="979" ht="15.75" customHeight="1">
      <c r="D979" s="2"/>
      <c r="E979" s="1"/>
    </row>
    <row r="980" ht="15.75" customHeight="1">
      <c r="D980" s="2"/>
      <c r="E980" s="1"/>
    </row>
    <row r="981" ht="15.75" customHeight="1">
      <c r="D981" s="2"/>
      <c r="E981" s="1"/>
    </row>
    <row r="982" ht="15.75" customHeight="1">
      <c r="D982" s="2"/>
      <c r="E982" s="1"/>
    </row>
    <row r="983" ht="15.75" customHeight="1">
      <c r="D983" s="2"/>
      <c r="E983" s="1"/>
    </row>
    <row r="984" ht="15.75" customHeight="1">
      <c r="D984" s="2"/>
      <c r="E984" s="1"/>
    </row>
    <row r="985" ht="15.75" customHeight="1">
      <c r="D985" s="2"/>
      <c r="E985" s="1"/>
    </row>
    <row r="986" ht="15.75" customHeight="1">
      <c r="D986" s="2"/>
      <c r="E986" s="1"/>
    </row>
    <row r="987" ht="15.75" customHeight="1">
      <c r="D987" s="2"/>
      <c r="E987" s="1"/>
    </row>
    <row r="988" ht="15.75" customHeight="1">
      <c r="D988" s="2"/>
      <c r="E988" s="1"/>
    </row>
    <row r="989" ht="15.75" customHeight="1">
      <c r="D989" s="2"/>
      <c r="E989" s="1"/>
    </row>
    <row r="990" ht="15.75" customHeight="1">
      <c r="D990" s="2"/>
      <c r="E990" s="1"/>
    </row>
    <row r="991" ht="15.75" customHeight="1">
      <c r="D991" s="2"/>
      <c r="E991" s="1"/>
    </row>
    <row r="992" ht="15.75" customHeight="1">
      <c r="D992" s="2"/>
      <c r="E992" s="1"/>
    </row>
    <row r="993" ht="15.75" customHeight="1">
      <c r="D993" s="2"/>
      <c r="E993" s="1"/>
    </row>
    <row r="994" ht="15.75" customHeight="1">
      <c r="D994" s="2"/>
      <c r="E994" s="1"/>
    </row>
    <row r="995" ht="15.75" customHeight="1">
      <c r="D995" s="2"/>
      <c r="E995" s="1"/>
    </row>
    <row r="996" ht="15.75" customHeight="1">
      <c r="D996" s="2"/>
      <c r="E996" s="1"/>
    </row>
    <row r="997" ht="15.75" customHeight="1">
      <c r="D997" s="2"/>
      <c r="E997" s="1"/>
    </row>
    <row r="998" ht="15.75" customHeight="1">
      <c r="D998" s="2"/>
      <c r="E998" s="1"/>
    </row>
    <row r="999" ht="15.75" customHeight="1">
      <c r="D999" s="2"/>
      <c r="E999" s="1"/>
    </row>
    <row r="1000" ht="15.75" customHeight="1">
      <c r="D1000" s="2"/>
      <c r="E1000" s="1"/>
    </row>
    <row r="1001" ht="15.75" customHeight="1">
      <c r="D1001" s="2"/>
      <c r="E1001" s="1"/>
    </row>
    <row r="1002" ht="15.75" customHeight="1">
      <c r="D1002" s="2"/>
      <c r="E1002" s="1"/>
    </row>
    <row r="1003" ht="15.75" customHeight="1">
      <c r="D1003" s="2"/>
      <c r="E1003" s="1"/>
    </row>
    <row r="1004" ht="15.75" customHeight="1">
      <c r="D1004" s="2"/>
      <c r="E1004" s="1"/>
    </row>
    <row r="1005" ht="15.75" customHeight="1">
      <c r="D1005" s="2"/>
      <c r="E1005" s="1"/>
    </row>
    <row r="1006" ht="15.75" customHeight="1">
      <c r="D1006" s="2"/>
      <c r="E1006" s="1"/>
    </row>
    <row r="1007" ht="15.75" customHeight="1">
      <c r="D1007" s="2"/>
      <c r="E1007" s="1"/>
    </row>
    <row r="1008" ht="15.75" customHeight="1">
      <c r="D1008" s="2"/>
      <c r="E1008" s="1"/>
    </row>
    <row r="1009" ht="15.75" customHeight="1">
      <c r="D1009" s="2"/>
      <c r="E1009" s="1"/>
    </row>
    <row r="1010" ht="15.75" customHeight="1">
      <c r="D1010" s="2"/>
      <c r="E1010" s="1"/>
    </row>
    <row r="1011" ht="15.75" customHeight="1">
      <c r="D1011" s="2"/>
      <c r="E1011" s="1"/>
    </row>
    <row r="1012" ht="15.75" customHeight="1">
      <c r="D1012" s="2"/>
      <c r="E1012" s="1"/>
    </row>
    <row r="1013" ht="15.75" customHeight="1">
      <c r="D1013" s="2"/>
      <c r="E1013" s="1"/>
    </row>
    <row r="1014" ht="15.75" customHeight="1">
      <c r="D1014" s="2"/>
      <c r="E1014" s="1"/>
    </row>
    <row r="1015" ht="15.75" customHeight="1">
      <c r="D1015" s="2"/>
      <c r="E1015" s="1"/>
    </row>
    <row r="1016" ht="15.75" customHeight="1">
      <c r="D1016" s="2"/>
      <c r="E1016" s="1"/>
    </row>
    <row r="1017" ht="15.75" customHeight="1">
      <c r="D1017" s="2"/>
      <c r="E1017" s="1"/>
    </row>
    <row r="1018" ht="15.75" customHeight="1">
      <c r="D1018" s="2"/>
      <c r="E1018" s="1"/>
    </row>
    <row r="1019" ht="15.75" customHeight="1">
      <c r="D1019" s="2"/>
      <c r="E1019" s="1"/>
    </row>
    <row r="1020" ht="15.75" customHeight="1">
      <c r="D1020" s="2"/>
      <c r="E1020" s="1"/>
    </row>
    <row r="1021" ht="15.75" customHeight="1">
      <c r="D1021" s="2"/>
      <c r="E1021" s="1"/>
    </row>
    <row r="1022" ht="15.75" customHeight="1">
      <c r="D1022" s="2"/>
      <c r="E1022" s="1"/>
    </row>
    <row r="1023" ht="15.75" customHeight="1">
      <c r="D1023" s="2"/>
      <c r="E1023" s="1"/>
    </row>
    <row r="1024" ht="15.75" customHeight="1">
      <c r="D1024" s="2"/>
      <c r="E1024" s="1"/>
    </row>
    <row r="1025" ht="15.75" customHeight="1">
      <c r="D1025" s="2"/>
      <c r="E1025" s="1"/>
    </row>
    <row r="1026" ht="15.75" customHeight="1">
      <c r="D1026" s="2"/>
      <c r="E1026" s="1"/>
    </row>
    <row r="1027" ht="15.75" customHeight="1">
      <c r="D1027" s="2"/>
      <c r="E1027" s="1"/>
    </row>
    <row r="1028" ht="15.75" customHeight="1">
      <c r="D1028" s="2"/>
      <c r="E1028" s="1"/>
    </row>
    <row r="1029" ht="15.75" customHeight="1">
      <c r="D1029" s="2"/>
      <c r="E1029" s="1"/>
    </row>
    <row r="1030" ht="15.75" customHeight="1">
      <c r="D1030" s="2"/>
      <c r="E1030" s="1"/>
    </row>
    <row r="1031" ht="15.75" customHeight="1">
      <c r="D1031" s="2"/>
      <c r="E1031" s="1"/>
    </row>
    <row r="1032" ht="15.75" customHeight="1">
      <c r="D1032" s="2"/>
      <c r="E1032" s="1"/>
    </row>
    <row r="1033" ht="15.75" customHeight="1">
      <c r="D1033" s="2"/>
      <c r="E1033" s="1"/>
    </row>
    <row r="1034" ht="15.75" customHeight="1">
      <c r="D1034" s="2"/>
      <c r="E1034" s="1"/>
    </row>
    <row r="1035" ht="15.75" customHeight="1">
      <c r="D1035" s="2"/>
      <c r="E1035" s="1"/>
    </row>
    <row r="1036" ht="15.75" customHeight="1">
      <c r="D1036" s="2"/>
      <c r="E1036" s="1"/>
    </row>
    <row r="1037" ht="15.75" customHeight="1">
      <c r="D1037" s="2"/>
      <c r="E1037" s="1"/>
    </row>
    <row r="1038" ht="15.75" customHeight="1">
      <c r="D1038" s="2"/>
      <c r="E1038" s="1"/>
    </row>
    <row r="1039" ht="15.75" customHeight="1">
      <c r="D1039" s="2"/>
      <c r="E1039" s="1"/>
    </row>
    <row r="1040" ht="15.75" customHeight="1">
      <c r="D1040" s="2"/>
      <c r="E1040" s="1"/>
    </row>
    <row r="1041" ht="15.75" customHeight="1">
      <c r="D1041" s="2"/>
      <c r="E1041" s="1"/>
    </row>
    <row r="1042" ht="15.75" customHeight="1">
      <c r="D1042" s="2"/>
      <c r="E1042" s="1"/>
    </row>
    <row r="1043" ht="15.75" customHeight="1">
      <c r="D1043" s="2"/>
      <c r="E1043" s="1"/>
    </row>
    <row r="1044" ht="15.75" customHeight="1">
      <c r="D1044" s="2"/>
      <c r="E1044" s="1"/>
    </row>
    <row r="1045" ht="15.75" customHeight="1">
      <c r="D1045" s="2"/>
      <c r="E1045" s="1"/>
    </row>
    <row r="1046" ht="15.75" customHeight="1">
      <c r="D1046" s="2"/>
      <c r="E1046" s="1"/>
    </row>
    <row r="1047" ht="15.75" customHeight="1">
      <c r="D1047" s="2"/>
      <c r="E1047" s="1"/>
    </row>
    <row r="1048" ht="15.75" customHeight="1">
      <c r="D1048" s="2"/>
      <c r="E1048" s="1"/>
    </row>
    <row r="1049" ht="15.75" customHeight="1">
      <c r="D1049" s="2"/>
      <c r="E1049" s="1"/>
    </row>
    <row r="1050" ht="15.75" customHeight="1">
      <c r="D1050" s="2"/>
      <c r="E1050" s="1"/>
    </row>
    <row r="1051" ht="15.75" customHeight="1">
      <c r="D1051" s="2"/>
      <c r="E1051" s="1"/>
    </row>
    <row r="1052" ht="15.75" customHeight="1">
      <c r="D1052" s="2"/>
      <c r="E1052" s="1"/>
    </row>
    <row r="1053" ht="15.75" customHeight="1">
      <c r="D1053" s="2"/>
      <c r="E1053" s="1"/>
    </row>
    <row r="1054" ht="15.75" customHeight="1">
      <c r="D1054" s="2"/>
      <c r="E1054" s="1"/>
    </row>
    <row r="1055" ht="15.75" customHeight="1">
      <c r="D1055" s="2"/>
      <c r="E1055" s="1"/>
    </row>
    <row r="1056" ht="15.75" customHeight="1">
      <c r="D1056" s="2"/>
      <c r="E1056" s="1"/>
    </row>
    <row r="1057" ht="15.75" customHeight="1">
      <c r="D1057" s="2"/>
      <c r="E1057" s="1"/>
    </row>
    <row r="1058" ht="15.75" customHeight="1">
      <c r="D1058" s="2"/>
      <c r="E1058" s="1"/>
    </row>
    <row r="1059" ht="15.75" customHeight="1">
      <c r="D1059" s="2"/>
      <c r="E1059" s="1"/>
    </row>
    <row r="1060" ht="15.75" customHeight="1">
      <c r="D1060" s="2"/>
      <c r="E1060" s="1"/>
    </row>
    <row r="1061" ht="15.75" customHeight="1">
      <c r="D1061" s="2"/>
      <c r="E1061" s="1"/>
    </row>
    <row r="1062" ht="15.75" customHeight="1">
      <c r="D1062" s="2"/>
      <c r="E1062" s="1"/>
    </row>
    <row r="1063" ht="15.75" customHeight="1">
      <c r="D1063" s="2"/>
      <c r="E1063" s="1"/>
    </row>
    <row r="1064" ht="15.75" customHeight="1">
      <c r="D1064" s="2"/>
      <c r="E1064" s="1"/>
    </row>
    <row r="1065" ht="15.75" customHeight="1">
      <c r="D1065" s="2"/>
      <c r="E1065" s="1"/>
    </row>
    <row r="1066" ht="15.75" customHeight="1">
      <c r="D1066" s="2"/>
      <c r="E1066" s="1"/>
    </row>
    <row r="1067" ht="15.75" customHeight="1">
      <c r="D1067" s="2"/>
      <c r="E1067" s="1"/>
    </row>
    <row r="1068" ht="15.75" customHeight="1">
      <c r="D1068" s="2"/>
      <c r="E1068" s="1"/>
    </row>
    <row r="1069" ht="15.75" customHeight="1">
      <c r="D1069" s="2"/>
      <c r="E1069" s="1"/>
    </row>
    <row r="1070" ht="15.75" customHeight="1">
      <c r="D1070" s="2"/>
      <c r="E1070" s="1"/>
    </row>
    <row r="1071" ht="15.75" customHeight="1">
      <c r="D1071" s="2"/>
      <c r="E1071" s="1"/>
    </row>
    <row r="1072" ht="15.75" customHeight="1">
      <c r="D1072" s="2"/>
      <c r="E1072" s="1"/>
    </row>
    <row r="1073" ht="15.75" customHeight="1">
      <c r="D1073" s="2"/>
      <c r="E1073" s="1"/>
    </row>
    <row r="1074" ht="15.75" customHeight="1">
      <c r="D1074" s="2"/>
      <c r="E1074" s="1"/>
    </row>
    <row r="1075" ht="15.75" customHeight="1">
      <c r="D1075" s="2"/>
      <c r="E1075" s="1"/>
    </row>
    <row r="1076" ht="15.75" customHeight="1">
      <c r="D1076" s="2"/>
      <c r="E1076" s="1"/>
    </row>
    <row r="1077" ht="15.75" customHeight="1">
      <c r="D1077" s="2"/>
      <c r="E1077" s="1"/>
    </row>
    <row r="1078" ht="15.75" customHeight="1">
      <c r="D1078" s="2"/>
      <c r="E1078" s="1"/>
    </row>
    <row r="1079" ht="15.75" customHeight="1">
      <c r="D1079" s="2"/>
      <c r="E1079" s="1"/>
    </row>
    <row r="1080" ht="15.75" customHeight="1">
      <c r="D1080" s="2"/>
      <c r="E1080" s="1"/>
    </row>
    <row r="1081" ht="15.75" customHeight="1">
      <c r="D1081" s="2"/>
      <c r="E1081" s="1"/>
    </row>
    <row r="1082" ht="15.75" customHeight="1">
      <c r="D1082" s="2"/>
      <c r="E1082" s="1"/>
    </row>
    <row r="1083" ht="15.75" customHeight="1">
      <c r="D1083" s="2"/>
      <c r="E1083" s="1"/>
    </row>
    <row r="1084" ht="15.75" customHeight="1">
      <c r="D1084" s="2"/>
      <c r="E1084" s="1"/>
    </row>
    <row r="1085" ht="15.75" customHeight="1">
      <c r="D1085" s="2"/>
      <c r="E1085" s="1"/>
    </row>
    <row r="1086" ht="15.75" customHeight="1">
      <c r="D1086" s="2"/>
      <c r="E1086" s="1"/>
    </row>
    <row r="1087" ht="15.75" customHeight="1">
      <c r="D1087" s="2"/>
      <c r="E1087" s="1"/>
    </row>
    <row r="1088" ht="15.75" customHeight="1">
      <c r="D1088" s="2"/>
      <c r="E1088" s="1"/>
    </row>
    <row r="1089" ht="15.75" customHeight="1">
      <c r="D1089" s="2"/>
      <c r="E1089" s="1"/>
    </row>
    <row r="1090" ht="15.75" customHeight="1">
      <c r="D1090" s="2"/>
      <c r="E1090" s="1"/>
    </row>
    <row r="1091" ht="15.75" customHeight="1">
      <c r="D1091" s="2"/>
      <c r="E1091" s="1"/>
    </row>
    <row r="1092" ht="15.75" customHeight="1">
      <c r="D1092" s="2"/>
      <c r="E1092" s="1"/>
    </row>
    <row r="1093" ht="15.75" customHeight="1">
      <c r="D1093" s="2"/>
      <c r="E1093" s="1"/>
    </row>
    <row r="1094" ht="15.75" customHeight="1">
      <c r="D1094" s="2"/>
      <c r="E1094" s="1"/>
    </row>
    <row r="1095" ht="15.75" customHeight="1">
      <c r="D1095" s="2"/>
      <c r="E1095" s="1"/>
    </row>
    <row r="1096" ht="15.75" customHeight="1">
      <c r="D1096" s="2"/>
      <c r="E1096" s="1"/>
    </row>
    <row r="1097" ht="15.75" customHeight="1">
      <c r="D1097" s="2"/>
      <c r="E1097" s="1"/>
    </row>
    <row r="1098" ht="15.75" customHeight="1">
      <c r="D1098" s="2"/>
      <c r="E1098" s="1"/>
    </row>
    <row r="1099" ht="15.75" customHeight="1">
      <c r="D1099" s="2"/>
      <c r="E1099" s="1"/>
    </row>
    <row r="1100" ht="15.75" customHeight="1">
      <c r="D1100" s="2"/>
      <c r="E1100" s="1"/>
    </row>
    <row r="1101" ht="15.75" customHeight="1">
      <c r="D1101" s="2"/>
      <c r="E1101" s="1"/>
    </row>
    <row r="1102" ht="15.75" customHeight="1">
      <c r="D1102" s="2"/>
      <c r="E1102" s="1"/>
    </row>
    <row r="1103" ht="15.75" customHeight="1">
      <c r="D1103" s="2"/>
      <c r="E1103" s="1"/>
    </row>
    <row r="1104" ht="15.75" customHeight="1">
      <c r="D1104" s="2"/>
      <c r="E1104" s="1"/>
    </row>
    <row r="1105" ht="15.75" customHeight="1">
      <c r="D1105" s="2"/>
      <c r="E1105" s="1"/>
    </row>
    <row r="1106" ht="15.75" customHeight="1">
      <c r="D1106" s="2"/>
      <c r="E1106" s="1"/>
    </row>
    <row r="1107" ht="15.75" customHeight="1">
      <c r="D1107" s="2"/>
      <c r="E1107" s="1"/>
    </row>
    <row r="1108" ht="15.75" customHeight="1">
      <c r="D1108" s="2"/>
      <c r="E1108" s="1"/>
    </row>
    <row r="1109" ht="15.75" customHeight="1">
      <c r="D1109" s="2"/>
      <c r="E1109" s="1"/>
    </row>
    <row r="1110" ht="15.75" customHeight="1">
      <c r="D1110" s="2"/>
      <c r="E1110" s="1"/>
    </row>
    <row r="1111" ht="15.75" customHeight="1">
      <c r="D1111" s="2"/>
      <c r="E1111" s="1"/>
    </row>
    <row r="1112" ht="15.75" customHeight="1">
      <c r="D1112" s="2"/>
      <c r="E1112" s="1"/>
    </row>
    <row r="1113" ht="15.75" customHeight="1">
      <c r="D1113" s="2"/>
      <c r="E1113" s="1"/>
    </row>
    <row r="1114" ht="15.75" customHeight="1">
      <c r="D1114" s="2"/>
      <c r="E1114" s="1"/>
    </row>
    <row r="1115" ht="15.75" customHeight="1">
      <c r="D1115" s="2"/>
      <c r="E1115" s="1"/>
    </row>
    <row r="1116" ht="15.75" customHeight="1">
      <c r="D1116" s="2"/>
      <c r="E1116" s="1"/>
    </row>
    <row r="1117" ht="15.75" customHeight="1">
      <c r="D1117" s="2"/>
      <c r="E1117" s="1"/>
    </row>
    <row r="1118" ht="15.75" customHeight="1">
      <c r="D1118" s="2"/>
      <c r="E1118" s="1"/>
    </row>
    <row r="1119" ht="15.75" customHeight="1">
      <c r="D1119" s="2"/>
      <c r="E1119" s="1"/>
    </row>
    <row r="1120" ht="15.75" customHeight="1">
      <c r="D1120" s="2"/>
      <c r="E1120" s="1"/>
    </row>
    <row r="1121" ht="15.75" customHeight="1">
      <c r="D1121" s="2"/>
      <c r="E1121" s="1"/>
    </row>
    <row r="1122" ht="15.75" customHeight="1">
      <c r="D1122" s="2"/>
      <c r="E1122" s="1"/>
    </row>
    <row r="1123" ht="15.75" customHeight="1">
      <c r="D1123" s="2"/>
      <c r="E1123" s="1"/>
    </row>
    <row r="1124" ht="15.75" customHeight="1">
      <c r="D1124" s="2"/>
      <c r="E1124" s="1"/>
    </row>
    <row r="1125" ht="15.75" customHeight="1">
      <c r="D1125" s="2"/>
      <c r="E1125" s="1"/>
    </row>
    <row r="1126" ht="15.75" customHeight="1">
      <c r="D1126" s="2"/>
      <c r="E1126" s="1"/>
    </row>
    <row r="1127" ht="15.75" customHeight="1">
      <c r="D1127" s="2"/>
      <c r="E1127" s="1"/>
    </row>
    <row r="1128" ht="15.75" customHeight="1">
      <c r="D1128" s="2"/>
      <c r="E1128" s="1"/>
    </row>
    <row r="1129" ht="15.75" customHeight="1">
      <c r="D1129" s="2"/>
      <c r="E1129" s="1"/>
    </row>
    <row r="1130" ht="15.75" customHeight="1">
      <c r="D1130" s="2"/>
      <c r="E1130" s="1"/>
    </row>
    <row r="1131" ht="15.75" customHeight="1">
      <c r="D1131" s="2"/>
      <c r="E1131" s="1"/>
    </row>
    <row r="1132" ht="15.75" customHeight="1">
      <c r="D1132" s="2"/>
      <c r="E1132" s="1"/>
    </row>
    <row r="1133" ht="15.75" customHeight="1">
      <c r="D1133" s="2"/>
      <c r="E1133" s="1"/>
    </row>
    <row r="1134" ht="15.75" customHeight="1">
      <c r="D1134" s="2"/>
      <c r="E1134" s="1"/>
    </row>
    <row r="1135" ht="15.75" customHeight="1">
      <c r="D1135" s="2"/>
      <c r="E1135" s="1"/>
    </row>
    <row r="1136" ht="15.75" customHeight="1">
      <c r="D1136" s="2"/>
      <c r="E1136" s="1"/>
    </row>
    <row r="1137" ht="15.75" customHeight="1">
      <c r="D1137" s="2"/>
      <c r="E1137" s="1"/>
    </row>
    <row r="1138" ht="15.75" customHeight="1">
      <c r="D1138" s="2"/>
      <c r="E1138" s="1"/>
    </row>
    <row r="1139" ht="15.75" customHeight="1">
      <c r="D1139" s="2"/>
      <c r="E1139" s="1"/>
    </row>
    <row r="1140" ht="15.75" customHeight="1">
      <c r="D1140" s="2"/>
      <c r="E1140" s="1"/>
    </row>
    <row r="1141" ht="15.75" customHeight="1">
      <c r="D1141" s="2"/>
      <c r="E1141" s="1"/>
    </row>
    <row r="1142" ht="15.75" customHeight="1">
      <c r="D1142" s="2"/>
      <c r="E1142" s="1"/>
    </row>
    <row r="1143" ht="15.75" customHeight="1">
      <c r="D1143" s="2"/>
      <c r="E1143" s="1"/>
    </row>
    <row r="1144" ht="15.75" customHeight="1">
      <c r="D1144" s="2"/>
      <c r="E1144" s="1"/>
    </row>
    <row r="1145" ht="15.75" customHeight="1">
      <c r="D1145" s="2"/>
      <c r="E1145" s="1"/>
    </row>
    <row r="1146" ht="15.75" customHeight="1">
      <c r="D1146" s="2"/>
      <c r="E1146" s="1"/>
    </row>
    <row r="1147" ht="15.75" customHeight="1">
      <c r="D1147" s="2"/>
      <c r="E1147" s="1"/>
    </row>
    <row r="1148" ht="15.75" customHeight="1">
      <c r="D1148" s="2"/>
      <c r="E1148" s="1"/>
    </row>
    <row r="1149" ht="15.75" customHeight="1">
      <c r="D1149" s="2"/>
      <c r="E1149" s="1"/>
    </row>
    <row r="1150" ht="15.75" customHeight="1">
      <c r="D1150" s="2"/>
      <c r="E1150" s="1"/>
    </row>
    <row r="1151" ht="15.75" customHeight="1">
      <c r="D1151" s="2"/>
      <c r="E1151" s="1"/>
    </row>
    <row r="1152" ht="15.75" customHeight="1">
      <c r="D1152" s="2"/>
      <c r="E1152" s="1"/>
    </row>
    <row r="1153" ht="15.75" customHeight="1">
      <c r="D1153" s="2"/>
      <c r="E1153" s="1"/>
    </row>
    <row r="1154" ht="15.75" customHeight="1">
      <c r="D1154" s="2"/>
      <c r="E1154" s="1"/>
    </row>
    <row r="1155" ht="15.75" customHeight="1">
      <c r="D1155" s="2"/>
      <c r="E1155" s="1"/>
    </row>
    <row r="1156" ht="15.75" customHeight="1">
      <c r="D1156" s="2"/>
      <c r="E1156" s="1"/>
    </row>
    <row r="1157" ht="15.75" customHeight="1">
      <c r="D1157" s="2"/>
      <c r="E1157" s="1"/>
    </row>
    <row r="1158" ht="15.75" customHeight="1">
      <c r="D1158" s="2"/>
      <c r="E1158" s="1"/>
    </row>
    <row r="1159" ht="15.75" customHeight="1">
      <c r="D1159" s="2"/>
      <c r="E1159" s="1"/>
    </row>
    <row r="1160" ht="15.75" customHeight="1">
      <c r="D1160" s="2"/>
      <c r="E1160" s="1"/>
    </row>
    <row r="1161" ht="15.75" customHeight="1">
      <c r="D1161" s="2"/>
      <c r="E1161" s="1"/>
    </row>
    <row r="1162" ht="15.75" customHeight="1">
      <c r="D1162" s="2"/>
      <c r="E1162" s="1"/>
    </row>
    <row r="1163" ht="15.75" customHeight="1">
      <c r="D1163" s="2"/>
      <c r="E1163" s="1"/>
    </row>
    <row r="1164" ht="15.75" customHeight="1">
      <c r="D1164" s="2"/>
      <c r="E1164" s="1"/>
    </row>
    <row r="1165" ht="15.75" customHeight="1">
      <c r="D1165" s="2"/>
      <c r="E1165" s="1"/>
    </row>
    <row r="1166" ht="15.75" customHeight="1">
      <c r="D1166" s="2"/>
      <c r="E1166" s="1"/>
    </row>
    <row r="1167" ht="15.75" customHeight="1">
      <c r="D1167" s="2"/>
      <c r="E1167" s="1"/>
    </row>
    <row r="1168" ht="15.75" customHeight="1">
      <c r="D1168" s="2"/>
      <c r="E1168" s="1"/>
    </row>
    <row r="1169" ht="15.75" customHeight="1">
      <c r="D1169" s="2"/>
      <c r="E1169" s="1"/>
    </row>
    <row r="1170" ht="15.75" customHeight="1">
      <c r="D1170" s="2"/>
      <c r="E1170" s="1"/>
    </row>
    <row r="1171" ht="15.75" customHeight="1">
      <c r="D1171" s="2"/>
      <c r="E1171" s="1"/>
    </row>
    <row r="1172" ht="15.75" customHeight="1">
      <c r="D1172" s="2"/>
      <c r="E1172" s="1"/>
    </row>
    <row r="1173" ht="15.75" customHeight="1">
      <c r="D1173" s="2"/>
      <c r="E1173" s="1"/>
    </row>
    <row r="1174" ht="15.75" customHeight="1">
      <c r="D1174" s="2"/>
      <c r="E1174" s="1"/>
    </row>
    <row r="1175" ht="15.75" customHeight="1">
      <c r="D1175" s="2"/>
      <c r="E1175" s="1"/>
    </row>
    <row r="1176" ht="15.75" customHeight="1">
      <c r="D1176" s="2"/>
      <c r="E1176" s="1"/>
    </row>
    <row r="1177" ht="15.75" customHeight="1">
      <c r="D1177" s="2"/>
      <c r="E1177" s="1"/>
    </row>
    <row r="1178" ht="15.75" customHeight="1">
      <c r="D1178" s="2"/>
      <c r="E1178" s="1"/>
    </row>
    <row r="1179" ht="15.75" customHeight="1">
      <c r="D1179" s="2"/>
      <c r="E1179" s="1"/>
    </row>
    <row r="1180" ht="15.75" customHeight="1">
      <c r="D1180" s="2"/>
      <c r="E1180" s="1"/>
    </row>
    <row r="1181" ht="15.75" customHeight="1">
      <c r="D1181" s="2"/>
      <c r="E1181" s="1"/>
    </row>
    <row r="1182" ht="15.75" customHeight="1">
      <c r="D1182" s="2"/>
      <c r="E1182" s="1"/>
    </row>
    <row r="1183" ht="15.75" customHeight="1">
      <c r="D1183" s="2"/>
      <c r="E1183" s="1"/>
    </row>
    <row r="1184" ht="15.75" customHeight="1">
      <c r="D1184" s="2"/>
      <c r="E1184" s="1"/>
    </row>
    <row r="1185" ht="15.75" customHeight="1">
      <c r="D1185" s="2"/>
      <c r="E1185" s="1"/>
    </row>
    <row r="1186" ht="15.75" customHeight="1">
      <c r="D1186" s="2"/>
      <c r="E1186" s="1"/>
    </row>
    <row r="1187" ht="15.75" customHeight="1">
      <c r="D1187" s="2"/>
      <c r="E1187" s="1"/>
    </row>
    <row r="1188" ht="15.75" customHeight="1">
      <c r="D1188" s="2"/>
      <c r="E1188" s="1"/>
    </row>
    <row r="1189" ht="15.75" customHeight="1">
      <c r="D1189" s="2"/>
      <c r="E1189" s="1"/>
    </row>
    <row r="1190" ht="15.75" customHeight="1">
      <c r="D1190" s="2"/>
      <c r="E1190" s="1"/>
    </row>
    <row r="1191" ht="15.75" customHeight="1">
      <c r="D1191" s="2"/>
      <c r="E1191" s="1"/>
    </row>
    <row r="1192" ht="15.75" customHeight="1">
      <c r="D1192" s="2"/>
      <c r="E1192" s="1"/>
    </row>
    <row r="1193" ht="15.75" customHeight="1">
      <c r="D1193" s="2"/>
      <c r="E1193" s="1"/>
    </row>
    <row r="1194" ht="15.75" customHeight="1">
      <c r="D1194" s="2"/>
      <c r="E1194" s="1"/>
    </row>
    <row r="1195" ht="15.75" customHeight="1">
      <c r="D1195" s="2"/>
      <c r="E1195" s="1"/>
    </row>
    <row r="1196" ht="15.75" customHeight="1">
      <c r="D1196" s="2"/>
      <c r="E1196" s="1"/>
    </row>
    <row r="1197" ht="15.75" customHeight="1">
      <c r="D1197" s="2"/>
      <c r="E1197" s="1"/>
    </row>
    <row r="1198" ht="15.75" customHeight="1">
      <c r="D1198" s="2"/>
      <c r="E1198" s="1"/>
    </row>
    <row r="1199" ht="15.75" customHeight="1">
      <c r="D1199" s="2"/>
      <c r="E1199" s="1"/>
    </row>
    <row r="1200" ht="15.75" customHeight="1">
      <c r="D1200" s="2"/>
      <c r="E1200" s="1"/>
    </row>
    <row r="1201" ht="15.75" customHeight="1">
      <c r="D1201" s="2"/>
      <c r="E1201" s="1"/>
    </row>
    <row r="1202" ht="15.75" customHeight="1">
      <c r="D1202" s="2"/>
      <c r="E1202" s="1"/>
    </row>
    <row r="1203" ht="15.75" customHeight="1">
      <c r="D1203" s="2"/>
      <c r="E1203" s="1"/>
    </row>
    <row r="1204" ht="15.75" customHeight="1">
      <c r="D1204" s="2"/>
      <c r="E1204" s="1"/>
    </row>
    <row r="1205" ht="15.75" customHeight="1">
      <c r="D1205" s="2"/>
      <c r="E1205" s="1"/>
    </row>
    <row r="1206" ht="15.75" customHeight="1">
      <c r="D1206" s="2"/>
      <c r="E1206" s="1"/>
    </row>
    <row r="1207" ht="15.75" customHeight="1">
      <c r="D1207" s="2"/>
      <c r="E1207" s="1"/>
    </row>
    <row r="1208" ht="15.75" customHeight="1">
      <c r="D1208" s="2"/>
      <c r="E1208" s="1"/>
    </row>
    <row r="1209">
      <c r="D1209" s="2"/>
      <c r="E1209" s="1"/>
    </row>
    <row r="1210">
      <c r="D1210" s="2"/>
      <c r="E1210" s="1"/>
    </row>
    <row r="1211">
      <c r="D1211" s="2"/>
      <c r="E1211" s="1"/>
    </row>
    <row r="1212">
      <c r="D1212" s="2"/>
      <c r="E1212" s="1"/>
    </row>
    <row r="1213">
      <c r="D1213" s="2"/>
      <c r="E1213" s="1"/>
    </row>
    <row r="1214">
      <c r="D1214" s="2"/>
      <c r="E1214" s="1"/>
    </row>
    <row r="1215">
      <c r="D1215" s="2"/>
      <c r="E1215" s="1"/>
    </row>
    <row r="1216">
      <c r="D1216" s="2"/>
      <c r="E1216" s="1"/>
    </row>
    <row r="1217">
      <c r="D1217" s="2"/>
      <c r="E1217" s="1"/>
    </row>
    <row r="1218">
      <c r="D1218" s="2"/>
    </row>
  </sheetData>
  <autoFilter ref="$A$3:$X$648"/>
  <mergeCells count="266">
    <mergeCell ref="E48:E54"/>
    <mergeCell ref="E55:E62"/>
    <mergeCell ref="G56:G67"/>
    <mergeCell ref="E63:E73"/>
    <mergeCell ref="E74:E81"/>
    <mergeCell ref="E82:E90"/>
    <mergeCell ref="E91:E97"/>
    <mergeCell ref="E98:E107"/>
    <mergeCell ref="G103:G111"/>
    <mergeCell ref="E108:E118"/>
    <mergeCell ref="E119:E127"/>
    <mergeCell ref="G121:G128"/>
    <mergeCell ref="E128:E134"/>
    <mergeCell ref="G131:G139"/>
    <mergeCell ref="A21:A28"/>
    <mergeCell ref="A29:A35"/>
    <mergeCell ref="A36:A39"/>
    <mergeCell ref="A40:A47"/>
    <mergeCell ref="A48:A54"/>
    <mergeCell ref="A55:A62"/>
    <mergeCell ref="A63:A73"/>
    <mergeCell ref="A74:A81"/>
    <mergeCell ref="A82:A90"/>
    <mergeCell ref="A91:A97"/>
    <mergeCell ref="A98:A107"/>
    <mergeCell ref="A108:A118"/>
    <mergeCell ref="A119:A127"/>
    <mergeCell ref="A128:A134"/>
    <mergeCell ref="A2:E2"/>
    <mergeCell ref="A4:A10"/>
    <mergeCell ref="E4:E10"/>
    <mergeCell ref="A11:A20"/>
    <mergeCell ref="E11:E20"/>
    <mergeCell ref="G12:G23"/>
    <mergeCell ref="E21:E28"/>
    <mergeCell ref="E29:E35"/>
    <mergeCell ref="G31:H39"/>
    <mergeCell ref="E36:E39"/>
    <mergeCell ref="J37:J40"/>
    <mergeCell ref="E40:E47"/>
    <mergeCell ref="J42:J49"/>
    <mergeCell ref="G43:G51"/>
    <mergeCell ref="G75:G85"/>
    <mergeCell ref="G92:G96"/>
    <mergeCell ref="G174:G183"/>
    <mergeCell ref="G217:G224"/>
    <mergeCell ref="G227:G238"/>
    <mergeCell ref="G251:G256"/>
    <mergeCell ref="F186:N186"/>
    <mergeCell ref="G189:I189"/>
    <mergeCell ref="G190:I190"/>
    <mergeCell ref="G191:I191"/>
    <mergeCell ref="E135:E140"/>
    <mergeCell ref="E141:E151"/>
    <mergeCell ref="E152:E163"/>
    <mergeCell ref="E164:E170"/>
    <mergeCell ref="E171:E179"/>
    <mergeCell ref="E180:E187"/>
    <mergeCell ref="E188:E194"/>
    <mergeCell ref="A221:A224"/>
    <mergeCell ref="A233:A236"/>
    <mergeCell ref="E195:E197"/>
    <mergeCell ref="E198:E206"/>
    <mergeCell ref="E207:E213"/>
    <mergeCell ref="E214:E220"/>
    <mergeCell ref="E221:E224"/>
    <mergeCell ref="E225:E232"/>
    <mergeCell ref="E233:E236"/>
    <mergeCell ref="A411:A414"/>
    <mergeCell ref="A415:A418"/>
    <mergeCell ref="A419:A422"/>
    <mergeCell ref="A423:A428"/>
    <mergeCell ref="A429:A432"/>
    <mergeCell ref="A433:A436"/>
    <mergeCell ref="A437:A440"/>
    <mergeCell ref="A441:A447"/>
    <mergeCell ref="A448:A451"/>
    <mergeCell ref="A452:A457"/>
    <mergeCell ref="A458:A462"/>
    <mergeCell ref="A463:A469"/>
    <mergeCell ref="A470:A473"/>
    <mergeCell ref="A474:A478"/>
    <mergeCell ref="A479:A482"/>
    <mergeCell ref="A483:A487"/>
    <mergeCell ref="A488:A493"/>
    <mergeCell ref="A494:A498"/>
    <mergeCell ref="A499:A506"/>
    <mergeCell ref="A507:A511"/>
    <mergeCell ref="A512:A518"/>
    <mergeCell ref="A519:A524"/>
    <mergeCell ref="A525:A530"/>
    <mergeCell ref="A531:A539"/>
    <mergeCell ref="A540:A544"/>
    <mergeCell ref="A545:A549"/>
    <mergeCell ref="A550:A554"/>
    <mergeCell ref="A555:A559"/>
    <mergeCell ref="A607:A611"/>
    <mergeCell ref="A612:A616"/>
    <mergeCell ref="A617:A622"/>
    <mergeCell ref="A623:A627"/>
    <mergeCell ref="A628:A633"/>
    <mergeCell ref="A634:A641"/>
    <mergeCell ref="A642:A648"/>
    <mergeCell ref="A560:A566"/>
    <mergeCell ref="A567:A572"/>
    <mergeCell ref="A573:A583"/>
    <mergeCell ref="A584:A591"/>
    <mergeCell ref="A592:A596"/>
    <mergeCell ref="A597:A601"/>
    <mergeCell ref="A602:A606"/>
    <mergeCell ref="A135:A140"/>
    <mergeCell ref="A141:A151"/>
    <mergeCell ref="A152:A163"/>
    <mergeCell ref="A164:A170"/>
    <mergeCell ref="A171:A179"/>
    <mergeCell ref="A180:A187"/>
    <mergeCell ref="A188:A194"/>
    <mergeCell ref="A195:A197"/>
    <mergeCell ref="A198:A206"/>
    <mergeCell ref="A207:A213"/>
    <mergeCell ref="A214:A220"/>
    <mergeCell ref="A225:A232"/>
    <mergeCell ref="A237:A241"/>
    <mergeCell ref="A242:A245"/>
    <mergeCell ref="A246:A250"/>
    <mergeCell ref="A251:A254"/>
    <mergeCell ref="A255:A260"/>
    <mergeCell ref="A261:A265"/>
    <mergeCell ref="A266:A271"/>
    <mergeCell ref="A272:A276"/>
    <mergeCell ref="A277:A281"/>
    <mergeCell ref="A282:A286"/>
    <mergeCell ref="A287:A291"/>
    <mergeCell ref="A292:A296"/>
    <mergeCell ref="A297:A301"/>
    <mergeCell ref="A302:A305"/>
    <mergeCell ref="A306:A316"/>
    <mergeCell ref="A317:A320"/>
    <mergeCell ref="A321:A325"/>
    <mergeCell ref="A326:A329"/>
    <mergeCell ref="A330:A333"/>
    <mergeCell ref="A334:A338"/>
    <mergeCell ref="A339:A342"/>
    <mergeCell ref="A343:A346"/>
    <mergeCell ref="A347:A350"/>
    <mergeCell ref="A351:A354"/>
    <mergeCell ref="A355:A358"/>
    <mergeCell ref="A359:A362"/>
    <mergeCell ref="A363:A366"/>
    <mergeCell ref="A367:A370"/>
    <mergeCell ref="A371:A375"/>
    <mergeCell ref="A376:A380"/>
    <mergeCell ref="A381:A384"/>
    <mergeCell ref="A385:A388"/>
    <mergeCell ref="A389:A392"/>
    <mergeCell ref="A393:A396"/>
    <mergeCell ref="A397:A402"/>
    <mergeCell ref="A403:A406"/>
    <mergeCell ref="A407:A410"/>
    <mergeCell ref="E237:E241"/>
    <mergeCell ref="E242:E245"/>
    <mergeCell ref="E246:E250"/>
    <mergeCell ref="E251:E254"/>
    <mergeCell ref="J256:J263"/>
    <mergeCell ref="I257:I261"/>
    <mergeCell ref="G258:G261"/>
    <mergeCell ref="E255:E260"/>
    <mergeCell ref="E261:E265"/>
    <mergeCell ref="E266:E271"/>
    <mergeCell ref="G268:G274"/>
    <mergeCell ref="E272:E276"/>
    <mergeCell ref="J272:J285"/>
    <mergeCell ref="E277:E281"/>
    <mergeCell ref="E282:E286"/>
    <mergeCell ref="E287:E291"/>
    <mergeCell ref="E292:E296"/>
    <mergeCell ref="E297:E301"/>
    <mergeCell ref="E302:E305"/>
    <mergeCell ref="E306:E312"/>
    <mergeCell ref="E314:E315"/>
    <mergeCell ref="E317:E320"/>
    <mergeCell ref="G319:G325"/>
    <mergeCell ref="E321:E325"/>
    <mergeCell ref="E326:E329"/>
    <mergeCell ref="E330:E333"/>
    <mergeCell ref="E334:E338"/>
    <mergeCell ref="E339:E342"/>
    <mergeCell ref="E343:E346"/>
    <mergeCell ref="E347:E350"/>
    <mergeCell ref="E351:E354"/>
    <mergeCell ref="E355:E358"/>
    <mergeCell ref="E359:E362"/>
    <mergeCell ref="E363:E366"/>
    <mergeCell ref="E367:E370"/>
    <mergeCell ref="E371:E375"/>
    <mergeCell ref="E376:E380"/>
    <mergeCell ref="E381:E384"/>
    <mergeCell ref="E385:E388"/>
    <mergeCell ref="E389:E392"/>
    <mergeCell ref="E393:E396"/>
    <mergeCell ref="E397:E402"/>
    <mergeCell ref="E403:E406"/>
    <mergeCell ref="E407:E410"/>
    <mergeCell ref="E411:E414"/>
    <mergeCell ref="E415:E418"/>
    <mergeCell ref="E419:E422"/>
    <mergeCell ref="E423:E428"/>
    <mergeCell ref="E429:E432"/>
    <mergeCell ref="E634:E641"/>
    <mergeCell ref="E642:E648"/>
    <mergeCell ref="A655:C655"/>
    <mergeCell ref="E655:G655"/>
    <mergeCell ref="A671:C671"/>
    <mergeCell ref="E612:E616"/>
    <mergeCell ref="E617:E622"/>
    <mergeCell ref="G620:G625"/>
    <mergeCell ref="E623:E627"/>
    <mergeCell ref="G626:G630"/>
    <mergeCell ref="E628:E633"/>
    <mergeCell ref="G631:G636"/>
    <mergeCell ref="E433:E436"/>
    <mergeCell ref="E437:E440"/>
    <mergeCell ref="E441:E447"/>
    <mergeCell ref="E448:E451"/>
    <mergeCell ref="G448:G457"/>
    <mergeCell ref="E452:E457"/>
    <mergeCell ref="E458:E462"/>
    <mergeCell ref="E463:E469"/>
    <mergeCell ref="E470:E473"/>
    <mergeCell ref="E474:E478"/>
    <mergeCell ref="E479:E482"/>
    <mergeCell ref="J480:J482"/>
    <mergeCell ref="G482:G490"/>
    <mergeCell ref="E483:E487"/>
    <mergeCell ref="E488:E493"/>
    <mergeCell ref="E494:E498"/>
    <mergeCell ref="E499:E506"/>
    <mergeCell ref="E507:E511"/>
    <mergeCell ref="E512:E518"/>
    <mergeCell ref="E519:E524"/>
    <mergeCell ref="G528:G533"/>
    <mergeCell ref="G563:G567"/>
    <mergeCell ref="G568:G575"/>
    <mergeCell ref="G576:G578"/>
    <mergeCell ref="G586:G593"/>
    <mergeCell ref="G534:G541"/>
    <mergeCell ref="G548:G552"/>
    <mergeCell ref="G553:G557"/>
    <mergeCell ref="G558:G562"/>
    <mergeCell ref="J563:J567"/>
    <mergeCell ref="K564:K565"/>
    <mergeCell ref="L564:L565"/>
    <mergeCell ref="E525:E530"/>
    <mergeCell ref="E531:E539"/>
    <mergeCell ref="E540:E544"/>
    <mergeCell ref="E545:E549"/>
    <mergeCell ref="E550:E554"/>
    <mergeCell ref="E555:E559"/>
    <mergeCell ref="E560:E566"/>
    <mergeCell ref="E567:E572"/>
    <mergeCell ref="E573:E583"/>
    <mergeCell ref="E584:E591"/>
    <mergeCell ref="E592:E596"/>
    <mergeCell ref="E597:E601"/>
    <mergeCell ref="E602:E606"/>
    <mergeCell ref="E607:E61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47.86"/>
    <col customWidth="1" min="3" max="3" width="20.43"/>
    <col customWidth="1" min="4" max="4" width="19.71"/>
    <col customWidth="1" min="5" max="5" width="23.43"/>
    <col customWidth="1" min="6" max="6" width="23.86"/>
    <col customWidth="1" min="7" max="7" width="29.57"/>
    <col customWidth="1" min="8" max="8" width="26.14"/>
    <col customWidth="1" min="9" max="9" width="27.86"/>
    <col customWidth="1" min="10" max="10" width="33.71"/>
    <col customWidth="1" min="11" max="11" width="39.0"/>
    <col customWidth="1" min="12" max="12" width="26.0"/>
    <col customWidth="1" min="13" max="13" width="30.14"/>
    <col customWidth="1" min="14" max="24" width="8.71"/>
  </cols>
  <sheetData>
    <row r="1">
      <c r="A1" s="1"/>
      <c r="D1" s="2"/>
      <c r="E1" s="1"/>
    </row>
    <row r="2" ht="39.75" customHeight="1">
      <c r="A2" s="280" t="s">
        <v>406</v>
      </c>
      <c r="B2" s="4"/>
      <c r="C2" s="4"/>
      <c r="D2" s="4"/>
      <c r="E2" s="5"/>
    </row>
    <row r="3">
      <c r="A3" s="6" t="s">
        <v>1</v>
      </c>
      <c r="B3" s="6"/>
      <c r="C3" s="6" t="s">
        <v>2</v>
      </c>
      <c r="D3" s="7" t="s">
        <v>3</v>
      </c>
      <c r="E3" s="6" t="s">
        <v>4</v>
      </c>
      <c r="H3" s="9"/>
      <c r="I3" s="10"/>
    </row>
    <row r="4" ht="27.0" customHeight="1">
      <c r="A4" s="12" t="s">
        <v>5</v>
      </c>
      <c r="B4" s="160" t="s">
        <v>312</v>
      </c>
      <c r="C4" s="155">
        <v>4567500.0</v>
      </c>
      <c r="D4" s="152" t="s">
        <v>7</v>
      </c>
      <c r="E4" s="153">
        <f>SUM(C9)</f>
        <v>43360500</v>
      </c>
      <c r="H4" s="9"/>
      <c r="I4" s="17"/>
    </row>
    <row r="5" ht="25.5" customHeight="1">
      <c r="A5" s="18"/>
      <c r="B5" s="160" t="s">
        <v>313</v>
      </c>
      <c r="C5" s="155">
        <v>4.098E7</v>
      </c>
      <c r="D5" s="152" t="s">
        <v>7</v>
      </c>
      <c r="E5" s="18"/>
      <c r="F5" s="20"/>
      <c r="H5" s="9"/>
      <c r="I5" s="10"/>
    </row>
    <row r="6" ht="25.5" customHeight="1">
      <c r="A6" s="18"/>
      <c r="B6" s="160" t="s">
        <v>407</v>
      </c>
      <c r="C6" s="155">
        <v>4460500.0</v>
      </c>
      <c r="D6" s="152" t="s">
        <v>7</v>
      </c>
      <c r="E6" s="18"/>
      <c r="H6" s="9"/>
      <c r="I6" s="10"/>
    </row>
    <row r="7" ht="25.5" customHeight="1">
      <c r="A7" s="18"/>
      <c r="B7" s="160" t="s">
        <v>408</v>
      </c>
      <c r="C7" s="155">
        <v>8201000.0</v>
      </c>
      <c r="D7" s="152" t="s">
        <v>7</v>
      </c>
      <c r="E7" s="18"/>
      <c r="H7" s="9"/>
      <c r="I7" s="10"/>
    </row>
    <row r="8" ht="25.5" customHeight="1">
      <c r="A8" s="18"/>
      <c r="B8" s="160" t="s">
        <v>409</v>
      </c>
      <c r="C8" s="155">
        <v>4484000.0</v>
      </c>
      <c r="D8" s="152" t="s">
        <v>7</v>
      </c>
      <c r="E8" s="18"/>
      <c r="F8" s="29"/>
      <c r="H8" s="27"/>
      <c r="I8" s="28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ht="25.5" customHeight="1">
      <c r="A9" s="18"/>
      <c r="B9" s="160" t="s">
        <v>410</v>
      </c>
      <c r="C9" s="160">
        <v>4.33605E7</v>
      </c>
      <c r="D9" s="25"/>
      <c r="E9" s="18"/>
      <c r="F9" s="29"/>
      <c r="H9" s="27"/>
      <c r="I9" s="28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ht="25.5" customHeight="1">
      <c r="A10" s="22"/>
      <c r="B10" s="201"/>
      <c r="C10" s="207"/>
      <c r="D10" s="163"/>
      <c r="E10" s="22"/>
      <c r="F10" s="29"/>
      <c r="H10" s="27"/>
      <c r="I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ht="25.5" customHeight="1">
      <c r="A11" s="12" t="s">
        <v>11</v>
      </c>
      <c r="B11" s="181" t="s">
        <v>221</v>
      </c>
      <c r="C11" s="167">
        <v>5.162E7</v>
      </c>
      <c r="D11" s="156" t="s">
        <v>7</v>
      </c>
      <c r="E11" s="16">
        <f>sum(C12:C18)</f>
        <v>54182200</v>
      </c>
      <c r="H11" s="9"/>
      <c r="I11" s="10"/>
    </row>
    <row r="12" ht="25.5" customHeight="1">
      <c r="A12" s="18"/>
      <c r="B12" s="160" t="s">
        <v>314</v>
      </c>
      <c r="C12" s="160">
        <v>2130000.0</v>
      </c>
      <c r="D12" s="156"/>
      <c r="E12" s="18"/>
      <c r="G12" s="32"/>
      <c r="H12" s="9"/>
      <c r="I12" s="10"/>
    </row>
    <row r="13" ht="25.5" customHeight="1">
      <c r="A13" s="18"/>
      <c r="B13" s="160" t="s">
        <v>312</v>
      </c>
      <c r="C13" s="207">
        <v>7670000.0</v>
      </c>
      <c r="D13" s="156"/>
      <c r="E13" s="18"/>
      <c r="H13" s="9"/>
      <c r="I13" s="10"/>
    </row>
    <row r="14" ht="25.5" customHeight="1">
      <c r="A14" s="18"/>
      <c r="B14" s="160" t="s">
        <v>313</v>
      </c>
      <c r="C14" s="155">
        <v>5010000.0</v>
      </c>
      <c r="D14" s="156"/>
      <c r="E14" s="18"/>
      <c r="H14" s="9"/>
      <c r="I14" s="10"/>
    </row>
    <row r="15" ht="25.5" customHeight="1">
      <c r="A15" s="18"/>
      <c r="B15" s="160" t="s">
        <v>407</v>
      </c>
      <c r="C15" s="155">
        <v>8833600.0</v>
      </c>
      <c r="D15" s="156"/>
      <c r="E15" s="18"/>
      <c r="H15" s="9"/>
      <c r="I15" s="10"/>
    </row>
    <row r="16" ht="25.5" customHeight="1">
      <c r="A16" s="18"/>
      <c r="B16" s="160" t="s">
        <v>408</v>
      </c>
      <c r="C16" s="155">
        <v>1.16686E7</v>
      </c>
      <c r="D16" s="156"/>
      <c r="E16" s="18"/>
      <c r="F16" s="281"/>
      <c r="H16" s="9"/>
      <c r="I16" s="10"/>
    </row>
    <row r="17" ht="25.5" customHeight="1">
      <c r="A17" s="18"/>
      <c r="B17" s="160" t="s">
        <v>409</v>
      </c>
      <c r="C17" s="160">
        <v>7655000.0</v>
      </c>
      <c r="D17" s="156"/>
      <c r="E17" s="18"/>
      <c r="F17" s="281"/>
      <c r="H17" s="9"/>
      <c r="I17" s="10"/>
    </row>
    <row r="18" ht="25.5" customHeight="1">
      <c r="A18" s="18"/>
      <c r="B18" s="160" t="s">
        <v>410</v>
      </c>
      <c r="C18" s="160">
        <v>1.1215E7</v>
      </c>
      <c r="D18" s="156"/>
      <c r="E18" s="18"/>
      <c r="H18" s="9"/>
      <c r="I18" s="10"/>
    </row>
    <row r="19" ht="25.5" customHeight="1">
      <c r="A19" s="18"/>
      <c r="B19" s="157"/>
      <c r="C19" s="157"/>
      <c r="D19" s="34"/>
      <c r="E19" s="18"/>
      <c r="H19" s="9"/>
      <c r="I19" s="10"/>
    </row>
    <row r="20" ht="25.5" customHeight="1">
      <c r="A20" s="22"/>
      <c r="B20" s="157"/>
      <c r="C20" s="157"/>
      <c r="D20" s="34"/>
      <c r="E20" s="22"/>
      <c r="H20" s="9"/>
      <c r="I20" s="10"/>
    </row>
    <row r="21" ht="25.5" customHeight="1">
      <c r="A21" s="12" t="s">
        <v>16</v>
      </c>
      <c r="B21" s="166" t="s">
        <v>221</v>
      </c>
      <c r="C21" s="170">
        <v>1.52E7</v>
      </c>
      <c r="D21" s="187" t="s">
        <v>7</v>
      </c>
      <c r="E21" s="16">
        <f>sum(C22:C26)</f>
        <v>26600000</v>
      </c>
      <c r="H21" s="9"/>
      <c r="I21" s="10"/>
    </row>
    <row r="22" ht="25.5" customHeight="1">
      <c r="A22" s="18"/>
      <c r="B22" s="160" t="s">
        <v>314</v>
      </c>
      <c r="C22" s="160">
        <v>3800000.0</v>
      </c>
      <c r="D22" s="187"/>
      <c r="E22" s="18"/>
      <c r="H22" s="9"/>
      <c r="I22" s="10"/>
    </row>
    <row r="23" ht="25.5" customHeight="1">
      <c r="A23" s="18"/>
      <c r="B23" s="160" t="s">
        <v>312</v>
      </c>
      <c r="C23" s="160">
        <v>7600000.0</v>
      </c>
      <c r="D23" s="33"/>
      <c r="E23" s="18"/>
      <c r="H23" s="9"/>
      <c r="I23" s="10"/>
    </row>
    <row r="24" ht="25.5" customHeight="1">
      <c r="A24" s="18"/>
      <c r="B24" s="160" t="s">
        <v>407</v>
      </c>
      <c r="C24" s="160">
        <v>7600000.0</v>
      </c>
      <c r="D24" s="157"/>
      <c r="E24" s="18"/>
      <c r="G24" s="20">
        <f>4500*20</f>
        <v>90000</v>
      </c>
    </row>
    <row r="25" ht="25.5" customHeight="1">
      <c r="A25" s="18"/>
      <c r="B25" s="160" t="s">
        <v>408</v>
      </c>
      <c r="C25" s="169">
        <v>0.0</v>
      </c>
      <c r="D25" s="157"/>
      <c r="E25" s="18"/>
      <c r="G25" s="20"/>
    </row>
    <row r="26" ht="25.5" customHeight="1">
      <c r="A26" s="18"/>
      <c r="B26" s="160" t="s">
        <v>409</v>
      </c>
      <c r="C26" s="160">
        <v>7600000.0</v>
      </c>
      <c r="D26" s="157"/>
      <c r="E26" s="18"/>
      <c r="G26" s="20"/>
    </row>
    <row r="27" ht="25.5" customHeight="1">
      <c r="A27" s="18"/>
      <c r="B27" s="160" t="s">
        <v>410</v>
      </c>
      <c r="C27" s="157"/>
      <c r="D27" s="33"/>
      <c r="E27" s="18"/>
      <c r="G27" s="20"/>
    </row>
    <row r="28" ht="25.5" customHeight="1">
      <c r="A28" s="22"/>
      <c r="B28" s="116"/>
      <c r="C28" s="160"/>
      <c r="D28" s="33"/>
      <c r="E28" s="22"/>
      <c r="G28" s="20"/>
    </row>
    <row r="29" ht="25.5" customHeight="1">
      <c r="A29" s="12" t="s">
        <v>18</v>
      </c>
      <c r="B29" s="160" t="s">
        <v>312</v>
      </c>
      <c r="C29" s="160">
        <v>4.4135E7</v>
      </c>
      <c r="D29" s="156" t="s">
        <v>7</v>
      </c>
      <c r="E29" s="153">
        <f>SUM(C33)</f>
        <v>63120000</v>
      </c>
      <c r="H29" s="20">
        <f>4500*20</f>
        <v>90000</v>
      </c>
    </row>
    <row r="30" ht="25.5" customHeight="1">
      <c r="A30" s="18"/>
      <c r="B30" s="160" t="s">
        <v>313</v>
      </c>
      <c r="C30" s="160">
        <v>3300000.0</v>
      </c>
      <c r="D30" s="282" t="s">
        <v>7</v>
      </c>
      <c r="E30" s="18"/>
      <c r="F30" s="20"/>
    </row>
    <row r="31" ht="25.5" customHeight="1">
      <c r="A31" s="18"/>
      <c r="B31" s="160" t="s">
        <v>407</v>
      </c>
      <c r="C31" s="155">
        <v>3.528E7</v>
      </c>
      <c r="D31" s="156" t="s">
        <v>7</v>
      </c>
      <c r="E31" s="18"/>
      <c r="G31" s="8"/>
      <c r="I31" s="28"/>
    </row>
    <row r="32" ht="25.5" customHeight="1">
      <c r="A32" s="18"/>
      <c r="B32" s="160" t="s">
        <v>408</v>
      </c>
      <c r="C32" s="155">
        <v>4.2285E7</v>
      </c>
      <c r="D32" s="173" t="s">
        <v>7</v>
      </c>
      <c r="E32" s="18"/>
      <c r="I32" s="28"/>
    </row>
    <row r="33" ht="25.5" customHeight="1">
      <c r="A33" s="18"/>
      <c r="B33" s="160" t="s">
        <v>410</v>
      </c>
      <c r="C33" s="155">
        <v>6.312E7</v>
      </c>
      <c r="D33" s="156"/>
      <c r="E33" s="18"/>
      <c r="I33" s="28"/>
    </row>
    <row r="34" ht="25.5" customHeight="1">
      <c r="A34" s="18"/>
      <c r="B34" s="157"/>
      <c r="C34" s="157"/>
      <c r="D34" s="157"/>
      <c r="E34" s="18"/>
      <c r="I34" s="28"/>
    </row>
    <row r="35" ht="25.5" customHeight="1">
      <c r="A35" s="22"/>
      <c r="B35" s="157"/>
      <c r="C35" s="157"/>
      <c r="D35" s="157"/>
      <c r="E35" s="22"/>
      <c r="I35" s="28"/>
    </row>
    <row r="36" ht="25.5" customHeight="1">
      <c r="A36" s="12" t="s">
        <v>19</v>
      </c>
      <c r="B36" s="160" t="s">
        <v>407</v>
      </c>
      <c r="C36" s="397">
        <v>2.374E7</v>
      </c>
      <c r="D36" s="34"/>
      <c r="E36" s="153">
        <f>SUM(C36:C37)</f>
        <v>48995000</v>
      </c>
      <c r="I36" s="28"/>
    </row>
    <row r="37" ht="25.5" customHeight="1">
      <c r="A37" s="18"/>
      <c r="B37" s="160" t="s">
        <v>408</v>
      </c>
      <c r="C37" s="155">
        <v>2.5255E7</v>
      </c>
      <c r="D37" s="173"/>
      <c r="E37" s="18"/>
      <c r="I37" s="28"/>
      <c r="J37" s="38" t="str">
        <f>H40</f>
        <v/>
      </c>
    </row>
    <row r="38" ht="25.5" customHeight="1">
      <c r="A38" s="18"/>
      <c r="B38" s="160"/>
      <c r="C38" s="160"/>
      <c r="D38" s="187"/>
      <c r="E38" s="18"/>
      <c r="F38" s="20"/>
      <c r="I38" s="28"/>
    </row>
    <row r="39" ht="25.5" customHeight="1">
      <c r="A39" s="22"/>
      <c r="B39" s="157"/>
      <c r="C39" s="157"/>
      <c r="D39" s="157"/>
      <c r="E39" s="22"/>
      <c r="I39" s="28"/>
    </row>
    <row r="40" ht="25.5" customHeight="1">
      <c r="A40" s="12" t="s">
        <v>20</v>
      </c>
      <c r="B40" s="160" t="s">
        <v>312</v>
      </c>
      <c r="C40" s="185">
        <v>2.37705E7</v>
      </c>
      <c r="D40" s="284" t="s">
        <v>132</v>
      </c>
      <c r="E40" s="153">
        <f>SUM(C44:C45)</f>
        <v>74844500</v>
      </c>
    </row>
    <row r="41" ht="25.5" customHeight="1">
      <c r="A41" s="18"/>
      <c r="B41" s="160" t="s">
        <v>313</v>
      </c>
      <c r="C41" s="185">
        <v>2.56895E7</v>
      </c>
      <c r="D41" s="284" t="s">
        <v>132</v>
      </c>
      <c r="E41" s="18"/>
      <c r="F41" s="20"/>
    </row>
    <row r="42" ht="23.25" customHeight="1">
      <c r="A42" s="18"/>
      <c r="B42" s="160" t="s">
        <v>407</v>
      </c>
      <c r="C42" s="185">
        <v>5.30645E7</v>
      </c>
      <c r="D42" s="284" t="s">
        <v>132</v>
      </c>
      <c r="E42" s="18"/>
      <c r="J42" s="38"/>
    </row>
    <row r="43" ht="23.25" customHeight="1">
      <c r="A43" s="18"/>
      <c r="B43" s="160" t="s">
        <v>408</v>
      </c>
      <c r="C43" s="185">
        <v>4.18205E7</v>
      </c>
      <c r="D43" s="284" t="s">
        <v>132</v>
      </c>
      <c r="E43" s="18"/>
      <c r="G43" s="42"/>
      <c r="H43" s="9"/>
      <c r="I43" s="43"/>
    </row>
    <row r="44" ht="23.25" customHeight="1">
      <c r="A44" s="18"/>
      <c r="B44" s="160" t="s">
        <v>409</v>
      </c>
      <c r="C44" s="160">
        <v>3.13345E7</v>
      </c>
      <c r="D44" s="284"/>
      <c r="E44" s="18"/>
      <c r="H44" s="9"/>
      <c r="I44" s="43"/>
    </row>
    <row r="45" ht="23.25" customHeight="1">
      <c r="A45" s="18"/>
      <c r="B45" s="160" t="s">
        <v>410</v>
      </c>
      <c r="C45" s="185">
        <v>4.351E7</v>
      </c>
      <c r="D45" s="192"/>
      <c r="E45" s="18"/>
      <c r="H45" s="9"/>
      <c r="I45" s="43"/>
    </row>
    <row r="46" ht="23.25" customHeight="1">
      <c r="A46" s="18"/>
      <c r="B46" s="169" t="s">
        <v>411</v>
      </c>
      <c r="C46" s="157"/>
      <c r="D46" s="157"/>
      <c r="E46" s="18"/>
      <c r="H46" s="9"/>
      <c r="I46" s="43"/>
    </row>
    <row r="47" ht="23.25" customHeight="1">
      <c r="A47" s="22"/>
      <c r="B47" s="157"/>
      <c r="C47" s="157"/>
      <c r="D47" s="157"/>
      <c r="E47" s="22"/>
      <c r="H47" s="9"/>
      <c r="I47" s="43"/>
    </row>
    <row r="48" ht="23.25" customHeight="1">
      <c r="A48" s="12" t="s">
        <v>22</v>
      </c>
      <c r="B48" s="160" t="s">
        <v>408</v>
      </c>
      <c r="C48" s="185">
        <v>3555000.0</v>
      </c>
      <c r="D48" s="173" t="s">
        <v>7</v>
      </c>
      <c r="E48" s="153">
        <f>SUM(C50)</f>
        <v>5730000</v>
      </c>
      <c r="H48" s="9"/>
      <c r="I48" s="43"/>
    </row>
    <row r="49" ht="23.25" customHeight="1">
      <c r="A49" s="18"/>
      <c r="B49" s="160" t="s">
        <v>409</v>
      </c>
      <c r="C49" s="185">
        <v>1472500.0</v>
      </c>
      <c r="D49" s="169" t="s">
        <v>7</v>
      </c>
      <c r="E49" s="18"/>
      <c r="H49" s="45"/>
      <c r="I49" s="43"/>
    </row>
    <row r="50" ht="23.25" customHeight="1">
      <c r="A50" s="18"/>
      <c r="B50" s="160" t="s">
        <v>410</v>
      </c>
      <c r="C50" s="185">
        <v>5730000.0</v>
      </c>
      <c r="D50" s="173"/>
      <c r="E50" s="18"/>
      <c r="H50" s="9"/>
      <c r="I50" s="10"/>
      <c r="J50" s="46"/>
    </row>
    <row r="51" ht="23.25" customHeight="1">
      <c r="A51" s="18"/>
      <c r="B51" s="160"/>
      <c r="C51" s="185"/>
      <c r="D51" s="173"/>
      <c r="E51" s="18"/>
      <c r="H51" s="1"/>
      <c r="I51" s="1"/>
    </row>
    <row r="52" ht="23.25" customHeight="1">
      <c r="A52" s="18"/>
      <c r="B52" s="157"/>
      <c r="C52" s="157"/>
      <c r="D52" s="157"/>
      <c r="E52" s="18"/>
      <c r="G52" s="42"/>
      <c r="H52" s="1"/>
      <c r="I52" s="1"/>
    </row>
    <row r="53" ht="23.25" customHeight="1">
      <c r="A53" s="18"/>
      <c r="B53" s="157"/>
      <c r="C53" s="157"/>
      <c r="D53" s="157"/>
      <c r="E53" s="18"/>
      <c r="G53" s="42"/>
      <c r="H53" s="1"/>
      <c r="I53" s="1"/>
    </row>
    <row r="54" ht="23.25" customHeight="1">
      <c r="A54" s="22"/>
      <c r="B54" s="116"/>
      <c r="C54" s="160"/>
      <c r="D54" s="285"/>
      <c r="E54" s="22"/>
      <c r="G54" s="42"/>
      <c r="H54" s="1"/>
      <c r="I54" s="1"/>
    </row>
    <row r="55" ht="23.25" customHeight="1">
      <c r="A55" s="12" t="s">
        <v>23</v>
      </c>
      <c r="B55" s="160" t="s">
        <v>408</v>
      </c>
      <c r="C55" s="160">
        <v>2.51708E7</v>
      </c>
      <c r="D55" s="169" t="s">
        <v>7</v>
      </c>
      <c r="E55" s="16">
        <f>SUM(C57)</f>
        <v>26673600</v>
      </c>
    </row>
    <row r="56" ht="23.25" customHeight="1">
      <c r="A56" s="18"/>
      <c r="B56" s="160" t="s">
        <v>409</v>
      </c>
      <c r="C56" s="160">
        <v>2.86602E7</v>
      </c>
      <c r="D56" s="169" t="s">
        <v>7</v>
      </c>
      <c r="E56" s="18"/>
      <c r="G56" s="47"/>
      <c r="H56" s="35"/>
      <c r="I56" s="48"/>
    </row>
    <row r="57" ht="23.25" customHeight="1">
      <c r="A57" s="18"/>
      <c r="B57" s="160" t="s">
        <v>410</v>
      </c>
      <c r="C57" s="160">
        <v>2.66736E7</v>
      </c>
      <c r="D57" s="169"/>
      <c r="E57" s="18"/>
      <c r="G57" s="18"/>
      <c r="H57" s="35"/>
      <c r="I57" s="48"/>
    </row>
    <row r="58" ht="23.25" customHeight="1">
      <c r="A58" s="18"/>
      <c r="B58" s="160" t="s">
        <v>412</v>
      </c>
      <c r="C58" s="160"/>
      <c r="D58" s="169"/>
      <c r="E58" s="18"/>
      <c r="G58" s="18"/>
      <c r="H58" s="35"/>
      <c r="I58" s="48"/>
    </row>
    <row r="59" ht="23.25" customHeight="1">
      <c r="A59" s="18"/>
      <c r="B59" s="160"/>
      <c r="C59" s="160"/>
      <c r="D59" s="169"/>
      <c r="E59" s="18"/>
      <c r="G59" s="18"/>
      <c r="H59" s="35"/>
      <c r="I59" s="48"/>
    </row>
    <row r="60" ht="23.25" customHeight="1">
      <c r="A60" s="18"/>
      <c r="E60" s="18"/>
      <c r="G60" s="18"/>
      <c r="H60" s="35"/>
      <c r="I60" s="48"/>
    </row>
    <row r="61" ht="23.25" customHeight="1">
      <c r="A61" s="18"/>
      <c r="E61" s="18"/>
      <c r="G61" s="18"/>
      <c r="H61" s="35"/>
      <c r="I61" s="48"/>
    </row>
    <row r="62" ht="23.25" customHeight="1">
      <c r="A62" s="22"/>
      <c r="B62" s="157"/>
      <c r="C62" s="157"/>
      <c r="D62" s="187"/>
      <c r="E62" s="22"/>
      <c r="G62" s="18"/>
      <c r="H62" s="35"/>
      <c r="I62" s="48"/>
    </row>
    <row r="63" ht="23.25" customHeight="1">
      <c r="A63" s="49" t="s">
        <v>25</v>
      </c>
      <c r="B63" s="160" t="s">
        <v>407</v>
      </c>
      <c r="C63" s="200">
        <v>6161000.0</v>
      </c>
      <c r="D63" s="187" t="s">
        <v>7</v>
      </c>
      <c r="E63" s="16">
        <f>SUM(C65:C66)</f>
        <v>17073000</v>
      </c>
      <c r="G63" s="18"/>
      <c r="H63" s="35"/>
      <c r="I63" s="48"/>
    </row>
    <row r="64" ht="23.25" customHeight="1">
      <c r="A64" s="18"/>
      <c r="B64" s="160" t="s">
        <v>408</v>
      </c>
      <c r="C64" s="155">
        <v>4710000.0</v>
      </c>
      <c r="D64" s="156" t="s">
        <v>7</v>
      </c>
      <c r="E64" s="18"/>
      <c r="G64" s="18"/>
      <c r="H64" s="23"/>
      <c r="I64" s="48"/>
      <c r="K64" s="10"/>
      <c r="L64" s="50"/>
    </row>
    <row r="65" ht="23.25" customHeight="1">
      <c r="A65" s="18"/>
      <c r="B65" s="160" t="s">
        <v>409</v>
      </c>
      <c r="C65" s="207">
        <v>7863000.0</v>
      </c>
      <c r="D65" s="169"/>
      <c r="E65" s="18"/>
      <c r="G65" s="18"/>
      <c r="H65" s="35"/>
      <c r="I65" s="48"/>
      <c r="K65" s="10"/>
      <c r="L65" s="50"/>
    </row>
    <row r="66" ht="23.25" customHeight="1">
      <c r="A66" s="18"/>
      <c r="B66" s="160" t="s">
        <v>410</v>
      </c>
      <c r="C66" s="160">
        <v>9210000.0</v>
      </c>
      <c r="D66" s="169"/>
      <c r="E66" s="18"/>
      <c r="G66" s="18"/>
      <c r="K66" s="10"/>
      <c r="L66" s="50"/>
    </row>
    <row r="67" ht="23.25" customHeight="1">
      <c r="A67" s="18"/>
      <c r="B67" s="184"/>
      <c r="C67" s="207"/>
      <c r="D67" s="169"/>
      <c r="E67" s="18"/>
      <c r="G67" s="22"/>
      <c r="H67" s="30"/>
      <c r="I67" s="51"/>
      <c r="K67" s="10"/>
      <c r="L67" s="50"/>
    </row>
    <row r="68" ht="23.25" customHeight="1">
      <c r="A68" s="18"/>
      <c r="B68" s="184"/>
      <c r="C68" s="155"/>
      <c r="D68" s="169"/>
      <c r="E68" s="18"/>
      <c r="G68" s="52"/>
      <c r="H68" s="53"/>
      <c r="I68" s="54"/>
      <c r="K68" s="10"/>
      <c r="L68" s="50"/>
    </row>
    <row r="69" ht="23.25" customHeight="1">
      <c r="A69" s="18"/>
      <c r="B69" s="160"/>
      <c r="C69" s="155"/>
      <c r="D69" s="169"/>
      <c r="E69" s="18"/>
      <c r="G69" s="52"/>
      <c r="H69" s="53"/>
      <c r="I69" s="54"/>
      <c r="K69" s="10"/>
      <c r="L69" s="50"/>
    </row>
    <row r="70" ht="23.25" customHeight="1">
      <c r="A70" s="18"/>
      <c r="B70" s="160"/>
      <c r="C70" s="155"/>
      <c r="D70" s="169"/>
      <c r="E70" s="18"/>
      <c r="G70" s="52"/>
      <c r="K70" s="10"/>
      <c r="L70" s="50"/>
    </row>
    <row r="71" ht="23.25" customHeight="1">
      <c r="A71" s="18"/>
      <c r="B71" s="157"/>
      <c r="C71" s="157"/>
      <c r="D71" s="157"/>
      <c r="E71" s="18"/>
      <c r="G71" s="52"/>
      <c r="H71" s="53"/>
      <c r="I71" s="54"/>
      <c r="K71" s="10"/>
      <c r="L71" s="50"/>
    </row>
    <row r="72" ht="23.25" customHeight="1">
      <c r="A72" s="18"/>
      <c r="B72" s="157"/>
      <c r="C72" s="157"/>
      <c r="D72" s="157"/>
      <c r="E72" s="18"/>
      <c r="G72" s="52"/>
      <c r="H72" s="53"/>
      <c r="I72" s="54"/>
      <c r="K72" s="10"/>
      <c r="L72" s="50"/>
    </row>
    <row r="73" ht="23.25" customHeight="1">
      <c r="A73" s="22"/>
      <c r="B73" s="157"/>
      <c r="C73" s="157"/>
      <c r="D73" s="157"/>
      <c r="E73" s="22"/>
      <c r="G73" s="52"/>
      <c r="H73" s="53"/>
      <c r="I73" s="54"/>
      <c r="K73" s="10"/>
      <c r="L73" s="50"/>
    </row>
    <row r="74" ht="23.25" customHeight="1">
      <c r="A74" s="49" t="s">
        <v>26</v>
      </c>
      <c r="B74" s="160" t="s">
        <v>407</v>
      </c>
      <c r="C74" s="207">
        <v>9.52579E7</v>
      </c>
      <c r="D74" s="156" t="s">
        <v>7</v>
      </c>
      <c r="E74" s="153">
        <f>SUM(C78)</f>
        <v>69720000</v>
      </c>
    </row>
    <row r="75" ht="23.25" customHeight="1">
      <c r="A75" s="18"/>
      <c r="B75" s="160" t="s">
        <v>408</v>
      </c>
      <c r="C75" s="286">
        <v>1.004475E8</v>
      </c>
      <c r="D75" s="156" t="s">
        <v>7</v>
      </c>
      <c r="E75" s="18"/>
      <c r="F75" s="20"/>
      <c r="G75" s="49"/>
      <c r="H75" s="56"/>
      <c r="I75" s="24"/>
    </row>
    <row r="76" ht="23.25" customHeight="1">
      <c r="A76" s="18"/>
      <c r="B76" s="160" t="s">
        <v>409</v>
      </c>
      <c r="C76" s="160">
        <v>8.99904E7</v>
      </c>
      <c r="D76" s="287" t="s">
        <v>7</v>
      </c>
      <c r="E76" s="18"/>
      <c r="G76" s="18"/>
      <c r="H76" s="19"/>
      <c r="I76" s="57"/>
    </row>
    <row r="77" ht="23.25" customHeight="1">
      <c r="A77" s="18"/>
      <c r="B77" s="160" t="s">
        <v>410</v>
      </c>
      <c r="C77" s="160">
        <v>9.54108E7</v>
      </c>
      <c r="D77" s="287" t="s">
        <v>7</v>
      </c>
      <c r="E77" s="18"/>
      <c r="G77" s="18"/>
      <c r="H77" s="30"/>
      <c r="I77" s="24"/>
    </row>
    <row r="78" ht="23.25" customHeight="1">
      <c r="A78" s="18"/>
      <c r="B78" s="160" t="s">
        <v>413</v>
      </c>
      <c r="C78" s="160">
        <v>6.972E7</v>
      </c>
      <c r="D78" s="287"/>
      <c r="E78" s="18"/>
      <c r="G78" s="18"/>
      <c r="H78" s="30"/>
      <c r="I78" s="24"/>
    </row>
    <row r="79" ht="23.25" customHeight="1">
      <c r="A79" s="18"/>
      <c r="B79" s="288"/>
      <c r="D79" s="288"/>
      <c r="E79" s="18"/>
      <c r="G79" s="18"/>
      <c r="H79" s="30"/>
      <c r="I79" s="24"/>
    </row>
    <row r="80" ht="23.25" customHeight="1">
      <c r="A80" s="18"/>
      <c r="B80" s="288"/>
      <c r="C80" s="288"/>
      <c r="D80" s="288"/>
      <c r="E80" s="18"/>
      <c r="G80" s="18"/>
      <c r="H80" s="30"/>
      <c r="I80" s="24"/>
    </row>
    <row r="81" ht="23.25" customHeight="1">
      <c r="A81" s="22"/>
      <c r="B81" s="157"/>
      <c r="C81" s="157"/>
      <c r="D81" s="157"/>
      <c r="E81" s="22"/>
      <c r="G81" s="18"/>
      <c r="H81" s="30"/>
      <c r="I81" s="24"/>
    </row>
    <row r="82" ht="21.75" customHeight="1">
      <c r="A82" s="12" t="s">
        <v>29</v>
      </c>
      <c r="B82" s="160" t="s">
        <v>313</v>
      </c>
      <c r="C82" s="155">
        <v>1.49026E7</v>
      </c>
      <c r="D82" s="173" t="s">
        <v>7</v>
      </c>
      <c r="E82" s="16">
        <f>SUM(C83:C86)</f>
        <v>144998800</v>
      </c>
      <c r="F82" s="29"/>
      <c r="G82" s="18"/>
      <c r="H82" s="30"/>
      <c r="I82" s="24"/>
    </row>
    <row r="83" ht="21.75" customHeight="1">
      <c r="A83" s="18"/>
      <c r="B83" s="160" t="s">
        <v>407</v>
      </c>
      <c r="C83" s="155">
        <v>2.21341E7</v>
      </c>
      <c r="D83" s="173"/>
      <c r="E83" s="18"/>
      <c r="G83" s="18"/>
      <c r="H83" s="30"/>
      <c r="I83" s="24"/>
    </row>
    <row r="84" ht="21.75" customHeight="1">
      <c r="A84" s="18"/>
      <c r="B84" s="160" t="s">
        <v>408</v>
      </c>
      <c r="C84" s="155">
        <v>2.93245E7</v>
      </c>
      <c r="D84" s="173"/>
      <c r="E84" s="18"/>
      <c r="G84" s="18"/>
      <c r="H84" s="30"/>
      <c r="I84" s="24"/>
    </row>
    <row r="85" ht="21.75" customHeight="1">
      <c r="A85" s="18"/>
      <c r="B85" s="160" t="s">
        <v>409</v>
      </c>
      <c r="C85" s="160">
        <v>3.39122E7</v>
      </c>
      <c r="D85" s="173"/>
      <c r="E85" s="18"/>
      <c r="G85" s="22"/>
      <c r="H85" s="30"/>
      <c r="I85" s="58"/>
    </row>
    <row r="86" ht="21.75" customHeight="1">
      <c r="A86" s="18"/>
      <c r="B86" s="160" t="s">
        <v>410</v>
      </c>
      <c r="C86" s="160">
        <v>5.9628E7</v>
      </c>
      <c r="D86" s="157"/>
      <c r="E86" s="18"/>
    </row>
    <row r="87" ht="21.75" customHeight="1">
      <c r="A87" s="18"/>
      <c r="B87" s="157"/>
      <c r="C87" s="157"/>
      <c r="D87" s="157"/>
      <c r="E87" s="18"/>
    </row>
    <row r="88" ht="21.75" customHeight="1">
      <c r="A88" s="18"/>
      <c r="B88" s="184"/>
      <c r="C88" s="155"/>
      <c r="D88" s="173"/>
      <c r="E88" s="18"/>
    </row>
    <row r="89" ht="21.75" customHeight="1">
      <c r="A89" s="18"/>
      <c r="B89" s="157"/>
      <c r="C89" s="157"/>
      <c r="D89" s="157"/>
      <c r="E89" s="18"/>
    </row>
    <row r="90" ht="21.75" customHeight="1">
      <c r="A90" s="22"/>
      <c r="E90" s="22"/>
    </row>
    <row r="91" ht="21.75" customHeight="1">
      <c r="A91" s="12" t="s">
        <v>30</v>
      </c>
      <c r="B91" s="160" t="s">
        <v>313</v>
      </c>
      <c r="C91" s="185">
        <v>3.90087E7</v>
      </c>
      <c r="D91" s="173" t="s">
        <v>132</v>
      </c>
      <c r="E91" s="153">
        <f>SUM(C95)</f>
        <v>60092500</v>
      </c>
    </row>
    <row r="92" ht="21.75" customHeight="1">
      <c r="A92" s="18"/>
      <c r="B92" s="160" t="s">
        <v>407</v>
      </c>
      <c r="C92" s="185">
        <v>3.14221E7</v>
      </c>
      <c r="D92" s="156" t="s">
        <v>132</v>
      </c>
      <c r="E92" s="18"/>
      <c r="G92" s="42"/>
      <c r="H92" s="9"/>
      <c r="I92" s="43"/>
    </row>
    <row r="93" ht="21.75" customHeight="1">
      <c r="A93" s="18"/>
      <c r="B93" s="160" t="s">
        <v>408</v>
      </c>
      <c r="C93" s="185">
        <v>3.10226E7</v>
      </c>
      <c r="D93" s="156" t="s">
        <v>132</v>
      </c>
      <c r="E93" s="18"/>
      <c r="H93" s="9"/>
      <c r="I93" s="43"/>
    </row>
    <row r="94" ht="21.75" customHeight="1">
      <c r="A94" s="18"/>
      <c r="B94" s="160" t="s">
        <v>409</v>
      </c>
      <c r="C94" s="185">
        <v>2.53182E7</v>
      </c>
      <c r="D94" s="156" t="s">
        <v>132</v>
      </c>
      <c r="E94" s="18"/>
      <c r="H94" s="45"/>
      <c r="I94" s="43"/>
    </row>
    <row r="95" ht="21.75" customHeight="1">
      <c r="A95" s="18"/>
      <c r="B95" s="160" t="s">
        <v>410</v>
      </c>
      <c r="C95" s="185">
        <v>6.00925E7</v>
      </c>
      <c r="D95" s="156"/>
      <c r="E95" s="18"/>
      <c r="H95" s="9"/>
      <c r="I95" s="10"/>
    </row>
    <row r="96" ht="21.75" customHeight="1">
      <c r="A96" s="18"/>
      <c r="B96" s="157"/>
      <c r="C96" s="157"/>
      <c r="D96" s="157"/>
      <c r="E96" s="18"/>
      <c r="H96" s="1"/>
      <c r="I96" s="1"/>
    </row>
    <row r="97" ht="21.75" customHeight="1">
      <c r="A97" s="22"/>
      <c r="B97" s="116"/>
      <c r="C97" s="160"/>
      <c r="D97" s="285"/>
      <c r="E97" s="22"/>
      <c r="G97" s="42"/>
      <c r="H97" s="1"/>
      <c r="I97" s="1"/>
    </row>
    <row r="98" ht="21.75" customHeight="1">
      <c r="A98" s="12" t="s">
        <v>31</v>
      </c>
      <c r="B98" s="160" t="s">
        <v>312</v>
      </c>
      <c r="C98" s="155">
        <v>1.3176E7</v>
      </c>
      <c r="D98" s="192" t="s">
        <v>7</v>
      </c>
      <c r="E98" s="16">
        <f>SUM(C99:C101)</f>
        <v>40808500</v>
      </c>
      <c r="G98" s="42"/>
      <c r="H98" s="1"/>
      <c r="I98" s="1"/>
    </row>
    <row r="99" ht="21.75" customHeight="1">
      <c r="A99" s="18"/>
      <c r="B99" s="160" t="s">
        <v>407</v>
      </c>
      <c r="C99" s="155">
        <v>0.0</v>
      </c>
      <c r="D99" s="156"/>
      <c r="E99" s="18"/>
    </row>
    <row r="100" ht="21.75" customHeight="1">
      <c r="A100" s="18"/>
      <c r="B100" s="160" t="s">
        <v>408</v>
      </c>
      <c r="C100" s="155">
        <v>2.48535E7</v>
      </c>
      <c r="D100" s="110"/>
      <c r="E100" s="18"/>
    </row>
    <row r="101" ht="21.75" customHeight="1">
      <c r="A101" s="18"/>
      <c r="B101" s="160" t="s">
        <v>410</v>
      </c>
      <c r="C101" s="155">
        <v>1.5955E7</v>
      </c>
      <c r="D101" s="110"/>
      <c r="E101" s="18"/>
      <c r="F101" s="20"/>
    </row>
    <row r="102" ht="21.75" customHeight="1">
      <c r="A102" s="18"/>
      <c r="B102" s="182"/>
      <c r="C102" s="155"/>
      <c r="D102" s="110"/>
      <c r="E102" s="18"/>
    </row>
    <row r="103" ht="21.75" customHeight="1">
      <c r="A103" s="18"/>
      <c r="B103" s="116"/>
      <c r="C103" s="155"/>
      <c r="D103" s="110"/>
      <c r="E103" s="18"/>
      <c r="G103" s="42"/>
      <c r="H103" s="9"/>
      <c r="I103" s="43"/>
    </row>
    <row r="104" ht="21.75" customHeight="1">
      <c r="A104" s="18"/>
      <c r="B104" s="116"/>
      <c r="C104" s="155"/>
      <c r="D104" s="110"/>
      <c r="E104" s="18"/>
      <c r="H104" s="9"/>
      <c r="I104" s="43"/>
    </row>
    <row r="105" ht="21.75" customHeight="1">
      <c r="A105" s="18"/>
      <c r="B105" s="177"/>
      <c r="C105" s="160"/>
      <c r="D105" s="110"/>
      <c r="E105" s="18"/>
      <c r="H105" s="9"/>
      <c r="I105" s="43"/>
    </row>
    <row r="106" ht="21.75" customHeight="1">
      <c r="A106" s="18"/>
      <c r="B106" s="184"/>
      <c r="C106" s="155"/>
      <c r="D106" s="110"/>
      <c r="E106" s="18"/>
      <c r="H106" s="9"/>
      <c r="I106" s="43"/>
    </row>
    <row r="107" ht="21.75" customHeight="1">
      <c r="A107" s="22"/>
      <c r="E107" s="22"/>
      <c r="H107" s="9"/>
      <c r="I107" s="43"/>
    </row>
    <row r="108" ht="21.75" customHeight="1">
      <c r="A108" s="12" t="s">
        <v>32</v>
      </c>
      <c r="B108" s="116" t="s">
        <v>55</v>
      </c>
      <c r="C108" s="160">
        <v>4.87365E7</v>
      </c>
      <c r="D108" s="193" t="s">
        <v>7</v>
      </c>
      <c r="E108" s="16">
        <f>sum(C110:C119)</f>
        <v>324821500</v>
      </c>
      <c r="F108" s="20"/>
      <c r="H108" s="9"/>
      <c r="I108" s="43"/>
    </row>
    <row r="109" ht="21.75" customHeight="1">
      <c r="A109" s="18"/>
      <c r="B109" s="116" t="s">
        <v>57</v>
      </c>
      <c r="C109" s="154">
        <v>1.275E7</v>
      </c>
      <c r="D109" s="193" t="s">
        <v>7</v>
      </c>
      <c r="E109" s="18"/>
      <c r="F109" s="20"/>
      <c r="H109" s="45"/>
      <c r="I109" s="43"/>
    </row>
    <row r="110" ht="21.75" customHeight="1">
      <c r="A110" s="18"/>
      <c r="B110" s="184" t="s">
        <v>315</v>
      </c>
      <c r="C110" s="154">
        <v>4377500.0</v>
      </c>
      <c r="D110" s="64"/>
      <c r="E110" s="18"/>
      <c r="H110" s="9"/>
      <c r="I110" s="10"/>
    </row>
    <row r="111" ht="21.75" customHeight="1">
      <c r="A111" s="18"/>
      <c r="B111" s="181" t="s">
        <v>221</v>
      </c>
      <c r="C111" s="167">
        <v>7.56225E7</v>
      </c>
      <c r="D111" s="157"/>
      <c r="E111" s="18"/>
      <c r="H111" s="1"/>
      <c r="I111" s="1"/>
    </row>
    <row r="112" ht="21.75" customHeight="1">
      <c r="A112" s="18"/>
      <c r="B112" s="192" t="s">
        <v>316</v>
      </c>
      <c r="C112" s="185">
        <v>5.1365E7</v>
      </c>
      <c r="D112" s="157"/>
      <c r="E112" s="18"/>
      <c r="G112" s="42"/>
      <c r="H112" s="1"/>
      <c r="I112" s="1"/>
    </row>
    <row r="113" ht="21.75" customHeight="1">
      <c r="A113" s="18"/>
      <c r="B113" s="184" t="s">
        <v>314</v>
      </c>
      <c r="C113" s="185">
        <v>1.9209E7</v>
      </c>
      <c r="D113" s="64"/>
      <c r="E113" s="18"/>
      <c r="G113" s="42"/>
      <c r="H113" s="1"/>
      <c r="I113" s="1"/>
    </row>
    <row r="114" ht="21.75" customHeight="1">
      <c r="A114" s="18"/>
      <c r="B114" s="160" t="s">
        <v>312</v>
      </c>
      <c r="C114" s="185">
        <v>3.78815E7</v>
      </c>
      <c r="D114" s="157"/>
      <c r="E114" s="18"/>
      <c r="G114" s="42"/>
      <c r="H114" s="1"/>
      <c r="I114" s="1"/>
    </row>
    <row r="115" ht="21.75" customHeight="1">
      <c r="A115" s="18"/>
      <c r="B115" s="160" t="s">
        <v>313</v>
      </c>
      <c r="C115" s="185">
        <v>3.4102E7</v>
      </c>
      <c r="D115" s="157"/>
      <c r="E115" s="18"/>
      <c r="G115" s="42"/>
      <c r="H115" s="1"/>
      <c r="I115" s="1"/>
    </row>
    <row r="116" ht="21.75" customHeight="1">
      <c r="A116" s="18"/>
      <c r="B116" s="160" t="s">
        <v>407</v>
      </c>
      <c r="C116" s="185">
        <v>2.1511E7</v>
      </c>
      <c r="D116" s="157"/>
      <c r="E116" s="18"/>
      <c r="G116" s="42"/>
      <c r="H116" s="1"/>
      <c r="I116" s="1"/>
    </row>
    <row r="117" ht="21.75" customHeight="1">
      <c r="A117" s="18"/>
      <c r="B117" s="160" t="s">
        <v>408</v>
      </c>
      <c r="C117" s="185">
        <v>2.3388E7</v>
      </c>
      <c r="D117" s="157"/>
      <c r="E117" s="18"/>
      <c r="G117" s="42"/>
      <c r="H117" s="1"/>
      <c r="I117" s="1"/>
    </row>
    <row r="118" ht="21.75" customHeight="1">
      <c r="A118" s="18"/>
      <c r="B118" s="160" t="s">
        <v>409</v>
      </c>
      <c r="C118" s="185">
        <v>3.30025E7</v>
      </c>
      <c r="D118" s="157"/>
      <c r="E118" s="18"/>
      <c r="G118" s="42"/>
      <c r="H118" s="1"/>
      <c r="I118" s="1"/>
    </row>
    <row r="119" ht="21.75" customHeight="1">
      <c r="A119" s="22"/>
      <c r="B119" s="160" t="s">
        <v>410</v>
      </c>
      <c r="C119" s="178">
        <v>2.43625E7</v>
      </c>
      <c r="D119" s="157"/>
      <c r="E119" s="22"/>
      <c r="G119" s="42"/>
      <c r="H119" s="1"/>
      <c r="I119" s="1"/>
    </row>
    <row r="120" ht="21.75" customHeight="1">
      <c r="A120" s="12" t="s">
        <v>33</v>
      </c>
      <c r="B120" s="160" t="s">
        <v>313</v>
      </c>
      <c r="C120" s="154">
        <v>3.2612E7</v>
      </c>
      <c r="D120" s="156" t="s">
        <v>7</v>
      </c>
      <c r="E120" s="153">
        <f>SUM(C124)</f>
        <v>89417000</v>
      </c>
      <c r="G120" s="42"/>
      <c r="H120" s="1"/>
      <c r="I120" s="1"/>
    </row>
    <row r="121" ht="21.75" customHeight="1">
      <c r="A121" s="18"/>
      <c r="B121" s="160" t="s">
        <v>407</v>
      </c>
      <c r="C121" s="178">
        <v>1.031945E8</v>
      </c>
      <c r="D121" s="193" t="s">
        <v>7</v>
      </c>
      <c r="E121" s="18"/>
      <c r="G121" s="42"/>
      <c r="H121" s="1"/>
      <c r="I121" s="1"/>
    </row>
    <row r="122" ht="21.75" customHeight="1">
      <c r="A122" s="18"/>
      <c r="B122" s="160" t="s">
        <v>408</v>
      </c>
      <c r="C122" s="178">
        <v>8.25645E7</v>
      </c>
      <c r="D122" s="194" t="s">
        <v>7</v>
      </c>
      <c r="E122" s="18"/>
      <c r="G122" s="42"/>
      <c r="H122" s="9"/>
      <c r="I122" s="43"/>
    </row>
    <row r="123" ht="21.75" customHeight="1">
      <c r="A123" s="18"/>
      <c r="B123" s="160" t="s">
        <v>409</v>
      </c>
      <c r="C123" s="178">
        <v>7.79395E7</v>
      </c>
      <c r="D123" s="156" t="s">
        <v>7</v>
      </c>
      <c r="E123" s="18"/>
      <c r="H123" s="9"/>
      <c r="I123" s="43"/>
    </row>
    <row r="124" ht="21.75" customHeight="1">
      <c r="A124" s="18"/>
      <c r="B124" s="160" t="s">
        <v>410</v>
      </c>
      <c r="C124" s="154">
        <v>8.9417E7</v>
      </c>
      <c r="D124" s="156"/>
      <c r="E124" s="18"/>
      <c r="H124" s="1"/>
      <c r="I124" s="1"/>
    </row>
    <row r="125" ht="21.75" customHeight="1">
      <c r="A125" s="18"/>
      <c r="B125" s="184"/>
      <c r="C125" s="154"/>
      <c r="D125" s="156"/>
      <c r="E125" s="18"/>
      <c r="H125" s="9"/>
      <c r="I125" s="43"/>
    </row>
    <row r="126" ht="21.75" customHeight="1">
      <c r="A126" s="18"/>
      <c r="B126" s="184"/>
      <c r="C126" s="154"/>
      <c r="D126" s="156"/>
      <c r="E126" s="18"/>
      <c r="H126" s="9"/>
      <c r="I126" s="43"/>
    </row>
    <row r="127" ht="21.75" customHeight="1">
      <c r="A127" s="18"/>
      <c r="B127" s="160"/>
      <c r="C127" s="154"/>
      <c r="D127" s="156"/>
      <c r="E127" s="18"/>
      <c r="H127" s="9"/>
      <c r="I127" s="43"/>
    </row>
    <row r="128" ht="21.75" customHeight="1">
      <c r="A128" s="22"/>
      <c r="B128" s="157"/>
      <c r="C128" s="157"/>
      <c r="D128" s="157"/>
      <c r="E128" s="22"/>
      <c r="H128" s="9"/>
      <c r="I128" s="43"/>
    </row>
    <row r="129" ht="21.75" customHeight="1">
      <c r="A129" s="12" t="s">
        <v>35</v>
      </c>
      <c r="B129" s="160" t="s">
        <v>409</v>
      </c>
      <c r="C129" s="185">
        <v>2.67562E7</v>
      </c>
      <c r="D129" s="169" t="s">
        <v>7</v>
      </c>
      <c r="E129" s="153">
        <f>SUM(C130)</f>
        <v>13644700</v>
      </c>
      <c r="H129" s="9"/>
      <c r="I129" s="43"/>
    </row>
    <row r="130" ht="21.75" customHeight="1">
      <c r="A130" s="18"/>
      <c r="B130" s="160" t="s">
        <v>410</v>
      </c>
      <c r="C130" s="178">
        <v>1.36447E7</v>
      </c>
      <c r="D130" s="289"/>
      <c r="E130" s="18"/>
      <c r="G130" s="42"/>
      <c r="H130" s="9"/>
      <c r="I130" s="10"/>
    </row>
    <row r="131" ht="21.75" customHeight="1">
      <c r="A131" s="18"/>
      <c r="B131" s="160"/>
      <c r="C131" s="160"/>
      <c r="D131" s="168"/>
      <c r="E131" s="18"/>
      <c r="F131" s="20"/>
    </row>
    <row r="132" ht="21.75" customHeight="1">
      <c r="A132" s="18"/>
      <c r="B132" s="160"/>
      <c r="C132" s="160"/>
      <c r="D132" s="168"/>
      <c r="E132" s="18"/>
      <c r="G132" s="290"/>
      <c r="H132" s="291"/>
      <c r="I132" s="10"/>
    </row>
    <row r="133" ht="21.75" customHeight="1">
      <c r="A133" s="18"/>
      <c r="B133" s="160"/>
      <c r="C133" s="185"/>
      <c r="D133" s="192"/>
      <c r="E133" s="18"/>
      <c r="H133" s="291"/>
      <c r="I133" s="10"/>
    </row>
    <row r="134" ht="21.75" customHeight="1">
      <c r="A134" s="18"/>
      <c r="B134" s="160"/>
      <c r="C134" s="185"/>
      <c r="D134" s="169"/>
      <c r="E134" s="18"/>
      <c r="F134" s="134"/>
      <c r="H134" s="291"/>
      <c r="I134" s="10"/>
    </row>
    <row r="135" ht="21.75" customHeight="1">
      <c r="A135" s="22"/>
      <c r="E135" s="22"/>
      <c r="F135" s="134"/>
      <c r="H135" s="291"/>
      <c r="I135" s="10"/>
    </row>
    <row r="136" ht="21.75" customHeight="1">
      <c r="A136" s="12" t="s">
        <v>36</v>
      </c>
      <c r="B136" s="160" t="s">
        <v>407</v>
      </c>
      <c r="C136" s="185">
        <v>4.91565E7</v>
      </c>
      <c r="D136" s="169" t="s">
        <v>7</v>
      </c>
      <c r="E136" s="153">
        <f>SUM(C139)</f>
        <v>21658500</v>
      </c>
      <c r="H136" s="291"/>
      <c r="I136" s="10"/>
    </row>
    <row r="137" ht="21.75" customHeight="1">
      <c r="A137" s="18"/>
      <c r="B137" s="160" t="s">
        <v>408</v>
      </c>
      <c r="C137" s="160">
        <v>1.846E7</v>
      </c>
      <c r="D137" s="156" t="s">
        <v>223</v>
      </c>
      <c r="E137" s="18"/>
      <c r="H137" s="291"/>
      <c r="I137" s="43"/>
    </row>
    <row r="138" ht="21.75" customHeight="1">
      <c r="A138" s="18"/>
      <c r="B138" s="160" t="s">
        <v>409</v>
      </c>
      <c r="C138" s="185">
        <v>2.7324E7</v>
      </c>
      <c r="D138" s="156" t="s">
        <v>7</v>
      </c>
      <c r="E138" s="18"/>
      <c r="F138" s="20"/>
      <c r="H138" s="45"/>
      <c r="I138" s="43"/>
    </row>
    <row r="139" ht="21.75" customHeight="1">
      <c r="A139" s="18"/>
      <c r="B139" s="160" t="s">
        <v>410</v>
      </c>
      <c r="C139" s="185">
        <v>2.16585E7</v>
      </c>
      <c r="D139" s="156"/>
      <c r="E139" s="18"/>
      <c r="H139" s="291"/>
      <c r="I139" s="43"/>
    </row>
    <row r="140" ht="21.75" customHeight="1">
      <c r="A140" s="18"/>
      <c r="B140" s="160"/>
      <c r="C140" s="185"/>
      <c r="D140" s="169"/>
      <c r="E140" s="18"/>
      <c r="H140" s="9"/>
      <c r="I140" s="50"/>
    </row>
    <row r="141" ht="21.75" customHeight="1">
      <c r="A141" s="22"/>
      <c r="E141" s="22"/>
      <c r="G141" s="290"/>
      <c r="H141" s="9"/>
      <c r="I141" s="50"/>
    </row>
    <row r="142" ht="21.75" customHeight="1">
      <c r="A142" s="12" t="s">
        <v>37</v>
      </c>
      <c r="B142" s="184" t="s">
        <v>315</v>
      </c>
      <c r="C142" s="160">
        <v>1.593E7</v>
      </c>
      <c r="D142" s="168" t="s">
        <v>7</v>
      </c>
      <c r="E142" s="16">
        <f>sum(C146:C149)</f>
        <v>80471500</v>
      </c>
    </row>
    <row r="143" ht="21.75" customHeight="1">
      <c r="A143" s="18"/>
      <c r="B143" s="184" t="s">
        <v>314</v>
      </c>
      <c r="C143" s="160">
        <v>4451500.0</v>
      </c>
      <c r="D143" s="163" t="s">
        <v>7</v>
      </c>
      <c r="E143" s="18"/>
      <c r="H143" s="45"/>
      <c r="I143" s="43"/>
    </row>
    <row r="144" ht="21.75" customHeight="1">
      <c r="A144" s="18"/>
      <c r="B144" s="181" t="s">
        <v>221</v>
      </c>
      <c r="C144" s="167">
        <v>1.030025E8</v>
      </c>
      <c r="D144" s="198" t="s">
        <v>223</v>
      </c>
      <c r="E144" s="18"/>
      <c r="G144" s="42"/>
      <c r="H144" s="9"/>
      <c r="I144" s="43"/>
    </row>
    <row r="145" ht="21.75" customHeight="1">
      <c r="A145" s="18"/>
      <c r="B145" s="160" t="s">
        <v>312</v>
      </c>
      <c r="C145" s="160">
        <v>1715000.0</v>
      </c>
      <c r="D145" s="198" t="s">
        <v>223</v>
      </c>
      <c r="E145" s="18"/>
      <c r="G145" s="42"/>
      <c r="H145" s="9"/>
      <c r="I145" s="43"/>
    </row>
    <row r="146" ht="21.75" customHeight="1">
      <c r="A146" s="18"/>
      <c r="B146" s="160" t="s">
        <v>313</v>
      </c>
      <c r="C146" s="154">
        <v>3.0321E7</v>
      </c>
      <c r="D146" s="198"/>
      <c r="E146" s="18"/>
      <c r="G146" s="42"/>
      <c r="H146" s="9"/>
      <c r="I146" s="43"/>
    </row>
    <row r="147" ht="21.75" customHeight="1">
      <c r="A147" s="18"/>
      <c r="B147" s="160" t="s">
        <v>407</v>
      </c>
      <c r="C147" s="154">
        <v>2350000.0</v>
      </c>
      <c r="D147" s="198"/>
      <c r="E147" s="18"/>
      <c r="G147" s="42"/>
      <c r="H147" s="9"/>
      <c r="I147" s="43"/>
    </row>
    <row r="148" ht="21.75" customHeight="1">
      <c r="A148" s="18"/>
      <c r="B148" s="160" t="s">
        <v>408</v>
      </c>
      <c r="C148" s="154">
        <v>2.52105E7</v>
      </c>
      <c r="D148" s="157"/>
      <c r="E148" s="18"/>
      <c r="G148" s="42"/>
      <c r="H148" s="9"/>
      <c r="I148" s="43"/>
    </row>
    <row r="149" ht="21.75" customHeight="1">
      <c r="A149" s="18"/>
      <c r="B149" s="160" t="s">
        <v>410</v>
      </c>
      <c r="C149" s="154">
        <v>2.259E7</v>
      </c>
      <c r="D149" s="157"/>
      <c r="E149" s="18"/>
      <c r="G149" s="42"/>
      <c r="H149" s="9"/>
      <c r="I149" s="43"/>
    </row>
    <row r="150" ht="21.75" customHeight="1">
      <c r="A150" s="18"/>
      <c r="B150" s="157"/>
      <c r="C150" s="157"/>
      <c r="D150" s="157"/>
      <c r="E150" s="18"/>
      <c r="G150" s="42"/>
      <c r="H150" s="9"/>
      <c r="I150" s="43"/>
    </row>
    <row r="151" ht="21.75" customHeight="1">
      <c r="A151" s="18"/>
      <c r="B151" s="157"/>
      <c r="C151" s="157"/>
      <c r="D151" s="24"/>
      <c r="E151" s="18"/>
      <c r="G151" s="42"/>
      <c r="H151" s="9"/>
      <c r="I151" s="43"/>
    </row>
    <row r="152" ht="21.75" customHeight="1">
      <c r="A152" s="22"/>
      <c r="B152" s="157"/>
      <c r="C152" s="157"/>
      <c r="D152" s="24"/>
      <c r="E152" s="22"/>
      <c r="F152" s="134"/>
      <c r="G152" s="42"/>
      <c r="H152" s="9"/>
      <c r="I152" s="43"/>
    </row>
    <row r="153" ht="21.75" customHeight="1">
      <c r="A153" s="49" t="s">
        <v>39</v>
      </c>
      <c r="B153" s="184" t="s">
        <v>319</v>
      </c>
      <c r="C153" s="160">
        <v>3.71E7</v>
      </c>
      <c r="D153" s="169" t="s">
        <v>7</v>
      </c>
      <c r="E153" s="16">
        <f>SUM(C154:C160)</f>
        <v>211812500</v>
      </c>
      <c r="G153" s="42"/>
      <c r="H153" s="9"/>
      <c r="I153" s="43"/>
    </row>
    <row r="154" ht="21.75" customHeight="1">
      <c r="A154" s="18"/>
      <c r="B154" s="159" t="s">
        <v>221</v>
      </c>
      <c r="C154" s="207">
        <v>1.43534E8</v>
      </c>
      <c r="D154" s="157"/>
      <c r="E154" s="18"/>
      <c r="G154" s="42"/>
      <c r="H154" s="1"/>
      <c r="I154" s="43"/>
    </row>
    <row r="155" ht="21.75" customHeight="1">
      <c r="A155" s="18"/>
      <c r="B155" s="184" t="s">
        <v>318</v>
      </c>
      <c r="C155" s="155">
        <v>4790000.0</v>
      </c>
      <c r="D155" s="157"/>
      <c r="E155" s="18"/>
      <c r="G155" s="42"/>
      <c r="H155" s="9"/>
      <c r="I155" s="43"/>
      <c r="J155" s="9"/>
    </row>
    <row r="156" ht="21.75" customHeight="1">
      <c r="A156" s="18"/>
      <c r="B156" s="160" t="s">
        <v>313</v>
      </c>
      <c r="C156" s="155">
        <v>4894500.0</v>
      </c>
      <c r="D156" s="157"/>
      <c r="E156" s="18"/>
      <c r="G156" s="42"/>
      <c r="H156" s="9"/>
      <c r="I156" s="10"/>
      <c r="J156" s="9"/>
    </row>
    <row r="157" ht="21.75" customHeight="1">
      <c r="A157" s="18"/>
      <c r="B157" s="160" t="s">
        <v>407</v>
      </c>
      <c r="C157" s="155">
        <v>5.0269E7</v>
      </c>
      <c r="D157" s="157"/>
      <c r="E157" s="18"/>
      <c r="G157" s="42"/>
      <c r="H157" s="10"/>
      <c r="I157" s="10"/>
      <c r="J157" s="9"/>
    </row>
    <row r="158" ht="21.75" customHeight="1">
      <c r="A158" s="18"/>
      <c r="B158" s="160" t="s">
        <v>408</v>
      </c>
      <c r="C158" s="155">
        <v>4700000.0</v>
      </c>
      <c r="D158" s="157"/>
      <c r="E158" s="18"/>
      <c r="G158" s="42"/>
      <c r="H158" s="10"/>
      <c r="I158" s="10"/>
      <c r="J158" s="9"/>
    </row>
    <row r="159" ht="21.75" customHeight="1">
      <c r="A159" s="18"/>
      <c r="B159" s="160" t="s">
        <v>409</v>
      </c>
      <c r="C159" s="155">
        <v>2175000.0</v>
      </c>
      <c r="D159" s="157"/>
      <c r="E159" s="18"/>
      <c r="G159" s="42"/>
      <c r="H159" s="10"/>
      <c r="I159" s="10"/>
      <c r="J159" s="9"/>
    </row>
    <row r="160" ht="21.75" customHeight="1">
      <c r="A160" s="18"/>
      <c r="B160" s="160" t="s">
        <v>410</v>
      </c>
      <c r="C160" s="155">
        <v>1450000.0</v>
      </c>
      <c r="D160" s="157"/>
      <c r="E160" s="18"/>
      <c r="G160" s="42"/>
      <c r="H160" s="10"/>
      <c r="I160" s="10"/>
      <c r="J160" s="9"/>
    </row>
    <row r="161" ht="21.75" customHeight="1">
      <c r="A161" s="18"/>
      <c r="B161" s="157"/>
      <c r="C161" s="157"/>
      <c r="D161" s="157"/>
      <c r="E161" s="18"/>
      <c r="G161" s="42"/>
      <c r="H161" s="10"/>
      <c r="I161" s="10"/>
      <c r="J161" s="9"/>
    </row>
    <row r="162" ht="21.75" customHeight="1">
      <c r="A162" s="18"/>
      <c r="B162" s="157"/>
      <c r="C162" s="157"/>
      <c r="D162" s="157"/>
      <c r="E162" s="18"/>
      <c r="F162" s="134"/>
      <c r="G162" s="42"/>
      <c r="H162" s="10"/>
      <c r="I162" s="10"/>
      <c r="J162" s="9"/>
    </row>
    <row r="163" ht="21.75" customHeight="1">
      <c r="A163" s="18"/>
      <c r="B163" s="157"/>
      <c r="C163" s="157"/>
      <c r="D163" s="157"/>
      <c r="E163" s="18"/>
      <c r="F163" s="134"/>
      <c r="G163" s="42"/>
      <c r="H163" s="10"/>
      <c r="I163" s="10"/>
      <c r="J163" s="9"/>
    </row>
    <row r="164" ht="21.75" customHeight="1">
      <c r="A164" s="22"/>
      <c r="B164" s="157"/>
      <c r="C164" s="157"/>
      <c r="D164" s="157"/>
      <c r="E164" s="22"/>
      <c r="F164" s="134"/>
      <c r="G164" s="42"/>
      <c r="H164" s="10"/>
      <c r="I164" s="10"/>
      <c r="J164" s="9"/>
    </row>
    <row r="165" ht="21.75" customHeight="1">
      <c r="A165" s="12" t="s">
        <v>40</v>
      </c>
      <c r="B165" s="160" t="s">
        <v>409</v>
      </c>
      <c r="C165" s="160">
        <v>3.74925E7</v>
      </c>
      <c r="D165" s="157"/>
      <c r="E165" s="153">
        <f>SUM(C165:C166)</f>
        <v>72355400</v>
      </c>
      <c r="G165" s="42"/>
      <c r="H165" s="10"/>
      <c r="I165" s="10"/>
    </row>
    <row r="166" ht="21.75" customHeight="1">
      <c r="A166" s="18"/>
      <c r="B166" s="160" t="s">
        <v>410</v>
      </c>
      <c r="C166" s="160">
        <v>3.48629E7</v>
      </c>
      <c r="D166" s="157"/>
      <c r="E166" s="18"/>
      <c r="G166" s="42"/>
      <c r="H166" s="9"/>
      <c r="I166" s="10"/>
    </row>
    <row r="167" ht="21.75" customHeight="1">
      <c r="A167" s="18"/>
      <c r="B167" s="160"/>
      <c r="C167" s="185"/>
      <c r="D167" s="110"/>
      <c r="E167" s="18"/>
      <c r="G167" s="42"/>
      <c r="H167" s="9"/>
      <c r="I167" s="10"/>
    </row>
    <row r="168" ht="21.75" customHeight="1">
      <c r="A168" s="18"/>
      <c r="B168" s="160"/>
      <c r="C168" s="185"/>
      <c r="D168" s="110"/>
      <c r="E168" s="18"/>
      <c r="G168" s="42"/>
      <c r="H168" s="9"/>
      <c r="I168" s="10"/>
    </row>
    <row r="169" ht="21.75" customHeight="1">
      <c r="A169" s="18"/>
      <c r="B169" s="160"/>
      <c r="C169" s="160"/>
      <c r="D169" s="110"/>
      <c r="E169" s="18"/>
      <c r="G169" s="42"/>
      <c r="H169" s="9"/>
      <c r="I169" s="10"/>
    </row>
    <row r="170" ht="21.75" customHeight="1">
      <c r="A170" s="18"/>
      <c r="B170" s="160"/>
      <c r="C170" s="160"/>
      <c r="D170" s="110"/>
      <c r="E170" s="18"/>
      <c r="G170" s="42"/>
      <c r="H170" s="9"/>
      <c r="I170" s="10"/>
    </row>
    <row r="171" ht="21.75" customHeight="1">
      <c r="A171" s="18"/>
      <c r="E171" s="18"/>
      <c r="G171" s="42"/>
      <c r="H171" s="9"/>
      <c r="I171" s="10"/>
    </row>
    <row r="172" ht="21.75" customHeight="1">
      <c r="A172" s="22"/>
      <c r="E172" s="22"/>
      <c r="G172" s="42"/>
      <c r="H172" s="9"/>
      <c r="I172" s="10"/>
    </row>
    <row r="173" ht="21.75" customHeight="1">
      <c r="A173" s="12" t="s">
        <v>41</v>
      </c>
      <c r="B173" s="184" t="s">
        <v>321</v>
      </c>
      <c r="C173" s="155">
        <v>5.77915E7</v>
      </c>
      <c r="D173" s="110" t="s">
        <v>7</v>
      </c>
      <c r="E173" s="16">
        <f>SUM(C175:C180)</f>
        <v>191330300</v>
      </c>
      <c r="G173" s="42"/>
      <c r="H173" s="9"/>
      <c r="I173" s="10"/>
    </row>
    <row r="174" ht="21.75" customHeight="1">
      <c r="A174" s="18"/>
      <c r="B174" s="183" t="s">
        <v>314</v>
      </c>
      <c r="C174" s="155">
        <v>5.69585E7</v>
      </c>
      <c r="D174" s="110" t="s">
        <v>7</v>
      </c>
      <c r="E174" s="18"/>
      <c r="F174" s="17"/>
      <c r="G174" s="42"/>
      <c r="H174" s="76"/>
      <c r="I174" s="10"/>
    </row>
    <row r="175" ht="21.75" customHeight="1">
      <c r="A175" s="18"/>
      <c r="B175" s="160" t="s">
        <v>312</v>
      </c>
      <c r="C175" s="185">
        <v>3.86895E7</v>
      </c>
      <c r="D175" s="110"/>
      <c r="E175" s="18"/>
    </row>
    <row r="176" ht="21.75" customHeight="1">
      <c r="A176" s="18"/>
      <c r="B176" s="160" t="s">
        <v>313</v>
      </c>
      <c r="C176" s="185">
        <v>2.3153E7</v>
      </c>
      <c r="D176" s="33"/>
      <c r="E176" s="18"/>
      <c r="G176" s="42"/>
      <c r="H176" s="9"/>
      <c r="I176" s="43"/>
    </row>
    <row r="177" ht="21.75" customHeight="1">
      <c r="A177" s="18"/>
      <c r="B177" s="160" t="s">
        <v>407</v>
      </c>
      <c r="C177" s="185">
        <v>4.30523E7</v>
      </c>
      <c r="D177" s="33"/>
      <c r="E177" s="18"/>
      <c r="F177" s="17"/>
      <c r="H177" s="9"/>
      <c r="I177" s="43"/>
    </row>
    <row r="178" ht="21.75" customHeight="1">
      <c r="A178" s="18"/>
      <c r="B178" s="160" t="s">
        <v>408</v>
      </c>
      <c r="C178" s="185">
        <v>2.50725E7</v>
      </c>
      <c r="D178" s="157"/>
      <c r="E178" s="18"/>
      <c r="F178" s="17"/>
      <c r="H178" s="9"/>
      <c r="I178" s="43"/>
    </row>
    <row r="179" ht="21.75" customHeight="1">
      <c r="A179" s="18"/>
      <c r="B179" s="160" t="s">
        <v>409</v>
      </c>
      <c r="C179" s="185">
        <v>2.6689E7</v>
      </c>
      <c r="D179" s="157"/>
      <c r="E179" s="18"/>
      <c r="F179" s="17"/>
      <c r="H179" s="9"/>
      <c r="I179" s="43"/>
    </row>
    <row r="180" ht="21.75" customHeight="1">
      <c r="A180" s="18"/>
      <c r="B180" s="160" t="s">
        <v>410</v>
      </c>
      <c r="C180" s="185">
        <v>3.4674E7</v>
      </c>
      <c r="D180" s="157"/>
      <c r="E180" s="18"/>
      <c r="F180" s="17"/>
      <c r="H180" s="9"/>
      <c r="I180" s="43"/>
    </row>
    <row r="181" ht="21.75" customHeight="1">
      <c r="A181" s="22"/>
      <c r="B181" s="116"/>
      <c r="C181" s="293"/>
      <c r="D181" s="33"/>
      <c r="E181" s="22"/>
      <c r="F181" s="17"/>
      <c r="H181" s="9"/>
      <c r="I181" s="43"/>
    </row>
    <row r="182" ht="21.75" customHeight="1">
      <c r="A182" s="12" t="s">
        <v>42</v>
      </c>
      <c r="B182" s="160" t="s">
        <v>407</v>
      </c>
      <c r="C182" s="155">
        <v>1.86295E7</v>
      </c>
      <c r="D182" s="115"/>
      <c r="E182" s="153">
        <f>SUM(C182:C185)</f>
        <v>114846000</v>
      </c>
      <c r="F182" s="17"/>
      <c r="H182" s="9"/>
      <c r="I182" s="43"/>
    </row>
    <row r="183" ht="21.75" customHeight="1">
      <c r="A183" s="18"/>
      <c r="B183" s="160" t="s">
        <v>408</v>
      </c>
      <c r="C183" s="160">
        <v>3.20825E7</v>
      </c>
      <c r="D183" s="115"/>
      <c r="E183" s="18"/>
      <c r="H183" s="9"/>
      <c r="I183" s="43"/>
    </row>
    <row r="184" ht="21.75" customHeight="1">
      <c r="A184" s="18"/>
      <c r="B184" s="160" t="s">
        <v>409</v>
      </c>
      <c r="C184" s="160">
        <v>2.1479E7</v>
      </c>
      <c r="D184" s="157"/>
      <c r="E184" s="18"/>
      <c r="H184" s="9"/>
      <c r="I184" s="43"/>
    </row>
    <row r="185" ht="21.75" customHeight="1">
      <c r="A185" s="18"/>
      <c r="B185" s="160" t="s">
        <v>410</v>
      </c>
      <c r="C185" s="155">
        <v>4.2655E7</v>
      </c>
      <c r="D185" s="115"/>
      <c r="E185" s="18"/>
      <c r="F185" s="203"/>
      <c r="H185" s="9"/>
      <c r="I185" s="10"/>
    </row>
    <row r="186" ht="21.75" customHeight="1">
      <c r="A186" s="18"/>
      <c r="B186" s="157"/>
      <c r="C186" s="157"/>
      <c r="D186" s="157"/>
      <c r="E186" s="18"/>
    </row>
    <row r="187" ht="21.75" customHeight="1">
      <c r="A187" s="18"/>
      <c r="B187" s="157"/>
      <c r="C187" s="157"/>
      <c r="D187" s="157"/>
      <c r="E187" s="18"/>
      <c r="F187" s="20"/>
      <c r="H187" s="20"/>
    </row>
    <row r="188" ht="21.75" customHeight="1">
      <c r="A188" s="18"/>
      <c r="B188" s="157"/>
      <c r="C188" s="157"/>
      <c r="D188" s="157"/>
      <c r="E188" s="18"/>
      <c r="F188" s="294"/>
    </row>
    <row r="189" ht="21.75" customHeight="1">
      <c r="A189" s="22"/>
      <c r="B189" s="157"/>
      <c r="C189" s="157"/>
      <c r="D189" s="157"/>
      <c r="E189" s="22"/>
      <c r="F189" s="294"/>
      <c r="G189" s="294"/>
      <c r="H189" s="294"/>
      <c r="I189" s="294"/>
      <c r="J189" s="294"/>
      <c r="K189" s="294"/>
      <c r="L189" s="294"/>
      <c r="M189" s="294"/>
      <c r="N189" s="294"/>
    </row>
    <row r="190" ht="21.75" customHeight="1">
      <c r="A190" s="295" t="s">
        <v>43</v>
      </c>
      <c r="B190" s="184"/>
      <c r="C190" s="155"/>
      <c r="D190" s="115"/>
      <c r="E190" s="398">
        <v>3.008E7</v>
      </c>
      <c r="F190" s="296"/>
      <c r="G190" s="297"/>
      <c r="H190" s="298"/>
      <c r="I190" s="297"/>
      <c r="J190" s="297"/>
      <c r="K190" s="297"/>
      <c r="L190" s="297"/>
      <c r="M190" s="299"/>
      <c r="N190" s="300"/>
    </row>
    <row r="191" ht="21.75" customHeight="1">
      <c r="A191" s="18"/>
      <c r="B191" s="184"/>
      <c r="C191" s="155"/>
      <c r="D191" s="301"/>
      <c r="E191" s="86"/>
      <c r="F191" s="302"/>
      <c r="G191" s="303"/>
      <c r="J191" s="304"/>
      <c r="K191" s="305"/>
      <c r="L191" s="305"/>
      <c r="M191" s="306"/>
      <c r="N191" s="305"/>
    </row>
    <row r="192" ht="21.75" customHeight="1">
      <c r="A192" s="18"/>
      <c r="B192" s="184"/>
      <c r="C192" s="155"/>
      <c r="D192" s="110"/>
      <c r="E192" s="86"/>
      <c r="F192" s="307"/>
      <c r="G192" s="308"/>
      <c r="J192" s="306"/>
      <c r="K192" s="306"/>
      <c r="L192" s="306"/>
      <c r="M192" s="306"/>
      <c r="N192" s="306"/>
    </row>
    <row r="193" ht="21.75" customHeight="1">
      <c r="A193" s="18"/>
      <c r="B193" s="184" t="s">
        <v>414</v>
      </c>
      <c r="C193" s="178">
        <v>3.008E7</v>
      </c>
      <c r="D193" s="205"/>
      <c r="E193" s="86"/>
      <c r="F193" s="307"/>
      <c r="G193" s="309"/>
      <c r="J193" s="310"/>
      <c r="K193" s="310"/>
      <c r="L193" s="311"/>
      <c r="M193" s="311"/>
      <c r="N193" s="312"/>
    </row>
    <row r="194" ht="21.75" customHeight="1">
      <c r="A194" s="18"/>
      <c r="B194" s="399"/>
      <c r="C194" s="335"/>
      <c r="D194" s="205"/>
      <c r="E194" s="86"/>
      <c r="F194" s="313"/>
      <c r="G194" s="306"/>
      <c r="H194" s="314"/>
      <c r="I194" s="306"/>
      <c r="J194" s="306"/>
      <c r="K194" s="306"/>
      <c r="L194" s="306"/>
      <c r="M194" s="315"/>
      <c r="N194" s="312"/>
    </row>
    <row r="195" ht="21.75" customHeight="1">
      <c r="A195" s="18"/>
      <c r="B195" s="184"/>
      <c r="C195" s="185"/>
      <c r="D195" s="110"/>
      <c r="E195" s="86"/>
      <c r="F195" s="316"/>
      <c r="G195" s="317"/>
      <c r="H195" s="317"/>
      <c r="I195" s="317"/>
      <c r="J195" s="318"/>
      <c r="K195" s="319"/>
      <c r="L195" s="320"/>
      <c r="M195" s="320"/>
      <c r="N195" s="320"/>
    </row>
    <row r="196" ht="21.75" customHeight="1">
      <c r="A196" s="22"/>
      <c r="B196" s="184"/>
      <c r="C196" s="185"/>
      <c r="D196" s="400"/>
      <c r="E196" s="89"/>
      <c r="F196" s="322"/>
      <c r="G196" s="323"/>
      <c r="H196" s="323"/>
      <c r="I196" s="306"/>
      <c r="J196" s="306"/>
      <c r="K196" s="306"/>
      <c r="L196" s="306"/>
      <c r="M196" s="324"/>
      <c r="N196" s="325"/>
    </row>
    <row r="197" ht="21.75" customHeight="1">
      <c r="A197" s="295" t="s">
        <v>44</v>
      </c>
      <c r="B197" s="184"/>
      <c r="C197" s="185"/>
      <c r="D197" s="205"/>
      <c r="E197" s="401"/>
      <c r="F197" s="326"/>
      <c r="G197" s="327"/>
      <c r="H197" s="327"/>
      <c r="I197" s="327"/>
      <c r="J197" s="328"/>
      <c r="K197" s="328"/>
      <c r="L197" s="328"/>
      <c r="M197" s="329"/>
      <c r="N197" s="330"/>
    </row>
    <row r="198" ht="21.75" customHeight="1">
      <c r="A198" s="18"/>
      <c r="B198" s="184"/>
      <c r="C198" s="331"/>
      <c r="D198" s="110"/>
      <c r="E198" s="18"/>
      <c r="F198" s="326"/>
      <c r="G198" s="327"/>
      <c r="H198" s="327"/>
      <c r="I198" s="327"/>
      <c r="J198" s="328"/>
      <c r="K198" s="328"/>
      <c r="L198" s="328"/>
      <c r="M198" s="329"/>
      <c r="N198" s="330"/>
    </row>
    <row r="199" ht="21.75" customHeight="1">
      <c r="A199" s="18"/>
      <c r="B199" s="184"/>
      <c r="C199" s="185"/>
      <c r="D199" s="185"/>
      <c r="E199" s="18"/>
      <c r="F199" s="402"/>
      <c r="G199" s="327"/>
      <c r="H199" s="327"/>
      <c r="I199" s="332"/>
      <c r="J199" s="328"/>
      <c r="K199" s="328"/>
      <c r="L199" s="328"/>
      <c r="M199" s="329"/>
      <c r="N199" s="330"/>
    </row>
    <row r="200" ht="21.75" customHeight="1">
      <c r="A200" s="18"/>
      <c r="B200" s="184"/>
      <c r="C200" s="185"/>
      <c r="D200" s="110"/>
      <c r="E200" s="18"/>
      <c r="F200" s="403"/>
      <c r="G200" s="327"/>
      <c r="H200" s="327"/>
      <c r="I200" s="332"/>
      <c r="J200" s="328"/>
      <c r="K200" s="328"/>
      <c r="L200" s="328"/>
      <c r="M200" s="329"/>
      <c r="N200" s="404"/>
    </row>
    <row r="201" ht="21.75" customHeight="1">
      <c r="A201" s="22"/>
      <c r="B201" s="184"/>
      <c r="C201" s="185"/>
      <c r="D201" s="110"/>
      <c r="E201" s="22"/>
      <c r="F201" s="403"/>
      <c r="G201" s="327"/>
      <c r="H201" s="327"/>
      <c r="I201" s="332"/>
      <c r="J201" s="328"/>
      <c r="K201" s="328"/>
      <c r="L201" s="328"/>
      <c r="M201" s="329"/>
      <c r="N201" s="404"/>
    </row>
    <row r="202" ht="21.75" customHeight="1">
      <c r="A202" s="295" t="s">
        <v>45</v>
      </c>
      <c r="B202" s="184"/>
      <c r="C202" s="185"/>
      <c r="D202" s="110"/>
      <c r="E202" s="401">
        <v>0.0</v>
      </c>
      <c r="G202" s="95"/>
    </row>
    <row r="203" ht="21.75" customHeight="1">
      <c r="A203" s="18"/>
      <c r="B203" s="184"/>
      <c r="C203" s="207"/>
      <c r="D203" s="110"/>
      <c r="E203" s="18"/>
    </row>
    <row r="204" ht="21.75" customHeight="1">
      <c r="A204" s="18"/>
      <c r="B204" s="184"/>
      <c r="C204" s="160"/>
      <c r="D204" s="110"/>
      <c r="E204" s="18"/>
      <c r="G204" s="95"/>
      <c r="H204" s="95"/>
      <c r="I204" s="95"/>
    </row>
    <row r="205" ht="21.75" customHeight="1">
      <c r="A205" s="18"/>
      <c r="B205" s="184"/>
      <c r="C205" s="335"/>
      <c r="D205" s="110"/>
      <c r="E205" s="18"/>
      <c r="G205" s="95"/>
      <c r="H205" s="95"/>
      <c r="I205" s="95"/>
    </row>
    <row r="206" ht="21.75" customHeight="1">
      <c r="A206" s="18"/>
      <c r="B206" s="184"/>
      <c r="C206" s="160"/>
      <c r="D206" s="169"/>
      <c r="E206" s="18"/>
      <c r="G206" s="95"/>
      <c r="H206" s="95"/>
      <c r="I206" s="95"/>
    </row>
    <row r="207" ht="21.75" customHeight="1">
      <c r="A207" s="18"/>
      <c r="B207" s="187"/>
      <c r="C207" s="160"/>
      <c r="D207" s="169"/>
      <c r="E207" s="18"/>
      <c r="G207" s="95"/>
      <c r="H207" s="95"/>
      <c r="I207" s="95"/>
    </row>
    <row r="208" ht="21.75" customHeight="1">
      <c r="A208" s="18"/>
      <c r="B208" s="184"/>
      <c r="C208" s="160"/>
      <c r="D208" s="169"/>
      <c r="E208" s="18"/>
      <c r="G208" s="95"/>
      <c r="H208" s="95"/>
      <c r="I208" s="95"/>
    </row>
    <row r="209" ht="21.75" customHeight="1">
      <c r="A209" s="18"/>
      <c r="B209" s="160"/>
      <c r="C209" s="160"/>
      <c r="D209" s="169"/>
      <c r="E209" s="18"/>
      <c r="G209" s="95"/>
      <c r="H209" s="95"/>
      <c r="I209" s="95"/>
    </row>
    <row r="210" ht="21.75" customHeight="1">
      <c r="A210" s="22"/>
      <c r="B210" s="184"/>
      <c r="C210" s="160"/>
      <c r="D210" s="169"/>
      <c r="E210" s="22"/>
      <c r="H210" s="95"/>
      <c r="I210" s="95"/>
    </row>
    <row r="211" ht="21.75" customHeight="1">
      <c r="A211" s="295" t="s">
        <v>46</v>
      </c>
      <c r="B211" s="184"/>
      <c r="C211" s="207"/>
      <c r="D211" s="198"/>
      <c r="E211" s="401">
        <f>sum(C212:C214)</f>
        <v>43305000</v>
      </c>
      <c r="G211" s="95"/>
      <c r="H211" s="95"/>
      <c r="I211" s="95"/>
    </row>
    <row r="212" ht="21.75" customHeight="1">
      <c r="A212" s="18"/>
      <c r="B212" s="184" t="s">
        <v>415</v>
      </c>
      <c r="C212" s="207">
        <v>3600000.0</v>
      </c>
      <c r="D212" s="198"/>
      <c r="E212" s="18"/>
      <c r="G212" s="95"/>
      <c r="H212" s="95"/>
      <c r="I212" s="95"/>
    </row>
    <row r="213" ht="21.75" customHeight="1">
      <c r="A213" s="18"/>
      <c r="B213" s="184" t="s">
        <v>416</v>
      </c>
      <c r="C213" s="207">
        <v>1.823E7</v>
      </c>
      <c r="D213" s="198"/>
      <c r="E213" s="18"/>
      <c r="G213" s="95"/>
      <c r="H213" s="95"/>
      <c r="I213" s="95"/>
    </row>
    <row r="214" ht="21.75" customHeight="1">
      <c r="A214" s="18"/>
      <c r="B214" s="184" t="s">
        <v>414</v>
      </c>
      <c r="C214" s="160">
        <v>2.1475E7</v>
      </c>
      <c r="D214" s="198"/>
      <c r="E214" s="18"/>
    </row>
    <row r="215" ht="21.75" customHeight="1">
      <c r="A215" s="18"/>
      <c r="B215" s="184"/>
      <c r="C215" s="207"/>
      <c r="D215" s="198"/>
      <c r="E215" s="18"/>
      <c r="F215" s="334"/>
    </row>
    <row r="216" ht="21.75" customHeight="1">
      <c r="A216" s="18"/>
      <c r="B216" s="405"/>
      <c r="C216" s="335"/>
      <c r="D216" s="198"/>
      <c r="E216" s="18"/>
    </row>
    <row r="217" ht="21.75" customHeight="1">
      <c r="A217" s="22"/>
      <c r="B217" s="184"/>
      <c r="C217" s="335"/>
      <c r="D217" s="198"/>
      <c r="E217" s="22"/>
    </row>
    <row r="218" ht="21.75" customHeight="1">
      <c r="A218" s="295" t="s">
        <v>47</v>
      </c>
      <c r="B218" s="116" t="s">
        <v>48</v>
      </c>
      <c r="C218" s="151">
        <v>4.0E7</v>
      </c>
      <c r="D218" s="24"/>
      <c r="E218" s="401">
        <v>9.4162E7</v>
      </c>
    </row>
    <row r="219" ht="21.75" customHeight="1">
      <c r="A219" s="18"/>
      <c r="B219" s="184"/>
      <c r="C219" s="207"/>
      <c r="D219" s="198"/>
      <c r="E219" s="18"/>
    </row>
    <row r="220" ht="21.75" customHeight="1">
      <c r="A220" s="18"/>
      <c r="B220" s="184"/>
      <c r="C220" s="155"/>
      <c r="D220" s="110"/>
      <c r="E220" s="18"/>
    </row>
    <row r="221" ht="21.75" customHeight="1">
      <c r="A221" s="18"/>
      <c r="B221" s="184" t="s">
        <v>417</v>
      </c>
      <c r="C221" s="155">
        <v>1.783E7</v>
      </c>
      <c r="D221" s="110"/>
      <c r="E221" s="18"/>
      <c r="G221" s="90" t="s">
        <v>50</v>
      </c>
      <c r="H221" s="56" t="s">
        <v>51</v>
      </c>
      <c r="I221" s="19">
        <v>3.58355E7</v>
      </c>
    </row>
    <row r="222" ht="21.75" customHeight="1">
      <c r="A222" s="18"/>
      <c r="B222" s="406" t="s">
        <v>418</v>
      </c>
      <c r="C222" s="207">
        <v>3.6332E7</v>
      </c>
      <c r="D222" s="110"/>
      <c r="E222" s="18"/>
      <c r="F222" s="91"/>
      <c r="G222" s="18"/>
      <c r="H222" s="56" t="s">
        <v>53</v>
      </c>
      <c r="I222" s="19">
        <v>4.2089E7</v>
      </c>
    </row>
    <row r="223" ht="21.75" customHeight="1">
      <c r="A223" s="18"/>
      <c r="B223" s="184"/>
      <c r="C223" s="209"/>
      <c r="D223" s="110"/>
      <c r="E223" s="18"/>
      <c r="F223" s="91"/>
      <c r="G223" s="18"/>
      <c r="H223" s="56" t="s">
        <v>55</v>
      </c>
      <c r="I223" s="19">
        <v>3.9621E7</v>
      </c>
    </row>
    <row r="224" ht="21.75" customHeight="1">
      <c r="A224" s="22"/>
      <c r="B224" s="184"/>
      <c r="C224" s="207"/>
      <c r="D224" s="110"/>
      <c r="E224" s="22"/>
      <c r="F224" s="91"/>
      <c r="G224" s="18"/>
      <c r="H224" s="56"/>
      <c r="I224" s="19"/>
    </row>
    <row r="225" ht="21.75" customHeight="1">
      <c r="A225" s="295" t="s">
        <v>56</v>
      </c>
      <c r="B225" s="184" t="s">
        <v>415</v>
      </c>
      <c r="C225" s="207">
        <v>2.6402E7</v>
      </c>
      <c r="D225" s="110" t="s">
        <v>7</v>
      </c>
      <c r="E225" s="401">
        <v>0.0</v>
      </c>
      <c r="F225" s="91"/>
      <c r="G225" s="18"/>
      <c r="H225" s="56"/>
      <c r="I225" s="19"/>
    </row>
    <row r="226" ht="21.75" customHeight="1">
      <c r="A226" s="18"/>
      <c r="B226" s="184" t="s">
        <v>416</v>
      </c>
      <c r="C226" s="207">
        <v>2.81925E7</v>
      </c>
      <c r="D226" s="169" t="s">
        <v>7</v>
      </c>
      <c r="E226" s="18"/>
      <c r="F226" s="91"/>
      <c r="G226" s="18"/>
      <c r="H226" s="56" t="s">
        <v>57</v>
      </c>
      <c r="I226" s="19">
        <v>6.7791E7</v>
      </c>
    </row>
    <row r="227" ht="21.75" customHeight="1">
      <c r="A227" s="18"/>
      <c r="B227" s="184" t="s">
        <v>419</v>
      </c>
      <c r="C227" s="160">
        <v>2.5779E7</v>
      </c>
      <c r="D227" s="110" t="s">
        <v>7</v>
      </c>
      <c r="E227" s="18"/>
      <c r="F227" s="91"/>
      <c r="G227" s="18"/>
    </row>
    <row r="228" ht="21.75" customHeight="1">
      <c r="A228" s="22"/>
      <c r="B228" s="184" t="s">
        <v>414</v>
      </c>
      <c r="C228" s="207">
        <v>1.02099E8</v>
      </c>
      <c r="D228" s="110" t="s">
        <v>7</v>
      </c>
      <c r="E228" s="22"/>
      <c r="G228" s="18"/>
      <c r="I228" s="2">
        <f>SUM(I240:I241)</f>
        <v>146720000</v>
      </c>
    </row>
    <row r="229" ht="22.5" customHeight="1">
      <c r="A229" s="407" t="s">
        <v>420</v>
      </c>
      <c r="B229" s="184"/>
      <c r="C229" s="207"/>
      <c r="D229" s="110"/>
      <c r="E229" s="401">
        <f>sum(C230:C236)</f>
        <v>263222500</v>
      </c>
      <c r="G229" s="95"/>
      <c r="H229" s="9"/>
      <c r="I229" s="28"/>
    </row>
    <row r="230" ht="22.5" customHeight="1">
      <c r="A230" s="18"/>
      <c r="B230" s="184"/>
      <c r="C230" s="185"/>
      <c r="D230" s="110"/>
      <c r="E230" s="18"/>
      <c r="G230" s="95"/>
      <c r="H230" s="9"/>
      <c r="I230" s="28"/>
    </row>
    <row r="231" ht="22.5" customHeight="1">
      <c r="A231" s="18"/>
      <c r="B231" s="184"/>
      <c r="C231" s="207"/>
      <c r="D231" s="110"/>
      <c r="E231" s="18"/>
      <c r="F231" s="91"/>
      <c r="G231" s="79"/>
      <c r="H231" s="56"/>
      <c r="I231" s="24">
        <v>1.11365E7</v>
      </c>
    </row>
    <row r="232" ht="22.5" customHeight="1">
      <c r="A232" s="18"/>
      <c r="B232" s="184"/>
      <c r="C232" s="335"/>
      <c r="D232" s="110"/>
      <c r="E232" s="18"/>
      <c r="G232" s="18"/>
      <c r="H232" s="56"/>
      <c r="I232" s="24">
        <v>4.38625E7</v>
      </c>
    </row>
    <row r="233" ht="22.5" customHeight="1">
      <c r="A233" s="18"/>
      <c r="B233" s="184" t="s">
        <v>415</v>
      </c>
      <c r="C233" s="207">
        <v>4.5947E7</v>
      </c>
      <c r="D233" s="110"/>
      <c r="E233" s="18"/>
      <c r="G233" s="18"/>
      <c r="H233" s="56"/>
      <c r="I233" s="24">
        <v>5.06925E7</v>
      </c>
    </row>
    <row r="234" ht="22.5" customHeight="1">
      <c r="A234" s="18"/>
      <c r="B234" s="184" t="s">
        <v>416</v>
      </c>
      <c r="C234" s="207">
        <v>6.0084E7</v>
      </c>
      <c r="D234" s="110"/>
      <c r="E234" s="18"/>
      <c r="G234" s="18"/>
      <c r="H234" s="56"/>
      <c r="I234" s="24"/>
    </row>
    <row r="235" ht="22.5" customHeight="1">
      <c r="A235" s="18"/>
      <c r="B235" s="184" t="s">
        <v>419</v>
      </c>
      <c r="C235" s="207">
        <v>6.7149E7</v>
      </c>
      <c r="D235" s="210"/>
      <c r="E235" s="18"/>
      <c r="G235" s="18"/>
      <c r="H235" s="56"/>
      <c r="I235" s="24">
        <v>5.31555E7</v>
      </c>
    </row>
    <row r="236" ht="22.5" customHeight="1">
      <c r="A236" s="18"/>
      <c r="B236" s="184" t="s">
        <v>414</v>
      </c>
      <c r="C236" s="207">
        <v>9.00425E7</v>
      </c>
      <c r="D236" s="210"/>
      <c r="E236" s="18"/>
      <c r="G236" s="18"/>
      <c r="H236" s="56"/>
      <c r="I236" s="24"/>
    </row>
    <row r="237" ht="22.5" customHeight="1">
      <c r="A237" s="22"/>
      <c r="B237" s="232" t="s">
        <v>421</v>
      </c>
      <c r="C237" s="408">
        <v>4.058705E8</v>
      </c>
      <c r="D237" s="210"/>
      <c r="E237" s="22"/>
      <c r="G237" s="18"/>
      <c r="H237" s="56"/>
      <c r="I237" s="24"/>
    </row>
    <row r="238" ht="22.5" customHeight="1">
      <c r="A238" s="102" t="s">
        <v>60</v>
      </c>
      <c r="B238" s="184"/>
      <c r="C238" s="358"/>
      <c r="D238" s="110"/>
      <c r="E238" s="401"/>
      <c r="G238" s="18"/>
      <c r="H238" s="56"/>
      <c r="I238" s="24"/>
    </row>
    <row r="239" ht="22.5" customHeight="1">
      <c r="A239" s="18"/>
      <c r="B239" s="184"/>
      <c r="C239" s="207"/>
      <c r="D239" s="110"/>
      <c r="E239" s="18"/>
      <c r="G239" s="18"/>
      <c r="H239" s="56"/>
      <c r="I239" s="24"/>
    </row>
    <row r="240" ht="22.5" customHeight="1">
      <c r="A240" s="18"/>
      <c r="B240" s="160"/>
      <c r="C240" s="207"/>
      <c r="D240" s="110"/>
      <c r="E240" s="18"/>
      <c r="G240" s="18"/>
      <c r="H240" s="56"/>
      <c r="I240" s="24">
        <v>9.8639E7</v>
      </c>
    </row>
    <row r="241" ht="22.5" customHeight="1">
      <c r="A241" s="22"/>
      <c r="B241" s="184"/>
      <c r="C241" s="207"/>
      <c r="D241" s="169"/>
      <c r="E241" s="22"/>
      <c r="G241" s="18"/>
      <c r="H241" s="56"/>
      <c r="I241" s="24">
        <v>4.8081E7</v>
      </c>
    </row>
    <row r="242" ht="22.5" customHeight="1">
      <c r="A242" s="295" t="s">
        <v>61</v>
      </c>
      <c r="B242" s="184"/>
      <c r="C242" s="110"/>
      <c r="D242" s="337"/>
      <c r="E242" s="401">
        <f>sum(C244:C245)</f>
        <v>37900000</v>
      </c>
      <c r="F242" s="20" t="s">
        <v>62</v>
      </c>
      <c r="G242" s="18"/>
    </row>
    <row r="243" ht="22.5" customHeight="1">
      <c r="A243" s="18"/>
      <c r="B243" s="184"/>
      <c r="C243" s="110"/>
      <c r="D243" s="110"/>
      <c r="E243" s="18"/>
      <c r="G243" s="18"/>
      <c r="H243" s="56"/>
      <c r="I243" s="99">
        <f>SUM(I231:I241)</f>
        <v>305567000</v>
      </c>
    </row>
    <row r="244" ht="22.5" customHeight="1">
      <c r="A244" s="18"/>
      <c r="B244" s="184" t="s">
        <v>415</v>
      </c>
      <c r="C244" s="110">
        <v>1.854E7</v>
      </c>
      <c r="D244" s="110"/>
      <c r="E244" s="18"/>
      <c r="G244" s="95"/>
      <c r="H244" s="9"/>
      <c r="I244" s="234"/>
    </row>
    <row r="245" ht="22.5" customHeight="1">
      <c r="A245" s="18"/>
      <c r="B245" s="184" t="s">
        <v>419</v>
      </c>
      <c r="C245" s="358">
        <v>1.936E7</v>
      </c>
      <c r="D245" s="110"/>
      <c r="E245" s="18"/>
    </row>
    <row r="246" ht="22.5" customHeight="1">
      <c r="A246" s="18"/>
      <c r="B246" s="184"/>
      <c r="C246" s="110"/>
      <c r="D246" s="110"/>
      <c r="E246" s="18"/>
      <c r="H246" s="20" t="str">
        <f>40000000-I247-I249-#REF!-I252</f>
        <v>#REF!</v>
      </c>
    </row>
    <row r="247" ht="22.5" customHeight="1">
      <c r="A247" s="22"/>
      <c r="B247" s="184"/>
      <c r="C247" s="110"/>
      <c r="D247" s="110"/>
      <c r="E247" s="22"/>
      <c r="H247" s="20"/>
      <c r="I247" s="127">
        <f>30+32.9+10</f>
        <v>72.9</v>
      </c>
    </row>
    <row r="248" ht="22.5" customHeight="1">
      <c r="A248" s="102" t="s">
        <v>63</v>
      </c>
      <c r="B248" s="184"/>
      <c r="C248" s="110"/>
      <c r="D248" s="169"/>
      <c r="E248" s="401">
        <v>0.0</v>
      </c>
    </row>
    <row r="249" ht="22.5" customHeight="1">
      <c r="A249" s="18"/>
      <c r="B249" s="184"/>
      <c r="C249" s="198"/>
      <c r="D249" s="110"/>
      <c r="E249" s="18"/>
    </row>
    <row r="250" ht="22.5" customHeight="1">
      <c r="A250" s="18"/>
      <c r="B250" s="184"/>
      <c r="C250" s="409"/>
      <c r="D250" s="110"/>
      <c r="E250" s="18"/>
    </row>
    <row r="251" ht="22.5" customHeight="1">
      <c r="A251" s="18"/>
      <c r="B251" s="184"/>
      <c r="C251" s="110"/>
      <c r="D251" s="110"/>
      <c r="E251" s="18"/>
    </row>
    <row r="252" ht="22.5" customHeight="1">
      <c r="A252" s="22"/>
      <c r="B252" s="184"/>
      <c r="C252" s="198"/>
      <c r="D252" s="110"/>
      <c r="E252" s="22"/>
    </row>
    <row r="253" ht="22.5" customHeight="1">
      <c r="A253" s="338" t="s">
        <v>64</v>
      </c>
      <c r="B253" s="184"/>
      <c r="C253" s="198"/>
      <c r="D253" s="115"/>
      <c r="E253" s="401">
        <v>0.0</v>
      </c>
    </row>
    <row r="254" ht="22.5" customHeight="1">
      <c r="A254" s="18"/>
      <c r="B254" s="184"/>
      <c r="C254" s="198"/>
      <c r="D254" s="115"/>
      <c r="E254" s="18"/>
    </row>
    <row r="255" ht="22.5" customHeight="1">
      <c r="A255" s="18"/>
      <c r="B255" s="184"/>
      <c r="C255" s="198"/>
      <c r="D255" s="115"/>
      <c r="E255" s="18"/>
    </row>
    <row r="256" ht="22.5" customHeight="1">
      <c r="A256" s="18"/>
      <c r="B256" s="184"/>
      <c r="C256" s="198"/>
      <c r="D256" s="115"/>
      <c r="E256" s="18"/>
      <c r="L256" s="20">
        <f>SUM(I256:I259)</f>
        <v>38616000</v>
      </c>
    </row>
    <row r="257" ht="22.5" customHeight="1">
      <c r="A257" s="22"/>
      <c r="B257" s="157"/>
      <c r="C257" s="157"/>
      <c r="D257" s="157"/>
      <c r="E257" s="22"/>
      <c r="L257" s="20"/>
    </row>
    <row r="258" ht="22.5" customHeight="1">
      <c r="A258" s="102" t="s">
        <v>65</v>
      </c>
      <c r="B258" s="129" t="s">
        <v>314</v>
      </c>
      <c r="C258" s="115">
        <v>2625000.0</v>
      </c>
      <c r="D258" s="115"/>
      <c r="E258" s="401">
        <f>sum(C258:C262)</f>
        <v>158758500</v>
      </c>
      <c r="G258" s="103" t="s">
        <v>65</v>
      </c>
      <c r="H258" s="56" t="s">
        <v>12</v>
      </c>
      <c r="I258" s="101">
        <v>3000000.0</v>
      </c>
    </row>
    <row r="259" ht="22.5" customHeight="1">
      <c r="A259" s="18"/>
      <c r="B259" s="184" t="s">
        <v>415</v>
      </c>
      <c r="C259" s="115">
        <v>3.95815E7</v>
      </c>
      <c r="D259" s="48"/>
      <c r="E259" s="18"/>
      <c r="G259" s="18"/>
      <c r="H259" s="56" t="s">
        <v>13</v>
      </c>
      <c r="I259" s="48">
        <v>3.5616E7</v>
      </c>
    </row>
    <row r="260" ht="22.5" customHeight="1">
      <c r="A260" s="18"/>
      <c r="B260" s="184" t="s">
        <v>416</v>
      </c>
      <c r="C260" s="115">
        <v>4.05515E7</v>
      </c>
      <c r="D260" s="48"/>
      <c r="E260" s="18"/>
      <c r="G260" s="18"/>
      <c r="H260" s="56" t="s">
        <v>66</v>
      </c>
      <c r="I260" s="48">
        <v>1.88395E7</v>
      </c>
    </row>
    <row r="261" ht="22.5" customHeight="1">
      <c r="A261" s="18"/>
      <c r="B261" s="184" t="s">
        <v>419</v>
      </c>
      <c r="C261" s="115">
        <v>3.09395E7</v>
      </c>
      <c r="D261" s="48"/>
      <c r="E261" s="18"/>
      <c r="G261" s="18"/>
      <c r="H261" s="56" t="s">
        <v>67</v>
      </c>
      <c r="I261" s="48">
        <v>2.7162E7</v>
      </c>
    </row>
    <row r="262" ht="22.5" customHeight="1">
      <c r="A262" s="22"/>
      <c r="B262" s="184" t="s">
        <v>414</v>
      </c>
      <c r="C262" s="115">
        <v>4.5061E7</v>
      </c>
      <c r="D262" s="48"/>
      <c r="E262" s="22"/>
      <c r="G262" s="18"/>
      <c r="H262" s="56"/>
      <c r="I262" s="48"/>
    </row>
    <row r="263" ht="22.5" customHeight="1">
      <c r="A263" s="102" t="s">
        <v>68</v>
      </c>
      <c r="B263" s="184"/>
      <c r="C263" s="115"/>
      <c r="D263" s="110"/>
      <c r="E263" s="401"/>
      <c r="G263" s="18"/>
      <c r="H263" s="56"/>
      <c r="I263" s="99"/>
      <c r="J263" s="340"/>
      <c r="K263" s="341"/>
      <c r="L263" s="342"/>
    </row>
    <row r="264" ht="22.5" customHeight="1">
      <c r="A264" s="18"/>
      <c r="B264" s="184"/>
      <c r="C264" s="115"/>
      <c r="D264" s="110"/>
      <c r="E264" s="18"/>
      <c r="G264" s="22"/>
      <c r="H264" s="56" t="s">
        <v>69</v>
      </c>
      <c r="I264" s="99">
        <f>sum(I256:I261)</f>
        <v>84617500</v>
      </c>
      <c r="J264" s="105" t="s">
        <v>70</v>
      </c>
      <c r="K264" s="106" t="s">
        <v>71</v>
      </c>
      <c r="L264" s="107">
        <v>3.94992E7</v>
      </c>
    </row>
    <row r="265" ht="22.5" customHeight="1">
      <c r="A265" s="18"/>
      <c r="B265" s="184"/>
      <c r="C265" s="115"/>
      <c r="D265" s="110"/>
      <c r="E265" s="18"/>
      <c r="J265" s="18"/>
      <c r="K265" s="108" t="s">
        <v>72</v>
      </c>
      <c r="L265" s="109">
        <v>4.4902E7</v>
      </c>
    </row>
    <row r="266" ht="22.5" customHeight="1">
      <c r="A266" s="18"/>
      <c r="B266" s="184"/>
      <c r="C266" s="115"/>
      <c r="D266" s="115"/>
      <c r="E266" s="18"/>
      <c r="G266" s="223" t="s">
        <v>68</v>
      </c>
      <c r="H266" s="56"/>
      <c r="J266" s="18"/>
      <c r="K266" s="108" t="s">
        <v>73</v>
      </c>
      <c r="L266" s="109">
        <v>2.968E7</v>
      </c>
    </row>
    <row r="267" ht="22.5" customHeight="1">
      <c r="A267" s="18"/>
      <c r="B267" s="184"/>
      <c r="C267" s="115"/>
      <c r="D267" s="110"/>
      <c r="E267" s="18"/>
      <c r="G267" s="18"/>
      <c r="H267" s="56"/>
      <c r="J267" s="18"/>
      <c r="K267" s="108" t="s">
        <v>74</v>
      </c>
      <c r="L267" s="109">
        <v>3.87375E7</v>
      </c>
    </row>
    <row r="268" ht="22.5" customHeight="1">
      <c r="A268" s="22"/>
      <c r="B268" s="129"/>
      <c r="C268" s="115"/>
      <c r="D268" s="110"/>
      <c r="E268" s="22"/>
      <c r="G268" s="18"/>
      <c r="H268" s="56"/>
      <c r="J268" s="18"/>
      <c r="K268" s="108"/>
      <c r="L268" s="109"/>
    </row>
    <row r="269" ht="22.5" customHeight="1">
      <c r="A269" s="102" t="s">
        <v>75</v>
      </c>
      <c r="B269" s="184" t="s">
        <v>415</v>
      </c>
      <c r="C269" s="115">
        <v>2.77095E7</v>
      </c>
      <c r="D269" s="110" t="s">
        <v>7</v>
      </c>
      <c r="E269" s="401">
        <v>0.0</v>
      </c>
      <c r="G269" s="22"/>
      <c r="H269" s="56"/>
      <c r="J269" s="18"/>
      <c r="K269" s="108" t="s">
        <v>76</v>
      </c>
      <c r="L269" s="112">
        <v>2.9435E7</v>
      </c>
    </row>
    <row r="270" ht="22.5" customHeight="1">
      <c r="A270" s="18"/>
      <c r="B270" s="184" t="s">
        <v>416</v>
      </c>
      <c r="C270" s="115">
        <v>3.0385E7</v>
      </c>
      <c r="D270" s="110" t="s">
        <v>7</v>
      </c>
      <c r="E270" s="18"/>
      <c r="J270" s="18"/>
      <c r="K270" s="108" t="s">
        <v>77</v>
      </c>
      <c r="L270" s="112">
        <v>3.428E7</v>
      </c>
    </row>
    <row r="271" ht="22.5" customHeight="1">
      <c r="A271" s="18"/>
      <c r="B271" s="184" t="s">
        <v>419</v>
      </c>
      <c r="C271" s="115">
        <v>2.9051E7</v>
      </c>
      <c r="D271" s="110" t="s">
        <v>7</v>
      </c>
      <c r="E271" s="18"/>
      <c r="J271" s="22"/>
      <c r="K271" s="108" t="s">
        <v>78</v>
      </c>
      <c r="L271" s="113">
        <f>sum(L264:L270)</f>
        <v>216533700</v>
      </c>
    </row>
    <row r="272" ht="22.5" customHeight="1">
      <c r="A272" s="18"/>
      <c r="B272" s="184" t="s">
        <v>414</v>
      </c>
      <c r="C272" s="115">
        <v>4.23505E7</v>
      </c>
      <c r="D272" s="110" t="s">
        <v>7</v>
      </c>
      <c r="E272" s="18"/>
      <c r="H272" s="20"/>
    </row>
    <row r="273" ht="22.5" customHeight="1">
      <c r="A273" s="22"/>
      <c r="B273" s="129"/>
      <c r="C273" s="115"/>
      <c r="D273" s="110"/>
      <c r="E273" s="22"/>
      <c r="H273" s="20"/>
    </row>
    <row r="274" ht="22.5" customHeight="1">
      <c r="A274" s="102" t="s">
        <v>79</v>
      </c>
      <c r="B274" s="184"/>
      <c r="C274" s="343"/>
      <c r="D274" s="115"/>
      <c r="E274" s="401">
        <v>0.0</v>
      </c>
    </row>
    <row r="275" ht="22.5" customHeight="1">
      <c r="A275" s="18"/>
      <c r="B275" s="184"/>
      <c r="C275" s="115"/>
      <c r="D275" s="115"/>
      <c r="E275" s="18"/>
    </row>
    <row r="276" ht="22.5" customHeight="1">
      <c r="A276" s="18"/>
      <c r="B276" s="184"/>
      <c r="C276" s="115"/>
      <c r="D276" s="115"/>
      <c r="E276" s="18"/>
      <c r="G276" s="114"/>
      <c r="H276" s="116" t="s">
        <v>6</v>
      </c>
      <c r="I276" s="117" t="str">
        <f>#REF!</f>
        <v>#REF!</v>
      </c>
    </row>
    <row r="277" ht="22.5" customHeight="1">
      <c r="A277" s="18"/>
      <c r="B277" s="184"/>
      <c r="C277" s="343"/>
      <c r="D277" s="344"/>
      <c r="E277" s="18"/>
      <c r="G277" s="18"/>
      <c r="H277" s="116"/>
      <c r="I277" s="117"/>
    </row>
    <row r="278" ht="22.5" customHeight="1">
      <c r="A278" s="18"/>
      <c r="B278" s="56"/>
      <c r="C278" s="343"/>
      <c r="D278" s="115"/>
      <c r="E278" s="18"/>
      <c r="G278" s="18"/>
      <c r="H278" s="116"/>
      <c r="I278" s="117"/>
    </row>
    <row r="279" ht="22.5" customHeight="1">
      <c r="A279" s="22"/>
      <c r="B279" s="129"/>
      <c r="C279" s="343"/>
      <c r="D279" s="115"/>
      <c r="E279" s="22"/>
      <c r="G279" s="18"/>
      <c r="H279" s="116"/>
      <c r="I279" s="117"/>
    </row>
    <row r="280" ht="22.5" customHeight="1">
      <c r="A280" s="407" t="s">
        <v>422</v>
      </c>
      <c r="B280" s="184"/>
      <c r="C280" s="119"/>
      <c r="D280" s="115"/>
      <c r="E280" s="401">
        <f>sum(C281:C284)</f>
        <v>119575000</v>
      </c>
      <c r="J280" s="103"/>
      <c r="K280" s="56" t="s">
        <v>85</v>
      </c>
      <c r="L280" s="48">
        <v>4.1088E7</v>
      </c>
    </row>
    <row r="281" ht="22.5" customHeight="1">
      <c r="A281" s="18"/>
      <c r="B281" s="184" t="s">
        <v>415</v>
      </c>
      <c r="C281" s="119">
        <v>3480000.0</v>
      </c>
      <c r="D281" s="115"/>
      <c r="E281" s="18"/>
      <c r="J281" s="18"/>
      <c r="K281" s="56"/>
      <c r="L281" s="48"/>
    </row>
    <row r="282" ht="22.5" customHeight="1">
      <c r="A282" s="18"/>
      <c r="B282" s="184" t="s">
        <v>416</v>
      </c>
      <c r="C282" s="119">
        <v>4.1077E7</v>
      </c>
      <c r="D282" s="115"/>
      <c r="E282" s="18"/>
      <c r="J282" s="18"/>
      <c r="K282" s="56"/>
      <c r="L282" s="48"/>
    </row>
    <row r="283" ht="22.5" customHeight="1">
      <c r="A283" s="18"/>
      <c r="B283" s="184" t="s">
        <v>419</v>
      </c>
      <c r="C283" s="119">
        <v>3.503E7</v>
      </c>
      <c r="D283" s="115"/>
      <c r="E283" s="18"/>
      <c r="J283" s="18"/>
      <c r="K283" s="56"/>
      <c r="L283" s="48"/>
    </row>
    <row r="284" ht="22.5" customHeight="1">
      <c r="A284" s="18"/>
      <c r="B284" s="184" t="s">
        <v>414</v>
      </c>
      <c r="C284" s="224">
        <v>3.9988E7</v>
      </c>
      <c r="D284" s="115"/>
      <c r="E284" s="18"/>
      <c r="J284" s="18"/>
      <c r="K284" s="56"/>
      <c r="L284" s="48"/>
    </row>
    <row r="285" ht="22.5" customHeight="1">
      <c r="A285" s="22"/>
      <c r="B285" s="184"/>
      <c r="C285" s="224"/>
      <c r="D285" s="115"/>
      <c r="E285" s="22"/>
      <c r="J285" s="18"/>
      <c r="K285" s="56"/>
      <c r="L285" s="48"/>
    </row>
    <row r="286" ht="22.5" customHeight="1">
      <c r="A286" s="102" t="s">
        <v>86</v>
      </c>
      <c r="B286" s="184"/>
      <c r="C286" s="224"/>
      <c r="D286" s="110"/>
      <c r="E286" s="401">
        <v>6.8632E7</v>
      </c>
      <c r="J286" s="18"/>
      <c r="K286" s="30"/>
      <c r="L286" s="24"/>
    </row>
    <row r="287" ht="22.5" customHeight="1">
      <c r="A287" s="18"/>
      <c r="B287" s="184"/>
      <c r="C287" s="115"/>
      <c r="D287" s="110"/>
      <c r="E287" s="18"/>
      <c r="J287" s="18"/>
      <c r="K287" s="30"/>
      <c r="L287" s="24"/>
    </row>
    <row r="288" ht="22.5" customHeight="1">
      <c r="A288" s="18"/>
      <c r="B288" s="184" t="s">
        <v>414</v>
      </c>
      <c r="C288" s="115">
        <v>6.8632E7</v>
      </c>
      <c r="D288" s="110"/>
      <c r="E288" s="18"/>
      <c r="J288" s="18"/>
      <c r="K288" s="30" t="s">
        <v>81</v>
      </c>
      <c r="L288" s="24">
        <v>3.38955E7</v>
      </c>
    </row>
    <row r="289" ht="22.5" customHeight="1">
      <c r="A289" s="18"/>
      <c r="B289" s="184"/>
      <c r="C289" s="119"/>
      <c r="D289" s="110"/>
      <c r="E289" s="18"/>
      <c r="J289" s="18"/>
      <c r="K289" s="56" t="s">
        <v>51</v>
      </c>
      <c r="L289" s="48">
        <f>10465000</f>
        <v>10465000</v>
      </c>
    </row>
    <row r="290" ht="22.5" customHeight="1">
      <c r="A290" s="22"/>
      <c r="B290" s="129"/>
      <c r="C290" s="119"/>
      <c r="D290" s="110"/>
      <c r="E290" s="22"/>
      <c r="J290" s="18"/>
      <c r="K290" s="56"/>
      <c r="L290" s="48"/>
    </row>
    <row r="291" ht="22.5" customHeight="1">
      <c r="A291" s="102" t="s">
        <v>87</v>
      </c>
      <c r="B291" s="184"/>
      <c r="C291" s="119"/>
      <c r="D291" s="110"/>
      <c r="E291" s="401">
        <v>0.0</v>
      </c>
      <c r="J291" s="18"/>
      <c r="K291" s="30" t="s">
        <v>88</v>
      </c>
      <c r="L291" s="24">
        <v>5718000.0</v>
      </c>
    </row>
    <row r="292" ht="22.5" customHeight="1">
      <c r="A292" s="18"/>
      <c r="B292" s="184"/>
      <c r="C292" s="119"/>
      <c r="D292" s="198"/>
      <c r="E292" s="18"/>
      <c r="J292" s="18"/>
      <c r="K292" s="30"/>
      <c r="L292" s="24"/>
    </row>
    <row r="293" ht="22.5" customHeight="1">
      <c r="A293" s="18"/>
      <c r="B293" s="184"/>
      <c r="C293" s="119"/>
      <c r="D293" s="110"/>
      <c r="E293" s="18"/>
      <c r="J293" s="18"/>
      <c r="K293" s="30" t="s">
        <v>89</v>
      </c>
      <c r="L293" s="24">
        <v>5970000.0</v>
      </c>
    </row>
    <row r="294" ht="22.5" customHeight="1">
      <c r="A294" s="22"/>
      <c r="B294" s="184"/>
      <c r="C294" s="119"/>
      <c r="D294" s="110"/>
      <c r="E294" s="22"/>
      <c r="J294" s="22"/>
      <c r="K294" s="30" t="s">
        <v>78</v>
      </c>
      <c r="L294" s="99">
        <f>SUM(L280:L293)</f>
        <v>97136500</v>
      </c>
    </row>
    <row r="295" ht="22.5" customHeight="1">
      <c r="A295" s="102" t="s">
        <v>90</v>
      </c>
      <c r="B295" s="184"/>
      <c r="C295" s="115"/>
      <c r="D295" s="110"/>
      <c r="E295" s="401">
        <v>7.80745E7</v>
      </c>
    </row>
    <row r="296" ht="22.5" customHeight="1">
      <c r="A296" s="18"/>
      <c r="B296" s="184"/>
      <c r="C296" s="115"/>
      <c r="D296" s="110"/>
      <c r="E296" s="18"/>
    </row>
    <row r="297" ht="22.5" customHeight="1">
      <c r="A297" s="18"/>
      <c r="B297" s="184"/>
      <c r="C297" s="115"/>
      <c r="D297" s="110"/>
      <c r="E297" s="18"/>
    </row>
    <row r="298" ht="22.5" customHeight="1">
      <c r="A298" s="18"/>
      <c r="B298" s="184" t="s">
        <v>414</v>
      </c>
      <c r="C298" s="119">
        <v>7.80745E7</v>
      </c>
      <c r="D298" s="110"/>
      <c r="E298" s="18"/>
    </row>
    <row r="299" ht="22.5" customHeight="1">
      <c r="A299" s="22"/>
      <c r="B299" s="129"/>
      <c r="C299" s="119"/>
      <c r="D299" s="110"/>
      <c r="E299" s="22"/>
    </row>
    <row r="300" ht="22.5" customHeight="1">
      <c r="A300" s="102" t="s">
        <v>91</v>
      </c>
      <c r="B300" s="184"/>
      <c r="C300" s="115"/>
      <c r="D300" s="110"/>
      <c r="E300" s="401">
        <v>6.6782E7</v>
      </c>
    </row>
    <row r="301" ht="22.5" customHeight="1">
      <c r="A301" s="18"/>
      <c r="B301" s="184"/>
      <c r="C301" s="115"/>
      <c r="D301" s="110"/>
      <c r="E301" s="18"/>
    </row>
    <row r="302" ht="22.5" customHeight="1">
      <c r="A302" s="18"/>
      <c r="B302" s="184"/>
      <c r="C302" s="115"/>
      <c r="D302" s="115"/>
      <c r="E302" s="18"/>
    </row>
    <row r="303" ht="22.5" customHeight="1">
      <c r="A303" s="22"/>
      <c r="B303" s="184" t="s">
        <v>414</v>
      </c>
      <c r="C303" s="115">
        <v>6.6782E7</v>
      </c>
      <c r="D303" s="48"/>
      <c r="E303" s="22"/>
    </row>
    <row r="304" ht="22.5" customHeight="1">
      <c r="A304" s="407" t="s">
        <v>93</v>
      </c>
      <c r="B304" s="129"/>
      <c r="C304" s="115"/>
      <c r="D304" s="110"/>
      <c r="E304" s="401">
        <f>sum(C305:C306)</f>
        <v>155606000</v>
      </c>
    </row>
    <row r="305" ht="22.5" customHeight="1">
      <c r="A305" s="18"/>
      <c r="B305" s="129" t="s">
        <v>423</v>
      </c>
      <c r="C305" s="115">
        <v>6.6882E7</v>
      </c>
      <c r="D305" s="19"/>
      <c r="E305" s="18"/>
    </row>
    <row r="306" ht="22.5" customHeight="1">
      <c r="A306" s="22"/>
      <c r="B306" s="129" t="s">
        <v>71</v>
      </c>
      <c r="C306" s="115">
        <v>8.8724E7</v>
      </c>
      <c r="D306" s="19"/>
      <c r="E306" s="22"/>
      <c r="I306" s="346"/>
    </row>
    <row r="307" ht="22.5" customHeight="1">
      <c r="A307" s="128" t="s">
        <v>96</v>
      </c>
      <c r="B307" s="56" t="s">
        <v>51</v>
      </c>
      <c r="C307" s="410">
        <v>2.2665E7</v>
      </c>
      <c r="D307" s="115"/>
      <c r="E307" s="96">
        <f>sum(C307:C310)</f>
        <v>73199000</v>
      </c>
      <c r="I307" s="346"/>
    </row>
    <row r="308" ht="22.5" customHeight="1">
      <c r="A308" s="18"/>
      <c r="B308" s="56" t="s">
        <v>53</v>
      </c>
      <c r="C308" s="115">
        <v>1.09155E7</v>
      </c>
      <c r="D308" s="115"/>
      <c r="E308" s="18"/>
      <c r="I308" s="346">
        <f>30*6</f>
        <v>180</v>
      </c>
    </row>
    <row r="309" ht="22.5" customHeight="1">
      <c r="A309" s="18"/>
      <c r="B309" s="56" t="s">
        <v>55</v>
      </c>
      <c r="C309" s="115">
        <v>1.65025E7</v>
      </c>
      <c r="D309" s="115"/>
      <c r="E309" s="18"/>
      <c r="I309" s="346"/>
    </row>
    <row r="310" ht="22.5" customHeight="1">
      <c r="A310" s="22"/>
      <c r="B310" s="56" t="s">
        <v>57</v>
      </c>
      <c r="C310" s="115">
        <v>2.3116E7</v>
      </c>
      <c r="D310" s="115"/>
      <c r="E310" s="22"/>
      <c r="I310" s="346"/>
    </row>
    <row r="311" ht="22.5" customHeight="1">
      <c r="A311" s="128" t="s">
        <v>100</v>
      </c>
      <c r="B311" s="157"/>
      <c r="C311" s="157"/>
      <c r="D311" s="19"/>
      <c r="E311" s="100"/>
    </row>
    <row r="312" ht="22.5" customHeight="1">
      <c r="A312" s="18"/>
      <c r="B312" s="347"/>
      <c r="C312" s="115"/>
      <c r="D312" s="19"/>
      <c r="E312" s="18"/>
    </row>
    <row r="313" ht="22.5" customHeight="1">
      <c r="A313" s="18"/>
      <c r="B313" s="348" t="s">
        <v>424</v>
      </c>
      <c r="C313" s="119">
        <v>-3000000.0</v>
      </c>
      <c r="D313" s="19"/>
      <c r="E313" s="18"/>
      <c r="G313" s="127">
        <f>6900+89555+43910+384+90276+91742+2013</f>
        <v>324780</v>
      </c>
    </row>
    <row r="314" ht="22.5" customHeight="1">
      <c r="A314" s="18"/>
      <c r="B314" s="348" t="s">
        <v>425</v>
      </c>
      <c r="C314" s="119">
        <v>9.02761E7</v>
      </c>
      <c r="D314" s="19"/>
      <c r="E314" s="18"/>
    </row>
    <row r="315" ht="22.5" customHeight="1">
      <c r="A315" s="18"/>
      <c r="B315" s="348" t="s">
        <v>426</v>
      </c>
      <c r="C315" s="119">
        <v>9.17426E7</v>
      </c>
      <c r="D315" s="19"/>
      <c r="E315" s="18"/>
    </row>
    <row r="316" ht="22.5" customHeight="1">
      <c r="A316" s="18"/>
      <c r="B316" s="348" t="s">
        <v>427</v>
      </c>
      <c r="C316" s="119">
        <v>2013000.0</v>
      </c>
      <c r="D316" s="110"/>
      <c r="E316" s="18"/>
    </row>
    <row r="317" ht="22.5" customHeight="1">
      <c r="A317" s="18"/>
      <c r="B317" s="348" t="s">
        <v>428</v>
      </c>
      <c r="C317" s="119">
        <v>9.7774E7</v>
      </c>
      <c r="D317" s="19"/>
      <c r="E317" s="18"/>
    </row>
    <row r="318" ht="22.5" customHeight="1">
      <c r="A318" s="18"/>
      <c r="B318" s="348" t="s">
        <v>429</v>
      </c>
      <c r="C318" s="119">
        <v>2940000.0</v>
      </c>
      <c r="D318" s="19"/>
      <c r="E318" s="345"/>
      <c r="F318" s="131">
        <f>SUM(C314:C318)+140749500</f>
        <v>425495200</v>
      </c>
    </row>
    <row r="319" ht="22.5" customHeight="1">
      <c r="A319" s="18"/>
      <c r="B319" s="124"/>
      <c r="C319" s="101"/>
      <c r="D319" s="19"/>
      <c r="E319" s="345"/>
    </row>
    <row r="320" ht="22.5" customHeight="1">
      <c r="A320" s="18"/>
      <c r="B320" s="124" t="s">
        <v>99</v>
      </c>
      <c r="C320" s="51">
        <f>SUM(C313:C318)</f>
        <v>281745700</v>
      </c>
      <c r="D320" s="19"/>
      <c r="E320" s="345"/>
    </row>
    <row r="321" ht="22.5" customHeight="1">
      <c r="A321" s="22"/>
      <c r="D321" s="19"/>
      <c r="E321" s="345"/>
      <c r="F321" s="131">
        <f>E322+C323</f>
        <v>115562000</v>
      </c>
    </row>
    <row r="322" ht="22.5" customHeight="1">
      <c r="A322" s="128" t="s">
        <v>101</v>
      </c>
      <c r="B322" s="411" t="s">
        <v>313</v>
      </c>
      <c r="C322" s="119">
        <v>2.1153E7</v>
      </c>
      <c r="D322" s="115" t="s">
        <v>7</v>
      </c>
      <c r="E322" s="96">
        <f>C324+C325+C326</f>
        <v>83708500</v>
      </c>
    </row>
    <row r="323" ht="22.5" customHeight="1">
      <c r="A323" s="18"/>
      <c r="B323" s="56" t="s">
        <v>51</v>
      </c>
      <c r="C323" s="115">
        <v>3.18535E7</v>
      </c>
      <c r="D323" s="115" t="s">
        <v>7</v>
      </c>
      <c r="E323" s="18"/>
    </row>
    <row r="324" ht="22.5" customHeight="1">
      <c r="A324" s="18"/>
      <c r="B324" s="56" t="s">
        <v>53</v>
      </c>
      <c r="C324" s="115">
        <v>3.0019E7</v>
      </c>
      <c r="D324" s="115"/>
      <c r="E324" s="18"/>
      <c r="I324" s="131">
        <f>20000000-I326</f>
        <v>20000000</v>
      </c>
    </row>
    <row r="325" ht="22.5" customHeight="1">
      <c r="A325" s="18"/>
      <c r="B325" s="56" t="s">
        <v>55</v>
      </c>
      <c r="C325" s="115">
        <v>2.77375E7</v>
      </c>
      <c r="D325" s="115"/>
      <c r="E325" s="18"/>
      <c r="G325" s="103" t="s">
        <v>108</v>
      </c>
      <c r="H325" s="129"/>
      <c r="I325" s="115"/>
    </row>
    <row r="326" ht="22.5" customHeight="1">
      <c r="A326" s="22"/>
      <c r="B326" s="56" t="s">
        <v>57</v>
      </c>
      <c r="C326" s="119">
        <v>2.5952E7</v>
      </c>
      <c r="D326" s="115"/>
      <c r="E326" s="18"/>
      <c r="G326" s="18"/>
      <c r="H326" s="129"/>
      <c r="I326" s="115"/>
    </row>
    <row r="327" ht="22.5" customHeight="1">
      <c r="A327" s="128" t="s">
        <v>107</v>
      </c>
      <c r="B327" s="129" t="s">
        <v>313</v>
      </c>
      <c r="C327" s="115">
        <v>4.868E7</v>
      </c>
      <c r="D327" s="115" t="s">
        <v>7</v>
      </c>
      <c r="E327" s="111">
        <f>C332</f>
        <v>32360000</v>
      </c>
      <c r="G327" s="18"/>
      <c r="H327" s="129" t="s">
        <v>313</v>
      </c>
      <c r="I327" s="115">
        <f>17438800-4874600</f>
        <v>12564200</v>
      </c>
    </row>
    <row r="328" ht="22.5" customHeight="1">
      <c r="A328" s="18"/>
      <c r="B328" s="129" t="s">
        <v>430</v>
      </c>
      <c r="C328" s="119">
        <v>1500000.0</v>
      </c>
      <c r="D328" s="115" t="s">
        <v>7</v>
      </c>
      <c r="E328" s="18"/>
      <c r="G328" s="18"/>
      <c r="H328" s="129" t="s">
        <v>407</v>
      </c>
      <c r="I328" s="115">
        <f>C333</f>
        <v>20562700</v>
      </c>
    </row>
    <row r="329" ht="22.5" customHeight="1">
      <c r="A329" s="18"/>
      <c r="B329" s="56" t="s">
        <v>51</v>
      </c>
      <c r="C329" s="115">
        <v>3.85245E7</v>
      </c>
      <c r="D329" s="115" t="s">
        <v>7</v>
      </c>
      <c r="E329" s="18"/>
      <c r="G329" s="18"/>
      <c r="H329" s="129" t="s">
        <v>408</v>
      </c>
      <c r="I329" s="115">
        <v>2.19128E7</v>
      </c>
    </row>
    <row r="330" ht="22.5" customHeight="1">
      <c r="A330" s="18"/>
      <c r="B330" s="56" t="s">
        <v>53</v>
      </c>
      <c r="C330" s="115">
        <v>3.1585E7</v>
      </c>
      <c r="D330" s="115" t="s">
        <v>7</v>
      </c>
      <c r="E330" s="18"/>
      <c r="G330" s="18"/>
      <c r="H330" s="129" t="s">
        <v>409</v>
      </c>
      <c r="I330" s="115">
        <v>1.90075E7</v>
      </c>
    </row>
    <row r="331" ht="22.5" customHeight="1">
      <c r="A331" s="18"/>
      <c r="B331" s="56" t="s">
        <v>55</v>
      </c>
      <c r="C331" s="115">
        <v>3.5342E7</v>
      </c>
      <c r="D331" s="115" t="s">
        <v>7</v>
      </c>
      <c r="E331" s="18"/>
      <c r="G331" s="18"/>
      <c r="H331" s="129" t="s">
        <v>410</v>
      </c>
      <c r="I331" s="115">
        <v>1.83046E7</v>
      </c>
    </row>
    <row r="332" ht="22.5" customHeight="1">
      <c r="A332" s="22"/>
      <c r="B332" s="56" t="s">
        <v>57</v>
      </c>
      <c r="C332" s="115">
        <v>3.236E7</v>
      </c>
      <c r="D332" s="115"/>
      <c r="E332" s="18"/>
      <c r="G332" s="22"/>
      <c r="H332" s="56" t="s">
        <v>99</v>
      </c>
      <c r="I332" s="122">
        <f>SUM(I327:I331)</f>
        <v>92351800</v>
      </c>
    </row>
    <row r="333" ht="22.5" customHeight="1">
      <c r="A333" s="128" t="s">
        <v>108</v>
      </c>
      <c r="B333" s="56" t="s">
        <v>51</v>
      </c>
      <c r="C333" s="115">
        <v>2.05627E7</v>
      </c>
      <c r="D333" s="48"/>
      <c r="E333" s="96">
        <f>SUM(C333:C336)</f>
        <v>79787600</v>
      </c>
      <c r="J333" s="131">
        <f>40000000+I332</f>
        <v>132351800</v>
      </c>
    </row>
    <row r="334" ht="22.5" customHeight="1">
      <c r="A334" s="18"/>
      <c r="B334" s="56" t="s">
        <v>53</v>
      </c>
      <c r="C334" s="115">
        <v>2.19128E7</v>
      </c>
      <c r="D334" s="48"/>
      <c r="E334" s="18"/>
      <c r="G334" s="223" t="s">
        <v>109</v>
      </c>
      <c r="H334" s="129"/>
      <c r="I334" s="115"/>
      <c r="J334" s="131">
        <f>119239500-I334</f>
        <v>119239500</v>
      </c>
    </row>
    <row r="335" ht="22.5" customHeight="1">
      <c r="A335" s="18"/>
      <c r="B335" s="56" t="s">
        <v>55</v>
      </c>
      <c r="C335" s="115">
        <v>1.90075E7</v>
      </c>
      <c r="D335" s="48"/>
      <c r="E335" s="18"/>
      <c r="G335" s="18"/>
      <c r="H335" s="129" t="s">
        <v>407</v>
      </c>
      <c r="I335" s="115">
        <f>C337-112307500</f>
        <v>27892000</v>
      </c>
    </row>
    <row r="336" ht="22.5" customHeight="1">
      <c r="A336" s="22"/>
      <c r="B336" s="56" t="s">
        <v>57</v>
      </c>
      <c r="C336" s="115">
        <v>1.83046E7</v>
      </c>
      <c r="D336" s="48"/>
      <c r="E336" s="18"/>
      <c r="G336" s="18"/>
      <c r="H336" s="129" t="s">
        <v>408</v>
      </c>
      <c r="I336" s="119">
        <v>8.22375E7</v>
      </c>
    </row>
    <row r="337" ht="22.5" customHeight="1">
      <c r="A337" s="128" t="s">
        <v>110</v>
      </c>
      <c r="B337" s="56" t="s">
        <v>51</v>
      </c>
      <c r="C337" s="119">
        <v>1.401995E8</v>
      </c>
      <c r="D337" s="115"/>
      <c r="E337" s="96">
        <f>SUM(C337:C340)</f>
        <v>390200000</v>
      </c>
      <c r="G337" s="18"/>
      <c r="H337" s="129" t="s">
        <v>409</v>
      </c>
      <c r="I337" s="119">
        <v>8.98705E7</v>
      </c>
    </row>
    <row r="338" ht="22.5" customHeight="1">
      <c r="A338" s="18"/>
      <c r="B338" s="56" t="s">
        <v>53</v>
      </c>
      <c r="C338" s="119">
        <v>8.23875E7</v>
      </c>
      <c r="D338" s="115"/>
      <c r="E338" s="18"/>
      <c r="G338" s="18"/>
      <c r="H338" s="129" t="s">
        <v>410</v>
      </c>
      <c r="I338" s="115">
        <v>7.76525E7</v>
      </c>
    </row>
    <row r="339" ht="22.5" customHeight="1">
      <c r="A339" s="18"/>
      <c r="B339" s="56" t="s">
        <v>55</v>
      </c>
      <c r="C339" s="119">
        <v>8.99605E7</v>
      </c>
      <c r="D339" s="115"/>
      <c r="E339" s="18"/>
      <c r="G339" s="22"/>
      <c r="H339" s="56" t="s">
        <v>99</v>
      </c>
      <c r="I339" s="122">
        <f>SUM(I334:I338)</f>
        <v>277652500</v>
      </c>
      <c r="J339" s="131">
        <f>I339+210000</f>
        <v>277862500</v>
      </c>
    </row>
    <row r="340" ht="22.5" customHeight="1">
      <c r="A340" s="22"/>
      <c r="B340" s="56" t="s">
        <v>57</v>
      </c>
      <c r="C340" s="115">
        <v>7.76525E7</v>
      </c>
      <c r="D340" s="48"/>
      <c r="E340" s="18"/>
      <c r="J340" s="127">
        <f>397042-396892</f>
        <v>150</v>
      </c>
    </row>
    <row r="341" ht="22.5" customHeight="1">
      <c r="A341" s="240" t="s">
        <v>112</v>
      </c>
      <c r="B341" s="56" t="s">
        <v>51</v>
      </c>
      <c r="C341" s="115">
        <v>4.6945E7</v>
      </c>
      <c r="D341" s="115" t="s">
        <v>7</v>
      </c>
      <c r="E341" s="111">
        <v>0.0</v>
      </c>
      <c r="G341" s="223" t="s">
        <v>115</v>
      </c>
      <c r="H341" s="129"/>
      <c r="I341" s="115"/>
    </row>
    <row r="342" ht="22.5" customHeight="1">
      <c r="A342" s="18"/>
      <c r="B342" s="129" t="s">
        <v>431</v>
      </c>
      <c r="C342" s="115">
        <v>-1600000.0</v>
      </c>
      <c r="D342" s="115" t="s">
        <v>7</v>
      </c>
      <c r="E342" s="18"/>
      <c r="G342" s="18"/>
      <c r="H342" s="129" t="s">
        <v>313</v>
      </c>
      <c r="I342" s="115">
        <v>2.7203E7</v>
      </c>
    </row>
    <row r="343" ht="22.5" customHeight="1">
      <c r="A343" s="18"/>
      <c r="B343" s="129" t="s">
        <v>432</v>
      </c>
      <c r="C343" s="115">
        <v>-2900000.0</v>
      </c>
      <c r="D343" s="115" t="s">
        <v>7</v>
      </c>
      <c r="E343" s="18"/>
      <c r="G343" s="18"/>
      <c r="H343" s="129" t="s">
        <v>407</v>
      </c>
      <c r="I343" s="119">
        <v>1.8795E7</v>
      </c>
    </row>
    <row r="344" ht="22.5" customHeight="1">
      <c r="A344" s="18"/>
      <c r="B344" s="56" t="s">
        <v>53</v>
      </c>
      <c r="C344" s="115">
        <v>5.07695E7</v>
      </c>
      <c r="D344" s="115" t="s">
        <v>7</v>
      </c>
      <c r="E344" s="18"/>
      <c r="G344" s="18"/>
      <c r="H344" s="129" t="s">
        <v>408</v>
      </c>
      <c r="I344" s="115">
        <v>2.287E7</v>
      </c>
    </row>
    <row r="345" ht="22.5" customHeight="1">
      <c r="A345" s="18"/>
      <c r="B345" s="56" t="s">
        <v>55</v>
      </c>
      <c r="C345" s="115">
        <v>4.63735E7</v>
      </c>
      <c r="D345" s="115" t="s">
        <v>7</v>
      </c>
      <c r="E345" s="18"/>
      <c r="G345" s="18"/>
      <c r="H345" s="129" t="s">
        <v>409</v>
      </c>
      <c r="I345" s="115">
        <v>1.824E7</v>
      </c>
    </row>
    <row r="346" ht="22.5" customHeight="1">
      <c r="A346" s="22"/>
      <c r="B346" s="56" t="s">
        <v>57</v>
      </c>
      <c r="C346" s="115">
        <v>3.9081E7</v>
      </c>
      <c r="D346" s="115"/>
      <c r="E346" s="18"/>
      <c r="G346" s="18"/>
      <c r="H346" s="129" t="s">
        <v>410</v>
      </c>
      <c r="I346" s="115">
        <v>4.5624E7</v>
      </c>
    </row>
    <row r="347" ht="22.5" customHeight="1">
      <c r="A347" s="128" t="s">
        <v>115</v>
      </c>
      <c r="B347" s="56" t="s">
        <v>51</v>
      </c>
      <c r="C347" s="119">
        <v>1.8795E7</v>
      </c>
      <c r="D347" s="115"/>
      <c r="E347" s="111">
        <f>sum(C347:C350)</f>
        <v>105604000</v>
      </c>
      <c r="G347" s="22"/>
      <c r="H347" s="56" t="s">
        <v>99</v>
      </c>
      <c r="I347" s="122">
        <f>sum(I342:I346)</f>
        <v>132732000</v>
      </c>
    </row>
    <row r="348" ht="22.5" customHeight="1">
      <c r="A348" s="18"/>
      <c r="B348" s="56" t="s">
        <v>53</v>
      </c>
      <c r="C348" s="115">
        <v>2.2945E7</v>
      </c>
      <c r="D348" s="115"/>
      <c r="E348" s="18"/>
      <c r="J348" s="127">
        <f>413+347</f>
        <v>760</v>
      </c>
    </row>
    <row r="349" ht="22.5" customHeight="1">
      <c r="A349" s="18"/>
      <c r="B349" s="56" t="s">
        <v>55</v>
      </c>
      <c r="C349" s="115">
        <v>1.824E7</v>
      </c>
      <c r="D349" s="48"/>
      <c r="E349" s="18"/>
      <c r="I349" s="127">
        <f>230+75+42</f>
        <v>347</v>
      </c>
    </row>
    <row r="350" ht="22.5" customHeight="1">
      <c r="A350" s="22"/>
      <c r="B350" s="56" t="s">
        <v>57</v>
      </c>
      <c r="C350" s="115">
        <v>4.5624E7</v>
      </c>
      <c r="D350" s="48"/>
      <c r="E350" s="22"/>
      <c r="J350" s="20"/>
    </row>
    <row r="351" ht="22.5" customHeight="1">
      <c r="A351" s="128" t="s">
        <v>116</v>
      </c>
      <c r="B351" s="56" t="s">
        <v>51</v>
      </c>
      <c r="C351" s="115">
        <v>3.9635E7</v>
      </c>
      <c r="D351" s="115" t="s">
        <v>7</v>
      </c>
      <c r="E351" s="111">
        <v>0.0</v>
      </c>
      <c r="J351" s="20"/>
    </row>
    <row r="352" ht="22.5" customHeight="1">
      <c r="A352" s="18"/>
      <c r="B352" s="56" t="s">
        <v>53</v>
      </c>
      <c r="C352" s="115">
        <v>4.4085E7</v>
      </c>
      <c r="D352" s="115" t="s">
        <v>7</v>
      </c>
      <c r="E352" s="18"/>
    </row>
    <row r="353" ht="22.5" customHeight="1">
      <c r="A353" s="18"/>
      <c r="B353" s="129" t="s">
        <v>433</v>
      </c>
      <c r="C353" s="119">
        <v>-525000.0</v>
      </c>
      <c r="D353" s="115" t="s">
        <v>7</v>
      </c>
      <c r="E353" s="18"/>
      <c r="I353" s="127">
        <f>150+60</f>
        <v>210</v>
      </c>
    </row>
    <row r="354" ht="22.5" customHeight="1">
      <c r="A354" s="18"/>
      <c r="B354" s="56" t="s">
        <v>55</v>
      </c>
      <c r="C354" s="119">
        <v>4.4634E7</v>
      </c>
      <c r="D354" s="115" t="s">
        <v>7</v>
      </c>
      <c r="E354" s="18"/>
    </row>
    <row r="355" ht="22.5" customHeight="1">
      <c r="A355" s="22"/>
      <c r="B355" s="56" t="s">
        <v>57</v>
      </c>
      <c r="C355" s="119">
        <v>4.8823E7</v>
      </c>
      <c r="D355" s="115"/>
      <c r="E355" s="18"/>
      <c r="J355" s="20"/>
    </row>
    <row r="356" ht="22.5" customHeight="1">
      <c r="A356" s="128" t="s">
        <v>117</v>
      </c>
      <c r="B356" s="56" t="s">
        <v>51</v>
      </c>
      <c r="C356" s="115">
        <v>4.10015E7</v>
      </c>
      <c r="D356" s="115" t="s">
        <v>7</v>
      </c>
      <c r="E356" s="111">
        <f>C358+C359</f>
        <v>55912500</v>
      </c>
    </row>
    <row r="357" ht="22.5" customHeight="1">
      <c r="A357" s="18"/>
      <c r="B357" s="56" t="s">
        <v>53</v>
      </c>
      <c r="C357" s="115">
        <v>1.5641E7</v>
      </c>
      <c r="D357" s="115" t="s">
        <v>7</v>
      </c>
      <c r="E357" s="18"/>
    </row>
    <row r="358" ht="22.5" customHeight="1">
      <c r="A358" s="18"/>
      <c r="B358" s="56" t="s">
        <v>55</v>
      </c>
      <c r="C358" s="115">
        <v>2.6544E7</v>
      </c>
      <c r="D358" s="115"/>
      <c r="E358" s="18"/>
    </row>
    <row r="359" ht="22.5" customHeight="1">
      <c r="A359" s="22"/>
      <c r="B359" s="56" t="s">
        <v>57</v>
      </c>
      <c r="C359" s="119">
        <v>2.93685E7</v>
      </c>
      <c r="D359" s="115"/>
      <c r="E359" s="18"/>
    </row>
    <row r="360" ht="22.5" customHeight="1">
      <c r="A360" s="128" t="s">
        <v>118</v>
      </c>
      <c r="B360" s="56" t="s">
        <v>51</v>
      </c>
      <c r="C360" s="115">
        <v>5.92465E7</v>
      </c>
      <c r="D360" s="115" t="s">
        <v>7</v>
      </c>
      <c r="E360" s="111">
        <v>0.0</v>
      </c>
    </row>
    <row r="361" ht="22.5" customHeight="1">
      <c r="A361" s="18"/>
      <c r="B361" s="56" t="s">
        <v>53</v>
      </c>
      <c r="C361" s="115">
        <v>6.3446E7</v>
      </c>
      <c r="D361" s="115" t="s">
        <v>7</v>
      </c>
      <c r="E361" s="18"/>
    </row>
    <row r="362" ht="22.5" customHeight="1">
      <c r="A362" s="18"/>
      <c r="B362" s="56" t="s">
        <v>55</v>
      </c>
      <c r="C362" s="115">
        <v>6.3797E7</v>
      </c>
      <c r="D362" s="115" t="s">
        <v>7</v>
      </c>
      <c r="E362" s="18"/>
    </row>
    <row r="363" ht="22.5" customHeight="1">
      <c r="A363" s="22"/>
      <c r="B363" s="56" t="s">
        <v>57</v>
      </c>
      <c r="C363" s="115">
        <v>5.2144E7</v>
      </c>
      <c r="D363" s="115"/>
      <c r="E363" s="18"/>
    </row>
    <row r="364" ht="22.5" customHeight="1">
      <c r="A364" s="128" t="s">
        <v>119</v>
      </c>
      <c r="B364" s="129" t="s">
        <v>313</v>
      </c>
      <c r="C364" s="115">
        <v>2.10315E7</v>
      </c>
      <c r="D364" s="115" t="s">
        <v>7</v>
      </c>
      <c r="E364" s="111">
        <f>C366+C367</f>
        <v>43890500</v>
      </c>
    </row>
    <row r="365" ht="22.5" customHeight="1">
      <c r="A365" s="18"/>
      <c r="B365" s="56" t="s">
        <v>51</v>
      </c>
      <c r="C365" s="115">
        <v>3.44785E7</v>
      </c>
      <c r="D365" s="115" t="s">
        <v>7</v>
      </c>
      <c r="E365" s="18"/>
    </row>
    <row r="366" ht="22.5" customHeight="1">
      <c r="A366" s="18"/>
      <c r="B366" s="56" t="s">
        <v>53</v>
      </c>
      <c r="C366" s="115">
        <v>2.2036E7</v>
      </c>
      <c r="D366" s="115"/>
      <c r="E366" s="18"/>
    </row>
    <row r="367" ht="22.5" customHeight="1">
      <c r="A367" s="18"/>
      <c r="B367" s="56" t="s">
        <v>55</v>
      </c>
      <c r="C367" s="115">
        <v>2.18545E7</v>
      </c>
      <c r="D367" s="115"/>
      <c r="E367" s="18"/>
    </row>
    <row r="368" ht="22.5" customHeight="1">
      <c r="A368" s="22"/>
      <c r="B368" s="56" t="s">
        <v>57</v>
      </c>
      <c r="C368" s="115">
        <v>2.29485E7</v>
      </c>
      <c r="D368" s="115"/>
      <c r="E368" s="22"/>
    </row>
    <row r="369" ht="22.5" customHeight="1">
      <c r="A369" s="128" t="s">
        <v>120</v>
      </c>
      <c r="B369" s="129" t="s">
        <v>313</v>
      </c>
      <c r="C369" s="119">
        <v>6.2699E7</v>
      </c>
      <c r="D369" s="115" t="s">
        <v>7</v>
      </c>
      <c r="E369" s="111">
        <v>0.0</v>
      </c>
    </row>
    <row r="370" ht="22.5" customHeight="1">
      <c r="A370" s="18"/>
      <c r="B370" s="56" t="s">
        <v>51</v>
      </c>
      <c r="C370" s="115">
        <v>5.3238E7</v>
      </c>
      <c r="D370" s="115" t="s">
        <v>7</v>
      </c>
      <c r="E370" s="18"/>
      <c r="F370" s="127">
        <f>11*3</f>
        <v>33</v>
      </c>
    </row>
    <row r="371" ht="22.5" customHeight="1">
      <c r="A371" s="18"/>
      <c r="B371" s="56" t="s">
        <v>53</v>
      </c>
      <c r="C371" s="119">
        <v>5.1159E7</v>
      </c>
      <c r="D371" s="115" t="s">
        <v>7</v>
      </c>
      <c r="E371" s="18"/>
    </row>
    <row r="372" ht="22.5" customHeight="1">
      <c r="A372" s="18"/>
      <c r="B372" s="56" t="s">
        <v>55</v>
      </c>
      <c r="C372" s="115">
        <v>5.2131E7</v>
      </c>
      <c r="D372" s="115" t="s">
        <v>7</v>
      </c>
      <c r="E372" s="18"/>
    </row>
    <row r="373" ht="22.5" customHeight="1">
      <c r="A373" s="22"/>
      <c r="B373" s="56" t="s">
        <v>57</v>
      </c>
      <c r="C373" s="119">
        <v>4.0543E7</v>
      </c>
      <c r="D373" s="115"/>
      <c r="E373" s="18"/>
    </row>
    <row r="374" ht="22.5" customHeight="1">
      <c r="A374" s="128" t="s">
        <v>121</v>
      </c>
      <c r="B374" s="56" t="s">
        <v>51</v>
      </c>
      <c r="C374" s="115">
        <v>1.52145E7</v>
      </c>
      <c r="D374" s="115"/>
      <c r="E374" s="111">
        <f>SUM(C374:C377)</f>
        <v>112351000</v>
      </c>
    </row>
    <row r="375" ht="22.5" customHeight="1">
      <c r="A375" s="18"/>
      <c r="B375" s="56" t="s">
        <v>53</v>
      </c>
      <c r="C375" s="247">
        <v>3.51355E7</v>
      </c>
      <c r="D375" s="115"/>
      <c r="E375" s="18"/>
    </row>
    <row r="376" ht="22.5" customHeight="1">
      <c r="A376" s="18"/>
      <c r="B376" s="56" t="s">
        <v>55</v>
      </c>
      <c r="C376" s="115">
        <v>2.8752E7</v>
      </c>
      <c r="D376" s="115"/>
      <c r="E376" s="18"/>
      <c r="G376" s="127">
        <f>27*3</f>
        <v>81</v>
      </c>
    </row>
    <row r="377" ht="22.5" customHeight="1">
      <c r="A377" s="22"/>
      <c r="B377" s="56" t="s">
        <v>57</v>
      </c>
      <c r="C377" s="115">
        <v>3.3249E7</v>
      </c>
      <c r="D377" s="115"/>
      <c r="E377" s="18"/>
    </row>
    <row r="378" ht="22.5" customHeight="1">
      <c r="A378" s="128" t="s">
        <v>122</v>
      </c>
      <c r="B378" s="56" t="s">
        <v>51</v>
      </c>
      <c r="C378" s="115">
        <v>5.8815E7</v>
      </c>
      <c r="D378" s="115"/>
      <c r="E378" s="111">
        <f>SUM(C378:C381)</f>
        <v>219305000</v>
      </c>
    </row>
    <row r="379" ht="22.5" customHeight="1">
      <c r="A379" s="18"/>
      <c r="B379" s="56" t="s">
        <v>53</v>
      </c>
      <c r="C379" s="119">
        <v>4.69585E7</v>
      </c>
      <c r="D379" s="115"/>
      <c r="E379" s="18"/>
    </row>
    <row r="380" ht="22.5" customHeight="1">
      <c r="A380" s="18"/>
      <c r="B380" s="56" t="s">
        <v>55</v>
      </c>
      <c r="C380" s="119">
        <v>5.74265E7</v>
      </c>
      <c r="D380" s="115"/>
      <c r="E380" s="18"/>
    </row>
    <row r="381" ht="22.5" customHeight="1">
      <c r="A381" s="22"/>
      <c r="B381" s="56" t="s">
        <v>57</v>
      </c>
      <c r="C381" s="115">
        <v>5.6105E7</v>
      </c>
      <c r="D381" s="115"/>
      <c r="E381" s="18"/>
    </row>
    <row r="382" ht="22.5" customHeight="1">
      <c r="A382" s="128" t="s">
        <v>123</v>
      </c>
      <c r="B382" s="56" t="s">
        <v>51</v>
      </c>
      <c r="C382" s="115">
        <v>1.91705E7</v>
      </c>
      <c r="D382" s="115" t="s">
        <v>7</v>
      </c>
      <c r="E382" s="111">
        <f>C383</f>
        <v>30234000</v>
      </c>
    </row>
    <row r="383" ht="22.5" customHeight="1">
      <c r="A383" s="18"/>
      <c r="B383" s="56" t="s">
        <v>53</v>
      </c>
      <c r="C383" s="115">
        <v>3.0234E7</v>
      </c>
      <c r="D383" s="115"/>
      <c r="E383" s="18"/>
    </row>
    <row r="384" ht="22.5" customHeight="1">
      <c r="A384" s="18"/>
      <c r="B384" s="56" t="s">
        <v>55</v>
      </c>
      <c r="C384" s="115">
        <v>9897500.0</v>
      </c>
      <c r="D384" s="115" t="s">
        <v>7</v>
      </c>
      <c r="E384" s="18"/>
    </row>
    <row r="385" ht="22.5" customHeight="1">
      <c r="A385" s="22"/>
      <c r="B385" s="56" t="s">
        <v>57</v>
      </c>
      <c r="C385" s="115">
        <v>1.29655E7</v>
      </c>
      <c r="D385" s="115"/>
      <c r="E385" s="22"/>
    </row>
    <row r="386" ht="22.5" customHeight="1">
      <c r="A386" s="128" t="s">
        <v>124</v>
      </c>
      <c r="B386" s="56" t="s">
        <v>51</v>
      </c>
      <c r="C386" s="115">
        <v>2.936E7</v>
      </c>
      <c r="D386" s="115" t="s">
        <v>7</v>
      </c>
      <c r="E386" s="248">
        <f>SUM(C387:C389)</f>
        <v>91739500</v>
      </c>
      <c r="J386" s="20"/>
    </row>
    <row r="387" ht="22.5" customHeight="1">
      <c r="A387" s="18"/>
      <c r="B387" s="56" t="s">
        <v>53</v>
      </c>
      <c r="C387" s="115">
        <v>2.90625E7</v>
      </c>
      <c r="D387" s="48"/>
      <c r="E387" s="18"/>
    </row>
    <row r="388" ht="22.5" customHeight="1">
      <c r="A388" s="18"/>
      <c r="B388" s="56" t="s">
        <v>55</v>
      </c>
      <c r="C388" s="115">
        <v>3.6505E7</v>
      </c>
      <c r="D388" s="48"/>
      <c r="E388" s="18"/>
    </row>
    <row r="389" ht="22.5" customHeight="1">
      <c r="A389" s="22"/>
      <c r="B389" s="56" t="s">
        <v>57</v>
      </c>
      <c r="C389" s="119">
        <v>2.6172E7</v>
      </c>
      <c r="D389" s="48"/>
      <c r="E389" s="18"/>
    </row>
    <row r="390" ht="22.5" customHeight="1">
      <c r="A390" s="128" t="s">
        <v>126</v>
      </c>
      <c r="B390" s="56" t="s">
        <v>51</v>
      </c>
      <c r="C390" s="115">
        <v>5.476E7</v>
      </c>
      <c r="D390" s="115" t="s">
        <v>7</v>
      </c>
      <c r="E390" s="111">
        <v>0.0</v>
      </c>
    </row>
    <row r="391" ht="22.5" customHeight="1">
      <c r="A391" s="18"/>
      <c r="B391" s="56" t="s">
        <v>53</v>
      </c>
      <c r="C391" s="115">
        <v>5.49315E7</v>
      </c>
      <c r="D391" s="115" t="s">
        <v>7</v>
      </c>
      <c r="E391" s="18"/>
    </row>
    <row r="392" ht="22.5" customHeight="1">
      <c r="A392" s="18"/>
      <c r="B392" s="56" t="s">
        <v>55</v>
      </c>
      <c r="C392" s="115">
        <v>6.00545E7</v>
      </c>
      <c r="D392" s="115" t="s">
        <v>7</v>
      </c>
      <c r="E392" s="18"/>
    </row>
    <row r="393" ht="22.5" customHeight="1">
      <c r="A393" s="22"/>
      <c r="B393" s="56" t="s">
        <v>57</v>
      </c>
      <c r="C393" s="115">
        <v>5.49195E7</v>
      </c>
      <c r="D393" s="115"/>
      <c r="E393" s="18"/>
    </row>
    <row r="394" ht="22.5" customHeight="1">
      <c r="A394" s="128" t="s">
        <v>127</v>
      </c>
      <c r="B394" s="56" t="s">
        <v>51</v>
      </c>
      <c r="C394" s="115">
        <v>3.4857E7</v>
      </c>
      <c r="D394" s="115" t="s">
        <v>7</v>
      </c>
      <c r="E394" s="111">
        <v>0.0</v>
      </c>
    </row>
    <row r="395" ht="22.5" customHeight="1">
      <c r="A395" s="18"/>
      <c r="B395" s="56" t="s">
        <v>53</v>
      </c>
      <c r="C395" s="119">
        <v>2.44855E7</v>
      </c>
      <c r="D395" s="115" t="s">
        <v>7</v>
      </c>
      <c r="E395" s="18"/>
    </row>
    <row r="396" ht="22.5" customHeight="1">
      <c r="A396" s="18"/>
      <c r="B396" s="56" t="s">
        <v>55</v>
      </c>
      <c r="C396" s="115">
        <v>2.044E7</v>
      </c>
      <c r="D396" s="115" t="s">
        <v>7</v>
      </c>
      <c r="E396" s="18"/>
      <c r="J396" s="20"/>
    </row>
    <row r="397" ht="22.5" customHeight="1">
      <c r="A397" s="22"/>
      <c r="B397" s="56" t="s">
        <v>57</v>
      </c>
      <c r="C397" s="119">
        <v>1.88505E7</v>
      </c>
      <c r="D397" s="115"/>
      <c r="E397" s="18"/>
    </row>
    <row r="398" ht="22.5" customHeight="1">
      <c r="A398" s="128" t="s">
        <v>128</v>
      </c>
      <c r="B398" s="56" t="s">
        <v>51</v>
      </c>
      <c r="C398" s="115">
        <v>1.8958E7</v>
      </c>
      <c r="D398" s="115" t="s">
        <v>7</v>
      </c>
      <c r="E398" s="96">
        <f>C400+C401</f>
        <v>30658000</v>
      </c>
    </row>
    <row r="399" ht="22.5" customHeight="1">
      <c r="A399" s="18"/>
      <c r="B399" s="56" t="s">
        <v>53</v>
      </c>
      <c r="C399" s="119">
        <v>2.40585E7</v>
      </c>
      <c r="D399" s="115" t="s">
        <v>7</v>
      </c>
      <c r="E399" s="18"/>
    </row>
    <row r="400" ht="22.5" customHeight="1">
      <c r="A400" s="18"/>
      <c r="B400" s="56" t="s">
        <v>55</v>
      </c>
      <c r="C400" s="115">
        <v>1.30695E7</v>
      </c>
      <c r="D400" s="48"/>
      <c r="E400" s="18"/>
    </row>
    <row r="401" ht="22.5" customHeight="1">
      <c r="A401" s="22"/>
      <c r="B401" s="56" t="s">
        <v>57</v>
      </c>
      <c r="C401" s="119">
        <v>1.75885E7</v>
      </c>
      <c r="D401" s="48"/>
      <c r="E401" s="18"/>
    </row>
    <row r="402" ht="22.5" customHeight="1">
      <c r="A402" s="128" t="s">
        <v>129</v>
      </c>
      <c r="B402" s="129" t="s">
        <v>313</v>
      </c>
      <c r="C402" s="119">
        <v>5.1344E7</v>
      </c>
      <c r="D402" s="115" t="s">
        <v>7</v>
      </c>
      <c r="E402" s="111">
        <v>0.0</v>
      </c>
    </row>
    <row r="403" ht="22.5" customHeight="1">
      <c r="A403" s="18"/>
      <c r="B403" s="56" t="s">
        <v>51</v>
      </c>
      <c r="C403" s="115">
        <v>2.8425E7</v>
      </c>
      <c r="D403" s="115" t="s">
        <v>7</v>
      </c>
      <c r="E403" s="18"/>
    </row>
    <row r="404" ht="22.5" customHeight="1">
      <c r="A404" s="18"/>
      <c r="B404" s="56" t="s">
        <v>53</v>
      </c>
      <c r="C404" s="119">
        <v>4.4311E7</v>
      </c>
      <c r="D404" s="115" t="s">
        <v>7</v>
      </c>
      <c r="E404" s="18"/>
      <c r="M404" s="248"/>
    </row>
    <row r="405" ht="22.5" customHeight="1">
      <c r="A405" s="18"/>
      <c r="B405" s="56" t="s">
        <v>55</v>
      </c>
      <c r="C405" s="115">
        <v>4.3606E7</v>
      </c>
      <c r="D405" s="115" t="s">
        <v>7</v>
      </c>
      <c r="E405" s="18"/>
    </row>
    <row r="406" ht="22.5" customHeight="1">
      <c r="A406" s="22"/>
      <c r="B406" s="56" t="s">
        <v>57</v>
      </c>
      <c r="C406" s="119">
        <v>4.0905E7</v>
      </c>
      <c r="D406" s="115"/>
      <c r="E406" s="18"/>
    </row>
    <row r="407" ht="22.5" customHeight="1">
      <c r="A407" s="366" t="s">
        <v>131</v>
      </c>
      <c r="B407" s="412" t="s">
        <v>313</v>
      </c>
      <c r="C407" s="413">
        <v>7.50765E7</v>
      </c>
      <c r="D407" s="115" t="s">
        <v>7</v>
      </c>
      <c r="E407" s="414">
        <f>sum(C411:C413)</f>
        <v>59972000</v>
      </c>
    </row>
    <row r="408" ht="22.5" customHeight="1">
      <c r="A408" s="18"/>
      <c r="B408" s="415" t="s">
        <v>51</v>
      </c>
      <c r="C408" s="416">
        <v>5.1569E7</v>
      </c>
      <c r="D408" s="115" t="s">
        <v>7</v>
      </c>
      <c r="E408" s="18"/>
    </row>
    <row r="409" ht="22.5" customHeight="1">
      <c r="A409" s="18"/>
      <c r="B409" s="415" t="s">
        <v>53</v>
      </c>
      <c r="C409" s="416">
        <f>57043500+780000</f>
        <v>57823500</v>
      </c>
      <c r="D409" s="115" t="s">
        <v>7</v>
      </c>
      <c r="E409" s="18"/>
    </row>
    <row r="410" ht="22.5" customHeight="1">
      <c r="A410" s="18"/>
      <c r="B410" s="415" t="s">
        <v>55</v>
      </c>
      <c r="C410" s="416">
        <v>6.1667E7</v>
      </c>
      <c r="D410" s="115" t="s">
        <v>7</v>
      </c>
      <c r="E410" s="18"/>
    </row>
    <row r="411" ht="22.5" customHeight="1">
      <c r="A411" s="18"/>
      <c r="B411" s="415" t="s">
        <v>341</v>
      </c>
      <c r="C411" s="416">
        <f>-5*10000</f>
        <v>-50000</v>
      </c>
      <c r="D411" s="48"/>
      <c r="E411" s="18"/>
    </row>
    <row r="412" ht="22.5" customHeight="1">
      <c r="A412" s="18"/>
      <c r="B412" s="415" t="s">
        <v>434</v>
      </c>
      <c r="C412" s="416">
        <v>-190000.0</v>
      </c>
      <c r="D412" s="48"/>
      <c r="E412" s="18"/>
      <c r="F412" s="351" t="s">
        <v>435</v>
      </c>
    </row>
    <row r="413" ht="22.5" customHeight="1">
      <c r="A413" s="22"/>
      <c r="B413" s="415" t="s">
        <v>57</v>
      </c>
      <c r="C413" s="416">
        <f>60212000</f>
        <v>60212000</v>
      </c>
      <c r="D413" s="48"/>
      <c r="E413" s="18"/>
      <c r="F413" s="351" t="s">
        <v>436</v>
      </c>
    </row>
    <row r="414" ht="22.5" customHeight="1">
      <c r="A414" s="366" t="s">
        <v>130</v>
      </c>
      <c r="B414" s="412" t="s">
        <v>437</v>
      </c>
      <c r="C414" s="413">
        <v>8.40676E7</v>
      </c>
      <c r="D414" s="115" t="s">
        <v>7</v>
      </c>
      <c r="E414" s="417">
        <v>0.0</v>
      </c>
    </row>
    <row r="415" ht="22.5" customHeight="1">
      <c r="A415" s="18"/>
      <c r="B415" s="415" t="s">
        <v>51</v>
      </c>
      <c r="C415" s="416">
        <f>30227000+1799000+70000</f>
        <v>32096000</v>
      </c>
      <c r="D415" s="115" t="s">
        <v>7</v>
      </c>
      <c r="E415" s="18"/>
    </row>
    <row r="416" ht="22.5" customHeight="1">
      <c r="A416" s="18"/>
      <c r="B416" s="415" t="s">
        <v>53</v>
      </c>
      <c r="C416" s="416">
        <v>3.1173E7</v>
      </c>
      <c r="D416" s="115" t="s">
        <v>7</v>
      </c>
      <c r="E416" s="18"/>
      <c r="H416" s="134" t="s">
        <v>50</v>
      </c>
    </row>
    <row r="417" ht="22.5" customHeight="1">
      <c r="A417" s="18"/>
      <c r="B417" s="415" t="s">
        <v>55</v>
      </c>
      <c r="C417" s="418">
        <v>2.80891E7</v>
      </c>
      <c r="D417" s="115" t="s">
        <v>7</v>
      </c>
      <c r="E417" s="18"/>
    </row>
    <row r="418" ht="22.5" customHeight="1">
      <c r="A418" s="22"/>
      <c r="B418" s="415" t="s">
        <v>57</v>
      </c>
      <c r="C418" s="115">
        <v>2.47205E7</v>
      </c>
      <c r="D418" s="115" t="s">
        <v>7</v>
      </c>
      <c r="E418" s="18"/>
    </row>
    <row r="419" ht="19.5" customHeight="1">
      <c r="A419" s="366" t="s">
        <v>136</v>
      </c>
      <c r="B419" s="412" t="s">
        <v>351</v>
      </c>
      <c r="C419" s="413">
        <v>3.57075E7</v>
      </c>
      <c r="D419" s="413">
        <v>-5.0E7</v>
      </c>
      <c r="E419" s="414">
        <f>sum(C419:D423)</f>
        <v>89136500</v>
      </c>
    </row>
    <row r="420" ht="19.5" customHeight="1">
      <c r="A420" s="18"/>
      <c r="B420" s="415" t="s">
        <v>51</v>
      </c>
      <c r="C420" s="416">
        <f>35802500+32923500</f>
        <v>68726000</v>
      </c>
      <c r="D420" s="416">
        <v>-7.0E7</v>
      </c>
      <c r="E420" s="18"/>
    </row>
    <row r="421" ht="19.5" customHeight="1">
      <c r="A421" s="18"/>
      <c r="B421" s="415" t="s">
        <v>53</v>
      </c>
      <c r="C421" s="416">
        <f>3480000+30907000</f>
        <v>34387000</v>
      </c>
      <c r="D421" s="419"/>
      <c r="E421" s="18"/>
    </row>
    <row r="422" ht="19.5" customHeight="1">
      <c r="A422" s="18"/>
      <c r="B422" s="415" t="s">
        <v>55</v>
      </c>
      <c r="C422" s="416">
        <v>3.45625E7</v>
      </c>
      <c r="D422" s="419"/>
      <c r="E422" s="18"/>
    </row>
    <row r="423" ht="19.5" customHeight="1">
      <c r="A423" s="22"/>
      <c r="B423" s="415" t="s">
        <v>57</v>
      </c>
      <c r="C423" s="416">
        <v>3.57535E7</v>
      </c>
      <c r="D423" s="419"/>
      <c r="E423" s="22"/>
    </row>
    <row r="424" ht="18.75" customHeight="1">
      <c r="A424" s="366" t="s">
        <v>138</v>
      </c>
      <c r="B424" s="412" t="s">
        <v>51</v>
      </c>
      <c r="C424" s="416">
        <v>2.153E7</v>
      </c>
      <c r="D424" s="115" t="s">
        <v>7</v>
      </c>
      <c r="E424" s="414">
        <f>sum(C427:C429)</f>
        <v>32422000</v>
      </c>
    </row>
    <row r="425" ht="18.75" customHeight="1">
      <c r="A425" s="18"/>
      <c r="B425" s="415" t="s">
        <v>438</v>
      </c>
      <c r="C425" s="416">
        <f>-4*3000</f>
        <v>-12000</v>
      </c>
      <c r="D425" s="115" t="s">
        <v>7</v>
      </c>
      <c r="E425" s="18"/>
    </row>
    <row r="426" ht="18.75" customHeight="1">
      <c r="A426" s="18"/>
      <c r="B426" s="415" t="s">
        <v>53</v>
      </c>
      <c r="C426" s="416">
        <v>1.5346E7</v>
      </c>
      <c r="D426" s="115" t="s">
        <v>7</v>
      </c>
      <c r="E426" s="18"/>
    </row>
    <row r="427" ht="18.75" customHeight="1">
      <c r="A427" s="18"/>
      <c r="B427" s="415" t="s">
        <v>439</v>
      </c>
      <c r="C427" s="419">
        <f>-26*3000</f>
        <v>-78000</v>
      </c>
      <c r="D427" s="48"/>
      <c r="E427" s="18"/>
    </row>
    <row r="428" ht="18.75" customHeight="1">
      <c r="A428" s="18"/>
      <c r="B428" s="415" t="s">
        <v>55</v>
      </c>
      <c r="C428" s="416">
        <v>1.47245E7</v>
      </c>
      <c r="D428" s="48"/>
      <c r="E428" s="18"/>
    </row>
    <row r="429" ht="18.75" customHeight="1">
      <c r="A429" s="22"/>
      <c r="B429" s="415" t="s">
        <v>57</v>
      </c>
      <c r="C429" s="416">
        <v>1.77755E7</v>
      </c>
      <c r="D429" s="48"/>
      <c r="E429" s="18"/>
      <c r="F429" s="134" t="s">
        <v>440</v>
      </c>
    </row>
    <row r="430" ht="18.75" customHeight="1">
      <c r="A430" s="366" t="s">
        <v>139</v>
      </c>
      <c r="B430" s="56" t="s">
        <v>51</v>
      </c>
      <c r="C430" s="420">
        <v>1.5115E7</v>
      </c>
      <c r="D430" s="115" t="s">
        <v>7</v>
      </c>
      <c r="E430" s="417">
        <v>0.0</v>
      </c>
    </row>
    <row r="431" ht="18.75" customHeight="1">
      <c r="A431" s="18"/>
      <c r="B431" s="56" t="s">
        <v>53</v>
      </c>
      <c r="C431" s="420">
        <v>2.451E7</v>
      </c>
      <c r="D431" s="115" t="s">
        <v>7</v>
      </c>
      <c r="E431" s="18"/>
    </row>
    <row r="432" ht="18.75" customHeight="1">
      <c r="A432" s="18"/>
      <c r="B432" s="56" t="s">
        <v>55</v>
      </c>
      <c r="C432" s="115">
        <v>2.6345E7</v>
      </c>
      <c r="D432" s="115" t="s">
        <v>7</v>
      </c>
      <c r="E432" s="18"/>
    </row>
    <row r="433" ht="18.75" customHeight="1">
      <c r="A433" s="22"/>
      <c r="B433" s="56" t="s">
        <v>57</v>
      </c>
      <c r="C433" s="115">
        <v>2.754E7</v>
      </c>
      <c r="D433" s="115" t="s">
        <v>7</v>
      </c>
      <c r="E433" s="22"/>
      <c r="F433" s="351" t="s">
        <v>342</v>
      </c>
    </row>
    <row r="434" ht="22.5" customHeight="1">
      <c r="A434" s="375" t="s">
        <v>140</v>
      </c>
      <c r="B434" s="412" t="s">
        <v>313</v>
      </c>
      <c r="C434" s="413">
        <v>1.6951E7</v>
      </c>
      <c r="D434" s="115">
        <v>-5.6792E7</v>
      </c>
      <c r="E434" s="414">
        <f>sum(C434:D439)</f>
        <v>38109700</v>
      </c>
    </row>
    <row r="435" ht="22.5" customHeight="1">
      <c r="A435" s="18"/>
      <c r="B435" s="415" t="s">
        <v>51</v>
      </c>
      <c r="C435" s="416">
        <v>2.19722E7</v>
      </c>
      <c r="D435" s="115"/>
      <c r="E435" s="18"/>
    </row>
    <row r="436" ht="22.5" customHeight="1">
      <c r="A436" s="18"/>
      <c r="B436" s="415" t="s">
        <v>53</v>
      </c>
      <c r="C436" s="416">
        <v>1.80595E7</v>
      </c>
      <c r="D436" s="115"/>
      <c r="E436" s="18"/>
    </row>
    <row r="437" ht="22.5" customHeight="1">
      <c r="A437" s="18"/>
      <c r="B437" s="415" t="s">
        <v>441</v>
      </c>
      <c r="C437" s="416">
        <v>-190000.0</v>
      </c>
      <c r="D437" s="48"/>
      <c r="E437" s="18"/>
    </row>
    <row r="438" ht="22.5" customHeight="1">
      <c r="A438" s="18"/>
      <c r="B438" s="415" t="s">
        <v>55</v>
      </c>
      <c r="C438" s="416">
        <v>1.6709E7</v>
      </c>
      <c r="D438" s="48"/>
      <c r="E438" s="18"/>
    </row>
    <row r="439" ht="22.5" customHeight="1">
      <c r="A439" s="22"/>
      <c r="B439" s="415" t="s">
        <v>57</v>
      </c>
      <c r="C439" s="416">
        <v>2.14E7</v>
      </c>
      <c r="D439" s="48"/>
      <c r="E439" s="22"/>
    </row>
    <row r="440" ht="22.5" customHeight="1">
      <c r="A440" s="375" t="s">
        <v>141</v>
      </c>
      <c r="B440" s="56" t="s">
        <v>51</v>
      </c>
      <c r="C440" s="119">
        <v>2.29723E7</v>
      </c>
      <c r="D440" s="115" t="s">
        <v>7</v>
      </c>
      <c r="E440" s="417">
        <v>0.0</v>
      </c>
      <c r="F440" s="352"/>
    </row>
    <row r="441" ht="22.5" customHeight="1">
      <c r="A441" s="18"/>
      <c r="B441" s="56" t="s">
        <v>53</v>
      </c>
      <c r="C441" s="119">
        <v>3.54993E7</v>
      </c>
      <c r="D441" s="115" t="s">
        <v>7</v>
      </c>
      <c r="E441" s="18"/>
      <c r="F441" s="352"/>
    </row>
    <row r="442" ht="22.5" customHeight="1">
      <c r="A442" s="18"/>
      <c r="B442" s="56" t="s">
        <v>55</v>
      </c>
      <c r="C442" s="119">
        <v>3.4663E7</v>
      </c>
      <c r="D442" s="115" t="s">
        <v>7</v>
      </c>
      <c r="E442" s="18"/>
      <c r="F442" s="352"/>
    </row>
    <row r="443" ht="22.5" customHeight="1">
      <c r="A443" s="22"/>
      <c r="B443" s="56" t="s">
        <v>57</v>
      </c>
      <c r="C443" s="115">
        <v>2.82595E7</v>
      </c>
      <c r="D443" s="115" t="s">
        <v>7</v>
      </c>
      <c r="E443" s="22"/>
    </row>
    <row r="444" ht="22.5" customHeight="1">
      <c r="A444" s="366" t="s">
        <v>142</v>
      </c>
      <c r="B444" s="412" t="s">
        <v>442</v>
      </c>
      <c r="C444" s="413">
        <v>8.04105E7</v>
      </c>
      <c r="D444" s="413" t="s">
        <v>7</v>
      </c>
      <c r="E444" s="414">
        <f>SUM(C447:C448)</f>
        <v>93158500</v>
      </c>
    </row>
    <row r="445" ht="22.5" customHeight="1">
      <c r="A445" s="18"/>
      <c r="B445" s="415" t="s">
        <v>51</v>
      </c>
      <c r="C445" s="416">
        <v>7.30055E7</v>
      </c>
      <c r="D445" s="416" t="s">
        <v>7</v>
      </c>
      <c r="E445" s="18"/>
    </row>
    <row r="446" ht="22.5" customHeight="1">
      <c r="A446" s="18"/>
      <c r="B446" s="415" t="s">
        <v>53</v>
      </c>
      <c r="C446" s="416">
        <f>35390000+13500000</f>
        <v>48890000</v>
      </c>
      <c r="D446" s="416" t="s">
        <v>7</v>
      </c>
      <c r="E446" s="18"/>
    </row>
    <row r="447" ht="22.5" customHeight="1">
      <c r="A447" s="18"/>
      <c r="B447" s="415" t="s">
        <v>55</v>
      </c>
      <c r="C447" s="416">
        <v>5.35785E7</v>
      </c>
      <c r="D447" s="419"/>
      <c r="E447" s="18"/>
      <c r="F447" s="351" t="s">
        <v>443</v>
      </c>
    </row>
    <row r="448" ht="22.5" customHeight="1">
      <c r="A448" s="22"/>
      <c r="B448" s="415" t="s">
        <v>57</v>
      </c>
      <c r="C448" s="416">
        <v>3.958E7</v>
      </c>
      <c r="D448" s="419"/>
      <c r="E448" s="18"/>
      <c r="F448" s="351" t="s">
        <v>436</v>
      </c>
    </row>
    <row r="449" ht="22.5" customHeight="1">
      <c r="A449" s="366" t="s">
        <v>143</v>
      </c>
      <c r="B449" s="412" t="s">
        <v>313</v>
      </c>
      <c r="C449" s="413">
        <v>2.571E7</v>
      </c>
      <c r="D449" s="115" t="s">
        <v>7</v>
      </c>
      <c r="E449" s="414">
        <f>SUM(C452:D455)</f>
        <v>19454000</v>
      </c>
    </row>
    <row r="450" ht="22.5" customHeight="1">
      <c r="A450" s="18"/>
      <c r="B450" s="415" t="s">
        <v>51</v>
      </c>
      <c r="C450" s="416">
        <v>8305000.0</v>
      </c>
      <c r="D450" s="115" t="s">
        <v>7</v>
      </c>
      <c r="E450" s="18"/>
    </row>
    <row r="451" ht="22.5" customHeight="1">
      <c r="A451" s="18"/>
      <c r="B451" s="415" t="s">
        <v>53</v>
      </c>
      <c r="C451" s="416">
        <v>1.5992E7</v>
      </c>
      <c r="D451" s="115" t="s">
        <v>7</v>
      </c>
      <c r="E451" s="18"/>
      <c r="J451" s="2"/>
    </row>
    <row r="452" ht="22.5" customHeight="1">
      <c r="A452" s="18"/>
      <c r="B452" s="415" t="s">
        <v>55</v>
      </c>
      <c r="C452" s="416">
        <v>1.6316E7</v>
      </c>
      <c r="D452" s="115"/>
      <c r="E452" s="18"/>
    </row>
    <row r="453" ht="22.5" customHeight="1">
      <c r="A453" s="18"/>
      <c r="B453" s="415" t="s">
        <v>444</v>
      </c>
      <c r="C453" s="419">
        <f>-17*3000</f>
        <v>-51000</v>
      </c>
      <c r="D453" s="115"/>
      <c r="E453" s="18"/>
    </row>
    <row r="454" ht="22.5" customHeight="1">
      <c r="A454" s="18"/>
      <c r="B454" s="415" t="s">
        <v>57</v>
      </c>
      <c r="C454" s="416">
        <f>17781000+19481000</f>
        <v>37262000</v>
      </c>
      <c r="D454" s="115">
        <v>-3.4046E7</v>
      </c>
      <c r="E454" s="18"/>
    </row>
    <row r="455" ht="22.5" customHeight="1">
      <c r="A455" s="22"/>
      <c r="B455" s="415" t="s">
        <v>445</v>
      </c>
      <c r="C455" s="419">
        <f>-9*3000</f>
        <v>-27000</v>
      </c>
      <c r="D455" s="115"/>
      <c r="E455" s="18"/>
    </row>
    <row r="456" ht="22.5" customHeight="1">
      <c r="A456" s="366" t="s">
        <v>144</v>
      </c>
      <c r="B456" s="56" t="s">
        <v>51</v>
      </c>
      <c r="C456" s="115">
        <v>1.972E7</v>
      </c>
      <c r="D456" s="115" t="s">
        <v>7</v>
      </c>
      <c r="E456" s="417">
        <v>0.0</v>
      </c>
    </row>
    <row r="457" ht="22.5" customHeight="1">
      <c r="A457" s="18"/>
      <c r="B457" s="56" t="s">
        <v>53</v>
      </c>
      <c r="C457" s="115">
        <v>2.811E7</v>
      </c>
      <c r="D457" s="115" t="s">
        <v>7</v>
      </c>
      <c r="E457" s="18"/>
    </row>
    <row r="458" ht="22.5" customHeight="1">
      <c r="A458" s="18"/>
      <c r="B458" s="56" t="s">
        <v>55</v>
      </c>
      <c r="C458" s="115">
        <v>2.145E7</v>
      </c>
      <c r="D458" s="115" t="s">
        <v>7</v>
      </c>
      <c r="E458" s="18"/>
    </row>
    <row r="459" ht="22.5" customHeight="1">
      <c r="A459" s="22"/>
      <c r="B459" s="56" t="s">
        <v>57</v>
      </c>
      <c r="C459" s="115">
        <v>3.105E7</v>
      </c>
      <c r="D459" s="115" t="s">
        <v>7</v>
      </c>
      <c r="E459" s="22"/>
      <c r="F459" s="134" t="s">
        <v>446</v>
      </c>
    </row>
    <row r="460" ht="22.5" customHeight="1">
      <c r="A460" s="366" t="s">
        <v>145</v>
      </c>
      <c r="B460" s="412" t="s">
        <v>345</v>
      </c>
      <c r="C460" s="413">
        <f>-25*10000</f>
        <v>-250000</v>
      </c>
      <c r="D460" s="115" t="s">
        <v>7</v>
      </c>
      <c r="E460" s="421">
        <f>SUM(C468)</f>
        <v>23057500</v>
      </c>
    </row>
    <row r="461" ht="22.5" customHeight="1">
      <c r="A461" s="18"/>
      <c r="B461" s="415" t="s">
        <v>447</v>
      </c>
      <c r="C461" s="416">
        <v>-1500000.0</v>
      </c>
      <c r="D461" s="115" t="s">
        <v>7</v>
      </c>
      <c r="E461" s="18"/>
    </row>
    <row r="462" ht="22.5" customHeight="1">
      <c r="A462" s="18"/>
      <c r="B462" s="415" t="s">
        <v>313</v>
      </c>
      <c r="C462" s="416">
        <v>3.3875E7</v>
      </c>
      <c r="D462" s="115" t="s">
        <v>7</v>
      </c>
      <c r="E462" s="18"/>
    </row>
    <row r="463" ht="22.5" customHeight="1">
      <c r="A463" s="18"/>
      <c r="B463" s="415" t="s">
        <v>51</v>
      </c>
      <c r="C463" s="416">
        <v>2.6686E7</v>
      </c>
      <c r="D463" s="115" t="s">
        <v>7</v>
      </c>
      <c r="E463" s="18"/>
    </row>
    <row r="464" ht="22.5" customHeight="1">
      <c r="A464" s="18"/>
      <c r="B464" s="415" t="s">
        <v>53</v>
      </c>
      <c r="C464" s="416">
        <f>33696500+1639000</f>
        <v>35335500</v>
      </c>
      <c r="D464" s="115" t="s">
        <v>7</v>
      </c>
      <c r="E464" s="18"/>
    </row>
    <row r="465" ht="22.5" customHeight="1">
      <c r="A465" s="18"/>
      <c r="B465" s="412" t="s">
        <v>448</v>
      </c>
      <c r="C465" s="419">
        <f>-14*10000</f>
        <v>-140000</v>
      </c>
      <c r="D465" s="115" t="s">
        <v>7</v>
      </c>
      <c r="E465" s="18"/>
    </row>
    <row r="466" ht="22.5" customHeight="1">
      <c r="A466" s="18"/>
      <c r="B466" s="415" t="s">
        <v>55</v>
      </c>
      <c r="C466" s="416">
        <f>34535500+1535000</f>
        <v>36070500</v>
      </c>
      <c r="D466" s="115" t="s">
        <v>7</v>
      </c>
      <c r="E466" s="18"/>
    </row>
    <row r="467" ht="22.5" customHeight="1">
      <c r="A467" s="18"/>
      <c r="B467" s="415" t="s">
        <v>449</v>
      </c>
      <c r="C467" s="416">
        <v>-30000.0</v>
      </c>
      <c r="D467" s="115" t="s">
        <v>7</v>
      </c>
      <c r="E467" s="18"/>
    </row>
    <row r="468" ht="22.5" customHeight="1">
      <c r="A468" s="22"/>
      <c r="B468" s="415" t="s">
        <v>57</v>
      </c>
      <c r="C468" s="416">
        <v>2.30575E7</v>
      </c>
      <c r="D468" s="115"/>
      <c r="E468" s="18"/>
      <c r="F468" s="134" t="s">
        <v>450</v>
      </c>
    </row>
    <row r="469" ht="22.5" customHeight="1">
      <c r="A469" s="375" t="s">
        <v>146</v>
      </c>
      <c r="B469" s="420" t="s">
        <v>351</v>
      </c>
      <c r="C469" s="413">
        <v>1.060579E8</v>
      </c>
      <c r="D469" s="115">
        <v>-5.0E7</v>
      </c>
      <c r="E469" s="422">
        <f>SUM(C469:D473)</f>
        <v>212941400</v>
      </c>
    </row>
    <row r="470" ht="22.5" customHeight="1">
      <c r="A470" s="18"/>
      <c r="B470" s="415" t="s">
        <v>51</v>
      </c>
      <c r="C470" s="413">
        <v>1.041475E8</v>
      </c>
      <c r="D470" s="115">
        <v>-4.0E7</v>
      </c>
      <c r="E470" s="18"/>
    </row>
    <row r="471" ht="22.5" customHeight="1">
      <c r="A471" s="18"/>
      <c r="B471" s="415" t="s">
        <v>53</v>
      </c>
      <c r="C471" s="413">
        <f>4660000+49824500</f>
        <v>54484500</v>
      </c>
      <c r="D471" s="115">
        <v>-5.0E7</v>
      </c>
      <c r="E471" s="18"/>
    </row>
    <row r="472" ht="21.75" customHeight="1">
      <c r="A472" s="18"/>
      <c r="B472" s="415" t="s">
        <v>55</v>
      </c>
      <c r="C472" s="413">
        <f>5425000+870000+46520000</f>
        <v>52815000</v>
      </c>
      <c r="D472" s="48"/>
      <c r="E472" s="18"/>
    </row>
    <row r="473" ht="21.75" customHeight="1">
      <c r="A473" s="22"/>
      <c r="B473" s="415" t="s">
        <v>57</v>
      </c>
      <c r="C473" s="413">
        <v>3.54365E7</v>
      </c>
      <c r="D473" s="48"/>
      <c r="E473" s="22"/>
      <c r="F473" s="351" t="s">
        <v>451</v>
      </c>
    </row>
    <row r="474" ht="22.5" customHeight="1">
      <c r="A474" s="366" t="s">
        <v>148</v>
      </c>
      <c r="B474" s="415" t="s">
        <v>51</v>
      </c>
      <c r="C474" s="419"/>
      <c r="D474" s="48"/>
      <c r="E474" s="414">
        <f>SUM(C478)</f>
        <v>0</v>
      </c>
    </row>
    <row r="475" ht="22.5" customHeight="1">
      <c r="A475" s="18"/>
      <c r="B475" s="415" t="s">
        <v>53</v>
      </c>
      <c r="C475" s="416">
        <v>3299500.0</v>
      </c>
      <c r="D475" s="115" t="s">
        <v>7</v>
      </c>
      <c r="E475" s="18"/>
    </row>
    <row r="476" ht="22.5" customHeight="1">
      <c r="A476" s="18"/>
      <c r="B476" s="415" t="s">
        <v>452</v>
      </c>
      <c r="C476" s="419">
        <f>-65*3000</f>
        <v>-195000</v>
      </c>
      <c r="D476" s="115" t="s">
        <v>7</v>
      </c>
      <c r="E476" s="18"/>
    </row>
    <row r="477" ht="22.5" customHeight="1">
      <c r="A477" s="18"/>
      <c r="B477" s="415" t="s">
        <v>55</v>
      </c>
      <c r="C477" s="416">
        <v>1.509775E8</v>
      </c>
      <c r="D477" s="115" t="s">
        <v>7</v>
      </c>
      <c r="E477" s="18"/>
      <c r="F477" s="351"/>
    </row>
    <row r="478" ht="22.5" customHeight="1">
      <c r="A478" s="18"/>
      <c r="B478" s="415" t="s">
        <v>57</v>
      </c>
      <c r="C478" s="419"/>
      <c r="D478" s="48"/>
      <c r="E478" s="18"/>
    </row>
    <row r="479" ht="20.25" customHeight="1">
      <c r="A479" s="366" t="s">
        <v>149</v>
      </c>
      <c r="B479" s="412" t="s">
        <v>351</v>
      </c>
      <c r="C479" s="413">
        <v>941300.0</v>
      </c>
      <c r="D479" s="48"/>
      <c r="E479" s="422">
        <f>SUM(C479:D485)</f>
        <v>40802000</v>
      </c>
      <c r="H479" s="351"/>
    </row>
    <row r="480" ht="20.25" customHeight="1">
      <c r="A480" s="18"/>
      <c r="B480" s="415" t="s">
        <v>453</v>
      </c>
      <c r="C480" s="416">
        <v>1.8414E7</v>
      </c>
      <c r="D480" s="48"/>
      <c r="E480" s="18"/>
    </row>
    <row r="481" ht="20.25" customHeight="1">
      <c r="A481" s="18"/>
      <c r="B481" s="415" t="s">
        <v>353</v>
      </c>
      <c r="C481" s="416">
        <v>-3000000.0</v>
      </c>
      <c r="D481" s="48"/>
      <c r="E481" s="18"/>
    </row>
    <row r="482" ht="20.25" customHeight="1">
      <c r="A482" s="18"/>
      <c r="B482" s="415" t="s">
        <v>51</v>
      </c>
      <c r="C482" s="416">
        <v>6143000.0</v>
      </c>
      <c r="D482" s="115">
        <v>-1.0E7</v>
      </c>
      <c r="E482" s="18"/>
    </row>
    <row r="483" ht="20.25" customHeight="1">
      <c r="A483" s="18"/>
      <c r="B483" s="415" t="s">
        <v>53</v>
      </c>
      <c r="C483" s="416">
        <v>8294000.0</v>
      </c>
      <c r="D483" s="115">
        <v>-1.0E7</v>
      </c>
      <c r="E483" s="18"/>
    </row>
    <row r="484" ht="20.25" customHeight="1">
      <c r="A484" s="18"/>
      <c r="B484" s="415" t="s">
        <v>55</v>
      </c>
      <c r="C484" s="416">
        <v>1.5322E7</v>
      </c>
      <c r="D484" s="115">
        <v>-5000000.0</v>
      </c>
      <c r="E484" s="18"/>
    </row>
    <row r="485" ht="20.25" customHeight="1">
      <c r="A485" s="22"/>
      <c r="B485" s="415" t="s">
        <v>57</v>
      </c>
      <c r="C485" s="416">
        <f>9441400+10246300</f>
        <v>19687700</v>
      </c>
      <c r="D485" s="48"/>
      <c r="E485" s="22"/>
      <c r="F485" s="134" t="s">
        <v>454</v>
      </c>
    </row>
    <row r="486" ht="20.25" customHeight="1">
      <c r="A486" s="366" t="s">
        <v>150</v>
      </c>
      <c r="B486" s="412" t="s">
        <v>455</v>
      </c>
      <c r="C486" s="413">
        <f>-15*3000</f>
        <v>-45000</v>
      </c>
      <c r="D486" s="115" t="s">
        <v>7</v>
      </c>
      <c r="E486" s="421">
        <v>0.0</v>
      </c>
    </row>
    <row r="487" ht="21.0" customHeight="1">
      <c r="A487" s="18"/>
      <c r="B487" s="415" t="s">
        <v>51</v>
      </c>
      <c r="C487" s="416">
        <v>3.56675E7</v>
      </c>
      <c r="D487" s="115" t="s">
        <v>7</v>
      </c>
      <c r="E487" s="18"/>
    </row>
    <row r="488" ht="20.25" customHeight="1">
      <c r="A488" s="18"/>
      <c r="B488" s="415" t="s">
        <v>53</v>
      </c>
      <c r="C488" s="416">
        <v>3.6593E7</v>
      </c>
      <c r="D488" s="115" t="s">
        <v>7</v>
      </c>
      <c r="E488" s="18"/>
    </row>
    <row r="489" ht="20.25" customHeight="1">
      <c r="A489" s="18"/>
      <c r="B489" s="412" t="s">
        <v>456</v>
      </c>
      <c r="C489" s="419">
        <f>-14*3000</f>
        <v>-42000</v>
      </c>
      <c r="D489" s="115" t="s">
        <v>7</v>
      </c>
      <c r="E489" s="18"/>
    </row>
    <row r="490" ht="20.25" customHeight="1">
      <c r="A490" s="18"/>
      <c r="B490" s="412" t="s">
        <v>457</v>
      </c>
      <c r="C490" s="419">
        <f>-16*3000</f>
        <v>-48000</v>
      </c>
      <c r="D490" s="115" t="s">
        <v>7</v>
      </c>
      <c r="E490" s="18"/>
    </row>
    <row r="491" ht="20.25" customHeight="1">
      <c r="A491" s="18"/>
      <c r="B491" s="415" t="s">
        <v>55</v>
      </c>
      <c r="C491" s="416">
        <v>4.86875E7</v>
      </c>
      <c r="D491" s="115" t="s">
        <v>7</v>
      </c>
      <c r="E491" s="18"/>
    </row>
    <row r="492" ht="20.25" customHeight="1">
      <c r="A492" s="18"/>
      <c r="B492" s="412" t="s">
        <v>458</v>
      </c>
      <c r="C492" s="419">
        <f>-15*3000</f>
        <v>-45000</v>
      </c>
      <c r="D492" s="115" t="s">
        <v>7</v>
      </c>
      <c r="E492" s="18"/>
    </row>
    <row r="493" ht="20.25" customHeight="1">
      <c r="A493" s="22"/>
      <c r="B493" s="415" t="s">
        <v>57</v>
      </c>
      <c r="C493" s="416">
        <v>3.46435E7</v>
      </c>
      <c r="D493" s="115" t="s">
        <v>7</v>
      </c>
      <c r="E493" s="22"/>
      <c r="F493" s="134" t="s">
        <v>459</v>
      </c>
    </row>
    <row r="494" ht="20.25" customHeight="1">
      <c r="A494" s="366" t="s">
        <v>153</v>
      </c>
      <c r="B494" s="412" t="s">
        <v>51</v>
      </c>
      <c r="C494" s="413">
        <v>1.098183E8</v>
      </c>
      <c r="D494" s="413" t="s">
        <v>7</v>
      </c>
      <c r="E494" s="417">
        <v>0.0</v>
      </c>
    </row>
    <row r="495" ht="20.25" customHeight="1">
      <c r="A495" s="18"/>
      <c r="B495" s="415" t="s">
        <v>53</v>
      </c>
      <c r="C495" s="416">
        <v>9.4592E7</v>
      </c>
      <c r="D495" s="416" t="s">
        <v>7</v>
      </c>
      <c r="E495" s="18"/>
    </row>
    <row r="496" ht="20.25" customHeight="1">
      <c r="A496" s="18"/>
      <c r="B496" s="415" t="s">
        <v>55</v>
      </c>
      <c r="C496" s="416">
        <f>114255000+1916000</f>
        <v>116171000</v>
      </c>
      <c r="D496" s="416" t="s">
        <v>7</v>
      </c>
      <c r="E496" s="18"/>
    </row>
    <row r="497" ht="22.5" customHeight="1">
      <c r="A497" s="22"/>
      <c r="B497" s="415" t="s">
        <v>57</v>
      </c>
      <c r="C497" s="416">
        <v>1.01025E8</v>
      </c>
      <c r="D497" s="416" t="s">
        <v>7</v>
      </c>
      <c r="E497" s="18"/>
      <c r="F497" s="351" t="s">
        <v>436</v>
      </c>
    </row>
    <row r="498" ht="22.5" customHeight="1">
      <c r="A498" s="375" t="s">
        <v>154</v>
      </c>
      <c r="B498" s="56" t="s">
        <v>51</v>
      </c>
      <c r="C498" s="110">
        <v>3.34263E7</v>
      </c>
      <c r="D498" s="115" t="s">
        <v>7</v>
      </c>
      <c r="E498" s="417">
        <v>0.0</v>
      </c>
    </row>
    <row r="499" ht="22.5" customHeight="1">
      <c r="A499" s="18"/>
      <c r="B499" s="56" t="s">
        <v>53</v>
      </c>
      <c r="C499" s="110">
        <v>3.46978E7</v>
      </c>
      <c r="D499" s="115" t="s">
        <v>7</v>
      </c>
      <c r="E499" s="18"/>
    </row>
    <row r="500" ht="22.5" customHeight="1">
      <c r="A500" s="18"/>
      <c r="B500" s="56" t="s">
        <v>55</v>
      </c>
      <c r="C500" s="110">
        <v>4.1461E7</v>
      </c>
      <c r="D500" s="115" t="s">
        <v>7</v>
      </c>
      <c r="E500" s="18"/>
    </row>
    <row r="501" ht="22.5" customHeight="1">
      <c r="A501" s="22"/>
      <c r="B501" s="56" t="s">
        <v>57</v>
      </c>
      <c r="C501" s="110">
        <v>3.68589E7</v>
      </c>
      <c r="D501" s="115" t="s">
        <v>7</v>
      </c>
      <c r="E501" s="18"/>
    </row>
    <row r="502" ht="22.5" customHeight="1">
      <c r="A502" s="366" t="s">
        <v>155</v>
      </c>
      <c r="B502" s="56" t="s">
        <v>51</v>
      </c>
      <c r="C502" s="110">
        <v>2.243E7</v>
      </c>
      <c r="D502" s="115" t="s">
        <v>7</v>
      </c>
      <c r="E502" s="417">
        <f>C505</f>
        <v>30964500</v>
      </c>
    </row>
    <row r="503" ht="22.5" customHeight="1">
      <c r="A503" s="18"/>
      <c r="B503" s="56" t="s">
        <v>53</v>
      </c>
      <c r="C503" s="110">
        <v>3.5321E7</v>
      </c>
      <c r="D503" s="115" t="s">
        <v>7</v>
      </c>
      <c r="E503" s="18"/>
      <c r="F503" s="134" t="s">
        <v>460</v>
      </c>
    </row>
    <row r="504" ht="22.5" customHeight="1">
      <c r="A504" s="18"/>
      <c r="B504" s="56" t="s">
        <v>55</v>
      </c>
      <c r="C504" s="110">
        <v>3.94195E7</v>
      </c>
      <c r="D504" s="115" t="s">
        <v>7</v>
      </c>
      <c r="E504" s="18"/>
    </row>
    <row r="505" ht="22.5" customHeight="1">
      <c r="A505" s="22"/>
      <c r="B505" s="56" t="s">
        <v>57</v>
      </c>
      <c r="C505" s="110">
        <v>3.09645E7</v>
      </c>
      <c r="D505" s="115"/>
      <c r="E505" s="18"/>
    </row>
    <row r="506" ht="22.5" customHeight="1">
      <c r="A506" s="366" t="s">
        <v>156</v>
      </c>
      <c r="B506" s="412" t="s">
        <v>442</v>
      </c>
      <c r="C506" s="413">
        <v>6.3653E7</v>
      </c>
      <c r="D506" s="423"/>
      <c r="E506" s="414">
        <f>sum(C506:C513)</f>
        <v>143929000</v>
      </c>
    </row>
    <row r="507" ht="22.5" customHeight="1">
      <c r="A507" s="18"/>
      <c r="B507" s="415" t="s">
        <v>447</v>
      </c>
      <c r="C507" s="416">
        <v>-1500000.0</v>
      </c>
      <c r="D507" s="419"/>
      <c r="E507" s="18"/>
    </row>
    <row r="508" ht="22.5" customHeight="1">
      <c r="A508" s="18"/>
      <c r="B508" s="415" t="s">
        <v>51</v>
      </c>
      <c r="C508" s="416">
        <v>1.5255E7</v>
      </c>
      <c r="D508" s="419"/>
      <c r="E508" s="18"/>
    </row>
    <row r="509" ht="22.5" customHeight="1">
      <c r="A509" s="18"/>
      <c r="B509" s="415" t="s">
        <v>53</v>
      </c>
      <c r="C509" s="416">
        <v>2.1995E7</v>
      </c>
      <c r="D509" s="419"/>
      <c r="E509" s="18"/>
    </row>
    <row r="510" ht="22.5" customHeight="1">
      <c r="A510" s="18"/>
      <c r="B510" s="415" t="s">
        <v>461</v>
      </c>
      <c r="C510" s="419">
        <f>-40*3000</f>
        <v>-120000</v>
      </c>
      <c r="D510" s="419"/>
      <c r="E510" s="18"/>
    </row>
    <row r="511" ht="22.5" customHeight="1">
      <c r="A511" s="18"/>
      <c r="B511" s="415" t="s">
        <v>462</v>
      </c>
      <c r="C511" s="419">
        <f>-(18*3000+3*10000)</f>
        <v>-84000</v>
      </c>
      <c r="D511" s="419"/>
      <c r="E511" s="18"/>
    </row>
    <row r="512" ht="22.5" customHeight="1">
      <c r="A512" s="18"/>
      <c r="B512" s="415" t="s">
        <v>55</v>
      </c>
      <c r="C512" s="416">
        <v>2.19E7</v>
      </c>
      <c r="D512" s="419"/>
      <c r="E512" s="18"/>
    </row>
    <row r="513" ht="22.5" customHeight="1">
      <c r="A513" s="22"/>
      <c r="B513" s="415" t="s">
        <v>57</v>
      </c>
      <c r="C513" s="416">
        <v>2.283E7</v>
      </c>
      <c r="D513" s="419"/>
      <c r="E513" s="22"/>
      <c r="F513" s="134" t="s">
        <v>360</v>
      </c>
    </row>
    <row r="514" ht="22.5" customHeight="1">
      <c r="A514" s="366" t="s">
        <v>158</v>
      </c>
      <c r="B514" s="56" t="s">
        <v>51</v>
      </c>
      <c r="C514" s="110">
        <v>5219000.0</v>
      </c>
      <c r="D514" s="115" t="s">
        <v>7</v>
      </c>
      <c r="E514" s="424">
        <v>0.0</v>
      </c>
    </row>
    <row r="515" ht="22.5" customHeight="1">
      <c r="A515" s="18"/>
      <c r="B515" s="56" t="s">
        <v>53</v>
      </c>
      <c r="C515" s="110">
        <v>2.7706E7</v>
      </c>
      <c r="D515" s="115" t="s">
        <v>7</v>
      </c>
      <c r="E515" s="18"/>
    </row>
    <row r="516" ht="22.5" customHeight="1">
      <c r="A516" s="18"/>
      <c r="B516" s="415" t="s">
        <v>463</v>
      </c>
      <c r="C516" s="110">
        <f>-23*3000</f>
        <v>-69000</v>
      </c>
      <c r="D516" s="115" t="s">
        <v>7</v>
      </c>
      <c r="E516" s="18"/>
    </row>
    <row r="517" ht="22.5" customHeight="1">
      <c r="A517" s="18"/>
      <c r="B517" s="56" t="s">
        <v>55</v>
      </c>
      <c r="C517" s="110">
        <v>1.63205E7</v>
      </c>
      <c r="D517" s="115" t="s">
        <v>7</v>
      </c>
      <c r="E517" s="18"/>
    </row>
    <row r="518" ht="22.5" customHeight="1">
      <c r="A518" s="18"/>
      <c r="B518" s="412" t="s">
        <v>464</v>
      </c>
      <c r="C518" s="419">
        <f>-16*3000</f>
        <v>-48000</v>
      </c>
      <c r="D518" s="115" t="s">
        <v>7</v>
      </c>
      <c r="E518" s="18"/>
      <c r="F518" s="363"/>
      <c r="G518" s="364"/>
    </row>
    <row r="519" ht="22.5" customHeight="1">
      <c r="A519" s="22"/>
      <c r="B519" s="56" t="s">
        <v>57</v>
      </c>
      <c r="C519" s="110">
        <v>1.69005E7</v>
      </c>
      <c r="D519" s="115" t="s">
        <v>7</v>
      </c>
      <c r="E519" s="22"/>
      <c r="F519" s="363" t="s">
        <v>361</v>
      </c>
      <c r="G519" s="365">
        <f>E514+E506+E502+E498+E494+E486+E479+E474+E469+E460+E456+E449+E444+E440+E434+E430+E424+E419+E414+E407</f>
        <v>783947100</v>
      </c>
    </row>
    <row r="520" ht="22.5" customHeight="1">
      <c r="A520" s="366" t="s">
        <v>159</v>
      </c>
      <c r="B520" s="129" t="s">
        <v>51</v>
      </c>
      <c r="C520" s="110">
        <v>7147500.0</v>
      </c>
      <c r="D520" s="115" t="s">
        <v>7</v>
      </c>
      <c r="E520" s="425">
        <v>0.0</v>
      </c>
    </row>
    <row r="521" ht="22.5" customHeight="1">
      <c r="A521" s="18"/>
      <c r="B521" s="129" t="s">
        <v>362</v>
      </c>
      <c r="C521" s="110">
        <v>1.812E7</v>
      </c>
      <c r="D521" s="115" t="s">
        <v>7</v>
      </c>
      <c r="E521" s="18"/>
    </row>
    <row r="522" ht="22.5" customHeight="1">
      <c r="A522" s="18"/>
      <c r="B522" s="116" t="s">
        <v>55</v>
      </c>
      <c r="C522" s="110">
        <v>9362500.0</v>
      </c>
      <c r="D522" s="115" t="s">
        <v>7</v>
      </c>
      <c r="E522" s="18"/>
    </row>
    <row r="523" ht="22.5" customHeight="1">
      <c r="A523" s="18"/>
      <c r="B523" s="354" t="s">
        <v>57</v>
      </c>
      <c r="C523" s="110">
        <v>1.54395E7</v>
      </c>
      <c r="D523" s="115" t="s">
        <v>7</v>
      </c>
      <c r="E523" s="18"/>
    </row>
    <row r="524" ht="22.5" customHeight="1">
      <c r="A524" s="22"/>
      <c r="B524" s="354"/>
      <c r="C524" s="151"/>
      <c r="D524" s="115"/>
      <c r="E524" s="22"/>
      <c r="F524" s="134" t="s">
        <v>7</v>
      </c>
    </row>
    <row r="525" ht="22.5" customHeight="1">
      <c r="A525" s="366" t="s">
        <v>160</v>
      </c>
      <c r="B525" s="369" t="s">
        <v>465</v>
      </c>
      <c r="C525" s="370">
        <v>3.448905E8</v>
      </c>
      <c r="D525" s="115"/>
      <c r="E525" s="368">
        <f>SUM(C529:C533)</f>
        <v>133357000</v>
      </c>
    </row>
    <row r="526" ht="22.5" customHeight="1">
      <c r="A526" s="18"/>
      <c r="B526" s="371" t="s">
        <v>466</v>
      </c>
      <c r="C526" s="370">
        <v>1.101805E8</v>
      </c>
      <c r="D526" s="115"/>
      <c r="E526" s="18"/>
    </row>
    <row r="527" ht="22.5" customHeight="1">
      <c r="A527" s="18"/>
      <c r="B527" s="184" t="s">
        <v>467</v>
      </c>
      <c r="C527" s="110">
        <v>3.448905E8</v>
      </c>
      <c r="D527" s="115"/>
      <c r="E527" s="18"/>
      <c r="F527" s="20"/>
      <c r="G527" s="134" t="s">
        <v>50</v>
      </c>
    </row>
    <row r="528" ht="22.5" customHeight="1">
      <c r="A528" s="18"/>
      <c r="B528" s="184" t="s">
        <v>468</v>
      </c>
      <c r="C528" s="110">
        <v>1.091805E8</v>
      </c>
      <c r="D528" s="115"/>
      <c r="E528" s="18"/>
      <c r="F528" s="426"/>
      <c r="G528" s="131">
        <f>sum(C526:C529)-1500000</f>
        <v>563751500</v>
      </c>
    </row>
    <row r="529" ht="22.5" customHeight="1">
      <c r="A529" s="18"/>
      <c r="B529" s="371" t="s">
        <v>469</v>
      </c>
      <c r="C529" s="370">
        <v>1000000.0</v>
      </c>
      <c r="D529" s="115"/>
      <c r="E529" s="18"/>
      <c r="F529" s="427"/>
    </row>
    <row r="530" ht="22.5" customHeight="1">
      <c r="A530" s="18"/>
      <c r="B530" s="184" t="s">
        <v>470</v>
      </c>
      <c r="C530" s="155">
        <v>2.1693E7</v>
      </c>
      <c r="D530" s="428"/>
      <c r="E530" s="18"/>
    </row>
    <row r="531" ht="22.5" customHeight="1">
      <c r="A531" s="18"/>
      <c r="B531" s="184" t="s">
        <v>471</v>
      </c>
      <c r="C531" s="155">
        <v>4.9466E7</v>
      </c>
      <c r="D531" s="192"/>
      <c r="E531" s="18"/>
      <c r="G531" s="131">
        <f>SUM(E525-109180500)</f>
        <v>24176500</v>
      </c>
    </row>
    <row r="532" ht="22.5" customHeight="1">
      <c r="A532" s="18"/>
      <c r="B532" s="190" t="s">
        <v>472</v>
      </c>
      <c r="C532" s="155">
        <v>2.82025E7</v>
      </c>
      <c r="D532" s="192"/>
      <c r="E532" s="18"/>
    </row>
    <row r="533" ht="22.5" customHeight="1">
      <c r="A533" s="22"/>
      <c r="B533" s="192" t="s">
        <v>473</v>
      </c>
      <c r="C533" s="155">
        <v>3.29955E7</v>
      </c>
      <c r="D533" s="192"/>
      <c r="E533" s="22"/>
      <c r="F533" s="134" t="s">
        <v>7</v>
      </c>
    </row>
    <row r="534" ht="21.75" customHeight="1">
      <c r="A534" s="375" t="s">
        <v>386</v>
      </c>
      <c r="B534" s="192" t="s">
        <v>222</v>
      </c>
      <c r="C534" s="110">
        <v>4.504E7</v>
      </c>
      <c r="D534" s="115"/>
      <c r="E534" s="368">
        <f>SUM(C534:C536)</f>
        <v>103010000</v>
      </c>
    </row>
    <row r="535" ht="21.75" customHeight="1">
      <c r="A535" s="18"/>
      <c r="B535" s="192" t="s">
        <v>474</v>
      </c>
      <c r="C535" s="110">
        <v>2.353E7</v>
      </c>
      <c r="D535" s="190"/>
      <c r="E535" s="18"/>
    </row>
    <row r="536" ht="21.75" customHeight="1">
      <c r="A536" s="18"/>
      <c r="B536" s="129" t="s">
        <v>423</v>
      </c>
      <c r="C536" s="110">
        <v>3.444E7</v>
      </c>
      <c r="D536" s="115"/>
      <c r="E536" s="18"/>
    </row>
    <row r="537" ht="21.75" customHeight="1">
      <c r="A537" s="18"/>
      <c r="B537" s="192"/>
      <c r="C537" s="110"/>
      <c r="D537" s="387"/>
      <c r="E537" s="18"/>
    </row>
    <row r="538" ht="21.75" customHeight="1">
      <c r="A538" s="18"/>
      <c r="B538" s="110"/>
      <c r="C538" s="110"/>
      <c r="D538" s="192"/>
      <c r="E538" s="18"/>
    </row>
    <row r="539" ht="21.75" customHeight="1">
      <c r="A539" s="18"/>
      <c r="B539" s="110"/>
      <c r="C539" s="110"/>
      <c r="D539" s="115"/>
      <c r="E539" s="18"/>
    </row>
    <row r="540" ht="21.75" customHeight="1">
      <c r="A540" s="22"/>
      <c r="B540" s="110"/>
      <c r="C540" s="110"/>
      <c r="D540" s="157"/>
      <c r="E540" s="22"/>
    </row>
    <row r="541" ht="22.5" customHeight="1">
      <c r="A541" s="366" t="s">
        <v>167</v>
      </c>
      <c r="B541" s="129" t="s">
        <v>51</v>
      </c>
      <c r="C541" s="110">
        <v>1.26586E7</v>
      </c>
      <c r="D541" s="115" t="s">
        <v>7</v>
      </c>
      <c r="E541" s="367">
        <v>0.0</v>
      </c>
    </row>
    <row r="542" ht="22.5" customHeight="1">
      <c r="A542" s="18"/>
      <c r="B542" s="192" t="s">
        <v>475</v>
      </c>
      <c r="C542" s="110">
        <v>-880000.0</v>
      </c>
      <c r="D542" s="115" t="s">
        <v>7</v>
      </c>
      <c r="E542" s="18"/>
    </row>
    <row r="543" ht="22.5" customHeight="1">
      <c r="A543" s="18"/>
      <c r="B543" s="192" t="s">
        <v>53</v>
      </c>
      <c r="C543" s="110">
        <v>1.73986E7</v>
      </c>
      <c r="D543" s="115" t="s">
        <v>7</v>
      </c>
      <c r="E543" s="18"/>
    </row>
    <row r="544" ht="22.5" customHeight="1">
      <c r="A544" s="18"/>
      <c r="B544" s="116" t="s">
        <v>55</v>
      </c>
      <c r="C544" s="110">
        <v>2.38424E7</v>
      </c>
      <c r="D544" s="115" t="s">
        <v>7</v>
      </c>
      <c r="E544" s="18"/>
    </row>
    <row r="545" ht="22.5" customHeight="1">
      <c r="A545" s="18"/>
      <c r="B545" s="354" t="s">
        <v>57</v>
      </c>
      <c r="C545" s="110">
        <v>2.0831E7</v>
      </c>
      <c r="D545" s="115" t="s">
        <v>7</v>
      </c>
      <c r="E545" s="18"/>
    </row>
    <row r="546" ht="22.5" customHeight="1">
      <c r="A546" s="22"/>
      <c r="B546" s="354"/>
      <c r="C546" s="151"/>
      <c r="D546" s="115"/>
      <c r="E546" s="22"/>
    </row>
    <row r="547" ht="22.5" customHeight="1">
      <c r="A547" s="366" t="s">
        <v>172</v>
      </c>
      <c r="B547" s="129" t="s">
        <v>310</v>
      </c>
      <c r="C547" s="110">
        <v>8290000.0</v>
      </c>
      <c r="D547" s="48"/>
      <c r="E547" s="368">
        <f>SUM(C547:C556)</f>
        <v>104423000</v>
      </c>
    </row>
    <row r="548" ht="22.5" customHeight="1">
      <c r="A548" s="18"/>
      <c r="B548" s="192" t="s">
        <v>476</v>
      </c>
      <c r="C548" s="110">
        <v>1.6627E7</v>
      </c>
      <c r="D548" s="48"/>
      <c r="E548" s="18"/>
    </row>
    <row r="549" ht="22.5" customHeight="1">
      <c r="A549" s="18"/>
      <c r="B549" s="184" t="s">
        <v>477</v>
      </c>
      <c r="C549" s="110">
        <v>5616000.0</v>
      </c>
      <c r="D549" s="48"/>
      <c r="E549" s="18"/>
      <c r="F549" s="134"/>
    </row>
    <row r="550" ht="22.5" customHeight="1">
      <c r="A550" s="18"/>
      <c r="B550" s="184" t="s">
        <v>478</v>
      </c>
      <c r="C550" s="110">
        <v>1.36885E7</v>
      </c>
      <c r="D550" s="48"/>
      <c r="E550" s="18"/>
      <c r="F550" s="134" t="s">
        <v>260</v>
      </c>
    </row>
    <row r="551" ht="22.5" customHeight="1">
      <c r="A551" s="18"/>
      <c r="B551" s="184" t="s">
        <v>272</v>
      </c>
      <c r="C551" s="155">
        <v>1.899E7</v>
      </c>
      <c r="D551" s="48"/>
      <c r="E551" s="18"/>
    </row>
    <row r="552" ht="24.0" customHeight="1">
      <c r="A552" s="18"/>
      <c r="B552" s="129" t="s">
        <v>53</v>
      </c>
      <c r="C552" s="155">
        <v>1.82735E7</v>
      </c>
      <c r="D552" s="169"/>
      <c r="E552" s="18"/>
      <c r="F552" s="20"/>
    </row>
    <row r="553" ht="24.0" customHeight="1">
      <c r="A553" s="18"/>
      <c r="B553" s="184" t="s">
        <v>344</v>
      </c>
      <c r="C553" s="155">
        <v>1.5758E7</v>
      </c>
      <c r="D553" s="169"/>
      <c r="E553" s="18"/>
      <c r="F553" s="20"/>
    </row>
    <row r="554" ht="24.0" customHeight="1">
      <c r="A554" s="18"/>
      <c r="B554" s="184" t="s">
        <v>479</v>
      </c>
      <c r="C554" s="155">
        <v>-160000.0</v>
      </c>
      <c r="D554" s="192" t="s">
        <v>7</v>
      </c>
      <c r="E554" s="18"/>
    </row>
    <row r="555" ht="24.0" customHeight="1">
      <c r="A555" s="18"/>
      <c r="B555" s="354" t="s">
        <v>57</v>
      </c>
      <c r="C555" s="155">
        <v>8840000.0</v>
      </c>
      <c r="E555" s="18"/>
      <c r="F555" s="20"/>
    </row>
    <row r="556" ht="24.0" customHeight="1">
      <c r="A556" s="22"/>
      <c r="B556" s="354" t="s">
        <v>346</v>
      </c>
      <c r="C556" s="155">
        <v>-1500000.0</v>
      </c>
      <c r="D556" s="192" t="s">
        <v>7</v>
      </c>
      <c r="E556" s="22"/>
      <c r="F556" s="20"/>
    </row>
    <row r="557" ht="24.0" customHeight="1">
      <c r="A557" s="375" t="s">
        <v>178</v>
      </c>
      <c r="B557" s="129" t="s">
        <v>55</v>
      </c>
      <c r="C557" s="110">
        <v>4.8522E7</v>
      </c>
      <c r="D557" s="115"/>
      <c r="E557" s="368">
        <f>SUM(C557:C560)</f>
        <v>150030000</v>
      </c>
      <c r="F557" s="20"/>
    </row>
    <row r="558" ht="24.0" customHeight="1">
      <c r="A558" s="18"/>
      <c r="B558" s="129" t="s">
        <v>480</v>
      </c>
      <c r="C558" s="110">
        <v>-660000.0</v>
      </c>
      <c r="E558" s="18"/>
    </row>
    <row r="559" ht="27.75" customHeight="1">
      <c r="A559" s="18"/>
      <c r="B559" s="354" t="s">
        <v>57</v>
      </c>
      <c r="C559" s="155">
        <v>1.02198E8</v>
      </c>
      <c r="D559" s="115"/>
      <c r="E559" s="18"/>
    </row>
    <row r="560" ht="27.75" customHeight="1">
      <c r="A560" s="22"/>
      <c r="B560" s="184" t="s">
        <v>481</v>
      </c>
      <c r="C560" s="155">
        <v>-30000.0</v>
      </c>
      <c r="D560" s="115"/>
      <c r="E560" s="22"/>
    </row>
    <row r="561" ht="27.75" customHeight="1">
      <c r="A561" s="375" t="s">
        <v>182</v>
      </c>
      <c r="B561" s="371" t="s">
        <v>257</v>
      </c>
      <c r="C561" s="372">
        <f>SUM(56726700-9131500)</f>
        <v>47595200</v>
      </c>
      <c r="D561" s="192" t="s">
        <v>7</v>
      </c>
      <c r="E561" s="367">
        <v>0.0</v>
      </c>
      <c r="G561" s="261"/>
      <c r="I561" s="134">
        <v>1.62018E8</v>
      </c>
    </row>
    <row r="562" ht="27.75" customHeight="1">
      <c r="A562" s="18"/>
      <c r="B562" s="190" t="s">
        <v>51</v>
      </c>
      <c r="C562" s="155">
        <v>1.7115E7</v>
      </c>
      <c r="D562" s="192" t="s">
        <v>7</v>
      </c>
      <c r="E562" s="18"/>
      <c r="G562" s="18"/>
      <c r="H562" s="141"/>
      <c r="I562" s="429"/>
    </row>
    <row r="563" ht="27.75" customHeight="1">
      <c r="A563" s="18"/>
      <c r="B563" s="129" t="s">
        <v>53</v>
      </c>
      <c r="C563" s="155">
        <v>1.18675E7</v>
      </c>
      <c r="D563" s="192" t="s">
        <v>7</v>
      </c>
      <c r="E563" s="18"/>
      <c r="G563" s="18"/>
      <c r="H563" s="141"/>
      <c r="I563" s="429"/>
    </row>
    <row r="564" ht="27.75" customHeight="1">
      <c r="A564" s="18"/>
      <c r="B564" s="116" t="s">
        <v>55</v>
      </c>
      <c r="C564" s="155">
        <v>1.62244E7</v>
      </c>
      <c r="D564" s="192" t="s">
        <v>7</v>
      </c>
      <c r="E564" s="18"/>
      <c r="G564" s="18"/>
      <c r="H564" s="141"/>
      <c r="I564" s="429"/>
    </row>
    <row r="565" ht="27.75" customHeight="1">
      <c r="A565" s="18"/>
      <c r="B565" s="354" t="s">
        <v>346</v>
      </c>
      <c r="C565" s="155">
        <v>-1500000.0</v>
      </c>
      <c r="D565" s="192" t="s">
        <v>7</v>
      </c>
      <c r="E565" s="18"/>
      <c r="G565" s="18"/>
      <c r="H565" s="141"/>
      <c r="I565" s="429"/>
    </row>
    <row r="566" ht="27.75" customHeight="1">
      <c r="A566" s="18"/>
      <c r="B566" s="354" t="s">
        <v>57</v>
      </c>
      <c r="C566" s="155">
        <v>1.03045E7</v>
      </c>
      <c r="D566" s="192" t="s">
        <v>7</v>
      </c>
      <c r="E566" s="18"/>
      <c r="G566" s="18"/>
      <c r="H566" s="133" t="s">
        <v>151</v>
      </c>
      <c r="I566" s="233">
        <v>1.33234E8</v>
      </c>
    </row>
    <row r="567" ht="27.75" customHeight="1">
      <c r="A567" s="22"/>
      <c r="B567" s="192" t="s">
        <v>482</v>
      </c>
      <c r="C567" s="110">
        <v>-465000.0</v>
      </c>
      <c r="D567" s="192" t="s">
        <v>7</v>
      </c>
      <c r="E567" s="22"/>
      <c r="G567" s="18"/>
      <c r="H567" s="129"/>
      <c r="I567" s="115"/>
    </row>
    <row r="568" ht="27.75" customHeight="1">
      <c r="A568" s="366" t="s">
        <v>184</v>
      </c>
      <c r="B568" s="192" t="s">
        <v>51</v>
      </c>
      <c r="C568" s="110">
        <v>1.9021E7</v>
      </c>
      <c r="D568" s="373" t="s">
        <v>7</v>
      </c>
      <c r="E568" s="367">
        <f>SUM(C568:C571)-17521000</f>
        <v>20664000</v>
      </c>
      <c r="G568" s="22"/>
      <c r="H568" s="129" t="s">
        <v>264</v>
      </c>
      <c r="I568" s="115">
        <v>-3.0E7</v>
      </c>
    </row>
    <row r="569" ht="27.75" customHeight="1">
      <c r="A569" s="18"/>
      <c r="B569" s="116" t="s">
        <v>55</v>
      </c>
      <c r="C569" s="110">
        <v>2.0664E7</v>
      </c>
      <c r="D569" s="373"/>
      <c r="E569" s="18"/>
      <c r="G569" s="135" t="s">
        <v>185</v>
      </c>
      <c r="H569" s="56"/>
      <c r="I569" s="122"/>
    </row>
    <row r="570" ht="27.75" customHeight="1">
      <c r="A570" s="18"/>
      <c r="B570" s="354" t="s">
        <v>57</v>
      </c>
      <c r="D570" s="374"/>
      <c r="E570" s="18"/>
      <c r="G570" s="18"/>
      <c r="H570" s="56" t="s">
        <v>99</v>
      </c>
      <c r="I570" s="122">
        <f>SUM(I566:I568)</f>
        <v>103234000</v>
      </c>
    </row>
    <row r="571" ht="27.75" customHeight="1">
      <c r="A571" s="18"/>
      <c r="B571" s="354" t="s">
        <v>346</v>
      </c>
      <c r="C571" s="155">
        <v>-1500000.0</v>
      </c>
      <c r="D571" s="374" t="s">
        <v>7</v>
      </c>
      <c r="E571" s="18"/>
      <c r="G571" s="18"/>
      <c r="H571" s="133" t="s">
        <v>151</v>
      </c>
      <c r="I571" s="233">
        <v>3.00991E8</v>
      </c>
    </row>
    <row r="572" ht="27.75" customHeight="1">
      <c r="A572" s="18"/>
      <c r="B572" s="157"/>
      <c r="C572" s="157"/>
      <c r="D572" s="110"/>
      <c r="E572" s="18"/>
      <c r="G572" s="18"/>
      <c r="H572" s="129" t="s">
        <v>268</v>
      </c>
      <c r="I572" s="115">
        <v>-2.0E8</v>
      </c>
    </row>
    <row r="573" ht="27.75" customHeight="1">
      <c r="A573" s="22"/>
      <c r="B573" s="110"/>
      <c r="C573" s="157"/>
      <c r="D573" s="110"/>
      <c r="E573" s="22"/>
      <c r="G573" s="18"/>
      <c r="H573" s="129" t="s">
        <v>269</v>
      </c>
      <c r="I573" s="115">
        <v>-5.0999E7</v>
      </c>
    </row>
    <row r="574" ht="27.75" customHeight="1">
      <c r="A574" s="366" t="s">
        <v>188</v>
      </c>
      <c r="B574" s="129" t="s">
        <v>310</v>
      </c>
      <c r="C574" s="110">
        <v>3.513E7</v>
      </c>
      <c r="D574" s="115" t="s">
        <v>7</v>
      </c>
      <c r="E574" s="367">
        <v>0.0</v>
      </c>
      <c r="G574" s="18"/>
      <c r="H574" s="129" t="s">
        <v>365</v>
      </c>
      <c r="I574" s="130">
        <v>-4.9992E7</v>
      </c>
    </row>
    <row r="575" ht="27.75" customHeight="1">
      <c r="A575" s="18"/>
      <c r="B575" s="129" t="s">
        <v>476</v>
      </c>
      <c r="C575" s="110">
        <v>5.5539E7</v>
      </c>
      <c r="D575" s="115" t="s">
        <v>7</v>
      </c>
      <c r="E575" s="18"/>
      <c r="G575" s="22"/>
      <c r="H575" s="56"/>
      <c r="I575" s="122"/>
    </row>
    <row r="576" ht="27.75" customHeight="1">
      <c r="A576" s="18"/>
      <c r="B576" s="184" t="s">
        <v>477</v>
      </c>
      <c r="C576" s="110">
        <v>4.50265E7</v>
      </c>
      <c r="D576" s="115" t="s">
        <v>7</v>
      </c>
      <c r="E576" s="18"/>
      <c r="H576" s="56"/>
      <c r="I576" s="122"/>
    </row>
    <row r="577" ht="27.75" customHeight="1">
      <c r="A577" s="18"/>
      <c r="B577" s="184" t="s">
        <v>272</v>
      </c>
      <c r="C577" s="155">
        <v>1.209275E8</v>
      </c>
      <c r="D577" s="115" t="s">
        <v>7</v>
      </c>
      <c r="E577" s="18"/>
      <c r="H577" s="56" t="s">
        <v>99</v>
      </c>
      <c r="I577" s="130">
        <v>0.0</v>
      </c>
    </row>
    <row r="578" ht="27.75" customHeight="1">
      <c r="A578" s="18"/>
      <c r="B578" s="430" t="s">
        <v>53</v>
      </c>
      <c r="C578" s="155">
        <v>4.6596E7</v>
      </c>
      <c r="D578" s="115" t="s">
        <v>7</v>
      </c>
      <c r="E578" s="18"/>
    </row>
    <row r="579" ht="27.75" customHeight="1">
      <c r="A579" s="18"/>
      <c r="B579" s="116" t="s">
        <v>55</v>
      </c>
      <c r="C579" s="155">
        <v>5.72195E7</v>
      </c>
      <c r="D579" s="115" t="s">
        <v>7</v>
      </c>
      <c r="E579" s="18"/>
    </row>
    <row r="580" ht="27.75" customHeight="1">
      <c r="A580" s="22"/>
      <c r="B580" s="354" t="s">
        <v>57</v>
      </c>
      <c r="C580" s="115">
        <v>4.72305E7</v>
      </c>
      <c r="D580" s="115" t="s">
        <v>7</v>
      </c>
      <c r="E580" s="22"/>
    </row>
    <row r="581" ht="27.75" customHeight="1">
      <c r="A581" s="366" t="s">
        <v>190</v>
      </c>
      <c r="B581" s="129" t="s">
        <v>476</v>
      </c>
      <c r="C581" s="115">
        <f>SUM(79862500-66866500)</f>
        <v>12996000</v>
      </c>
      <c r="D581" s="431" t="s">
        <v>483</v>
      </c>
      <c r="E581" s="367">
        <f>SUM(C581:C587)</f>
        <v>238521500</v>
      </c>
    </row>
    <row r="582" ht="27.75" customHeight="1">
      <c r="A582" s="18"/>
      <c r="B582" s="184" t="s">
        <v>477</v>
      </c>
      <c r="C582" s="115">
        <v>2.8338E7</v>
      </c>
      <c r="D582" s="48"/>
      <c r="E582" s="18"/>
    </row>
    <row r="583" ht="28.5" customHeight="1">
      <c r="A583" s="18"/>
      <c r="B583" s="184" t="s">
        <v>272</v>
      </c>
      <c r="C583" s="155">
        <v>6.8983E7</v>
      </c>
      <c r="D583" s="48"/>
      <c r="E583" s="18"/>
      <c r="G583" s="261"/>
    </row>
    <row r="584" ht="28.5" customHeight="1">
      <c r="A584" s="18"/>
      <c r="B584" s="184" t="s">
        <v>53</v>
      </c>
      <c r="C584" s="155">
        <v>4.5484E7</v>
      </c>
      <c r="D584" s="48"/>
      <c r="E584" s="18"/>
      <c r="G584" s="18"/>
    </row>
    <row r="585" ht="28.5" customHeight="1">
      <c r="A585" s="18"/>
      <c r="B585" s="116" t="s">
        <v>55</v>
      </c>
      <c r="C585" s="155">
        <v>4.5699E7</v>
      </c>
      <c r="D585" s="115"/>
      <c r="E585" s="18"/>
      <c r="G585" s="18"/>
    </row>
    <row r="586" ht="28.5" customHeight="1">
      <c r="A586" s="18"/>
      <c r="B586" s="354" t="s">
        <v>346</v>
      </c>
      <c r="C586" s="155">
        <v>-1500000.0</v>
      </c>
      <c r="D586" s="115" t="s">
        <v>7</v>
      </c>
      <c r="E586" s="18"/>
      <c r="G586" s="18"/>
    </row>
    <row r="587" ht="28.5" customHeight="1">
      <c r="A587" s="22"/>
      <c r="B587" s="354" t="s">
        <v>57</v>
      </c>
      <c r="C587" s="155">
        <v>3.85215E7</v>
      </c>
      <c r="D587" s="157"/>
      <c r="E587" s="22"/>
      <c r="G587" s="18"/>
    </row>
    <row r="588" ht="28.5" customHeight="1">
      <c r="A588" s="366" t="s">
        <v>192</v>
      </c>
      <c r="B588" s="129" t="s">
        <v>51</v>
      </c>
      <c r="C588" s="110">
        <v>9.88333E7</v>
      </c>
      <c r="D588" s="115" t="s">
        <v>7</v>
      </c>
      <c r="E588" s="367">
        <f>SUM(C593)</f>
        <v>63419000</v>
      </c>
      <c r="G588" s="18"/>
      <c r="H588" s="133" t="s">
        <v>151</v>
      </c>
      <c r="I588" s="233">
        <v>8.12009E8</v>
      </c>
    </row>
    <row r="589" ht="28.5" customHeight="1">
      <c r="A589" s="18"/>
      <c r="B589" s="129" t="s">
        <v>53</v>
      </c>
      <c r="C589" s="110">
        <v>5.99768E7</v>
      </c>
      <c r="D589" s="115" t="s">
        <v>7</v>
      </c>
      <c r="E589" s="18"/>
      <c r="G589" s="18"/>
      <c r="H589" s="129"/>
      <c r="I589" s="115"/>
    </row>
    <row r="590" ht="28.5" customHeight="1">
      <c r="A590" s="18"/>
      <c r="B590" s="129" t="s">
        <v>484</v>
      </c>
      <c r="C590" s="110">
        <v>-120000.0</v>
      </c>
      <c r="D590" s="115" t="s">
        <v>7</v>
      </c>
      <c r="E590" s="18"/>
      <c r="G590" s="18"/>
      <c r="H590" s="129"/>
      <c r="I590" s="115"/>
    </row>
    <row r="591" ht="28.5" customHeight="1">
      <c r="A591" s="18"/>
      <c r="B591" s="129" t="s">
        <v>55</v>
      </c>
      <c r="C591" s="110">
        <v>4.11395E7</v>
      </c>
      <c r="D591" s="115" t="s">
        <v>7</v>
      </c>
      <c r="E591" s="18"/>
      <c r="G591" s="22"/>
      <c r="H591" s="129" t="s">
        <v>366</v>
      </c>
      <c r="I591" s="115"/>
    </row>
    <row r="592" ht="27.0" customHeight="1">
      <c r="A592" s="18"/>
      <c r="B592" s="129" t="s">
        <v>484</v>
      </c>
      <c r="C592" s="110">
        <v>-120000.0</v>
      </c>
      <c r="D592" s="115" t="s">
        <v>7</v>
      </c>
      <c r="E592" s="18"/>
      <c r="G592" s="432"/>
      <c r="H592" s="56"/>
      <c r="I592" s="48"/>
    </row>
    <row r="593" ht="27.0" customHeight="1">
      <c r="A593" s="18"/>
      <c r="B593" s="129" t="s">
        <v>57</v>
      </c>
      <c r="C593" s="110">
        <v>6.3419E7</v>
      </c>
      <c r="D593" s="115"/>
      <c r="E593" s="18"/>
      <c r="G593" s="261" t="s">
        <v>273</v>
      </c>
      <c r="H593" s="56"/>
      <c r="I593" s="48"/>
    </row>
    <row r="594" ht="27.0" customHeight="1">
      <c r="A594" s="22"/>
      <c r="B594" s="354"/>
      <c r="C594" s="155"/>
      <c r="D594" s="115"/>
      <c r="E594" s="22"/>
      <c r="G594" s="18"/>
      <c r="H594" s="56" t="s">
        <v>99</v>
      </c>
      <c r="I594" s="122">
        <f>SUM(I588:I593)</f>
        <v>812009000</v>
      </c>
      <c r="M594" s="20"/>
    </row>
    <row r="595" ht="27.0" customHeight="1">
      <c r="A595" s="366" t="s">
        <v>196</v>
      </c>
      <c r="B595" s="129" t="s">
        <v>51</v>
      </c>
      <c r="C595" s="110">
        <f>sum(27070000-10517500)</f>
        <v>16552500</v>
      </c>
      <c r="D595" s="115" t="s">
        <v>7</v>
      </c>
      <c r="E595" s="367">
        <f>SUM(C596:C598)</f>
        <v>54765000</v>
      </c>
      <c r="G595" s="18"/>
      <c r="H595" s="133" t="s">
        <v>151</v>
      </c>
      <c r="I595" s="233">
        <v>2.5E8</v>
      </c>
      <c r="M595" s="20">
        <f>69.5*30000</f>
        <v>2085000</v>
      </c>
    </row>
    <row r="596" ht="27.0" customHeight="1">
      <c r="A596" s="18"/>
      <c r="B596" s="129" t="s">
        <v>53</v>
      </c>
      <c r="C596" s="110">
        <v>1.23115E7</v>
      </c>
      <c r="D596" s="115"/>
      <c r="E596" s="18"/>
      <c r="F596" s="20"/>
      <c r="G596" s="18"/>
      <c r="H596" s="129"/>
      <c r="I596" s="115"/>
    </row>
    <row r="597" ht="27.0" customHeight="1">
      <c r="A597" s="18"/>
      <c r="B597" s="129" t="s">
        <v>55</v>
      </c>
      <c r="C597" s="110">
        <v>2.58645E7</v>
      </c>
      <c r="D597" s="115"/>
      <c r="E597" s="18"/>
      <c r="F597" s="20" t="s">
        <v>195</v>
      </c>
      <c r="G597" s="22"/>
      <c r="H597" s="129"/>
      <c r="I597" s="115"/>
    </row>
    <row r="598" ht="27.0" customHeight="1">
      <c r="A598" s="18"/>
      <c r="B598" s="129" t="s">
        <v>57</v>
      </c>
      <c r="C598" s="110">
        <v>1.6589E7</v>
      </c>
      <c r="D598" s="48"/>
      <c r="E598" s="18"/>
      <c r="G598" s="135" t="s">
        <v>197</v>
      </c>
      <c r="H598" s="56"/>
      <c r="I598" s="115"/>
    </row>
    <row r="599" ht="27.0" customHeight="1">
      <c r="A599" s="22"/>
      <c r="B599" s="354"/>
      <c r="C599" s="151"/>
      <c r="D599" s="115"/>
      <c r="E599" s="22"/>
      <c r="G599" s="18"/>
      <c r="H599" s="56" t="s">
        <v>99</v>
      </c>
      <c r="I599" s="122">
        <f>SUM(I595:I597)</f>
        <v>250000000</v>
      </c>
    </row>
    <row r="600" ht="27.0" customHeight="1">
      <c r="A600" s="366" t="s">
        <v>200</v>
      </c>
      <c r="B600" s="129" t="s">
        <v>272</v>
      </c>
      <c r="C600" s="110">
        <v>3.9486E7</v>
      </c>
      <c r="D600" s="115" t="s">
        <v>7</v>
      </c>
      <c r="E600" s="368">
        <f>SUM(C602:C603)</f>
        <v>63561000</v>
      </c>
      <c r="G600" s="18"/>
      <c r="H600" s="133" t="s">
        <v>151</v>
      </c>
      <c r="I600" s="51">
        <v>5.48422E8</v>
      </c>
    </row>
    <row r="601" ht="27.0" customHeight="1">
      <c r="A601" s="18"/>
      <c r="B601" s="110" t="s">
        <v>53</v>
      </c>
      <c r="C601" s="110">
        <v>4.29835E7</v>
      </c>
      <c r="D601" s="115" t="s">
        <v>7</v>
      </c>
      <c r="E601" s="18"/>
      <c r="F601" s="20"/>
      <c r="G601" s="18"/>
      <c r="H601" s="56"/>
      <c r="I601" s="48"/>
    </row>
    <row r="602" ht="27.0" customHeight="1">
      <c r="A602" s="18"/>
      <c r="B602" s="129" t="s">
        <v>55</v>
      </c>
      <c r="C602" s="110">
        <v>3.7746E7</v>
      </c>
      <c r="D602" s="115"/>
      <c r="E602" s="18"/>
      <c r="F602" s="203"/>
      <c r="G602" s="22"/>
      <c r="H602" s="56" t="s">
        <v>198</v>
      </c>
      <c r="I602" s="48">
        <v>-1.1202E7</v>
      </c>
    </row>
    <row r="603" ht="27.0" customHeight="1">
      <c r="A603" s="18"/>
      <c r="B603" s="354" t="s">
        <v>57</v>
      </c>
      <c r="C603" s="110">
        <v>2.5815E7</v>
      </c>
      <c r="D603" s="192"/>
      <c r="E603" s="18"/>
      <c r="G603" s="261" t="s">
        <v>276</v>
      </c>
      <c r="H603" s="56"/>
      <c r="I603" s="48"/>
      <c r="J603" s="261" t="s">
        <v>277</v>
      </c>
      <c r="K603" s="133" t="s">
        <v>151</v>
      </c>
      <c r="L603" s="233">
        <v>7.91183E8</v>
      </c>
    </row>
    <row r="604" ht="27.0" customHeight="1">
      <c r="A604" s="18"/>
      <c r="B604" s="354"/>
      <c r="C604" s="155"/>
      <c r="D604" s="192"/>
      <c r="E604" s="18"/>
      <c r="G604" s="18"/>
      <c r="H604" s="56"/>
      <c r="I604" s="122"/>
      <c r="J604" s="18"/>
      <c r="K604" s="268" t="s">
        <v>279</v>
      </c>
      <c r="L604" s="120">
        <f>-4000000-3500000-6750000</f>
        <v>-14250000</v>
      </c>
    </row>
    <row r="605" ht="27.0" customHeight="1">
      <c r="A605" s="18"/>
      <c r="B605" s="157"/>
      <c r="C605" s="157"/>
      <c r="D605" s="157"/>
      <c r="E605" s="18"/>
      <c r="G605" s="18"/>
      <c r="H605" s="129" t="s">
        <v>228</v>
      </c>
      <c r="I605" s="48">
        <f>46972000+55721000+48467500</f>
        <v>151160500</v>
      </c>
      <c r="J605" s="18"/>
      <c r="K605" s="22"/>
      <c r="L605" s="22"/>
    </row>
    <row r="606" ht="27.0" customHeight="1">
      <c r="A606" s="22"/>
      <c r="B606" s="129"/>
      <c r="C606" s="110"/>
      <c r="D606" s="115"/>
      <c r="E606" s="22"/>
      <c r="G606" s="18"/>
      <c r="H606" s="129" t="s">
        <v>278</v>
      </c>
      <c r="I606" s="115">
        <v>3.80105E7</v>
      </c>
      <c r="J606" s="18"/>
      <c r="K606" s="56"/>
      <c r="L606" s="122"/>
    </row>
    <row r="607" ht="27.0" customHeight="1">
      <c r="A607" s="375" t="s">
        <v>367</v>
      </c>
      <c r="B607" s="129" t="s">
        <v>272</v>
      </c>
      <c r="C607" s="110">
        <v>6.20175E7</v>
      </c>
      <c r="D607" s="192" t="s">
        <v>7</v>
      </c>
      <c r="E607" s="368">
        <f>SUM(C609:C610)</f>
        <v>100899500</v>
      </c>
      <c r="G607" s="22"/>
      <c r="H607" s="56"/>
      <c r="I607" s="48"/>
      <c r="J607" s="22"/>
      <c r="K607" s="56" t="s">
        <v>99</v>
      </c>
      <c r="L607" s="122">
        <f>SUM(L603:L605)</f>
        <v>776933000</v>
      </c>
    </row>
    <row r="608" ht="27.0" customHeight="1">
      <c r="A608" s="18"/>
      <c r="B608" s="129" t="s">
        <v>53</v>
      </c>
      <c r="C608" s="110">
        <v>6.868E7</v>
      </c>
      <c r="D608" s="192" t="s">
        <v>7</v>
      </c>
      <c r="E608" s="18"/>
      <c r="F608" s="134" t="s">
        <v>368</v>
      </c>
      <c r="G608" s="261" t="s">
        <v>281</v>
      </c>
      <c r="H608" s="56"/>
      <c r="I608" s="122"/>
    </row>
    <row r="609" ht="27.0" customHeight="1">
      <c r="A609" s="18"/>
      <c r="B609" s="129" t="s">
        <v>55</v>
      </c>
      <c r="C609" s="110">
        <v>5.18445E7</v>
      </c>
      <c r="D609" s="192"/>
      <c r="E609" s="18"/>
      <c r="F609" s="134" t="s">
        <v>369</v>
      </c>
      <c r="G609" s="18"/>
      <c r="H609" s="56" t="s">
        <v>99</v>
      </c>
      <c r="I609" s="122">
        <f>SUM(I605:I607)</f>
        <v>189171000</v>
      </c>
    </row>
    <row r="610" ht="27.0" customHeight="1">
      <c r="A610" s="22"/>
      <c r="B610" s="354" t="s">
        <v>57</v>
      </c>
      <c r="C610" s="110">
        <v>4.9055E7</v>
      </c>
      <c r="D610" s="157"/>
      <c r="E610" s="22"/>
      <c r="F610" s="134" t="s">
        <v>371</v>
      </c>
      <c r="G610" s="18"/>
      <c r="H610" s="133" t="s">
        <v>151</v>
      </c>
      <c r="I610" s="233">
        <v>1.296402E9</v>
      </c>
    </row>
    <row r="611" ht="27.0" customHeight="1">
      <c r="A611" s="366" t="s">
        <v>202</v>
      </c>
      <c r="B611" s="369" t="s">
        <v>257</v>
      </c>
      <c r="C611" s="370">
        <v>4.97645E7</v>
      </c>
      <c r="D611" s="192" t="s">
        <v>7</v>
      </c>
      <c r="E611" s="367">
        <f>SUM(C613:C618)</f>
        <v>89374000</v>
      </c>
      <c r="G611" s="22"/>
      <c r="H611" s="56"/>
      <c r="I611" s="122"/>
    </row>
    <row r="612" ht="27.0" customHeight="1">
      <c r="A612" s="18"/>
      <c r="B612" s="129" t="s">
        <v>272</v>
      </c>
      <c r="C612" s="110">
        <v>2.38025E7</v>
      </c>
      <c r="D612" s="192" t="s">
        <v>7</v>
      </c>
      <c r="E612" s="18"/>
      <c r="F612" s="377"/>
      <c r="G612" s="379"/>
      <c r="H612" s="56" t="s">
        <v>99</v>
      </c>
      <c r="I612" s="122">
        <f>SUM(I610)</f>
        <v>1296402000</v>
      </c>
    </row>
    <row r="613" ht="27.75" customHeight="1">
      <c r="A613" s="18"/>
      <c r="B613" s="192" t="s">
        <v>53</v>
      </c>
      <c r="C613" s="110">
        <v>2.47895E7</v>
      </c>
      <c r="D613" s="433" t="s">
        <v>329</v>
      </c>
      <c r="E613" s="18"/>
      <c r="F613" s="377"/>
      <c r="G613" s="89"/>
      <c r="H613" s="133" t="s">
        <v>151</v>
      </c>
      <c r="I613" s="233">
        <v>1.434371E9</v>
      </c>
    </row>
    <row r="614" ht="28.5" customHeight="1">
      <c r="A614" s="18"/>
      <c r="B614" s="129" t="s">
        <v>485</v>
      </c>
      <c r="C614" s="110">
        <v>-33000.0</v>
      </c>
      <c r="D614" s="192" t="s">
        <v>7</v>
      </c>
      <c r="E614" s="18"/>
      <c r="F614" s="377"/>
      <c r="G614" s="382"/>
      <c r="H614" s="56" t="s">
        <v>99</v>
      </c>
      <c r="I614" s="122">
        <f>SUM(I613)</f>
        <v>1434371000</v>
      </c>
    </row>
    <row r="615" ht="27.0" customHeight="1">
      <c r="A615" s="18"/>
      <c r="B615" s="129" t="s">
        <v>55</v>
      </c>
      <c r="C615" s="110">
        <v>2.0825E7</v>
      </c>
      <c r="D615" s="157"/>
      <c r="E615" s="18"/>
      <c r="G615" s="143"/>
      <c r="H615" s="30"/>
      <c r="I615" s="48"/>
    </row>
    <row r="616" ht="27.0" customHeight="1">
      <c r="A616" s="18"/>
      <c r="B616" s="354" t="s">
        <v>57</v>
      </c>
      <c r="C616" s="110">
        <v>4.57375E7</v>
      </c>
      <c r="D616" s="115"/>
      <c r="E616" s="18"/>
      <c r="G616" s="143"/>
      <c r="H616" s="30"/>
      <c r="I616" s="48"/>
    </row>
    <row r="617" ht="27.0" customHeight="1">
      <c r="A617" s="18"/>
      <c r="B617" s="129" t="s">
        <v>486</v>
      </c>
      <c r="C617" s="110">
        <v>-195000.0</v>
      </c>
      <c r="E617" s="18"/>
      <c r="G617" s="143"/>
      <c r="H617" s="30"/>
      <c r="I617" s="48"/>
    </row>
    <row r="618" ht="27.0" customHeight="1">
      <c r="A618" s="22"/>
      <c r="B618" s="134" t="s">
        <v>487</v>
      </c>
      <c r="C618" s="110">
        <v>-1750000.0</v>
      </c>
      <c r="D618" s="115" t="s">
        <v>7</v>
      </c>
      <c r="E618" s="22"/>
      <c r="G618" s="143"/>
      <c r="H618" s="30"/>
      <c r="I618" s="48"/>
    </row>
    <row r="619" ht="27.0" customHeight="1">
      <c r="A619" s="366" t="s">
        <v>205</v>
      </c>
      <c r="B619" s="129" t="s">
        <v>51</v>
      </c>
      <c r="C619" s="110">
        <v>2.5979E7</v>
      </c>
      <c r="D619" s="115" t="s">
        <v>7</v>
      </c>
      <c r="E619" s="368">
        <f>sum(C624:C626)</f>
        <v>26080500</v>
      </c>
      <c r="G619" s="143"/>
      <c r="H619" s="30"/>
      <c r="I619" s="48"/>
    </row>
    <row r="620" ht="27.0" customHeight="1">
      <c r="A620" s="18"/>
      <c r="B620" s="129" t="s">
        <v>488</v>
      </c>
      <c r="C620" s="110">
        <v>100000.0</v>
      </c>
      <c r="D620" s="115" t="s">
        <v>7</v>
      </c>
      <c r="E620" s="18"/>
      <c r="G620" s="143"/>
      <c r="H620" s="30"/>
      <c r="I620" s="48"/>
    </row>
    <row r="621" ht="27.0" customHeight="1">
      <c r="A621" s="18"/>
      <c r="B621" s="129" t="s">
        <v>53</v>
      </c>
      <c r="C621" s="110">
        <v>2.8915E7</v>
      </c>
      <c r="D621" s="115" t="s">
        <v>7</v>
      </c>
      <c r="E621" s="18"/>
      <c r="G621" s="143"/>
      <c r="H621" s="30"/>
      <c r="I621" s="48"/>
    </row>
    <row r="622" ht="27.0" customHeight="1">
      <c r="A622" s="18"/>
      <c r="B622" s="129" t="s">
        <v>55</v>
      </c>
      <c r="C622" s="110">
        <v>2.4439E7</v>
      </c>
      <c r="D622" s="115" t="s">
        <v>7</v>
      </c>
      <c r="E622" s="18"/>
      <c r="G622" s="135" t="s">
        <v>204</v>
      </c>
      <c r="H622" s="30"/>
      <c r="I622" s="48"/>
    </row>
    <row r="623" ht="25.5" customHeight="1">
      <c r="A623" s="18"/>
      <c r="B623" s="129" t="s">
        <v>57</v>
      </c>
      <c r="C623" s="110">
        <v>2.62065E7</v>
      </c>
      <c r="D623" s="192" t="s">
        <v>7</v>
      </c>
      <c r="E623" s="18"/>
      <c r="F623" s="272"/>
      <c r="G623" s="18"/>
      <c r="H623" s="30"/>
      <c r="I623" s="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</row>
    <row r="624" ht="25.5" customHeight="1">
      <c r="A624" s="18"/>
      <c r="B624" s="192" t="s">
        <v>489</v>
      </c>
      <c r="C624" s="110">
        <v>2.69755E7</v>
      </c>
      <c r="D624" s="157"/>
      <c r="E624" s="18"/>
      <c r="F624" s="272"/>
      <c r="G624" s="18"/>
      <c r="H624" s="30"/>
      <c r="I624" s="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</row>
    <row r="625" ht="25.5" customHeight="1">
      <c r="A625" s="18"/>
      <c r="B625" s="192" t="s">
        <v>490</v>
      </c>
      <c r="C625" s="110">
        <v>-295000.0</v>
      </c>
      <c r="D625" s="157"/>
      <c r="E625" s="18"/>
      <c r="F625" s="272" t="s">
        <v>289</v>
      </c>
      <c r="G625" s="18"/>
      <c r="H625" s="30" t="s">
        <v>135</v>
      </c>
      <c r="I625" s="48">
        <v>4.15701E7</v>
      </c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</row>
    <row r="626" ht="25.5" customHeight="1">
      <c r="A626" s="22"/>
      <c r="B626" s="184" t="s">
        <v>491</v>
      </c>
      <c r="C626" s="155">
        <v>-600000.0</v>
      </c>
      <c r="D626" s="157"/>
      <c r="E626" s="22"/>
      <c r="F626" s="148"/>
      <c r="G626" s="22"/>
      <c r="H626" s="30" t="s">
        <v>137</v>
      </c>
      <c r="I626" s="48">
        <v>7.24998E7</v>
      </c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</row>
    <row r="627" ht="25.5" customHeight="1">
      <c r="A627" s="375" t="s">
        <v>290</v>
      </c>
      <c r="B627" s="129" t="s">
        <v>477</v>
      </c>
      <c r="C627" s="115">
        <v>129000.0</v>
      </c>
      <c r="D627" s="115" t="s">
        <v>7</v>
      </c>
      <c r="E627" s="367">
        <f>SUM(C634:C637)</f>
        <v>73691000</v>
      </c>
      <c r="F627" s="148"/>
      <c r="H627" s="30" t="s">
        <v>206</v>
      </c>
      <c r="I627" s="48">
        <f>-720000-100000-223000</f>
        <v>-1043000</v>
      </c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</row>
    <row r="628" ht="24.0" customHeight="1">
      <c r="A628" s="18"/>
      <c r="B628" s="129" t="s">
        <v>478</v>
      </c>
      <c r="C628" s="115">
        <v>2492000.0</v>
      </c>
      <c r="D628" s="115" t="s">
        <v>7</v>
      </c>
      <c r="E628" s="18"/>
      <c r="H628" s="56" t="s">
        <v>99</v>
      </c>
      <c r="I628" s="122">
        <f>SUM(I625:I627)</f>
        <v>113026900</v>
      </c>
    </row>
    <row r="629" ht="26.25" customHeight="1">
      <c r="A629" s="18"/>
      <c r="B629" s="354" t="s">
        <v>346</v>
      </c>
      <c r="C629" s="155">
        <v>-1500000.0</v>
      </c>
      <c r="D629" s="115" t="s">
        <v>7</v>
      </c>
      <c r="E629" s="18"/>
    </row>
    <row r="630" ht="26.25" customHeight="1">
      <c r="A630" s="18"/>
      <c r="B630" s="129" t="s">
        <v>51</v>
      </c>
      <c r="C630" s="110">
        <v>3986500.0</v>
      </c>
      <c r="D630" s="115" t="s">
        <v>7</v>
      </c>
      <c r="E630" s="18"/>
      <c r="F630" s="190"/>
      <c r="H630" s="134"/>
    </row>
    <row r="631" ht="26.25" customHeight="1">
      <c r="A631" s="18"/>
      <c r="B631" s="192" t="s">
        <v>362</v>
      </c>
      <c r="C631" s="110">
        <v>6.78165E7</v>
      </c>
      <c r="D631" s="115" t="s">
        <v>7</v>
      </c>
      <c r="E631" s="18"/>
      <c r="F631" s="190"/>
      <c r="H631" s="134"/>
    </row>
    <row r="632" ht="26.25" customHeight="1">
      <c r="A632" s="18"/>
      <c r="B632" s="192" t="s">
        <v>492</v>
      </c>
      <c r="C632" s="110">
        <v>-72000.0</v>
      </c>
      <c r="D632" s="115" t="s">
        <v>7</v>
      </c>
      <c r="E632" s="18"/>
      <c r="F632" s="190"/>
      <c r="H632" s="134"/>
    </row>
    <row r="633" ht="26.25" customHeight="1">
      <c r="A633" s="18"/>
      <c r="B633" s="192" t="s">
        <v>493</v>
      </c>
      <c r="C633" s="110">
        <v>-180000.0</v>
      </c>
      <c r="D633" s="115" t="s">
        <v>7</v>
      </c>
      <c r="E633" s="18"/>
      <c r="F633" s="190"/>
      <c r="H633" s="134"/>
    </row>
    <row r="634" ht="26.25" customHeight="1">
      <c r="A634" s="18"/>
      <c r="B634" s="129" t="s">
        <v>344</v>
      </c>
      <c r="C634" s="115">
        <v>1.28775E7</v>
      </c>
      <c r="D634" s="134" t="s">
        <v>329</v>
      </c>
      <c r="E634" s="18"/>
      <c r="F634" s="190"/>
      <c r="H634" s="134"/>
    </row>
    <row r="635" ht="26.25" customHeight="1">
      <c r="A635" s="18"/>
      <c r="B635" s="354" t="s">
        <v>57</v>
      </c>
      <c r="C635" s="110">
        <v>6.17535E7</v>
      </c>
      <c r="D635" s="157"/>
      <c r="E635" s="18"/>
      <c r="F635" s="190"/>
      <c r="H635" s="134"/>
    </row>
    <row r="636" ht="26.25" customHeight="1">
      <c r="A636" s="18"/>
      <c r="B636" s="129" t="s">
        <v>494</v>
      </c>
      <c r="C636" s="110">
        <v>-780000.0</v>
      </c>
      <c r="D636" s="157"/>
      <c r="E636" s="18"/>
      <c r="F636" s="190"/>
      <c r="H636" s="134"/>
    </row>
    <row r="637" ht="26.25" customHeight="1">
      <c r="A637" s="22"/>
      <c r="B637" s="129" t="s">
        <v>495</v>
      </c>
      <c r="C637" s="110">
        <v>-160000.0</v>
      </c>
      <c r="D637" s="157"/>
      <c r="E637" s="22"/>
      <c r="F637" s="190"/>
      <c r="H637" s="134"/>
    </row>
    <row r="638" ht="26.25" customHeight="1">
      <c r="A638" s="434" t="s">
        <v>292</v>
      </c>
      <c r="B638" s="129" t="s">
        <v>51</v>
      </c>
      <c r="C638" s="110">
        <v>6.12405E7</v>
      </c>
      <c r="D638" s="115" t="s">
        <v>7</v>
      </c>
      <c r="E638" s="367">
        <v>0.0</v>
      </c>
      <c r="F638" s="190"/>
      <c r="H638" s="134">
        <v>221045.0</v>
      </c>
    </row>
    <row r="639" ht="24.0" customHeight="1">
      <c r="A639" s="18"/>
      <c r="B639" s="129" t="s">
        <v>53</v>
      </c>
      <c r="C639" s="110">
        <v>6.0976E7</v>
      </c>
      <c r="D639" s="115" t="s">
        <v>7</v>
      </c>
      <c r="E639" s="18"/>
    </row>
    <row r="640" ht="24.0" customHeight="1">
      <c r="A640" s="18"/>
      <c r="B640" s="129" t="s">
        <v>496</v>
      </c>
      <c r="C640" s="110">
        <v>-235000.0</v>
      </c>
      <c r="D640" s="115" t="s">
        <v>7</v>
      </c>
      <c r="E640" s="18"/>
      <c r="G640" s="386"/>
    </row>
    <row r="641" ht="24.0" customHeight="1">
      <c r="A641" s="18"/>
      <c r="B641" s="129" t="s">
        <v>55</v>
      </c>
      <c r="C641" s="110">
        <v>6.58705E7</v>
      </c>
      <c r="D641" s="115" t="s">
        <v>7</v>
      </c>
      <c r="E641" s="18"/>
      <c r="G641" s="386"/>
    </row>
    <row r="642" ht="24.0" customHeight="1">
      <c r="A642" s="18"/>
      <c r="B642" s="129" t="s">
        <v>57</v>
      </c>
      <c r="C642" s="110">
        <v>7.2389E7</v>
      </c>
      <c r="D642" s="115" t="s">
        <v>7</v>
      </c>
      <c r="E642" s="18"/>
    </row>
    <row r="643" ht="24.0" customHeight="1">
      <c r="A643" s="22"/>
      <c r="B643" s="190"/>
      <c r="C643" s="110"/>
      <c r="D643" s="115"/>
      <c r="E643" s="22"/>
    </row>
    <row r="644" ht="24.0" customHeight="1">
      <c r="A644" s="434" t="s">
        <v>293</v>
      </c>
      <c r="B644" s="129" t="s">
        <v>51</v>
      </c>
      <c r="C644" s="110">
        <v>3.9225E7</v>
      </c>
      <c r="D644" s="115" t="s">
        <v>7</v>
      </c>
      <c r="E644" s="367">
        <f>SUM(C647:C648)</f>
        <v>55795000</v>
      </c>
    </row>
    <row r="645" ht="24.0" customHeight="1">
      <c r="A645" s="18"/>
      <c r="B645" s="129" t="s">
        <v>53</v>
      </c>
      <c r="C645" s="110">
        <v>2.336E7</v>
      </c>
      <c r="D645" s="115" t="s">
        <v>7</v>
      </c>
      <c r="E645" s="18"/>
    </row>
    <row r="646" ht="24.0" customHeight="1">
      <c r="A646" s="18"/>
      <c r="B646" s="129" t="s">
        <v>497</v>
      </c>
      <c r="C646" s="110">
        <v>-2200000.0</v>
      </c>
      <c r="D646" s="115" t="s">
        <v>7</v>
      </c>
      <c r="E646" s="18"/>
    </row>
    <row r="647" ht="24.0" customHeight="1">
      <c r="A647" s="18"/>
      <c r="B647" s="129" t="s">
        <v>55</v>
      </c>
      <c r="C647" s="110">
        <v>2.6465E7</v>
      </c>
      <c r="D647" s="115"/>
      <c r="E647" s="18"/>
    </row>
    <row r="648" ht="23.25" customHeight="1">
      <c r="A648" s="18"/>
      <c r="B648" s="129" t="s">
        <v>57</v>
      </c>
      <c r="C648" s="110">
        <v>2.933E7</v>
      </c>
      <c r="D648" s="115"/>
      <c r="E648" s="18"/>
    </row>
    <row r="649" ht="23.25" customHeight="1">
      <c r="A649" s="22"/>
      <c r="B649" s="129" t="s">
        <v>498</v>
      </c>
      <c r="C649" s="110"/>
      <c r="D649" s="115"/>
      <c r="E649" s="22"/>
    </row>
    <row r="650" ht="23.25" customHeight="1">
      <c r="A650" s="434" t="s">
        <v>296</v>
      </c>
      <c r="B650" s="129" t="s">
        <v>51</v>
      </c>
      <c r="C650" s="110">
        <v>3.2827E7</v>
      </c>
      <c r="D650" s="115" t="s">
        <v>7</v>
      </c>
      <c r="E650" s="367">
        <f>SUM(C653:C657)</f>
        <v>113574000</v>
      </c>
    </row>
    <row r="651" ht="23.25" customHeight="1">
      <c r="A651" s="18"/>
      <c r="B651" s="129" t="s">
        <v>499</v>
      </c>
      <c r="C651" s="110">
        <v>-828000.0</v>
      </c>
      <c r="D651" s="190" t="s">
        <v>7</v>
      </c>
      <c r="E651" s="18"/>
    </row>
    <row r="652" ht="23.25" customHeight="1">
      <c r="A652" s="18"/>
      <c r="B652" s="129" t="s">
        <v>53</v>
      </c>
      <c r="C652" s="110">
        <v>5.4592E7</v>
      </c>
      <c r="D652" s="115" t="s">
        <v>7</v>
      </c>
      <c r="E652" s="18"/>
    </row>
    <row r="653" ht="23.25" customHeight="1">
      <c r="A653" s="18"/>
      <c r="B653" s="129" t="s">
        <v>55</v>
      </c>
      <c r="C653" s="110">
        <v>3.6488E7</v>
      </c>
      <c r="D653" s="115" t="s">
        <v>7</v>
      </c>
      <c r="E653" s="18"/>
      <c r="G653" s="8"/>
    </row>
    <row r="654" ht="23.25" customHeight="1">
      <c r="A654" s="18"/>
      <c r="B654" s="129" t="s">
        <v>500</v>
      </c>
      <c r="C654" s="110">
        <v>-135000.0</v>
      </c>
      <c r="D654" s="192" t="s">
        <v>7</v>
      </c>
      <c r="E654" s="18"/>
      <c r="G654" s="8"/>
    </row>
    <row r="655" ht="23.25" customHeight="1">
      <c r="A655" s="18"/>
      <c r="B655" s="129" t="s">
        <v>501</v>
      </c>
      <c r="C655" s="115">
        <v>-480000.0</v>
      </c>
      <c r="D655" s="192" t="s">
        <v>7</v>
      </c>
      <c r="E655" s="18"/>
      <c r="G655" s="8"/>
    </row>
    <row r="656" ht="23.25" customHeight="1">
      <c r="A656" s="18"/>
      <c r="B656" s="129" t="s">
        <v>502</v>
      </c>
      <c r="C656" s="110">
        <v>-90000.0</v>
      </c>
      <c r="D656" s="192" t="s">
        <v>7</v>
      </c>
      <c r="E656" s="18"/>
      <c r="G656" s="8"/>
    </row>
    <row r="657" ht="23.25" customHeight="1">
      <c r="A657" s="18"/>
      <c r="B657" s="129" t="s">
        <v>57</v>
      </c>
      <c r="C657" s="110">
        <v>7.7791E7</v>
      </c>
      <c r="D657" s="115"/>
      <c r="E657" s="18"/>
      <c r="G657" s="8"/>
    </row>
    <row r="658" ht="23.25" customHeight="1">
      <c r="A658" s="22"/>
      <c r="B658" s="129"/>
      <c r="C658" s="110"/>
      <c r="D658" s="115"/>
      <c r="E658" s="22"/>
      <c r="G658" s="8"/>
      <c r="H658" s="53"/>
      <c r="I658" s="273"/>
    </row>
    <row r="659" ht="23.25" customHeight="1">
      <c r="A659" s="435" t="s">
        <v>207</v>
      </c>
      <c r="B659" s="129" t="s">
        <v>272</v>
      </c>
      <c r="C659" s="110">
        <v>0.0</v>
      </c>
      <c r="D659" s="115"/>
      <c r="E659" s="367">
        <f>SUM(C662)</f>
        <v>22565000</v>
      </c>
      <c r="G659" s="8"/>
      <c r="H659" s="53"/>
      <c r="I659" s="273"/>
    </row>
    <row r="660" ht="23.25" customHeight="1">
      <c r="A660" s="18"/>
      <c r="B660" s="129" t="s">
        <v>53</v>
      </c>
      <c r="C660" s="110">
        <v>3.15235E7</v>
      </c>
      <c r="D660" s="115" t="s">
        <v>7</v>
      </c>
      <c r="E660" s="18"/>
      <c r="F660" s="134" t="s">
        <v>297</v>
      </c>
      <c r="G660" s="8"/>
      <c r="H660" s="53"/>
      <c r="I660" s="273"/>
    </row>
    <row r="661" ht="23.25" customHeight="1">
      <c r="A661" s="18"/>
      <c r="B661" s="129" t="s">
        <v>55</v>
      </c>
      <c r="C661" s="110">
        <v>1.5615E7</v>
      </c>
      <c r="D661" s="115" t="s">
        <v>7</v>
      </c>
      <c r="E661" s="18"/>
      <c r="G661" s="8"/>
      <c r="H661" s="53"/>
      <c r="I661" s="273"/>
    </row>
    <row r="662" ht="23.25" customHeight="1">
      <c r="A662" s="22"/>
      <c r="B662" s="129" t="s">
        <v>57</v>
      </c>
      <c r="C662" s="110">
        <v>2.2565E7</v>
      </c>
      <c r="D662" s="115"/>
      <c r="E662" s="22"/>
      <c r="G662" s="8"/>
      <c r="H662" s="53"/>
      <c r="I662" s="273"/>
    </row>
    <row r="663" ht="23.25" customHeight="1">
      <c r="A663" s="435" t="s">
        <v>211</v>
      </c>
      <c r="B663" s="369" t="s">
        <v>257</v>
      </c>
      <c r="C663" s="115">
        <f>SUM(156229500-60000000-30000000-30000000)</f>
        <v>36229500</v>
      </c>
      <c r="D663" s="192"/>
      <c r="E663" s="367">
        <f>SUM(C663:C671)</f>
        <v>130954300</v>
      </c>
      <c r="G663" s="261" t="s">
        <v>503</v>
      </c>
      <c r="H663" s="30" t="s">
        <v>151</v>
      </c>
      <c r="I663" s="115">
        <v>4.41409E8</v>
      </c>
    </row>
    <row r="664" ht="23.25" customHeight="1">
      <c r="A664" s="18"/>
      <c r="B664" s="129" t="s">
        <v>346</v>
      </c>
      <c r="C664" s="110">
        <v>-1500000.0</v>
      </c>
      <c r="D664" s="192" t="s">
        <v>7</v>
      </c>
      <c r="E664" s="18"/>
      <c r="G664" s="18"/>
      <c r="H664" s="173" t="s">
        <v>504</v>
      </c>
      <c r="I664" s="115">
        <v>-4700000.0</v>
      </c>
    </row>
    <row r="665" ht="23.25" customHeight="1">
      <c r="A665" s="18"/>
      <c r="B665" s="129" t="s">
        <v>51</v>
      </c>
      <c r="C665" s="110">
        <v>1.9244E7</v>
      </c>
      <c r="D665" s="192"/>
      <c r="E665" s="18"/>
      <c r="G665" s="18"/>
      <c r="H665" s="173" t="s">
        <v>505</v>
      </c>
      <c r="I665" s="115">
        <v>-8.6709E7</v>
      </c>
    </row>
    <row r="666" ht="23.25" customHeight="1">
      <c r="A666" s="18"/>
      <c r="B666" s="129" t="s">
        <v>53</v>
      </c>
      <c r="C666" s="110">
        <v>2.10488E7</v>
      </c>
      <c r="D666" s="115"/>
      <c r="E666" s="18"/>
      <c r="F666" s="127" t="str">
        <f>SUM( 50000000-#REF!-C665)</f>
        <v>#REF!</v>
      </c>
      <c r="G666" s="22"/>
      <c r="H666" s="56" t="s">
        <v>99</v>
      </c>
      <c r="I666" s="122">
        <f>SUM(I663:I665)</f>
        <v>350000000</v>
      </c>
    </row>
    <row r="667" ht="23.25" customHeight="1">
      <c r="A667" s="18"/>
      <c r="B667" s="129" t="s">
        <v>55</v>
      </c>
      <c r="C667" s="110">
        <v>3.8977E7</v>
      </c>
      <c r="D667" s="192"/>
      <c r="E667" s="18"/>
    </row>
    <row r="668" ht="23.25" customHeight="1">
      <c r="A668" s="18"/>
      <c r="B668" s="192" t="s">
        <v>506</v>
      </c>
      <c r="C668" s="110">
        <v>-75000.0</v>
      </c>
      <c r="D668" s="192" t="s">
        <v>7</v>
      </c>
      <c r="E668" s="18"/>
    </row>
    <row r="669" ht="23.25" customHeight="1">
      <c r="A669" s="18"/>
      <c r="B669" s="192" t="s">
        <v>507</v>
      </c>
      <c r="C669" s="110">
        <v>-1375000.0</v>
      </c>
      <c r="D669" s="192" t="s">
        <v>7</v>
      </c>
      <c r="E669" s="18"/>
    </row>
    <row r="670" ht="23.25" customHeight="1">
      <c r="A670" s="18"/>
      <c r="B670" s="354" t="s">
        <v>57</v>
      </c>
      <c r="C670" s="110">
        <v>1.8455E7</v>
      </c>
      <c r="D670" s="115"/>
      <c r="E670" s="18"/>
      <c r="G670" s="436"/>
      <c r="H670" s="53"/>
      <c r="I670" s="273"/>
    </row>
    <row r="671" ht="23.25" customHeight="1">
      <c r="A671" s="22"/>
      <c r="B671" s="129" t="s">
        <v>508</v>
      </c>
      <c r="C671" s="110">
        <v>-50000.0</v>
      </c>
      <c r="D671" s="115"/>
      <c r="E671" s="22"/>
      <c r="G671" s="436"/>
      <c r="H671" s="53"/>
      <c r="I671" s="273"/>
    </row>
    <row r="672" ht="23.25" customHeight="1">
      <c r="A672" s="434" t="s">
        <v>302</v>
      </c>
      <c r="B672" s="129" t="s">
        <v>478</v>
      </c>
      <c r="C672" s="110">
        <v>1.91514E7</v>
      </c>
      <c r="D672" s="115" t="s">
        <v>7</v>
      </c>
      <c r="E672" s="367">
        <f>SUM(C675:C676)</f>
        <v>32975000</v>
      </c>
      <c r="G672" s="261" t="s">
        <v>303</v>
      </c>
      <c r="H672" s="30" t="s">
        <v>151</v>
      </c>
      <c r="I672" s="115">
        <v>4.41409E8</v>
      </c>
    </row>
    <row r="673" ht="23.25" customHeight="1">
      <c r="A673" s="18"/>
      <c r="B673" s="129" t="s">
        <v>51</v>
      </c>
      <c r="C673" s="110">
        <v>2.174E7</v>
      </c>
      <c r="D673" s="115" t="s">
        <v>7</v>
      </c>
      <c r="E673" s="18"/>
      <c r="G673" s="18"/>
      <c r="H673" s="173" t="s">
        <v>504</v>
      </c>
      <c r="I673" s="115">
        <v>-4700000.0</v>
      </c>
    </row>
    <row r="674" ht="23.25" customHeight="1">
      <c r="A674" s="18"/>
      <c r="B674" s="129" t="s">
        <v>53</v>
      </c>
      <c r="C674" s="110">
        <v>1.616E7</v>
      </c>
      <c r="D674" s="115" t="s">
        <v>7</v>
      </c>
      <c r="E674" s="18"/>
      <c r="G674" s="18"/>
      <c r="H674" s="173" t="s">
        <v>505</v>
      </c>
      <c r="I674" s="115">
        <v>-8.6709E7</v>
      </c>
    </row>
    <row r="675" ht="24.0" customHeight="1">
      <c r="A675" s="18"/>
      <c r="B675" s="110" t="s">
        <v>344</v>
      </c>
      <c r="C675" s="110">
        <v>1.706E7</v>
      </c>
      <c r="D675" s="48"/>
      <c r="E675" s="18"/>
      <c r="G675" s="22"/>
      <c r="H675" s="56" t="s">
        <v>99</v>
      </c>
      <c r="I675" s="122">
        <f>SUM(I672:I674)</f>
        <v>350000000</v>
      </c>
    </row>
    <row r="676" ht="24.0" customHeight="1">
      <c r="A676" s="22"/>
      <c r="B676" s="354" t="s">
        <v>57</v>
      </c>
      <c r="C676" s="110">
        <v>1.5915E7</v>
      </c>
      <c r="D676" s="48"/>
      <c r="E676" s="22"/>
    </row>
    <row r="677" ht="24.0" customHeight="1">
      <c r="A677" s="435" t="s">
        <v>215</v>
      </c>
      <c r="B677" s="129" t="s">
        <v>310</v>
      </c>
      <c r="C677" s="110">
        <v>2.1319E7</v>
      </c>
      <c r="D677" s="192" t="s">
        <v>7</v>
      </c>
      <c r="E677" s="368">
        <f>sum(C678:C684)</f>
        <v>38115800</v>
      </c>
      <c r="F677" s="110"/>
    </row>
    <row r="678" ht="24.0" customHeight="1">
      <c r="A678" s="18"/>
      <c r="B678" s="129" t="s">
        <v>477</v>
      </c>
      <c r="C678" s="110">
        <v>6518400.0</v>
      </c>
      <c r="D678" s="157"/>
      <c r="E678" s="18"/>
    </row>
    <row r="679" ht="24.0" customHeight="1">
      <c r="A679" s="18"/>
      <c r="B679" s="129" t="s">
        <v>478</v>
      </c>
      <c r="C679" s="110">
        <v>982200.0</v>
      </c>
      <c r="D679" s="48"/>
      <c r="E679" s="18"/>
      <c r="F679" s="273"/>
    </row>
    <row r="680" ht="24.75" customHeight="1">
      <c r="A680" s="18"/>
      <c r="B680" s="129" t="s">
        <v>346</v>
      </c>
      <c r="C680" s="110">
        <v>-1500000.0</v>
      </c>
      <c r="D680" s="115" t="s">
        <v>7</v>
      </c>
      <c r="E680" s="18"/>
      <c r="F680" s="134" t="s">
        <v>509</v>
      </c>
    </row>
    <row r="681" ht="24.75" customHeight="1">
      <c r="A681" s="18"/>
      <c r="B681" s="192" t="s">
        <v>272</v>
      </c>
      <c r="C681" s="110">
        <v>9764200.0</v>
      </c>
      <c r="D681" s="48"/>
      <c r="E681" s="18"/>
    </row>
    <row r="682" ht="24.75" customHeight="1">
      <c r="A682" s="18"/>
      <c r="B682" s="192" t="s">
        <v>362</v>
      </c>
      <c r="C682" s="110">
        <v>1.29058E7</v>
      </c>
      <c r="D682" s="157"/>
      <c r="E682" s="18"/>
    </row>
    <row r="683" ht="24.75" customHeight="1">
      <c r="A683" s="18"/>
      <c r="B683" s="110" t="s">
        <v>344</v>
      </c>
      <c r="C683" s="110">
        <v>4089000.0</v>
      </c>
      <c r="D683" s="157"/>
      <c r="E683" s="18"/>
    </row>
    <row r="684" ht="24.75" customHeight="1">
      <c r="A684" s="22"/>
      <c r="B684" s="354" t="s">
        <v>57</v>
      </c>
      <c r="C684" s="110">
        <v>5356200.0</v>
      </c>
      <c r="D684" s="157"/>
      <c r="E684" s="22"/>
    </row>
    <row r="685" ht="24.75" customHeight="1">
      <c r="A685" s="435" t="s">
        <v>216</v>
      </c>
      <c r="B685" s="129" t="s">
        <v>57</v>
      </c>
      <c r="C685" s="110">
        <v>4.7265E7</v>
      </c>
      <c r="D685" s="192" t="s">
        <v>7</v>
      </c>
      <c r="E685" s="367">
        <v>0.0</v>
      </c>
    </row>
    <row r="686" ht="24.0" customHeight="1">
      <c r="A686" s="18"/>
      <c r="B686" s="129" t="s">
        <v>385</v>
      </c>
      <c r="C686" s="110">
        <v>-100000.0</v>
      </c>
      <c r="D686" s="192" t="s">
        <v>7</v>
      </c>
      <c r="E686" s="18"/>
      <c r="H686" s="127">
        <f>273076-1599629</f>
        <v>-1326553</v>
      </c>
    </row>
    <row r="687" ht="24.0" customHeight="1">
      <c r="A687" s="18"/>
      <c r="B687" s="129" t="s">
        <v>51</v>
      </c>
      <c r="C687" s="110">
        <v>5.8566E7</v>
      </c>
      <c r="D687" s="115" t="s">
        <v>7</v>
      </c>
      <c r="E687" s="18"/>
    </row>
    <row r="688" ht="21.75" customHeight="1">
      <c r="A688" s="18"/>
      <c r="B688" s="129" t="s">
        <v>53</v>
      </c>
      <c r="C688" s="110">
        <v>5.10135E7</v>
      </c>
      <c r="D688" s="190" t="s">
        <v>7</v>
      </c>
      <c r="E688" s="18"/>
    </row>
    <row r="689" ht="21.75" customHeight="1">
      <c r="A689" s="18"/>
      <c r="B689" s="129" t="s">
        <v>55</v>
      </c>
      <c r="C689" s="110">
        <v>5.5261E7</v>
      </c>
      <c r="D689" s="192" t="s">
        <v>7</v>
      </c>
      <c r="E689" s="18"/>
      <c r="F689" s="134" t="s">
        <v>308</v>
      </c>
    </row>
    <row r="690" ht="21.75" customHeight="1">
      <c r="A690" s="22"/>
      <c r="B690" s="129" t="s">
        <v>57</v>
      </c>
      <c r="C690" s="110">
        <v>4.34275E7</v>
      </c>
      <c r="D690" s="192" t="s">
        <v>7</v>
      </c>
      <c r="E690" s="22"/>
      <c r="F690" s="388"/>
    </row>
    <row r="691" ht="19.5" customHeight="1">
      <c r="A691" s="434" t="s">
        <v>510</v>
      </c>
      <c r="B691" s="192" t="s">
        <v>272</v>
      </c>
      <c r="C691" s="110">
        <v>2.043715E8</v>
      </c>
      <c r="D691" s="115" t="s">
        <v>7</v>
      </c>
      <c r="E691" s="368">
        <f>SUM(C692:C696)</f>
        <v>68220500</v>
      </c>
    </row>
    <row r="692" ht="19.5" customHeight="1">
      <c r="A692" s="18"/>
      <c r="B692" s="129" t="s">
        <v>53</v>
      </c>
      <c r="C692" s="110">
        <v>1.9312E7</v>
      </c>
      <c r="D692" s="192"/>
      <c r="E692" s="18"/>
    </row>
    <row r="693" ht="19.5" customHeight="1">
      <c r="A693" s="18"/>
      <c r="B693" s="129" t="s">
        <v>511</v>
      </c>
      <c r="C693" s="110">
        <v>-50000.0</v>
      </c>
      <c r="D693" s="190"/>
      <c r="E693" s="18"/>
    </row>
    <row r="694" ht="19.5" customHeight="1">
      <c r="A694" s="18"/>
      <c r="B694" s="129" t="s">
        <v>55</v>
      </c>
      <c r="C694" s="110">
        <v>3.24825E7</v>
      </c>
      <c r="D694" s="115"/>
      <c r="E694" s="18"/>
    </row>
    <row r="695" ht="19.5" customHeight="1">
      <c r="A695" s="18"/>
      <c r="B695" s="129" t="s">
        <v>512</v>
      </c>
      <c r="C695" s="110">
        <v>-9030000.0</v>
      </c>
      <c r="E695" s="18"/>
    </row>
    <row r="696" ht="19.5" customHeight="1">
      <c r="A696" s="18"/>
      <c r="B696" s="129" t="s">
        <v>57</v>
      </c>
      <c r="C696" s="110">
        <v>2.5506E7</v>
      </c>
      <c r="D696" s="437"/>
      <c r="E696" s="18"/>
    </row>
    <row r="697" ht="19.5" customHeight="1">
      <c r="A697" s="22"/>
      <c r="B697" s="129"/>
      <c r="C697" s="110"/>
      <c r="D697" s="192"/>
      <c r="E697" s="22"/>
    </row>
    <row r="698" ht="19.5" customHeight="1">
      <c r="A698" s="434" t="s">
        <v>513</v>
      </c>
      <c r="B698" s="129" t="s">
        <v>53</v>
      </c>
      <c r="C698" s="110">
        <v>9.1878E7</v>
      </c>
      <c r="D698" s="157"/>
      <c r="E698" s="368">
        <f>SUM(C698:C704)</f>
        <v>240058800</v>
      </c>
    </row>
    <row r="699" ht="19.5" customHeight="1">
      <c r="A699" s="18"/>
      <c r="B699" s="190" t="s">
        <v>514</v>
      </c>
      <c r="C699" s="110">
        <v>500000.0</v>
      </c>
      <c r="D699" s="157"/>
      <c r="E699" s="18"/>
    </row>
    <row r="700" ht="19.5" customHeight="1">
      <c r="A700" s="18"/>
      <c r="B700" s="129" t="s">
        <v>515</v>
      </c>
      <c r="C700" s="110">
        <v>600000.0</v>
      </c>
      <c r="D700" s="115"/>
      <c r="E700" s="18"/>
    </row>
    <row r="701" ht="19.5" customHeight="1">
      <c r="A701" s="18"/>
      <c r="B701" s="129" t="s">
        <v>55</v>
      </c>
      <c r="C701" s="110">
        <v>3.5416E7</v>
      </c>
      <c r="D701" s="157"/>
      <c r="E701" s="18"/>
    </row>
    <row r="702" ht="19.5" customHeight="1">
      <c r="A702" s="18"/>
      <c r="B702" s="129" t="s">
        <v>57</v>
      </c>
      <c r="C702" s="110">
        <v>1.157898E8</v>
      </c>
      <c r="D702" s="437"/>
      <c r="E702" s="18"/>
    </row>
    <row r="703" ht="19.5" customHeight="1">
      <c r="A703" s="18"/>
      <c r="B703" s="438" t="s">
        <v>516</v>
      </c>
      <c r="C703" s="110">
        <v>-625000.0</v>
      </c>
      <c r="D703" s="192"/>
      <c r="E703" s="18"/>
    </row>
    <row r="704" ht="19.5" customHeight="1">
      <c r="A704" s="22"/>
      <c r="B704" s="129" t="s">
        <v>517</v>
      </c>
      <c r="C704" s="110">
        <v>-3500000.0</v>
      </c>
      <c r="D704" s="115"/>
      <c r="E704" s="22"/>
    </row>
    <row r="705" ht="19.5" customHeight="1">
      <c r="A705" s="434" t="s">
        <v>518</v>
      </c>
      <c r="B705" s="129" t="s">
        <v>53</v>
      </c>
      <c r="C705" s="110">
        <f>SUM(87610000-5100000)</f>
        <v>82510000</v>
      </c>
      <c r="D705" s="439" t="s">
        <v>519</v>
      </c>
      <c r="E705" s="367">
        <f>SUM(C705:C707)</f>
        <v>219707500</v>
      </c>
    </row>
    <row r="706" ht="19.5" customHeight="1">
      <c r="A706" s="18"/>
      <c r="B706" s="129" t="s">
        <v>57</v>
      </c>
      <c r="C706" s="110">
        <v>1.371975E8</v>
      </c>
      <c r="D706" s="115"/>
      <c r="E706" s="18"/>
    </row>
    <row r="707" ht="19.5" customHeight="1">
      <c r="A707" s="18"/>
      <c r="C707" s="157"/>
      <c r="D707" s="387"/>
      <c r="E707" s="18"/>
    </row>
    <row r="708" ht="19.5" customHeight="1">
      <c r="A708" s="22"/>
      <c r="B708" s="129"/>
      <c r="C708" s="110"/>
      <c r="D708" s="192"/>
      <c r="E708" s="22"/>
    </row>
    <row r="709" ht="19.5" customHeight="1">
      <c r="A709" s="389"/>
      <c r="B709" s="389"/>
      <c r="C709" s="389"/>
      <c r="D709" s="389"/>
    </row>
    <row r="710" ht="19.5" customHeight="1">
      <c r="A710" s="390" t="s">
        <v>389</v>
      </c>
      <c r="B710" s="4"/>
      <c r="C710" s="5"/>
      <c r="D710" s="389"/>
      <c r="E710" s="391" t="s">
        <v>390</v>
      </c>
      <c r="F710" s="4"/>
      <c r="G710" s="5"/>
    </row>
    <row r="711" ht="19.5" customHeight="1">
      <c r="A711" s="392"/>
      <c r="B711" s="393"/>
      <c r="C711" s="394"/>
      <c r="D711" s="389"/>
      <c r="E711" s="392"/>
      <c r="F711" s="393"/>
      <c r="G711" s="394"/>
    </row>
    <row r="712" ht="15.75" customHeight="1">
      <c r="A712" s="392" t="s">
        <v>192</v>
      </c>
      <c r="B712" s="393" t="s">
        <v>394</v>
      </c>
      <c r="C712" s="394" t="s">
        <v>395</v>
      </c>
      <c r="D712" s="389" t="s">
        <v>396</v>
      </c>
      <c r="E712" s="392"/>
      <c r="F712" s="393"/>
      <c r="G712" s="394"/>
      <c r="H712" s="389"/>
    </row>
    <row r="713" ht="15.75" customHeight="1">
      <c r="A713" s="392" t="s">
        <v>397</v>
      </c>
      <c r="B713" s="393" t="s">
        <v>398</v>
      </c>
      <c r="C713" s="394" t="s">
        <v>399</v>
      </c>
      <c r="D713" s="389" t="s">
        <v>396</v>
      </c>
      <c r="E713" s="392"/>
      <c r="F713" s="393"/>
      <c r="G713" s="394"/>
    </row>
    <row r="714" ht="15.75" customHeight="1">
      <c r="A714" s="392" t="s">
        <v>75</v>
      </c>
      <c r="B714" s="393" t="s">
        <v>394</v>
      </c>
      <c r="C714" s="394" t="s">
        <v>400</v>
      </c>
      <c r="D714" s="389" t="s">
        <v>401</v>
      </c>
      <c r="E714" s="392"/>
      <c r="F714" s="393"/>
      <c r="G714" s="395"/>
    </row>
    <row r="715" ht="15.75" customHeight="1">
      <c r="A715" s="394" t="s">
        <v>402</v>
      </c>
      <c r="B715" s="394" t="s">
        <v>398</v>
      </c>
      <c r="C715" s="394" t="s">
        <v>403</v>
      </c>
      <c r="D715" s="2"/>
      <c r="E715" s="395"/>
      <c r="F715" s="395"/>
      <c r="G715" s="395"/>
    </row>
    <row r="716" ht="15.75" customHeight="1">
      <c r="A716" s="394"/>
      <c r="B716" s="394"/>
      <c r="C716" s="394"/>
      <c r="D716" s="389"/>
      <c r="E716" s="396"/>
      <c r="F716" s="157"/>
      <c r="G716" s="157"/>
    </row>
    <row r="717" ht="15.75" customHeight="1">
      <c r="A717" s="394"/>
      <c r="B717" s="394"/>
      <c r="C717" s="394"/>
      <c r="D717" s="2"/>
      <c r="E717" s="396"/>
      <c r="F717" s="157"/>
      <c r="G717" s="157"/>
    </row>
    <row r="718" ht="15.75" customHeight="1">
      <c r="A718" s="157"/>
      <c r="B718" s="157"/>
      <c r="C718" s="157"/>
      <c r="D718" s="2"/>
      <c r="E718" s="396"/>
      <c r="F718" s="157"/>
      <c r="G718" s="157"/>
    </row>
    <row r="719" ht="15.75" customHeight="1">
      <c r="A719" s="394"/>
      <c r="B719" s="394"/>
      <c r="C719" s="394"/>
      <c r="D719" s="389"/>
      <c r="E719" s="396"/>
      <c r="F719" s="157"/>
      <c r="G719" s="157"/>
    </row>
    <row r="720" ht="15.75" customHeight="1">
      <c r="A720" s="396"/>
      <c r="B720" s="157"/>
      <c r="C720" s="157"/>
      <c r="D720" s="2"/>
      <c r="E720" s="396"/>
      <c r="F720" s="157"/>
      <c r="G720" s="157"/>
    </row>
    <row r="721" ht="15.75" customHeight="1">
      <c r="A721" s="396"/>
      <c r="B721" s="157"/>
      <c r="C721" s="157"/>
      <c r="D721" s="2"/>
      <c r="E721" s="396"/>
      <c r="F721" s="157"/>
      <c r="G721" s="157"/>
    </row>
    <row r="722" ht="15.75" customHeight="1">
      <c r="A722" s="396"/>
      <c r="B722" s="157"/>
      <c r="C722" s="157"/>
      <c r="D722" s="2"/>
      <c r="E722" s="396"/>
      <c r="F722" s="157"/>
      <c r="G722" s="157"/>
    </row>
    <row r="723" ht="15.75" customHeight="1">
      <c r="A723" s="396"/>
      <c r="B723" s="157"/>
      <c r="C723" s="157"/>
      <c r="D723" s="2"/>
      <c r="E723" s="396"/>
      <c r="F723" s="157"/>
      <c r="G723" s="157"/>
    </row>
    <row r="724" ht="15.75" customHeight="1">
      <c r="A724" s="2"/>
      <c r="B724" s="2"/>
      <c r="C724" s="2"/>
      <c r="D724" s="2"/>
      <c r="E724" s="1"/>
    </row>
    <row r="725" ht="15.75" customHeight="1">
      <c r="D725" s="2"/>
      <c r="E725" s="1"/>
    </row>
    <row r="726" ht="21.75" customHeight="1">
      <c r="A726" s="391" t="s">
        <v>404</v>
      </c>
      <c r="B726" s="4"/>
      <c r="C726" s="5"/>
      <c r="D726" s="2"/>
      <c r="E726" s="1"/>
    </row>
    <row r="727" ht="22.5" customHeight="1">
      <c r="A727" s="392"/>
      <c r="B727" s="393"/>
      <c r="C727" s="394"/>
      <c r="D727" s="2"/>
      <c r="E727" s="1"/>
    </row>
    <row r="728" ht="15.75" customHeight="1">
      <c r="A728" s="392"/>
      <c r="B728" s="393"/>
      <c r="C728" s="394"/>
      <c r="D728" s="2"/>
      <c r="E728" s="1"/>
    </row>
    <row r="729" ht="15.75" customHeight="1">
      <c r="A729" s="392"/>
      <c r="B729" s="393"/>
      <c r="C729" s="394"/>
      <c r="D729" s="2"/>
      <c r="E729" s="1"/>
    </row>
    <row r="730" ht="15.75" customHeight="1">
      <c r="A730" s="392"/>
      <c r="B730" s="393"/>
      <c r="C730" s="394"/>
      <c r="D730" s="2"/>
      <c r="E730" s="1"/>
    </row>
    <row r="731" ht="15.75" customHeight="1">
      <c r="A731" s="392"/>
      <c r="B731" s="393"/>
      <c r="C731" s="394"/>
      <c r="D731" s="2"/>
      <c r="E731" s="1"/>
    </row>
    <row r="732" ht="15.75" customHeight="1">
      <c r="A732" s="392"/>
      <c r="B732" s="393"/>
      <c r="C732" s="394"/>
      <c r="D732" s="2"/>
      <c r="E732" s="1"/>
    </row>
    <row r="733" ht="15.75" customHeight="1">
      <c r="A733" s="392"/>
      <c r="B733" s="393"/>
      <c r="C733" s="394"/>
      <c r="D733" s="2"/>
      <c r="E733" s="1"/>
    </row>
    <row r="734" ht="15.75" customHeight="1">
      <c r="A734" s="392"/>
      <c r="B734" s="393"/>
      <c r="C734" s="394"/>
      <c r="D734" s="2"/>
      <c r="E734" s="1"/>
    </row>
    <row r="735" ht="15.75" customHeight="1">
      <c r="D735" s="2"/>
      <c r="E735" s="1"/>
    </row>
    <row r="736" ht="15.75" customHeight="1">
      <c r="D736" s="2"/>
      <c r="E736" s="1"/>
    </row>
    <row r="737" ht="15.75" customHeight="1">
      <c r="D737" s="2"/>
      <c r="E737" s="1"/>
    </row>
    <row r="738" ht="15.75" customHeight="1">
      <c r="D738" s="2"/>
      <c r="E738" s="1"/>
    </row>
    <row r="739" ht="15.75" customHeight="1">
      <c r="D739" s="2"/>
      <c r="E739" s="1"/>
    </row>
    <row r="740" ht="15.75" customHeight="1">
      <c r="D740" s="2"/>
      <c r="E740" s="1"/>
    </row>
    <row r="741" ht="15.75" customHeight="1">
      <c r="D741" s="2"/>
      <c r="E741" s="1"/>
    </row>
    <row r="742" ht="15.75" customHeight="1">
      <c r="D742" s="2"/>
      <c r="E742" s="1"/>
    </row>
    <row r="743" ht="15.75" customHeight="1">
      <c r="D743" s="2"/>
      <c r="E743" s="1"/>
    </row>
    <row r="744" ht="15.75" customHeight="1">
      <c r="D744" s="2"/>
      <c r="E744" s="1"/>
    </row>
    <row r="745" ht="15.75" customHeight="1">
      <c r="D745" s="2"/>
      <c r="E745" s="1"/>
    </row>
    <row r="746" ht="15.75" customHeight="1">
      <c r="D746" s="2"/>
      <c r="E746" s="1"/>
    </row>
    <row r="747" ht="15.75" customHeight="1">
      <c r="D747" s="2"/>
      <c r="E747" s="1"/>
    </row>
    <row r="748" ht="15.75" customHeight="1">
      <c r="D748" s="2"/>
      <c r="E748" s="1"/>
    </row>
    <row r="749" ht="15.75" customHeight="1">
      <c r="D749" s="2"/>
      <c r="E749" s="1"/>
    </row>
    <row r="750" ht="15.75" customHeight="1">
      <c r="D750" s="2"/>
      <c r="E750" s="1"/>
    </row>
    <row r="751" ht="15.75" customHeight="1">
      <c r="D751" s="2"/>
      <c r="E751" s="1"/>
    </row>
    <row r="752" ht="15.75" customHeight="1">
      <c r="D752" s="2"/>
      <c r="E752" s="1"/>
    </row>
    <row r="753" ht="15.75" customHeight="1">
      <c r="D753" s="2"/>
      <c r="E753" s="1"/>
    </row>
    <row r="754" ht="15.75" customHeight="1">
      <c r="D754" s="2"/>
      <c r="E754" s="1"/>
    </row>
    <row r="755" ht="15.75" customHeight="1">
      <c r="D755" s="2"/>
      <c r="E755" s="1"/>
    </row>
    <row r="756" ht="15.75" customHeight="1">
      <c r="D756" s="2"/>
      <c r="E756" s="1"/>
    </row>
    <row r="757" ht="15.75" customHeight="1">
      <c r="D757" s="2"/>
      <c r="E757" s="1"/>
    </row>
    <row r="758" ht="15.75" customHeight="1">
      <c r="D758" s="2"/>
      <c r="E758" s="1"/>
    </row>
    <row r="759" ht="15.75" customHeight="1">
      <c r="D759" s="2"/>
      <c r="E759" s="1"/>
    </row>
    <row r="760" ht="15.75" customHeight="1">
      <c r="D760" s="2"/>
      <c r="E760" s="1"/>
    </row>
    <row r="761" ht="15.75" customHeight="1">
      <c r="D761" s="2"/>
      <c r="E761" s="1"/>
    </row>
    <row r="762" ht="15.75" customHeight="1">
      <c r="D762" s="2"/>
      <c r="E762" s="1"/>
    </row>
    <row r="763" ht="15.75" customHeight="1">
      <c r="D763" s="2"/>
      <c r="E763" s="1"/>
    </row>
    <row r="764" ht="15.75" customHeight="1">
      <c r="D764" s="2"/>
      <c r="E764" s="1"/>
    </row>
    <row r="765" ht="15.75" customHeight="1">
      <c r="D765" s="2"/>
      <c r="E765" s="1"/>
    </row>
    <row r="766" ht="15.75" customHeight="1">
      <c r="D766" s="2"/>
      <c r="E766" s="1"/>
    </row>
    <row r="767" ht="15.75" customHeight="1">
      <c r="D767" s="2"/>
      <c r="E767" s="1"/>
    </row>
    <row r="768" ht="15.75" customHeight="1">
      <c r="D768" s="2"/>
      <c r="E768" s="1"/>
    </row>
    <row r="769" ht="15.75" customHeight="1">
      <c r="D769" s="2"/>
      <c r="E769" s="1"/>
    </row>
    <row r="770" ht="15.75" customHeight="1">
      <c r="D770" s="2"/>
      <c r="E770" s="1"/>
    </row>
    <row r="771" ht="15.75" customHeight="1">
      <c r="D771" s="2"/>
      <c r="E771" s="1"/>
    </row>
    <row r="772" ht="15.75" customHeight="1">
      <c r="D772" s="2"/>
      <c r="E772" s="1"/>
    </row>
    <row r="773" ht="15.75" customHeight="1">
      <c r="D773" s="2"/>
      <c r="E773" s="1"/>
    </row>
    <row r="774" ht="15.75" customHeight="1">
      <c r="D774" s="2"/>
      <c r="E774" s="1"/>
    </row>
    <row r="775" ht="15.75" customHeight="1">
      <c r="D775" s="2"/>
      <c r="E775" s="1"/>
    </row>
    <row r="776" ht="15.75" customHeight="1">
      <c r="D776" s="2"/>
      <c r="E776" s="1"/>
    </row>
    <row r="777" ht="15.75" customHeight="1">
      <c r="D777" s="2"/>
      <c r="E777" s="1"/>
    </row>
    <row r="778" ht="15.75" customHeight="1">
      <c r="D778" s="2"/>
      <c r="E778" s="1"/>
    </row>
    <row r="779" ht="15.75" customHeight="1">
      <c r="D779" s="2"/>
      <c r="E779" s="1"/>
    </row>
    <row r="780" ht="15.75" customHeight="1">
      <c r="D780" s="2"/>
      <c r="E780" s="1"/>
    </row>
    <row r="781" ht="15.75" customHeight="1">
      <c r="D781" s="2"/>
      <c r="E781" s="1"/>
    </row>
    <row r="782" ht="15.75" customHeight="1">
      <c r="D782" s="2"/>
      <c r="E782" s="1"/>
    </row>
    <row r="783" ht="15.75" customHeight="1">
      <c r="D783" s="2"/>
      <c r="E783" s="1"/>
    </row>
    <row r="784" ht="15.75" customHeight="1">
      <c r="D784" s="2"/>
      <c r="E784" s="1"/>
    </row>
    <row r="785" ht="15.75" customHeight="1">
      <c r="D785" s="2"/>
      <c r="E785" s="1"/>
    </row>
    <row r="786" ht="15.75" customHeight="1">
      <c r="D786" s="2"/>
      <c r="E786" s="1"/>
    </row>
    <row r="787" ht="15.75" customHeight="1">
      <c r="D787" s="2"/>
      <c r="E787" s="1"/>
    </row>
    <row r="788" ht="15.75" customHeight="1">
      <c r="D788" s="2"/>
      <c r="E788" s="1"/>
    </row>
    <row r="789" ht="15.75" customHeight="1">
      <c r="D789" s="2"/>
      <c r="E789" s="1"/>
    </row>
    <row r="790" ht="15.75" customHeight="1">
      <c r="D790" s="2"/>
      <c r="E790" s="1"/>
    </row>
    <row r="791" ht="15.75" customHeight="1">
      <c r="D791" s="2"/>
      <c r="E791" s="1"/>
    </row>
    <row r="792" ht="15.75" customHeight="1">
      <c r="D792" s="2"/>
      <c r="E792" s="1"/>
    </row>
    <row r="793" ht="15.75" customHeight="1">
      <c r="D793" s="2"/>
      <c r="E793" s="1"/>
    </row>
    <row r="794" ht="15.75" customHeight="1">
      <c r="D794" s="2"/>
      <c r="E794" s="1"/>
    </row>
    <row r="795" ht="15.75" customHeight="1">
      <c r="D795" s="2"/>
      <c r="E795" s="1"/>
    </row>
    <row r="796" ht="15.75" customHeight="1">
      <c r="D796" s="2"/>
      <c r="E796" s="1"/>
    </row>
    <row r="797" ht="15.75" customHeight="1">
      <c r="D797" s="2"/>
      <c r="E797" s="1"/>
    </row>
    <row r="798" ht="15.75" customHeight="1">
      <c r="D798" s="2"/>
      <c r="E798" s="1"/>
    </row>
    <row r="799" ht="15.75" customHeight="1">
      <c r="D799" s="2"/>
      <c r="E799" s="1"/>
    </row>
    <row r="800" ht="15.75" customHeight="1">
      <c r="D800" s="2"/>
      <c r="E800" s="1"/>
    </row>
    <row r="801" ht="15.75" customHeight="1">
      <c r="D801" s="2"/>
      <c r="E801" s="1"/>
    </row>
    <row r="802" ht="15.75" customHeight="1">
      <c r="D802" s="2"/>
      <c r="E802" s="1"/>
    </row>
    <row r="803" ht="15.75" customHeight="1">
      <c r="D803" s="2"/>
      <c r="E803" s="1"/>
    </row>
    <row r="804" ht="15.75" customHeight="1">
      <c r="D804" s="2"/>
      <c r="E804" s="1"/>
    </row>
    <row r="805" ht="15.75" customHeight="1">
      <c r="D805" s="2"/>
      <c r="E805" s="1"/>
    </row>
    <row r="806" ht="15.75" customHeight="1">
      <c r="D806" s="2"/>
      <c r="E806" s="1"/>
    </row>
    <row r="807" ht="15.75" customHeight="1">
      <c r="D807" s="2"/>
      <c r="E807" s="1"/>
    </row>
    <row r="808" ht="15.75" customHeight="1">
      <c r="D808" s="2"/>
      <c r="E808" s="1"/>
    </row>
    <row r="809" ht="15.75" customHeight="1">
      <c r="D809" s="2"/>
      <c r="E809" s="1"/>
    </row>
    <row r="810" ht="15.75" customHeight="1">
      <c r="D810" s="2"/>
      <c r="E810" s="1"/>
    </row>
    <row r="811" ht="15.75" customHeight="1">
      <c r="D811" s="2"/>
      <c r="E811" s="1"/>
    </row>
    <row r="812" ht="15.75" customHeight="1">
      <c r="D812" s="2"/>
      <c r="E812" s="1"/>
    </row>
    <row r="813" ht="15.75" customHeight="1">
      <c r="D813" s="2"/>
      <c r="E813" s="1"/>
    </row>
    <row r="814" ht="15.75" customHeight="1">
      <c r="D814" s="2"/>
      <c r="E814" s="1"/>
    </row>
    <row r="815" ht="15.75" customHeight="1">
      <c r="D815" s="2"/>
      <c r="E815" s="1"/>
    </row>
    <row r="816" ht="15.75" customHeight="1">
      <c r="D816" s="2"/>
      <c r="E816" s="1"/>
    </row>
    <row r="817" ht="15.75" customHeight="1">
      <c r="D817" s="2"/>
      <c r="E817" s="1"/>
    </row>
    <row r="818" ht="15.75" customHeight="1">
      <c r="D818" s="2"/>
      <c r="E818" s="1"/>
    </row>
    <row r="819" ht="15.75" customHeight="1">
      <c r="D819" s="2"/>
      <c r="E819" s="1"/>
    </row>
    <row r="820" ht="15.75" customHeight="1">
      <c r="D820" s="2"/>
      <c r="E820" s="1"/>
    </row>
    <row r="821" ht="15.75" customHeight="1">
      <c r="D821" s="2"/>
      <c r="E821" s="1"/>
    </row>
    <row r="822" ht="15.75" customHeight="1">
      <c r="D822" s="2"/>
      <c r="E822" s="1"/>
    </row>
    <row r="823" ht="15.75" customHeight="1">
      <c r="D823" s="2"/>
      <c r="E823" s="1"/>
    </row>
    <row r="824" ht="15.75" customHeight="1">
      <c r="D824" s="2"/>
      <c r="E824" s="1"/>
    </row>
    <row r="825" ht="15.75" customHeight="1">
      <c r="D825" s="2"/>
      <c r="E825" s="1"/>
    </row>
    <row r="826" ht="15.75" customHeight="1">
      <c r="D826" s="2"/>
      <c r="E826" s="1"/>
    </row>
    <row r="827" ht="15.75" customHeight="1">
      <c r="D827" s="2"/>
      <c r="E827" s="1"/>
    </row>
    <row r="828" ht="15.75" customHeight="1">
      <c r="D828" s="2"/>
      <c r="E828" s="1"/>
    </row>
    <row r="829" ht="15.75" customHeight="1">
      <c r="D829" s="2"/>
      <c r="E829" s="1"/>
    </row>
    <row r="830" ht="15.75" customHeight="1">
      <c r="D830" s="2"/>
      <c r="E830" s="1"/>
    </row>
    <row r="831" ht="15.75" customHeight="1">
      <c r="D831" s="2"/>
      <c r="E831" s="1"/>
    </row>
    <row r="832" ht="15.75" customHeight="1">
      <c r="D832" s="2"/>
      <c r="E832" s="1"/>
    </row>
    <row r="833" ht="15.75" customHeight="1">
      <c r="D833" s="2"/>
      <c r="E833" s="1"/>
    </row>
    <row r="834" ht="15.75" customHeight="1">
      <c r="D834" s="2"/>
      <c r="E834" s="1"/>
    </row>
    <row r="835" ht="15.75" customHeight="1">
      <c r="D835" s="2"/>
      <c r="E835" s="1"/>
    </row>
    <row r="836" ht="15.75" customHeight="1">
      <c r="D836" s="2"/>
      <c r="E836" s="1"/>
    </row>
    <row r="837" ht="15.75" customHeight="1">
      <c r="D837" s="2"/>
      <c r="E837" s="1"/>
    </row>
    <row r="838" ht="15.75" customHeight="1">
      <c r="D838" s="2"/>
      <c r="E838" s="1"/>
    </row>
    <row r="839" ht="15.75" customHeight="1">
      <c r="D839" s="2"/>
      <c r="E839" s="1"/>
    </row>
    <row r="840" ht="15.75" customHeight="1">
      <c r="D840" s="2"/>
      <c r="E840" s="1"/>
    </row>
    <row r="841" ht="15.75" customHeight="1">
      <c r="D841" s="2"/>
      <c r="E841" s="1"/>
    </row>
    <row r="842" ht="15.75" customHeight="1">
      <c r="D842" s="2"/>
      <c r="E842" s="1"/>
    </row>
    <row r="843" ht="15.75" customHeight="1">
      <c r="D843" s="2"/>
      <c r="E843" s="1"/>
    </row>
    <row r="844" ht="15.75" customHeight="1">
      <c r="D844" s="2"/>
      <c r="E844" s="1"/>
    </row>
    <row r="845" ht="15.75" customHeight="1">
      <c r="D845" s="2"/>
      <c r="E845" s="1"/>
    </row>
    <row r="846" ht="15.75" customHeight="1">
      <c r="D846" s="2"/>
      <c r="E846" s="1"/>
    </row>
    <row r="847" ht="15.75" customHeight="1">
      <c r="D847" s="2"/>
      <c r="E847" s="1"/>
    </row>
    <row r="848" ht="15.75" customHeight="1">
      <c r="D848" s="2"/>
      <c r="E848" s="1"/>
    </row>
    <row r="849" ht="15.75" customHeight="1">
      <c r="D849" s="2"/>
      <c r="E849" s="1"/>
    </row>
    <row r="850" ht="15.75" customHeight="1">
      <c r="D850" s="2"/>
      <c r="E850" s="1"/>
    </row>
    <row r="851" ht="15.75" customHeight="1">
      <c r="D851" s="2"/>
      <c r="E851" s="1"/>
    </row>
    <row r="852" ht="15.75" customHeight="1">
      <c r="D852" s="2"/>
      <c r="E852" s="1"/>
    </row>
    <row r="853" ht="15.75" customHeight="1">
      <c r="D853" s="2"/>
      <c r="E853" s="1"/>
    </row>
    <row r="854" ht="15.75" customHeight="1">
      <c r="D854" s="2"/>
      <c r="E854" s="1"/>
    </row>
    <row r="855" ht="15.75" customHeight="1">
      <c r="D855" s="2"/>
      <c r="E855" s="1"/>
    </row>
    <row r="856" ht="15.75" customHeight="1">
      <c r="D856" s="2"/>
      <c r="E856" s="1"/>
    </row>
    <row r="857" ht="15.75" customHeight="1">
      <c r="D857" s="2"/>
      <c r="E857" s="1"/>
    </row>
    <row r="858" ht="15.75" customHeight="1">
      <c r="D858" s="2"/>
      <c r="E858" s="1"/>
    </row>
    <row r="859" ht="15.75" customHeight="1">
      <c r="D859" s="2"/>
      <c r="E859" s="1"/>
    </row>
    <row r="860" ht="15.75" customHeight="1">
      <c r="D860" s="2"/>
      <c r="E860" s="1"/>
    </row>
    <row r="861" ht="15.75" customHeight="1">
      <c r="D861" s="2"/>
      <c r="E861" s="1"/>
    </row>
    <row r="862" ht="15.75" customHeight="1">
      <c r="D862" s="2"/>
      <c r="E862" s="1"/>
    </row>
    <row r="863" ht="15.75" customHeight="1">
      <c r="D863" s="2"/>
      <c r="E863" s="1"/>
    </row>
    <row r="864" ht="15.75" customHeight="1">
      <c r="D864" s="2"/>
      <c r="E864" s="1"/>
    </row>
    <row r="865" ht="15.75" customHeight="1">
      <c r="D865" s="2"/>
      <c r="E865" s="1"/>
    </row>
    <row r="866" ht="15.75" customHeight="1">
      <c r="D866" s="2"/>
      <c r="E866" s="1"/>
    </row>
    <row r="867" ht="15.75" customHeight="1">
      <c r="D867" s="2"/>
      <c r="E867" s="1"/>
    </row>
    <row r="868" ht="15.75" customHeight="1">
      <c r="D868" s="2"/>
      <c r="E868" s="1"/>
    </row>
    <row r="869" ht="15.75" customHeight="1">
      <c r="D869" s="2"/>
      <c r="E869" s="1"/>
    </row>
    <row r="870" ht="15.75" customHeight="1">
      <c r="D870" s="2"/>
      <c r="E870" s="1"/>
    </row>
    <row r="871" ht="15.75" customHeight="1">
      <c r="D871" s="2"/>
      <c r="E871" s="1"/>
    </row>
    <row r="872" ht="15.75" customHeight="1">
      <c r="D872" s="2"/>
      <c r="E872" s="1"/>
    </row>
    <row r="873" ht="15.75" customHeight="1">
      <c r="D873" s="2"/>
      <c r="E873" s="1"/>
    </row>
    <row r="874" ht="15.75" customHeight="1">
      <c r="D874" s="2"/>
      <c r="E874" s="1"/>
    </row>
    <row r="875" ht="15.75" customHeight="1">
      <c r="D875" s="2"/>
      <c r="E875" s="1"/>
    </row>
    <row r="876" ht="15.75" customHeight="1">
      <c r="D876" s="2"/>
      <c r="E876" s="1"/>
    </row>
    <row r="877" ht="15.75" customHeight="1">
      <c r="D877" s="2"/>
      <c r="E877" s="1"/>
    </row>
    <row r="878" ht="15.75" customHeight="1">
      <c r="D878" s="2"/>
      <c r="E878" s="1"/>
    </row>
    <row r="879" ht="15.75" customHeight="1">
      <c r="D879" s="2"/>
      <c r="E879" s="1"/>
    </row>
    <row r="880" ht="15.75" customHeight="1">
      <c r="D880" s="2"/>
      <c r="E880" s="1"/>
    </row>
    <row r="881" ht="15.75" customHeight="1">
      <c r="D881" s="2"/>
      <c r="E881" s="1"/>
    </row>
    <row r="882" ht="15.75" customHeight="1">
      <c r="D882" s="2"/>
      <c r="E882" s="1"/>
    </row>
    <row r="883" ht="15.75" customHeight="1">
      <c r="D883" s="2"/>
      <c r="E883" s="1"/>
    </row>
    <row r="884" ht="15.75" customHeight="1">
      <c r="D884" s="2"/>
      <c r="E884" s="1"/>
    </row>
    <row r="885" ht="15.75" customHeight="1">
      <c r="D885" s="2"/>
      <c r="E885" s="1"/>
    </row>
    <row r="886" ht="15.75" customHeight="1">
      <c r="D886" s="2"/>
      <c r="E886" s="1"/>
    </row>
    <row r="887" ht="15.75" customHeight="1">
      <c r="D887" s="2"/>
      <c r="E887" s="1"/>
    </row>
    <row r="888" ht="15.75" customHeight="1">
      <c r="D888" s="2"/>
      <c r="E888" s="1"/>
    </row>
    <row r="889" ht="15.75" customHeight="1">
      <c r="D889" s="2"/>
      <c r="E889" s="1"/>
    </row>
    <row r="890" ht="15.75" customHeight="1">
      <c r="D890" s="2"/>
      <c r="E890" s="1"/>
    </row>
    <row r="891" ht="15.75" customHeight="1">
      <c r="D891" s="2"/>
      <c r="E891" s="1"/>
    </row>
    <row r="892" ht="15.75" customHeight="1">
      <c r="D892" s="2"/>
      <c r="E892" s="1"/>
    </row>
    <row r="893" ht="15.75" customHeight="1">
      <c r="D893" s="2"/>
      <c r="E893" s="1"/>
    </row>
    <row r="894" ht="15.75" customHeight="1">
      <c r="D894" s="2"/>
      <c r="E894" s="1"/>
    </row>
    <row r="895" ht="15.75" customHeight="1">
      <c r="D895" s="2"/>
      <c r="E895" s="1"/>
    </row>
    <row r="896" ht="15.75" customHeight="1">
      <c r="D896" s="2"/>
      <c r="E896" s="1"/>
    </row>
    <row r="897" ht="15.75" customHeight="1">
      <c r="D897" s="2"/>
      <c r="E897" s="1"/>
    </row>
    <row r="898" ht="15.75" customHeight="1">
      <c r="D898" s="2"/>
      <c r="E898" s="1"/>
    </row>
    <row r="899" ht="15.75" customHeight="1">
      <c r="D899" s="2"/>
      <c r="E899" s="1"/>
    </row>
    <row r="900" ht="15.75" customHeight="1">
      <c r="D900" s="2"/>
      <c r="E900" s="1"/>
    </row>
    <row r="901" ht="15.75" customHeight="1">
      <c r="D901" s="2"/>
      <c r="E901" s="1"/>
    </row>
    <row r="902" ht="15.75" customHeight="1">
      <c r="D902" s="2"/>
      <c r="E902" s="1"/>
    </row>
    <row r="903" ht="15.75" customHeight="1">
      <c r="D903" s="2"/>
      <c r="E903" s="1"/>
    </row>
    <row r="904" ht="15.75" customHeight="1">
      <c r="D904" s="2"/>
      <c r="E904" s="1"/>
    </row>
    <row r="905" ht="15.75" customHeight="1">
      <c r="D905" s="2"/>
      <c r="E905" s="1"/>
    </row>
    <row r="906" ht="15.75" customHeight="1">
      <c r="D906" s="2"/>
      <c r="E906" s="1"/>
    </row>
    <row r="907" ht="15.75" customHeight="1">
      <c r="D907" s="2"/>
      <c r="E907" s="1"/>
    </row>
    <row r="908" ht="15.75" customHeight="1">
      <c r="D908" s="2"/>
      <c r="E908" s="1"/>
    </row>
    <row r="909" ht="15.75" customHeight="1">
      <c r="D909" s="2"/>
      <c r="E909" s="1"/>
    </row>
    <row r="910" ht="15.75" customHeight="1">
      <c r="D910" s="2"/>
      <c r="E910" s="1"/>
    </row>
    <row r="911" ht="15.75" customHeight="1">
      <c r="D911" s="2"/>
      <c r="E911" s="1"/>
    </row>
    <row r="912" ht="15.75" customHeight="1">
      <c r="D912" s="2"/>
      <c r="E912" s="1"/>
    </row>
    <row r="913" ht="15.75" customHeight="1">
      <c r="D913" s="2"/>
      <c r="E913" s="1"/>
    </row>
    <row r="914" ht="15.75" customHeight="1">
      <c r="D914" s="2"/>
      <c r="E914" s="1"/>
    </row>
    <row r="915" ht="15.75" customHeight="1">
      <c r="D915" s="2"/>
      <c r="E915" s="1"/>
    </row>
    <row r="916" ht="15.75" customHeight="1">
      <c r="D916" s="2"/>
      <c r="E916" s="1"/>
    </row>
    <row r="917" ht="15.75" customHeight="1">
      <c r="D917" s="2"/>
      <c r="E917" s="1"/>
    </row>
    <row r="918" ht="15.75" customHeight="1">
      <c r="D918" s="2"/>
      <c r="E918" s="1"/>
    </row>
    <row r="919" ht="15.75" customHeight="1">
      <c r="D919" s="2"/>
      <c r="E919" s="1"/>
    </row>
    <row r="920" ht="15.75" customHeight="1">
      <c r="D920" s="2"/>
      <c r="E920" s="1"/>
    </row>
    <row r="921" ht="15.75" customHeight="1">
      <c r="D921" s="2"/>
      <c r="E921" s="1"/>
    </row>
    <row r="922" ht="15.75" customHeight="1">
      <c r="D922" s="2"/>
      <c r="E922" s="1"/>
    </row>
    <row r="923" ht="15.75" customHeight="1">
      <c r="D923" s="2"/>
      <c r="E923" s="1"/>
    </row>
    <row r="924" ht="15.75" customHeight="1">
      <c r="D924" s="2"/>
      <c r="E924" s="1"/>
    </row>
    <row r="925" ht="15.75" customHeight="1">
      <c r="D925" s="2"/>
      <c r="E925" s="1"/>
    </row>
    <row r="926" ht="15.75" customHeight="1">
      <c r="D926" s="2"/>
      <c r="E926" s="1"/>
    </row>
    <row r="927" ht="15.75" customHeight="1">
      <c r="D927" s="2"/>
      <c r="E927" s="1"/>
    </row>
    <row r="928" ht="15.75" customHeight="1">
      <c r="D928" s="2"/>
      <c r="E928" s="1"/>
    </row>
    <row r="929" ht="15.75" customHeight="1">
      <c r="D929" s="2"/>
      <c r="E929" s="1"/>
    </row>
    <row r="930" ht="15.75" customHeight="1">
      <c r="D930" s="2"/>
      <c r="E930" s="1"/>
    </row>
    <row r="931" ht="15.75" customHeight="1">
      <c r="D931" s="2"/>
      <c r="E931" s="1"/>
    </row>
    <row r="932" ht="15.75" customHeight="1">
      <c r="D932" s="2"/>
      <c r="E932" s="1"/>
    </row>
    <row r="933" ht="15.75" customHeight="1">
      <c r="D933" s="2"/>
      <c r="E933" s="1"/>
    </row>
    <row r="934" ht="15.75" customHeight="1">
      <c r="D934" s="2"/>
      <c r="E934" s="1"/>
    </row>
    <row r="935" ht="15.75" customHeight="1">
      <c r="D935" s="2"/>
      <c r="E935" s="1"/>
    </row>
    <row r="936" ht="15.75" customHeight="1">
      <c r="D936" s="2"/>
      <c r="E936" s="1"/>
    </row>
    <row r="937" ht="15.75" customHeight="1">
      <c r="D937" s="2"/>
      <c r="E937" s="1"/>
    </row>
    <row r="938" ht="15.75" customHeight="1">
      <c r="D938" s="2"/>
      <c r="E938" s="1"/>
    </row>
    <row r="939" ht="15.75" customHeight="1">
      <c r="D939" s="2"/>
      <c r="E939" s="1"/>
    </row>
    <row r="940" ht="15.75" customHeight="1">
      <c r="D940" s="2"/>
      <c r="E940" s="1"/>
    </row>
    <row r="941" ht="15.75" customHeight="1">
      <c r="D941" s="2"/>
      <c r="E941" s="1"/>
    </row>
    <row r="942" ht="15.75" customHeight="1">
      <c r="D942" s="2"/>
      <c r="E942" s="1"/>
    </row>
    <row r="943" ht="15.75" customHeight="1">
      <c r="D943" s="2"/>
      <c r="E943" s="1"/>
    </row>
    <row r="944" ht="15.75" customHeight="1">
      <c r="D944" s="2"/>
      <c r="E944" s="1"/>
    </row>
    <row r="945" ht="15.75" customHeight="1">
      <c r="D945" s="2"/>
      <c r="E945" s="1"/>
    </row>
    <row r="946" ht="15.75" customHeight="1">
      <c r="D946" s="2"/>
      <c r="E946" s="1"/>
    </row>
    <row r="947" ht="15.75" customHeight="1">
      <c r="D947" s="2"/>
      <c r="E947" s="1"/>
    </row>
    <row r="948" ht="15.75" customHeight="1">
      <c r="D948" s="2"/>
      <c r="E948" s="1"/>
    </row>
    <row r="949" ht="15.75" customHeight="1">
      <c r="D949" s="2"/>
      <c r="E949" s="1"/>
    </row>
    <row r="950" ht="15.75" customHeight="1">
      <c r="D950" s="2"/>
      <c r="E950" s="1"/>
    </row>
    <row r="951" ht="15.75" customHeight="1">
      <c r="D951" s="2"/>
      <c r="E951" s="1"/>
    </row>
    <row r="952" ht="15.75" customHeight="1">
      <c r="D952" s="2"/>
      <c r="E952" s="1"/>
    </row>
    <row r="953" ht="15.75" customHeight="1">
      <c r="D953" s="2"/>
      <c r="E953" s="1"/>
    </row>
    <row r="954" ht="15.75" customHeight="1">
      <c r="D954" s="2"/>
      <c r="E954" s="1"/>
    </row>
    <row r="955" ht="15.75" customHeight="1">
      <c r="D955" s="2"/>
      <c r="E955" s="1"/>
    </row>
    <row r="956" ht="15.75" customHeight="1">
      <c r="D956" s="2"/>
      <c r="E956" s="1"/>
    </row>
    <row r="957" ht="15.75" customHeight="1">
      <c r="D957" s="2"/>
      <c r="E957" s="1"/>
    </row>
    <row r="958" ht="15.75" customHeight="1">
      <c r="D958" s="2"/>
      <c r="E958" s="1"/>
    </row>
    <row r="959" ht="15.75" customHeight="1">
      <c r="D959" s="2"/>
      <c r="E959" s="1"/>
    </row>
    <row r="960" ht="15.75" customHeight="1">
      <c r="D960" s="2"/>
      <c r="E960" s="1"/>
    </row>
    <row r="961" ht="15.75" customHeight="1">
      <c r="D961" s="2"/>
      <c r="E961" s="1"/>
    </row>
    <row r="962" ht="15.75" customHeight="1">
      <c r="D962" s="2"/>
      <c r="E962" s="1"/>
    </row>
    <row r="963" ht="15.75" customHeight="1">
      <c r="D963" s="2"/>
      <c r="E963" s="1"/>
    </row>
    <row r="964" ht="15.75" customHeight="1">
      <c r="D964" s="2"/>
      <c r="E964" s="1"/>
    </row>
    <row r="965" ht="15.75" customHeight="1">
      <c r="D965" s="2"/>
      <c r="E965" s="1"/>
    </row>
    <row r="966" ht="15.75" customHeight="1">
      <c r="D966" s="2"/>
      <c r="E966" s="1"/>
    </row>
    <row r="967" ht="15.75" customHeight="1">
      <c r="D967" s="2"/>
      <c r="E967" s="1"/>
    </row>
    <row r="968" ht="15.75" customHeight="1">
      <c r="D968" s="2"/>
      <c r="E968" s="1"/>
    </row>
    <row r="969" ht="15.75" customHeight="1">
      <c r="D969" s="2"/>
      <c r="E969" s="1"/>
    </row>
    <row r="970" ht="15.75" customHeight="1">
      <c r="D970" s="2"/>
      <c r="E970" s="1"/>
    </row>
    <row r="971" ht="15.75" customHeight="1">
      <c r="D971" s="2"/>
      <c r="E971" s="1"/>
    </row>
    <row r="972" ht="15.75" customHeight="1">
      <c r="D972" s="2"/>
      <c r="E972" s="1"/>
    </row>
    <row r="973" ht="15.75" customHeight="1">
      <c r="D973" s="2"/>
      <c r="E973" s="1"/>
    </row>
    <row r="974" ht="15.75" customHeight="1">
      <c r="D974" s="2"/>
      <c r="E974" s="1"/>
    </row>
    <row r="975" ht="15.75" customHeight="1">
      <c r="D975" s="2"/>
      <c r="E975" s="1"/>
    </row>
    <row r="976" ht="15.75" customHeight="1">
      <c r="D976" s="2"/>
      <c r="E976" s="1"/>
    </row>
    <row r="977" ht="15.75" customHeight="1">
      <c r="D977" s="2"/>
      <c r="E977" s="1"/>
    </row>
    <row r="978" ht="15.75" customHeight="1">
      <c r="D978" s="2"/>
      <c r="E978" s="1"/>
    </row>
    <row r="979" ht="15.75" customHeight="1">
      <c r="D979" s="2"/>
      <c r="E979" s="1"/>
    </row>
    <row r="980" ht="15.75" customHeight="1">
      <c r="D980" s="2"/>
      <c r="E980" s="1"/>
    </row>
    <row r="981" ht="15.75" customHeight="1">
      <c r="D981" s="2"/>
      <c r="E981" s="1"/>
    </row>
    <row r="982" ht="15.75" customHeight="1">
      <c r="D982" s="2"/>
      <c r="E982" s="1"/>
    </row>
    <row r="983" ht="15.75" customHeight="1">
      <c r="D983" s="2"/>
      <c r="E983" s="1"/>
    </row>
    <row r="984" ht="15.75" customHeight="1">
      <c r="D984" s="2"/>
      <c r="E984" s="1"/>
    </row>
    <row r="985" ht="15.75" customHeight="1">
      <c r="D985" s="2"/>
      <c r="E985" s="1"/>
    </row>
    <row r="986" ht="15.75" customHeight="1">
      <c r="D986" s="2"/>
      <c r="E986" s="1"/>
    </row>
    <row r="987" ht="15.75" customHeight="1">
      <c r="D987" s="2"/>
      <c r="E987" s="1"/>
    </row>
    <row r="988" ht="15.75" customHeight="1">
      <c r="D988" s="2"/>
      <c r="E988" s="1"/>
    </row>
    <row r="989" ht="15.75" customHeight="1">
      <c r="D989" s="2"/>
      <c r="E989" s="1"/>
    </row>
    <row r="990" ht="15.75" customHeight="1">
      <c r="D990" s="2"/>
      <c r="E990" s="1"/>
    </row>
    <row r="991" ht="15.75" customHeight="1">
      <c r="D991" s="2"/>
      <c r="E991" s="1"/>
    </row>
    <row r="992" ht="15.75" customHeight="1">
      <c r="D992" s="2"/>
      <c r="E992" s="1"/>
    </row>
    <row r="993" ht="15.75" customHeight="1">
      <c r="D993" s="2"/>
      <c r="E993" s="1"/>
    </row>
    <row r="994" ht="15.75" customHeight="1">
      <c r="D994" s="2"/>
      <c r="E994" s="1"/>
    </row>
    <row r="995" ht="15.75" customHeight="1">
      <c r="D995" s="2"/>
      <c r="E995" s="1"/>
    </row>
    <row r="996" ht="15.75" customHeight="1">
      <c r="D996" s="2"/>
      <c r="E996" s="1"/>
    </row>
    <row r="997" ht="15.75" customHeight="1">
      <c r="D997" s="2"/>
      <c r="E997" s="1"/>
    </row>
    <row r="998" ht="15.75" customHeight="1">
      <c r="D998" s="2"/>
      <c r="E998" s="1"/>
    </row>
    <row r="999" ht="15.75" customHeight="1">
      <c r="D999" s="2"/>
      <c r="E999" s="1"/>
    </row>
    <row r="1000" ht="15.75" customHeight="1">
      <c r="D1000" s="2"/>
      <c r="E1000" s="1"/>
    </row>
    <row r="1001" ht="15.75" customHeight="1">
      <c r="D1001" s="2"/>
      <c r="E1001" s="1"/>
    </row>
    <row r="1002" ht="15.75" customHeight="1">
      <c r="D1002" s="2"/>
      <c r="E1002" s="1"/>
    </row>
    <row r="1003" ht="15.75" customHeight="1">
      <c r="D1003" s="2"/>
      <c r="E1003" s="1"/>
    </row>
    <row r="1004" ht="15.75" customHeight="1">
      <c r="D1004" s="2"/>
      <c r="E1004" s="1"/>
    </row>
    <row r="1005" ht="15.75" customHeight="1">
      <c r="D1005" s="2"/>
      <c r="E1005" s="1"/>
    </row>
    <row r="1006" ht="15.75" customHeight="1">
      <c r="D1006" s="2"/>
      <c r="E1006" s="1"/>
    </row>
    <row r="1007" ht="15.75" customHeight="1">
      <c r="D1007" s="2"/>
      <c r="E1007" s="1"/>
    </row>
    <row r="1008" ht="15.75" customHeight="1">
      <c r="D1008" s="2"/>
      <c r="E1008" s="1"/>
    </row>
    <row r="1009" ht="15.75" customHeight="1">
      <c r="D1009" s="2"/>
      <c r="E1009" s="1"/>
    </row>
    <row r="1010" ht="15.75" customHeight="1">
      <c r="D1010" s="2"/>
      <c r="E1010" s="1"/>
    </row>
    <row r="1011" ht="15.75" customHeight="1">
      <c r="D1011" s="2"/>
      <c r="E1011" s="1"/>
    </row>
    <row r="1012" ht="15.75" customHeight="1">
      <c r="D1012" s="2"/>
      <c r="E1012" s="1"/>
    </row>
    <row r="1013" ht="15.75" customHeight="1">
      <c r="D1013" s="2"/>
      <c r="E1013" s="1"/>
    </row>
    <row r="1014" ht="15.75" customHeight="1">
      <c r="D1014" s="2"/>
      <c r="E1014" s="1"/>
    </row>
    <row r="1015" ht="15.75" customHeight="1">
      <c r="D1015" s="2"/>
      <c r="E1015" s="1"/>
    </row>
    <row r="1016" ht="15.75" customHeight="1">
      <c r="D1016" s="2"/>
      <c r="E1016" s="1"/>
    </row>
    <row r="1017" ht="15.75" customHeight="1">
      <c r="D1017" s="2"/>
      <c r="E1017" s="1"/>
    </row>
    <row r="1018" ht="15.75" customHeight="1">
      <c r="D1018" s="2"/>
      <c r="E1018" s="1"/>
    </row>
    <row r="1019" ht="15.75" customHeight="1">
      <c r="D1019" s="2"/>
      <c r="E1019" s="1"/>
    </row>
    <row r="1020" ht="15.75" customHeight="1">
      <c r="D1020" s="2"/>
      <c r="E1020" s="1"/>
    </row>
    <row r="1021" ht="15.75" customHeight="1">
      <c r="D1021" s="2"/>
      <c r="E1021" s="1"/>
    </row>
    <row r="1022" ht="15.75" customHeight="1">
      <c r="D1022" s="2"/>
      <c r="E1022" s="1"/>
    </row>
    <row r="1023" ht="15.75" customHeight="1">
      <c r="D1023" s="2"/>
      <c r="E1023" s="1"/>
    </row>
    <row r="1024" ht="15.75" customHeight="1">
      <c r="D1024" s="2"/>
      <c r="E1024" s="1"/>
    </row>
    <row r="1025" ht="15.75" customHeight="1">
      <c r="D1025" s="2"/>
      <c r="E1025" s="1"/>
    </row>
    <row r="1026" ht="15.75" customHeight="1">
      <c r="D1026" s="2"/>
      <c r="E1026" s="1"/>
    </row>
    <row r="1027" ht="15.75" customHeight="1">
      <c r="D1027" s="2"/>
      <c r="E1027" s="1"/>
    </row>
    <row r="1028" ht="15.75" customHeight="1">
      <c r="D1028" s="2"/>
      <c r="E1028" s="1"/>
    </row>
    <row r="1029" ht="15.75" customHeight="1">
      <c r="D1029" s="2"/>
      <c r="E1029" s="1"/>
    </row>
    <row r="1030" ht="15.75" customHeight="1">
      <c r="D1030" s="2"/>
      <c r="E1030" s="1"/>
    </row>
    <row r="1031" ht="15.75" customHeight="1">
      <c r="D1031" s="2"/>
      <c r="E1031" s="1"/>
    </row>
    <row r="1032" ht="15.75" customHeight="1">
      <c r="D1032" s="2"/>
      <c r="E1032" s="1"/>
    </row>
    <row r="1033" ht="15.75" customHeight="1">
      <c r="D1033" s="2"/>
      <c r="E1033" s="1"/>
    </row>
    <row r="1034" ht="15.75" customHeight="1">
      <c r="D1034" s="2"/>
      <c r="E1034" s="1"/>
    </row>
    <row r="1035" ht="15.75" customHeight="1">
      <c r="D1035" s="2"/>
      <c r="E1035" s="1"/>
    </row>
    <row r="1036" ht="15.75" customHeight="1">
      <c r="D1036" s="2"/>
      <c r="E1036" s="1"/>
    </row>
    <row r="1037" ht="15.75" customHeight="1">
      <c r="D1037" s="2"/>
      <c r="E1037" s="1"/>
    </row>
    <row r="1038" ht="15.75" customHeight="1">
      <c r="D1038" s="2"/>
      <c r="E1038" s="1"/>
    </row>
    <row r="1039" ht="15.75" customHeight="1">
      <c r="D1039" s="2"/>
      <c r="E1039" s="1"/>
    </row>
    <row r="1040" ht="15.75" customHeight="1">
      <c r="D1040" s="2"/>
      <c r="E1040" s="1"/>
    </row>
    <row r="1041" ht="15.75" customHeight="1">
      <c r="D1041" s="2"/>
      <c r="E1041" s="1"/>
    </row>
    <row r="1042" ht="15.75" customHeight="1">
      <c r="D1042" s="2"/>
      <c r="E1042" s="1"/>
    </row>
    <row r="1043" ht="15.75" customHeight="1">
      <c r="D1043" s="2"/>
      <c r="E1043" s="1"/>
    </row>
    <row r="1044" ht="15.75" customHeight="1">
      <c r="D1044" s="2"/>
      <c r="E1044" s="1"/>
    </row>
    <row r="1045" ht="15.75" customHeight="1">
      <c r="D1045" s="2"/>
      <c r="E1045" s="1"/>
    </row>
    <row r="1046" ht="15.75" customHeight="1">
      <c r="D1046" s="2"/>
      <c r="E1046" s="1"/>
    </row>
    <row r="1047" ht="15.75" customHeight="1">
      <c r="D1047" s="2"/>
      <c r="E1047" s="1"/>
    </row>
    <row r="1048" ht="15.75" customHeight="1">
      <c r="D1048" s="2"/>
      <c r="E1048" s="1"/>
    </row>
    <row r="1049" ht="15.75" customHeight="1">
      <c r="D1049" s="2"/>
      <c r="E1049" s="1"/>
    </row>
    <row r="1050" ht="15.75" customHeight="1">
      <c r="D1050" s="2"/>
      <c r="E1050" s="1"/>
    </row>
    <row r="1051" ht="15.75" customHeight="1">
      <c r="D1051" s="2"/>
      <c r="E1051" s="1"/>
    </row>
    <row r="1052" ht="15.75" customHeight="1">
      <c r="D1052" s="2"/>
      <c r="E1052" s="1"/>
    </row>
    <row r="1053" ht="15.75" customHeight="1">
      <c r="D1053" s="2"/>
      <c r="E1053" s="1"/>
    </row>
    <row r="1054" ht="15.75" customHeight="1">
      <c r="D1054" s="2"/>
      <c r="E1054" s="1"/>
    </row>
    <row r="1055" ht="15.75" customHeight="1">
      <c r="D1055" s="2"/>
      <c r="E1055" s="1"/>
    </row>
    <row r="1056" ht="15.75" customHeight="1">
      <c r="D1056" s="2"/>
      <c r="E1056" s="1"/>
    </row>
    <row r="1057" ht="15.75" customHeight="1">
      <c r="D1057" s="2"/>
      <c r="E1057" s="1"/>
    </row>
    <row r="1058" ht="15.75" customHeight="1">
      <c r="D1058" s="2"/>
      <c r="E1058" s="1"/>
    </row>
    <row r="1059" ht="15.75" customHeight="1">
      <c r="D1059" s="2"/>
      <c r="E1059" s="1"/>
    </row>
    <row r="1060" ht="15.75" customHeight="1">
      <c r="D1060" s="2"/>
      <c r="E1060" s="1"/>
    </row>
    <row r="1061" ht="15.75" customHeight="1">
      <c r="D1061" s="2"/>
      <c r="E1061" s="1"/>
    </row>
    <row r="1062" ht="15.75" customHeight="1">
      <c r="D1062" s="2"/>
      <c r="E1062" s="1"/>
    </row>
    <row r="1063" ht="15.75" customHeight="1">
      <c r="D1063" s="2"/>
      <c r="E1063" s="1"/>
    </row>
    <row r="1064" ht="15.75" customHeight="1">
      <c r="D1064" s="2"/>
      <c r="E1064" s="1"/>
    </row>
    <row r="1065" ht="15.75" customHeight="1">
      <c r="D1065" s="2"/>
      <c r="E1065" s="1"/>
    </row>
    <row r="1066" ht="15.75" customHeight="1">
      <c r="D1066" s="2"/>
      <c r="E1066" s="1"/>
    </row>
    <row r="1067" ht="15.75" customHeight="1">
      <c r="D1067" s="2"/>
      <c r="E1067" s="1"/>
    </row>
    <row r="1068" ht="15.75" customHeight="1">
      <c r="D1068" s="2"/>
      <c r="E1068" s="1"/>
    </row>
    <row r="1069" ht="15.75" customHeight="1">
      <c r="D1069" s="2"/>
      <c r="E1069" s="1"/>
    </row>
    <row r="1070" ht="15.75" customHeight="1">
      <c r="D1070" s="2"/>
      <c r="E1070" s="1"/>
    </row>
    <row r="1071" ht="15.75" customHeight="1">
      <c r="D1071" s="2"/>
      <c r="E1071" s="1"/>
    </row>
    <row r="1072" ht="15.75" customHeight="1">
      <c r="D1072" s="2"/>
      <c r="E1072" s="1"/>
    </row>
    <row r="1073" ht="15.75" customHeight="1">
      <c r="D1073" s="2"/>
      <c r="E1073" s="1"/>
    </row>
    <row r="1074" ht="15.75" customHeight="1">
      <c r="D1074" s="2"/>
      <c r="E1074" s="1"/>
    </row>
    <row r="1075" ht="15.75" customHeight="1">
      <c r="D1075" s="2"/>
      <c r="E1075" s="1"/>
    </row>
    <row r="1076" ht="15.75" customHeight="1">
      <c r="D1076" s="2"/>
      <c r="E1076" s="1"/>
    </row>
    <row r="1077" ht="15.75" customHeight="1">
      <c r="D1077" s="2"/>
      <c r="E1077" s="1"/>
    </row>
    <row r="1078" ht="15.75" customHeight="1">
      <c r="D1078" s="2"/>
      <c r="E1078" s="1"/>
    </row>
    <row r="1079" ht="15.75" customHeight="1">
      <c r="D1079" s="2"/>
      <c r="E1079" s="1"/>
    </row>
    <row r="1080" ht="15.75" customHeight="1">
      <c r="D1080" s="2"/>
      <c r="E1080" s="1"/>
    </row>
    <row r="1081" ht="15.75" customHeight="1">
      <c r="D1081" s="2"/>
      <c r="E1081" s="1"/>
    </row>
    <row r="1082" ht="15.75" customHeight="1">
      <c r="D1082" s="2"/>
      <c r="E1082" s="1"/>
    </row>
    <row r="1083" ht="15.75" customHeight="1">
      <c r="D1083" s="2"/>
      <c r="E1083" s="1"/>
    </row>
    <row r="1084" ht="15.75" customHeight="1">
      <c r="D1084" s="2"/>
      <c r="E1084" s="1"/>
    </row>
    <row r="1085" ht="15.75" customHeight="1">
      <c r="D1085" s="2"/>
      <c r="E1085" s="1"/>
    </row>
    <row r="1086" ht="15.75" customHeight="1">
      <c r="D1086" s="2"/>
      <c r="E1086" s="1"/>
    </row>
    <row r="1087" ht="15.75" customHeight="1">
      <c r="D1087" s="2"/>
      <c r="E1087" s="1"/>
    </row>
    <row r="1088" ht="15.75" customHeight="1">
      <c r="D1088" s="2"/>
      <c r="E1088" s="1"/>
    </row>
    <row r="1089" ht="15.75" customHeight="1">
      <c r="D1089" s="2"/>
      <c r="E1089" s="1"/>
    </row>
    <row r="1090" ht="15.75" customHeight="1">
      <c r="D1090" s="2"/>
      <c r="E1090" s="1"/>
    </row>
    <row r="1091" ht="15.75" customHeight="1">
      <c r="D1091" s="2"/>
      <c r="E1091" s="1"/>
    </row>
    <row r="1092" ht="15.75" customHeight="1">
      <c r="D1092" s="2"/>
      <c r="E1092" s="1"/>
    </row>
    <row r="1093" ht="15.75" customHeight="1">
      <c r="D1093" s="2"/>
      <c r="E1093" s="1"/>
    </row>
    <row r="1094" ht="15.75" customHeight="1">
      <c r="D1094" s="2"/>
      <c r="E1094" s="1"/>
    </row>
    <row r="1095" ht="15.75" customHeight="1">
      <c r="D1095" s="2"/>
      <c r="E1095" s="1"/>
    </row>
    <row r="1096" ht="15.75" customHeight="1">
      <c r="D1096" s="2"/>
      <c r="E1096" s="1"/>
    </row>
    <row r="1097" ht="15.75" customHeight="1">
      <c r="D1097" s="2"/>
      <c r="E1097" s="1"/>
    </row>
    <row r="1098" ht="15.75" customHeight="1">
      <c r="D1098" s="2"/>
      <c r="E1098" s="1"/>
    </row>
    <row r="1099" ht="15.75" customHeight="1">
      <c r="D1099" s="2"/>
      <c r="E1099" s="1"/>
    </row>
    <row r="1100" ht="15.75" customHeight="1">
      <c r="D1100" s="2"/>
      <c r="E1100" s="1"/>
    </row>
    <row r="1101" ht="15.75" customHeight="1">
      <c r="D1101" s="2"/>
      <c r="E1101" s="1"/>
    </row>
    <row r="1102" ht="15.75" customHeight="1">
      <c r="D1102" s="2"/>
      <c r="E1102" s="1"/>
    </row>
    <row r="1103" ht="15.75" customHeight="1">
      <c r="D1103" s="2"/>
      <c r="E1103" s="1"/>
    </row>
    <row r="1104" ht="15.75" customHeight="1">
      <c r="D1104" s="2"/>
      <c r="E1104" s="1"/>
    </row>
    <row r="1105" ht="15.75" customHeight="1">
      <c r="D1105" s="2"/>
      <c r="E1105" s="1"/>
    </row>
    <row r="1106" ht="15.75" customHeight="1">
      <c r="D1106" s="2"/>
      <c r="E1106" s="1"/>
    </row>
    <row r="1107" ht="15.75" customHeight="1">
      <c r="D1107" s="2"/>
      <c r="E1107" s="1"/>
    </row>
    <row r="1108" ht="15.75" customHeight="1">
      <c r="D1108" s="2"/>
      <c r="E1108" s="1"/>
    </row>
    <row r="1109" ht="15.75" customHeight="1">
      <c r="D1109" s="2"/>
      <c r="E1109" s="1"/>
    </row>
    <row r="1110" ht="15.75" customHeight="1">
      <c r="D1110" s="2"/>
      <c r="E1110" s="1"/>
    </row>
    <row r="1111" ht="15.75" customHeight="1">
      <c r="D1111" s="2"/>
      <c r="E1111" s="1"/>
    </row>
    <row r="1112" ht="15.75" customHeight="1">
      <c r="D1112" s="2"/>
      <c r="E1112" s="1"/>
    </row>
    <row r="1113" ht="15.75" customHeight="1">
      <c r="D1113" s="2"/>
      <c r="E1113" s="1"/>
    </row>
    <row r="1114" ht="15.75" customHeight="1">
      <c r="D1114" s="2"/>
      <c r="E1114" s="1"/>
    </row>
    <row r="1115" ht="15.75" customHeight="1">
      <c r="D1115" s="2"/>
      <c r="E1115" s="1"/>
    </row>
    <row r="1116" ht="15.75" customHeight="1">
      <c r="D1116" s="2"/>
      <c r="E1116" s="1"/>
    </row>
    <row r="1117" ht="15.75" customHeight="1">
      <c r="D1117" s="2"/>
      <c r="E1117" s="1"/>
    </row>
    <row r="1118" ht="15.75" customHeight="1">
      <c r="D1118" s="2"/>
      <c r="E1118" s="1"/>
    </row>
    <row r="1119" ht="15.75" customHeight="1">
      <c r="D1119" s="2"/>
      <c r="E1119" s="1"/>
    </row>
    <row r="1120" ht="15.75" customHeight="1">
      <c r="D1120" s="2"/>
      <c r="E1120" s="1"/>
    </row>
    <row r="1121" ht="15.75" customHeight="1">
      <c r="D1121" s="2"/>
      <c r="E1121" s="1"/>
    </row>
    <row r="1122" ht="15.75" customHeight="1">
      <c r="D1122" s="2"/>
      <c r="E1122" s="1"/>
    </row>
    <row r="1123" ht="15.75" customHeight="1">
      <c r="D1123" s="2"/>
      <c r="E1123" s="1"/>
    </row>
    <row r="1124" ht="15.75" customHeight="1">
      <c r="D1124" s="2"/>
      <c r="E1124" s="1"/>
    </row>
    <row r="1125" ht="15.75" customHeight="1">
      <c r="D1125" s="2"/>
      <c r="E1125" s="1"/>
    </row>
    <row r="1126" ht="15.75" customHeight="1">
      <c r="D1126" s="2"/>
      <c r="E1126" s="1"/>
    </row>
    <row r="1127" ht="15.75" customHeight="1">
      <c r="D1127" s="2"/>
      <c r="E1127" s="1"/>
    </row>
    <row r="1128" ht="15.75" customHeight="1">
      <c r="D1128" s="2"/>
      <c r="E1128" s="1"/>
    </row>
    <row r="1129" ht="15.75" customHeight="1">
      <c r="D1129" s="2"/>
      <c r="E1129" s="1"/>
    </row>
    <row r="1130" ht="15.75" customHeight="1">
      <c r="D1130" s="2"/>
      <c r="E1130" s="1"/>
    </row>
    <row r="1131" ht="15.75" customHeight="1">
      <c r="D1131" s="2"/>
      <c r="E1131" s="1"/>
    </row>
    <row r="1132" ht="15.75" customHeight="1">
      <c r="D1132" s="2"/>
      <c r="E1132" s="1"/>
    </row>
    <row r="1133" ht="15.75" customHeight="1">
      <c r="D1133" s="2"/>
      <c r="E1133" s="1"/>
    </row>
    <row r="1134" ht="15.75" customHeight="1">
      <c r="D1134" s="2"/>
      <c r="E1134" s="1"/>
    </row>
    <row r="1135" ht="15.75" customHeight="1">
      <c r="D1135" s="2"/>
      <c r="E1135" s="1"/>
    </row>
    <row r="1136" ht="15.75" customHeight="1">
      <c r="D1136" s="2"/>
      <c r="E1136" s="1"/>
    </row>
    <row r="1137" ht="15.75" customHeight="1">
      <c r="D1137" s="2"/>
      <c r="E1137" s="1"/>
    </row>
    <row r="1138" ht="15.75" customHeight="1">
      <c r="D1138" s="2"/>
      <c r="E1138" s="1"/>
    </row>
    <row r="1139" ht="15.75" customHeight="1">
      <c r="D1139" s="2"/>
      <c r="E1139" s="1"/>
    </row>
    <row r="1140" ht="15.75" customHeight="1">
      <c r="D1140" s="2"/>
      <c r="E1140" s="1"/>
    </row>
    <row r="1141" ht="15.75" customHeight="1">
      <c r="D1141" s="2"/>
      <c r="E1141" s="1"/>
    </row>
    <row r="1142" ht="15.75" customHeight="1">
      <c r="D1142" s="2"/>
      <c r="E1142" s="1"/>
    </row>
    <row r="1143" ht="15.75" customHeight="1">
      <c r="D1143" s="2"/>
      <c r="E1143" s="1"/>
    </row>
    <row r="1144" ht="15.75" customHeight="1">
      <c r="D1144" s="2"/>
      <c r="E1144" s="1"/>
    </row>
    <row r="1145" ht="15.75" customHeight="1">
      <c r="D1145" s="2"/>
      <c r="E1145" s="1"/>
    </row>
    <row r="1146" ht="15.75" customHeight="1">
      <c r="D1146" s="2"/>
      <c r="E1146" s="1"/>
    </row>
    <row r="1147" ht="15.75" customHeight="1">
      <c r="D1147" s="2"/>
      <c r="E1147" s="1"/>
    </row>
    <row r="1148" ht="15.75" customHeight="1">
      <c r="D1148" s="2"/>
      <c r="E1148" s="1"/>
    </row>
    <row r="1149" ht="15.75" customHeight="1">
      <c r="D1149" s="2"/>
      <c r="E1149" s="1"/>
    </row>
    <row r="1150" ht="15.75" customHeight="1">
      <c r="D1150" s="2"/>
      <c r="E1150" s="1"/>
    </row>
    <row r="1151" ht="15.75" customHeight="1">
      <c r="D1151" s="2"/>
      <c r="E1151" s="1"/>
    </row>
    <row r="1152" ht="15.75" customHeight="1">
      <c r="D1152" s="2"/>
      <c r="E1152" s="1"/>
    </row>
    <row r="1153" ht="15.75" customHeight="1">
      <c r="D1153" s="2"/>
      <c r="E1153" s="1"/>
    </row>
    <row r="1154" ht="15.75" customHeight="1">
      <c r="D1154" s="2"/>
      <c r="E1154" s="1"/>
    </row>
    <row r="1155" ht="15.75" customHeight="1">
      <c r="D1155" s="2"/>
      <c r="E1155" s="1"/>
    </row>
    <row r="1156" ht="15.75" customHeight="1">
      <c r="D1156" s="2"/>
      <c r="E1156" s="1"/>
    </row>
    <row r="1157" ht="15.75" customHeight="1">
      <c r="D1157" s="2"/>
      <c r="E1157" s="1"/>
    </row>
    <row r="1158" ht="15.75" customHeight="1">
      <c r="D1158" s="2"/>
      <c r="E1158" s="1"/>
    </row>
    <row r="1159" ht="15.75" customHeight="1">
      <c r="D1159" s="2"/>
      <c r="E1159" s="1"/>
    </row>
    <row r="1160" ht="15.75" customHeight="1">
      <c r="D1160" s="2"/>
      <c r="E1160" s="1"/>
    </row>
    <row r="1161" ht="15.75" customHeight="1">
      <c r="D1161" s="2"/>
      <c r="E1161" s="1"/>
    </row>
    <row r="1162" ht="15.75" customHeight="1">
      <c r="D1162" s="2"/>
      <c r="E1162" s="1"/>
    </row>
    <row r="1163" ht="15.75" customHeight="1">
      <c r="D1163" s="2"/>
      <c r="E1163" s="1"/>
    </row>
    <row r="1164" ht="15.75" customHeight="1">
      <c r="D1164" s="2"/>
      <c r="E1164" s="1"/>
    </row>
    <row r="1165" ht="15.75" customHeight="1">
      <c r="D1165" s="2"/>
      <c r="E1165" s="1"/>
    </row>
    <row r="1166" ht="15.75" customHeight="1">
      <c r="D1166" s="2"/>
      <c r="E1166" s="1"/>
    </row>
    <row r="1167" ht="15.75" customHeight="1">
      <c r="D1167" s="2"/>
      <c r="E1167" s="1"/>
    </row>
    <row r="1168" ht="15.75" customHeight="1">
      <c r="D1168" s="2"/>
      <c r="E1168" s="1"/>
    </row>
    <row r="1169" ht="15.75" customHeight="1">
      <c r="D1169" s="2"/>
      <c r="E1169" s="1"/>
    </row>
    <row r="1170" ht="15.75" customHeight="1">
      <c r="D1170" s="2"/>
      <c r="E1170" s="1"/>
    </row>
    <row r="1171" ht="15.75" customHeight="1">
      <c r="D1171" s="2"/>
      <c r="E1171" s="1"/>
    </row>
    <row r="1172" ht="15.75" customHeight="1">
      <c r="D1172" s="2"/>
      <c r="E1172" s="1"/>
    </row>
    <row r="1173" ht="15.75" customHeight="1">
      <c r="D1173" s="2"/>
      <c r="E1173" s="1"/>
    </row>
    <row r="1174" ht="15.75" customHeight="1">
      <c r="D1174" s="2"/>
      <c r="E1174" s="1"/>
    </row>
    <row r="1175" ht="15.75" customHeight="1">
      <c r="D1175" s="2"/>
      <c r="E1175" s="1"/>
    </row>
    <row r="1176" ht="15.75" customHeight="1">
      <c r="D1176" s="2"/>
      <c r="E1176" s="1"/>
    </row>
    <row r="1177" ht="15.75" customHeight="1">
      <c r="D1177" s="2"/>
      <c r="E1177" s="1"/>
    </row>
    <row r="1178" ht="15.75" customHeight="1">
      <c r="D1178" s="2"/>
      <c r="E1178" s="1"/>
    </row>
    <row r="1179" ht="15.75" customHeight="1">
      <c r="D1179" s="2"/>
      <c r="E1179" s="1"/>
    </row>
    <row r="1180" ht="15.75" customHeight="1">
      <c r="D1180" s="2"/>
      <c r="E1180" s="1"/>
    </row>
    <row r="1181" ht="15.75" customHeight="1">
      <c r="D1181" s="2"/>
      <c r="E1181" s="1"/>
    </row>
    <row r="1182" ht="15.75" customHeight="1">
      <c r="D1182" s="2"/>
      <c r="E1182" s="1"/>
    </row>
    <row r="1183" ht="15.75" customHeight="1">
      <c r="D1183" s="2"/>
      <c r="E1183" s="1"/>
    </row>
    <row r="1184" ht="15.75" customHeight="1">
      <c r="D1184" s="2"/>
      <c r="E1184" s="1"/>
    </row>
    <row r="1185" ht="15.75" customHeight="1">
      <c r="D1185" s="2"/>
      <c r="E1185" s="1"/>
    </row>
    <row r="1186" ht="15.75" customHeight="1">
      <c r="D1186" s="2"/>
      <c r="E1186" s="1"/>
    </row>
    <row r="1187" ht="15.75" customHeight="1">
      <c r="D1187" s="2"/>
      <c r="E1187" s="1"/>
    </row>
    <row r="1188" ht="15.75" customHeight="1">
      <c r="D1188" s="2"/>
      <c r="E1188" s="1"/>
    </row>
    <row r="1189" ht="15.75" customHeight="1">
      <c r="D1189" s="2"/>
      <c r="E1189" s="1"/>
    </row>
    <row r="1190" ht="15.75" customHeight="1">
      <c r="D1190" s="2"/>
      <c r="E1190" s="1"/>
    </row>
    <row r="1191" ht="15.75" customHeight="1">
      <c r="D1191" s="2"/>
      <c r="E1191" s="1"/>
    </row>
    <row r="1192" ht="15.75" customHeight="1">
      <c r="D1192" s="2"/>
      <c r="E1192" s="1"/>
    </row>
    <row r="1193" ht="15.75" customHeight="1">
      <c r="D1193" s="2"/>
      <c r="E1193" s="1"/>
    </row>
    <row r="1194" ht="15.75" customHeight="1">
      <c r="D1194" s="2"/>
      <c r="E1194" s="1"/>
    </row>
    <row r="1195" ht="15.75" customHeight="1">
      <c r="D1195" s="2"/>
      <c r="E1195" s="1"/>
    </row>
    <row r="1196" ht="15.75" customHeight="1">
      <c r="D1196" s="2"/>
      <c r="E1196" s="1"/>
    </row>
    <row r="1197" ht="15.75" customHeight="1">
      <c r="D1197" s="2"/>
      <c r="E1197" s="1"/>
    </row>
    <row r="1198" ht="15.75" customHeight="1">
      <c r="D1198" s="2"/>
      <c r="E1198" s="1"/>
    </row>
    <row r="1199" ht="15.75" customHeight="1">
      <c r="D1199" s="2"/>
      <c r="E1199" s="1"/>
    </row>
    <row r="1200" ht="15.75" customHeight="1">
      <c r="D1200" s="2"/>
      <c r="E1200" s="1"/>
    </row>
    <row r="1201" ht="15.75" customHeight="1">
      <c r="D1201" s="2"/>
      <c r="E1201" s="1"/>
    </row>
    <row r="1202" ht="15.75" customHeight="1">
      <c r="D1202" s="2"/>
      <c r="E1202" s="1"/>
    </row>
    <row r="1203" ht="15.75" customHeight="1">
      <c r="D1203" s="2"/>
      <c r="E1203" s="1"/>
    </row>
    <row r="1204" ht="15.75" customHeight="1">
      <c r="D1204" s="2"/>
      <c r="E1204" s="1"/>
    </row>
    <row r="1205" ht="15.75" customHeight="1">
      <c r="D1205" s="2"/>
      <c r="E1205" s="1"/>
    </row>
    <row r="1206" ht="15.75" customHeight="1">
      <c r="D1206" s="2"/>
      <c r="E1206" s="1"/>
    </row>
    <row r="1207" ht="15.75" customHeight="1">
      <c r="D1207" s="2"/>
      <c r="E1207" s="1"/>
    </row>
    <row r="1208" ht="15.75" customHeight="1">
      <c r="D1208" s="2"/>
      <c r="E1208" s="1"/>
    </row>
    <row r="1209" ht="15.75" customHeight="1">
      <c r="D1209" s="2"/>
      <c r="E1209" s="1"/>
    </row>
    <row r="1210" ht="15.75" customHeight="1">
      <c r="D1210" s="2"/>
      <c r="E1210" s="1"/>
    </row>
    <row r="1211" ht="15.75" customHeight="1">
      <c r="D1211" s="2"/>
      <c r="E1211" s="1"/>
    </row>
    <row r="1212" ht="15.75" customHeight="1">
      <c r="D1212" s="2"/>
      <c r="E1212" s="1"/>
    </row>
    <row r="1213" ht="15.75" customHeight="1">
      <c r="D1213" s="2"/>
      <c r="E1213" s="1"/>
    </row>
    <row r="1214" ht="15.75" customHeight="1">
      <c r="D1214" s="2"/>
      <c r="E1214" s="1"/>
    </row>
    <row r="1215" ht="15.75" customHeight="1">
      <c r="D1215" s="2"/>
      <c r="E1215" s="1"/>
    </row>
    <row r="1216" ht="15.75" customHeight="1">
      <c r="D1216" s="2"/>
      <c r="E1216" s="1"/>
    </row>
    <row r="1217" ht="15.75" customHeight="1">
      <c r="D1217" s="2"/>
      <c r="E1217" s="1"/>
    </row>
    <row r="1218" ht="15.75" customHeight="1">
      <c r="D1218" s="2"/>
      <c r="E1218" s="1"/>
    </row>
    <row r="1219" ht="15.75" customHeight="1">
      <c r="D1219" s="2"/>
      <c r="E1219" s="1"/>
    </row>
    <row r="1220" ht="15.75" customHeight="1">
      <c r="D1220" s="2"/>
      <c r="E1220" s="1"/>
    </row>
    <row r="1221" ht="15.75" customHeight="1">
      <c r="D1221" s="2"/>
      <c r="E1221" s="1"/>
    </row>
    <row r="1222" ht="15.75" customHeight="1">
      <c r="D1222" s="2"/>
      <c r="E1222" s="1"/>
    </row>
    <row r="1223" ht="15.75" customHeight="1">
      <c r="D1223" s="2"/>
      <c r="E1223" s="1"/>
    </row>
    <row r="1224" ht="15.75" customHeight="1">
      <c r="D1224" s="2"/>
      <c r="E1224" s="1"/>
    </row>
    <row r="1225" ht="15.75" customHeight="1">
      <c r="D1225" s="2"/>
      <c r="E1225" s="1"/>
    </row>
    <row r="1226" ht="15.75" customHeight="1">
      <c r="D1226" s="2"/>
      <c r="E1226" s="1"/>
    </row>
    <row r="1227" ht="15.75" customHeight="1">
      <c r="D1227" s="2"/>
      <c r="E1227" s="1"/>
    </row>
    <row r="1228" ht="15.75" customHeight="1">
      <c r="D1228" s="2"/>
      <c r="E1228" s="1"/>
    </row>
    <row r="1229" ht="15.75" customHeight="1">
      <c r="D1229" s="2"/>
      <c r="E1229" s="1"/>
    </row>
    <row r="1230" ht="15.75" customHeight="1">
      <c r="D1230" s="2"/>
      <c r="E1230" s="1"/>
    </row>
    <row r="1231" ht="15.75" customHeight="1">
      <c r="D1231" s="2"/>
      <c r="E1231" s="1"/>
    </row>
    <row r="1232" ht="15.75" customHeight="1">
      <c r="D1232" s="2"/>
      <c r="E1232" s="1"/>
    </row>
    <row r="1233" ht="15.75" customHeight="1">
      <c r="D1233" s="2"/>
      <c r="E1233" s="1"/>
    </row>
    <row r="1234" ht="15.75" customHeight="1">
      <c r="D1234" s="2"/>
      <c r="E1234" s="1"/>
    </row>
    <row r="1235" ht="15.75" customHeight="1">
      <c r="D1235" s="2"/>
      <c r="E1235" s="1"/>
    </row>
    <row r="1236" ht="15.75" customHeight="1">
      <c r="D1236" s="2"/>
      <c r="E1236" s="1"/>
    </row>
    <row r="1237" ht="15.75" customHeight="1">
      <c r="D1237" s="2"/>
      <c r="E1237" s="1"/>
    </row>
    <row r="1238" ht="15.75" customHeight="1">
      <c r="D1238" s="2"/>
      <c r="E1238" s="1"/>
    </row>
    <row r="1239" ht="15.75" customHeight="1">
      <c r="D1239" s="2"/>
      <c r="E1239" s="1"/>
    </row>
    <row r="1240" ht="15.75" customHeight="1">
      <c r="D1240" s="2"/>
      <c r="E1240" s="1"/>
    </row>
    <row r="1241" ht="15.75" customHeight="1">
      <c r="D1241" s="2"/>
      <c r="E1241" s="1"/>
    </row>
    <row r="1242" ht="15.75" customHeight="1">
      <c r="D1242" s="2"/>
      <c r="E1242" s="1"/>
    </row>
    <row r="1243" ht="15.75" customHeight="1">
      <c r="D1243" s="2"/>
      <c r="E1243" s="1"/>
    </row>
    <row r="1244" ht="15.75" customHeight="1">
      <c r="D1244" s="2"/>
      <c r="E1244" s="1"/>
    </row>
    <row r="1245" ht="15.75" customHeight="1">
      <c r="D1245" s="2"/>
      <c r="E1245" s="1"/>
    </row>
    <row r="1246" ht="15.75" customHeight="1">
      <c r="D1246" s="2"/>
      <c r="E1246" s="1"/>
    </row>
    <row r="1247" ht="15.75" customHeight="1">
      <c r="D1247" s="2"/>
      <c r="E1247" s="1"/>
    </row>
    <row r="1248" ht="15.75" customHeight="1">
      <c r="D1248" s="2"/>
      <c r="E1248" s="1"/>
    </row>
    <row r="1249" ht="15.75" customHeight="1">
      <c r="D1249" s="2"/>
      <c r="E1249" s="1"/>
    </row>
    <row r="1250" ht="15.75" customHeight="1">
      <c r="D1250" s="2"/>
      <c r="E1250" s="1"/>
    </row>
    <row r="1251" ht="15.75" customHeight="1">
      <c r="D1251" s="2"/>
      <c r="E1251" s="1"/>
    </row>
    <row r="1252" ht="15.75" customHeight="1">
      <c r="D1252" s="2"/>
      <c r="E1252" s="1"/>
    </row>
    <row r="1253" ht="15.75" customHeight="1">
      <c r="D1253" s="2"/>
      <c r="E1253" s="1"/>
    </row>
    <row r="1254" ht="15.75" customHeight="1">
      <c r="D1254" s="2"/>
      <c r="E1254" s="1"/>
    </row>
    <row r="1255" ht="15.75" customHeight="1">
      <c r="D1255" s="2"/>
      <c r="E1255" s="1"/>
    </row>
    <row r="1256" ht="15.75" customHeight="1">
      <c r="D1256" s="2"/>
      <c r="E1256" s="1"/>
    </row>
    <row r="1257" ht="15.75" customHeight="1">
      <c r="D1257" s="2"/>
      <c r="E1257" s="1"/>
    </row>
    <row r="1258" ht="15.75" customHeight="1">
      <c r="D1258" s="2"/>
      <c r="E1258" s="1"/>
    </row>
    <row r="1259" ht="15.75" customHeight="1">
      <c r="D1259" s="2"/>
      <c r="E1259" s="1"/>
    </row>
    <row r="1260" ht="15.75" customHeight="1">
      <c r="D1260" s="2"/>
      <c r="E1260" s="1"/>
    </row>
    <row r="1261" ht="15.75" customHeight="1">
      <c r="D1261" s="2"/>
      <c r="E1261" s="1"/>
    </row>
    <row r="1262" ht="15.75" customHeight="1">
      <c r="D1262" s="2"/>
      <c r="E1262" s="1"/>
    </row>
    <row r="1263" ht="15.75" customHeight="1">
      <c r="D1263" s="2"/>
      <c r="E1263" s="1"/>
    </row>
    <row r="1264">
      <c r="D1264" s="2"/>
      <c r="E1264" s="1"/>
    </row>
    <row r="1265">
      <c r="D1265" s="2"/>
      <c r="E1265" s="1"/>
    </row>
    <row r="1266">
      <c r="D1266" s="2"/>
      <c r="E1266" s="1"/>
    </row>
    <row r="1267">
      <c r="D1267" s="2"/>
      <c r="E1267" s="1"/>
    </row>
    <row r="1268">
      <c r="D1268" s="2"/>
      <c r="E1268" s="1"/>
    </row>
    <row r="1269">
      <c r="D1269" s="2"/>
      <c r="E1269" s="1"/>
    </row>
    <row r="1270">
      <c r="D1270" s="2"/>
      <c r="E1270" s="1"/>
    </row>
    <row r="1271">
      <c r="D1271" s="2"/>
      <c r="E1271" s="1"/>
    </row>
    <row r="1272">
      <c r="D1272" s="2"/>
      <c r="E1272" s="1"/>
    </row>
    <row r="1273">
      <c r="D1273" s="2"/>
    </row>
  </sheetData>
  <autoFilter ref="$A$3:$X$708"/>
  <mergeCells count="269">
    <mergeCell ref="E48:E54"/>
    <mergeCell ref="E55:E62"/>
    <mergeCell ref="G56:G67"/>
    <mergeCell ref="E63:E73"/>
    <mergeCell ref="E74:E81"/>
    <mergeCell ref="E82:E90"/>
    <mergeCell ref="E91:E97"/>
    <mergeCell ref="E98:E107"/>
    <mergeCell ref="G103:G111"/>
    <mergeCell ref="E108:E119"/>
    <mergeCell ref="E120:E128"/>
    <mergeCell ref="G122:G129"/>
    <mergeCell ref="E129:E135"/>
    <mergeCell ref="G132:G140"/>
    <mergeCell ref="A21:A28"/>
    <mergeCell ref="A29:A35"/>
    <mergeCell ref="A36:A39"/>
    <mergeCell ref="A40:A47"/>
    <mergeCell ref="A48:A54"/>
    <mergeCell ref="A55:A62"/>
    <mergeCell ref="A63:A73"/>
    <mergeCell ref="A74:A81"/>
    <mergeCell ref="A82:A90"/>
    <mergeCell ref="A91:A97"/>
    <mergeCell ref="A98:A107"/>
    <mergeCell ref="A108:A119"/>
    <mergeCell ref="A120:A128"/>
    <mergeCell ref="A129:A135"/>
    <mergeCell ref="A2:E2"/>
    <mergeCell ref="A4:A10"/>
    <mergeCell ref="E4:E10"/>
    <mergeCell ref="A11:A20"/>
    <mergeCell ref="E11:E20"/>
    <mergeCell ref="G12:G23"/>
    <mergeCell ref="E21:E28"/>
    <mergeCell ref="E29:E35"/>
    <mergeCell ref="G31:H39"/>
    <mergeCell ref="E36:E39"/>
    <mergeCell ref="J37:J40"/>
    <mergeCell ref="E40:E47"/>
    <mergeCell ref="J42:J49"/>
    <mergeCell ref="G43:G51"/>
    <mergeCell ref="G75:G85"/>
    <mergeCell ref="G92:G96"/>
    <mergeCell ref="G176:G185"/>
    <mergeCell ref="G221:G228"/>
    <mergeCell ref="G231:G243"/>
    <mergeCell ref="G258:G264"/>
    <mergeCell ref="F188:N188"/>
    <mergeCell ref="G191:I191"/>
    <mergeCell ref="G192:I192"/>
    <mergeCell ref="G193:I193"/>
    <mergeCell ref="E136:E141"/>
    <mergeCell ref="E142:E152"/>
    <mergeCell ref="E153:E164"/>
    <mergeCell ref="E165:E172"/>
    <mergeCell ref="E173:E181"/>
    <mergeCell ref="E182:E189"/>
    <mergeCell ref="E190:E196"/>
    <mergeCell ref="A225:A228"/>
    <mergeCell ref="A238:A241"/>
    <mergeCell ref="E197:E201"/>
    <mergeCell ref="E202:E210"/>
    <mergeCell ref="E211:E217"/>
    <mergeCell ref="E218:E224"/>
    <mergeCell ref="E225:E228"/>
    <mergeCell ref="E229:E237"/>
    <mergeCell ref="E238:E241"/>
    <mergeCell ref="A424:A429"/>
    <mergeCell ref="A430:A433"/>
    <mergeCell ref="A434:A439"/>
    <mergeCell ref="A440:A443"/>
    <mergeCell ref="A444:A448"/>
    <mergeCell ref="A449:A455"/>
    <mergeCell ref="A456:A459"/>
    <mergeCell ref="A460:A468"/>
    <mergeCell ref="A469:A473"/>
    <mergeCell ref="A474:A478"/>
    <mergeCell ref="A479:A485"/>
    <mergeCell ref="A486:A493"/>
    <mergeCell ref="A494:A497"/>
    <mergeCell ref="A498:A501"/>
    <mergeCell ref="A502:A505"/>
    <mergeCell ref="A506:A513"/>
    <mergeCell ref="A514:A519"/>
    <mergeCell ref="A520:A524"/>
    <mergeCell ref="A525:A533"/>
    <mergeCell ref="A534:A540"/>
    <mergeCell ref="A541:A546"/>
    <mergeCell ref="A547:A556"/>
    <mergeCell ref="A557:A560"/>
    <mergeCell ref="A561:A567"/>
    <mergeCell ref="A568:A573"/>
    <mergeCell ref="A574:A580"/>
    <mergeCell ref="A581:A587"/>
    <mergeCell ref="A588:A594"/>
    <mergeCell ref="A595:A599"/>
    <mergeCell ref="A600:A606"/>
    <mergeCell ref="A607:A610"/>
    <mergeCell ref="A611:A618"/>
    <mergeCell ref="A619:A626"/>
    <mergeCell ref="A627:A637"/>
    <mergeCell ref="A638:A643"/>
    <mergeCell ref="A691:A697"/>
    <mergeCell ref="A698:A704"/>
    <mergeCell ref="A705:A708"/>
    <mergeCell ref="A644:A649"/>
    <mergeCell ref="A650:A658"/>
    <mergeCell ref="A659:A662"/>
    <mergeCell ref="A663:A671"/>
    <mergeCell ref="A672:A676"/>
    <mergeCell ref="A677:A684"/>
    <mergeCell ref="A685:A690"/>
    <mergeCell ref="A136:A141"/>
    <mergeCell ref="A142:A152"/>
    <mergeCell ref="A153:A164"/>
    <mergeCell ref="A165:A172"/>
    <mergeCell ref="A173:A181"/>
    <mergeCell ref="A182:A189"/>
    <mergeCell ref="A190:A196"/>
    <mergeCell ref="A197:A201"/>
    <mergeCell ref="A202:A210"/>
    <mergeCell ref="A211:A217"/>
    <mergeCell ref="A218:A224"/>
    <mergeCell ref="A229:A237"/>
    <mergeCell ref="A242:A247"/>
    <mergeCell ref="A248:A252"/>
    <mergeCell ref="A253:A257"/>
    <mergeCell ref="A258:A262"/>
    <mergeCell ref="A263:A268"/>
    <mergeCell ref="A269:A273"/>
    <mergeCell ref="A274:A279"/>
    <mergeCell ref="A280:A285"/>
    <mergeCell ref="A286:A290"/>
    <mergeCell ref="A291:A294"/>
    <mergeCell ref="A295:A299"/>
    <mergeCell ref="A300:A303"/>
    <mergeCell ref="A304:A306"/>
    <mergeCell ref="A307:A310"/>
    <mergeCell ref="A311:A321"/>
    <mergeCell ref="A322:A326"/>
    <mergeCell ref="A327:A332"/>
    <mergeCell ref="A333:A336"/>
    <mergeCell ref="A337:A340"/>
    <mergeCell ref="A341:A346"/>
    <mergeCell ref="A347:A350"/>
    <mergeCell ref="A351:A355"/>
    <mergeCell ref="A356:A359"/>
    <mergeCell ref="A360:A363"/>
    <mergeCell ref="A364:A368"/>
    <mergeCell ref="A369:A373"/>
    <mergeCell ref="A374:A377"/>
    <mergeCell ref="A378:A381"/>
    <mergeCell ref="A382:A385"/>
    <mergeCell ref="A386:A389"/>
    <mergeCell ref="A390:A393"/>
    <mergeCell ref="A394:A397"/>
    <mergeCell ref="A398:A401"/>
    <mergeCell ref="A402:A406"/>
    <mergeCell ref="A407:A413"/>
    <mergeCell ref="A414:A418"/>
    <mergeCell ref="A419:A423"/>
    <mergeCell ref="E242:E247"/>
    <mergeCell ref="E248:E252"/>
    <mergeCell ref="E253:E257"/>
    <mergeCell ref="E258:E262"/>
    <mergeCell ref="J264:J271"/>
    <mergeCell ref="I265:I269"/>
    <mergeCell ref="G266:G269"/>
    <mergeCell ref="E263:E268"/>
    <mergeCell ref="E269:E273"/>
    <mergeCell ref="E274:E279"/>
    <mergeCell ref="G276:G279"/>
    <mergeCell ref="E280:E285"/>
    <mergeCell ref="J280:J294"/>
    <mergeCell ref="E286:E290"/>
    <mergeCell ref="G334:G339"/>
    <mergeCell ref="E337:E340"/>
    <mergeCell ref="G341:G347"/>
    <mergeCell ref="E291:E294"/>
    <mergeCell ref="E295:E299"/>
    <mergeCell ref="E300:E303"/>
    <mergeCell ref="E304:E306"/>
    <mergeCell ref="E307:E310"/>
    <mergeCell ref="E311:E317"/>
    <mergeCell ref="G325:G332"/>
    <mergeCell ref="E322:E326"/>
    <mergeCell ref="E327:E332"/>
    <mergeCell ref="E333:E336"/>
    <mergeCell ref="E341:E346"/>
    <mergeCell ref="E347:E350"/>
    <mergeCell ref="E351:E355"/>
    <mergeCell ref="E356:E359"/>
    <mergeCell ref="E360:E363"/>
    <mergeCell ref="E364:E368"/>
    <mergeCell ref="E369:E373"/>
    <mergeCell ref="E374:E377"/>
    <mergeCell ref="E378:E381"/>
    <mergeCell ref="E382:E385"/>
    <mergeCell ref="E386:E389"/>
    <mergeCell ref="E390:E393"/>
    <mergeCell ref="E394:E397"/>
    <mergeCell ref="E398:E401"/>
    <mergeCell ref="E402:E406"/>
    <mergeCell ref="E407:E413"/>
    <mergeCell ref="E414:E418"/>
    <mergeCell ref="E419:E423"/>
    <mergeCell ref="E611:E618"/>
    <mergeCell ref="G612:G613"/>
    <mergeCell ref="E619:E626"/>
    <mergeCell ref="G622:G626"/>
    <mergeCell ref="E627:E637"/>
    <mergeCell ref="E638:E643"/>
    <mergeCell ref="E644:E649"/>
    <mergeCell ref="A710:C710"/>
    <mergeCell ref="E710:G710"/>
    <mergeCell ref="A726:C726"/>
    <mergeCell ref="E650:E658"/>
    <mergeCell ref="E659:E662"/>
    <mergeCell ref="E663:E671"/>
    <mergeCell ref="G663:G666"/>
    <mergeCell ref="E672:E676"/>
    <mergeCell ref="G672:G675"/>
    <mergeCell ref="E677:E684"/>
    <mergeCell ref="E424:E429"/>
    <mergeCell ref="E430:E433"/>
    <mergeCell ref="E434:E439"/>
    <mergeCell ref="E440:E443"/>
    <mergeCell ref="E444:E448"/>
    <mergeCell ref="E449:E455"/>
    <mergeCell ref="E456:E459"/>
    <mergeCell ref="E460:E468"/>
    <mergeCell ref="E469:E473"/>
    <mergeCell ref="E474:E478"/>
    <mergeCell ref="E479:E485"/>
    <mergeCell ref="E486:E493"/>
    <mergeCell ref="E494:E497"/>
    <mergeCell ref="E498:E501"/>
    <mergeCell ref="E502:E505"/>
    <mergeCell ref="E506:E513"/>
    <mergeCell ref="E514:E519"/>
    <mergeCell ref="E520:E524"/>
    <mergeCell ref="E525:E533"/>
    <mergeCell ref="E534:E540"/>
    <mergeCell ref="E541:E546"/>
    <mergeCell ref="G569:G575"/>
    <mergeCell ref="G583:G591"/>
    <mergeCell ref="G593:G597"/>
    <mergeCell ref="G598:G602"/>
    <mergeCell ref="G603:G607"/>
    <mergeCell ref="G608:G611"/>
    <mergeCell ref="E547:E556"/>
    <mergeCell ref="E557:E560"/>
    <mergeCell ref="E561:E567"/>
    <mergeCell ref="G561:G568"/>
    <mergeCell ref="E568:E573"/>
    <mergeCell ref="E574:E580"/>
    <mergeCell ref="E581:E587"/>
    <mergeCell ref="E588:E594"/>
    <mergeCell ref="E595:E599"/>
    <mergeCell ref="E600:E606"/>
    <mergeCell ref="J603:J607"/>
    <mergeCell ref="K604:K605"/>
    <mergeCell ref="L604:L605"/>
    <mergeCell ref="E607:E610"/>
    <mergeCell ref="E685:E690"/>
    <mergeCell ref="E691:E697"/>
    <mergeCell ref="E698:E704"/>
    <mergeCell ref="E705:E708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47.86"/>
    <col customWidth="1" min="3" max="3" width="20.43"/>
    <col customWidth="1" min="4" max="4" width="23.29"/>
    <col customWidth="1" min="5" max="5" width="23.43"/>
    <col customWidth="1" min="6" max="6" width="23.86"/>
    <col customWidth="1" min="7" max="7" width="29.57"/>
    <col customWidth="1" min="8" max="8" width="26.14"/>
    <col customWidth="1" min="9" max="9" width="27.86"/>
    <col customWidth="1" min="10" max="10" width="33.71"/>
    <col customWidth="1" min="11" max="11" width="39.0"/>
    <col customWidth="1" min="12" max="12" width="26.0"/>
    <col customWidth="1" min="13" max="13" width="30.14"/>
    <col customWidth="1" min="14" max="24" width="8.71"/>
  </cols>
  <sheetData>
    <row r="1">
      <c r="A1" s="1"/>
      <c r="D1" s="2"/>
      <c r="E1" s="1"/>
    </row>
    <row r="2" ht="39.75" customHeight="1">
      <c r="A2" s="280" t="s">
        <v>520</v>
      </c>
      <c r="B2" s="4"/>
      <c r="C2" s="4"/>
      <c r="D2" s="4"/>
      <c r="E2" s="5"/>
    </row>
    <row r="3">
      <c r="A3" s="6" t="s">
        <v>1</v>
      </c>
      <c r="B3" s="6"/>
      <c r="C3" s="6" t="s">
        <v>2</v>
      </c>
      <c r="D3" s="7" t="s">
        <v>3</v>
      </c>
      <c r="E3" s="6" t="s">
        <v>4</v>
      </c>
      <c r="H3" s="9"/>
      <c r="I3" s="10"/>
    </row>
    <row r="4" ht="27.0" customHeight="1">
      <c r="A4" s="295" t="s">
        <v>5</v>
      </c>
      <c r="B4" s="160" t="s">
        <v>521</v>
      </c>
      <c r="C4" s="155">
        <v>4480000.0</v>
      </c>
      <c r="D4" s="152" t="s">
        <v>7</v>
      </c>
      <c r="E4" s="401">
        <v>0.0</v>
      </c>
      <c r="H4" s="9"/>
      <c r="I4" s="17"/>
    </row>
    <row r="5" ht="25.5" customHeight="1">
      <c r="A5" s="18"/>
      <c r="B5" s="160" t="s">
        <v>522</v>
      </c>
      <c r="C5" s="155">
        <v>3945500.0</v>
      </c>
      <c r="D5" s="193" t="s">
        <v>7</v>
      </c>
      <c r="E5" s="18"/>
      <c r="F5" s="20"/>
      <c r="H5" s="9"/>
      <c r="I5" s="10"/>
    </row>
    <row r="6" ht="25.5" customHeight="1">
      <c r="A6" s="18"/>
      <c r="B6" s="160" t="s">
        <v>523</v>
      </c>
      <c r="C6" s="155">
        <v>4.8419E7</v>
      </c>
      <c r="D6" s="193" t="s">
        <v>7</v>
      </c>
      <c r="E6" s="18"/>
      <c r="H6" s="9"/>
      <c r="I6" s="10"/>
    </row>
    <row r="7" ht="25.5" customHeight="1">
      <c r="A7" s="18"/>
      <c r="B7" s="157"/>
      <c r="C7" s="157"/>
      <c r="D7" s="193"/>
      <c r="E7" s="18"/>
      <c r="H7" s="9"/>
      <c r="I7" s="10"/>
    </row>
    <row r="8" ht="25.5" customHeight="1">
      <c r="A8" s="18"/>
      <c r="B8" s="160"/>
      <c r="C8" s="155"/>
      <c r="D8" s="193"/>
      <c r="E8" s="18"/>
      <c r="F8" s="29"/>
      <c r="H8" s="27"/>
      <c r="I8" s="28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ht="25.5" customHeight="1">
      <c r="A9" s="18"/>
      <c r="B9" s="157"/>
      <c r="C9" s="157"/>
      <c r="D9" s="440"/>
      <c r="E9" s="18"/>
      <c r="F9" s="29"/>
      <c r="H9" s="27"/>
      <c r="I9" s="28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ht="25.5" customHeight="1">
      <c r="A10" s="22"/>
      <c r="B10" s="159"/>
      <c r="C10" s="207"/>
      <c r="D10" s="287"/>
      <c r="E10" s="22"/>
      <c r="F10" s="29"/>
      <c r="H10" s="27"/>
      <c r="I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ht="25.5" customHeight="1">
      <c r="A11" s="295" t="s">
        <v>11</v>
      </c>
      <c r="B11" s="160"/>
      <c r="C11" s="160"/>
      <c r="D11" s="169"/>
      <c r="E11" s="441">
        <f>sum(C18:C21)</f>
        <v>62958200</v>
      </c>
      <c r="H11" s="9"/>
      <c r="I11" s="10"/>
    </row>
    <row r="12" ht="25.5" customHeight="1">
      <c r="A12" s="18"/>
      <c r="B12" s="160"/>
      <c r="C12" s="207"/>
      <c r="D12" s="169"/>
      <c r="E12" s="18"/>
      <c r="G12" s="32"/>
      <c r="H12" s="9"/>
      <c r="I12" s="10"/>
    </row>
    <row r="13" ht="25.5" customHeight="1">
      <c r="A13" s="18"/>
      <c r="B13" s="160"/>
      <c r="C13" s="155"/>
      <c r="D13" s="169"/>
      <c r="E13" s="18"/>
      <c r="H13" s="9"/>
      <c r="I13" s="10"/>
    </row>
    <row r="14" ht="25.5" customHeight="1">
      <c r="A14" s="18"/>
      <c r="B14" s="160"/>
      <c r="C14" s="155"/>
      <c r="D14" s="156"/>
      <c r="E14" s="18"/>
      <c r="H14" s="9"/>
      <c r="I14" s="10"/>
    </row>
    <row r="15" ht="25.5" customHeight="1">
      <c r="A15" s="18"/>
      <c r="B15" s="160"/>
      <c r="C15" s="155"/>
      <c r="D15" s="156"/>
      <c r="E15" s="18"/>
      <c r="H15" s="9"/>
      <c r="I15" s="10"/>
    </row>
    <row r="16" ht="25.5" customHeight="1">
      <c r="A16" s="18"/>
      <c r="B16" s="160"/>
      <c r="C16" s="160"/>
      <c r="D16" s="156"/>
      <c r="E16" s="18"/>
      <c r="F16" s="281"/>
      <c r="H16" s="9"/>
      <c r="I16" s="10"/>
    </row>
    <row r="17" ht="25.5" customHeight="1">
      <c r="A17" s="18"/>
      <c r="B17" s="160"/>
      <c r="C17" s="160"/>
      <c r="D17" s="156"/>
      <c r="E17" s="18"/>
      <c r="F17" s="281"/>
      <c r="H17" s="9"/>
      <c r="I17" s="10"/>
    </row>
    <row r="18" ht="25.5" customHeight="1">
      <c r="A18" s="18"/>
      <c r="B18" s="160" t="s">
        <v>524</v>
      </c>
      <c r="C18" s="160">
        <v>1.337E7</v>
      </c>
      <c r="D18" s="156"/>
      <c r="E18" s="18"/>
      <c r="H18" s="9"/>
      <c r="I18" s="10"/>
    </row>
    <row r="19" ht="25.5" customHeight="1">
      <c r="A19" s="18"/>
      <c r="B19" s="160" t="s">
        <v>521</v>
      </c>
      <c r="C19" s="160">
        <v>8760000.0</v>
      </c>
      <c r="D19" s="156"/>
      <c r="E19" s="18"/>
      <c r="H19" s="9"/>
      <c r="I19" s="10"/>
    </row>
    <row r="20" ht="25.5" customHeight="1">
      <c r="A20" s="18"/>
      <c r="B20" s="160" t="s">
        <v>522</v>
      </c>
      <c r="C20" s="160">
        <v>1.22882E7</v>
      </c>
      <c r="D20" s="156"/>
      <c r="E20" s="18"/>
      <c r="H20" s="9"/>
      <c r="I20" s="10"/>
    </row>
    <row r="21" ht="25.5" customHeight="1">
      <c r="A21" s="22"/>
      <c r="B21" s="160" t="s">
        <v>523</v>
      </c>
      <c r="C21" s="160">
        <v>2.854E7</v>
      </c>
      <c r="D21" s="156"/>
      <c r="E21" s="22"/>
      <c r="H21" s="9"/>
      <c r="I21" s="10"/>
    </row>
    <row r="22" ht="25.5" customHeight="1">
      <c r="A22" s="295" t="s">
        <v>16</v>
      </c>
      <c r="B22" s="160" t="s">
        <v>314</v>
      </c>
      <c r="C22" s="160">
        <v>3800000.0</v>
      </c>
      <c r="D22" s="187"/>
      <c r="E22" s="441">
        <f>sum(C22:C28)</f>
        <v>53525000</v>
      </c>
      <c r="H22" s="9"/>
      <c r="I22" s="10"/>
    </row>
    <row r="23" ht="25.5" customHeight="1">
      <c r="A23" s="18"/>
      <c r="B23" s="160" t="s">
        <v>312</v>
      </c>
      <c r="C23" s="160">
        <v>7600000.0</v>
      </c>
      <c r="D23" s="33"/>
      <c r="E23" s="18"/>
      <c r="H23" s="9"/>
      <c r="I23" s="10"/>
    </row>
    <row r="24" ht="25.5" customHeight="1">
      <c r="A24" s="18"/>
      <c r="B24" s="160" t="s">
        <v>407</v>
      </c>
      <c r="C24" s="160">
        <v>7600000.0</v>
      </c>
      <c r="D24" s="157"/>
      <c r="E24" s="18"/>
      <c r="H24" s="9"/>
      <c r="I24" s="10"/>
    </row>
    <row r="25" ht="25.5" customHeight="1">
      <c r="A25" s="18"/>
      <c r="B25" s="160" t="s">
        <v>409</v>
      </c>
      <c r="C25" s="160">
        <v>7600000.0</v>
      </c>
      <c r="D25" s="157"/>
      <c r="E25" s="18"/>
      <c r="G25" s="20">
        <f>4500*20</f>
        <v>90000</v>
      </c>
    </row>
    <row r="26" ht="25.5" customHeight="1">
      <c r="A26" s="18"/>
      <c r="B26" s="160" t="s">
        <v>525</v>
      </c>
      <c r="C26" s="160">
        <v>1.0075E7</v>
      </c>
      <c r="D26" s="157"/>
      <c r="E26" s="18"/>
      <c r="G26" s="20"/>
    </row>
    <row r="27" ht="25.5" customHeight="1">
      <c r="A27" s="18"/>
      <c r="B27" s="160" t="s">
        <v>522</v>
      </c>
      <c r="C27" s="160">
        <v>9250000.0</v>
      </c>
      <c r="D27" s="157"/>
      <c r="E27" s="18"/>
      <c r="G27" s="20"/>
    </row>
    <row r="28" ht="25.5" customHeight="1">
      <c r="A28" s="18"/>
      <c r="B28" s="160" t="s">
        <v>523</v>
      </c>
      <c r="C28" s="160">
        <v>7600000.0</v>
      </c>
      <c r="D28" s="33"/>
      <c r="E28" s="18"/>
      <c r="G28" s="20"/>
    </row>
    <row r="29" ht="25.5" customHeight="1">
      <c r="A29" s="22"/>
      <c r="B29" s="157"/>
      <c r="C29" s="157"/>
      <c r="D29" s="33"/>
      <c r="E29" s="22"/>
      <c r="G29" s="20"/>
    </row>
    <row r="30" ht="25.5" customHeight="1">
      <c r="A30" s="295" t="s">
        <v>18</v>
      </c>
      <c r="B30" s="160" t="s">
        <v>525</v>
      </c>
      <c r="C30" s="155">
        <v>5.6705E7</v>
      </c>
      <c r="D30" s="156" t="s">
        <v>7</v>
      </c>
      <c r="E30" s="401">
        <v>0.0</v>
      </c>
      <c r="H30" s="20">
        <f>4500*20</f>
        <v>90000</v>
      </c>
    </row>
    <row r="31" ht="25.5" customHeight="1">
      <c r="A31" s="18"/>
      <c r="B31" s="160" t="s">
        <v>521</v>
      </c>
      <c r="C31" s="160">
        <v>1.715E7</v>
      </c>
      <c r="D31" s="156" t="s">
        <v>7</v>
      </c>
      <c r="E31" s="18"/>
      <c r="F31" s="20"/>
    </row>
    <row r="32" ht="25.5" customHeight="1">
      <c r="A32" s="18"/>
      <c r="B32" s="160" t="s">
        <v>522</v>
      </c>
      <c r="C32" s="155">
        <v>3.18075E7</v>
      </c>
      <c r="D32" s="156" t="s">
        <v>7</v>
      </c>
      <c r="E32" s="18"/>
      <c r="G32" s="8"/>
      <c r="I32" s="28"/>
    </row>
    <row r="33" ht="25.5" customHeight="1">
      <c r="A33" s="18"/>
      <c r="B33" s="160" t="s">
        <v>523</v>
      </c>
      <c r="C33" s="155">
        <v>8.5975E7</v>
      </c>
      <c r="D33" s="173" t="s">
        <v>7</v>
      </c>
      <c r="E33" s="18"/>
      <c r="I33" s="28"/>
    </row>
    <row r="34" ht="25.5" customHeight="1">
      <c r="A34" s="18"/>
      <c r="B34" s="160"/>
      <c r="C34" s="155"/>
      <c r="D34" s="156"/>
      <c r="E34" s="18"/>
      <c r="I34" s="28"/>
    </row>
    <row r="35" ht="25.5" customHeight="1">
      <c r="A35" s="18"/>
      <c r="B35" s="157"/>
      <c r="C35" s="157"/>
      <c r="D35" s="157"/>
      <c r="E35" s="18"/>
      <c r="I35" s="28"/>
    </row>
    <row r="36" ht="25.5" customHeight="1">
      <c r="A36" s="22"/>
      <c r="B36" s="157"/>
      <c r="C36" s="157"/>
      <c r="D36" s="157"/>
      <c r="E36" s="22"/>
      <c r="I36" s="28"/>
    </row>
    <row r="37" ht="25.5" customHeight="1">
      <c r="A37" s="295" t="s">
        <v>19</v>
      </c>
      <c r="B37" s="160"/>
      <c r="C37" s="160"/>
      <c r="D37" s="187"/>
      <c r="E37" s="401"/>
      <c r="I37" s="28"/>
    </row>
    <row r="38" ht="25.5" customHeight="1">
      <c r="A38" s="18"/>
      <c r="B38" s="160"/>
      <c r="C38" s="155"/>
      <c r="D38" s="173"/>
      <c r="E38" s="18"/>
      <c r="I38" s="28"/>
      <c r="J38" s="38" t="str">
        <f>H41</f>
        <v/>
      </c>
    </row>
    <row r="39" ht="25.5" customHeight="1">
      <c r="A39" s="18"/>
      <c r="B39" s="160"/>
      <c r="E39" s="18"/>
      <c r="F39" s="20"/>
      <c r="I39" s="28"/>
    </row>
    <row r="40" ht="25.5" customHeight="1">
      <c r="A40" s="22"/>
      <c r="B40" s="157"/>
      <c r="C40" s="157"/>
      <c r="D40" s="157"/>
      <c r="E40" s="22"/>
      <c r="I40" s="28"/>
    </row>
    <row r="41" ht="25.5" customHeight="1">
      <c r="A41" s="295" t="s">
        <v>20</v>
      </c>
      <c r="B41" s="160"/>
      <c r="C41" s="185"/>
      <c r="D41" s="169"/>
      <c r="E41" s="401">
        <v>0.0</v>
      </c>
    </row>
    <row r="42" ht="25.5" customHeight="1">
      <c r="A42" s="18"/>
      <c r="B42" s="160"/>
      <c r="C42" s="185"/>
      <c r="E42" s="18"/>
      <c r="F42" s="20"/>
    </row>
    <row r="43" ht="23.25" customHeight="1">
      <c r="A43" s="18"/>
      <c r="B43" s="160"/>
      <c r="C43" s="185"/>
      <c r="D43" s="169"/>
      <c r="E43" s="18"/>
      <c r="J43" s="38"/>
    </row>
    <row r="44" ht="23.25" customHeight="1">
      <c r="A44" s="18"/>
      <c r="B44" s="160"/>
      <c r="C44" s="185"/>
      <c r="D44" s="284"/>
      <c r="E44" s="18"/>
      <c r="G44" s="42"/>
      <c r="H44" s="9"/>
      <c r="I44" s="43"/>
    </row>
    <row r="45" ht="23.25" customHeight="1">
      <c r="A45" s="18"/>
      <c r="B45" s="160"/>
      <c r="C45" s="160"/>
      <c r="D45" s="284"/>
      <c r="E45" s="18"/>
      <c r="H45" s="9"/>
      <c r="I45" s="43"/>
    </row>
    <row r="46" ht="23.25" customHeight="1">
      <c r="A46" s="18"/>
      <c r="B46" s="160"/>
      <c r="C46" s="185"/>
      <c r="D46" s="192"/>
      <c r="E46" s="18"/>
      <c r="H46" s="9"/>
      <c r="I46" s="43"/>
    </row>
    <row r="47" ht="23.25" customHeight="1">
      <c r="A47" s="18"/>
      <c r="B47" s="157"/>
      <c r="C47" s="157"/>
      <c r="D47" s="157"/>
      <c r="E47" s="18"/>
      <c r="H47" s="9"/>
      <c r="I47" s="43"/>
    </row>
    <row r="48" ht="23.25" customHeight="1">
      <c r="A48" s="22"/>
      <c r="B48" s="157"/>
      <c r="C48" s="157"/>
      <c r="D48" s="157"/>
      <c r="E48" s="22"/>
      <c r="H48" s="9"/>
      <c r="I48" s="43"/>
    </row>
    <row r="49" ht="23.25" customHeight="1">
      <c r="A49" s="295" t="s">
        <v>22</v>
      </c>
      <c r="B49" s="160"/>
      <c r="C49" s="185"/>
      <c r="D49" s="173"/>
      <c r="E49" s="401">
        <f>SUM(C51:C52)</f>
        <v>8148500</v>
      </c>
      <c r="H49" s="9"/>
      <c r="I49" s="43"/>
    </row>
    <row r="50" ht="23.25" customHeight="1">
      <c r="A50" s="18"/>
      <c r="B50" s="160"/>
      <c r="C50" s="185"/>
      <c r="D50" s="173"/>
      <c r="E50" s="18"/>
      <c r="H50" s="45"/>
      <c r="I50" s="43"/>
    </row>
    <row r="51" ht="23.25" customHeight="1">
      <c r="A51" s="18"/>
      <c r="B51" s="160" t="s">
        <v>526</v>
      </c>
      <c r="C51" s="185">
        <v>2977000.0</v>
      </c>
      <c r="D51" s="157"/>
      <c r="E51" s="18"/>
      <c r="H51" s="9"/>
      <c r="I51" s="10"/>
      <c r="J51" s="46"/>
    </row>
    <row r="52" ht="23.25" customHeight="1">
      <c r="A52" s="18"/>
      <c r="B52" s="160" t="s">
        <v>522</v>
      </c>
      <c r="C52" s="185">
        <v>5171500.0</v>
      </c>
      <c r="D52" s="157"/>
      <c r="E52" s="18"/>
      <c r="H52" s="1"/>
      <c r="I52" s="1"/>
    </row>
    <row r="53" ht="23.25" customHeight="1">
      <c r="A53" s="18"/>
      <c r="B53" s="160"/>
      <c r="C53" s="157"/>
      <c r="D53" s="157"/>
      <c r="E53" s="18"/>
      <c r="G53" s="42"/>
      <c r="H53" s="1"/>
      <c r="I53" s="1"/>
    </row>
    <row r="54" ht="23.25" customHeight="1">
      <c r="A54" s="18"/>
      <c r="B54" s="157"/>
      <c r="C54" s="157"/>
      <c r="D54" s="157"/>
      <c r="E54" s="18"/>
      <c r="G54" s="42"/>
      <c r="H54" s="1"/>
      <c r="I54" s="1"/>
    </row>
    <row r="55" ht="23.25" customHeight="1">
      <c r="A55" s="22"/>
      <c r="B55" s="116"/>
      <c r="C55" s="160"/>
      <c r="D55" s="285"/>
      <c r="E55" s="22"/>
      <c r="G55" s="42"/>
      <c r="H55" s="1"/>
      <c r="I55" s="1"/>
    </row>
    <row r="56" ht="23.25" customHeight="1">
      <c r="A56" s="295" t="s">
        <v>23</v>
      </c>
      <c r="B56" s="160"/>
      <c r="C56" s="160"/>
      <c r="D56" s="169"/>
      <c r="E56" s="441">
        <f>SUM(C62)</f>
        <v>60794500</v>
      </c>
    </row>
    <row r="57" ht="23.25" customHeight="1">
      <c r="A57" s="18"/>
      <c r="B57" s="160"/>
      <c r="C57" s="160"/>
      <c r="D57" s="169"/>
      <c r="E57" s="18"/>
      <c r="G57" s="8"/>
      <c r="H57" s="228"/>
      <c r="I57" s="442"/>
    </row>
    <row r="58" ht="23.25" customHeight="1">
      <c r="A58" s="18"/>
      <c r="B58" s="160"/>
      <c r="C58" s="160"/>
      <c r="D58" s="169"/>
      <c r="E58" s="18"/>
      <c r="H58" s="228"/>
      <c r="I58" s="442"/>
    </row>
    <row r="59" ht="23.25" customHeight="1">
      <c r="A59" s="18"/>
      <c r="B59" s="160"/>
      <c r="C59" s="160"/>
      <c r="D59" s="169"/>
      <c r="E59" s="18"/>
      <c r="H59" s="228"/>
      <c r="I59" s="442"/>
    </row>
    <row r="60" ht="23.25" customHeight="1">
      <c r="A60" s="18"/>
      <c r="B60" s="160"/>
      <c r="C60" s="160"/>
      <c r="D60" s="169"/>
      <c r="E60" s="18"/>
      <c r="H60" s="228"/>
      <c r="I60" s="442"/>
    </row>
    <row r="61" ht="23.25" customHeight="1">
      <c r="A61" s="18"/>
      <c r="B61" s="160"/>
      <c r="C61" s="160"/>
      <c r="D61" s="169"/>
      <c r="E61" s="18"/>
      <c r="H61" s="228"/>
      <c r="I61" s="442"/>
    </row>
    <row r="62" ht="23.25" customHeight="1">
      <c r="A62" s="18"/>
      <c r="B62" s="160" t="s">
        <v>523</v>
      </c>
      <c r="C62" s="160">
        <v>6.07945E7</v>
      </c>
      <c r="D62" s="157"/>
      <c r="E62" s="18"/>
      <c r="H62" s="228"/>
      <c r="I62" s="442"/>
    </row>
    <row r="63" ht="23.25" customHeight="1">
      <c r="A63" s="22"/>
      <c r="B63" s="157"/>
      <c r="C63" s="157"/>
      <c r="D63" s="187"/>
      <c r="E63" s="22"/>
      <c r="H63" s="228"/>
      <c r="I63" s="442"/>
    </row>
    <row r="64" ht="23.25" customHeight="1">
      <c r="A64" s="102" t="s">
        <v>25</v>
      </c>
      <c r="B64" s="160"/>
      <c r="C64" s="207"/>
      <c r="D64" s="169"/>
      <c r="E64" s="441">
        <f>SUM(C64:C69)</f>
        <v>0</v>
      </c>
      <c r="H64" s="228"/>
      <c r="I64" s="442"/>
    </row>
    <row r="65" ht="23.25" customHeight="1">
      <c r="A65" s="18"/>
      <c r="B65" s="160"/>
      <c r="C65" s="160"/>
      <c r="D65" s="169"/>
      <c r="E65" s="18"/>
      <c r="H65" s="228"/>
      <c r="I65" s="442"/>
      <c r="K65" s="10"/>
      <c r="L65" s="50"/>
    </row>
    <row r="66" ht="23.25" customHeight="1">
      <c r="A66" s="18"/>
      <c r="B66" s="160"/>
      <c r="C66" s="160"/>
      <c r="D66" s="169"/>
      <c r="E66" s="18"/>
      <c r="H66" s="228"/>
      <c r="I66" s="442"/>
      <c r="K66" s="10"/>
      <c r="L66" s="50"/>
    </row>
    <row r="67" ht="23.25" customHeight="1">
      <c r="A67" s="18"/>
      <c r="B67" s="160"/>
      <c r="C67" s="160"/>
      <c r="D67" s="157"/>
      <c r="E67" s="18"/>
      <c r="K67" s="10"/>
      <c r="L67" s="50"/>
    </row>
    <row r="68" ht="23.25" customHeight="1">
      <c r="A68" s="18"/>
      <c r="B68" s="160"/>
      <c r="C68" s="160"/>
      <c r="D68" s="157"/>
      <c r="E68" s="18"/>
      <c r="H68" s="53"/>
      <c r="I68" s="219"/>
      <c r="K68" s="10"/>
      <c r="L68" s="50"/>
    </row>
    <row r="69" ht="23.25" customHeight="1">
      <c r="A69" s="18"/>
      <c r="B69" s="160"/>
      <c r="C69" s="155"/>
      <c r="D69" s="169"/>
      <c r="E69" s="18"/>
      <c r="G69" s="8"/>
      <c r="H69" s="53"/>
      <c r="I69" s="54"/>
      <c r="K69" s="10"/>
      <c r="L69" s="50"/>
    </row>
    <row r="70" ht="23.25" customHeight="1">
      <c r="A70" s="18"/>
      <c r="B70" s="160"/>
      <c r="C70" s="155"/>
      <c r="D70" s="169"/>
      <c r="E70" s="18"/>
      <c r="G70" s="8"/>
      <c r="H70" s="53"/>
      <c r="I70" s="54"/>
      <c r="K70" s="10"/>
      <c r="L70" s="50"/>
    </row>
    <row r="71" ht="23.25" customHeight="1">
      <c r="A71" s="18"/>
      <c r="B71" s="160"/>
      <c r="C71" s="155"/>
      <c r="D71" s="169"/>
      <c r="E71" s="18"/>
      <c r="G71" s="8"/>
      <c r="K71" s="10"/>
      <c r="L71" s="50"/>
    </row>
    <row r="72" ht="23.25" customHeight="1">
      <c r="A72" s="18"/>
      <c r="B72" s="157"/>
      <c r="C72" s="157"/>
      <c r="D72" s="157"/>
      <c r="E72" s="18"/>
      <c r="G72" s="8"/>
      <c r="H72" s="53"/>
      <c r="I72" s="54"/>
      <c r="K72" s="10"/>
      <c r="L72" s="50"/>
    </row>
    <row r="73" ht="23.25" customHeight="1">
      <c r="A73" s="18"/>
      <c r="B73" s="157"/>
      <c r="C73" s="157"/>
      <c r="D73" s="157"/>
      <c r="E73" s="18"/>
      <c r="G73" s="8"/>
      <c r="H73" s="53"/>
      <c r="I73" s="54"/>
      <c r="K73" s="10"/>
      <c r="L73" s="50"/>
    </row>
    <row r="74" ht="23.25" customHeight="1">
      <c r="A74" s="22"/>
      <c r="B74" s="157"/>
      <c r="C74" s="157"/>
      <c r="D74" s="157"/>
      <c r="E74" s="22"/>
      <c r="G74" s="8"/>
      <c r="H74" s="53"/>
      <c r="I74" s="54"/>
      <c r="K74" s="10"/>
      <c r="L74" s="50"/>
    </row>
    <row r="75" ht="23.25" customHeight="1">
      <c r="A75" s="102" t="s">
        <v>26</v>
      </c>
      <c r="B75" s="160"/>
      <c r="C75" s="286"/>
      <c r="D75" s="287"/>
      <c r="E75" s="401">
        <f>SUM(C79)</f>
        <v>0</v>
      </c>
    </row>
    <row r="76" ht="23.25" customHeight="1">
      <c r="A76" s="18"/>
      <c r="B76" s="160"/>
      <c r="C76" s="286"/>
      <c r="D76" s="287"/>
      <c r="E76" s="18"/>
      <c r="F76" s="20"/>
      <c r="G76" s="49"/>
      <c r="H76" s="56"/>
      <c r="I76" s="24"/>
    </row>
    <row r="77" ht="23.25" customHeight="1">
      <c r="A77" s="18"/>
      <c r="B77" s="160"/>
      <c r="C77" s="160"/>
      <c r="D77" s="287"/>
      <c r="E77" s="18"/>
      <c r="G77" s="18"/>
      <c r="H77" s="19"/>
      <c r="I77" s="57"/>
    </row>
    <row r="78" ht="23.25" customHeight="1">
      <c r="A78" s="18"/>
      <c r="B78" s="160"/>
      <c r="C78" s="160"/>
      <c r="D78" s="287"/>
      <c r="E78" s="18"/>
      <c r="G78" s="18"/>
      <c r="H78" s="30"/>
      <c r="I78" s="24"/>
    </row>
    <row r="79" ht="23.25" customHeight="1">
      <c r="A79" s="18"/>
      <c r="B79" s="160"/>
      <c r="C79" s="160"/>
      <c r="D79" s="157"/>
      <c r="E79" s="18"/>
      <c r="G79" s="18"/>
      <c r="H79" s="30"/>
      <c r="I79" s="24"/>
    </row>
    <row r="80" ht="23.25" customHeight="1">
      <c r="A80" s="18"/>
      <c r="B80" s="288"/>
      <c r="C80" s="157"/>
      <c r="D80" s="288"/>
      <c r="E80" s="18"/>
      <c r="G80" s="18"/>
      <c r="H80" s="30"/>
      <c r="I80" s="24"/>
    </row>
    <row r="81" ht="23.25" customHeight="1">
      <c r="A81" s="18"/>
      <c r="B81" s="288"/>
      <c r="C81" s="288"/>
      <c r="D81" s="288"/>
      <c r="E81" s="18"/>
      <c r="G81" s="18"/>
      <c r="H81" s="30"/>
      <c r="I81" s="24"/>
    </row>
    <row r="82" ht="23.25" customHeight="1">
      <c r="A82" s="22"/>
      <c r="B82" s="157"/>
      <c r="C82" s="157"/>
      <c r="D82" s="157"/>
      <c r="E82" s="22"/>
      <c r="G82" s="18"/>
      <c r="H82" s="30"/>
      <c r="I82" s="24"/>
    </row>
    <row r="83" ht="21.75" customHeight="1">
      <c r="A83" s="295" t="s">
        <v>29</v>
      </c>
      <c r="B83" s="160"/>
      <c r="C83" s="155"/>
      <c r="D83" s="173"/>
      <c r="E83" s="441">
        <f>sum(C84:C89)</f>
        <v>0</v>
      </c>
      <c r="F83" s="29"/>
      <c r="G83" s="18"/>
      <c r="H83" s="30"/>
      <c r="I83" s="24"/>
    </row>
    <row r="84" ht="21.75" customHeight="1">
      <c r="A84" s="18"/>
      <c r="B84" s="160"/>
      <c r="C84" s="160"/>
      <c r="D84" s="173"/>
      <c r="E84" s="18"/>
      <c r="G84" s="18"/>
      <c r="H84" s="30"/>
      <c r="I84" s="24"/>
    </row>
    <row r="85" ht="21.75" customHeight="1">
      <c r="A85" s="18"/>
      <c r="B85" s="160"/>
      <c r="C85" s="160"/>
      <c r="D85" s="157"/>
      <c r="E85" s="18"/>
      <c r="G85" s="18"/>
      <c r="H85" s="30"/>
      <c r="I85" s="24"/>
    </row>
    <row r="86" ht="21.75" customHeight="1">
      <c r="A86" s="18"/>
      <c r="B86" s="160"/>
      <c r="C86" s="160"/>
      <c r="D86" s="157"/>
      <c r="E86" s="18"/>
      <c r="G86" s="22"/>
      <c r="H86" s="30"/>
      <c r="I86" s="58"/>
    </row>
    <row r="87" ht="21.75" customHeight="1">
      <c r="A87" s="18"/>
      <c r="B87" s="160"/>
      <c r="C87" s="160"/>
      <c r="D87" s="157"/>
      <c r="E87" s="18"/>
    </row>
    <row r="88" ht="21.75" customHeight="1">
      <c r="A88" s="18"/>
      <c r="B88" s="160"/>
      <c r="C88" s="160"/>
      <c r="D88" s="157"/>
      <c r="E88" s="18"/>
    </row>
    <row r="89" ht="21.75" customHeight="1">
      <c r="A89" s="18"/>
      <c r="B89" s="160"/>
      <c r="C89" s="155"/>
      <c r="D89" s="173"/>
      <c r="E89" s="18"/>
    </row>
    <row r="90" ht="21.75" customHeight="1">
      <c r="A90" s="18"/>
      <c r="B90" s="157"/>
      <c r="C90" s="157"/>
      <c r="D90" s="157"/>
      <c r="E90" s="18"/>
    </row>
    <row r="91" ht="21.75" customHeight="1">
      <c r="A91" s="22"/>
      <c r="B91" s="157"/>
      <c r="C91" s="157"/>
      <c r="D91" s="157"/>
      <c r="E91" s="22"/>
    </row>
    <row r="92" ht="21.75" customHeight="1">
      <c r="A92" s="295" t="s">
        <v>30</v>
      </c>
      <c r="B92" s="160"/>
      <c r="C92" s="185"/>
      <c r="D92" s="156"/>
      <c r="E92" s="401">
        <v>0.0</v>
      </c>
    </row>
    <row r="93" ht="21.75" customHeight="1">
      <c r="A93" s="18"/>
      <c r="B93" s="160"/>
      <c r="C93" s="185"/>
      <c r="D93" s="169"/>
      <c r="E93" s="18"/>
      <c r="G93" s="42"/>
      <c r="H93" s="9"/>
      <c r="I93" s="43"/>
    </row>
    <row r="94" ht="21.75" customHeight="1">
      <c r="A94" s="18"/>
      <c r="B94" s="160"/>
      <c r="C94" s="185"/>
      <c r="D94" s="156"/>
      <c r="E94" s="18"/>
      <c r="H94" s="9"/>
      <c r="I94" s="43"/>
    </row>
    <row r="95" ht="21.75" customHeight="1">
      <c r="A95" s="18"/>
      <c r="B95" s="160"/>
      <c r="C95" s="185"/>
      <c r="D95" s="156"/>
      <c r="E95" s="18"/>
      <c r="H95" s="45"/>
      <c r="I95" s="43"/>
    </row>
    <row r="96" ht="21.75" customHeight="1">
      <c r="A96" s="18"/>
      <c r="B96" s="160"/>
      <c r="C96" s="185"/>
      <c r="D96" s="169"/>
      <c r="E96" s="18"/>
      <c r="H96" s="9"/>
      <c r="I96" s="10"/>
    </row>
    <row r="97" ht="21.75" customHeight="1">
      <c r="A97" s="18"/>
      <c r="B97" s="157"/>
      <c r="C97" s="157"/>
      <c r="D97" s="157"/>
      <c r="E97" s="18"/>
      <c r="H97" s="1"/>
      <c r="I97" s="1"/>
    </row>
    <row r="98" ht="21.75" customHeight="1">
      <c r="A98" s="22"/>
      <c r="B98" s="116"/>
      <c r="C98" s="160"/>
      <c r="D98" s="285"/>
      <c r="E98" s="22"/>
      <c r="G98" s="42"/>
      <c r="H98" s="1"/>
      <c r="I98" s="1"/>
    </row>
    <row r="99" ht="21.75" customHeight="1">
      <c r="A99" s="295" t="s">
        <v>31</v>
      </c>
      <c r="B99" s="160"/>
      <c r="C99" s="155"/>
      <c r="D99" s="192"/>
      <c r="E99" s="441"/>
      <c r="G99" s="42"/>
      <c r="H99" s="1"/>
      <c r="I99" s="1"/>
    </row>
    <row r="100" ht="21.75" customHeight="1">
      <c r="A100" s="18"/>
      <c r="B100" s="160"/>
      <c r="C100" s="155"/>
      <c r="D100" s="192"/>
      <c r="E100" s="18"/>
    </row>
    <row r="101" ht="21.75" customHeight="1">
      <c r="A101" s="18"/>
      <c r="B101" s="160"/>
      <c r="C101" s="155"/>
      <c r="D101" s="192"/>
      <c r="E101" s="18"/>
    </row>
    <row r="102" ht="21.75" customHeight="1">
      <c r="A102" s="18"/>
      <c r="B102" s="160"/>
      <c r="C102" s="155"/>
      <c r="D102" s="157"/>
      <c r="E102" s="18"/>
      <c r="F102" s="20"/>
    </row>
    <row r="103" ht="21.75" customHeight="1">
      <c r="A103" s="18"/>
      <c r="B103" s="160"/>
      <c r="C103" s="155"/>
      <c r="D103" s="110"/>
      <c r="E103" s="18"/>
    </row>
    <row r="104" ht="21.75" customHeight="1">
      <c r="A104" s="18"/>
      <c r="C104" s="155"/>
      <c r="D104" s="110"/>
      <c r="E104" s="18"/>
      <c r="G104" s="42"/>
      <c r="H104" s="9"/>
      <c r="I104" s="43"/>
    </row>
    <row r="105" ht="21.75" customHeight="1">
      <c r="A105" s="18"/>
      <c r="B105" s="116"/>
      <c r="C105" s="155"/>
      <c r="D105" s="110"/>
      <c r="E105" s="18"/>
      <c r="H105" s="9"/>
      <c r="I105" s="43"/>
    </row>
    <row r="106" ht="21.75" customHeight="1">
      <c r="A106" s="18"/>
      <c r="B106" s="177"/>
      <c r="C106" s="160"/>
      <c r="D106" s="110"/>
      <c r="E106" s="18"/>
      <c r="H106" s="9"/>
      <c r="I106" s="43"/>
    </row>
    <row r="107" ht="21.75" customHeight="1">
      <c r="A107" s="18"/>
      <c r="B107" s="184"/>
      <c r="C107" s="155"/>
      <c r="D107" s="110"/>
      <c r="E107" s="18"/>
      <c r="H107" s="9"/>
      <c r="I107" s="43"/>
    </row>
    <row r="108" ht="21.75" customHeight="1">
      <c r="A108" s="22"/>
      <c r="E108" s="22"/>
      <c r="H108" s="9"/>
      <c r="I108" s="43"/>
    </row>
    <row r="109" ht="21.75" customHeight="1">
      <c r="A109" s="295" t="s">
        <v>32</v>
      </c>
      <c r="B109" s="184"/>
      <c r="C109" s="154"/>
      <c r="D109" s="193"/>
      <c r="E109" s="441">
        <f>sum(C111:C122)</f>
        <v>0</v>
      </c>
      <c r="F109" s="20"/>
      <c r="H109" s="9"/>
      <c r="I109" s="43"/>
    </row>
    <row r="110" ht="21.75" customHeight="1">
      <c r="A110" s="18"/>
      <c r="B110" s="405"/>
      <c r="C110" s="335"/>
      <c r="D110" s="192"/>
      <c r="E110" s="18"/>
      <c r="F110" s="20"/>
      <c r="H110" s="45"/>
      <c r="I110" s="43"/>
    </row>
    <row r="111" ht="21.75" customHeight="1">
      <c r="A111" s="18"/>
      <c r="B111" s="192"/>
      <c r="C111" s="185"/>
      <c r="D111" s="157"/>
      <c r="E111" s="18"/>
      <c r="H111" s="9"/>
      <c r="I111" s="10"/>
    </row>
    <row r="112" ht="21.75" customHeight="1">
      <c r="A112" s="18"/>
      <c r="B112" s="184"/>
      <c r="C112" s="185"/>
      <c r="D112" s="64"/>
      <c r="E112" s="18"/>
      <c r="H112" s="1"/>
      <c r="I112" s="1"/>
    </row>
    <row r="113" ht="21.75" customHeight="1">
      <c r="A113" s="18"/>
      <c r="B113" s="160"/>
      <c r="C113" s="185"/>
      <c r="D113" s="157"/>
      <c r="E113" s="18"/>
      <c r="G113" s="42"/>
      <c r="H113" s="1"/>
      <c r="I113" s="1"/>
    </row>
    <row r="114" ht="21.75" customHeight="1">
      <c r="A114" s="18"/>
      <c r="B114" s="160"/>
      <c r="C114" s="185"/>
      <c r="D114" s="157"/>
      <c r="E114" s="18"/>
      <c r="G114" s="42"/>
      <c r="H114" s="1"/>
      <c r="I114" s="1"/>
    </row>
    <row r="115" ht="21.75" customHeight="1">
      <c r="A115" s="18"/>
      <c r="B115" s="160"/>
      <c r="C115" s="185"/>
      <c r="D115" s="157"/>
      <c r="E115" s="18"/>
      <c r="G115" s="42"/>
      <c r="H115" s="1"/>
      <c r="I115" s="1"/>
    </row>
    <row r="116" ht="21.75" customHeight="1">
      <c r="A116" s="18"/>
      <c r="B116" s="160"/>
      <c r="C116" s="185"/>
      <c r="D116" s="157"/>
      <c r="E116" s="18"/>
      <c r="G116" s="42"/>
      <c r="H116" s="1"/>
      <c r="I116" s="1"/>
    </row>
    <row r="117" ht="21.75" customHeight="1">
      <c r="A117" s="18"/>
      <c r="B117" s="160"/>
      <c r="C117" s="185"/>
      <c r="D117" s="157"/>
      <c r="E117" s="18"/>
      <c r="G117" s="42"/>
      <c r="H117" s="1"/>
      <c r="I117" s="1"/>
    </row>
    <row r="118" ht="21.75" customHeight="1">
      <c r="A118" s="18"/>
      <c r="B118" s="160"/>
      <c r="C118" s="178"/>
      <c r="D118" s="157"/>
      <c r="E118" s="18"/>
      <c r="G118" s="42"/>
      <c r="H118" s="1"/>
      <c r="I118" s="1"/>
    </row>
    <row r="119" ht="21.75" customHeight="1">
      <c r="A119" s="18"/>
      <c r="B119" s="160"/>
      <c r="C119" s="178"/>
      <c r="E119" s="18"/>
      <c r="G119" s="42"/>
      <c r="H119" s="1"/>
      <c r="I119" s="1"/>
    </row>
    <row r="120" ht="21.75" customHeight="1">
      <c r="A120" s="18"/>
      <c r="B120" s="160"/>
      <c r="C120" s="178"/>
      <c r="D120" s="157"/>
      <c r="E120" s="18"/>
      <c r="G120" s="42"/>
      <c r="H120" s="1"/>
      <c r="I120" s="1"/>
    </row>
    <row r="121" ht="21.75" customHeight="1">
      <c r="A121" s="18"/>
      <c r="B121" s="160"/>
      <c r="C121" s="178"/>
      <c r="D121" s="157"/>
      <c r="E121" s="18"/>
      <c r="G121" s="42"/>
      <c r="H121" s="1"/>
      <c r="I121" s="1"/>
    </row>
    <row r="122" ht="21.75" customHeight="1">
      <c r="A122" s="22"/>
      <c r="B122" s="160"/>
      <c r="C122" s="178"/>
      <c r="D122" s="157"/>
      <c r="E122" s="22"/>
      <c r="G122" s="42"/>
      <c r="H122" s="1"/>
      <c r="I122" s="1"/>
    </row>
    <row r="123" ht="21.75" customHeight="1">
      <c r="A123" s="295" t="s">
        <v>33</v>
      </c>
      <c r="B123" s="160"/>
      <c r="C123" s="160"/>
      <c r="D123" s="156"/>
      <c r="E123" s="401">
        <v>0.0</v>
      </c>
      <c r="G123" s="42"/>
      <c r="H123" s="1"/>
      <c r="I123" s="1"/>
    </row>
    <row r="124" ht="21.75" customHeight="1">
      <c r="A124" s="18"/>
      <c r="B124" s="160"/>
      <c r="C124" s="160"/>
      <c r="D124" s="156"/>
      <c r="E124" s="18"/>
      <c r="G124" s="42"/>
      <c r="H124" s="1"/>
      <c r="I124" s="1"/>
    </row>
    <row r="125" ht="21.75" customHeight="1">
      <c r="A125" s="18"/>
      <c r="B125" s="160"/>
      <c r="C125" s="185"/>
      <c r="D125" s="194"/>
      <c r="E125" s="18"/>
      <c r="G125" s="42"/>
      <c r="H125" s="9"/>
      <c r="I125" s="43"/>
    </row>
    <row r="126" ht="21.75" customHeight="1">
      <c r="A126" s="18"/>
      <c r="B126" s="160"/>
      <c r="C126" s="185"/>
      <c r="D126" s="156"/>
      <c r="E126" s="18"/>
      <c r="H126" s="9"/>
      <c r="I126" s="43"/>
    </row>
    <row r="127" ht="21.75" customHeight="1">
      <c r="A127" s="18"/>
      <c r="B127" s="160"/>
      <c r="C127" s="185"/>
      <c r="D127" s="169"/>
      <c r="E127" s="18"/>
      <c r="H127" s="1"/>
      <c r="I127" s="1"/>
    </row>
    <row r="128" ht="21.75" customHeight="1">
      <c r="A128" s="18"/>
      <c r="B128" s="157"/>
      <c r="C128" s="157"/>
      <c r="D128" s="157"/>
      <c r="E128" s="18"/>
      <c r="H128" s="9"/>
      <c r="I128" s="43"/>
    </row>
    <row r="129" ht="21.75" customHeight="1">
      <c r="A129" s="18"/>
      <c r="B129" s="184"/>
      <c r="C129" s="160"/>
      <c r="D129" s="156"/>
      <c r="E129" s="18"/>
      <c r="H129" s="9"/>
      <c r="I129" s="43"/>
    </row>
    <row r="130" ht="21.75" customHeight="1">
      <c r="A130" s="18"/>
      <c r="B130" s="160"/>
      <c r="C130" s="160"/>
      <c r="D130" s="156"/>
      <c r="E130" s="18"/>
      <c r="H130" s="9"/>
      <c r="I130" s="43"/>
    </row>
    <row r="131" ht="21.75" customHeight="1">
      <c r="A131" s="22"/>
      <c r="B131" s="157"/>
      <c r="C131" s="157"/>
      <c r="D131" s="157"/>
      <c r="E131" s="22"/>
      <c r="H131" s="9"/>
      <c r="I131" s="43"/>
    </row>
    <row r="132" ht="21.75" customHeight="1">
      <c r="A132" s="295" t="s">
        <v>35</v>
      </c>
      <c r="B132" s="160"/>
      <c r="C132" s="185"/>
      <c r="D132" s="169"/>
      <c r="E132" s="401">
        <f>SUM(C137)</f>
        <v>0</v>
      </c>
      <c r="H132" s="9"/>
      <c r="I132" s="43"/>
    </row>
    <row r="133" ht="21.75" customHeight="1">
      <c r="A133" s="18"/>
      <c r="B133" s="160"/>
      <c r="C133" s="178"/>
      <c r="D133" s="289"/>
      <c r="E133" s="18"/>
      <c r="G133" s="42"/>
      <c r="H133" s="9"/>
      <c r="I133" s="10"/>
    </row>
    <row r="134" ht="21.75" customHeight="1">
      <c r="A134" s="18"/>
      <c r="B134" s="160"/>
      <c r="C134" s="160"/>
      <c r="D134" s="168"/>
      <c r="E134" s="18"/>
      <c r="F134" s="20"/>
    </row>
    <row r="135" ht="21.75" customHeight="1">
      <c r="A135" s="18"/>
      <c r="B135" s="160"/>
      <c r="C135" s="160"/>
      <c r="D135" s="168"/>
      <c r="E135" s="18"/>
      <c r="G135" s="290"/>
      <c r="H135" s="291"/>
      <c r="I135" s="10"/>
    </row>
    <row r="136" ht="21.75" customHeight="1">
      <c r="A136" s="18"/>
      <c r="B136" s="160"/>
      <c r="C136" s="185"/>
      <c r="D136" s="192"/>
      <c r="E136" s="18"/>
      <c r="H136" s="291"/>
      <c r="I136" s="10"/>
    </row>
    <row r="137" ht="21.75" customHeight="1">
      <c r="A137" s="18"/>
      <c r="B137" s="160"/>
      <c r="C137" s="185"/>
      <c r="D137" s="169"/>
      <c r="E137" s="18"/>
      <c r="F137" s="134"/>
      <c r="H137" s="291"/>
      <c r="I137" s="10"/>
    </row>
    <row r="138" ht="21.75" customHeight="1">
      <c r="A138" s="22"/>
      <c r="E138" s="22"/>
      <c r="F138" s="134"/>
      <c r="H138" s="291"/>
      <c r="I138" s="10"/>
    </row>
    <row r="139" ht="21.75" customHeight="1">
      <c r="A139" s="295" t="s">
        <v>36</v>
      </c>
      <c r="B139" s="160"/>
      <c r="C139" s="185"/>
      <c r="D139" s="169"/>
      <c r="E139" s="401">
        <v>0.0</v>
      </c>
      <c r="H139" s="291"/>
      <c r="I139" s="10"/>
    </row>
    <row r="140" ht="21.75" customHeight="1">
      <c r="A140" s="18"/>
      <c r="B140" s="160"/>
      <c r="C140" s="160"/>
      <c r="D140" s="156"/>
      <c r="E140" s="18"/>
      <c r="H140" s="291"/>
      <c r="I140" s="43"/>
    </row>
    <row r="141" ht="21.75" customHeight="1">
      <c r="A141" s="18"/>
      <c r="B141" s="160"/>
      <c r="C141" s="185"/>
      <c r="D141" s="156"/>
      <c r="E141" s="18"/>
      <c r="F141" s="20"/>
      <c r="H141" s="45"/>
      <c r="I141" s="43"/>
    </row>
    <row r="142" ht="21.75" customHeight="1">
      <c r="A142" s="18"/>
      <c r="B142" s="160"/>
      <c r="C142" s="185"/>
      <c r="D142" s="156"/>
      <c r="E142" s="18"/>
      <c r="H142" s="291"/>
      <c r="I142" s="43"/>
    </row>
    <row r="143" ht="21.75" customHeight="1">
      <c r="A143" s="18"/>
      <c r="B143" s="169"/>
      <c r="C143" s="169"/>
      <c r="D143" s="169"/>
      <c r="E143" s="18"/>
      <c r="H143" s="9"/>
      <c r="I143" s="50"/>
    </row>
    <row r="144" ht="21.75" customHeight="1">
      <c r="A144" s="22"/>
      <c r="B144" s="157"/>
      <c r="C144" s="157"/>
      <c r="D144" s="157"/>
      <c r="E144" s="22"/>
      <c r="G144" s="290"/>
      <c r="H144" s="9"/>
      <c r="I144" s="50"/>
    </row>
    <row r="145" ht="21.75" customHeight="1">
      <c r="A145" s="295" t="s">
        <v>37</v>
      </c>
      <c r="B145" s="160"/>
      <c r="C145" s="154"/>
      <c r="D145" s="198"/>
      <c r="E145" s="441">
        <f>sum(C147:C152)</f>
        <v>0</v>
      </c>
    </row>
    <row r="146" ht="21.75" customHeight="1">
      <c r="A146" s="18"/>
      <c r="B146" s="160"/>
      <c r="C146" s="154"/>
      <c r="D146" s="198"/>
      <c r="E146" s="18"/>
      <c r="H146" s="45"/>
      <c r="I146" s="43"/>
    </row>
    <row r="147" ht="21.75" customHeight="1">
      <c r="A147" s="18"/>
      <c r="B147" s="160"/>
      <c r="C147" s="154"/>
      <c r="D147" s="157"/>
      <c r="E147" s="18"/>
      <c r="G147" s="42"/>
      <c r="H147" s="9"/>
      <c r="I147" s="43"/>
    </row>
    <row r="148" ht="21.75" customHeight="1">
      <c r="A148" s="18"/>
      <c r="B148" s="160"/>
      <c r="C148" s="154"/>
      <c r="D148" s="157"/>
      <c r="E148" s="18"/>
      <c r="G148" s="42"/>
      <c r="H148" s="9"/>
      <c r="I148" s="43"/>
    </row>
    <row r="149" ht="21.75" customHeight="1">
      <c r="A149" s="18"/>
      <c r="B149" s="160"/>
      <c r="C149" s="154"/>
      <c r="D149" s="157"/>
      <c r="E149" s="18"/>
      <c r="G149" s="42"/>
      <c r="H149" s="9"/>
      <c r="I149" s="43"/>
    </row>
    <row r="150" ht="21.75" customHeight="1">
      <c r="A150" s="18"/>
      <c r="B150" s="160"/>
      <c r="C150" s="160"/>
      <c r="D150" s="24"/>
      <c r="E150" s="18"/>
      <c r="G150" s="42"/>
      <c r="H150" s="9"/>
      <c r="I150" s="43"/>
    </row>
    <row r="151" ht="21.75" customHeight="1">
      <c r="A151" s="18"/>
      <c r="B151" s="160"/>
      <c r="C151" s="169"/>
      <c r="D151" s="157"/>
      <c r="E151" s="18"/>
      <c r="G151" s="42"/>
      <c r="H151" s="9"/>
      <c r="I151" s="43"/>
    </row>
    <row r="152" ht="21.75" customHeight="1">
      <c r="A152" s="18"/>
      <c r="B152" s="160"/>
      <c r="C152" s="160"/>
      <c r="D152" s="157"/>
      <c r="E152" s="18"/>
      <c r="G152" s="42"/>
      <c r="H152" s="9"/>
      <c r="I152" s="43"/>
    </row>
    <row r="153" ht="21.75" customHeight="1">
      <c r="A153" s="18"/>
      <c r="B153" s="157"/>
      <c r="C153" s="157"/>
      <c r="D153" s="157"/>
      <c r="E153" s="18"/>
      <c r="G153" s="42"/>
      <c r="H153" s="9"/>
      <c r="I153" s="43"/>
    </row>
    <row r="154" ht="21.75" customHeight="1">
      <c r="A154" s="18"/>
      <c r="B154" s="157"/>
      <c r="C154" s="157"/>
      <c r="D154" s="157"/>
      <c r="E154" s="18"/>
      <c r="G154" s="42"/>
      <c r="H154" s="9"/>
      <c r="I154" s="43"/>
    </row>
    <row r="155" ht="21.75" customHeight="1">
      <c r="A155" s="22"/>
      <c r="B155" s="157"/>
      <c r="C155" s="157"/>
      <c r="D155" s="24"/>
      <c r="E155" s="22"/>
      <c r="F155" s="134"/>
      <c r="G155" s="42"/>
      <c r="H155" s="9"/>
      <c r="I155" s="43"/>
    </row>
    <row r="156" ht="21.75" customHeight="1">
      <c r="A156" s="102" t="s">
        <v>39</v>
      </c>
      <c r="B156" s="184"/>
      <c r="C156" s="160"/>
      <c r="D156" s="169"/>
      <c r="E156" s="441">
        <f>SUM(C158:C166)</f>
        <v>0</v>
      </c>
      <c r="G156" s="42"/>
      <c r="H156" s="9"/>
      <c r="I156" s="43"/>
    </row>
    <row r="157" ht="21.75" customHeight="1">
      <c r="A157" s="18"/>
      <c r="B157" s="159"/>
      <c r="C157" s="207"/>
      <c r="D157" s="169"/>
      <c r="E157" s="18"/>
      <c r="G157" s="42"/>
      <c r="H157" s="1"/>
      <c r="I157" s="43"/>
    </row>
    <row r="158" ht="21.75" customHeight="1">
      <c r="A158" s="18"/>
      <c r="B158" s="184"/>
      <c r="C158" s="155"/>
      <c r="D158" s="157"/>
      <c r="E158" s="18"/>
      <c r="G158" s="42"/>
      <c r="H158" s="9"/>
      <c r="I158" s="43"/>
      <c r="J158" s="9"/>
    </row>
    <row r="159" ht="21.75" customHeight="1">
      <c r="A159" s="18"/>
      <c r="B159" s="160"/>
      <c r="C159" s="155"/>
      <c r="D159" s="157"/>
      <c r="E159" s="18"/>
      <c r="G159" s="42"/>
      <c r="H159" s="9"/>
      <c r="I159" s="10"/>
      <c r="J159" s="9"/>
    </row>
    <row r="160" ht="21.75" customHeight="1">
      <c r="A160" s="18"/>
      <c r="B160" s="160"/>
      <c r="C160" s="155"/>
      <c r="D160" s="157"/>
      <c r="E160" s="18"/>
      <c r="G160" s="42"/>
      <c r="H160" s="10"/>
      <c r="I160" s="10"/>
      <c r="J160" s="9"/>
    </row>
    <row r="161" ht="21.75" customHeight="1">
      <c r="A161" s="18"/>
      <c r="B161" s="160"/>
      <c r="C161" s="155"/>
      <c r="D161" s="157"/>
      <c r="E161" s="18"/>
      <c r="G161" s="42"/>
      <c r="H161" s="10"/>
      <c r="I161" s="10"/>
      <c r="J161" s="9"/>
    </row>
    <row r="162" ht="21.75" customHeight="1">
      <c r="A162" s="18"/>
      <c r="B162" s="160"/>
      <c r="C162" s="155"/>
      <c r="D162" s="157"/>
      <c r="E162" s="18"/>
      <c r="G162" s="42"/>
      <c r="H162" s="10"/>
      <c r="I162" s="10"/>
      <c r="J162" s="9"/>
    </row>
    <row r="163" ht="21.75" customHeight="1">
      <c r="A163" s="18"/>
      <c r="B163" s="160"/>
      <c r="C163" s="155"/>
      <c r="D163" s="157"/>
      <c r="E163" s="18"/>
      <c r="G163" s="42"/>
      <c r="H163" s="10"/>
      <c r="I163" s="10"/>
      <c r="J163" s="9"/>
    </row>
    <row r="164" ht="21.75" customHeight="1">
      <c r="A164" s="18"/>
      <c r="B164" s="160"/>
      <c r="C164" s="155"/>
      <c r="D164" s="157"/>
      <c r="E164" s="18"/>
      <c r="G164" s="42"/>
      <c r="H164" s="10"/>
      <c r="I164" s="10"/>
      <c r="J164" s="9"/>
    </row>
    <row r="165" ht="21.75" customHeight="1">
      <c r="A165" s="18"/>
      <c r="B165" s="160"/>
      <c r="C165" s="155"/>
      <c r="D165" s="157"/>
      <c r="E165" s="18"/>
      <c r="F165" s="134"/>
      <c r="G165" s="42"/>
      <c r="H165" s="10"/>
      <c r="I165" s="10"/>
      <c r="J165" s="9"/>
    </row>
    <row r="166" ht="21.75" customHeight="1">
      <c r="A166" s="18"/>
      <c r="B166" s="160"/>
      <c r="C166" s="155"/>
      <c r="D166" s="157"/>
      <c r="E166" s="18"/>
      <c r="F166" s="134"/>
      <c r="G166" s="42"/>
      <c r="H166" s="10"/>
      <c r="I166" s="10"/>
      <c r="J166" s="9"/>
    </row>
    <row r="167" ht="21.75" customHeight="1">
      <c r="A167" s="22"/>
      <c r="B167" s="157"/>
      <c r="C167" s="157"/>
      <c r="D167" s="157"/>
      <c r="E167" s="22"/>
      <c r="F167" s="134"/>
      <c r="G167" s="42"/>
      <c r="H167" s="10"/>
      <c r="I167" s="10"/>
      <c r="J167" s="9"/>
    </row>
    <row r="168" ht="21.75" customHeight="1">
      <c r="A168" s="295" t="s">
        <v>40</v>
      </c>
      <c r="B168" s="160"/>
      <c r="C168" s="185"/>
      <c r="D168" s="110"/>
      <c r="E168" s="401"/>
      <c r="G168" s="42"/>
      <c r="H168" s="10"/>
      <c r="I168" s="10"/>
    </row>
    <row r="169" ht="21.75" customHeight="1">
      <c r="A169" s="18"/>
      <c r="B169" s="160"/>
      <c r="C169" s="185"/>
      <c r="D169" s="110"/>
      <c r="E169" s="18"/>
      <c r="G169" s="42"/>
      <c r="H169" s="9"/>
      <c r="I169" s="10"/>
    </row>
    <row r="170" ht="21.75" customHeight="1">
      <c r="A170" s="18"/>
      <c r="B170" s="160"/>
      <c r="C170" s="185"/>
      <c r="D170" s="169"/>
      <c r="E170" s="18"/>
      <c r="G170" s="42"/>
      <c r="H170" s="9"/>
      <c r="I170" s="10"/>
    </row>
    <row r="171" ht="21.75" customHeight="1">
      <c r="A171" s="18"/>
      <c r="B171" s="160"/>
      <c r="C171" s="185"/>
      <c r="D171" s="157"/>
      <c r="E171" s="18"/>
      <c r="G171" s="42"/>
      <c r="H171" s="9"/>
      <c r="I171" s="10"/>
    </row>
    <row r="172" ht="21.75" customHeight="1">
      <c r="A172" s="18"/>
      <c r="B172" s="160"/>
      <c r="C172" s="160"/>
      <c r="D172" s="110"/>
      <c r="E172" s="18"/>
      <c r="G172" s="42"/>
      <c r="H172" s="9"/>
      <c r="I172" s="10"/>
    </row>
    <row r="173" ht="21.75" customHeight="1">
      <c r="A173" s="18"/>
      <c r="B173" s="160"/>
      <c r="C173" s="160"/>
      <c r="D173" s="110"/>
      <c r="E173" s="18"/>
      <c r="G173" s="42"/>
      <c r="H173" s="9"/>
      <c r="I173" s="10"/>
    </row>
    <row r="174" ht="21.75" customHeight="1">
      <c r="A174" s="18"/>
      <c r="B174" s="157"/>
      <c r="C174" s="157"/>
      <c r="D174" s="157"/>
      <c r="E174" s="18"/>
      <c r="G174" s="42"/>
      <c r="H174" s="9"/>
      <c r="I174" s="10"/>
    </row>
    <row r="175" ht="21.75" customHeight="1">
      <c r="A175" s="22"/>
      <c r="B175" s="157"/>
      <c r="C175" s="157"/>
      <c r="D175" s="157"/>
      <c r="E175" s="22"/>
      <c r="G175" s="42"/>
      <c r="H175" s="9"/>
      <c r="I175" s="10"/>
    </row>
    <row r="176" ht="21.75" customHeight="1">
      <c r="A176" s="295" t="s">
        <v>41</v>
      </c>
      <c r="B176" s="160"/>
      <c r="C176" s="185"/>
      <c r="D176" s="187"/>
      <c r="E176" s="441">
        <f>SUM(C179:C183)</f>
        <v>0</v>
      </c>
      <c r="G176" s="42"/>
      <c r="H176" s="9"/>
      <c r="I176" s="10"/>
    </row>
    <row r="177" ht="21.75" customHeight="1">
      <c r="A177" s="18"/>
      <c r="B177" s="160"/>
      <c r="C177" s="185"/>
      <c r="D177" s="169"/>
      <c r="E177" s="18"/>
      <c r="F177" s="17"/>
      <c r="G177" s="42"/>
      <c r="H177" s="76"/>
      <c r="I177" s="10"/>
    </row>
    <row r="178" ht="21.75" customHeight="1">
      <c r="A178" s="18"/>
      <c r="B178" s="160"/>
      <c r="C178" s="185"/>
      <c r="D178" s="169"/>
      <c r="E178" s="18"/>
    </row>
    <row r="179" ht="21.75" customHeight="1">
      <c r="A179" s="18"/>
      <c r="B179" s="160"/>
      <c r="C179" s="185"/>
      <c r="D179" s="157"/>
      <c r="E179" s="18"/>
      <c r="G179" s="42"/>
      <c r="H179" s="9"/>
      <c r="I179" s="43"/>
    </row>
    <row r="180" ht="21.75" customHeight="1">
      <c r="A180" s="18"/>
      <c r="B180" s="160"/>
      <c r="C180" s="160"/>
      <c r="D180" s="33"/>
      <c r="E180" s="18"/>
      <c r="F180" s="17"/>
      <c r="H180" s="9"/>
      <c r="I180" s="43"/>
    </row>
    <row r="181" ht="21.75" customHeight="1">
      <c r="A181" s="18"/>
      <c r="B181" s="160"/>
      <c r="C181" s="160"/>
      <c r="D181" s="157"/>
      <c r="E181" s="18"/>
      <c r="F181" s="17"/>
      <c r="H181" s="9"/>
      <c r="I181" s="43"/>
    </row>
    <row r="182" ht="21.75" customHeight="1">
      <c r="A182" s="18"/>
      <c r="B182" s="160"/>
      <c r="C182" s="160"/>
      <c r="D182" s="157"/>
      <c r="E182" s="18"/>
      <c r="F182" s="17"/>
      <c r="H182" s="9"/>
      <c r="I182" s="43"/>
    </row>
    <row r="183" ht="21.75" customHeight="1">
      <c r="A183" s="18"/>
      <c r="B183" s="160"/>
      <c r="C183" s="160"/>
      <c r="D183" s="157"/>
      <c r="E183" s="18"/>
      <c r="F183" s="17"/>
      <c r="H183" s="9"/>
      <c r="I183" s="43"/>
    </row>
    <row r="184" ht="21.75" customHeight="1">
      <c r="A184" s="22"/>
      <c r="B184" s="157"/>
      <c r="C184" s="157"/>
      <c r="D184" s="157"/>
      <c r="E184" s="22"/>
      <c r="F184" s="17"/>
      <c r="H184" s="9"/>
      <c r="I184" s="43"/>
    </row>
    <row r="185" ht="21.75" customHeight="1">
      <c r="A185" s="295" t="s">
        <v>42</v>
      </c>
      <c r="B185" s="160" t="s">
        <v>526</v>
      </c>
      <c r="C185" s="155">
        <v>2.90685E7</v>
      </c>
      <c r="D185" s="157"/>
      <c r="E185" s="401">
        <f>SUM(C185:C187)</f>
        <v>120859500</v>
      </c>
      <c r="F185" s="17"/>
      <c r="H185" s="9"/>
      <c r="I185" s="43"/>
    </row>
    <row r="186" ht="21.75" customHeight="1">
      <c r="A186" s="18"/>
      <c r="B186" s="160" t="s">
        <v>522</v>
      </c>
      <c r="C186" s="160">
        <v>3.0971E7</v>
      </c>
      <c r="D186" s="115"/>
      <c r="E186" s="18"/>
      <c r="H186" s="9"/>
      <c r="I186" s="43"/>
    </row>
    <row r="187" ht="21.75" customHeight="1">
      <c r="A187" s="18"/>
      <c r="B187" s="160" t="s">
        <v>414</v>
      </c>
      <c r="C187" s="160">
        <v>6.082E7</v>
      </c>
      <c r="D187" s="169"/>
      <c r="E187" s="18"/>
      <c r="H187" s="9"/>
      <c r="I187" s="43"/>
    </row>
    <row r="188" ht="21.75" customHeight="1">
      <c r="A188" s="18"/>
      <c r="B188" s="160"/>
      <c r="C188" s="155"/>
      <c r="D188" s="115"/>
      <c r="E188" s="18"/>
      <c r="F188" s="203"/>
      <c r="H188" s="9"/>
    </row>
    <row r="189" ht="21.75" customHeight="1">
      <c r="A189" s="18"/>
      <c r="E189" s="18"/>
    </row>
    <row r="190" ht="21.75" customHeight="1">
      <c r="A190" s="18"/>
      <c r="B190" s="157"/>
      <c r="C190" s="157"/>
      <c r="D190" s="157"/>
      <c r="E190" s="18"/>
      <c r="F190" s="20"/>
      <c r="H190" s="20"/>
    </row>
    <row r="191" ht="21.75" customHeight="1">
      <c r="A191" s="18"/>
      <c r="B191" s="157"/>
      <c r="C191" s="157"/>
      <c r="D191" s="157"/>
      <c r="E191" s="18"/>
      <c r="F191" s="294"/>
    </row>
    <row r="192" ht="21.75" customHeight="1">
      <c r="A192" s="22"/>
      <c r="B192" s="157"/>
      <c r="C192" s="157"/>
      <c r="D192" s="157"/>
      <c r="E192" s="22"/>
      <c r="F192" s="294"/>
      <c r="G192" s="294"/>
      <c r="H192" s="294"/>
      <c r="I192" s="294"/>
      <c r="J192" s="294"/>
      <c r="K192" s="294"/>
      <c r="L192" s="294"/>
      <c r="M192" s="294"/>
      <c r="N192" s="294"/>
    </row>
    <row r="193" ht="21.75" customHeight="1">
      <c r="A193" s="295" t="s">
        <v>43</v>
      </c>
      <c r="B193" s="184" t="s">
        <v>527</v>
      </c>
      <c r="C193" s="155">
        <v>2.9931E7</v>
      </c>
      <c r="D193" s="115"/>
      <c r="E193" s="401">
        <f>sum(C193:C194)</f>
        <v>35131000</v>
      </c>
      <c r="F193" s="296"/>
      <c r="G193" s="297"/>
      <c r="H193" s="298"/>
      <c r="I193" s="297"/>
      <c r="J193" s="297"/>
      <c r="K193" s="297"/>
      <c r="L193" s="297"/>
      <c r="M193" s="299"/>
      <c r="N193" s="300"/>
    </row>
    <row r="194" ht="21.75" customHeight="1">
      <c r="A194" s="18"/>
      <c r="B194" s="184" t="s">
        <v>528</v>
      </c>
      <c r="C194" s="155">
        <v>5200000.0</v>
      </c>
      <c r="D194" s="301"/>
      <c r="E194" s="18"/>
      <c r="F194" s="302"/>
      <c r="G194" s="303"/>
      <c r="J194" s="304"/>
      <c r="K194" s="305"/>
      <c r="L194" s="305"/>
      <c r="M194" s="306"/>
      <c r="N194" s="305"/>
    </row>
    <row r="195" ht="21.75" customHeight="1">
      <c r="A195" s="18"/>
      <c r="B195" s="184" t="s">
        <v>529</v>
      </c>
      <c r="C195" s="155"/>
      <c r="D195" s="110"/>
      <c r="E195" s="18"/>
      <c r="F195" s="307"/>
      <c r="G195" s="308"/>
      <c r="J195" s="306"/>
      <c r="K195" s="306"/>
      <c r="L195" s="306"/>
      <c r="M195" s="306"/>
      <c r="N195" s="306"/>
    </row>
    <row r="196" ht="21.75" customHeight="1">
      <c r="A196" s="18"/>
      <c r="B196" s="184"/>
      <c r="C196" s="178"/>
      <c r="D196" s="205"/>
      <c r="E196" s="18"/>
      <c r="F196" s="307"/>
      <c r="G196" s="309"/>
      <c r="J196" s="310"/>
      <c r="K196" s="310"/>
      <c r="L196" s="311"/>
      <c r="M196" s="311"/>
      <c r="N196" s="312"/>
    </row>
    <row r="197" ht="21.75" customHeight="1">
      <c r="A197" s="18"/>
      <c r="B197" s="399"/>
      <c r="C197" s="335"/>
      <c r="D197" s="205"/>
      <c r="E197" s="18"/>
      <c r="F197" s="313"/>
      <c r="G197" s="306"/>
      <c r="H197" s="314"/>
      <c r="I197" s="306"/>
      <c r="J197" s="306"/>
      <c r="K197" s="306"/>
      <c r="L197" s="306"/>
      <c r="M197" s="315"/>
      <c r="N197" s="312"/>
    </row>
    <row r="198" ht="21.75" customHeight="1">
      <c r="A198" s="18"/>
      <c r="B198" s="184"/>
      <c r="C198" s="185"/>
      <c r="D198" s="110"/>
      <c r="E198" s="18"/>
      <c r="F198" s="316"/>
      <c r="G198" s="317"/>
      <c r="H198" s="317"/>
      <c r="I198" s="317"/>
      <c r="J198" s="318"/>
      <c r="K198" s="319"/>
      <c r="L198" s="320"/>
      <c r="M198" s="320"/>
      <c r="N198" s="320"/>
    </row>
    <row r="199" ht="21.75" customHeight="1">
      <c r="A199" s="22"/>
      <c r="B199" s="184"/>
      <c r="C199" s="185"/>
      <c r="D199" s="400"/>
      <c r="E199" s="18"/>
      <c r="F199" s="322"/>
      <c r="G199" s="323"/>
      <c r="H199" s="323"/>
      <c r="I199" s="306"/>
      <c r="J199" s="306"/>
      <c r="K199" s="306"/>
      <c r="L199" s="306"/>
      <c r="M199" s="324"/>
      <c r="N199" s="325"/>
    </row>
    <row r="200" ht="21.75" customHeight="1">
      <c r="A200" s="295" t="s">
        <v>44</v>
      </c>
      <c r="B200" s="184" t="s">
        <v>527</v>
      </c>
      <c r="C200" s="185">
        <v>9055500.0</v>
      </c>
      <c r="D200" s="205" t="s">
        <v>7</v>
      </c>
      <c r="E200" s="401">
        <v>1.96194E7</v>
      </c>
      <c r="F200" s="326"/>
      <c r="G200" s="327"/>
      <c r="H200" s="327"/>
      <c r="I200" s="327"/>
      <c r="J200" s="328"/>
      <c r="K200" s="328"/>
      <c r="L200" s="328"/>
      <c r="M200" s="329"/>
      <c r="N200" s="330"/>
    </row>
    <row r="201" ht="21.75" customHeight="1">
      <c r="A201" s="18"/>
      <c r="B201" s="184" t="s">
        <v>528</v>
      </c>
      <c r="C201" s="331">
        <v>1.08438E7</v>
      </c>
      <c r="D201" s="110" t="s">
        <v>7</v>
      </c>
      <c r="E201" s="18"/>
      <c r="F201" s="326"/>
      <c r="G201" s="327"/>
      <c r="H201" s="327"/>
      <c r="I201" s="327"/>
      <c r="J201" s="328"/>
      <c r="K201" s="328"/>
      <c r="L201" s="328"/>
      <c r="M201" s="329"/>
      <c r="N201" s="330"/>
    </row>
    <row r="202" ht="21.75" customHeight="1">
      <c r="A202" s="18"/>
      <c r="B202" s="184" t="s">
        <v>529</v>
      </c>
      <c r="C202" s="185">
        <v>1.05341E7</v>
      </c>
      <c r="D202" s="185" t="s">
        <v>7</v>
      </c>
      <c r="E202" s="18"/>
      <c r="F202" s="402"/>
      <c r="G202" s="327"/>
      <c r="H202" s="327"/>
      <c r="I202" s="332"/>
      <c r="J202" s="328"/>
      <c r="K202" s="328"/>
      <c r="L202" s="328"/>
      <c r="M202" s="329"/>
      <c r="N202" s="330"/>
    </row>
    <row r="203" ht="21.75" customHeight="1">
      <c r="A203" s="18"/>
      <c r="B203" s="184" t="s">
        <v>530</v>
      </c>
      <c r="C203" s="185">
        <v>1.96194E7</v>
      </c>
      <c r="D203" s="110"/>
      <c r="E203" s="18"/>
      <c r="F203" s="403"/>
      <c r="G203" s="327"/>
      <c r="H203" s="327"/>
      <c r="I203" s="332"/>
      <c r="J203" s="328"/>
      <c r="K203" s="328"/>
      <c r="L203" s="328"/>
      <c r="M203" s="329"/>
      <c r="N203" s="404"/>
    </row>
    <row r="204" ht="21.75" customHeight="1">
      <c r="A204" s="22"/>
      <c r="B204" s="184"/>
      <c r="C204" s="185"/>
      <c r="D204" s="110"/>
      <c r="E204" s="22"/>
      <c r="F204" s="403"/>
      <c r="G204" s="327"/>
      <c r="H204" s="327"/>
      <c r="I204" s="332"/>
      <c r="J204" s="328"/>
      <c r="K204" s="328"/>
      <c r="L204" s="328"/>
      <c r="M204" s="329"/>
      <c r="N204" s="404"/>
    </row>
    <row r="205" ht="21.75" customHeight="1">
      <c r="A205" s="295" t="s">
        <v>45</v>
      </c>
      <c r="B205" s="184" t="s">
        <v>527</v>
      </c>
      <c r="C205" s="185">
        <v>5.06396E7</v>
      </c>
      <c r="D205" s="110"/>
      <c r="E205" s="401">
        <f>sum(C205:C207)</f>
        <v>91237100</v>
      </c>
      <c r="G205" s="95"/>
    </row>
    <row r="206" ht="21.75" customHeight="1">
      <c r="A206" s="18"/>
      <c r="B206" s="184" t="s">
        <v>529</v>
      </c>
      <c r="C206" s="207">
        <v>1.0501E7</v>
      </c>
      <c r="D206" s="110"/>
      <c r="E206" s="18"/>
    </row>
    <row r="207" ht="21.75" customHeight="1">
      <c r="A207" s="18"/>
      <c r="B207" s="184" t="s">
        <v>530</v>
      </c>
      <c r="C207" s="160">
        <v>3.00965E7</v>
      </c>
      <c r="D207" s="110"/>
      <c r="E207" s="18"/>
      <c r="G207" s="95"/>
      <c r="H207" s="95"/>
      <c r="I207" s="95"/>
    </row>
    <row r="208" ht="21.75" customHeight="1">
      <c r="A208" s="18"/>
      <c r="B208" s="405"/>
      <c r="C208" s="335"/>
      <c r="D208" s="110"/>
      <c r="E208" s="18"/>
      <c r="G208" s="95"/>
      <c r="H208" s="95"/>
      <c r="I208" s="95"/>
    </row>
    <row r="209" ht="21.75" customHeight="1">
      <c r="A209" s="18"/>
      <c r="B209" s="184"/>
      <c r="C209" s="160"/>
      <c r="D209" s="169"/>
      <c r="E209" s="18"/>
      <c r="G209" s="95"/>
      <c r="H209" s="95"/>
      <c r="I209" s="95"/>
    </row>
    <row r="210" ht="21.75" customHeight="1">
      <c r="A210" s="18"/>
      <c r="B210" s="187"/>
      <c r="C210" s="160"/>
      <c r="D210" s="169"/>
      <c r="E210" s="18"/>
      <c r="G210" s="95"/>
      <c r="H210" s="95"/>
      <c r="I210" s="95"/>
    </row>
    <row r="211" ht="21.75" customHeight="1">
      <c r="A211" s="18"/>
      <c r="B211" s="184"/>
      <c r="C211" s="160"/>
      <c r="D211" s="169"/>
      <c r="E211" s="18"/>
      <c r="G211" s="95"/>
      <c r="H211" s="95"/>
      <c r="I211" s="95"/>
    </row>
    <row r="212" ht="21.75" customHeight="1">
      <c r="A212" s="18"/>
      <c r="B212" s="160"/>
      <c r="C212" s="160"/>
      <c r="D212" s="169"/>
      <c r="E212" s="18"/>
      <c r="G212" s="95"/>
      <c r="H212" s="95"/>
      <c r="I212" s="95"/>
    </row>
    <row r="213" ht="21.75" customHeight="1">
      <c r="A213" s="22"/>
      <c r="B213" s="184"/>
      <c r="C213" s="160"/>
      <c r="D213" s="169"/>
      <c r="E213" s="22"/>
      <c r="H213" s="95"/>
      <c r="I213" s="95"/>
    </row>
    <row r="214" ht="21.75" customHeight="1">
      <c r="A214" s="295" t="s">
        <v>46</v>
      </c>
      <c r="B214" s="184" t="s">
        <v>527</v>
      </c>
      <c r="C214" s="207">
        <v>1.4385E7</v>
      </c>
      <c r="D214" s="198" t="s">
        <v>7</v>
      </c>
      <c r="E214" s="401">
        <v>2.227E7</v>
      </c>
      <c r="G214" s="95"/>
      <c r="H214" s="95"/>
      <c r="I214" s="95"/>
    </row>
    <row r="215" ht="21.75" customHeight="1">
      <c r="A215" s="18"/>
      <c r="B215" s="184" t="s">
        <v>528</v>
      </c>
      <c r="C215" s="207">
        <v>7050000.0</v>
      </c>
      <c r="D215" s="198" t="s">
        <v>7</v>
      </c>
      <c r="E215" s="18"/>
      <c r="G215" s="95"/>
      <c r="H215" s="95"/>
      <c r="I215" s="95"/>
    </row>
    <row r="216" ht="21.75" customHeight="1">
      <c r="A216" s="18"/>
      <c r="B216" s="184" t="s">
        <v>530</v>
      </c>
      <c r="C216" s="207">
        <v>2.227E7</v>
      </c>
      <c r="D216" s="198"/>
      <c r="E216" s="18"/>
      <c r="G216" s="95"/>
      <c r="H216" s="95"/>
      <c r="I216" s="95"/>
    </row>
    <row r="217" ht="21.75" customHeight="1">
      <c r="A217" s="18"/>
      <c r="B217" s="116"/>
      <c r="C217" s="160"/>
      <c r="D217" s="198"/>
      <c r="E217" s="18"/>
    </row>
    <row r="218" ht="21.75" customHeight="1">
      <c r="A218" s="18"/>
      <c r="B218" s="116"/>
      <c r="C218" s="207"/>
      <c r="D218" s="198"/>
      <c r="E218" s="18"/>
      <c r="F218" s="334"/>
    </row>
    <row r="219" ht="21.75" customHeight="1">
      <c r="A219" s="18"/>
      <c r="B219" s="181" t="s">
        <v>225</v>
      </c>
      <c r="C219" s="167">
        <v>3.8475E7</v>
      </c>
      <c r="D219" s="198">
        <v>-1125000.0</v>
      </c>
      <c r="E219" s="18"/>
    </row>
    <row r="220" ht="21.75" customHeight="1">
      <c r="A220" s="22"/>
      <c r="B220" s="184"/>
      <c r="C220" s="335"/>
      <c r="D220" s="198"/>
      <c r="E220" s="22"/>
    </row>
    <row r="221" ht="21.75" customHeight="1">
      <c r="A221" s="295" t="s">
        <v>47</v>
      </c>
      <c r="B221" s="116" t="s">
        <v>48</v>
      </c>
      <c r="C221" s="151">
        <v>4.0E7</v>
      </c>
      <c r="D221" s="24"/>
      <c r="E221" s="401">
        <v>6.0985E7</v>
      </c>
    </row>
    <row r="222" ht="21.75" customHeight="1">
      <c r="A222" s="18"/>
      <c r="B222" s="184" t="s">
        <v>325</v>
      </c>
      <c r="C222" s="207">
        <v>2.7275E7</v>
      </c>
      <c r="D222" s="198">
        <v>-1635000.0</v>
      </c>
      <c r="E222" s="18"/>
    </row>
    <row r="223" ht="21.75" customHeight="1">
      <c r="A223" s="18"/>
      <c r="B223" s="184" t="s">
        <v>528</v>
      </c>
      <c r="C223" s="155">
        <v>1.935E7</v>
      </c>
      <c r="D223" s="110"/>
      <c r="E223" s="18"/>
    </row>
    <row r="224" ht="21.75" customHeight="1">
      <c r="A224" s="18"/>
      <c r="B224" s="184"/>
      <c r="C224" s="151"/>
      <c r="D224" s="110"/>
      <c r="E224" s="18"/>
      <c r="G224" s="90" t="s">
        <v>50</v>
      </c>
      <c r="H224" s="56" t="s">
        <v>51</v>
      </c>
      <c r="I224" s="19">
        <v>3.58355E7</v>
      </c>
    </row>
    <row r="225" ht="21.75" customHeight="1">
      <c r="A225" s="18"/>
      <c r="B225" s="108"/>
      <c r="C225" s="164"/>
      <c r="D225" s="110"/>
      <c r="E225" s="18"/>
      <c r="F225" s="91"/>
      <c r="G225" s="18"/>
      <c r="H225" s="56" t="s">
        <v>53</v>
      </c>
      <c r="I225" s="19">
        <v>4.2089E7</v>
      </c>
    </row>
    <row r="226" ht="21.75" customHeight="1">
      <c r="A226" s="18"/>
      <c r="B226" s="184"/>
      <c r="C226" s="209"/>
      <c r="D226" s="110"/>
      <c r="E226" s="18"/>
      <c r="F226" s="91"/>
      <c r="G226" s="18"/>
      <c r="H226" s="56" t="s">
        <v>55</v>
      </c>
      <c r="I226" s="19">
        <v>3.9621E7</v>
      </c>
    </row>
    <row r="227" ht="21.75" customHeight="1">
      <c r="A227" s="22"/>
      <c r="B227" s="184"/>
      <c r="C227" s="207"/>
      <c r="D227" s="110"/>
      <c r="E227" s="22"/>
      <c r="F227" s="91"/>
      <c r="G227" s="18"/>
      <c r="H227" s="56"/>
      <c r="I227" s="19"/>
    </row>
    <row r="228" ht="21.75" customHeight="1">
      <c r="A228" s="295" t="s">
        <v>56</v>
      </c>
      <c r="B228" s="184" t="s">
        <v>527</v>
      </c>
      <c r="C228" s="207">
        <v>1.9719E7</v>
      </c>
      <c r="D228" s="110"/>
      <c r="E228" s="401">
        <f>sum(C228:C231)</f>
        <v>103226500</v>
      </c>
      <c r="F228" s="91"/>
      <c r="G228" s="18"/>
      <c r="H228" s="56"/>
      <c r="I228" s="19"/>
    </row>
    <row r="229" ht="21.75" customHeight="1">
      <c r="A229" s="18"/>
      <c r="B229" s="184" t="s">
        <v>528</v>
      </c>
      <c r="C229" s="207">
        <v>3.03885E7</v>
      </c>
      <c r="D229" s="169"/>
      <c r="E229" s="18"/>
      <c r="F229" s="91"/>
      <c r="G229" s="18"/>
      <c r="H229" s="56" t="s">
        <v>57</v>
      </c>
      <c r="I229" s="19">
        <v>6.7791E7</v>
      </c>
    </row>
    <row r="230" ht="21.75" customHeight="1">
      <c r="A230" s="18"/>
      <c r="B230" s="184" t="s">
        <v>529</v>
      </c>
      <c r="C230" s="160">
        <v>2.5375E7</v>
      </c>
      <c r="D230" s="110"/>
      <c r="E230" s="18"/>
      <c r="F230" s="91"/>
      <c r="G230" s="18"/>
    </row>
    <row r="231" ht="21.75" customHeight="1">
      <c r="A231" s="22"/>
      <c r="B231" s="184" t="s">
        <v>530</v>
      </c>
      <c r="C231" s="207">
        <v>2.7744E7</v>
      </c>
      <c r="D231" s="110"/>
      <c r="E231" s="22"/>
      <c r="G231" s="18"/>
      <c r="I231" s="2">
        <f>SUM(I243:I244)</f>
        <v>146720000</v>
      </c>
    </row>
    <row r="232" ht="21.75" customHeight="1">
      <c r="A232" s="102" t="s">
        <v>58</v>
      </c>
      <c r="B232" s="184" t="s">
        <v>527</v>
      </c>
      <c r="C232" s="160">
        <v>9.0293E7</v>
      </c>
      <c r="D232" s="110"/>
      <c r="E232" s="401">
        <v>2.42648E8</v>
      </c>
      <c r="F232" s="91"/>
    </row>
    <row r="233" ht="22.5" customHeight="1">
      <c r="A233" s="18"/>
      <c r="B233" s="184" t="s">
        <v>528</v>
      </c>
      <c r="C233" s="185">
        <v>8.12185E7</v>
      </c>
      <c r="D233" s="110"/>
      <c r="E233" s="18"/>
      <c r="G233" s="95"/>
      <c r="H233" s="9"/>
      <c r="I233" s="28"/>
    </row>
    <row r="234" ht="22.5" customHeight="1">
      <c r="A234" s="18"/>
      <c r="B234" s="184" t="s">
        <v>529</v>
      </c>
      <c r="C234" s="207">
        <v>7.2339E7</v>
      </c>
      <c r="D234" s="110"/>
      <c r="E234" s="18"/>
      <c r="F234" s="91"/>
      <c r="G234" s="79"/>
      <c r="H234" s="56"/>
      <c r="I234" s="24">
        <v>1.11365E7</v>
      </c>
    </row>
    <row r="235" ht="22.5" customHeight="1">
      <c r="A235" s="18"/>
      <c r="B235" s="184" t="s">
        <v>530</v>
      </c>
      <c r="C235" s="335">
        <v>4.2648E7</v>
      </c>
      <c r="D235" s="110"/>
      <c r="E235" s="18"/>
      <c r="G235" s="18"/>
      <c r="H235" s="56"/>
      <c r="I235" s="24">
        <v>4.38625E7</v>
      </c>
    </row>
    <row r="236" ht="22.5" customHeight="1">
      <c r="A236" s="18"/>
      <c r="B236" s="184"/>
      <c r="C236" s="207"/>
      <c r="D236" s="110"/>
      <c r="E236" s="18"/>
      <c r="G236" s="18"/>
      <c r="H236" s="56"/>
      <c r="I236" s="24">
        <v>5.06925E7</v>
      </c>
    </row>
    <row r="237" ht="22.5" customHeight="1">
      <c r="A237" s="18"/>
      <c r="B237" s="184" t="s">
        <v>314</v>
      </c>
      <c r="C237" s="207">
        <v>7.6236E7</v>
      </c>
      <c r="D237" s="210"/>
      <c r="E237" s="18"/>
      <c r="G237" s="18"/>
      <c r="H237" s="56"/>
      <c r="I237" s="24">
        <v>5.31555E7</v>
      </c>
    </row>
    <row r="238" ht="22.5" customHeight="1">
      <c r="A238" s="18"/>
      <c r="B238" s="160" t="s">
        <v>312</v>
      </c>
      <c r="C238" s="207">
        <v>5.33225E7</v>
      </c>
      <c r="D238" s="93"/>
      <c r="E238" s="18"/>
      <c r="G238" s="18"/>
      <c r="H238" s="56"/>
      <c r="I238" s="24"/>
    </row>
    <row r="239" ht="22.5" customHeight="1">
      <c r="A239" s="18"/>
      <c r="B239" s="184" t="s">
        <v>313</v>
      </c>
      <c r="C239" s="207">
        <v>3300000.0</v>
      </c>
      <c r="D239" s="93"/>
      <c r="E239" s="18"/>
      <c r="G239" s="18"/>
      <c r="H239" s="56"/>
      <c r="I239" s="24"/>
    </row>
    <row r="240" ht="22.5" customHeight="1">
      <c r="A240" s="22"/>
      <c r="B240" s="443" t="s">
        <v>531</v>
      </c>
      <c r="C240" s="444">
        <v>7.2339E7</v>
      </c>
      <c r="D240" s="93"/>
      <c r="E240" s="22"/>
      <c r="G240" s="18"/>
      <c r="H240" s="56"/>
      <c r="I240" s="24"/>
    </row>
    <row r="241" ht="22.5" customHeight="1">
      <c r="A241" s="102" t="s">
        <v>60</v>
      </c>
      <c r="B241" s="184" t="s">
        <v>528</v>
      </c>
      <c r="C241" s="358">
        <v>1146000.0</v>
      </c>
      <c r="D241" s="110"/>
      <c r="E241" s="401">
        <v>1146000.0</v>
      </c>
      <c r="G241" s="18"/>
      <c r="H241" s="56"/>
      <c r="I241" s="24"/>
    </row>
    <row r="242" ht="22.5" customHeight="1">
      <c r="A242" s="18"/>
      <c r="B242" s="184"/>
      <c r="C242" s="110"/>
      <c r="D242" s="110"/>
      <c r="E242" s="18"/>
      <c r="G242" s="18"/>
      <c r="H242" s="56"/>
      <c r="I242" s="24"/>
    </row>
    <row r="243" ht="22.5" customHeight="1">
      <c r="A243" s="18"/>
      <c r="B243" s="160"/>
      <c r="C243" s="207"/>
      <c r="D243" s="110"/>
      <c r="E243" s="18"/>
      <c r="G243" s="18"/>
      <c r="H243" s="56"/>
      <c r="I243" s="24">
        <v>9.8639E7</v>
      </c>
    </row>
    <row r="244" ht="22.5" customHeight="1">
      <c r="A244" s="22"/>
      <c r="B244" s="184" t="s">
        <v>313</v>
      </c>
      <c r="C244" s="207">
        <v>3735000.0</v>
      </c>
      <c r="D244" s="169" t="s">
        <v>7</v>
      </c>
      <c r="E244" s="22"/>
      <c r="G244" s="18"/>
      <c r="H244" s="56"/>
      <c r="I244" s="24">
        <v>4.8081E7</v>
      </c>
    </row>
    <row r="245" ht="22.5" customHeight="1">
      <c r="A245" s="295" t="s">
        <v>61</v>
      </c>
      <c r="B245" s="184" t="s">
        <v>528</v>
      </c>
      <c r="C245" s="207">
        <v>1.19325E7</v>
      </c>
      <c r="D245" s="337" t="s">
        <v>7</v>
      </c>
      <c r="E245" s="401">
        <v>2.325E7</v>
      </c>
      <c r="F245" s="20" t="s">
        <v>62</v>
      </c>
      <c r="G245" s="18"/>
    </row>
    <row r="246" ht="22.5" customHeight="1">
      <c r="A246" s="18"/>
      <c r="B246" s="184" t="s">
        <v>529</v>
      </c>
      <c r="C246" s="110">
        <v>1.627E7</v>
      </c>
      <c r="D246" s="110"/>
      <c r="E246" s="18"/>
      <c r="G246" s="18"/>
      <c r="H246" s="56"/>
      <c r="I246" s="99">
        <f>SUM(I234:I244)</f>
        <v>305567000</v>
      </c>
    </row>
    <row r="247" ht="22.5" customHeight="1">
      <c r="A247" s="18"/>
      <c r="B247" s="184" t="s">
        <v>530</v>
      </c>
      <c r="C247" s="110">
        <v>6980000.0</v>
      </c>
      <c r="D247" s="110"/>
      <c r="E247" s="18"/>
      <c r="G247" s="95"/>
      <c r="H247" s="9"/>
      <c r="I247" s="234"/>
    </row>
    <row r="248" ht="22.5" customHeight="1">
      <c r="A248" s="18"/>
      <c r="B248" s="184" t="s">
        <v>314</v>
      </c>
      <c r="C248" s="110">
        <v>5085000.0</v>
      </c>
      <c r="D248" s="110" t="s">
        <v>7</v>
      </c>
      <c r="E248" s="18"/>
    </row>
    <row r="249" ht="22.5" customHeight="1">
      <c r="A249" s="18"/>
      <c r="B249" s="184" t="s">
        <v>312</v>
      </c>
      <c r="C249" s="110">
        <v>1.03E7</v>
      </c>
      <c r="D249" s="110" t="s">
        <v>7</v>
      </c>
      <c r="E249" s="18"/>
      <c r="H249" s="20" t="str">
        <f>40000000-I250-I252-#REF!-I255</f>
        <v>#REF!</v>
      </c>
    </row>
    <row r="250" ht="22.5" customHeight="1">
      <c r="A250" s="22"/>
      <c r="B250" s="184" t="s">
        <v>313</v>
      </c>
      <c r="C250" s="110">
        <v>2.0495E7</v>
      </c>
      <c r="D250" s="110" t="s">
        <v>7</v>
      </c>
      <c r="E250" s="22"/>
      <c r="H250" s="20"/>
    </row>
    <row r="251" ht="22.5" customHeight="1">
      <c r="A251" s="102" t="s">
        <v>63</v>
      </c>
      <c r="B251" s="184" t="s">
        <v>527</v>
      </c>
      <c r="C251" s="110">
        <v>3.4155E7</v>
      </c>
      <c r="D251" s="169" t="s">
        <v>7</v>
      </c>
      <c r="E251" s="401">
        <v>8.6564E7</v>
      </c>
    </row>
    <row r="252" ht="22.5" customHeight="1">
      <c r="A252" s="18"/>
      <c r="B252" s="184" t="s">
        <v>528</v>
      </c>
      <c r="C252" s="198">
        <v>3.8965E7</v>
      </c>
      <c r="D252" s="110" t="s">
        <v>7</v>
      </c>
      <c r="E252" s="18"/>
    </row>
    <row r="253" ht="22.5" customHeight="1">
      <c r="A253" s="18"/>
      <c r="B253" s="184" t="s">
        <v>529</v>
      </c>
      <c r="C253" s="110">
        <v>4.1234E7</v>
      </c>
      <c r="D253" s="110"/>
      <c r="E253" s="18"/>
    </row>
    <row r="254" ht="22.5" customHeight="1">
      <c r="A254" s="18"/>
      <c r="B254" s="184" t="s">
        <v>530</v>
      </c>
      <c r="C254" s="110">
        <v>4.54295E7</v>
      </c>
      <c r="D254" s="110"/>
      <c r="E254" s="18"/>
    </row>
    <row r="255" ht="22.5" customHeight="1">
      <c r="A255" s="22"/>
      <c r="B255" s="184" t="s">
        <v>313</v>
      </c>
      <c r="C255" s="198">
        <v>4.54295E7</v>
      </c>
      <c r="D255" s="110"/>
      <c r="E255" s="22"/>
    </row>
    <row r="256" ht="22.5" customHeight="1">
      <c r="A256" s="338" t="s">
        <v>64</v>
      </c>
      <c r="B256" s="184" t="s">
        <v>527</v>
      </c>
      <c r="C256" s="198">
        <v>9.95145E7</v>
      </c>
      <c r="D256" s="115" t="s">
        <v>7</v>
      </c>
      <c r="E256" s="401">
        <v>5.792E7</v>
      </c>
    </row>
    <row r="257" ht="22.5" customHeight="1">
      <c r="A257" s="18"/>
      <c r="B257" s="184" t="s">
        <v>528</v>
      </c>
      <c r="C257" s="198">
        <v>4.2702E7</v>
      </c>
      <c r="D257" s="115" t="s">
        <v>7</v>
      </c>
      <c r="E257" s="18"/>
    </row>
    <row r="258" ht="22.5" customHeight="1">
      <c r="A258" s="18"/>
      <c r="B258" s="184" t="s">
        <v>529</v>
      </c>
      <c r="C258" s="198">
        <v>6.0437E7</v>
      </c>
      <c r="D258" s="115" t="s">
        <v>7</v>
      </c>
      <c r="E258" s="18"/>
    </row>
    <row r="259" ht="22.5" customHeight="1">
      <c r="A259" s="18"/>
      <c r="B259" s="184" t="s">
        <v>530</v>
      </c>
      <c r="C259" s="198">
        <v>5.792E7</v>
      </c>
      <c r="D259" s="115"/>
      <c r="E259" s="18"/>
      <c r="L259" s="20">
        <f>SUM(I259:I262)</f>
        <v>38616000</v>
      </c>
    </row>
    <row r="260" ht="22.5" customHeight="1">
      <c r="A260" s="22"/>
      <c r="B260" s="157"/>
      <c r="C260" s="157"/>
      <c r="D260" s="157"/>
      <c r="E260" s="22"/>
      <c r="L260" s="20"/>
    </row>
    <row r="261" ht="22.5" customHeight="1">
      <c r="A261" s="102" t="s">
        <v>65</v>
      </c>
      <c r="B261" s="56" t="s">
        <v>51</v>
      </c>
      <c r="C261" s="115"/>
      <c r="D261" s="115"/>
      <c r="E261" s="401">
        <v>2625000.0</v>
      </c>
      <c r="G261" s="103" t="s">
        <v>65</v>
      </c>
      <c r="H261" s="56" t="s">
        <v>12</v>
      </c>
      <c r="I261" s="101">
        <v>3000000.0</v>
      </c>
    </row>
    <row r="262" ht="22.5" customHeight="1">
      <c r="A262" s="18"/>
      <c r="B262" s="56" t="s">
        <v>53</v>
      </c>
      <c r="C262" s="115">
        <v>2625000.0</v>
      </c>
      <c r="D262" s="48"/>
      <c r="E262" s="18"/>
      <c r="G262" s="18"/>
      <c r="H262" s="56" t="s">
        <v>13</v>
      </c>
      <c r="I262" s="48">
        <v>3.5616E7</v>
      </c>
    </row>
    <row r="263" ht="22.5" customHeight="1">
      <c r="A263" s="18"/>
      <c r="B263" s="56" t="s">
        <v>55</v>
      </c>
      <c r="C263" s="115"/>
      <c r="D263" s="48"/>
      <c r="E263" s="18"/>
      <c r="G263" s="18"/>
      <c r="H263" s="56" t="s">
        <v>66</v>
      </c>
      <c r="I263" s="48">
        <v>1.88395E7</v>
      </c>
    </row>
    <row r="264" ht="22.5" customHeight="1">
      <c r="A264" s="22"/>
      <c r="B264" s="56" t="s">
        <v>57</v>
      </c>
      <c r="C264" s="115"/>
      <c r="D264" s="48"/>
      <c r="E264" s="22"/>
      <c r="G264" s="18"/>
      <c r="H264" s="56" t="s">
        <v>67</v>
      </c>
      <c r="I264" s="48">
        <v>2.7162E7</v>
      </c>
    </row>
    <row r="265" ht="22.5" customHeight="1">
      <c r="A265" s="102" t="s">
        <v>68</v>
      </c>
      <c r="B265" s="184" t="s">
        <v>527</v>
      </c>
      <c r="C265" s="224">
        <v>3.8463E7</v>
      </c>
      <c r="D265" s="110" t="s">
        <v>7</v>
      </c>
      <c r="E265" s="401">
        <v>2.387E7</v>
      </c>
      <c r="G265" s="18"/>
      <c r="H265" s="56"/>
      <c r="I265" s="99"/>
      <c r="J265" s="340"/>
      <c r="K265" s="341"/>
      <c r="L265" s="342"/>
    </row>
    <row r="266" ht="22.5" customHeight="1">
      <c r="A266" s="18"/>
      <c r="B266" s="184" t="s">
        <v>528</v>
      </c>
      <c r="C266" s="115">
        <v>3.5917E7</v>
      </c>
      <c r="D266" s="110" t="s">
        <v>7</v>
      </c>
      <c r="E266" s="18"/>
      <c r="G266" s="22"/>
      <c r="H266" s="56" t="s">
        <v>69</v>
      </c>
      <c r="I266" s="99">
        <f>sum(I259:I264)</f>
        <v>84617500</v>
      </c>
      <c r="J266" s="105" t="s">
        <v>70</v>
      </c>
      <c r="K266" s="106" t="s">
        <v>71</v>
      </c>
      <c r="L266" s="107">
        <v>3.94992E7</v>
      </c>
    </row>
    <row r="267" ht="22.5" customHeight="1">
      <c r="A267" s="18"/>
      <c r="B267" s="184" t="s">
        <v>529</v>
      </c>
      <c r="C267" s="115">
        <v>3.0777E7</v>
      </c>
      <c r="D267" s="110" t="s">
        <v>7</v>
      </c>
      <c r="E267" s="18"/>
      <c r="J267" s="18"/>
      <c r="K267" s="108" t="s">
        <v>72</v>
      </c>
      <c r="L267" s="109">
        <v>4.4902E7</v>
      </c>
    </row>
    <row r="268" ht="22.5" customHeight="1">
      <c r="A268" s="18"/>
      <c r="B268" s="184" t="s">
        <v>530</v>
      </c>
      <c r="C268" s="115">
        <v>2.387E7</v>
      </c>
      <c r="D268" s="115"/>
      <c r="E268" s="18"/>
      <c r="G268" s="223" t="s">
        <v>68</v>
      </c>
      <c r="H268" s="56"/>
      <c r="J268" s="18"/>
      <c r="K268" s="108" t="s">
        <v>73</v>
      </c>
      <c r="L268" s="109">
        <v>2.968E7</v>
      </c>
    </row>
    <row r="269" ht="22.5" customHeight="1">
      <c r="A269" s="18"/>
      <c r="B269" s="56"/>
      <c r="C269" s="115"/>
      <c r="D269" s="110"/>
      <c r="E269" s="18"/>
      <c r="G269" s="18"/>
      <c r="H269" s="56"/>
      <c r="J269" s="18"/>
      <c r="K269" s="108" t="s">
        <v>74</v>
      </c>
      <c r="L269" s="109">
        <v>3.87375E7</v>
      </c>
    </row>
    <row r="270" ht="22.5" customHeight="1">
      <c r="A270" s="22"/>
      <c r="B270" s="129" t="s">
        <v>328</v>
      </c>
      <c r="C270" s="115">
        <v>3.8549E7</v>
      </c>
      <c r="D270" s="110" t="s">
        <v>7</v>
      </c>
      <c r="E270" s="22"/>
      <c r="G270" s="18"/>
      <c r="H270" s="56"/>
      <c r="J270" s="18"/>
      <c r="K270" s="108"/>
      <c r="L270" s="109"/>
    </row>
    <row r="271" ht="22.5" customHeight="1">
      <c r="A271" s="102" t="s">
        <v>75</v>
      </c>
      <c r="B271" s="184" t="s">
        <v>527</v>
      </c>
      <c r="C271" s="115">
        <v>2.63E7</v>
      </c>
      <c r="D271" s="110" t="s">
        <v>7</v>
      </c>
      <c r="E271" s="401">
        <v>2.60445E7</v>
      </c>
      <c r="G271" s="22"/>
      <c r="H271" s="56"/>
      <c r="J271" s="18"/>
      <c r="K271" s="108" t="s">
        <v>76</v>
      </c>
      <c r="L271" s="112">
        <v>2.9435E7</v>
      </c>
    </row>
    <row r="272" ht="22.5" customHeight="1">
      <c r="A272" s="18"/>
      <c r="B272" s="184" t="s">
        <v>528</v>
      </c>
      <c r="C272" s="115">
        <v>3.2707E7</v>
      </c>
      <c r="D272" s="110" t="s">
        <v>7</v>
      </c>
      <c r="E272" s="18"/>
      <c r="J272" s="18"/>
      <c r="K272" s="108" t="s">
        <v>77</v>
      </c>
      <c r="L272" s="112">
        <v>3.428E7</v>
      </c>
    </row>
    <row r="273" ht="22.5" customHeight="1">
      <c r="A273" s="18"/>
      <c r="B273" s="184" t="s">
        <v>529</v>
      </c>
      <c r="C273" s="115">
        <v>2.6804E7</v>
      </c>
      <c r="D273" s="110" t="s">
        <v>7</v>
      </c>
      <c r="E273" s="18"/>
      <c r="J273" s="22"/>
      <c r="K273" s="108" t="s">
        <v>78</v>
      </c>
      <c r="L273" s="113">
        <f>sum(L266:L272)</f>
        <v>216533700</v>
      </c>
    </row>
    <row r="274" ht="22.5" customHeight="1">
      <c r="A274" s="18"/>
      <c r="B274" s="184" t="s">
        <v>530</v>
      </c>
      <c r="C274" s="115">
        <v>2.60445E7</v>
      </c>
      <c r="D274" s="110"/>
      <c r="E274" s="18"/>
      <c r="H274" s="20"/>
    </row>
    <row r="275" ht="22.5" customHeight="1">
      <c r="A275" s="22"/>
      <c r="B275" s="129"/>
      <c r="C275" s="115"/>
      <c r="D275" s="110"/>
      <c r="E275" s="22"/>
      <c r="H275" s="20"/>
    </row>
    <row r="276" ht="22.5" customHeight="1">
      <c r="A276" s="102" t="s">
        <v>79</v>
      </c>
      <c r="B276" s="184" t="s">
        <v>527</v>
      </c>
      <c r="C276" s="224">
        <v>3.96095E7</v>
      </c>
      <c r="D276" s="115" t="s">
        <v>7</v>
      </c>
      <c r="E276" s="401">
        <v>5.554E7</v>
      </c>
    </row>
    <row r="277" ht="22.5" customHeight="1">
      <c r="A277" s="18"/>
      <c r="B277" s="184" t="s">
        <v>528</v>
      </c>
      <c r="C277" s="115">
        <v>5.4555E7</v>
      </c>
      <c r="D277" s="115" t="s">
        <v>7</v>
      </c>
      <c r="E277" s="18"/>
    </row>
    <row r="278" ht="22.5" customHeight="1">
      <c r="A278" s="18"/>
      <c r="B278" s="184" t="s">
        <v>529</v>
      </c>
      <c r="C278" s="115">
        <v>4.78105E7</v>
      </c>
      <c r="D278" s="115" t="s">
        <v>7</v>
      </c>
      <c r="E278" s="18"/>
      <c r="G278" s="114"/>
      <c r="H278" s="116" t="s">
        <v>6</v>
      </c>
      <c r="I278" s="117">
        <f>C282</f>
        <v>27788000</v>
      </c>
    </row>
    <row r="279" ht="22.5" customHeight="1">
      <c r="A279" s="18"/>
      <c r="B279" s="184" t="s">
        <v>530</v>
      </c>
      <c r="C279" s="343">
        <v>5.554E7</v>
      </c>
      <c r="D279" s="344"/>
      <c r="E279" s="18"/>
      <c r="G279" s="18"/>
      <c r="H279" s="116"/>
      <c r="I279" s="117"/>
    </row>
    <row r="280" ht="22.5" customHeight="1">
      <c r="A280" s="18"/>
      <c r="B280" s="56"/>
      <c r="C280" s="343"/>
      <c r="D280" s="115"/>
      <c r="E280" s="18"/>
      <c r="G280" s="18"/>
      <c r="H280" s="116"/>
      <c r="I280" s="117"/>
    </row>
    <row r="281" ht="22.5" customHeight="1">
      <c r="A281" s="22"/>
      <c r="B281" s="129"/>
      <c r="C281" s="343"/>
      <c r="D281" s="115"/>
      <c r="E281" s="22"/>
      <c r="G281" s="18"/>
      <c r="H281" s="116"/>
      <c r="I281" s="117"/>
    </row>
    <row r="282" ht="22.5" customHeight="1">
      <c r="A282" s="102" t="s">
        <v>80</v>
      </c>
      <c r="B282" s="184" t="s">
        <v>527</v>
      </c>
      <c r="C282" s="224">
        <v>2.7788E7</v>
      </c>
      <c r="D282" s="115"/>
      <c r="E282" s="401">
        <v>1.150835E8</v>
      </c>
      <c r="G282" s="18"/>
      <c r="H282" s="56" t="s">
        <v>66</v>
      </c>
      <c r="I282" s="48">
        <v>6.4686E7</v>
      </c>
      <c r="J282" s="103" t="s">
        <v>82</v>
      </c>
      <c r="K282" s="23" t="s">
        <v>83</v>
      </c>
      <c r="L282" s="118">
        <v>4.7254E7</v>
      </c>
    </row>
    <row r="283" ht="22.5" customHeight="1">
      <c r="A283" s="18"/>
      <c r="B283" s="184" t="s">
        <v>528</v>
      </c>
      <c r="C283" s="115">
        <v>3.05255E7</v>
      </c>
      <c r="D283" s="115"/>
      <c r="E283" s="18"/>
      <c r="G283" s="18"/>
      <c r="H283" s="56" t="s">
        <v>17</v>
      </c>
      <c r="I283" s="101">
        <v>5.4141E7</v>
      </c>
      <c r="J283" s="18"/>
      <c r="K283" s="23"/>
      <c r="L283" s="118"/>
    </row>
    <row r="284" ht="22.5" customHeight="1">
      <c r="A284" s="18"/>
      <c r="B284" s="184" t="s">
        <v>529</v>
      </c>
      <c r="C284" s="119">
        <v>1.8674E7</v>
      </c>
      <c r="D284" s="115"/>
      <c r="E284" s="18"/>
      <c r="G284" s="18"/>
      <c r="H284" s="56" t="s">
        <v>69</v>
      </c>
      <c r="I284" s="99">
        <f>sum(I277:I283)</f>
        <v>146615000</v>
      </c>
      <c r="J284" s="18"/>
      <c r="K284" s="23" t="s">
        <v>84</v>
      </c>
      <c r="L284" s="48">
        <v>3.8867E7</v>
      </c>
    </row>
    <row r="285" ht="22.5" customHeight="1">
      <c r="A285" s="18"/>
      <c r="B285" s="184" t="s">
        <v>530</v>
      </c>
      <c r="C285" s="119">
        <v>3.81865E7</v>
      </c>
      <c r="D285" s="115"/>
      <c r="E285" s="18"/>
      <c r="J285" s="18"/>
      <c r="K285" s="56" t="s">
        <v>85</v>
      </c>
      <c r="L285" s="48">
        <v>4.1088E7</v>
      </c>
    </row>
    <row r="286" ht="22.5" customHeight="1">
      <c r="A286" s="22"/>
      <c r="B286" s="129"/>
      <c r="C286" s="119"/>
      <c r="D286" s="115"/>
      <c r="E286" s="22"/>
      <c r="J286" s="18"/>
      <c r="K286" s="56"/>
      <c r="L286" s="48"/>
    </row>
    <row r="287" ht="22.5" customHeight="1">
      <c r="A287" s="102" t="s">
        <v>86</v>
      </c>
      <c r="B287" s="184" t="s">
        <v>527</v>
      </c>
      <c r="C287" s="115">
        <v>5.0044E7</v>
      </c>
      <c r="D287" s="110" t="s">
        <v>7</v>
      </c>
      <c r="E287" s="401">
        <v>4.1142E7</v>
      </c>
      <c r="J287" s="18"/>
      <c r="K287" s="30"/>
      <c r="L287" s="24"/>
    </row>
    <row r="288" ht="22.5" customHeight="1">
      <c r="A288" s="18"/>
      <c r="B288" s="184" t="s">
        <v>529</v>
      </c>
      <c r="C288" s="115">
        <v>3.6065E7</v>
      </c>
      <c r="D288" s="110" t="s">
        <v>7</v>
      </c>
      <c r="E288" s="18"/>
      <c r="J288" s="18"/>
      <c r="K288" s="30"/>
      <c r="L288" s="24"/>
    </row>
    <row r="289" ht="22.5" customHeight="1">
      <c r="A289" s="18"/>
      <c r="B289" s="184" t="s">
        <v>530</v>
      </c>
      <c r="C289" s="115">
        <v>4.1142E7</v>
      </c>
      <c r="D289" s="110"/>
      <c r="E289" s="18"/>
      <c r="J289" s="18"/>
      <c r="K289" s="30" t="s">
        <v>81</v>
      </c>
      <c r="L289" s="24">
        <v>3.38955E7</v>
      </c>
    </row>
    <row r="290" ht="22.5" customHeight="1">
      <c r="A290" s="18"/>
      <c r="B290" s="56"/>
      <c r="C290" s="119"/>
      <c r="D290" s="110"/>
      <c r="E290" s="18"/>
      <c r="J290" s="18"/>
      <c r="K290" s="56" t="s">
        <v>51</v>
      </c>
      <c r="L290" s="48">
        <f>10465000</f>
        <v>10465000</v>
      </c>
    </row>
    <row r="291" ht="22.5" customHeight="1">
      <c r="A291" s="22"/>
      <c r="B291" s="129"/>
      <c r="C291" s="119"/>
      <c r="D291" s="110"/>
      <c r="E291" s="22"/>
      <c r="J291" s="18"/>
      <c r="K291" s="56"/>
      <c r="L291" s="48"/>
    </row>
    <row r="292" ht="22.5" customHeight="1">
      <c r="A292" s="102" t="s">
        <v>87</v>
      </c>
      <c r="B292" s="184" t="s">
        <v>527</v>
      </c>
      <c r="C292" s="115">
        <v>5.66555E7</v>
      </c>
      <c r="D292" s="110" t="s">
        <v>7</v>
      </c>
      <c r="E292" s="401">
        <f>sum(C293:C294)</f>
        <v>52643000</v>
      </c>
      <c r="J292" s="18"/>
      <c r="K292" s="30" t="s">
        <v>88</v>
      </c>
      <c r="L292" s="24">
        <v>5718000.0</v>
      </c>
    </row>
    <row r="293" ht="22.5" customHeight="1">
      <c r="A293" s="18"/>
      <c r="B293" s="184" t="s">
        <v>528</v>
      </c>
      <c r="C293" s="119">
        <v>2.23995E7</v>
      </c>
      <c r="D293" s="24"/>
      <c r="E293" s="18"/>
      <c r="J293" s="18"/>
      <c r="K293" s="30"/>
      <c r="L293" s="24"/>
    </row>
    <row r="294" ht="22.5" customHeight="1">
      <c r="A294" s="18"/>
      <c r="B294" s="184" t="s">
        <v>529</v>
      </c>
      <c r="C294" s="119">
        <v>3.02435E7</v>
      </c>
      <c r="D294" s="19"/>
      <c r="E294" s="18"/>
      <c r="J294" s="18"/>
      <c r="K294" s="30" t="s">
        <v>89</v>
      </c>
      <c r="L294" s="24">
        <v>5970000.0</v>
      </c>
    </row>
    <row r="295" ht="22.5" customHeight="1">
      <c r="A295" s="18"/>
      <c r="B295" s="184" t="s">
        <v>530</v>
      </c>
      <c r="C295" s="119">
        <v>2.73965E7</v>
      </c>
      <c r="D295" s="19"/>
      <c r="E295" s="18"/>
      <c r="J295" s="22"/>
      <c r="K295" s="30" t="s">
        <v>78</v>
      </c>
      <c r="L295" s="99">
        <f>SUM(L282:L294)</f>
        <v>183257500</v>
      </c>
    </row>
    <row r="296" ht="22.5" customHeight="1">
      <c r="A296" s="22"/>
      <c r="B296" s="129"/>
      <c r="C296" s="119"/>
      <c r="D296" s="19"/>
      <c r="E296" s="22"/>
      <c r="J296" s="218"/>
      <c r="K296" s="53"/>
      <c r="L296" s="234"/>
    </row>
    <row r="297" ht="22.5" customHeight="1">
      <c r="A297" s="102" t="s">
        <v>90</v>
      </c>
      <c r="B297" s="184" t="s">
        <v>527</v>
      </c>
      <c r="C297" s="115">
        <v>3.04005E7</v>
      </c>
      <c r="D297" s="110" t="s">
        <v>7</v>
      </c>
      <c r="E297" s="401">
        <f>sum(C298:C300)</f>
        <v>114982000</v>
      </c>
    </row>
    <row r="298" ht="22.5" customHeight="1">
      <c r="A298" s="18"/>
      <c r="B298" s="184" t="s">
        <v>528</v>
      </c>
      <c r="C298" s="115">
        <v>4.5467E7</v>
      </c>
      <c r="D298" s="110"/>
      <c r="E298" s="18"/>
    </row>
    <row r="299" ht="22.5" customHeight="1">
      <c r="A299" s="18"/>
      <c r="B299" s="184" t="s">
        <v>529</v>
      </c>
      <c r="C299" s="115">
        <v>3.0463E7</v>
      </c>
      <c r="D299" s="110"/>
      <c r="E299" s="18"/>
    </row>
    <row r="300" ht="22.5" customHeight="1">
      <c r="A300" s="18"/>
      <c r="B300" s="184" t="s">
        <v>530</v>
      </c>
      <c r="C300" s="119">
        <v>3.9052E7</v>
      </c>
      <c r="D300" s="110"/>
      <c r="E300" s="18"/>
    </row>
    <row r="301" ht="22.5" customHeight="1">
      <c r="A301" s="22"/>
      <c r="B301" s="129"/>
      <c r="C301" s="119"/>
      <c r="D301" s="110"/>
      <c r="E301" s="22"/>
    </row>
    <row r="302" ht="22.5" customHeight="1">
      <c r="A302" s="102" t="s">
        <v>91</v>
      </c>
      <c r="B302" s="184" t="s">
        <v>527</v>
      </c>
      <c r="C302" s="115">
        <v>3.36415E7</v>
      </c>
      <c r="D302" s="110" t="s">
        <v>7</v>
      </c>
      <c r="E302" s="401">
        <v>2.57425E7</v>
      </c>
    </row>
    <row r="303" ht="22.5" customHeight="1">
      <c r="A303" s="18"/>
      <c r="B303" s="184" t="s">
        <v>528</v>
      </c>
      <c r="C303" s="115">
        <v>1.7036E7</v>
      </c>
      <c r="D303" s="110" t="s">
        <v>7</v>
      </c>
      <c r="E303" s="18"/>
    </row>
    <row r="304" ht="22.5" customHeight="1">
      <c r="A304" s="18"/>
      <c r="B304" s="184" t="s">
        <v>529</v>
      </c>
      <c r="C304" s="115">
        <v>2.1272E7</v>
      </c>
      <c r="D304" s="110" t="s">
        <v>7</v>
      </c>
      <c r="E304" s="18"/>
    </row>
    <row r="305" ht="22.5" customHeight="1">
      <c r="A305" s="18"/>
      <c r="B305" s="184" t="s">
        <v>530</v>
      </c>
      <c r="C305" s="115">
        <v>2.57425E7</v>
      </c>
      <c r="D305" s="48"/>
      <c r="E305" s="18"/>
      <c r="F305" s="346"/>
      <c r="G305" s="346"/>
    </row>
    <row r="306" ht="22.5" customHeight="1">
      <c r="A306" s="22"/>
      <c r="B306" s="129"/>
      <c r="C306" s="115"/>
      <c r="D306" s="48"/>
      <c r="E306" s="22"/>
      <c r="F306" s="346"/>
      <c r="G306" s="346"/>
    </row>
    <row r="307" ht="22.5" customHeight="1">
      <c r="A307" s="102" t="s">
        <v>93</v>
      </c>
      <c r="B307" s="129" t="s">
        <v>474</v>
      </c>
      <c r="C307" s="115">
        <v>3.3447E7</v>
      </c>
      <c r="D307" s="19"/>
      <c r="E307" s="445">
        <f>SUM(C307:C309)</f>
        <v>189053000</v>
      </c>
      <c r="F307" s="346"/>
      <c r="G307" s="346"/>
    </row>
    <row r="308" ht="22.5" customHeight="1">
      <c r="A308" s="18"/>
      <c r="B308" s="129" t="s">
        <v>423</v>
      </c>
      <c r="C308" s="115">
        <v>6.6882E7</v>
      </c>
      <c r="D308" s="19"/>
      <c r="E308" s="18"/>
      <c r="F308" s="346"/>
      <c r="G308" s="346"/>
    </row>
    <row r="309" ht="22.5" customHeight="1">
      <c r="A309" s="18"/>
      <c r="B309" s="129" t="s">
        <v>71</v>
      </c>
      <c r="C309" s="115">
        <v>8.8724E7</v>
      </c>
      <c r="D309" s="19"/>
      <c r="E309" s="22"/>
      <c r="I309" s="346"/>
    </row>
    <row r="310" ht="22.5" customHeight="1">
      <c r="A310" s="128" t="s">
        <v>96</v>
      </c>
      <c r="B310" s="56" t="s">
        <v>51</v>
      </c>
      <c r="C310" s="410">
        <v>1.16555E7</v>
      </c>
      <c r="D310" s="115"/>
      <c r="E310" s="96">
        <f>SUM(C310:C313)</f>
        <v>73207000</v>
      </c>
    </row>
    <row r="311" ht="22.5" customHeight="1">
      <c r="A311" s="18"/>
      <c r="B311" s="56" t="s">
        <v>53</v>
      </c>
      <c r="C311" s="115">
        <v>2.073E7</v>
      </c>
      <c r="D311" s="115"/>
      <c r="E311" s="18"/>
    </row>
    <row r="312" ht="22.5" customHeight="1">
      <c r="A312" s="18"/>
      <c r="B312" s="56" t="s">
        <v>55</v>
      </c>
      <c r="C312" s="115">
        <v>1.8557E7</v>
      </c>
      <c r="D312" s="115"/>
      <c r="E312" s="18"/>
    </row>
    <row r="313" ht="22.5" customHeight="1">
      <c r="A313" s="22"/>
      <c r="B313" s="56" t="s">
        <v>57</v>
      </c>
      <c r="C313" s="115">
        <v>2.22645E7</v>
      </c>
      <c r="D313" s="115"/>
      <c r="E313" s="22"/>
    </row>
    <row r="314" ht="22.5" customHeight="1">
      <c r="A314" s="240" t="s">
        <v>100</v>
      </c>
      <c r="B314" s="348" t="s">
        <v>532</v>
      </c>
      <c r="C314" s="119">
        <v>9.91312E7</v>
      </c>
      <c r="D314" s="19"/>
      <c r="E314" s="345"/>
    </row>
    <row r="315" ht="22.5" customHeight="1">
      <c r="A315" s="18"/>
      <c r="B315" s="348" t="s">
        <v>533</v>
      </c>
      <c r="C315" s="119">
        <v>1.697782E8</v>
      </c>
      <c r="D315" s="19"/>
      <c r="E315" s="345"/>
    </row>
    <row r="316" ht="22.5" customHeight="1">
      <c r="A316" s="18"/>
      <c r="B316" s="348" t="s">
        <v>99</v>
      </c>
      <c r="C316" s="51">
        <f>SUM(C314:C315)</f>
        <v>268909400</v>
      </c>
      <c r="D316" s="19"/>
      <c r="E316" s="345"/>
    </row>
    <row r="317" ht="22.5" customHeight="1">
      <c r="A317" s="22"/>
      <c r="C317" s="134" t="s">
        <v>534</v>
      </c>
      <c r="D317" s="19"/>
      <c r="E317" s="345"/>
    </row>
    <row r="318" ht="22.5" customHeight="1">
      <c r="A318" s="240" t="s">
        <v>101</v>
      </c>
      <c r="B318" s="56" t="s">
        <v>51</v>
      </c>
      <c r="C318" s="115">
        <v>3.51098E7</v>
      </c>
      <c r="D318" s="115" t="s">
        <v>7</v>
      </c>
      <c r="E318" s="96">
        <f>C319+C320+C321</f>
        <v>101091400</v>
      </c>
    </row>
    <row r="319" ht="22.5" customHeight="1">
      <c r="A319" s="18"/>
      <c r="B319" s="56" t="s">
        <v>53</v>
      </c>
      <c r="C319" s="115">
        <v>2.9048E7</v>
      </c>
      <c r="D319" s="115"/>
      <c r="E319" s="18"/>
    </row>
    <row r="320" ht="22.5" customHeight="1">
      <c r="A320" s="18"/>
      <c r="B320" s="56" t="s">
        <v>55</v>
      </c>
      <c r="C320" s="115">
        <v>3.03955E7</v>
      </c>
      <c r="D320" s="115"/>
      <c r="E320" s="18"/>
      <c r="G320" s="103" t="s">
        <v>108</v>
      </c>
      <c r="H320" s="129" t="s">
        <v>525</v>
      </c>
      <c r="I320" s="115">
        <f>18802000-7648200</f>
        <v>11153800</v>
      </c>
    </row>
    <row r="321" ht="22.5" customHeight="1">
      <c r="A321" s="22"/>
      <c r="B321" s="56" t="s">
        <v>57</v>
      </c>
      <c r="C321" s="119">
        <v>4.16479E7</v>
      </c>
      <c r="D321" s="115"/>
      <c r="E321" s="18"/>
      <c r="G321" s="18"/>
      <c r="H321" s="129" t="s">
        <v>526</v>
      </c>
      <c r="I321" s="115">
        <v>3.30027E7</v>
      </c>
    </row>
    <row r="322" ht="22.5" customHeight="1">
      <c r="A322" s="128" t="s">
        <v>107</v>
      </c>
      <c r="B322" s="56" t="s">
        <v>51</v>
      </c>
      <c r="C322" s="115">
        <v>4.3031E7</v>
      </c>
      <c r="D322" s="115" t="s">
        <v>7</v>
      </c>
      <c r="E322" s="111">
        <f>C324+C325</f>
        <v>90313000</v>
      </c>
      <c r="G322" s="18"/>
      <c r="H322" s="129" t="s">
        <v>535</v>
      </c>
      <c r="I322" s="115">
        <v>1.7987E7</v>
      </c>
    </row>
    <row r="323" ht="22.5" customHeight="1">
      <c r="A323" s="18"/>
      <c r="B323" s="56" t="s">
        <v>53</v>
      </c>
      <c r="C323" s="119">
        <v>3.6107E7</v>
      </c>
      <c r="D323" s="115" t="s">
        <v>7</v>
      </c>
      <c r="E323" s="18"/>
      <c r="G323" s="18"/>
      <c r="H323" s="56" t="s">
        <v>57</v>
      </c>
      <c r="I323" s="115">
        <v>5.43512E7</v>
      </c>
    </row>
    <row r="324" ht="22.5" customHeight="1">
      <c r="A324" s="18"/>
      <c r="B324" s="56" t="s">
        <v>55</v>
      </c>
      <c r="C324" s="115">
        <v>3.7715E7</v>
      </c>
      <c r="D324" s="115" t="s">
        <v>7</v>
      </c>
      <c r="E324" s="18"/>
      <c r="G324" s="18"/>
      <c r="H324" s="56" t="s">
        <v>99</v>
      </c>
      <c r="I324" s="122">
        <f>sum(I318:I323)</f>
        <v>116494700</v>
      </c>
    </row>
    <row r="325" ht="22.5" customHeight="1">
      <c r="A325" s="22"/>
      <c r="B325" s="56" t="s">
        <v>57</v>
      </c>
      <c r="C325" s="115">
        <v>5.2598E7</v>
      </c>
      <c r="D325" s="115"/>
      <c r="E325" s="18"/>
    </row>
    <row r="326" ht="22.5" customHeight="1">
      <c r="A326" s="128" t="s">
        <v>108</v>
      </c>
      <c r="B326" s="56" t="s">
        <v>51</v>
      </c>
      <c r="C326" s="115">
        <v>1.1154E7</v>
      </c>
      <c r="D326" s="48"/>
      <c r="E326" s="96">
        <f>SUM(C326:C329)</f>
        <v>116494900</v>
      </c>
      <c r="G326" s="223" t="s">
        <v>109</v>
      </c>
      <c r="H326" s="129"/>
      <c r="I326" s="115"/>
    </row>
    <row r="327" ht="22.5" customHeight="1">
      <c r="A327" s="18"/>
      <c r="B327" s="56" t="s">
        <v>53</v>
      </c>
      <c r="C327" s="115">
        <v>3.30027E7</v>
      </c>
      <c r="D327" s="48"/>
      <c r="E327" s="18"/>
      <c r="G327" s="18"/>
      <c r="H327" s="129" t="s">
        <v>410</v>
      </c>
      <c r="I327" s="115">
        <v>7.76525E7</v>
      </c>
    </row>
    <row r="328" ht="22.5" customHeight="1">
      <c r="A328" s="18"/>
      <c r="B328" s="56" t="s">
        <v>55</v>
      </c>
      <c r="C328" s="115">
        <v>1.7987E7</v>
      </c>
      <c r="D328" s="48"/>
      <c r="E328" s="18"/>
      <c r="G328" s="18"/>
      <c r="H328" s="129" t="s">
        <v>525</v>
      </c>
      <c r="I328" s="119">
        <v>6.4863E7</v>
      </c>
    </row>
    <row r="329" ht="22.5" customHeight="1">
      <c r="A329" s="22"/>
      <c r="B329" s="56" t="s">
        <v>57</v>
      </c>
      <c r="C329" s="115">
        <v>5.43512E7</v>
      </c>
      <c r="D329" s="48"/>
      <c r="E329" s="18"/>
      <c r="G329" s="18"/>
      <c r="H329" s="129" t="s">
        <v>526</v>
      </c>
      <c r="I329" s="119">
        <v>9.31225E7</v>
      </c>
    </row>
    <row r="330" ht="22.5" customHeight="1">
      <c r="A330" s="128" t="s">
        <v>110</v>
      </c>
      <c r="B330" s="56" t="s">
        <v>51</v>
      </c>
      <c r="C330" s="119">
        <v>6.4944E7</v>
      </c>
      <c r="D330" s="115"/>
      <c r="E330" s="96">
        <f>SUM(C330:C333)</f>
        <v>330162500</v>
      </c>
      <c r="G330" s="18"/>
      <c r="H330" s="129" t="s">
        <v>535</v>
      </c>
      <c r="I330" s="119">
        <v>1.020245E8</v>
      </c>
    </row>
    <row r="331" ht="22.5" customHeight="1">
      <c r="A331" s="18"/>
      <c r="B331" s="56" t="s">
        <v>53</v>
      </c>
      <c r="C331" s="119">
        <v>9.31125E7</v>
      </c>
      <c r="D331" s="115"/>
      <c r="E331" s="18"/>
      <c r="G331" s="18"/>
      <c r="H331" s="129" t="s">
        <v>536</v>
      </c>
      <c r="I331" s="115">
        <v>7.00815E7</v>
      </c>
    </row>
    <row r="332" ht="22.5" customHeight="1">
      <c r="A332" s="18"/>
      <c r="B332" s="56" t="s">
        <v>55</v>
      </c>
      <c r="C332" s="119">
        <v>1.020245E8</v>
      </c>
      <c r="D332" s="115"/>
      <c r="E332" s="18"/>
      <c r="G332" s="22"/>
      <c r="H332" s="56" t="s">
        <v>99</v>
      </c>
      <c r="I332" s="122">
        <f>SUM(I327:I331)</f>
        <v>407744000</v>
      </c>
    </row>
    <row r="333" ht="22.5" customHeight="1">
      <c r="A333" s="22"/>
      <c r="B333" s="56" t="s">
        <v>57</v>
      </c>
      <c r="C333" s="115">
        <v>7.00815E7</v>
      </c>
      <c r="D333" s="48"/>
      <c r="E333" s="18"/>
    </row>
    <row r="334" ht="22.5" customHeight="1">
      <c r="A334" s="240" t="s">
        <v>112</v>
      </c>
      <c r="B334" s="56" t="s">
        <v>51</v>
      </c>
      <c r="C334" s="115">
        <v>4.09235E7</v>
      </c>
      <c r="D334" s="115" t="s">
        <v>7</v>
      </c>
      <c r="E334" s="111">
        <f>C336+C337</f>
        <v>185122000</v>
      </c>
    </row>
    <row r="335" ht="22.5" customHeight="1">
      <c r="A335" s="18"/>
      <c r="B335" s="56" t="s">
        <v>53</v>
      </c>
      <c r="C335" s="115">
        <v>3.889E7</v>
      </c>
      <c r="D335" s="115" t="s">
        <v>7</v>
      </c>
      <c r="E335" s="18"/>
    </row>
    <row r="336" ht="22.5" customHeight="1">
      <c r="A336" s="18"/>
      <c r="B336" s="56" t="s">
        <v>55</v>
      </c>
      <c r="C336" s="115">
        <v>5.7114E7</v>
      </c>
      <c r="D336" s="115"/>
      <c r="E336" s="18"/>
      <c r="F336" s="127">
        <f>28*3</f>
        <v>84</v>
      </c>
    </row>
    <row r="337" ht="22.5" customHeight="1">
      <c r="A337" s="22"/>
      <c r="B337" s="56" t="s">
        <v>57</v>
      </c>
      <c r="C337" s="115">
        <v>1.28008E8</v>
      </c>
      <c r="D337" s="115"/>
      <c r="E337" s="18"/>
    </row>
    <row r="338" ht="22.5" customHeight="1">
      <c r="A338" s="128" t="s">
        <v>115</v>
      </c>
      <c r="B338" s="56" t="s">
        <v>51</v>
      </c>
      <c r="C338" s="119">
        <v>0.0</v>
      </c>
      <c r="D338" s="115"/>
      <c r="E338" s="111">
        <f>sum(C339:C341)</f>
        <v>126203000</v>
      </c>
      <c r="G338" s="127">
        <f>12+16</f>
        <v>28</v>
      </c>
    </row>
    <row r="339" ht="22.5" customHeight="1">
      <c r="A339" s="18"/>
      <c r="B339" s="56" t="s">
        <v>53</v>
      </c>
      <c r="C339" s="115">
        <v>2.164E7</v>
      </c>
      <c r="D339" s="115"/>
      <c r="E339" s="18"/>
    </row>
    <row r="340" ht="22.5" customHeight="1">
      <c r="A340" s="18"/>
      <c r="B340" s="56" t="s">
        <v>55</v>
      </c>
      <c r="C340" s="115">
        <v>2.4726E7</v>
      </c>
      <c r="D340" s="48"/>
      <c r="E340" s="18"/>
    </row>
    <row r="341" ht="22.5" customHeight="1">
      <c r="A341" s="22"/>
      <c r="B341" s="56" t="s">
        <v>57</v>
      </c>
      <c r="C341" s="115">
        <v>7.9837E7</v>
      </c>
      <c r="D341" s="48"/>
      <c r="E341" s="22"/>
      <c r="G341" s="223" t="s">
        <v>115</v>
      </c>
      <c r="H341" s="129"/>
      <c r="I341" s="115"/>
      <c r="J341" s="20"/>
    </row>
    <row r="342" ht="22.5" customHeight="1">
      <c r="A342" s="128" t="s">
        <v>116</v>
      </c>
      <c r="B342" s="56" t="s">
        <v>51</v>
      </c>
      <c r="C342" s="115">
        <v>4.54845E7</v>
      </c>
      <c r="D342" s="115" t="s">
        <v>7</v>
      </c>
      <c r="E342" s="111">
        <v>0.0</v>
      </c>
      <c r="G342" s="18"/>
      <c r="H342" s="129" t="s">
        <v>410</v>
      </c>
      <c r="I342" s="115">
        <v>4.5624E7</v>
      </c>
      <c r="J342" s="20"/>
    </row>
    <row r="343" ht="22.5" customHeight="1">
      <c r="A343" s="18"/>
      <c r="B343" s="56" t="s">
        <v>53</v>
      </c>
      <c r="C343" s="115">
        <v>4.85615E7</v>
      </c>
      <c r="D343" s="115" t="s">
        <v>7</v>
      </c>
      <c r="E343" s="18"/>
      <c r="G343" s="18"/>
      <c r="H343" s="129" t="s">
        <v>526</v>
      </c>
      <c r="I343" s="115">
        <v>2.164E7</v>
      </c>
    </row>
    <row r="344" ht="22.5" customHeight="1">
      <c r="A344" s="18"/>
      <c r="B344" s="56" t="s">
        <v>55</v>
      </c>
      <c r="C344" s="119">
        <v>3.85805E7</v>
      </c>
      <c r="D344" s="115"/>
      <c r="E344" s="18"/>
      <c r="G344" s="18"/>
      <c r="H344" s="129" t="s">
        <v>535</v>
      </c>
      <c r="I344" s="115">
        <v>2.4726E7</v>
      </c>
    </row>
    <row r="345" ht="22.5" customHeight="1">
      <c r="A345" s="22"/>
      <c r="B345" s="56" t="s">
        <v>57</v>
      </c>
      <c r="C345" s="119">
        <v>7.1326E7</v>
      </c>
      <c r="D345" s="115"/>
      <c r="E345" s="18"/>
      <c r="G345" s="22"/>
      <c r="H345" s="56" t="s">
        <v>99</v>
      </c>
      <c r="I345" s="122">
        <f>sum(I342:I344)</f>
        <v>91990000</v>
      </c>
      <c r="J345" s="20"/>
    </row>
    <row r="346" ht="22.5" customHeight="1">
      <c r="A346" s="128" t="s">
        <v>117</v>
      </c>
      <c r="B346" s="56" t="s">
        <v>51</v>
      </c>
      <c r="C346" s="115">
        <v>2.18E7</v>
      </c>
      <c r="D346" s="115" t="s">
        <v>7</v>
      </c>
      <c r="E346" s="111">
        <f>C348+C349</f>
        <v>74118000</v>
      </c>
    </row>
    <row r="347" ht="22.5" customHeight="1">
      <c r="A347" s="18"/>
      <c r="B347" s="56" t="s">
        <v>53</v>
      </c>
      <c r="C347" s="115">
        <v>2.949E7</v>
      </c>
      <c r="D347" s="115" t="s">
        <v>7</v>
      </c>
      <c r="E347" s="18"/>
    </row>
    <row r="348" ht="22.5" customHeight="1">
      <c r="A348" s="18"/>
      <c r="B348" s="56" t="s">
        <v>55</v>
      </c>
      <c r="C348" s="115">
        <v>2.64405E7</v>
      </c>
      <c r="D348" s="115"/>
      <c r="E348" s="18"/>
    </row>
    <row r="349" ht="22.5" customHeight="1">
      <c r="A349" s="22"/>
      <c r="B349" s="56" t="s">
        <v>57</v>
      </c>
      <c r="C349" s="119">
        <v>4.76775E7</v>
      </c>
      <c r="D349" s="115"/>
      <c r="E349" s="18"/>
    </row>
    <row r="350" ht="22.5" customHeight="1">
      <c r="A350" s="128" t="s">
        <v>118</v>
      </c>
      <c r="B350" s="56" t="s">
        <v>51</v>
      </c>
      <c r="C350" s="115">
        <v>5.5403E7</v>
      </c>
      <c r="D350" s="115" t="s">
        <v>223</v>
      </c>
      <c r="E350" s="111">
        <v>0.0</v>
      </c>
    </row>
    <row r="351" ht="22.5" customHeight="1">
      <c r="A351" s="18"/>
      <c r="B351" s="56" t="s">
        <v>53</v>
      </c>
      <c r="C351" s="115">
        <v>6.7521E7</v>
      </c>
      <c r="D351" s="115" t="s">
        <v>223</v>
      </c>
      <c r="E351" s="18"/>
    </row>
    <row r="352" ht="22.5" customHeight="1">
      <c r="A352" s="18"/>
      <c r="B352" s="56" t="s">
        <v>55</v>
      </c>
      <c r="C352" s="115">
        <v>7.2952E7</v>
      </c>
      <c r="D352" s="115" t="s">
        <v>223</v>
      </c>
      <c r="E352" s="18"/>
    </row>
    <row r="353" ht="22.5" customHeight="1">
      <c r="A353" s="22"/>
      <c r="B353" s="56" t="s">
        <v>57</v>
      </c>
      <c r="C353" s="115">
        <v>1.64307E8</v>
      </c>
      <c r="D353" s="115"/>
      <c r="E353" s="18"/>
    </row>
    <row r="354" ht="22.5" customHeight="1">
      <c r="A354" s="240" t="s">
        <v>119</v>
      </c>
      <c r="B354" s="56" t="s">
        <v>51</v>
      </c>
      <c r="C354" s="115">
        <v>2.5639E7</v>
      </c>
      <c r="D354" s="115" t="s">
        <v>7</v>
      </c>
      <c r="E354" s="111">
        <f>C356+C357</f>
        <v>65583000</v>
      </c>
    </row>
    <row r="355" ht="22.5" customHeight="1">
      <c r="A355" s="18"/>
      <c r="B355" s="56" t="s">
        <v>53</v>
      </c>
      <c r="C355" s="115">
        <v>3.38595E7</v>
      </c>
      <c r="D355" s="115" t="s">
        <v>7</v>
      </c>
      <c r="E355" s="18"/>
      <c r="G355" s="127">
        <f>22+24</f>
        <v>46</v>
      </c>
    </row>
    <row r="356" ht="22.5" customHeight="1">
      <c r="A356" s="18"/>
      <c r="B356" s="56" t="s">
        <v>55</v>
      </c>
      <c r="C356" s="115">
        <v>2.34405E7</v>
      </c>
      <c r="D356" s="115"/>
      <c r="E356" s="18"/>
    </row>
    <row r="357" ht="22.5" customHeight="1">
      <c r="A357" s="22"/>
      <c r="B357" s="56" t="s">
        <v>57</v>
      </c>
      <c r="C357" s="115">
        <v>4.21425E7</v>
      </c>
      <c r="D357" s="115"/>
      <c r="E357" s="22"/>
    </row>
    <row r="358" ht="22.5" customHeight="1">
      <c r="A358" s="240" t="s">
        <v>120</v>
      </c>
      <c r="B358" s="56" t="s">
        <v>51</v>
      </c>
      <c r="C358" s="119">
        <v>4.8496E7</v>
      </c>
      <c r="D358" s="115" t="s">
        <v>7</v>
      </c>
      <c r="E358" s="111"/>
      <c r="G358" s="127">
        <f>30+45</f>
        <v>75</v>
      </c>
    </row>
    <row r="359" ht="22.5" customHeight="1">
      <c r="A359" s="18"/>
      <c r="B359" s="56" t="s">
        <v>53</v>
      </c>
      <c r="C359" s="115">
        <v>5.0404E7</v>
      </c>
      <c r="D359" s="115" t="s">
        <v>7</v>
      </c>
      <c r="E359" s="18"/>
    </row>
    <row r="360" ht="22.5" customHeight="1">
      <c r="A360" s="18"/>
      <c r="B360" s="56" t="s">
        <v>55</v>
      </c>
      <c r="C360" s="115">
        <v>5.1422E7</v>
      </c>
      <c r="D360" s="115" t="s">
        <v>7</v>
      </c>
      <c r="E360" s="18"/>
    </row>
    <row r="361" ht="22.5" customHeight="1">
      <c r="A361" s="22"/>
      <c r="B361" s="56" t="s">
        <v>57</v>
      </c>
      <c r="C361" s="119">
        <v>6.7806E7</v>
      </c>
      <c r="D361" s="115" t="s">
        <v>7</v>
      </c>
      <c r="E361" s="18"/>
    </row>
    <row r="362" ht="22.5" customHeight="1">
      <c r="A362" s="128" t="s">
        <v>121</v>
      </c>
      <c r="B362" s="56" t="s">
        <v>51</v>
      </c>
      <c r="C362" s="115">
        <v>2.6299E7</v>
      </c>
      <c r="D362" s="115"/>
      <c r="E362" s="111">
        <f>SUM(C362:C365)</f>
        <v>165001500</v>
      </c>
    </row>
    <row r="363" ht="22.5" customHeight="1">
      <c r="A363" s="18"/>
      <c r="B363" s="56" t="s">
        <v>53</v>
      </c>
      <c r="C363" s="247">
        <v>2.9541E7</v>
      </c>
      <c r="D363" s="115"/>
      <c r="E363" s="18"/>
    </row>
    <row r="364" ht="22.5" customHeight="1">
      <c r="A364" s="18"/>
      <c r="B364" s="56" t="s">
        <v>55</v>
      </c>
      <c r="C364" s="115">
        <v>2.57675E7</v>
      </c>
      <c r="D364" s="115"/>
      <c r="E364" s="18"/>
    </row>
    <row r="365" ht="22.5" customHeight="1">
      <c r="A365" s="22"/>
      <c r="B365" s="56" t="s">
        <v>57</v>
      </c>
      <c r="C365" s="115">
        <v>8.3394E7</v>
      </c>
      <c r="D365" s="115"/>
      <c r="E365" s="18"/>
    </row>
    <row r="366" ht="22.5" customHeight="1">
      <c r="A366" s="128" t="s">
        <v>122</v>
      </c>
      <c r="B366" s="56" t="s">
        <v>51</v>
      </c>
      <c r="C366" s="115">
        <v>1.95045E7</v>
      </c>
      <c r="D366" s="115"/>
      <c r="E366" s="111">
        <f>SUM(C366:C369)</f>
        <v>172471000</v>
      </c>
    </row>
    <row r="367" ht="22.5" customHeight="1">
      <c r="A367" s="18"/>
      <c r="B367" s="56" t="s">
        <v>53</v>
      </c>
      <c r="C367" s="119">
        <v>5.73765E7</v>
      </c>
      <c r="D367" s="115"/>
      <c r="E367" s="18"/>
    </row>
    <row r="368" ht="22.5" customHeight="1">
      <c r="A368" s="18"/>
      <c r="B368" s="56" t="s">
        <v>55</v>
      </c>
      <c r="C368" s="119">
        <v>2.7933E7</v>
      </c>
      <c r="D368" s="115"/>
      <c r="E368" s="18"/>
    </row>
    <row r="369" ht="22.5" customHeight="1">
      <c r="A369" s="22"/>
      <c r="B369" s="56" t="s">
        <v>57</v>
      </c>
      <c r="C369" s="115">
        <v>6.7657E7</v>
      </c>
      <c r="D369" s="115"/>
      <c r="E369" s="18"/>
    </row>
    <row r="370" ht="22.5" customHeight="1">
      <c r="A370" s="128" t="s">
        <v>123</v>
      </c>
      <c r="B370" s="56" t="s">
        <v>51</v>
      </c>
      <c r="C370" s="115">
        <v>2.35295E7</v>
      </c>
      <c r="D370" s="115" t="s">
        <v>7</v>
      </c>
      <c r="E370" s="111">
        <f>C372+C373</f>
        <v>62548000</v>
      </c>
    </row>
    <row r="371" ht="22.5" customHeight="1">
      <c r="A371" s="18"/>
      <c r="B371" s="56" t="s">
        <v>53</v>
      </c>
      <c r="C371" s="115">
        <v>1.18255E7</v>
      </c>
      <c r="D371" s="115" t="s">
        <v>7</v>
      </c>
      <c r="E371" s="18"/>
    </row>
    <row r="372" ht="22.5" customHeight="1">
      <c r="A372" s="18"/>
      <c r="B372" s="56" t="s">
        <v>55</v>
      </c>
      <c r="C372" s="115">
        <v>1.989E7</v>
      </c>
      <c r="D372" s="115"/>
      <c r="E372" s="18"/>
    </row>
    <row r="373" ht="22.5" customHeight="1">
      <c r="A373" s="22"/>
      <c r="B373" s="56" t="s">
        <v>57</v>
      </c>
      <c r="C373" s="115">
        <v>4.2658E7</v>
      </c>
      <c r="D373" s="115"/>
      <c r="E373" s="22"/>
    </row>
    <row r="374" ht="22.5" customHeight="1">
      <c r="A374" s="128" t="s">
        <v>124</v>
      </c>
      <c r="B374" s="56" t="s">
        <v>51</v>
      </c>
      <c r="C374" s="115">
        <v>3.4064E7</v>
      </c>
      <c r="D374" s="115" t="s">
        <v>7</v>
      </c>
      <c r="E374" s="248">
        <f>C376+C377</f>
        <v>61614500</v>
      </c>
      <c r="J374" s="20"/>
    </row>
    <row r="375" ht="22.5" customHeight="1">
      <c r="A375" s="18"/>
      <c r="B375" s="56" t="s">
        <v>53</v>
      </c>
      <c r="C375" s="115">
        <v>3.4032E7</v>
      </c>
      <c r="D375" s="115" t="s">
        <v>7</v>
      </c>
      <c r="E375" s="18"/>
    </row>
    <row r="376" ht="22.5" customHeight="1">
      <c r="A376" s="18"/>
      <c r="B376" s="56" t="s">
        <v>55</v>
      </c>
      <c r="C376" s="115">
        <v>2.8706E7</v>
      </c>
      <c r="D376" s="48"/>
      <c r="E376" s="18"/>
    </row>
    <row r="377" ht="22.5" customHeight="1">
      <c r="A377" s="22"/>
      <c r="B377" s="56" t="s">
        <v>57</v>
      </c>
      <c r="C377" s="119">
        <v>3.29085E7</v>
      </c>
      <c r="D377" s="48"/>
      <c r="E377" s="18"/>
    </row>
    <row r="378" ht="22.5" customHeight="1">
      <c r="A378" s="128" t="s">
        <v>126</v>
      </c>
      <c r="B378" s="56" t="s">
        <v>51</v>
      </c>
      <c r="C378" s="115">
        <v>6.3309E7</v>
      </c>
      <c r="D378" s="115"/>
      <c r="E378" s="111">
        <v>0.0</v>
      </c>
    </row>
    <row r="379" ht="22.5" customHeight="1">
      <c r="A379" s="18"/>
      <c r="B379" s="56" t="s">
        <v>53</v>
      </c>
      <c r="C379" s="115">
        <v>5.8409E7</v>
      </c>
      <c r="D379" s="115"/>
      <c r="E379" s="18"/>
    </row>
    <row r="380" ht="22.5" customHeight="1">
      <c r="A380" s="18"/>
      <c r="B380" s="56" t="s">
        <v>55</v>
      </c>
      <c r="C380" s="115">
        <v>6.0826E7</v>
      </c>
      <c r="D380" s="115"/>
      <c r="E380" s="18"/>
    </row>
    <row r="381" ht="22.5" customHeight="1">
      <c r="A381" s="22"/>
      <c r="B381" s="56" t="s">
        <v>57</v>
      </c>
      <c r="C381" s="115">
        <v>6.9849E7</v>
      </c>
      <c r="D381" s="115"/>
      <c r="E381" s="18"/>
    </row>
    <row r="382" ht="22.5" customHeight="1">
      <c r="A382" s="128" t="s">
        <v>127</v>
      </c>
      <c r="B382" s="56" t="s">
        <v>51</v>
      </c>
      <c r="C382" s="115">
        <v>2.2431E7</v>
      </c>
      <c r="D382" s="115" t="s">
        <v>7</v>
      </c>
      <c r="E382" s="111">
        <f>C385</f>
        <v>30485000</v>
      </c>
    </row>
    <row r="383" ht="22.5" customHeight="1">
      <c r="A383" s="18"/>
      <c r="B383" s="56" t="s">
        <v>53</v>
      </c>
      <c r="C383" s="119">
        <v>2.16345E7</v>
      </c>
      <c r="D383" s="115" t="s">
        <v>7</v>
      </c>
      <c r="E383" s="18"/>
    </row>
    <row r="384" ht="22.5" customHeight="1">
      <c r="A384" s="18"/>
      <c r="B384" s="56" t="s">
        <v>55</v>
      </c>
      <c r="C384" s="115">
        <v>2.6965E7</v>
      </c>
      <c r="D384" s="115" t="s">
        <v>7</v>
      </c>
      <c r="E384" s="18"/>
      <c r="F384" s="131">
        <f>C385+C384</f>
        <v>57450000</v>
      </c>
    </row>
    <row r="385" ht="22.5" customHeight="1">
      <c r="A385" s="22"/>
      <c r="B385" s="56" t="s">
        <v>57</v>
      </c>
      <c r="C385" s="119">
        <v>3.0485E7</v>
      </c>
      <c r="D385" s="115"/>
      <c r="E385" s="18"/>
    </row>
    <row r="386" ht="22.5" customHeight="1">
      <c r="A386" s="128" t="s">
        <v>128</v>
      </c>
      <c r="B386" s="56" t="s">
        <v>51</v>
      </c>
      <c r="C386" s="115">
        <v>3.029E7</v>
      </c>
      <c r="D386" s="115" t="s">
        <v>7</v>
      </c>
      <c r="E386" s="96">
        <f>C388+C389</f>
        <v>42981000</v>
      </c>
    </row>
    <row r="387" ht="22.5" customHeight="1">
      <c r="A387" s="18"/>
      <c r="B387" s="56" t="s">
        <v>53</v>
      </c>
      <c r="C387" s="119">
        <v>2.8024E7</v>
      </c>
      <c r="D387" s="115" t="s">
        <v>7</v>
      </c>
      <c r="E387" s="18"/>
    </row>
    <row r="388" ht="22.5" customHeight="1">
      <c r="A388" s="18"/>
      <c r="B388" s="56" t="s">
        <v>55</v>
      </c>
      <c r="C388" s="115">
        <v>1.5315E7</v>
      </c>
      <c r="D388" s="48"/>
      <c r="E388" s="18"/>
    </row>
    <row r="389" ht="22.5" customHeight="1">
      <c r="A389" s="22"/>
      <c r="B389" s="56" t="s">
        <v>57</v>
      </c>
      <c r="C389" s="119">
        <v>2.7666E7</v>
      </c>
      <c r="D389" s="48"/>
      <c r="E389" s="18"/>
    </row>
    <row r="390" ht="22.5" customHeight="1">
      <c r="A390" s="240" t="s">
        <v>129</v>
      </c>
      <c r="B390" s="56" t="s">
        <v>51</v>
      </c>
      <c r="C390" s="115">
        <v>2.291E7</v>
      </c>
      <c r="D390" s="115"/>
      <c r="E390" s="111"/>
    </row>
    <row r="391" ht="22.5" customHeight="1">
      <c r="A391" s="18"/>
      <c r="B391" s="56" t="s">
        <v>53</v>
      </c>
      <c r="C391" s="119">
        <v>3.8825E7</v>
      </c>
      <c r="D391" s="115"/>
      <c r="E391" s="18"/>
      <c r="M391" s="248"/>
    </row>
    <row r="392" ht="22.5" customHeight="1">
      <c r="A392" s="18"/>
      <c r="B392" s="56" t="s">
        <v>55</v>
      </c>
      <c r="C392" s="115">
        <v>3.8468E7</v>
      </c>
      <c r="D392" s="115"/>
      <c r="E392" s="18"/>
    </row>
    <row r="393" ht="22.5" customHeight="1">
      <c r="A393" s="22"/>
      <c r="B393" s="56" t="s">
        <v>57</v>
      </c>
      <c r="C393" s="119">
        <v>4.26765E7</v>
      </c>
      <c r="D393" s="115"/>
      <c r="E393" s="18"/>
    </row>
    <row r="394" ht="22.5" customHeight="1">
      <c r="A394" s="366" t="s">
        <v>131</v>
      </c>
      <c r="B394" s="284" t="s">
        <v>537</v>
      </c>
      <c r="C394" s="172">
        <v>5.9972E7</v>
      </c>
      <c r="D394" s="115" t="s">
        <v>7</v>
      </c>
      <c r="E394" s="368">
        <f>SUM(C401)</f>
        <v>118326000</v>
      </c>
    </row>
    <row r="395" ht="22.5" customHeight="1">
      <c r="A395" s="18"/>
      <c r="B395" s="56" t="s">
        <v>51</v>
      </c>
      <c r="C395" s="168">
        <v>6.8876E7</v>
      </c>
      <c r="D395" s="115"/>
      <c r="E395" s="18"/>
    </row>
    <row r="396" ht="22.5" customHeight="1">
      <c r="A396" s="18"/>
      <c r="B396" s="56" t="s">
        <v>53</v>
      </c>
      <c r="C396" s="168">
        <v>6.4652E7</v>
      </c>
      <c r="D396" s="115"/>
      <c r="E396" s="18"/>
    </row>
    <row r="397" ht="22.5" customHeight="1">
      <c r="A397" s="18"/>
      <c r="B397" s="129" t="s">
        <v>538</v>
      </c>
      <c r="C397" s="168">
        <v>-6.8876E7</v>
      </c>
      <c r="E397" s="18"/>
    </row>
    <row r="398" ht="22.5" customHeight="1">
      <c r="A398" s="18"/>
      <c r="B398" s="56" t="s">
        <v>55</v>
      </c>
      <c r="C398" s="168">
        <v>6.15735E7</v>
      </c>
      <c r="D398" s="115"/>
      <c r="E398" s="18"/>
    </row>
    <row r="399" ht="22.5" customHeight="1">
      <c r="A399" s="18"/>
      <c r="B399" s="129" t="s">
        <v>539</v>
      </c>
      <c r="C399" s="168">
        <v>-6.4652E7</v>
      </c>
      <c r="D399" s="48"/>
      <c r="E399" s="18"/>
    </row>
    <row r="400" ht="22.5" customHeight="1">
      <c r="A400" s="18"/>
      <c r="B400" s="129" t="s">
        <v>540</v>
      </c>
      <c r="C400" s="168">
        <v>-6.1573E7</v>
      </c>
      <c r="D400" s="48"/>
      <c r="E400" s="18"/>
    </row>
    <row r="401" ht="22.5" customHeight="1">
      <c r="A401" s="18"/>
      <c r="B401" s="56" t="s">
        <v>57</v>
      </c>
      <c r="C401" s="168">
        <f>sum(118376000-50000)</f>
        <v>118326000</v>
      </c>
      <c r="D401" s="446" t="s">
        <v>541</v>
      </c>
      <c r="E401" s="18"/>
    </row>
    <row r="402" ht="22.5" customHeight="1">
      <c r="A402" s="22"/>
      <c r="B402" s="447"/>
      <c r="C402" s="168"/>
      <c r="D402" s="48"/>
      <c r="E402" s="18"/>
      <c r="F402" s="351"/>
    </row>
    <row r="403" ht="26.25" customHeight="1">
      <c r="A403" s="366" t="s">
        <v>130</v>
      </c>
      <c r="B403" s="447" t="s">
        <v>53</v>
      </c>
      <c r="C403" s="168">
        <v>4.25007E7</v>
      </c>
      <c r="D403" s="115" t="s">
        <v>7</v>
      </c>
      <c r="E403" s="367">
        <v>0.0</v>
      </c>
    </row>
    <row r="404" ht="26.25" customHeight="1">
      <c r="A404" s="18"/>
      <c r="B404" s="447" t="s">
        <v>55</v>
      </c>
      <c r="C404" s="168">
        <v>2.57415E7</v>
      </c>
      <c r="D404" s="115" t="s">
        <v>7</v>
      </c>
      <c r="E404" s="18"/>
    </row>
    <row r="405" ht="25.5" customHeight="1">
      <c r="A405" s="18"/>
      <c r="B405" s="447" t="s">
        <v>57</v>
      </c>
      <c r="C405" s="418">
        <v>2.6919E7</v>
      </c>
      <c r="D405" s="115" t="s">
        <v>7</v>
      </c>
      <c r="E405" s="18"/>
      <c r="H405" s="134" t="s">
        <v>50</v>
      </c>
    </row>
    <row r="406" ht="24.75" customHeight="1">
      <c r="A406" s="18"/>
      <c r="B406" s="157"/>
      <c r="C406" s="157"/>
      <c r="D406" s="115"/>
      <c r="E406" s="18"/>
    </row>
    <row r="407" ht="24.75" customHeight="1">
      <c r="A407" s="22"/>
      <c r="B407" s="157"/>
      <c r="C407" s="157"/>
      <c r="D407" s="115"/>
      <c r="E407" s="18"/>
      <c r="F407" s="134" t="s">
        <v>542</v>
      </c>
    </row>
    <row r="408" ht="24.0" customHeight="1">
      <c r="A408" s="366" t="s">
        <v>136</v>
      </c>
      <c r="B408" s="284" t="s">
        <v>537</v>
      </c>
      <c r="C408" s="168">
        <v>8.91365E7</v>
      </c>
      <c r="D408" s="172"/>
      <c r="E408" s="368">
        <f>sum(C408:D414)</f>
        <v>115167500</v>
      </c>
    </row>
    <row r="409" ht="24.75" customHeight="1">
      <c r="A409" s="18"/>
      <c r="B409" s="447" t="s">
        <v>51</v>
      </c>
      <c r="C409" s="168">
        <v>3.655E7</v>
      </c>
      <c r="D409" s="156"/>
      <c r="E409" s="18"/>
    </row>
    <row r="410" ht="25.5" customHeight="1">
      <c r="A410" s="18"/>
      <c r="B410" s="447" t="s">
        <v>543</v>
      </c>
      <c r="C410" s="168">
        <v>-7.0E7</v>
      </c>
      <c r="D410" s="157"/>
      <c r="E410" s="18"/>
    </row>
    <row r="411" ht="25.5" customHeight="1">
      <c r="A411" s="18"/>
      <c r="B411" s="447" t="s">
        <v>53</v>
      </c>
      <c r="C411" s="168">
        <v>4.0478E7</v>
      </c>
      <c r="D411" s="157"/>
      <c r="E411" s="18"/>
    </row>
    <row r="412" ht="24.0" customHeight="1">
      <c r="A412" s="18"/>
      <c r="B412" s="447" t="s">
        <v>55</v>
      </c>
      <c r="C412" s="168">
        <v>4.93115E7</v>
      </c>
      <c r="D412" s="34"/>
      <c r="E412" s="18"/>
    </row>
    <row r="413" ht="25.5" customHeight="1">
      <c r="A413" s="18"/>
      <c r="B413" s="447" t="s">
        <v>544</v>
      </c>
      <c r="C413" s="168">
        <v>-7.0E7</v>
      </c>
      <c r="D413" s="34"/>
      <c r="E413" s="18"/>
    </row>
    <row r="414" ht="25.5" customHeight="1">
      <c r="A414" s="22"/>
      <c r="B414" s="447" t="s">
        <v>57</v>
      </c>
      <c r="C414" s="168">
        <v>3.96915E7</v>
      </c>
      <c r="D414" s="34"/>
      <c r="E414" s="22"/>
    </row>
    <row r="415" ht="24.75" customHeight="1">
      <c r="A415" s="366" t="s">
        <v>138</v>
      </c>
      <c r="B415" s="284" t="s">
        <v>537</v>
      </c>
      <c r="C415" s="168">
        <v>3.2422E7</v>
      </c>
      <c r="D415" s="115"/>
      <c r="E415" s="368">
        <f>sum(C415:C419)</f>
        <v>75446000</v>
      </c>
    </row>
    <row r="416" ht="23.25" customHeight="1">
      <c r="A416" s="18"/>
      <c r="B416" s="447" t="s">
        <v>51</v>
      </c>
      <c r="C416" s="168">
        <v>1.8575E7</v>
      </c>
      <c r="D416" s="115"/>
      <c r="E416" s="18"/>
    </row>
    <row r="417" ht="26.25" customHeight="1">
      <c r="A417" s="18"/>
      <c r="B417" s="447" t="s">
        <v>545</v>
      </c>
      <c r="C417" s="168">
        <v>-30000.0</v>
      </c>
      <c r="D417" s="115"/>
      <c r="E417" s="18"/>
    </row>
    <row r="418" ht="26.25" customHeight="1">
      <c r="A418" s="18"/>
      <c r="B418" s="447" t="s">
        <v>53</v>
      </c>
      <c r="C418" s="168">
        <v>0.0</v>
      </c>
      <c r="D418" s="115"/>
      <c r="E418" s="18"/>
    </row>
    <row r="419" ht="24.0" customHeight="1">
      <c r="A419" s="18"/>
      <c r="B419" s="447" t="s">
        <v>55</v>
      </c>
      <c r="C419" s="168">
        <v>2.4479E7</v>
      </c>
      <c r="D419" s="48"/>
      <c r="E419" s="18"/>
    </row>
    <row r="420" ht="23.25" customHeight="1">
      <c r="A420" s="18"/>
      <c r="B420" s="447" t="s">
        <v>546</v>
      </c>
      <c r="C420" s="168">
        <v>-3.0E7</v>
      </c>
      <c r="D420" s="48"/>
      <c r="E420" s="18"/>
    </row>
    <row r="421" ht="23.25" customHeight="1">
      <c r="A421" s="22"/>
      <c r="B421" s="447" t="s">
        <v>57</v>
      </c>
      <c r="C421" s="168">
        <v>0.0</v>
      </c>
      <c r="D421" s="48"/>
      <c r="E421" s="18"/>
    </row>
    <row r="422" ht="24.0" customHeight="1">
      <c r="A422" s="366" t="s">
        <v>139</v>
      </c>
      <c r="B422" s="56"/>
      <c r="C422" s="156"/>
      <c r="D422" s="115"/>
      <c r="E422" s="367">
        <v>0.0</v>
      </c>
    </row>
    <row r="423" ht="26.25" customHeight="1">
      <c r="A423" s="18"/>
      <c r="B423" s="56"/>
      <c r="C423" s="115"/>
      <c r="D423" s="115"/>
      <c r="E423" s="18"/>
      <c r="F423" s="351" t="s">
        <v>342</v>
      </c>
    </row>
    <row r="424" ht="24.0" customHeight="1">
      <c r="A424" s="18"/>
      <c r="B424" s="284"/>
      <c r="C424" s="115"/>
      <c r="D424" s="115"/>
      <c r="E424" s="18"/>
    </row>
    <row r="425" ht="24.0" customHeight="1">
      <c r="A425" s="22"/>
      <c r="B425" s="284" t="s">
        <v>547</v>
      </c>
      <c r="C425" s="115">
        <v>4.45E7</v>
      </c>
      <c r="D425" s="115" t="s">
        <v>7</v>
      </c>
      <c r="E425" s="22"/>
    </row>
    <row r="426" ht="24.0" customHeight="1">
      <c r="A426" s="375" t="s">
        <v>140</v>
      </c>
      <c r="B426" s="284" t="s">
        <v>537</v>
      </c>
      <c r="C426" s="115">
        <v>3.81097E7</v>
      </c>
      <c r="D426" s="115"/>
      <c r="E426" s="368">
        <f>sum(C426:D431)</f>
        <v>51394000</v>
      </c>
    </row>
    <row r="427" ht="22.5" customHeight="1">
      <c r="A427" s="18"/>
      <c r="B427" s="447" t="s">
        <v>272</v>
      </c>
      <c r="C427" s="168">
        <v>2.4205E7</v>
      </c>
      <c r="E427" s="18"/>
    </row>
    <row r="428" ht="24.0" customHeight="1">
      <c r="A428" s="18"/>
      <c r="B428" s="56" t="s">
        <v>53</v>
      </c>
      <c r="C428" s="168">
        <v>1.96605E7</v>
      </c>
      <c r="D428" s="115"/>
      <c r="E428" s="18"/>
    </row>
    <row r="429" ht="25.5" customHeight="1">
      <c r="A429" s="18"/>
      <c r="B429" s="129" t="s">
        <v>548</v>
      </c>
      <c r="C429" s="168">
        <v>-8.19752E7</v>
      </c>
      <c r="D429" s="48"/>
      <c r="E429" s="18"/>
    </row>
    <row r="430" ht="25.5" customHeight="1">
      <c r="A430" s="18"/>
      <c r="B430" s="56" t="s">
        <v>55</v>
      </c>
      <c r="C430" s="168">
        <v>1.71075E7</v>
      </c>
      <c r="D430" s="48"/>
      <c r="E430" s="18"/>
    </row>
    <row r="431" ht="24.0" customHeight="1">
      <c r="A431" s="22"/>
      <c r="B431" s="56" t="s">
        <v>57</v>
      </c>
      <c r="C431" s="168">
        <v>3.42865E7</v>
      </c>
      <c r="D431" s="48"/>
      <c r="E431" s="22"/>
    </row>
    <row r="432" ht="24.0" customHeight="1">
      <c r="A432" s="375" t="s">
        <v>141</v>
      </c>
      <c r="B432" s="56" t="s">
        <v>57</v>
      </c>
      <c r="C432" s="119">
        <v>7.41524E7</v>
      </c>
      <c r="D432" s="115"/>
      <c r="E432" s="367">
        <f>SUM(C432:C436)</f>
        <v>74152400</v>
      </c>
      <c r="F432" s="352"/>
    </row>
    <row r="433" ht="24.0" customHeight="1">
      <c r="A433" s="18"/>
      <c r="B433" s="129"/>
      <c r="C433" s="119"/>
      <c r="D433" s="115"/>
      <c r="E433" s="18"/>
      <c r="F433" s="352"/>
    </row>
    <row r="434" ht="24.0" customHeight="1">
      <c r="A434" s="18"/>
      <c r="B434" s="56"/>
      <c r="C434" s="119"/>
      <c r="D434" s="115"/>
      <c r="E434" s="18"/>
      <c r="F434" s="352"/>
    </row>
    <row r="435" ht="24.0" customHeight="1">
      <c r="A435" s="18"/>
      <c r="B435" s="129"/>
      <c r="C435" s="119"/>
      <c r="D435" s="115"/>
      <c r="E435" s="18"/>
      <c r="F435" s="352"/>
    </row>
    <row r="436" ht="24.0" customHeight="1">
      <c r="A436" s="22"/>
      <c r="B436" s="56"/>
      <c r="C436" s="119"/>
      <c r="D436" s="115"/>
      <c r="E436" s="22"/>
      <c r="F436" s="352"/>
    </row>
    <row r="437" ht="22.5" customHeight="1">
      <c r="A437" s="366" t="s">
        <v>142</v>
      </c>
      <c r="B437" s="447" t="s">
        <v>537</v>
      </c>
      <c r="C437" s="172">
        <v>9.31585E7</v>
      </c>
      <c r="D437" s="157"/>
      <c r="E437" s="368">
        <f>SUM(C437:C442)</f>
        <v>170748000</v>
      </c>
    </row>
    <row r="438" ht="22.5" customHeight="1">
      <c r="A438" s="18"/>
      <c r="B438" s="56" t="s">
        <v>51</v>
      </c>
      <c r="C438" s="168">
        <v>7.39955E7</v>
      </c>
      <c r="D438" s="156"/>
      <c r="E438" s="18"/>
    </row>
    <row r="439" ht="22.5" customHeight="1">
      <c r="A439" s="18"/>
      <c r="B439" s="129" t="s">
        <v>538</v>
      </c>
      <c r="C439" s="168">
        <v>-1.67154E8</v>
      </c>
      <c r="D439" s="168"/>
      <c r="E439" s="18"/>
    </row>
    <row r="440" ht="22.5" customHeight="1">
      <c r="A440" s="18"/>
      <c r="B440" s="56" t="s">
        <v>53</v>
      </c>
      <c r="C440" s="156">
        <v>4.962E7</v>
      </c>
      <c r="D440" s="168"/>
      <c r="E440" s="18"/>
    </row>
    <row r="441" ht="22.5" customHeight="1">
      <c r="A441" s="18"/>
      <c r="B441" s="56" t="s">
        <v>55</v>
      </c>
      <c r="C441" s="156">
        <v>7.89175E7</v>
      </c>
      <c r="D441" s="21"/>
      <c r="E441" s="18"/>
    </row>
    <row r="442" ht="22.5" customHeight="1">
      <c r="A442" s="22"/>
      <c r="B442" s="56" t="s">
        <v>57</v>
      </c>
      <c r="C442" s="156">
        <v>4.22105E7</v>
      </c>
      <c r="D442" s="21"/>
      <c r="E442" s="18"/>
      <c r="F442" s="351"/>
    </row>
    <row r="443" ht="27.0" customHeight="1">
      <c r="A443" s="366" t="s">
        <v>143</v>
      </c>
      <c r="B443" s="284" t="s">
        <v>537</v>
      </c>
      <c r="C443" s="172">
        <v>1.9454E7</v>
      </c>
      <c r="D443" s="115"/>
      <c r="E443" s="368">
        <f>SUM(C443:C447)</f>
        <v>156810500</v>
      </c>
    </row>
    <row r="444" ht="25.5" customHeight="1">
      <c r="A444" s="18"/>
      <c r="B444" s="447" t="s">
        <v>51</v>
      </c>
      <c r="C444" s="168">
        <v>3600000.0</v>
      </c>
      <c r="D444" s="115"/>
      <c r="E444" s="18"/>
    </row>
    <row r="445" ht="27.75" customHeight="1">
      <c r="A445" s="18"/>
      <c r="B445" s="447" t="s">
        <v>53</v>
      </c>
      <c r="C445" s="168">
        <v>2.2069E7</v>
      </c>
      <c r="D445" s="428" t="s">
        <v>549</v>
      </c>
      <c r="E445" s="18"/>
      <c r="J445" s="2"/>
    </row>
    <row r="446" ht="28.5" customHeight="1">
      <c r="A446" s="18"/>
      <c r="B446" s="447" t="s">
        <v>55</v>
      </c>
      <c r="C446" s="168">
        <f>sum(20701000-30000)</f>
        <v>20671000</v>
      </c>
      <c r="D446" s="428" t="s">
        <v>550</v>
      </c>
      <c r="E446" s="18"/>
    </row>
    <row r="447" ht="26.25" customHeight="1">
      <c r="A447" s="22"/>
      <c r="B447" s="447" t="s">
        <v>57</v>
      </c>
      <c r="C447" s="168">
        <f>sum(91049500-33000)</f>
        <v>91016500</v>
      </c>
      <c r="D447" s="428" t="s">
        <v>551</v>
      </c>
      <c r="E447" s="18"/>
    </row>
    <row r="448" ht="24.75" customHeight="1">
      <c r="A448" s="366" t="s">
        <v>144</v>
      </c>
      <c r="B448" s="56" t="s">
        <v>51</v>
      </c>
      <c r="C448" s="115">
        <v>2.077E7</v>
      </c>
      <c r="D448" s="115" t="s">
        <v>7</v>
      </c>
      <c r="E448" s="367">
        <f>SUM(C448:C457)</f>
        <v>19710000</v>
      </c>
    </row>
    <row r="449" ht="25.5" customHeight="1">
      <c r="A449" s="18"/>
      <c r="B449" s="129" t="s">
        <v>552</v>
      </c>
      <c r="C449" s="115">
        <v>-20000.0</v>
      </c>
      <c r="D449" s="115" t="s">
        <v>7</v>
      </c>
      <c r="E449" s="18"/>
    </row>
    <row r="450" ht="25.5" customHeight="1">
      <c r="A450" s="18"/>
      <c r="B450" s="129" t="s">
        <v>553</v>
      </c>
      <c r="C450" s="115">
        <v>-2.075E7</v>
      </c>
      <c r="D450" s="115"/>
      <c r="E450" s="18"/>
    </row>
    <row r="451" ht="25.5" customHeight="1">
      <c r="A451" s="18"/>
      <c r="B451" s="56" t="s">
        <v>53</v>
      </c>
      <c r="C451" s="115">
        <v>2.78725E7</v>
      </c>
      <c r="D451" s="115"/>
      <c r="E451" s="18"/>
    </row>
    <row r="452" ht="24.75" customHeight="1">
      <c r="A452" s="18"/>
      <c r="B452" s="129" t="s">
        <v>554</v>
      </c>
      <c r="C452" s="115">
        <v>-2.78725E7</v>
      </c>
      <c r="D452" s="115"/>
      <c r="E452" s="18"/>
    </row>
    <row r="453" ht="24.75" customHeight="1">
      <c r="A453" s="18"/>
      <c r="B453" s="56" t="s">
        <v>55</v>
      </c>
      <c r="C453" s="115">
        <v>1.5695E7</v>
      </c>
      <c r="D453" s="115"/>
      <c r="E453" s="18"/>
    </row>
    <row r="454" ht="22.5" customHeight="1">
      <c r="A454" s="18"/>
      <c r="B454" s="129" t="s">
        <v>539</v>
      </c>
      <c r="C454" s="115">
        <v>-1.5695E7</v>
      </c>
      <c r="D454" s="115"/>
      <c r="E454" s="18"/>
    </row>
    <row r="455" ht="22.5" customHeight="1">
      <c r="A455" s="18"/>
      <c r="B455" s="56" t="s">
        <v>57</v>
      </c>
      <c r="C455" s="115">
        <v>3.125E7</v>
      </c>
      <c r="D455" s="115"/>
      <c r="E455" s="18"/>
    </row>
    <row r="456" ht="22.5" customHeight="1">
      <c r="A456" s="18"/>
      <c r="B456" s="447" t="s">
        <v>546</v>
      </c>
      <c r="C456" s="168">
        <v>-3.125E7</v>
      </c>
      <c r="D456" s="115"/>
      <c r="E456" s="18"/>
    </row>
    <row r="457" ht="22.5" customHeight="1">
      <c r="A457" s="22"/>
      <c r="B457" s="447" t="s">
        <v>547</v>
      </c>
      <c r="C457" s="168">
        <v>1.971E7</v>
      </c>
      <c r="D457" s="115"/>
      <c r="E457" s="22"/>
    </row>
    <row r="458" ht="22.5" customHeight="1">
      <c r="A458" s="366" t="s">
        <v>145</v>
      </c>
      <c r="B458" s="447" t="s">
        <v>537</v>
      </c>
      <c r="C458" s="168">
        <v>2.30575E7</v>
      </c>
      <c r="D458" s="115"/>
      <c r="E458" s="448">
        <f>sum(C463:C467)</f>
        <v>57801500</v>
      </c>
    </row>
    <row r="459" ht="22.5" customHeight="1">
      <c r="A459" s="18"/>
      <c r="B459" s="449" t="s">
        <v>555</v>
      </c>
      <c r="C459" s="168">
        <v>-2.3057E7</v>
      </c>
      <c r="D459" s="115"/>
      <c r="E459" s="18"/>
    </row>
    <row r="460" ht="22.5" customHeight="1">
      <c r="A460" s="18"/>
      <c r="B460" s="56" t="s">
        <v>51</v>
      </c>
      <c r="C460" s="168">
        <v>3.62375E7</v>
      </c>
      <c r="D460" s="115"/>
      <c r="E460" s="18"/>
    </row>
    <row r="461" ht="22.5" customHeight="1">
      <c r="A461" s="18"/>
      <c r="B461" s="129" t="s">
        <v>556</v>
      </c>
      <c r="C461" s="168">
        <v>-150000.0</v>
      </c>
      <c r="D461" s="115"/>
      <c r="E461" s="18"/>
    </row>
    <row r="462" ht="22.5" customHeight="1">
      <c r="A462" s="18"/>
      <c r="B462" s="129" t="s">
        <v>557</v>
      </c>
      <c r="C462" s="168">
        <v>-3.6087E7</v>
      </c>
      <c r="D462" s="115"/>
      <c r="E462" s="18"/>
    </row>
    <row r="463" ht="22.5" customHeight="1">
      <c r="A463" s="18"/>
      <c r="B463" s="56" t="s">
        <v>53</v>
      </c>
      <c r="C463" s="168">
        <v>2.6802E7</v>
      </c>
      <c r="D463" s="115"/>
      <c r="E463" s="18"/>
    </row>
    <row r="464" ht="22.5" customHeight="1">
      <c r="A464" s="18"/>
      <c r="B464" s="129" t="s">
        <v>558</v>
      </c>
      <c r="C464" s="168">
        <v>-2.6802E7</v>
      </c>
      <c r="D464" s="115"/>
      <c r="E464" s="18"/>
    </row>
    <row r="465" ht="22.5" customHeight="1">
      <c r="A465" s="18"/>
      <c r="B465" s="56" t="s">
        <v>55</v>
      </c>
      <c r="C465" s="168">
        <v>3.289E7</v>
      </c>
      <c r="D465" s="115"/>
      <c r="E465" s="18"/>
    </row>
    <row r="466" ht="22.5" customHeight="1">
      <c r="A466" s="18"/>
      <c r="B466" s="129" t="s">
        <v>559</v>
      </c>
      <c r="C466" s="168">
        <v>-3.289E7</v>
      </c>
      <c r="D466" s="115"/>
      <c r="E466" s="18"/>
    </row>
    <row r="467" ht="22.5" customHeight="1">
      <c r="A467" s="22"/>
      <c r="B467" s="56" t="s">
        <v>57</v>
      </c>
      <c r="C467" s="168">
        <v>5.78015E7</v>
      </c>
      <c r="D467" s="115"/>
      <c r="E467" s="18"/>
    </row>
    <row r="468" ht="27.0" customHeight="1">
      <c r="A468" s="375" t="s">
        <v>146</v>
      </c>
      <c r="B468" s="447" t="s">
        <v>537</v>
      </c>
      <c r="C468" s="172">
        <v>1.29414E7</v>
      </c>
      <c r="D468" s="115"/>
      <c r="E468" s="450">
        <f>SUM(C468:D473)</f>
        <v>286680900</v>
      </c>
    </row>
    <row r="469" ht="26.25" customHeight="1">
      <c r="A469" s="18"/>
      <c r="B469" s="447" t="s">
        <v>51</v>
      </c>
      <c r="C469" s="172">
        <v>5.07845E7</v>
      </c>
      <c r="D469" s="115"/>
      <c r="E469" s="18"/>
    </row>
    <row r="470" ht="24.75" customHeight="1">
      <c r="A470" s="18"/>
      <c r="B470" s="447" t="s">
        <v>53</v>
      </c>
      <c r="C470" s="172">
        <v>6.1867E7</v>
      </c>
      <c r="D470" s="115"/>
      <c r="E470" s="18"/>
    </row>
    <row r="471" ht="24.0" customHeight="1">
      <c r="A471" s="18"/>
      <c r="B471" s="447" t="s">
        <v>55</v>
      </c>
      <c r="C471" s="172">
        <v>5.7732E7</v>
      </c>
      <c r="D471" s="48"/>
      <c r="E471" s="18"/>
    </row>
    <row r="472" ht="24.75" customHeight="1">
      <c r="A472" s="18"/>
      <c r="B472" s="447" t="s">
        <v>57</v>
      </c>
      <c r="C472" s="172">
        <v>1.03356E8</v>
      </c>
      <c r="D472" s="48"/>
      <c r="E472" s="18"/>
      <c r="F472" s="351"/>
    </row>
    <row r="473" ht="24.75" customHeight="1">
      <c r="A473" s="18"/>
      <c r="B473" s="157"/>
      <c r="C473" s="157"/>
      <c r="D473" s="48"/>
      <c r="E473" s="18"/>
      <c r="F473" s="351"/>
    </row>
    <row r="474" ht="24.75" customHeight="1">
      <c r="A474" s="22"/>
      <c r="B474" s="284"/>
      <c r="C474" s="156"/>
      <c r="D474" s="48"/>
      <c r="E474" s="22"/>
    </row>
    <row r="475" ht="24.75" customHeight="1">
      <c r="A475" s="366" t="s">
        <v>148</v>
      </c>
      <c r="B475" s="447" t="s">
        <v>51</v>
      </c>
      <c r="C475" s="168">
        <v>0.0</v>
      </c>
      <c r="D475" s="48"/>
      <c r="E475" s="368">
        <f>SUM(C475:C480)</f>
        <v>0</v>
      </c>
    </row>
    <row r="476" ht="25.5" customHeight="1">
      <c r="A476" s="18"/>
      <c r="B476" s="447" t="s">
        <v>53</v>
      </c>
      <c r="C476" s="168">
        <v>4275000.0</v>
      </c>
      <c r="D476" s="115"/>
      <c r="E476" s="18"/>
    </row>
    <row r="477" ht="24.75" customHeight="1">
      <c r="A477" s="18"/>
      <c r="B477" s="447" t="s">
        <v>554</v>
      </c>
      <c r="C477" s="168">
        <v>-4275000.0</v>
      </c>
      <c r="D477" s="115"/>
      <c r="E477" s="18"/>
      <c r="F477" s="351"/>
    </row>
    <row r="478" ht="24.75" customHeight="1">
      <c r="A478" s="18"/>
      <c r="B478" s="447" t="s">
        <v>55</v>
      </c>
      <c r="C478" s="168">
        <f>sum(191163300-165000)</f>
        <v>190998300</v>
      </c>
      <c r="D478" s="431" t="s">
        <v>560</v>
      </c>
      <c r="E478" s="18"/>
      <c r="F478" s="351"/>
    </row>
    <row r="479" ht="25.5" customHeight="1">
      <c r="A479" s="18"/>
      <c r="B479" s="447" t="s">
        <v>540</v>
      </c>
      <c r="C479" s="168">
        <v>-1.909983E8</v>
      </c>
      <c r="D479" s="48"/>
      <c r="E479" s="18"/>
    </row>
    <row r="480" ht="25.5" customHeight="1">
      <c r="A480" s="18"/>
      <c r="B480" s="447" t="s">
        <v>57</v>
      </c>
      <c r="C480" s="168">
        <v>0.0</v>
      </c>
      <c r="D480" s="48"/>
      <c r="E480" s="18"/>
    </row>
    <row r="481" ht="24.0" customHeight="1">
      <c r="A481" s="366" t="s">
        <v>149</v>
      </c>
      <c r="B481" s="447" t="s">
        <v>561</v>
      </c>
      <c r="C481" s="168">
        <f>sum(18414000+941300-3000000)</f>
        <v>16355300</v>
      </c>
      <c r="D481" s="48"/>
      <c r="E481" s="450">
        <f>SUM(C481:C486)</f>
        <v>93040900</v>
      </c>
      <c r="H481" s="351"/>
    </row>
    <row r="482" ht="22.5" customHeight="1">
      <c r="A482" s="18"/>
      <c r="B482" s="192" t="s">
        <v>537</v>
      </c>
      <c r="C482" s="168">
        <v>2.44467E7</v>
      </c>
      <c r="D482" s="48"/>
      <c r="E482" s="18"/>
    </row>
    <row r="483" ht="22.5" customHeight="1">
      <c r="A483" s="18"/>
      <c r="B483" s="284" t="s">
        <v>562</v>
      </c>
      <c r="C483" s="168">
        <v>-1.5E7</v>
      </c>
      <c r="D483" s="48"/>
      <c r="E483" s="18"/>
    </row>
    <row r="484" ht="24.0" customHeight="1">
      <c r="A484" s="18"/>
      <c r="B484" s="447" t="s">
        <v>53</v>
      </c>
      <c r="C484" s="156">
        <v>1.56544E7</v>
      </c>
      <c r="E484" s="18"/>
    </row>
    <row r="485" ht="22.5" customHeight="1">
      <c r="A485" s="18"/>
      <c r="B485" s="447" t="s">
        <v>55</v>
      </c>
      <c r="C485" s="168">
        <v>9970500.0</v>
      </c>
      <c r="D485" s="115"/>
      <c r="E485" s="18"/>
    </row>
    <row r="486" ht="23.25" customHeight="1">
      <c r="A486" s="22"/>
      <c r="B486" s="447" t="s">
        <v>57</v>
      </c>
      <c r="C486" s="168">
        <v>4.1614E7</v>
      </c>
      <c r="D486" s="115"/>
      <c r="E486" s="22"/>
    </row>
    <row r="487" ht="24.0" customHeight="1">
      <c r="A487" s="366" t="s">
        <v>150</v>
      </c>
      <c r="B487" s="447" t="s">
        <v>57</v>
      </c>
      <c r="C487" s="168">
        <f>sum(110625500-60000)</f>
        <v>110565500</v>
      </c>
      <c r="D487" s="428" t="s">
        <v>7</v>
      </c>
      <c r="E487" s="448">
        <v>0.0</v>
      </c>
    </row>
    <row r="488" ht="24.0" customHeight="1">
      <c r="A488" s="18"/>
      <c r="B488" s="447"/>
      <c r="C488" s="168"/>
      <c r="D488" s="115"/>
      <c r="E488" s="18"/>
    </row>
    <row r="489" ht="24.0" customHeight="1">
      <c r="A489" s="18"/>
      <c r="B489" s="447"/>
      <c r="C489" s="168"/>
      <c r="D489" s="115"/>
      <c r="E489" s="18"/>
    </row>
    <row r="490" ht="24.0" customHeight="1">
      <c r="A490" s="22"/>
      <c r="B490" s="447"/>
      <c r="C490" s="168"/>
      <c r="D490" s="115"/>
      <c r="E490" s="22"/>
    </row>
    <row r="491" ht="23.25" customHeight="1">
      <c r="A491" s="366" t="s">
        <v>153</v>
      </c>
      <c r="B491" s="192" t="s">
        <v>563</v>
      </c>
      <c r="C491" s="156">
        <v>1.17654E8</v>
      </c>
      <c r="D491" s="172"/>
      <c r="E491" s="367">
        <f>SUM(C491:C495)</f>
        <v>117654000</v>
      </c>
    </row>
    <row r="492" ht="22.5" customHeight="1">
      <c r="A492" s="18"/>
      <c r="B492" s="447"/>
      <c r="C492" s="168"/>
      <c r="D492" s="168"/>
      <c r="E492" s="18"/>
    </row>
    <row r="493" ht="22.5" customHeight="1">
      <c r="A493" s="18"/>
      <c r="B493" s="447"/>
      <c r="C493" s="168"/>
      <c r="D493" s="168"/>
      <c r="E493" s="18"/>
    </row>
    <row r="494" ht="24.0" customHeight="1">
      <c r="A494" s="18"/>
      <c r="B494" s="447"/>
      <c r="C494" s="168"/>
      <c r="D494" s="168"/>
      <c r="E494" s="18"/>
    </row>
    <row r="495" ht="24.0" customHeight="1">
      <c r="A495" s="22"/>
      <c r="B495" s="447"/>
      <c r="C495" s="168"/>
      <c r="D495" s="168"/>
      <c r="E495" s="18"/>
    </row>
    <row r="496" ht="24.0" customHeight="1">
      <c r="A496" s="375" t="s">
        <v>154</v>
      </c>
      <c r="B496" s="56" t="s">
        <v>57</v>
      </c>
      <c r="C496" s="110">
        <v>1.00874E8</v>
      </c>
      <c r="D496" s="115"/>
      <c r="E496" s="367">
        <f>SUM(C496:C499)-30610000</f>
        <v>70264000</v>
      </c>
    </row>
    <row r="497" ht="24.0" customHeight="1">
      <c r="A497" s="18"/>
      <c r="B497" s="129"/>
      <c r="C497" s="110"/>
      <c r="D497" s="115"/>
      <c r="E497" s="18"/>
    </row>
    <row r="498" ht="24.0" customHeight="1">
      <c r="A498" s="18"/>
      <c r="B498" s="56"/>
      <c r="C498" s="110"/>
      <c r="D498" s="115"/>
      <c r="E498" s="18"/>
    </row>
    <row r="499" ht="24.75" customHeight="1">
      <c r="A499" s="18"/>
      <c r="B499" s="56"/>
      <c r="C499" s="110"/>
      <c r="D499" s="115"/>
      <c r="E499" s="18"/>
    </row>
    <row r="500" ht="24.0" customHeight="1">
      <c r="A500" s="18"/>
      <c r="B500" s="129"/>
      <c r="C500" s="110"/>
      <c r="D500" s="115"/>
      <c r="E500" s="18"/>
    </row>
    <row r="501" ht="24.0" customHeight="1">
      <c r="A501" s="22"/>
      <c r="B501" s="129"/>
      <c r="C501" s="110"/>
      <c r="D501" s="115"/>
      <c r="E501" s="18"/>
    </row>
    <row r="502" ht="25.5" customHeight="1">
      <c r="A502" s="366" t="s">
        <v>155</v>
      </c>
      <c r="B502" s="56" t="s">
        <v>57</v>
      </c>
      <c r="C502" s="110">
        <v>4.5305E7</v>
      </c>
      <c r="D502" s="115"/>
      <c r="E502" s="367">
        <v>0.0</v>
      </c>
    </row>
    <row r="503" ht="24.75" customHeight="1">
      <c r="A503" s="18"/>
      <c r="B503" s="129"/>
      <c r="C503" s="110"/>
      <c r="D503" s="115"/>
      <c r="E503" s="18"/>
      <c r="F503" s="134"/>
    </row>
    <row r="504" ht="24.75" customHeight="1">
      <c r="A504" s="18"/>
      <c r="B504" s="56"/>
      <c r="C504" s="110"/>
      <c r="D504" s="115"/>
      <c r="E504" s="18"/>
      <c r="F504" s="134" t="s">
        <v>460</v>
      </c>
    </row>
    <row r="505" ht="26.25" customHeight="1">
      <c r="A505" s="22"/>
      <c r="B505" s="129"/>
      <c r="C505" s="110"/>
      <c r="D505" s="115"/>
      <c r="E505" s="18"/>
    </row>
    <row r="506" ht="24.75" customHeight="1">
      <c r="A506" s="366" t="s">
        <v>156</v>
      </c>
      <c r="B506" s="354" t="s">
        <v>272</v>
      </c>
      <c r="C506" s="110">
        <v>2.13305E7</v>
      </c>
      <c r="D506" s="31"/>
      <c r="E506" s="367">
        <f>SUM(C506:C509)</f>
        <v>148818500</v>
      </c>
    </row>
    <row r="507" ht="25.5" customHeight="1">
      <c r="A507" s="18"/>
      <c r="B507" s="451" t="s">
        <v>53</v>
      </c>
      <c r="C507" s="168">
        <v>2.63855E7</v>
      </c>
      <c r="D507" s="157"/>
      <c r="E507" s="18"/>
      <c r="F507" s="134" t="s">
        <v>564</v>
      </c>
    </row>
    <row r="508" ht="23.25" customHeight="1">
      <c r="A508" s="18"/>
      <c r="B508" s="354" t="s">
        <v>55</v>
      </c>
      <c r="C508" s="168">
        <v>2.31995E7</v>
      </c>
      <c r="D508" s="34"/>
      <c r="E508" s="18"/>
    </row>
    <row r="509" ht="24.0" customHeight="1">
      <c r="A509" s="18"/>
      <c r="B509" s="354" t="s">
        <v>57</v>
      </c>
      <c r="C509" s="168">
        <v>7.7903E7</v>
      </c>
      <c r="D509" s="21"/>
      <c r="E509" s="18"/>
    </row>
    <row r="510" ht="23.25" customHeight="1">
      <c r="A510" s="22"/>
      <c r="B510" s="157"/>
      <c r="C510" s="157"/>
      <c r="D510" s="34"/>
      <c r="E510" s="22"/>
      <c r="F510" s="134" t="s">
        <v>360</v>
      </c>
    </row>
    <row r="511" ht="22.5" customHeight="1">
      <c r="A511" s="366" t="s">
        <v>158</v>
      </c>
      <c r="B511" s="129" t="s">
        <v>51</v>
      </c>
      <c r="C511" s="110">
        <v>1.60325E7</v>
      </c>
      <c r="D511" s="115" t="s">
        <v>7</v>
      </c>
      <c r="E511" s="452">
        <v>0.0</v>
      </c>
    </row>
    <row r="512" ht="22.5" customHeight="1">
      <c r="A512" s="18"/>
      <c r="B512" s="129" t="s">
        <v>362</v>
      </c>
      <c r="C512" s="110">
        <v>2.221E7</v>
      </c>
      <c r="D512" s="115" t="s">
        <v>7</v>
      </c>
      <c r="E512" s="18"/>
    </row>
    <row r="513" ht="22.5" customHeight="1">
      <c r="A513" s="18"/>
      <c r="B513" s="116" t="s">
        <v>55</v>
      </c>
      <c r="C513" s="110">
        <f>sum(17055000-75000)</f>
        <v>16980000</v>
      </c>
      <c r="D513" s="115" t="s">
        <v>7</v>
      </c>
      <c r="E513" s="18"/>
    </row>
    <row r="514" ht="22.5" customHeight="1">
      <c r="A514" s="18"/>
      <c r="B514" s="354" t="s">
        <v>57</v>
      </c>
      <c r="C514" s="110">
        <v>5.00205E7</v>
      </c>
      <c r="D514" s="115" t="s">
        <v>7</v>
      </c>
      <c r="E514" s="18"/>
    </row>
    <row r="515" ht="22.5" customHeight="1">
      <c r="A515" s="22"/>
      <c r="B515" s="56"/>
      <c r="C515" s="110"/>
      <c r="D515" s="115"/>
      <c r="E515" s="18"/>
      <c r="F515" s="363" t="s">
        <v>361</v>
      </c>
      <c r="G515" s="365">
        <f>E511+E506+E502+E496+E491+E487+E481+E475+E468+E458+E448+E443+E437+E432+E426+E422+E415+E408+E403+E394</f>
        <v>1556014200</v>
      </c>
    </row>
    <row r="516" ht="22.5" customHeight="1">
      <c r="A516" s="366" t="s">
        <v>159</v>
      </c>
      <c r="B516" s="129" t="s">
        <v>51</v>
      </c>
      <c r="C516" s="110">
        <v>1.60725E7</v>
      </c>
      <c r="D516" s="115"/>
      <c r="E516" s="367">
        <f>SUM(C516:C522)</f>
        <v>43196500</v>
      </c>
    </row>
    <row r="517" ht="22.5" customHeight="1">
      <c r="A517" s="18"/>
      <c r="B517" s="129" t="s">
        <v>565</v>
      </c>
      <c r="C517" s="110">
        <v>-1.60725E7</v>
      </c>
      <c r="D517" s="115"/>
      <c r="E517" s="18"/>
    </row>
    <row r="518" ht="22.5" customHeight="1">
      <c r="A518" s="18"/>
      <c r="B518" s="129" t="s">
        <v>362</v>
      </c>
      <c r="C518" s="110">
        <v>2.2525E7</v>
      </c>
      <c r="D518" s="115"/>
      <c r="E518" s="18"/>
    </row>
    <row r="519" ht="22.5" customHeight="1">
      <c r="A519" s="18"/>
      <c r="B519" s="184" t="s">
        <v>566</v>
      </c>
      <c r="C519" s="110">
        <v>-2.2525E7</v>
      </c>
      <c r="D519" s="115"/>
      <c r="E519" s="18"/>
    </row>
    <row r="520" ht="22.5" customHeight="1">
      <c r="A520" s="18"/>
      <c r="B520" s="116" t="s">
        <v>55</v>
      </c>
      <c r="C520" s="110">
        <v>1.649E7</v>
      </c>
      <c r="D520" s="115"/>
      <c r="E520" s="18"/>
    </row>
    <row r="521" ht="22.5" customHeight="1">
      <c r="A521" s="18"/>
      <c r="B521" s="184" t="s">
        <v>567</v>
      </c>
      <c r="C521" s="110">
        <v>-4.27275E7</v>
      </c>
      <c r="D521" s="115"/>
      <c r="E521" s="18"/>
    </row>
    <row r="522" ht="22.5" customHeight="1">
      <c r="A522" s="18"/>
      <c r="B522" s="354" t="s">
        <v>57</v>
      </c>
      <c r="C522" s="110">
        <v>6.9434E7</v>
      </c>
      <c r="D522" s="115"/>
      <c r="E522" s="18"/>
    </row>
    <row r="523" ht="22.5" customHeight="1">
      <c r="A523" s="22"/>
      <c r="B523" s="354"/>
      <c r="C523" s="151"/>
      <c r="D523" s="115"/>
      <c r="E523" s="22"/>
    </row>
    <row r="524" ht="22.5" customHeight="1">
      <c r="A524" s="366" t="s">
        <v>160</v>
      </c>
      <c r="B524" s="371" t="s">
        <v>568</v>
      </c>
      <c r="C524" s="370">
        <v>1000000.0</v>
      </c>
      <c r="D524" s="115"/>
      <c r="E524" s="368">
        <f>SUM(C524:C531)</f>
        <v>315440500</v>
      </c>
    </row>
    <row r="525" ht="22.5" customHeight="1">
      <c r="A525" s="18"/>
      <c r="B525" s="184" t="s">
        <v>423</v>
      </c>
      <c r="C525" s="110">
        <v>1.32357E8</v>
      </c>
      <c r="D525" s="115"/>
      <c r="E525" s="18"/>
    </row>
    <row r="526" ht="22.5" customHeight="1">
      <c r="A526" s="18"/>
      <c r="B526" s="184" t="s">
        <v>51</v>
      </c>
      <c r="C526" s="155">
        <v>3.48985E7</v>
      </c>
      <c r="D526" s="115"/>
      <c r="E526" s="18"/>
      <c r="F526" s="20"/>
      <c r="G526" s="134" t="s">
        <v>50</v>
      </c>
    </row>
    <row r="527" ht="22.5" customHeight="1">
      <c r="A527" s="18"/>
      <c r="B527" s="129" t="s">
        <v>362</v>
      </c>
      <c r="C527" s="110">
        <v>3.69525E7</v>
      </c>
      <c r="D527" s="115"/>
      <c r="E527" s="18"/>
      <c r="F527" s="426"/>
    </row>
    <row r="528" ht="22.5" customHeight="1">
      <c r="A528" s="18"/>
      <c r="B528" s="116" t="s">
        <v>55</v>
      </c>
      <c r="C528" s="110">
        <v>3.5183E7</v>
      </c>
      <c r="D528" s="115"/>
      <c r="E528" s="18"/>
      <c r="F528" s="427"/>
    </row>
    <row r="529" ht="22.5" customHeight="1">
      <c r="A529" s="18"/>
      <c r="B529" s="354" t="s">
        <v>57</v>
      </c>
      <c r="C529" s="110">
        <v>7.50495E7</v>
      </c>
      <c r="E529" s="18"/>
    </row>
    <row r="530" ht="22.5" customHeight="1">
      <c r="A530" s="18"/>
      <c r="B530" s="157"/>
      <c r="C530" s="157"/>
      <c r="D530" s="192"/>
      <c r="E530" s="18"/>
      <c r="G530" s="131">
        <f>SUM(E524-109180500)</f>
        <v>206260000</v>
      </c>
    </row>
    <row r="531" ht="22.5" customHeight="1">
      <c r="A531" s="22"/>
      <c r="B531" s="192"/>
      <c r="C531" s="155"/>
      <c r="D531" s="192"/>
      <c r="E531" s="22"/>
    </row>
    <row r="532" ht="21.75" customHeight="1">
      <c r="A532" s="375" t="s">
        <v>386</v>
      </c>
      <c r="B532" s="192" t="s">
        <v>222</v>
      </c>
      <c r="C532" s="110">
        <v>4.504E7</v>
      </c>
      <c r="D532" s="115"/>
      <c r="E532" s="368">
        <f>SUM(C532:C540)</f>
        <v>32303000</v>
      </c>
    </row>
    <row r="533" ht="21.75" customHeight="1">
      <c r="A533" s="18"/>
      <c r="B533" s="192" t="s">
        <v>474</v>
      </c>
      <c r="C533" s="110">
        <v>2.353E7</v>
      </c>
      <c r="D533" s="190"/>
      <c r="E533" s="18"/>
    </row>
    <row r="534" ht="21.75" customHeight="1">
      <c r="A534" s="18"/>
      <c r="B534" s="129" t="s">
        <v>423</v>
      </c>
      <c r="C534" s="110">
        <v>3.444E7</v>
      </c>
      <c r="D534" s="115"/>
      <c r="E534" s="18"/>
    </row>
    <row r="535" ht="21.75" customHeight="1">
      <c r="A535" s="18"/>
      <c r="B535" s="192" t="s">
        <v>51</v>
      </c>
      <c r="C535" s="110">
        <f>SUM(4946000+2450000)</f>
        <v>7396000</v>
      </c>
      <c r="D535" s="387"/>
      <c r="E535" s="18"/>
    </row>
    <row r="536" ht="21.75" customHeight="1">
      <c r="A536" s="18"/>
      <c r="B536" s="129" t="s">
        <v>362</v>
      </c>
      <c r="C536" s="110">
        <v>1.0237E7</v>
      </c>
      <c r="D536" s="192"/>
      <c r="E536" s="18"/>
      <c r="G536" s="127">
        <f>10.1+10.2</f>
        <v>20.3</v>
      </c>
    </row>
    <row r="537" ht="21.75" customHeight="1">
      <c r="A537" s="18"/>
      <c r="B537" s="184" t="s">
        <v>569</v>
      </c>
      <c r="C537" s="110">
        <v>-1.8465E7</v>
      </c>
      <c r="D537" s="157"/>
      <c r="E537" s="18"/>
    </row>
    <row r="538" ht="21.75" customHeight="1">
      <c r="A538" s="18"/>
      <c r="B538" s="184" t="s">
        <v>569</v>
      </c>
      <c r="C538" s="110">
        <v>-8.4545E7</v>
      </c>
      <c r="D538" s="157"/>
      <c r="E538" s="18"/>
    </row>
    <row r="539" ht="21.75" customHeight="1">
      <c r="A539" s="18"/>
      <c r="B539" s="116" t="s">
        <v>55</v>
      </c>
      <c r="C539" s="110">
        <v>4082000.0</v>
      </c>
      <c r="D539" s="115"/>
      <c r="E539" s="18"/>
      <c r="G539" s="127">
        <f>G536*52000</f>
        <v>1055600</v>
      </c>
    </row>
    <row r="540" ht="21.75" customHeight="1">
      <c r="A540" s="22"/>
      <c r="B540" s="354" t="s">
        <v>57</v>
      </c>
      <c r="C540" s="110">
        <v>1.0588E7</v>
      </c>
      <c r="D540" s="157"/>
      <c r="E540" s="22"/>
    </row>
    <row r="541" ht="22.5" customHeight="1">
      <c r="A541" s="366" t="s">
        <v>167</v>
      </c>
      <c r="B541" s="129" t="s">
        <v>51</v>
      </c>
      <c r="C541" s="110">
        <v>0.0</v>
      </c>
      <c r="D541" s="115"/>
      <c r="E541" s="367">
        <v>0.0</v>
      </c>
    </row>
    <row r="542" ht="22.5" customHeight="1">
      <c r="A542" s="18"/>
      <c r="B542" s="192" t="s">
        <v>53</v>
      </c>
      <c r="C542" s="110">
        <v>1.74012E7</v>
      </c>
      <c r="D542" s="115"/>
      <c r="E542" s="18"/>
    </row>
    <row r="543" ht="22.5" customHeight="1">
      <c r="A543" s="18"/>
      <c r="B543" s="116" t="s">
        <v>55</v>
      </c>
      <c r="C543" s="110">
        <v>1.59964E7</v>
      </c>
      <c r="D543" s="115"/>
      <c r="E543" s="18"/>
    </row>
    <row r="544" ht="22.5" customHeight="1">
      <c r="A544" s="18"/>
      <c r="B544" s="184" t="s">
        <v>539</v>
      </c>
      <c r="C544" s="110">
        <v>-1.74012E7</v>
      </c>
      <c r="D544" s="115"/>
      <c r="E544" s="18"/>
    </row>
    <row r="545" ht="22.5" customHeight="1">
      <c r="A545" s="18"/>
      <c r="B545" s="184" t="s">
        <v>546</v>
      </c>
      <c r="C545" s="110">
        <v>-1.59964E7</v>
      </c>
      <c r="D545" s="115"/>
      <c r="E545" s="18"/>
    </row>
    <row r="546" ht="22.5" customHeight="1">
      <c r="A546" s="18"/>
      <c r="B546" s="354" t="s">
        <v>57</v>
      </c>
      <c r="C546" s="110">
        <v>4.6173E7</v>
      </c>
      <c r="D546" s="115" t="s">
        <v>7</v>
      </c>
      <c r="E546" s="18"/>
    </row>
    <row r="547" ht="22.5" customHeight="1">
      <c r="A547" s="22"/>
      <c r="B547" s="354"/>
      <c r="D547" s="115"/>
      <c r="E547" s="22"/>
    </row>
    <row r="548" ht="22.5" customHeight="1">
      <c r="A548" s="366" t="s">
        <v>172</v>
      </c>
      <c r="B548" s="129" t="s">
        <v>570</v>
      </c>
      <c r="C548" s="110">
        <v>4.42215E7</v>
      </c>
      <c r="E548" s="368">
        <f>SUM(C548:C553)</f>
        <v>191850000</v>
      </c>
      <c r="G548" s="134">
        <v>4.42215E7</v>
      </c>
    </row>
    <row r="549" ht="22.5" customHeight="1">
      <c r="A549" s="18"/>
      <c r="B549" s="184" t="s">
        <v>537</v>
      </c>
      <c r="C549" s="155">
        <f>SUM(60210500-9000)</f>
        <v>60201500</v>
      </c>
      <c r="D549" s="48"/>
      <c r="E549" s="18"/>
    </row>
    <row r="550" ht="24.0" customHeight="1">
      <c r="A550" s="18"/>
      <c r="B550" s="129" t="s">
        <v>51</v>
      </c>
      <c r="C550" s="155">
        <v>2.2187E7</v>
      </c>
      <c r="D550" s="169"/>
      <c r="E550" s="18"/>
      <c r="F550" s="20"/>
    </row>
    <row r="551" ht="24.0" customHeight="1">
      <c r="A551" s="18"/>
      <c r="B551" s="192" t="s">
        <v>53</v>
      </c>
      <c r="C551" s="155">
        <v>2.11035E7</v>
      </c>
      <c r="E551" s="18"/>
      <c r="F551" s="20"/>
    </row>
    <row r="552" ht="24.0" customHeight="1">
      <c r="A552" s="18"/>
      <c r="B552" s="116" t="s">
        <v>55</v>
      </c>
      <c r="C552" s="155">
        <f>sum(15675000-30000)</f>
        <v>15645000</v>
      </c>
      <c r="D552" s="437" t="s">
        <v>571</v>
      </c>
      <c r="E552" s="18"/>
    </row>
    <row r="553" ht="24.0" customHeight="1">
      <c r="A553" s="22"/>
      <c r="B553" s="354" t="s">
        <v>57</v>
      </c>
      <c r="C553" s="155">
        <f>SUM(28501500-10000)</f>
        <v>28491500</v>
      </c>
      <c r="D553" s="134" t="s">
        <v>572</v>
      </c>
      <c r="E553" s="22"/>
      <c r="F553" s="20"/>
    </row>
    <row r="554" ht="24.0" customHeight="1">
      <c r="A554" s="375" t="s">
        <v>178</v>
      </c>
      <c r="B554" s="129" t="s">
        <v>537</v>
      </c>
      <c r="C554" s="115">
        <v>1.5003E8</v>
      </c>
      <c r="D554" s="157"/>
      <c r="E554" s="368">
        <f>SUM(C554:C559)</f>
        <v>152711500</v>
      </c>
      <c r="F554" s="20"/>
    </row>
    <row r="555" ht="24.0" customHeight="1">
      <c r="A555" s="18"/>
      <c r="B555" s="354" t="s">
        <v>272</v>
      </c>
      <c r="C555" s="110">
        <v>0.0</v>
      </c>
      <c r="D555" s="157"/>
      <c r="E555" s="18"/>
    </row>
    <row r="556" ht="27.75" customHeight="1">
      <c r="A556" s="18"/>
      <c r="B556" s="451" t="s">
        <v>53</v>
      </c>
      <c r="C556" s="155">
        <v>5.1386E7</v>
      </c>
      <c r="D556" s="115"/>
      <c r="E556" s="18"/>
      <c r="F556" s="134" t="s">
        <v>573</v>
      </c>
    </row>
    <row r="557" ht="27.75" customHeight="1">
      <c r="A557" s="18"/>
      <c r="B557" s="184" t="s">
        <v>538</v>
      </c>
      <c r="C557" s="155">
        <v>-2.01416E8</v>
      </c>
      <c r="D557" s="115"/>
      <c r="E557" s="18"/>
    </row>
    <row r="558" ht="27.75" customHeight="1">
      <c r="A558" s="18"/>
      <c r="B558" s="354" t="s">
        <v>55</v>
      </c>
      <c r="C558" s="155">
        <v>3.7655E7</v>
      </c>
      <c r="D558" s="115"/>
      <c r="E558" s="18"/>
    </row>
    <row r="559" ht="27.75" customHeight="1">
      <c r="A559" s="22"/>
      <c r="B559" s="354" t="s">
        <v>57</v>
      </c>
      <c r="C559" s="155">
        <v>1.150565E8</v>
      </c>
      <c r="D559" s="115"/>
      <c r="E559" s="22"/>
    </row>
    <row r="560" ht="27.75" customHeight="1">
      <c r="A560" s="375" t="s">
        <v>182</v>
      </c>
      <c r="B560" s="129" t="s">
        <v>51</v>
      </c>
      <c r="C560" s="115">
        <v>3.02523E7</v>
      </c>
      <c r="D560" s="192"/>
      <c r="E560" s="367">
        <f>SUM(C560:C564)</f>
        <v>102633800</v>
      </c>
      <c r="G560" s="261"/>
      <c r="I560" s="134">
        <v>1.62018E8</v>
      </c>
    </row>
    <row r="561" ht="27.75" customHeight="1">
      <c r="A561" s="18"/>
      <c r="B561" s="129" t="s">
        <v>565</v>
      </c>
      <c r="C561" s="155">
        <v>-1.0E7</v>
      </c>
      <c r="D561" s="192"/>
      <c r="E561" s="18"/>
      <c r="G561" s="18"/>
      <c r="H561" s="141"/>
      <c r="I561" s="429"/>
    </row>
    <row r="562" ht="27.75" customHeight="1">
      <c r="A562" s="18"/>
      <c r="B562" s="129" t="s">
        <v>362</v>
      </c>
      <c r="C562" s="155">
        <v>1.01955E7</v>
      </c>
      <c r="D562" s="192"/>
      <c r="E562" s="18"/>
      <c r="G562" s="18"/>
      <c r="H562" s="141"/>
      <c r="I562" s="429"/>
    </row>
    <row r="563" ht="27.75" customHeight="1">
      <c r="A563" s="18"/>
      <c r="B563" s="116" t="s">
        <v>55</v>
      </c>
      <c r="C563" s="155">
        <v>2.2706E7</v>
      </c>
      <c r="D563" s="192"/>
      <c r="E563" s="18"/>
      <c r="G563" s="18"/>
      <c r="H563" s="141"/>
      <c r="I563" s="429"/>
    </row>
    <row r="564" ht="27.75" customHeight="1">
      <c r="A564" s="22"/>
      <c r="B564" s="354" t="s">
        <v>57</v>
      </c>
      <c r="C564" s="155">
        <f>sum(49805000-325000)</f>
        <v>49480000</v>
      </c>
      <c r="D564" s="387" t="s">
        <v>574</v>
      </c>
      <c r="E564" s="22"/>
      <c r="G564" s="18"/>
      <c r="H564" s="133" t="s">
        <v>151</v>
      </c>
      <c r="I564" s="233">
        <v>1.33234E8</v>
      </c>
    </row>
    <row r="565" ht="27.75" customHeight="1">
      <c r="A565" s="366" t="s">
        <v>184</v>
      </c>
      <c r="B565" s="184" t="s">
        <v>537</v>
      </c>
      <c r="C565" s="110">
        <v>2.0664E7</v>
      </c>
      <c r="D565" s="373"/>
      <c r="E565" s="367">
        <f>sum(C565:C569)</f>
        <v>85847000</v>
      </c>
      <c r="G565" s="22"/>
      <c r="H565" s="129" t="s">
        <v>264</v>
      </c>
      <c r="I565" s="115">
        <v>-3.0E7</v>
      </c>
    </row>
    <row r="566" ht="27.75" customHeight="1">
      <c r="A566" s="18"/>
      <c r="B566" s="354" t="s">
        <v>272</v>
      </c>
      <c r="C566" s="155">
        <v>1.608E7</v>
      </c>
      <c r="D566" s="374"/>
      <c r="E566" s="18"/>
      <c r="G566" s="135" t="s">
        <v>185</v>
      </c>
      <c r="H566" s="56"/>
      <c r="I566" s="122"/>
    </row>
    <row r="567" ht="27.75" customHeight="1">
      <c r="A567" s="18"/>
      <c r="B567" s="451" t="s">
        <v>53</v>
      </c>
      <c r="C567" s="155">
        <v>0.0</v>
      </c>
      <c r="D567" s="374"/>
      <c r="E567" s="18"/>
      <c r="G567" s="18"/>
      <c r="H567" s="56" t="s">
        <v>99</v>
      </c>
      <c r="I567" s="122">
        <f>SUM(I564:I565)</f>
        <v>103234000</v>
      </c>
    </row>
    <row r="568" ht="27.75" customHeight="1">
      <c r="A568" s="18"/>
      <c r="B568" s="354" t="s">
        <v>55</v>
      </c>
      <c r="C568" s="155">
        <v>3.1637E7</v>
      </c>
      <c r="D568" s="157"/>
      <c r="E568" s="18"/>
      <c r="G568" s="18"/>
      <c r="H568" s="133" t="s">
        <v>151</v>
      </c>
      <c r="I568" s="233">
        <v>3.00991E8</v>
      </c>
    </row>
    <row r="569" ht="27.75" customHeight="1">
      <c r="A569" s="18"/>
      <c r="B569" s="354" t="s">
        <v>57</v>
      </c>
      <c r="C569" s="155">
        <v>1.7466E7</v>
      </c>
      <c r="D569" s="110"/>
      <c r="E569" s="18"/>
      <c r="G569" s="18"/>
      <c r="H569" s="129" t="s">
        <v>268</v>
      </c>
      <c r="I569" s="115">
        <v>-2.0E8</v>
      </c>
    </row>
    <row r="570" ht="27.75" customHeight="1">
      <c r="A570" s="22"/>
      <c r="B570" s="110"/>
      <c r="C570" s="157"/>
      <c r="D570" s="110"/>
      <c r="E570" s="22"/>
      <c r="G570" s="18"/>
      <c r="H570" s="129" t="s">
        <v>269</v>
      </c>
      <c r="I570" s="115">
        <v>-5.0999E7</v>
      </c>
    </row>
    <row r="571" ht="27.75" customHeight="1">
      <c r="A571" s="366" t="s">
        <v>188</v>
      </c>
      <c r="B571" s="354" t="s">
        <v>57</v>
      </c>
      <c r="C571" s="110">
        <v>9.1031E7</v>
      </c>
      <c r="D571" s="115" t="s">
        <v>7</v>
      </c>
      <c r="E571" s="367">
        <v>0.0</v>
      </c>
      <c r="G571" s="18"/>
      <c r="H571" s="129" t="s">
        <v>365</v>
      </c>
      <c r="I571" s="130">
        <v>-4.9992E7</v>
      </c>
    </row>
    <row r="572" ht="27.75" customHeight="1">
      <c r="A572" s="18"/>
      <c r="B572" s="451"/>
      <c r="C572" s="110"/>
      <c r="D572" s="115"/>
      <c r="E572" s="18"/>
      <c r="G572" s="22"/>
      <c r="H572" s="56"/>
      <c r="I572" s="122"/>
    </row>
    <row r="573" ht="27.75" customHeight="1">
      <c r="A573" s="18"/>
      <c r="B573" s="354"/>
      <c r="C573" s="110"/>
      <c r="D573" s="115"/>
      <c r="E573" s="18"/>
      <c r="H573" s="56"/>
      <c r="I573" s="122"/>
    </row>
    <row r="574" ht="27.75" customHeight="1">
      <c r="A574" s="18"/>
      <c r="B574" s="192"/>
      <c r="C574" s="110"/>
      <c r="D574" s="115"/>
      <c r="E574" s="18"/>
      <c r="H574" s="56"/>
      <c r="I574" s="130"/>
    </row>
    <row r="575" ht="27.75" customHeight="1">
      <c r="A575" s="22"/>
      <c r="B575" s="157"/>
      <c r="C575" s="155"/>
      <c r="D575" s="115"/>
      <c r="E575" s="22"/>
      <c r="H575" s="56" t="s">
        <v>99</v>
      </c>
      <c r="I575" s="130">
        <v>0.0</v>
      </c>
    </row>
    <row r="576" ht="27.75" customHeight="1">
      <c r="A576" s="366" t="s">
        <v>190</v>
      </c>
      <c r="B576" s="129" t="s">
        <v>570</v>
      </c>
      <c r="C576" s="115">
        <v>4.1334E7</v>
      </c>
      <c r="D576" s="431"/>
      <c r="E576" s="367">
        <f>SUM(C576:C581)</f>
        <v>383389000</v>
      </c>
    </row>
    <row r="577" ht="27.75" customHeight="1">
      <c r="A577" s="18"/>
      <c r="B577" s="184" t="s">
        <v>537</v>
      </c>
      <c r="C577" s="115">
        <v>1.971875E8</v>
      </c>
      <c r="D577" s="48"/>
      <c r="E577" s="18"/>
    </row>
    <row r="578" ht="28.5" customHeight="1">
      <c r="A578" s="18"/>
      <c r="B578" s="354" t="s">
        <v>272</v>
      </c>
      <c r="C578" s="155">
        <v>3.01575E7</v>
      </c>
      <c r="D578" s="48"/>
      <c r="E578" s="18"/>
      <c r="G578" s="261"/>
    </row>
    <row r="579" ht="28.5" customHeight="1">
      <c r="A579" s="18"/>
      <c r="B579" s="451" t="s">
        <v>53</v>
      </c>
      <c r="C579" s="155">
        <v>2.47375E7</v>
      </c>
      <c r="D579" s="48"/>
      <c r="E579" s="18"/>
      <c r="G579" s="18"/>
    </row>
    <row r="580" ht="28.5" customHeight="1">
      <c r="A580" s="18"/>
      <c r="B580" s="354" t="s">
        <v>55</v>
      </c>
      <c r="C580" s="155">
        <f>sum(42911000-66000)</f>
        <v>42845000</v>
      </c>
      <c r="D580" s="453" t="s">
        <v>575</v>
      </c>
      <c r="E580" s="18"/>
      <c r="G580" s="18"/>
    </row>
    <row r="581" ht="28.5" customHeight="1">
      <c r="A581" s="22"/>
      <c r="B581" s="354" t="s">
        <v>57</v>
      </c>
      <c r="C581" s="155">
        <v>4.71275E7</v>
      </c>
      <c r="D581" s="157"/>
      <c r="E581" s="22"/>
      <c r="G581" s="18"/>
    </row>
    <row r="582" ht="28.5" customHeight="1">
      <c r="A582" s="366" t="s">
        <v>192</v>
      </c>
      <c r="B582" s="354" t="s">
        <v>57</v>
      </c>
      <c r="C582" s="155">
        <v>1.10145E8</v>
      </c>
      <c r="D582" s="115"/>
      <c r="E582" s="367">
        <f>SUM(C582:C589)</f>
        <v>110145000</v>
      </c>
      <c r="G582" s="18"/>
      <c r="H582" s="133" t="s">
        <v>151</v>
      </c>
      <c r="I582" s="233">
        <v>8.12009E8</v>
      </c>
    </row>
    <row r="583" ht="28.5" customHeight="1">
      <c r="A583" s="18"/>
      <c r="B583" s="185"/>
      <c r="C583" s="110"/>
      <c r="D583" s="115"/>
      <c r="E583" s="18"/>
      <c r="G583" s="18"/>
      <c r="H583" s="129"/>
      <c r="I583" s="115"/>
    </row>
    <row r="584" ht="28.5" customHeight="1">
      <c r="A584" s="18"/>
      <c r="B584" s="451"/>
      <c r="C584" s="110"/>
      <c r="D584" s="115"/>
      <c r="E584" s="18"/>
      <c r="G584" s="18"/>
      <c r="H584" s="129"/>
      <c r="I584" s="115"/>
    </row>
    <row r="585" ht="28.5" customHeight="1">
      <c r="A585" s="18"/>
      <c r="B585" s="184"/>
      <c r="C585" s="110"/>
      <c r="D585" s="115"/>
      <c r="E585" s="18"/>
      <c r="G585" s="18"/>
      <c r="H585" s="129"/>
      <c r="I585" s="115"/>
    </row>
    <row r="586" ht="28.5" customHeight="1">
      <c r="A586" s="18"/>
      <c r="B586" s="354"/>
      <c r="C586" s="110"/>
      <c r="D586" s="115"/>
      <c r="E586" s="18"/>
      <c r="G586" s="22"/>
      <c r="H586" s="129" t="s">
        <v>366</v>
      </c>
      <c r="I586" s="115"/>
    </row>
    <row r="587" ht="27.0" customHeight="1">
      <c r="A587" s="18"/>
      <c r="B587" s="184"/>
      <c r="C587" s="155"/>
      <c r="D587" s="115"/>
      <c r="E587" s="18"/>
      <c r="G587" s="432"/>
      <c r="H587" s="56"/>
      <c r="I587" s="48"/>
    </row>
    <row r="588" ht="27.0" customHeight="1">
      <c r="A588" s="18"/>
      <c r="B588" s="157"/>
      <c r="C588" s="157"/>
      <c r="D588" s="157"/>
      <c r="E588" s="18"/>
      <c r="G588" s="261" t="s">
        <v>273</v>
      </c>
      <c r="H588" s="56"/>
      <c r="I588" s="48"/>
    </row>
    <row r="589" ht="27.0" customHeight="1">
      <c r="A589" s="22"/>
      <c r="B589" s="157"/>
      <c r="C589" s="155"/>
      <c r="D589" s="454"/>
      <c r="E589" s="22"/>
      <c r="G589" s="18"/>
      <c r="H589" s="56" t="s">
        <v>99</v>
      </c>
      <c r="I589" s="122">
        <f>SUM(I582:I588)</f>
        <v>812009000</v>
      </c>
      <c r="M589" s="20"/>
    </row>
    <row r="590" ht="27.0" customHeight="1">
      <c r="A590" s="366" t="s">
        <v>196</v>
      </c>
      <c r="B590" s="129" t="s">
        <v>537</v>
      </c>
      <c r="C590" s="110">
        <v>5.4765E7</v>
      </c>
      <c r="D590" s="115" t="s">
        <v>7</v>
      </c>
      <c r="E590" s="367">
        <f>SUM(C591:C597)</f>
        <v>49431500</v>
      </c>
      <c r="G590" s="18"/>
      <c r="H590" s="133" t="s">
        <v>151</v>
      </c>
      <c r="I590" s="233">
        <v>2.5E8</v>
      </c>
      <c r="M590" s="20">
        <f>69.5*30000</f>
        <v>2085000</v>
      </c>
    </row>
    <row r="591" ht="27.0" customHeight="1">
      <c r="A591" s="18"/>
      <c r="B591" s="354" t="s">
        <v>272</v>
      </c>
      <c r="C591" s="110">
        <v>4.2925E7</v>
      </c>
      <c r="D591" s="115"/>
      <c r="E591" s="18"/>
      <c r="F591" s="20"/>
      <c r="G591" s="18"/>
      <c r="H591" s="129" t="s">
        <v>566</v>
      </c>
      <c r="I591" s="115">
        <v>-1.0E8</v>
      </c>
    </row>
    <row r="592" ht="27.0" customHeight="1">
      <c r="A592" s="18"/>
      <c r="B592" s="129" t="s">
        <v>53</v>
      </c>
      <c r="C592" s="110">
        <v>1.626E7</v>
      </c>
      <c r="D592" s="115"/>
      <c r="E592" s="18"/>
      <c r="F592" s="20"/>
      <c r="G592" s="18"/>
      <c r="H592" s="129"/>
      <c r="I592" s="115"/>
    </row>
    <row r="593" ht="27.0" customHeight="1">
      <c r="A593" s="18"/>
      <c r="B593" s="129" t="s">
        <v>576</v>
      </c>
      <c r="C593" s="110">
        <v>-4.2925E7</v>
      </c>
      <c r="D593" s="115"/>
      <c r="E593" s="18"/>
      <c r="F593" s="20"/>
      <c r="G593" s="18"/>
      <c r="H593" s="129"/>
      <c r="I593" s="115"/>
    </row>
    <row r="594" ht="27.0" customHeight="1">
      <c r="A594" s="18"/>
      <c r="B594" s="129" t="s">
        <v>55</v>
      </c>
      <c r="C594" s="110">
        <v>2.87805E7</v>
      </c>
      <c r="D594" s="115"/>
      <c r="E594" s="18"/>
      <c r="F594" s="20" t="s">
        <v>195</v>
      </c>
      <c r="G594" s="22"/>
      <c r="H594" s="129"/>
      <c r="I594" s="115"/>
    </row>
    <row r="595" ht="27.0" customHeight="1">
      <c r="A595" s="18"/>
      <c r="B595" s="129" t="s">
        <v>577</v>
      </c>
      <c r="C595" s="110">
        <v>-4.50405E7</v>
      </c>
      <c r="D595" s="48"/>
      <c r="E595" s="18"/>
      <c r="G595" s="143"/>
      <c r="H595" s="56"/>
      <c r="I595" s="115"/>
    </row>
    <row r="596" ht="27.0" customHeight="1">
      <c r="A596" s="18"/>
      <c r="B596" s="129" t="s">
        <v>57</v>
      </c>
      <c r="C596" s="110">
        <v>4.94315E7</v>
      </c>
      <c r="D596" s="48"/>
      <c r="E596" s="18"/>
      <c r="G596" s="135" t="s">
        <v>197</v>
      </c>
      <c r="H596" s="56"/>
      <c r="I596" s="115"/>
    </row>
    <row r="597" ht="27.0" customHeight="1">
      <c r="A597" s="22"/>
      <c r="B597" s="354"/>
      <c r="C597" s="110"/>
      <c r="D597" s="115"/>
      <c r="E597" s="22"/>
      <c r="G597" s="18"/>
      <c r="H597" s="56" t="s">
        <v>99</v>
      </c>
      <c r="I597" s="122">
        <f>SUM(I590:I594)</f>
        <v>150000000</v>
      </c>
    </row>
    <row r="598" ht="27.0" customHeight="1">
      <c r="A598" s="366" t="s">
        <v>200</v>
      </c>
      <c r="B598" s="129" t="s">
        <v>537</v>
      </c>
      <c r="C598" s="110">
        <v>6.3561E7</v>
      </c>
      <c r="D598" s="115"/>
      <c r="E598" s="368">
        <f>SUM(C598:C605)</f>
        <v>76411000</v>
      </c>
      <c r="G598" s="18"/>
      <c r="H598" s="133" t="s">
        <v>151</v>
      </c>
      <c r="I598" s="51">
        <v>5.48422E8</v>
      </c>
    </row>
    <row r="599" ht="27.0" customHeight="1">
      <c r="A599" s="18"/>
      <c r="B599" s="354" t="s">
        <v>272</v>
      </c>
      <c r="C599" s="110">
        <v>2.7361E7</v>
      </c>
      <c r="D599" s="115"/>
      <c r="E599" s="18"/>
      <c r="F599" s="20"/>
      <c r="G599" s="18"/>
      <c r="H599" s="56"/>
      <c r="I599" s="48"/>
    </row>
    <row r="600" ht="27.0" customHeight="1">
      <c r="A600" s="18"/>
      <c r="B600" s="451" t="s">
        <v>53</v>
      </c>
      <c r="C600" s="110">
        <v>4.33205E7</v>
      </c>
      <c r="D600" s="192"/>
      <c r="E600" s="18"/>
      <c r="F600" s="203"/>
      <c r="G600" s="22"/>
      <c r="H600" s="56" t="s">
        <v>198</v>
      </c>
      <c r="I600" s="48">
        <v>-1.1202E7</v>
      </c>
    </row>
    <row r="601" ht="27.0" customHeight="1">
      <c r="A601" s="18"/>
      <c r="B601" s="184" t="s">
        <v>538</v>
      </c>
      <c r="C601" s="110">
        <v>-1.342425E8</v>
      </c>
      <c r="D601" s="157"/>
      <c r="E601" s="18"/>
      <c r="F601" s="134"/>
      <c r="G601" s="432"/>
      <c r="H601" s="56"/>
      <c r="I601" s="48"/>
      <c r="J601" s="436"/>
      <c r="K601" s="141"/>
      <c r="L601" s="429"/>
    </row>
    <row r="602" ht="27.0" customHeight="1">
      <c r="A602" s="18"/>
      <c r="B602" s="354" t="s">
        <v>55</v>
      </c>
      <c r="C602" s="110">
        <v>3.7503E7</v>
      </c>
      <c r="D602" s="157"/>
      <c r="E602" s="18"/>
      <c r="F602" s="134" t="s">
        <v>573</v>
      </c>
      <c r="G602" s="261" t="s">
        <v>276</v>
      </c>
      <c r="H602" s="56"/>
      <c r="I602" s="48"/>
      <c r="J602" s="261" t="s">
        <v>277</v>
      </c>
      <c r="K602" s="133" t="s">
        <v>151</v>
      </c>
      <c r="L602" s="233">
        <v>7.91183E8</v>
      </c>
    </row>
    <row r="603" ht="27.0" customHeight="1">
      <c r="A603" s="18"/>
      <c r="B603" s="184" t="s">
        <v>578</v>
      </c>
      <c r="C603" s="155">
        <v>-1400000.0</v>
      </c>
      <c r="D603" s="192"/>
      <c r="E603" s="18"/>
      <c r="G603" s="18"/>
      <c r="H603" s="56"/>
      <c r="I603" s="122"/>
      <c r="J603" s="18"/>
      <c r="K603" s="129"/>
      <c r="L603" s="48"/>
    </row>
    <row r="604" ht="27.0" customHeight="1">
      <c r="A604" s="18"/>
      <c r="B604" s="184" t="s">
        <v>579</v>
      </c>
      <c r="C604" s="155">
        <v>-150000.0</v>
      </c>
      <c r="D604" s="192"/>
      <c r="E604" s="18"/>
      <c r="G604" s="18"/>
      <c r="H604" s="56"/>
      <c r="I604" s="122"/>
      <c r="J604" s="18"/>
      <c r="K604" s="129"/>
      <c r="L604" s="48"/>
    </row>
    <row r="605" ht="27.0" customHeight="1">
      <c r="A605" s="18"/>
      <c r="B605" s="354" t="s">
        <v>57</v>
      </c>
      <c r="C605" s="155">
        <f>sum(40503000-45000)</f>
        <v>40458000</v>
      </c>
      <c r="D605" s="455" t="s">
        <v>580</v>
      </c>
      <c r="E605" s="18"/>
      <c r="F605" s="134" t="s">
        <v>581</v>
      </c>
      <c r="G605" s="18"/>
      <c r="H605" s="56"/>
      <c r="I605" s="122"/>
      <c r="J605" s="18"/>
      <c r="K605" s="268" t="s">
        <v>279</v>
      </c>
      <c r="L605" s="120">
        <f>-4000000-3500000-6750000</f>
        <v>-14250000</v>
      </c>
    </row>
    <row r="606" ht="27.0" customHeight="1">
      <c r="A606" s="18"/>
      <c r="B606" s="157"/>
      <c r="C606" s="157"/>
      <c r="D606" s="157"/>
      <c r="E606" s="18"/>
      <c r="G606" s="18"/>
      <c r="H606" s="129" t="s">
        <v>228</v>
      </c>
      <c r="I606" s="48">
        <f>46972000+55721000+48467500</f>
        <v>151160500</v>
      </c>
      <c r="J606" s="18"/>
      <c r="K606" s="22"/>
      <c r="L606" s="22"/>
    </row>
    <row r="607" ht="27.0" customHeight="1">
      <c r="A607" s="22"/>
      <c r="B607" s="129"/>
      <c r="C607" s="110"/>
      <c r="D607" s="115"/>
      <c r="E607" s="22"/>
      <c r="G607" s="18"/>
      <c r="H607" s="129" t="s">
        <v>278</v>
      </c>
      <c r="I607" s="115">
        <v>3.80105E7</v>
      </c>
      <c r="J607" s="18"/>
      <c r="K607" s="56"/>
      <c r="L607" s="122"/>
    </row>
    <row r="608" ht="27.0" customHeight="1">
      <c r="A608" s="375" t="s">
        <v>367</v>
      </c>
      <c r="B608" s="129" t="s">
        <v>537</v>
      </c>
      <c r="C608" s="110">
        <v>1.008995E8</v>
      </c>
      <c r="D608" s="192"/>
      <c r="E608" s="368">
        <f>sum(C614:C615)</f>
        <v>228500500</v>
      </c>
      <c r="G608" s="22"/>
      <c r="H608" s="56"/>
      <c r="I608" s="48"/>
      <c r="J608" s="22"/>
      <c r="K608" s="56" t="s">
        <v>99</v>
      </c>
      <c r="L608" s="122">
        <f>SUM(L602:L606)</f>
        <v>776933000</v>
      </c>
    </row>
    <row r="609" ht="27.0" customHeight="1">
      <c r="A609" s="18"/>
      <c r="B609" s="354" t="s">
        <v>272</v>
      </c>
      <c r="C609" s="110">
        <v>4.38455E7</v>
      </c>
      <c r="D609" s="192"/>
      <c r="E609" s="18"/>
      <c r="G609" s="261" t="s">
        <v>281</v>
      </c>
      <c r="H609" s="56"/>
      <c r="I609" s="122"/>
    </row>
    <row r="610" ht="27.0" customHeight="1">
      <c r="A610" s="18"/>
      <c r="B610" s="185" t="s">
        <v>582</v>
      </c>
      <c r="C610" s="110">
        <v>-300000.0</v>
      </c>
      <c r="E610" s="18"/>
      <c r="G610" s="18"/>
      <c r="H610" s="56"/>
      <c r="I610" s="122"/>
    </row>
    <row r="611" ht="27.0" customHeight="1">
      <c r="A611" s="18"/>
      <c r="B611" s="451" t="s">
        <v>53</v>
      </c>
      <c r="C611" s="110">
        <v>5.9517E7</v>
      </c>
      <c r="D611" s="192"/>
      <c r="E611" s="18"/>
      <c r="F611" s="134" t="s">
        <v>573</v>
      </c>
      <c r="G611" s="18"/>
      <c r="H611" s="56" t="s">
        <v>99</v>
      </c>
      <c r="I611" s="122">
        <f>SUM(I606:I608)</f>
        <v>189171000</v>
      </c>
    </row>
    <row r="612" ht="27.0" customHeight="1">
      <c r="A612" s="18"/>
      <c r="B612" s="184" t="s">
        <v>538</v>
      </c>
      <c r="C612" s="110">
        <v>-1.008995E8</v>
      </c>
      <c r="D612" s="157"/>
      <c r="E612" s="18"/>
      <c r="G612" s="18"/>
      <c r="H612" s="133"/>
      <c r="I612" s="233"/>
    </row>
    <row r="613" ht="27.0" customHeight="1">
      <c r="A613" s="18"/>
      <c r="B613" s="184" t="s">
        <v>538</v>
      </c>
      <c r="C613" s="110">
        <v>-1.03062E8</v>
      </c>
      <c r="D613" s="157"/>
      <c r="E613" s="18"/>
      <c r="G613" s="18"/>
      <c r="H613" s="133"/>
      <c r="I613" s="233"/>
    </row>
    <row r="614" ht="27.0" customHeight="1">
      <c r="A614" s="18"/>
      <c r="B614" s="354" t="s">
        <v>55</v>
      </c>
      <c r="C614" s="110">
        <f>SUM(49936000-300000)</f>
        <v>49636000</v>
      </c>
      <c r="D614" s="456" t="s">
        <v>583</v>
      </c>
      <c r="E614" s="18"/>
      <c r="G614" s="18"/>
      <c r="H614" s="133"/>
      <c r="I614" s="233"/>
    </row>
    <row r="615" ht="27.0" customHeight="1">
      <c r="A615" s="22"/>
      <c r="B615" s="354" t="s">
        <v>57</v>
      </c>
      <c r="C615" s="110">
        <v>1.788645E8</v>
      </c>
      <c r="E615" s="22"/>
      <c r="F615" s="433" t="s">
        <v>584</v>
      </c>
      <c r="G615" s="18"/>
      <c r="H615" s="133" t="s">
        <v>151</v>
      </c>
      <c r="I615" s="233">
        <v>1.296402E9</v>
      </c>
    </row>
    <row r="616" ht="27.0" customHeight="1">
      <c r="A616" s="366" t="s">
        <v>202</v>
      </c>
      <c r="B616" s="285" t="s">
        <v>537</v>
      </c>
      <c r="C616" s="198">
        <v>8.9374E7</v>
      </c>
      <c r="D616" s="192"/>
      <c r="E616" s="367">
        <f>SUM(C616:C624)</f>
        <v>118391000</v>
      </c>
      <c r="G616" s="22"/>
      <c r="H616" s="56"/>
      <c r="I616" s="122"/>
    </row>
    <row r="617" ht="27.0" customHeight="1">
      <c r="A617" s="18"/>
      <c r="B617" s="354" t="s">
        <v>272</v>
      </c>
      <c r="C617" s="110">
        <v>4.71155E7</v>
      </c>
      <c r="D617" s="192"/>
      <c r="E617" s="18"/>
      <c r="F617" s="377"/>
      <c r="G617" s="379"/>
      <c r="H617" s="56" t="s">
        <v>99</v>
      </c>
      <c r="I617" s="122">
        <f>SUM(I615)</f>
        <v>1296402000</v>
      </c>
    </row>
    <row r="618" ht="27.75" customHeight="1">
      <c r="A618" s="18"/>
      <c r="B618" s="451" t="s">
        <v>53</v>
      </c>
      <c r="C618" s="110">
        <v>5.9029E7</v>
      </c>
      <c r="D618" s="157"/>
      <c r="E618" s="18"/>
      <c r="F618" s="377"/>
      <c r="G618" s="89"/>
      <c r="H618" s="133" t="s">
        <v>151</v>
      </c>
      <c r="I618" s="233">
        <v>1.434371E9</v>
      </c>
    </row>
    <row r="619" ht="28.5" customHeight="1">
      <c r="A619" s="18"/>
      <c r="B619" s="354" t="s">
        <v>55</v>
      </c>
      <c r="C619" s="110">
        <f>sum(49896500-505000)</f>
        <v>49391500</v>
      </c>
      <c r="D619" s="457" t="s">
        <v>585</v>
      </c>
      <c r="E619" s="18"/>
      <c r="F619" s="377"/>
      <c r="G619" s="382"/>
      <c r="H619" s="56" t="s">
        <v>99</v>
      </c>
      <c r="I619" s="122">
        <f>SUM(I618)</f>
        <v>1434371000</v>
      </c>
    </row>
    <row r="620" ht="27.0" customHeight="1">
      <c r="A620" s="18"/>
      <c r="B620" s="184" t="s">
        <v>539</v>
      </c>
      <c r="C620" s="110">
        <v>-1.0E8</v>
      </c>
      <c r="D620" s="157"/>
      <c r="E620" s="18"/>
      <c r="G620" s="382"/>
      <c r="H620" s="30"/>
      <c r="I620" s="48"/>
    </row>
    <row r="621" ht="27.0" customHeight="1">
      <c r="A621" s="18"/>
      <c r="B621" s="354" t="s">
        <v>57</v>
      </c>
      <c r="C621" s="110">
        <v>7.4661E7</v>
      </c>
      <c r="E621" s="18"/>
      <c r="G621" s="382"/>
      <c r="H621" s="30"/>
      <c r="I621" s="48"/>
    </row>
    <row r="622" ht="27.0" customHeight="1">
      <c r="A622" s="18"/>
      <c r="B622" s="192" t="s">
        <v>586</v>
      </c>
      <c r="C622" s="110">
        <v>-210000.0</v>
      </c>
      <c r="D622" s="157"/>
      <c r="E622" s="18"/>
      <c r="F622" s="134" t="s">
        <v>587</v>
      </c>
      <c r="G622" s="143"/>
      <c r="H622" s="30"/>
      <c r="I622" s="48"/>
    </row>
    <row r="623" ht="27.0" customHeight="1">
      <c r="A623" s="18"/>
      <c r="B623" s="192" t="s">
        <v>588</v>
      </c>
      <c r="C623" s="110">
        <v>-970000.0</v>
      </c>
      <c r="D623" s="169"/>
      <c r="E623" s="18"/>
      <c r="G623" s="143"/>
      <c r="H623" s="30"/>
      <c r="I623" s="48"/>
    </row>
    <row r="624" ht="27.0" customHeight="1">
      <c r="A624" s="22"/>
      <c r="B624" s="184" t="s">
        <v>589</v>
      </c>
      <c r="C624" s="110">
        <v>-1.0E8</v>
      </c>
      <c r="D624" s="157"/>
      <c r="E624" s="22"/>
      <c r="G624" s="143"/>
      <c r="H624" s="30"/>
      <c r="I624" s="48"/>
    </row>
    <row r="625" ht="27.0" customHeight="1">
      <c r="A625" s="366" t="s">
        <v>205</v>
      </c>
      <c r="B625" s="192" t="s">
        <v>590</v>
      </c>
      <c r="C625" s="110">
        <v>2.60805E7</v>
      </c>
      <c r="D625" s="115" t="s">
        <v>7</v>
      </c>
      <c r="E625" s="368">
        <f>sum(C629)</f>
        <v>80792600</v>
      </c>
      <c r="G625" s="143"/>
      <c r="H625" s="30"/>
      <c r="I625" s="48"/>
    </row>
    <row r="626" ht="27.0" customHeight="1">
      <c r="A626" s="18"/>
      <c r="B626" s="129" t="s">
        <v>51</v>
      </c>
      <c r="C626" s="110">
        <v>0.0</v>
      </c>
      <c r="D626" s="115"/>
      <c r="E626" s="18"/>
      <c r="G626" s="143"/>
      <c r="H626" s="30"/>
      <c r="I626" s="48"/>
    </row>
    <row r="627" ht="25.5" customHeight="1">
      <c r="A627" s="18"/>
      <c r="B627" s="129" t="s">
        <v>53</v>
      </c>
      <c r="C627" s="110">
        <v>2.77695E7</v>
      </c>
      <c r="D627" s="192" t="s">
        <v>7</v>
      </c>
      <c r="E627" s="18"/>
      <c r="F627" s="272"/>
      <c r="G627" s="135"/>
      <c r="H627" s="30"/>
      <c r="I627" s="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</row>
    <row r="628" ht="25.5" customHeight="1">
      <c r="A628" s="18"/>
      <c r="B628" s="129" t="s">
        <v>55</v>
      </c>
      <c r="C628" s="110">
        <v>3.07879E7</v>
      </c>
      <c r="D628" s="192" t="s">
        <v>7</v>
      </c>
      <c r="E628" s="18"/>
      <c r="F628" s="272" t="s">
        <v>289</v>
      </c>
      <c r="G628" s="18"/>
      <c r="H628" s="30" t="s">
        <v>135</v>
      </c>
      <c r="I628" s="48">
        <v>4.15701E7</v>
      </c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</row>
    <row r="629" ht="25.5" customHeight="1">
      <c r="A629" s="22"/>
      <c r="B629" s="129" t="s">
        <v>57</v>
      </c>
      <c r="C629" s="155">
        <f>sum(81042600-250000)</f>
        <v>80792600</v>
      </c>
      <c r="D629" s="437" t="s">
        <v>591</v>
      </c>
      <c r="E629" s="22"/>
      <c r="F629" s="148"/>
      <c r="G629" s="22"/>
      <c r="H629" s="30" t="s">
        <v>137</v>
      </c>
      <c r="I629" s="48">
        <v>7.24998E7</v>
      </c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</row>
    <row r="630" ht="25.5" customHeight="1">
      <c r="A630" s="375" t="s">
        <v>290</v>
      </c>
      <c r="B630" s="129" t="s">
        <v>55</v>
      </c>
      <c r="C630" s="110">
        <f>sum(65408500-48000-55858000)</f>
        <v>9502500</v>
      </c>
      <c r="E630" s="367">
        <f>SUM(C630:C634)</f>
        <v>154928000</v>
      </c>
      <c r="F630" s="148"/>
      <c r="H630" s="30" t="s">
        <v>206</v>
      </c>
      <c r="I630" s="48">
        <f>-720000-100000-223000</f>
        <v>-1043000</v>
      </c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</row>
    <row r="631" ht="24.0" customHeight="1">
      <c r="A631" s="18"/>
      <c r="B631" s="129" t="s">
        <v>57</v>
      </c>
      <c r="C631" s="110">
        <v>1.454255E8</v>
      </c>
      <c r="D631" s="446"/>
      <c r="E631" s="18"/>
      <c r="H631" s="56" t="s">
        <v>99</v>
      </c>
      <c r="I631" s="122">
        <f>SUM(I628:I630)</f>
        <v>113026900</v>
      </c>
    </row>
    <row r="632" ht="26.25" customHeight="1">
      <c r="A632" s="18"/>
      <c r="B632" s="157"/>
      <c r="C632" s="157"/>
      <c r="D632" s="169"/>
      <c r="E632" s="18"/>
      <c r="F632" s="190"/>
      <c r="H632" s="134"/>
    </row>
    <row r="633" ht="26.25" customHeight="1">
      <c r="A633" s="18"/>
      <c r="B633" s="129"/>
      <c r="C633" s="157"/>
      <c r="D633" s="110"/>
      <c r="E633" s="18"/>
      <c r="F633" s="190"/>
      <c r="H633" s="134"/>
    </row>
    <row r="634" ht="26.25" customHeight="1">
      <c r="A634" s="18"/>
      <c r="B634" s="157"/>
      <c r="C634" s="157"/>
      <c r="D634" s="157"/>
      <c r="E634" s="18"/>
      <c r="F634" s="190"/>
      <c r="H634" s="134"/>
    </row>
    <row r="635" ht="26.25" customHeight="1">
      <c r="A635" s="22"/>
      <c r="B635" s="157"/>
      <c r="C635" s="157"/>
      <c r="D635" s="115"/>
      <c r="E635" s="22"/>
      <c r="F635" s="190"/>
      <c r="H635" s="134"/>
    </row>
    <row r="636" ht="26.25" customHeight="1">
      <c r="A636" s="434" t="s">
        <v>292</v>
      </c>
      <c r="B636" s="129" t="s">
        <v>88</v>
      </c>
      <c r="C636" s="110">
        <v>8.9265E7</v>
      </c>
      <c r="D636" s="115" t="s">
        <v>7</v>
      </c>
      <c r="E636" s="458">
        <f>C639</f>
        <v>175375000</v>
      </c>
      <c r="F636" s="190"/>
      <c r="H636" s="134">
        <v>221045.0</v>
      </c>
    </row>
    <row r="637" ht="24.0" customHeight="1">
      <c r="A637" s="18"/>
      <c r="B637" s="129" t="s">
        <v>219</v>
      </c>
      <c r="C637" s="110">
        <v>4.7957E7</v>
      </c>
      <c r="D637" s="115" t="s">
        <v>7</v>
      </c>
      <c r="E637" s="18"/>
    </row>
    <row r="638" ht="24.0" customHeight="1">
      <c r="A638" s="18"/>
      <c r="B638" s="129" t="s">
        <v>89</v>
      </c>
      <c r="C638" s="110">
        <v>5.9122E7</v>
      </c>
      <c r="D638" s="115" t="s">
        <v>7</v>
      </c>
      <c r="E638" s="18"/>
      <c r="G638" s="386"/>
    </row>
    <row r="639" ht="24.0" customHeight="1">
      <c r="A639" s="22"/>
      <c r="B639" s="129" t="s">
        <v>220</v>
      </c>
      <c r="C639" s="110">
        <v>1.75375E8</v>
      </c>
      <c r="D639" s="115"/>
      <c r="E639" s="22"/>
      <c r="G639" s="386"/>
    </row>
    <row r="640" ht="24.0" customHeight="1">
      <c r="A640" s="434" t="s">
        <v>296</v>
      </c>
      <c r="B640" s="129" t="s">
        <v>423</v>
      </c>
      <c r="C640" s="110">
        <v>7.7791E7</v>
      </c>
      <c r="D640" s="115" t="s">
        <v>7</v>
      </c>
      <c r="E640" s="458">
        <f>C644</f>
        <v>41895000</v>
      </c>
    </row>
    <row r="641" ht="24.0" customHeight="1">
      <c r="A641" s="18"/>
      <c r="B641" s="129" t="s">
        <v>88</v>
      </c>
      <c r="C641" s="110">
        <v>0.0</v>
      </c>
      <c r="D641" s="115" t="s">
        <v>7</v>
      </c>
      <c r="E641" s="18"/>
    </row>
    <row r="642" ht="24.0" customHeight="1">
      <c r="A642" s="18"/>
      <c r="B642" s="129" t="s">
        <v>219</v>
      </c>
      <c r="C642" s="110">
        <v>5.8265E7</v>
      </c>
      <c r="D642" s="115" t="s">
        <v>7</v>
      </c>
      <c r="E642" s="18"/>
    </row>
    <row r="643" ht="24.0" customHeight="1">
      <c r="A643" s="18"/>
      <c r="B643" s="129" t="s">
        <v>89</v>
      </c>
      <c r="C643" s="110">
        <v>4.2088E7</v>
      </c>
      <c r="D643" s="115" t="s">
        <v>7</v>
      </c>
      <c r="E643" s="18"/>
    </row>
    <row r="644" ht="23.25" customHeight="1">
      <c r="A644" s="22"/>
      <c r="B644" s="129" t="s">
        <v>220</v>
      </c>
      <c r="C644" s="110">
        <v>4.1895E7</v>
      </c>
      <c r="D644" s="115"/>
      <c r="E644" s="22"/>
    </row>
    <row r="645" ht="23.25" customHeight="1">
      <c r="A645" s="434" t="s">
        <v>293</v>
      </c>
      <c r="B645" s="129" t="s">
        <v>88</v>
      </c>
      <c r="C645" s="110">
        <v>3.16825E7</v>
      </c>
      <c r="D645" s="115"/>
      <c r="E645" s="458">
        <f>C647</f>
        <v>37327500</v>
      </c>
    </row>
    <row r="646" ht="23.25" customHeight="1">
      <c r="A646" s="18"/>
      <c r="B646" s="129" t="s">
        <v>592</v>
      </c>
      <c r="C646" s="110">
        <v>-1250000.0</v>
      </c>
      <c r="D646" s="190"/>
      <c r="E646" s="18"/>
    </row>
    <row r="647" ht="23.25" customHeight="1">
      <c r="A647" s="18"/>
      <c r="B647" s="129" t="s">
        <v>219</v>
      </c>
      <c r="C647" s="110">
        <v>3.73275E7</v>
      </c>
      <c r="D647" s="115"/>
      <c r="E647" s="18"/>
    </row>
    <row r="648" ht="23.25" customHeight="1">
      <c r="A648" s="22"/>
      <c r="B648" s="129" t="s">
        <v>423</v>
      </c>
      <c r="C648" s="110">
        <v>2.86975E7</v>
      </c>
      <c r="D648" s="115"/>
      <c r="E648" s="22"/>
      <c r="G648" s="8"/>
    </row>
    <row r="649" ht="23.25" customHeight="1">
      <c r="A649" s="435" t="s">
        <v>207</v>
      </c>
      <c r="B649" s="129" t="s">
        <v>423</v>
      </c>
      <c r="C649" s="110">
        <v>2.2565E7</v>
      </c>
      <c r="D649" s="115" t="s">
        <v>7</v>
      </c>
      <c r="E649" s="458">
        <f>SUM(C649:C652)</f>
        <v>53565000</v>
      </c>
      <c r="G649" s="8"/>
      <c r="H649" s="53"/>
      <c r="I649" s="273"/>
    </row>
    <row r="650" ht="23.25" customHeight="1">
      <c r="A650" s="18"/>
      <c r="B650" s="129" t="s">
        <v>88</v>
      </c>
      <c r="C650" s="110">
        <v>0.0</v>
      </c>
      <c r="D650" s="115" t="s">
        <v>7</v>
      </c>
      <c r="E650" s="18"/>
      <c r="F650" s="134" t="s">
        <v>297</v>
      </c>
      <c r="G650" s="8"/>
      <c r="H650" s="53"/>
      <c r="I650" s="273"/>
    </row>
    <row r="651" ht="23.25" customHeight="1">
      <c r="A651" s="18"/>
      <c r="B651" s="129" t="s">
        <v>219</v>
      </c>
      <c r="C651" s="110">
        <v>1.577E7</v>
      </c>
      <c r="D651" s="115" t="s">
        <v>7</v>
      </c>
      <c r="E651" s="18"/>
      <c r="G651" s="8"/>
      <c r="H651" s="53"/>
      <c r="I651" s="273"/>
    </row>
    <row r="652" ht="23.25" customHeight="1">
      <c r="A652" s="18"/>
      <c r="B652" s="129" t="s">
        <v>89</v>
      </c>
      <c r="C652" s="110">
        <v>1.523E7</v>
      </c>
      <c r="D652" s="115" t="s">
        <v>7</v>
      </c>
      <c r="E652" s="18"/>
      <c r="G652" s="8"/>
      <c r="H652" s="53"/>
      <c r="I652" s="273"/>
    </row>
    <row r="653" ht="23.25" customHeight="1">
      <c r="A653" s="22"/>
      <c r="B653" s="129" t="s">
        <v>220</v>
      </c>
      <c r="C653" s="110">
        <v>2.3565E7</v>
      </c>
      <c r="D653" s="192"/>
      <c r="E653" s="22"/>
      <c r="G653" s="436"/>
      <c r="H653" s="53"/>
      <c r="I653" s="273"/>
    </row>
    <row r="654" ht="23.25" customHeight="1">
      <c r="A654" s="435" t="s">
        <v>211</v>
      </c>
      <c r="B654" s="129" t="s">
        <v>88</v>
      </c>
      <c r="C654" s="110">
        <f>28543000-9045700</f>
        <v>19497300</v>
      </c>
      <c r="D654" s="192"/>
      <c r="E654" s="458">
        <f>SUM(C654:C657)</f>
        <v>182742800</v>
      </c>
      <c r="G654" s="261" t="s">
        <v>503</v>
      </c>
      <c r="H654" s="30" t="s">
        <v>151</v>
      </c>
      <c r="I654" s="115">
        <v>4.41409E8</v>
      </c>
    </row>
    <row r="655" ht="23.25" customHeight="1">
      <c r="A655" s="18"/>
      <c r="B655" s="129" t="s">
        <v>219</v>
      </c>
      <c r="C655" s="110">
        <v>5.3535E7</v>
      </c>
      <c r="D655" s="192"/>
      <c r="E655" s="18"/>
      <c r="G655" s="18"/>
      <c r="H655" s="173" t="s">
        <v>504</v>
      </c>
      <c r="I655" s="115">
        <v>-4700000.0</v>
      </c>
    </row>
    <row r="656" ht="23.25" customHeight="1">
      <c r="A656" s="18"/>
      <c r="B656" s="129" t="s">
        <v>89</v>
      </c>
      <c r="C656" s="110">
        <v>4.85385E7</v>
      </c>
      <c r="D656" s="192"/>
      <c r="E656" s="18"/>
      <c r="G656" s="18"/>
      <c r="H656" s="173" t="s">
        <v>505</v>
      </c>
      <c r="I656" s="115">
        <v>-8.6709E7</v>
      </c>
    </row>
    <row r="657" ht="23.25" customHeight="1">
      <c r="A657" s="22"/>
      <c r="B657" s="129" t="s">
        <v>220</v>
      </c>
      <c r="C657" s="110">
        <v>6.1172E7</v>
      </c>
      <c r="D657" s="115"/>
      <c r="E657" s="22"/>
      <c r="F657" s="127" t="str">
        <f>SUM( 50000000-#REF!-C655)</f>
        <v>#REF!</v>
      </c>
      <c r="G657" s="22"/>
      <c r="H657" s="56" t="s">
        <v>99</v>
      </c>
      <c r="I657" s="122">
        <f>SUM(I654:I656)</f>
        <v>350000000</v>
      </c>
    </row>
    <row r="658" ht="23.25" customHeight="1">
      <c r="A658" s="434" t="s">
        <v>302</v>
      </c>
      <c r="B658" s="129" t="s">
        <v>423</v>
      </c>
      <c r="C658" s="110">
        <v>3.2975E7</v>
      </c>
      <c r="D658" s="115"/>
      <c r="E658" s="458">
        <f>SUM(C658:C662)</f>
        <v>111883000</v>
      </c>
      <c r="G658" s="261" t="s">
        <v>303</v>
      </c>
      <c r="H658" s="30" t="s">
        <v>151</v>
      </c>
      <c r="I658" s="115">
        <v>4.41409E8</v>
      </c>
    </row>
    <row r="659" ht="23.25" customHeight="1">
      <c r="A659" s="18"/>
      <c r="B659" s="129" t="s">
        <v>88</v>
      </c>
      <c r="C659" s="110">
        <v>1.883E7</v>
      </c>
      <c r="D659" s="115"/>
      <c r="E659" s="18"/>
      <c r="G659" s="18"/>
      <c r="H659" s="173" t="s">
        <v>504</v>
      </c>
      <c r="I659" s="115">
        <v>-4700000.0</v>
      </c>
    </row>
    <row r="660" ht="23.25" customHeight="1">
      <c r="A660" s="18"/>
      <c r="B660" s="129" t="s">
        <v>219</v>
      </c>
      <c r="C660" s="110">
        <v>2.042E7</v>
      </c>
      <c r="D660" s="115"/>
      <c r="E660" s="18"/>
      <c r="G660" s="18"/>
      <c r="H660" s="173" t="s">
        <v>505</v>
      </c>
      <c r="I660" s="115">
        <v>-8.6709E7</v>
      </c>
    </row>
    <row r="661" ht="24.0" customHeight="1">
      <c r="A661" s="18"/>
      <c r="B661" s="129" t="s">
        <v>89</v>
      </c>
      <c r="C661" s="110">
        <v>1.878E7</v>
      </c>
      <c r="D661" s="48"/>
      <c r="E661" s="18"/>
      <c r="G661" s="22"/>
      <c r="H661" s="56" t="s">
        <v>99</v>
      </c>
      <c r="I661" s="122">
        <f>SUM(I658:I660)</f>
        <v>350000000</v>
      </c>
    </row>
    <row r="662" ht="24.0" customHeight="1">
      <c r="A662" s="22"/>
      <c r="B662" s="129" t="s">
        <v>220</v>
      </c>
      <c r="C662" s="110">
        <v>2.0878E7</v>
      </c>
      <c r="D662" s="48"/>
      <c r="E662" s="22"/>
    </row>
    <row r="663" ht="24.0" customHeight="1">
      <c r="A663" s="435" t="s">
        <v>215</v>
      </c>
      <c r="B663" s="129" t="s">
        <v>423</v>
      </c>
      <c r="C663" s="110">
        <v>1.1115E7</v>
      </c>
      <c r="D663" s="192" t="s">
        <v>7</v>
      </c>
      <c r="E663" s="458">
        <f>SUM(C666:C667)</f>
        <v>34060900</v>
      </c>
      <c r="F663" s="110"/>
    </row>
    <row r="664" ht="24.0" customHeight="1">
      <c r="A664" s="18"/>
      <c r="B664" s="129" t="s">
        <v>88</v>
      </c>
      <c r="C664" s="110">
        <v>1.99336E7</v>
      </c>
      <c r="D664" s="169" t="s">
        <v>7</v>
      </c>
      <c r="E664" s="18"/>
    </row>
    <row r="665" ht="24.0" customHeight="1">
      <c r="A665" s="18"/>
      <c r="B665" s="129" t="s">
        <v>219</v>
      </c>
      <c r="C665" s="110">
        <v>4741000.0</v>
      </c>
      <c r="D665" s="115" t="s">
        <v>7</v>
      </c>
      <c r="E665" s="18"/>
      <c r="F665" s="273"/>
    </row>
    <row r="666" ht="24.75" customHeight="1">
      <c r="A666" s="18"/>
      <c r="B666" s="129" t="s">
        <v>89</v>
      </c>
      <c r="C666" s="110">
        <v>3845000.0</v>
      </c>
      <c r="D666" s="115"/>
      <c r="E666" s="18"/>
      <c r="F666" s="134" t="s">
        <v>509</v>
      </c>
    </row>
    <row r="667" ht="24.75" customHeight="1">
      <c r="A667" s="22"/>
      <c r="B667" s="129" t="s">
        <v>220</v>
      </c>
      <c r="C667" s="110">
        <v>3.02159E7</v>
      </c>
      <c r="D667" s="192"/>
      <c r="E667" s="22"/>
    </row>
    <row r="668" ht="24.75" customHeight="1">
      <c r="A668" s="435" t="s">
        <v>216</v>
      </c>
      <c r="B668" s="129" t="s">
        <v>88</v>
      </c>
      <c r="C668" s="110">
        <v>5.94255E7</v>
      </c>
      <c r="D668" s="192" t="s">
        <v>7</v>
      </c>
      <c r="E668" s="458">
        <f>C671</f>
        <v>98489500</v>
      </c>
    </row>
    <row r="669" ht="24.0" customHeight="1">
      <c r="A669" s="18"/>
      <c r="B669" s="129" t="s">
        <v>219</v>
      </c>
      <c r="C669" s="110">
        <v>6.3632E7</v>
      </c>
      <c r="D669" s="192" t="s">
        <v>7</v>
      </c>
      <c r="E669" s="18"/>
      <c r="H669" s="127">
        <f>273076-1599629</f>
        <v>-1326553</v>
      </c>
    </row>
    <row r="670" ht="24.0" customHeight="1">
      <c r="A670" s="18"/>
      <c r="B670" s="129" t="s">
        <v>89</v>
      </c>
      <c r="C670" s="110">
        <v>4.12075E7</v>
      </c>
      <c r="D670" s="115" t="s">
        <v>7</v>
      </c>
      <c r="E670" s="18"/>
    </row>
    <row r="671" ht="21.75" customHeight="1">
      <c r="A671" s="22"/>
      <c r="B671" s="129" t="s">
        <v>220</v>
      </c>
      <c r="C671" s="110">
        <v>9.84895E7</v>
      </c>
      <c r="D671" s="190"/>
      <c r="E671" s="22"/>
    </row>
    <row r="672" ht="24.75" customHeight="1">
      <c r="A672" s="434" t="s">
        <v>510</v>
      </c>
      <c r="B672" s="129" t="s">
        <v>88</v>
      </c>
      <c r="C672" s="110">
        <v>1.5042E7</v>
      </c>
      <c r="D672" s="192" t="s">
        <v>7</v>
      </c>
      <c r="E672" s="459">
        <f>C675</f>
        <v>64739500</v>
      </c>
    </row>
    <row r="673" ht="24.75" customHeight="1">
      <c r="A673" s="18"/>
      <c r="B673" s="129" t="s">
        <v>219</v>
      </c>
      <c r="C673" s="110">
        <v>3.2496E7</v>
      </c>
      <c r="D673" s="190" t="s">
        <v>7</v>
      </c>
      <c r="E673" s="18"/>
    </row>
    <row r="674" ht="24.75" customHeight="1">
      <c r="A674" s="18"/>
      <c r="B674" s="129" t="s">
        <v>89</v>
      </c>
      <c r="C674" s="110">
        <v>1.96675E7</v>
      </c>
      <c r="D674" s="115" t="s">
        <v>7</v>
      </c>
      <c r="E674" s="18"/>
    </row>
    <row r="675" ht="22.5" customHeight="1">
      <c r="A675" s="22"/>
      <c r="B675" s="129" t="s">
        <v>220</v>
      </c>
      <c r="C675" s="110">
        <v>6.47395E7</v>
      </c>
      <c r="D675" s="157"/>
      <c r="E675" s="22"/>
    </row>
    <row r="676" ht="22.5" customHeight="1">
      <c r="A676" s="434" t="s">
        <v>513</v>
      </c>
      <c r="B676" s="129" t="s">
        <v>88</v>
      </c>
      <c r="C676" s="110">
        <v>1.001799E8</v>
      </c>
      <c r="D676" s="157"/>
      <c r="E676" s="459">
        <f>SUM(C676:C679)-600000</f>
        <v>350242900</v>
      </c>
    </row>
    <row r="677" ht="22.5" customHeight="1">
      <c r="A677" s="18"/>
      <c r="B677" s="129" t="s">
        <v>219</v>
      </c>
      <c r="C677" s="110">
        <v>5.1507E7</v>
      </c>
      <c r="D677" s="157"/>
      <c r="E677" s="18"/>
    </row>
    <row r="678" ht="22.5" customHeight="1">
      <c r="A678" s="18"/>
      <c r="B678" s="129" t="s">
        <v>89</v>
      </c>
      <c r="C678" s="110">
        <v>7.23825E7</v>
      </c>
      <c r="D678" s="157"/>
      <c r="E678" s="18"/>
    </row>
    <row r="679" ht="22.5" customHeight="1">
      <c r="A679" s="22"/>
      <c r="B679" s="129" t="s">
        <v>220</v>
      </c>
      <c r="C679" s="110">
        <v>1.267735E8</v>
      </c>
      <c r="D679" s="437"/>
      <c r="E679" s="22"/>
    </row>
    <row r="680" ht="27.0" customHeight="1">
      <c r="A680" s="434" t="s">
        <v>518</v>
      </c>
      <c r="B680" s="129" t="s">
        <v>88</v>
      </c>
      <c r="C680" s="110">
        <v>5.3168E7</v>
      </c>
      <c r="D680" s="115"/>
      <c r="E680" s="458">
        <f>SUM(C680:C684)</f>
        <v>287987000</v>
      </c>
    </row>
    <row r="681" ht="27.0" customHeight="1">
      <c r="A681" s="18"/>
      <c r="B681" s="129" t="s">
        <v>219</v>
      </c>
      <c r="C681" s="110">
        <v>7.47615E7</v>
      </c>
      <c r="D681" s="387"/>
      <c r="E681" s="18"/>
    </row>
    <row r="682" ht="27.0" customHeight="1">
      <c r="A682" s="18"/>
      <c r="B682" s="129" t="s">
        <v>89</v>
      </c>
      <c r="C682" s="110">
        <v>7.45725E7</v>
      </c>
      <c r="D682" s="192"/>
      <c r="E682" s="18"/>
    </row>
    <row r="683" ht="25.5" customHeight="1">
      <c r="A683" s="18"/>
      <c r="B683" s="129" t="s">
        <v>593</v>
      </c>
      <c r="C683" s="110"/>
      <c r="D683" s="192"/>
      <c r="E683" s="18"/>
    </row>
    <row r="684" ht="25.5" customHeight="1">
      <c r="A684" s="22"/>
      <c r="B684" s="129" t="s">
        <v>220</v>
      </c>
      <c r="C684" s="110">
        <v>8.5485E7</v>
      </c>
      <c r="D684" s="192"/>
      <c r="E684" s="22"/>
    </row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>
      <c r="D751" s="2"/>
      <c r="E751" s="1"/>
    </row>
    <row r="752" ht="15.75" customHeight="1">
      <c r="D752" s="2"/>
      <c r="E752" s="1"/>
    </row>
    <row r="753" ht="15.75" customHeight="1">
      <c r="D753" s="2"/>
      <c r="E753" s="1"/>
    </row>
    <row r="754" ht="15.75" customHeight="1">
      <c r="D754" s="2"/>
      <c r="E754" s="1"/>
    </row>
    <row r="755" ht="15.75" customHeight="1">
      <c r="D755" s="2"/>
      <c r="E755" s="1"/>
    </row>
    <row r="756" ht="15.75" customHeight="1">
      <c r="D756" s="2"/>
      <c r="E756" s="1"/>
    </row>
    <row r="757" ht="15.75" customHeight="1">
      <c r="D757" s="2"/>
      <c r="E757" s="1"/>
    </row>
    <row r="758" ht="15.75" customHeight="1">
      <c r="D758" s="2"/>
      <c r="E758" s="1"/>
    </row>
    <row r="759" ht="15.75" customHeight="1">
      <c r="D759" s="2"/>
      <c r="E759" s="1"/>
    </row>
    <row r="760" ht="15.75" customHeight="1">
      <c r="D760" s="2"/>
      <c r="E760" s="1"/>
    </row>
    <row r="761" ht="15.75" customHeight="1">
      <c r="D761" s="2"/>
      <c r="E761" s="1"/>
    </row>
    <row r="762" ht="15.75" customHeight="1">
      <c r="D762" s="2"/>
      <c r="E762" s="1"/>
    </row>
    <row r="763" ht="15.75" customHeight="1">
      <c r="D763" s="2"/>
      <c r="E763" s="1"/>
    </row>
    <row r="764" ht="15.75" customHeight="1">
      <c r="D764" s="2"/>
      <c r="E764" s="1"/>
    </row>
    <row r="765" ht="15.75" customHeight="1">
      <c r="D765" s="2"/>
      <c r="E765" s="1"/>
    </row>
    <row r="766" ht="15.75" customHeight="1">
      <c r="D766" s="2"/>
      <c r="E766" s="1"/>
    </row>
    <row r="767" ht="15.75" customHeight="1">
      <c r="D767" s="2"/>
      <c r="E767" s="1"/>
    </row>
    <row r="768" ht="15.75" customHeight="1">
      <c r="D768" s="2"/>
      <c r="E768" s="1"/>
    </row>
    <row r="769" ht="15.75" customHeight="1">
      <c r="D769" s="2"/>
      <c r="E769" s="1"/>
    </row>
    <row r="770" ht="15.75" customHeight="1">
      <c r="D770" s="2"/>
      <c r="E770" s="1"/>
    </row>
    <row r="771" ht="15.75" customHeight="1">
      <c r="D771" s="2"/>
      <c r="E771" s="1"/>
    </row>
    <row r="772" ht="15.75" customHeight="1">
      <c r="D772" s="2"/>
      <c r="E772" s="1"/>
    </row>
    <row r="773" ht="15.75" customHeight="1">
      <c r="D773" s="2"/>
      <c r="E773" s="1"/>
    </row>
    <row r="774" ht="15.75" customHeight="1">
      <c r="D774" s="2"/>
      <c r="E774" s="1"/>
    </row>
    <row r="775" ht="15.75" customHeight="1">
      <c r="D775" s="2"/>
      <c r="E775" s="1"/>
    </row>
    <row r="776" ht="15.75" customHeight="1">
      <c r="D776" s="2"/>
      <c r="E776" s="1"/>
    </row>
    <row r="777" ht="15.75" customHeight="1">
      <c r="D777" s="2"/>
      <c r="E777" s="1"/>
    </row>
    <row r="778" ht="15.75" customHeight="1">
      <c r="D778" s="2"/>
      <c r="E778" s="1"/>
    </row>
    <row r="779" ht="15.75" customHeight="1">
      <c r="D779" s="2"/>
      <c r="E779" s="1"/>
    </row>
    <row r="780" ht="15.75" customHeight="1">
      <c r="D780" s="2"/>
      <c r="E780" s="1"/>
    </row>
    <row r="781" ht="15.75" customHeight="1">
      <c r="D781" s="2"/>
      <c r="E781" s="1"/>
    </row>
    <row r="782" ht="15.75" customHeight="1">
      <c r="D782" s="2"/>
      <c r="E782" s="1"/>
    </row>
    <row r="783" ht="15.75" customHeight="1">
      <c r="D783" s="2"/>
      <c r="E783" s="1"/>
    </row>
    <row r="784" ht="15.75" customHeight="1">
      <c r="D784" s="2"/>
      <c r="E784" s="1"/>
    </row>
    <row r="785" ht="15.75" customHeight="1">
      <c r="D785" s="2"/>
      <c r="E785" s="1"/>
    </row>
    <row r="786" ht="15.75" customHeight="1">
      <c r="D786" s="2"/>
      <c r="E786" s="1"/>
    </row>
    <row r="787" ht="15.75" customHeight="1">
      <c r="D787" s="2"/>
      <c r="E787" s="1"/>
    </row>
    <row r="788" ht="15.75" customHeight="1">
      <c r="D788" s="2"/>
      <c r="E788" s="1"/>
    </row>
    <row r="789" ht="15.75" customHeight="1">
      <c r="D789" s="2"/>
      <c r="E789" s="1"/>
    </row>
    <row r="790" ht="15.75" customHeight="1">
      <c r="D790" s="2"/>
      <c r="E790" s="1"/>
    </row>
    <row r="791" ht="15.75" customHeight="1">
      <c r="D791" s="2"/>
      <c r="E791" s="1"/>
    </row>
    <row r="792" ht="15.75" customHeight="1">
      <c r="D792" s="2"/>
      <c r="E792" s="1"/>
    </row>
    <row r="793" ht="15.75" customHeight="1">
      <c r="D793" s="2"/>
      <c r="E793" s="1"/>
    </row>
    <row r="794" ht="15.75" customHeight="1">
      <c r="D794" s="2"/>
      <c r="E794" s="1"/>
    </row>
    <row r="795" ht="15.75" customHeight="1">
      <c r="D795" s="2"/>
      <c r="E795" s="1"/>
    </row>
    <row r="796" ht="15.75" customHeight="1">
      <c r="D796" s="2"/>
      <c r="E796" s="1"/>
    </row>
    <row r="797" ht="15.75" customHeight="1">
      <c r="D797" s="2"/>
      <c r="E797" s="1"/>
    </row>
    <row r="798" ht="15.75" customHeight="1">
      <c r="D798" s="2"/>
      <c r="E798" s="1"/>
    </row>
    <row r="799" ht="15.75" customHeight="1">
      <c r="D799" s="2"/>
      <c r="E799" s="1"/>
    </row>
    <row r="800" ht="15.75" customHeight="1">
      <c r="D800" s="2"/>
      <c r="E800" s="1"/>
    </row>
    <row r="801" ht="15.75" customHeight="1">
      <c r="D801" s="2"/>
      <c r="E801" s="1"/>
    </row>
    <row r="802" ht="15.75" customHeight="1">
      <c r="D802" s="2"/>
      <c r="E802" s="1"/>
    </row>
    <row r="803" ht="15.75" customHeight="1">
      <c r="D803" s="2"/>
      <c r="E803" s="1"/>
    </row>
    <row r="804" ht="15.75" customHeight="1">
      <c r="D804" s="2"/>
      <c r="E804" s="1"/>
    </row>
    <row r="805" ht="15.75" customHeight="1">
      <c r="D805" s="2"/>
      <c r="E805" s="1"/>
    </row>
    <row r="806" ht="15.75" customHeight="1">
      <c r="D806" s="2"/>
      <c r="E806" s="1"/>
    </row>
    <row r="807" ht="15.75" customHeight="1">
      <c r="D807" s="2"/>
      <c r="E807" s="1"/>
    </row>
    <row r="808" ht="15.75" customHeight="1">
      <c r="D808" s="2"/>
      <c r="E808" s="1"/>
    </row>
    <row r="809" ht="15.75" customHeight="1">
      <c r="D809" s="2"/>
      <c r="E809" s="1"/>
    </row>
    <row r="810" ht="15.75" customHeight="1">
      <c r="D810" s="2"/>
      <c r="E810" s="1"/>
    </row>
    <row r="811" ht="15.75" customHeight="1">
      <c r="D811" s="2"/>
      <c r="E811" s="1"/>
    </row>
    <row r="812" ht="15.75" customHeight="1">
      <c r="D812" s="2"/>
      <c r="E812" s="1"/>
    </row>
    <row r="813" ht="15.75" customHeight="1">
      <c r="D813" s="2"/>
      <c r="E813" s="1"/>
    </row>
    <row r="814" ht="15.75" customHeight="1">
      <c r="D814" s="2"/>
      <c r="E814" s="1"/>
    </row>
    <row r="815" ht="15.75" customHeight="1">
      <c r="D815" s="2"/>
      <c r="E815" s="1"/>
    </row>
    <row r="816" ht="15.75" customHeight="1">
      <c r="D816" s="2"/>
      <c r="E816" s="1"/>
    </row>
    <row r="817" ht="15.75" customHeight="1">
      <c r="D817" s="2"/>
      <c r="E817" s="1"/>
    </row>
    <row r="818" ht="15.75" customHeight="1">
      <c r="D818" s="2"/>
      <c r="E818" s="1"/>
    </row>
    <row r="819" ht="15.75" customHeight="1">
      <c r="D819" s="2"/>
      <c r="E819" s="1"/>
    </row>
    <row r="820" ht="15.75" customHeight="1">
      <c r="D820" s="2"/>
      <c r="E820" s="1"/>
    </row>
    <row r="821" ht="15.75" customHeight="1">
      <c r="D821" s="2"/>
      <c r="E821" s="1"/>
    </row>
    <row r="822" ht="15.75" customHeight="1">
      <c r="D822" s="2"/>
      <c r="E822" s="1"/>
    </row>
    <row r="823" ht="15.75" customHeight="1">
      <c r="D823" s="2"/>
      <c r="E823" s="1"/>
    </row>
    <row r="824" ht="15.75" customHeight="1">
      <c r="D824" s="2"/>
      <c r="E824" s="1"/>
    </row>
    <row r="825" ht="15.75" customHeight="1">
      <c r="D825" s="2"/>
      <c r="E825" s="1"/>
    </row>
    <row r="826" ht="15.75" customHeight="1">
      <c r="D826" s="2"/>
      <c r="E826" s="1"/>
    </row>
    <row r="827" ht="15.75" customHeight="1">
      <c r="D827" s="2"/>
      <c r="E827" s="1"/>
    </row>
    <row r="828" ht="15.75" customHeight="1">
      <c r="D828" s="2"/>
      <c r="E828" s="1"/>
    </row>
    <row r="829" ht="15.75" customHeight="1">
      <c r="D829" s="2"/>
      <c r="E829" s="1"/>
    </row>
    <row r="830" ht="15.75" customHeight="1">
      <c r="D830" s="2"/>
      <c r="E830" s="1"/>
    </row>
    <row r="831" ht="15.75" customHeight="1">
      <c r="D831" s="2"/>
      <c r="E831" s="1"/>
    </row>
    <row r="832" ht="15.75" customHeight="1">
      <c r="D832" s="2"/>
      <c r="E832" s="1"/>
    </row>
    <row r="833" ht="15.75" customHeight="1">
      <c r="D833" s="2"/>
      <c r="E833" s="1"/>
    </row>
    <row r="834" ht="15.75" customHeight="1">
      <c r="D834" s="2"/>
      <c r="E834" s="1"/>
    </row>
    <row r="835" ht="15.75" customHeight="1">
      <c r="D835" s="2"/>
      <c r="E835" s="1"/>
    </row>
    <row r="836" ht="15.75" customHeight="1">
      <c r="D836" s="2"/>
      <c r="E836" s="1"/>
    </row>
    <row r="837" ht="15.75" customHeight="1">
      <c r="D837" s="2"/>
      <c r="E837" s="1"/>
    </row>
    <row r="838" ht="15.75" customHeight="1">
      <c r="D838" s="2"/>
      <c r="E838" s="1"/>
    </row>
    <row r="839" ht="15.75" customHeight="1">
      <c r="D839" s="2"/>
      <c r="E839" s="1"/>
    </row>
    <row r="840" ht="15.75" customHeight="1">
      <c r="D840" s="2"/>
      <c r="E840" s="1"/>
    </row>
    <row r="841" ht="15.75" customHeight="1">
      <c r="D841" s="2"/>
      <c r="E841" s="1"/>
    </row>
    <row r="842" ht="15.75" customHeight="1">
      <c r="D842" s="2"/>
      <c r="E842" s="1"/>
    </row>
    <row r="843" ht="15.75" customHeight="1">
      <c r="D843" s="2"/>
      <c r="E843" s="1"/>
    </row>
    <row r="844" ht="15.75" customHeight="1">
      <c r="D844" s="2"/>
      <c r="E844" s="1"/>
    </row>
    <row r="845" ht="15.75" customHeight="1">
      <c r="D845" s="2"/>
      <c r="E845" s="1"/>
    </row>
    <row r="846" ht="15.75" customHeight="1">
      <c r="D846" s="2"/>
      <c r="E846" s="1"/>
    </row>
    <row r="847" ht="15.75" customHeight="1">
      <c r="D847" s="2"/>
      <c r="E847" s="1"/>
    </row>
    <row r="848" ht="15.75" customHeight="1">
      <c r="D848" s="2"/>
      <c r="E848" s="1"/>
    </row>
    <row r="849" ht="15.75" customHeight="1">
      <c r="D849" s="2"/>
      <c r="E849" s="1"/>
    </row>
    <row r="850" ht="15.75" customHeight="1">
      <c r="D850" s="2"/>
      <c r="E850" s="1"/>
    </row>
    <row r="851" ht="15.75" customHeight="1">
      <c r="D851" s="2"/>
      <c r="E851" s="1"/>
    </row>
    <row r="852" ht="15.75" customHeight="1">
      <c r="D852" s="2"/>
      <c r="E852" s="1"/>
    </row>
    <row r="853" ht="15.75" customHeight="1">
      <c r="D853" s="2"/>
      <c r="E853" s="1"/>
    </row>
    <row r="854" ht="15.75" customHeight="1">
      <c r="D854" s="2"/>
      <c r="E854" s="1"/>
    </row>
    <row r="855" ht="15.75" customHeight="1">
      <c r="D855" s="2"/>
      <c r="E855" s="1"/>
    </row>
    <row r="856" ht="15.75" customHeight="1">
      <c r="D856" s="2"/>
      <c r="E856" s="1"/>
    </row>
    <row r="857" ht="15.75" customHeight="1">
      <c r="D857" s="2"/>
      <c r="E857" s="1"/>
    </row>
    <row r="858" ht="15.75" customHeight="1">
      <c r="D858" s="2"/>
      <c r="E858" s="1"/>
    </row>
    <row r="859" ht="15.75" customHeight="1">
      <c r="D859" s="2"/>
      <c r="E859" s="1"/>
    </row>
    <row r="860" ht="15.75" customHeight="1">
      <c r="D860" s="2"/>
      <c r="E860" s="1"/>
    </row>
    <row r="861" ht="15.75" customHeight="1">
      <c r="D861" s="2"/>
      <c r="E861" s="1"/>
    </row>
    <row r="862" ht="15.75" customHeight="1">
      <c r="D862" s="2"/>
      <c r="E862" s="1"/>
    </row>
    <row r="863" ht="15.75" customHeight="1">
      <c r="D863" s="2"/>
      <c r="E863" s="1"/>
    </row>
    <row r="864" ht="15.75" customHeight="1">
      <c r="D864" s="2"/>
      <c r="E864" s="1"/>
    </row>
    <row r="865" ht="15.75" customHeight="1">
      <c r="D865" s="2"/>
      <c r="E865" s="1"/>
    </row>
    <row r="866" ht="15.75" customHeight="1">
      <c r="D866" s="2"/>
      <c r="E866" s="1"/>
    </row>
    <row r="867" ht="15.75" customHeight="1">
      <c r="D867" s="2"/>
      <c r="E867" s="1"/>
    </row>
    <row r="868" ht="15.75" customHeight="1">
      <c r="D868" s="2"/>
      <c r="E868" s="1"/>
    </row>
    <row r="869" ht="15.75" customHeight="1">
      <c r="D869" s="2"/>
      <c r="E869" s="1"/>
    </row>
    <row r="870" ht="15.75" customHeight="1">
      <c r="D870" s="2"/>
      <c r="E870" s="1"/>
    </row>
    <row r="871" ht="15.75" customHeight="1">
      <c r="D871" s="2"/>
      <c r="E871" s="1"/>
    </row>
    <row r="872" ht="15.75" customHeight="1">
      <c r="D872" s="2"/>
      <c r="E872" s="1"/>
    </row>
    <row r="873" ht="15.75" customHeight="1">
      <c r="D873" s="2"/>
      <c r="E873" s="1"/>
    </row>
    <row r="874" ht="15.75" customHeight="1">
      <c r="D874" s="2"/>
      <c r="E874" s="1"/>
    </row>
    <row r="875" ht="15.75" customHeight="1">
      <c r="D875" s="2"/>
      <c r="E875" s="1"/>
    </row>
    <row r="876" ht="15.75" customHeight="1">
      <c r="D876" s="2"/>
      <c r="E876" s="1"/>
    </row>
    <row r="877" ht="15.75" customHeight="1">
      <c r="D877" s="2"/>
      <c r="E877" s="1"/>
    </row>
    <row r="878" ht="15.75" customHeight="1">
      <c r="D878" s="2"/>
      <c r="E878" s="1"/>
    </row>
    <row r="879" ht="15.75" customHeight="1">
      <c r="D879" s="2"/>
      <c r="E879" s="1"/>
    </row>
    <row r="880" ht="15.75" customHeight="1">
      <c r="D880" s="2"/>
      <c r="E880" s="1"/>
    </row>
    <row r="881" ht="15.75" customHeight="1">
      <c r="D881" s="2"/>
      <c r="E881" s="1"/>
    </row>
    <row r="882" ht="15.75" customHeight="1">
      <c r="D882" s="2"/>
      <c r="E882" s="1"/>
    </row>
    <row r="883" ht="15.75" customHeight="1">
      <c r="D883" s="2"/>
      <c r="E883" s="1"/>
    </row>
    <row r="884" ht="15.75" customHeight="1">
      <c r="D884" s="2"/>
      <c r="E884" s="1"/>
    </row>
    <row r="885" ht="15.75" customHeight="1">
      <c r="D885" s="2"/>
      <c r="E885" s="1"/>
    </row>
    <row r="886" ht="15.75" customHeight="1">
      <c r="D886" s="2"/>
      <c r="E886" s="1"/>
    </row>
    <row r="887" ht="15.75" customHeight="1">
      <c r="D887" s="2"/>
      <c r="E887" s="1"/>
    </row>
    <row r="888" ht="15.75" customHeight="1">
      <c r="D888" s="2"/>
      <c r="E888" s="1"/>
    </row>
    <row r="889" ht="15.75" customHeight="1">
      <c r="D889" s="2"/>
      <c r="E889" s="1"/>
    </row>
    <row r="890" ht="15.75" customHeight="1">
      <c r="D890" s="2"/>
      <c r="E890" s="1"/>
    </row>
    <row r="891" ht="15.75" customHeight="1">
      <c r="D891" s="2"/>
      <c r="E891" s="1"/>
    </row>
    <row r="892" ht="15.75" customHeight="1">
      <c r="D892" s="2"/>
      <c r="E892" s="1"/>
    </row>
    <row r="893" ht="15.75" customHeight="1">
      <c r="D893" s="2"/>
      <c r="E893" s="1"/>
    </row>
    <row r="894" ht="15.75" customHeight="1">
      <c r="D894" s="2"/>
      <c r="E894" s="1"/>
    </row>
    <row r="895" ht="15.75" customHeight="1">
      <c r="D895" s="2"/>
      <c r="E895" s="1"/>
    </row>
    <row r="896" ht="15.75" customHeight="1">
      <c r="D896" s="2"/>
      <c r="E896" s="1"/>
    </row>
    <row r="897" ht="15.75" customHeight="1">
      <c r="D897" s="2"/>
      <c r="E897" s="1"/>
    </row>
    <row r="898" ht="15.75" customHeight="1">
      <c r="D898" s="2"/>
      <c r="E898" s="1"/>
    </row>
    <row r="899" ht="15.75" customHeight="1">
      <c r="D899" s="2"/>
      <c r="E899" s="1"/>
    </row>
    <row r="900" ht="15.75" customHeight="1">
      <c r="D900" s="2"/>
      <c r="E900" s="1"/>
    </row>
    <row r="901" ht="15.75" customHeight="1">
      <c r="D901" s="2"/>
      <c r="E901" s="1"/>
    </row>
    <row r="902" ht="15.75" customHeight="1">
      <c r="D902" s="2"/>
      <c r="E902" s="1"/>
    </row>
    <row r="903" ht="15.75" customHeight="1">
      <c r="D903" s="2"/>
      <c r="E903" s="1"/>
    </row>
    <row r="904" ht="15.75" customHeight="1">
      <c r="D904" s="2"/>
      <c r="E904" s="1"/>
    </row>
    <row r="905" ht="15.75" customHeight="1">
      <c r="D905" s="2"/>
      <c r="E905" s="1"/>
    </row>
    <row r="906" ht="15.75" customHeight="1">
      <c r="D906" s="2"/>
      <c r="E906" s="1"/>
    </row>
    <row r="907" ht="15.75" customHeight="1">
      <c r="D907" s="2"/>
      <c r="E907" s="1"/>
    </row>
    <row r="908" ht="15.75" customHeight="1">
      <c r="D908" s="2"/>
      <c r="E908" s="1"/>
    </row>
    <row r="909" ht="15.75" customHeight="1">
      <c r="D909" s="2"/>
      <c r="E909" s="1"/>
    </row>
    <row r="910" ht="15.75" customHeight="1">
      <c r="D910" s="2"/>
      <c r="E910" s="1"/>
    </row>
    <row r="911" ht="15.75" customHeight="1">
      <c r="D911" s="2"/>
      <c r="E911" s="1"/>
    </row>
    <row r="912" ht="15.75" customHeight="1">
      <c r="D912" s="2"/>
      <c r="E912" s="1"/>
    </row>
    <row r="913" ht="15.75" customHeight="1">
      <c r="D913" s="2"/>
      <c r="E913" s="1"/>
    </row>
    <row r="914" ht="15.75" customHeight="1">
      <c r="D914" s="2"/>
      <c r="E914" s="1"/>
    </row>
    <row r="915" ht="15.75" customHeight="1">
      <c r="D915" s="2"/>
      <c r="E915" s="1"/>
    </row>
    <row r="916" ht="15.75" customHeight="1">
      <c r="D916" s="2"/>
      <c r="E916" s="1"/>
    </row>
    <row r="917" ht="15.75" customHeight="1">
      <c r="D917" s="2"/>
      <c r="E917" s="1"/>
    </row>
    <row r="918" ht="15.75" customHeight="1">
      <c r="D918" s="2"/>
      <c r="E918" s="1"/>
    </row>
    <row r="919" ht="15.75" customHeight="1">
      <c r="D919" s="2"/>
      <c r="E919" s="1"/>
    </row>
    <row r="920" ht="15.75" customHeight="1">
      <c r="D920" s="2"/>
      <c r="E920" s="1"/>
    </row>
    <row r="921" ht="15.75" customHeight="1">
      <c r="D921" s="2"/>
      <c r="E921" s="1"/>
    </row>
    <row r="922" ht="15.75" customHeight="1">
      <c r="D922" s="2"/>
      <c r="E922" s="1"/>
    </row>
    <row r="923" ht="15.75" customHeight="1">
      <c r="D923" s="2"/>
      <c r="E923" s="1"/>
    </row>
    <row r="924" ht="15.75" customHeight="1">
      <c r="D924" s="2"/>
      <c r="E924" s="1"/>
    </row>
    <row r="925" ht="15.75" customHeight="1">
      <c r="D925" s="2"/>
      <c r="E925" s="1"/>
    </row>
    <row r="926" ht="15.75" customHeight="1">
      <c r="D926" s="2"/>
      <c r="E926" s="1"/>
    </row>
    <row r="927" ht="15.75" customHeight="1">
      <c r="D927" s="2"/>
      <c r="E927" s="1"/>
    </row>
    <row r="928" ht="15.75" customHeight="1">
      <c r="D928" s="2"/>
      <c r="E928" s="1"/>
    </row>
    <row r="929" ht="15.75" customHeight="1">
      <c r="D929" s="2"/>
      <c r="E929" s="1"/>
    </row>
    <row r="930" ht="15.75" customHeight="1">
      <c r="D930" s="2"/>
      <c r="E930" s="1"/>
    </row>
    <row r="931" ht="15.75" customHeight="1">
      <c r="D931" s="2"/>
      <c r="E931" s="1"/>
    </row>
    <row r="932" ht="15.75" customHeight="1">
      <c r="D932" s="2"/>
      <c r="E932" s="1"/>
    </row>
    <row r="933" ht="15.75" customHeight="1">
      <c r="D933" s="2"/>
      <c r="E933" s="1"/>
    </row>
    <row r="934" ht="15.75" customHeight="1">
      <c r="D934" s="2"/>
      <c r="E934" s="1"/>
    </row>
    <row r="935" ht="15.75" customHeight="1">
      <c r="D935" s="2"/>
      <c r="E935" s="1"/>
    </row>
    <row r="936" ht="15.75" customHeight="1">
      <c r="D936" s="2"/>
      <c r="E936" s="1"/>
    </row>
    <row r="937" ht="15.75" customHeight="1">
      <c r="D937" s="2"/>
      <c r="E937" s="1"/>
    </row>
    <row r="938" ht="15.75" customHeight="1">
      <c r="D938" s="2"/>
      <c r="E938" s="1"/>
    </row>
    <row r="939" ht="15.75" customHeight="1">
      <c r="D939" s="2"/>
      <c r="E939" s="1"/>
    </row>
    <row r="940" ht="15.75" customHeight="1">
      <c r="D940" s="2"/>
      <c r="E940" s="1"/>
    </row>
    <row r="941" ht="15.75" customHeight="1">
      <c r="D941" s="2"/>
      <c r="E941" s="1"/>
    </row>
    <row r="942" ht="15.75" customHeight="1">
      <c r="D942" s="2"/>
      <c r="E942" s="1"/>
    </row>
    <row r="943" ht="15.75" customHeight="1">
      <c r="D943" s="2"/>
      <c r="E943" s="1"/>
    </row>
    <row r="944" ht="15.75" customHeight="1">
      <c r="D944" s="2"/>
      <c r="E944" s="1"/>
    </row>
    <row r="945" ht="15.75" customHeight="1">
      <c r="D945" s="2"/>
      <c r="E945" s="1"/>
    </row>
    <row r="946" ht="15.75" customHeight="1">
      <c r="D946" s="2"/>
      <c r="E946" s="1"/>
    </row>
    <row r="947" ht="15.75" customHeight="1">
      <c r="D947" s="2"/>
      <c r="E947" s="1"/>
    </row>
    <row r="948" ht="15.75" customHeight="1">
      <c r="D948" s="2"/>
      <c r="E948" s="1"/>
    </row>
    <row r="949" ht="15.75" customHeight="1">
      <c r="D949" s="2"/>
      <c r="E949" s="1"/>
    </row>
    <row r="950" ht="15.75" customHeight="1">
      <c r="D950" s="2"/>
      <c r="E950" s="1"/>
    </row>
    <row r="951" ht="15.75" customHeight="1">
      <c r="D951" s="2"/>
      <c r="E951" s="1"/>
    </row>
    <row r="952" ht="15.75" customHeight="1">
      <c r="D952" s="2"/>
      <c r="E952" s="1"/>
    </row>
    <row r="953" ht="15.75" customHeight="1">
      <c r="D953" s="2"/>
      <c r="E953" s="1"/>
    </row>
    <row r="954" ht="15.75" customHeight="1">
      <c r="D954" s="2"/>
      <c r="E954" s="1"/>
    </row>
    <row r="955" ht="15.75" customHeight="1">
      <c r="D955" s="2"/>
      <c r="E955" s="1"/>
    </row>
    <row r="956" ht="15.75" customHeight="1">
      <c r="D956" s="2"/>
      <c r="E956" s="1"/>
    </row>
    <row r="957" ht="15.75" customHeight="1">
      <c r="D957" s="2"/>
      <c r="E957" s="1"/>
    </row>
    <row r="958" ht="15.75" customHeight="1">
      <c r="D958" s="2"/>
      <c r="E958" s="1"/>
    </row>
    <row r="959" ht="15.75" customHeight="1">
      <c r="D959" s="2"/>
      <c r="E959" s="1"/>
    </row>
    <row r="960" ht="15.75" customHeight="1">
      <c r="D960" s="2"/>
      <c r="E960" s="1"/>
    </row>
    <row r="961" ht="15.75" customHeight="1">
      <c r="D961" s="2"/>
      <c r="E961" s="1"/>
    </row>
    <row r="962" ht="15.75" customHeight="1">
      <c r="D962" s="2"/>
      <c r="E962" s="1"/>
    </row>
    <row r="963" ht="15.75" customHeight="1">
      <c r="D963" s="2"/>
      <c r="E963" s="1"/>
    </row>
    <row r="964" ht="15.75" customHeight="1">
      <c r="D964" s="2"/>
      <c r="E964" s="1"/>
    </row>
    <row r="965" ht="15.75" customHeight="1">
      <c r="D965" s="2"/>
      <c r="E965" s="1"/>
    </row>
    <row r="966" ht="15.75" customHeight="1">
      <c r="D966" s="2"/>
      <c r="E966" s="1"/>
    </row>
    <row r="967" ht="15.75" customHeight="1">
      <c r="D967" s="2"/>
      <c r="E967" s="1"/>
    </row>
    <row r="968" ht="15.75" customHeight="1">
      <c r="D968" s="2"/>
      <c r="E968" s="1"/>
    </row>
    <row r="969" ht="15.75" customHeight="1">
      <c r="D969" s="2"/>
      <c r="E969" s="1"/>
    </row>
    <row r="970" ht="15.75" customHeight="1">
      <c r="D970" s="2"/>
      <c r="E970" s="1"/>
    </row>
    <row r="971" ht="15.75" customHeight="1">
      <c r="D971" s="2"/>
      <c r="E971" s="1"/>
    </row>
    <row r="972" ht="15.75" customHeight="1">
      <c r="D972" s="2"/>
      <c r="E972" s="1"/>
    </row>
    <row r="973" ht="15.75" customHeight="1">
      <c r="D973" s="2"/>
      <c r="E973" s="1"/>
    </row>
    <row r="974" ht="15.75" customHeight="1">
      <c r="D974" s="2"/>
      <c r="E974" s="1"/>
    </row>
    <row r="975" ht="15.75" customHeight="1">
      <c r="D975" s="2"/>
      <c r="E975" s="1"/>
    </row>
    <row r="976" ht="15.75" customHeight="1">
      <c r="D976" s="2"/>
      <c r="E976" s="1"/>
    </row>
    <row r="977" ht="15.75" customHeight="1">
      <c r="D977" s="2"/>
      <c r="E977" s="1"/>
    </row>
    <row r="978" ht="15.75" customHeight="1">
      <c r="D978" s="2"/>
      <c r="E978" s="1"/>
    </row>
    <row r="979" ht="15.75" customHeight="1">
      <c r="D979" s="2"/>
      <c r="E979" s="1"/>
    </row>
    <row r="980" ht="15.75" customHeight="1">
      <c r="D980" s="2"/>
      <c r="E980" s="1"/>
    </row>
    <row r="981" ht="15.75" customHeight="1">
      <c r="D981" s="2"/>
      <c r="E981" s="1"/>
    </row>
    <row r="982" ht="15.75" customHeight="1">
      <c r="D982" s="2"/>
      <c r="E982" s="1"/>
    </row>
    <row r="983" ht="15.75" customHeight="1">
      <c r="D983" s="2"/>
      <c r="E983" s="1"/>
    </row>
    <row r="984" ht="15.75" customHeight="1">
      <c r="D984" s="2"/>
      <c r="E984" s="1"/>
    </row>
    <row r="985" ht="15.75" customHeight="1">
      <c r="D985" s="2"/>
      <c r="E985" s="1"/>
    </row>
    <row r="986" ht="15.75" customHeight="1">
      <c r="D986" s="2"/>
      <c r="E986" s="1"/>
    </row>
    <row r="987" ht="15.75" customHeight="1">
      <c r="D987" s="2"/>
      <c r="E987" s="1"/>
    </row>
    <row r="988" ht="15.75" customHeight="1">
      <c r="D988" s="2"/>
      <c r="E988" s="1"/>
    </row>
    <row r="989" ht="15.75" customHeight="1">
      <c r="D989" s="2"/>
      <c r="E989" s="1"/>
    </row>
    <row r="990" ht="15.75" customHeight="1">
      <c r="D990" s="2"/>
      <c r="E990" s="1"/>
    </row>
    <row r="991" ht="15.75" customHeight="1">
      <c r="D991" s="2"/>
      <c r="E991" s="1"/>
    </row>
    <row r="992" ht="15.75" customHeight="1">
      <c r="D992" s="2"/>
      <c r="E992" s="1"/>
    </row>
    <row r="993" ht="15.75" customHeight="1">
      <c r="D993" s="2"/>
      <c r="E993" s="1"/>
    </row>
    <row r="994" ht="15.75" customHeight="1">
      <c r="D994" s="2"/>
      <c r="E994" s="1"/>
    </row>
    <row r="995" ht="15.75" customHeight="1">
      <c r="D995" s="2"/>
      <c r="E995" s="1"/>
    </row>
    <row r="996" ht="15.75" customHeight="1">
      <c r="D996" s="2"/>
      <c r="E996" s="1"/>
    </row>
    <row r="997" ht="15.75" customHeight="1">
      <c r="D997" s="2"/>
      <c r="E997" s="1"/>
    </row>
    <row r="998" ht="15.75" customHeight="1">
      <c r="D998" s="2"/>
      <c r="E998" s="1"/>
    </row>
    <row r="999" ht="15.75" customHeight="1">
      <c r="D999" s="2"/>
      <c r="E999" s="1"/>
    </row>
    <row r="1000" ht="15.75" customHeight="1">
      <c r="D1000" s="2"/>
      <c r="E1000" s="1"/>
    </row>
    <row r="1001" ht="15.75" customHeight="1">
      <c r="D1001" s="2"/>
      <c r="E1001" s="1"/>
    </row>
    <row r="1002" ht="15.75" customHeight="1">
      <c r="D1002" s="2"/>
      <c r="E1002" s="1"/>
    </row>
    <row r="1003" ht="15.75" customHeight="1">
      <c r="D1003" s="2"/>
      <c r="E1003" s="1"/>
    </row>
    <row r="1004" ht="15.75" customHeight="1">
      <c r="D1004" s="2"/>
      <c r="E1004" s="1"/>
    </row>
    <row r="1005" ht="15.75" customHeight="1">
      <c r="D1005" s="2"/>
      <c r="E1005" s="1"/>
    </row>
    <row r="1006" ht="15.75" customHeight="1">
      <c r="D1006" s="2"/>
      <c r="E1006" s="1"/>
    </row>
    <row r="1007" ht="15.75" customHeight="1">
      <c r="D1007" s="2"/>
      <c r="E1007" s="1"/>
    </row>
    <row r="1008" ht="15.75" customHeight="1">
      <c r="D1008" s="2"/>
      <c r="E1008" s="1"/>
    </row>
    <row r="1009" ht="15.75" customHeight="1">
      <c r="D1009" s="2"/>
      <c r="E1009" s="1"/>
    </row>
    <row r="1010" ht="15.75" customHeight="1">
      <c r="D1010" s="2"/>
      <c r="E1010" s="1"/>
    </row>
    <row r="1011" ht="15.75" customHeight="1">
      <c r="D1011" s="2"/>
      <c r="E1011" s="1"/>
    </row>
    <row r="1012" ht="15.75" customHeight="1">
      <c r="D1012" s="2"/>
      <c r="E1012" s="1"/>
    </row>
    <row r="1013" ht="15.75" customHeight="1">
      <c r="D1013" s="2"/>
      <c r="E1013" s="1"/>
    </row>
    <row r="1014" ht="15.75" customHeight="1">
      <c r="D1014" s="2"/>
      <c r="E1014" s="1"/>
    </row>
    <row r="1015" ht="15.75" customHeight="1">
      <c r="D1015" s="2"/>
      <c r="E1015" s="1"/>
    </row>
    <row r="1016" ht="15.75" customHeight="1">
      <c r="D1016" s="2"/>
      <c r="E1016" s="1"/>
    </row>
    <row r="1017" ht="15.75" customHeight="1">
      <c r="D1017" s="2"/>
      <c r="E1017" s="1"/>
    </row>
    <row r="1018" ht="15.75" customHeight="1">
      <c r="D1018" s="2"/>
      <c r="E1018" s="1"/>
    </row>
    <row r="1019" ht="15.75" customHeight="1">
      <c r="D1019" s="2"/>
      <c r="E1019" s="1"/>
    </row>
    <row r="1020" ht="15.75" customHeight="1">
      <c r="D1020" s="2"/>
      <c r="E1020" s="1"/>
    </row>
    <row r="1021" ht="15.75" customHeight="1">
      <c r="D1021" s="2"/>
      <c r="E1021" s="1"/>
    </row>
    <row r="1022" ht="15.75" customHeight="1">
      <c r="D1022" s="2"/>
      <c r="E1022" s="1"/>
    </row>
    <row r="1023" ht="15.75" customHeight="1">
      <c r="D1023" s="2"/>
      <c r="E1023" s="1"/>
    </row>
    <row r="1024" ht="15.75" customHeight="1">
      <c r="D1024" s="2"/>
      <c r="E1024" s="1"/>
    </row>
    <row r="1025" ht="15.75" customHeight="1">
      <c r="D1025" s="2"/>
      <c r="E1025" s="1"/>
    </row>
    <row r="1026" ht="15.75" customHeight="1">
      <c r="D1026" s="2"/>
      <c r="E1026" s="1"/>
    </row>
    <row r="1027" ht="15.75" customHeight="1">
      <c r="D1027" s="2"/>
      <c r="E1027" s="1"/>
    </row>
    <row r="1028" ht="15.75" customHeight="1">
      <c r="D1028" s="2"/>
      <c r="E1028" s="1"/>
    </row>
    <row r="1029" ht="15.75" customHeight="1">
      <c r="D1029" s="2"/>
      <c r="E1029" s="1"/>
    </row>
    <row r="1030" ht="15.75" customHeight="1">
      <c r="D1030" s="2"/>
      <c r="E1030" s="1"/>
    </row>
    <row r="1031" ht="15.75" customHeight="1">
      <c r="D1031" s="2"/>
      <c r="E1031" s="1"/>
    </row>
    <row r="1032" ht="15.75" customHeight="1">
      <c r="D1032" s="2"/>
      <c r="E1032" s="1"/>
    </row>
    <row r="1033" ht="15.75" customHeight="1">
      <c r="D1033" s="2"/>
      <c r="E1033" s="1"/>
    </row>
    <row r="1034" ht="15.75" customHeight="1">
      <c r="D1034" s="2"/>
      <c r="E1034" s="1"/>
    </row>
    <row r="1035" ht="15.75" customHeight="1">
      <c r="D1035" s="2"/>
      <c r="E1035" s="1"/>
    </row>
    <row r="1036" ht="15.75" customHeight="1">
      <c r="D1036" s="2"/>
      <c r="E1036" s="1"/>
    </row>
    <row r="1037" ht="15.75" customHeight="1">
      <c r="D1037" s="2"/>
      <c r="E1037" s="1"/>
    </row>
    <row r="1038" ht="15.75" customHeight="1">
      <c r="D1038" s="2"/>
      <c r="E1038" s="1"/>
    </row>
    <row r="1039" ht="15.75" customHeight="1">
      <c r="D1039" s="2"/>
      <c r="E1039" s="1"/>
    </row>
    <row r="1040" ht="15.75" customHeight="1">
      <c r="D1040" s="2"/>
      <c r="E1040" s="1"/>
    </row>
    <row r="1041" ht="15.75" customHeight="1">
      <c r="D1041" s="2"/>
      <c r="E1041" s="1"/>
    </row>
    <row r="1042" ht="15.75" customHeight="1">
      <c r="D1042" s="2"/>
      <c r="E1042" s="1"/>
    </row>
    <row r="1043" ht="15.75" customHeight="1">
      <c r="D1043" s="2"/>
      <c r="E1043" s="1"/>
    </row>
    <row r="1044" ht="15.75" customHeight="1">
      <c r="D1044" s="2"/>
      <c r="E1044" s="1"/>
    </row>
    <row r="1045" ht="15.75" customHeight="1">
      <c r="D1045" s="2"/>
      <c r="E1045" s="1"/>
    </row>
    <row r="1046" ht="15.75" customHeight="1">
      <c r="D1046" s="2"/>
      <c r="E1046" s="1"/>
    </row>
    <row r="1047" ht="15.75" customHeight="1">
      <c r="D1047" s="2"/>
      <c r="E1047" s="1"/>
    </row>
    <row r="1048" ht="15.75" customHeight="1">
      <c r="D1048" s="2"/>
      <c r="E1048" s="1"/>
    </row>
    <row r="1049" ht="15.75" customHeight="1">
      <c r="D1049" s="2"/>
      <c r="E1049" s="1"/>
    </row>
    <row r="1050" ht="15.75" customHeight="1">
      <c r="D1050" s="2"/>
      <c r="E1050" s="1"/>
    </row>
    <row r="1051" ht="15.75" customHeight="1">
      <c r="D1051" s="2"/>
      <c r="E1051" s="1"/>
    </row>
    <row r="1052" ht="15.75" customHeight="1">
      <c r="D1052" s="2"/>
      <c r="E1052" s="1"/>
    </row>
    <row r="1053" ht="15.75" customHeight="1">
      <c r="D1053" s="2"/>
      <c r="E1053" s="1"/>
    </row>
    <row r="1054" ht="15.75" customHeight="1">
      <c r="D1054" s="2"/>
      <c r="E1054" s="1"/>
    </row>
    <row r="1055" ht="15.75" customHeight="1">
      <c r="D1055" s="2"/>
      <c r="E1055" s="1"/>
    </row>
    <row r="1056" ht="15.75" customHeight="1">
      <c r="D1056" s="2"/>
      <c r="E1056" s="1"/>
    </row>
    <row r="1057" ht="15.75" customHeight="1">
      <c r="D1057" s="2"/>
      <c r="E1057" s="1"/>
    </row>
    <row r="1058" ht="15.75" customHeight="1">
      <c r="D1058" s="2"/>
      <c r="E1058" s="1"/>
    </row>
    <row r="1059" ht="15.75" customHeight="1">
      <c r="D1059" s="2"/>
      <c r="E1059" s="1"/>
    </row>
    <row r="1060" ht="15.75" customHeight="1">
      <c r="D1060" s="2"/>
      <c r="E1060" s="1"/>
    </row>
    <row r="1061" ht="15.75" customHeight="1">
      <c r="D1061" s="2"/>
      <c r="E1061" s="1"/>
    </row>
    <row r="1062" ht="15.75" customHeight="1">
      <c r="D1062" s="2"/>
      <c r="E1062" s="1"/>
    </row>
    <row r="1063" ht="15.75" customHeight="1">
      <c r="D1063" s="2"/>
      <c r="E1063" s="1"/>
    </row>
    <row r="1064" ht="15.75" customHeight="1">
      <c r="D1064" s="2"/>
      <c r="E1064" s="1"/>
    </row>
    <row r="1065" ht="15.75" customHeight="1">
      <c r="D1065" s="2"/>
      <c r="E1065" s="1"/>
    </row>
    <row r="1066" ht="15.75" customHeight="1">
      <c r="D1066" s="2"/>
      <c r="E1066" s="1"/>
    </row>
    <row r="1067" ht="15.75" customHeight="1">
      <c r="D1067" s="2"/>
      <c r="E1067" s="1"/>
    </row>
    <row r="1068" ht="15.75" customHeight="1">
      <c r="D1068" s="2"/>
      <c r="E1068" s="1"/>
    </row>
    <row r="1069" ht="15.75" customHeight="1">
      <c r="D1069" s="2"/>
      <c r="E1069" s="1"/>
    </row>
    <row r="1070" ht="15.75" customHeight="1">
      <c r="D1070" s="2"/>
      <c r="E1070" s="1"/>
    </row>
    <row r="1071" ht="15.75" customHeight="1">
      <c r="D1071" s="2"/>
      <c r="E1071" s="1"/>
    </row>
    <row r="1072" ht="15.75" customHeight="1">
      <c r="D1072" s="2"/>
      <c r="E1072" s="1"/>
    </row>
    <row r="1073" ht="15.75" customHeight="1">
      <c r="D1073" s="2"/>
      <c r="E1073" s="1"/>
    </row>
    <row r="1074" ht="15.75" customHeight="1">
      <c r="D1074" s="2"/>
      <c r="E1074" s="1"/>
    </row>
    <row r="1075" ht="15.75" customHeight="1">
      <c r="D1075" s="2"/>
      <c r="E1075" s="1"/>
    </row>
    <row r="1076" ht="15.75" customHeight="1">
      <c r="D1076" s="2"/>
      <c r="E1076" s="1"/>
    </row>
    <row r="1077" ht="15.75" customHeight="1">
      <c r="D1077" s="2"/>
      <c r="E1077" s="1"/>
    </row>
    <row r="1078" ht="15.75" customHeight="1">
      <c r="D1078" s="2"/>
      <c r="E1078" s="1"/>
    </row>
    <row r="1079" ht="15.75" customHeight="1">
      <c r="D1079" s="2"/>
      <c r="E1079" s="1"/>
    </row>
    <row r="1080" ht="15.75" customHeight="1">
      <c r="D1080" s="2"/>
      <c r="E1080" s="1"/>
    </row>
    <row r="1081" ht="15.75" customHeight="1">
      <c r="D1081" s="2"/>
      <c r="E1081" s="1"/>
    </row>
    <row r="1082" ht="15.75" customHeight="1">
      <c r="D1082" s="2"/>
      <c r="E1082" s="1"/>
    </row>
    <row r="1083" ht="15.75" customHeight="1">
      <c r="D1083" s="2"/>
      <c r="E1083" s="1"/>
    </row>
    <row r="1084" ht="15.75" customHeight="1">
      <c r="D1084" s="2"/>
      <c r="E1084" s="1"/>
    </row>
    <row r="1085" ht="15.75" customHeight="1">
      <c r="D1085" s="2"/>
      <c r="E1085" s="1"/>
    </row>
    <row r="1086" ht="15.75" customHeight="1">
      <c r="D1086" s="2"/>
      <c r="E1086" s="1"/>
    </row>
    <row r="1087" ht="15.75" customHeight="1">
      <c r="D1087" s="2"/>
      <c r="E1087" s="1"/>
    </row>
    <row r="1088" ht="15.75" customHeight="1">
      <c r="D1088" s="2"/>
      <c r="E1088" s="1"/>
    </row>
    <row r="1089" ht="15.75" customHeight="1">
      <c r="D1089" s="2"/>
      <c r="E1089" s="1"/>
    </row>
    <row r="1090" ht="15.75" customHeight="1">
      <c r="D1090" s="2"/>
      <c r="E1090" s="1"/>
    </row>
    <row r="1091" ht="15.75" customHeight="1">
      <c r="D1091" s="2"/>
      <c r="E1091" s="1"/>
    </row>
    <row r="1092" ht="15.75" customHeight="1">
      <c r="D1092" s="2"/>
      <c r="E1092" s="1"/>
    </row>
    <row r="1093" ht="15.75" customHeight="1">
      <c r="D1093" s="2"/>
      <c r="E1093" s="1"/>
    </row>
    <row r="1094" ht="15.75" customHeight="1">
      <c r="D1094" s="2"/>
      <c r="E1094" s="1"/>
    </row>
    <row r="1095" ht="15.75" customHeight="1">
      <c r="D1095" s="2"/>
      <c r="E1095" s="1"/>
    </row>
    <row r="1096" ht="15.75" customHeight="1">
      <c r="D1096" s="2"/>
      <c r="E1096" s="1"/>
    </row>
    <row r="1097" ht="15.75" customHeight="1">
      <c r="D1097" s="2"/>
      <c r="E1097" s="1"/>
    </row>
    <row r="1098" ht="15.75" customHeight="1">
      <c r="D1098" s="2"/>
      <c r="E1098" s="1"/>
    </row>
    <row r="1099" ht="15.75" customHeight="1">
      <c r="D1099" s="2"/>
      <c r="E1099" s="1"/>
    </row>
    <row r="1100" ht="15.75" customHeight="1">
      <c r="D1100" s="2"/>
      <c r="E1100" s="1"/>
    </row>
    <row r="1101" ht="15.75" customHeight="1">
      <c r="D1101" s="2"/>
      <c r="E1101" s="1"/>
    </row>
    <row r="1102" ht="15.75" customHeight="1">
      <c r="D1102" s="2"/>
      <c r="E1102" s="1"/>
    </row>
    <row r="1103" ht="15.75" customHeight="1">
      <c r="D1103" s="2"/>
      <c r="E1103" s="1"/>
    </row>
    <row r="1104" ht="15.75" customHeight="1">
      <c r="D1104" s="2"/>
      <c r="E1104" s="1"/>
    </row>
    <row r="1105" ht="15.75" customHeight="1">
      <c r="D1105" s="2"/>
      <c r="E1105" s="1"/>
    </row>
    <row r="1106" ht="15.75" customHeight="1">
      <c r="D1106" s="2"/>
      <c r="E1106" s="1"/>
    </row>
    <row r="1107" ht="15.75" customHeight="1">
      <c r="D1107" s="2"/>
      <c r="E1107" s="1"/>
    </row>
    <row r="1108" ht="15.75" customHeight="1">
      <c r="D1108" s="2"/>
      <c r="E1108" s="1"/>
    </row>
    <row r="1109" ht="15.75" customHeight="1">
      <c r="D1109" s="2"/>
      <c r="E1109" s="1"/>
    </row>
    <row r="1110" ht="15.75" customHeight="1">
      <c r="D1110" s="2"/>
      <c r="E1110" s="1"/>
    </row>
    <row r="1111" ht="15.75" customHeight="1">
      <c r="D1111" s="2"/>
      <c r="E1111" s="1"/>
    </row>
    <row r="1112" ht="15.75" customHeight="1">
      <c r="D1112" s="2"/>
      <c r="E1112" s="1"/>
    </row>
    <row r="1113" ht="15.75" customHeight="1">
      <c r="D1113" s="2"/>
      <c r="E1113" s="1"/>
    </row>
    <row r="1114" ht="15.75" customHeight="1">
      <c r="D1114" s="2"/>
      <c r="E1114" s="1"/>
    </row>
    <row r="1115" ht="15.75" customHeight="1">
      <c r="D1115" s="2"/>
      <c r="E1115" s="1"/>
    </row>
    <row r="1116" ht="15.75" customHeight="1">
      <c r="D1116" s="2"/>
      <c r="E1116" s="1"/>
    </row>
    <row r="1117" ht="15.75" customHeight="1">
      <c r="D1117" s="2"/>
      <c r="E1117" s="1"/>
    </row>
    <row r="1118" ht="15.75" customHeight="1">
      <c r="D1118" s="2"/>
      <c r="E1118" s="1"/>
    </row>
    <row r="1119" ht="15.75" customHeight="1">
      <c r="D1119" s="2"/>
      <c r="E1119" s="1"/>
    </row>
    <row r="1120" ht="15.75" customHeight="1">
      <c r="D1120" s="2"/>
      <c r="E1120" s="1"/>
    </row>
    <row r="1121" ht="15.75" customHeight="1">
      <c r="D1121" s="2"/>
      <c r="E1121" s="1"/>
    </row>
    <row r="1122" ht="15.75" customHeight="1">
      <c r="D1122" s="2"/>
      <c r="E1122" s="1"/>
    </row>
    <row r="1123" ht="15.75" customHeight="1">
      <c r="D1123" s="2"/>
      <c r="E1123" s="1"/>
    </row>
    <row r="1124" ht="15.75" customHeight="1">
      <c r="D1124" s="2"/>
      <c r="E1124" s="1"/>
    </row>
    <row r="1125" ht="15.75" customHeight="1">
      <c r="D1125" s="2"/>
      <c r="E1125" s="1"/>
    </row>
    <row r="1126" ht="15.75" customHeight="1">
      <c r="D1126" s="2"/>
      <c r="E1126" s="1"/>
    </row>
    <row r="1127" ht="15.75" customHeight="1">
      <c r="D1127" s="2"/>
      <c r="E1127" s="1"/>
    </row>
    <row r="1128" ht="15.75" customHeight="1">
      <c r="D1128" s="2"/>
      <c r="E1128" s="1"/>
    </row>
    <row r="1129" ht="15.75" customHeight="1">
      <c r="D1129" s="2"/>
      <c r="E1129" s="1"/>
    </row>
    <row r="1130" ht="15.75" customHeight="1">
      <c r="D1130" s="2"/>
      <c r="E1130" s="1"/>
    </row>
    <row r="1131" ht="15.75" customHeight="1">
      <c r="D1131" s="2"/>
      <c r="E1131" s="1"/>
    </row>
    <row r="1132" ht="15.75" customHeight="1">
      <c r="D1132" s="2"/>
      <c r="E1132" s="1"/>
    </row>
    <row r="1133" ht="15.75" customHeight="1">
      <c r="D1133" s="2"/>
      <c r="E1133" s="1"/>
    </row>
    <row r="1134" ht="15.75" customHeight="1">
      <c r="D1134" s="2"/>
      <c r="E1134" s="1"/>
    </row>
    <row r="1135" ht="15.75" customHeight="1">
      <c r="D1135" s="2"/>
      <c r="E1135" s="1"/>
    </row>
    <row r="1136" ht="15.75" customHeight="1">
      <c r="D1136" s="2"/>
      <c r="E1136" s="1"/>
    </row>
    <row r="1137" ht="15.75" customHeight="1">
      <c r="D1137" s="2"/>
      <c r="E1137" s="1"/>
    </row>
    <row r="1138" ht="15.75" customHeight="1">
      <c r="D1138" s="2"/>
      <c r="E1138" s="1"/>
    </row>
    <row r="1139" ht="15.75" customHeight="1">
      <c r="D1139" s="2"/>
      <c r="E1139" s="1"/>
    </row>
    <row r="1140" ht="15.75" customHeight="1">
      <c r="D1140" s="2"/>
      <c r="E1140" s="1"/>
    </row>
    <row r="1141" ht="15.75" customHeight="1">
      <c r="D1141" s="2"/>
      <c r="E1141" s="1"/>
    </row>
    <row r="1142" ht="15.75" customHeight="1">
      <c r="D1142" s="2"/>
      <c r="E1142" s="1"/>
    </row>
    <row r="1143" ht="15.75" customHeight="1">
      <c r="D1143" s="2"/>
      <c r="E1143" s="1"/>
    </row>
    <row r="1144" ht="15.75" customHeight="1">
      <c r="D1144" s="2"/>
      <c r="E1144" s="1"/>
    </row>
    <row r="1145" ht="15.75" customHeight="1">
      <c r="D1145" s="2"/>
      <c r="E1145" s="1"/>
    </row>
    <row r="1146" ht="15.75" customHeight="1">
      <c r="D1146" s="2"/>
      <c r="E1146" s="1"/>
    </row>
    <row r="1147" ht="15.75" customHeight="1">
      <c r="D1147" s="2"/>
      <c r="E1147" s="1"/>
    </row>
    <row r="1148" ht="15.75" customHeight="1">
      <c r="D1148" s="2"/>
      <c r="E1148" s="1"/>
    </row>
    <row r="1149" ht="15.75" customHeight="1">
      <c r="D1149" s="2"/>
      <c r="E1149" s="1"/>
    </row>
    <row r="1150" ht="15.75" customHeight="1">
      <c r="D1150" s="2"/>
      <c r="E1150" s="1"/>
    </row>
    <row r="1151" ht="15.75" customHeight="1">
      <c r="D1151" s="2"/>
      <c r="E1151" s="1"/>
    </row>
    <row r="1152" ht="15.75" customHeight="1">
      <c r="D1152" s="2"/>
      <c r="E1152" s="1"/>
    </row>
    <row r="1153" ht="15.75" customHeight="1">
      <c r="D1153" s="2"/>
      <c r="E1153" s="1"/>
    </row>
    <row r="1154" ht="15.75" customHeight="1">
      <c r="D1154" s="2"/>
      <c r="E1154" s="1"/>
    </row>
    <row r="1155" ht="15.75" customHeight="1">
      <c r="D1155" s="2"/>
      <c r="E1155" s="1"/>
    </row>
    <row r="1156" ht="15.75" customHeight="1">
      <c r="D1156" s="2"/>
      <c r="E1156" s="1"/>
    </row>
    <row r="1157" ht="15.75" customHeight="1">
      <c r="D1157" s="2"/>
      <c r="E1157" s="1"/>
    </row>
    <row r="1158" ht="15.75" customHeight="1">
      <c r="D1158" s="2"/>
      <c r="E1158" s="1"/>
    </row>
    <row r="1159" ht="15.75" customHeight="1">
      <c r="D1159" s="2"/>
      <c r="E1159" s="1"/>
    </row>
    <row r="1160" ht="15.75" customHeight="1">
      <c r="D1160" s="2"/>
      <c r="E1160" s="1"/>
    </row>
    <row r="1161" ht="15.75" customHeight="1">
      <c r="D1161" s="2"/>
      <c r="E1161" s="1"/>
    </row>
    <row r="1162" ht="15.75" customHeight="1">
      <c r="D1162" s="2"/>
      <c r="E1162" s="1"/>
    </row>
    <row r="1163" ht="15.75" customHeight="1">
      <c r="D1163" s="2"/>
      <c r="E1163" s="1"/>
    </row>
    <row r="1164" ht="15.75" customHeight="1">
      <c r="D1164" s="2"/>
      <c r="E1164" s="1"/>
    </row>
    <row r="1165" ht="15.75" customHeight="1">
      <c r="D1165" s="2"/>
      <c r="E1165" s="1"/>
    </row>
    <row r="1166" ht="15.75" customHeight="1">
      <c r="D1166" s="2"/>
      <c r="E1166" s="1"/>
    </row>
    <row r="1167" ht="15.75" customHeight="1">
      <c r="D1167" s="2"/>
      <c r="E1167" s="1"/>
    </row>
    <row r="1168" ht="15.75" customHeight="1">
      <c r="D1168" s="2"/>
      <c r="E1168" s="1"/>
    </row>
    <row r="1169" ht="15.75" customHeight="1">
      <c r="D1169" s="2"/>
      <c r="E1169" s="1"/>
    </row>
    <row r="1170" ht="15.75" customHeight="1">
      <c r="D1170" s="2"/>
      <c r="E1170" s="1"/>
    </row>
    <row r="1171" ht="15.75" customHeight="1">
      <c r="D1171" s="2"/>
      <c r="E1171" s="1"/>
    </row>
    <row r="1172" ht="15.75" customHeight="1">
      <c r="D1172" s="2"/>
      <c r="E1172" s="1"/>
    </row>
    <row r="1173" ht="15.75" customHeight="1">
      <c r="D1173" s="2"/>
      <c r="E1173" s="1"/>
    </row>
    <row r="1174" ht="15.75" customHeight="1">
      <c r="D1174" s="2"/>
      <c r="E1174" s="1"/>
    </row>
    <row r="1175" ht="15.75" customHeight="1">
      <c r="D1175" s="2"/>
      <c r="E1175" s="1"/>
    </row>
    <row r="1176" ht="15.75" customHeight="1">
      <c r="D1176" s="2"/>
      <c r="E1176" s="1"/>
    </row>
    <row r="1177" ht="15.75" customHeight="1">
      <c r="D1177" s="2"/>
      <c r="E1177" s="1"/>
    </row>
    <row r="1178" ht="15.75" customHeight="1">
      <c r="D1178" s="2"/>
      <c r="E1178" s="1"/>
    </row>
    <row r="1179" ht="15.75" customHeight="1">
      <c r="D1179" s="2"/>
      <c r="E1179" s="1"/>
    </row>
    <row r="1180" ht="15.75" customHeight="1">
      <c r="D1180" s="2"/>
      <c r="E1180" s="1"/>
    </row>
    <row r="1181" ht="15.75" customHeight="1">
      <c r="D1181" s="2"/>
      <c r="E1181" s="1"/>
    </row>
    <row r="1182" ht="15.75" customHeight="1">
      <c r="D1182" s="2"/>
      <c r="E1182" s="1"/>
    </row>
    <row r="1183" ht="15.75" customHeight="1">
      <c r="D1183" s="2"/>
      <c r="E1183" s="1"/>
    </row>
    <row r="1184" ht="15.75" customHeight="1">
      <c r="D1184" s="2"/>
      <c r="E1184" s="1"/>
    </row>
    <row r="1185" ht="15.75" customHeight="1">
      <c r="D1185" s="2"/>
      <c r="E1185" s="1"/>
    </row>
    <row r="1186" ht="15.75" customHeight="1">
      <c r="D1186" s="2"/>
      <c r="E1186" s="1"/>
    </row>
    <row r="1187" ht="15.75" customHeight="1">
      <c r="D1187" s="2"/>
      <c r="E1187" s="1"/>
    </row>
    <row r="1188" ht="15.75" customHeight="1">
      <c r="D1188" s="2"/>
      <c r="E1188" s="1"/>
    </row>
    <row r="1189" ht="15.75" customHeight="1">
      <c r="D1189" s="2"/>
      <c r="E1189" s="1"/>
    </row>
    <row r="1190" ht="15.75" customHeight="1">
      <c r="D1190" s="2"/>
      <c r="E1190" s="1"/>
    </row>
    <row r="1191" ht="15.75" customHeight="1">
      <c r="D1191" s="2"/>
      <c r="E1191" s="1"/>
    </row>
    <row r="1192" ht="15.75" customHeight="1">
      <c r="D1192" s="2"/>
      <c r="E1192" s="1"/>
    </row>
    <row r="1193" ht="15.75" customHeight="1">
      <c r="D1193" s="2"/>
      <c r="E1193" s="1"/>
    </row>
    <row r="1194" ht="15.75" customHeight="1">
      <c r="D1194" s="2"/>
      <c r="E1194" s="1"/>
    </row>
    <row r="1195" ht="15.75" customHeight="1">
      <c r="D1195" s="2"/>
      <c r="E1195" s="1"/>
    </row>
    <row r="1196" ht="15.75" customHeight="1">
      <c r="D1196" s="2"/>
      <c r="E1196" s="1"/>
    </row>
    <row r="1197" ht="15.75" customHeight="1">
      <c r="D1197" s="2"/>
      <c r="E1197" s="1"/>
    </row>
    <row r="1198" ht="15.75" customHeight="1">
      <c r="D1198" s="2"/>
      <c r="E1198" s="1"/>
    </row>
    <row r="1199" ht="15.75" customHeight="1">
      <c r="D1199" s="2"/>
      <c r="E1199" s="1"/>
    </row>
    <row r="1200" ht="15.75" customHeight="1">
      <c r="D1200" s="2"/>
      <c r="E1200" s="1"/>
    </row>
    <row r="1201" ht="15.75" customHeight="1">
      <c r="D1201" s="2"/>
      <c r="E1201" s="1"/>
    </row>
    <row r="1202" ht="15.75" customHeight="1">
      <c r="D1202" s="2"/>
      <c r="E1202" s="1"/>
    </row>
    <row r="1203" ht="15.75" customHeight="1">
      <c r="D1203" s="2"/>
      <c r="E1203" s="1"/>
    </row>
    <row r="1204" ht="15.75" customHeight="1">
      <c r="D1204" s="2"/>
      <c r="E1204" s="1"/>
    </row>
    <row r="1205" ht="15.75" customHeight="1">
      <c r="D1205" s="2"/>
      <c r="E1205" s="1"/>
    </row>
    <row r="1206" ht="15.75" customHeight="1">
      <c r="D1206" s="2"/>
      <c r="E1206" s="1"/>
    </row>
    <row r="1207" ht="15.75" customHeight="1">
      <c r="D1207" s="2"/>
      <c r="E1207" s="1"/>
    </row>
    <row r="1208" ht="15.75" customHeight="1">
      <c r="D1208" s="2"/>
      <c r="E1208" s="1"/>
    </row>
    <row r="1209" ht="15.75" customHeight="1">
      <c r="D1209" s="2"/>
      <c r="E1209" s="1"/>
    </row>
    <row r="1210" ht="15.75" customHeight="1">
      <c r="D1210" s="2"/>
      <c r="E1210" s="1"/>
    </row>
    <row r="1211" ht="15.75" customHeight="1">
      <c r="D1211" s="2"/>
      <c r="E1211" s="1"/>
    </row>
    <row r="1212" ht="15.75" customHeight="1">
      <c r="D1212" s="2"/>
      <c r="E1212" s="1"/>
    </row>
    <row r="1213" ht="15.75" customHeight="1">
      <c r="D1213" s="2"/>
      <c r="E1213" s="1"/>
    </row>
    <row r="1214" ht="15.75" customHeight="1">
      <c r="D1214" s="2"/>
      <c r="E1214" s="1"/>
    </row>
    <row r="1215" ht="15.75" customHeight="1">
      <c r="D1215" s="2"/>
      <c r="E1215" s="1"/>
    </row>
    <row r="1216" ht="15.75" customHeight="1">
      <c r="D1216" s="2"/>
      <c r="E1216" s="1"/>
    </row>
    <row r="1217" ht="15.75" customHeight="1">
      <c r="D1217" s="2"/>
      <c r="E1217" s="1"/>
    </row>
    <row r="1218" ht="15.75" customHeight="1">
      <c r="D1218" s="2"/>
      <c r="E1218" s="1"/>
    </row>
    <row r="1219" ht="15.75" customHeight="1">
      <c r="D1219" s="2"/>
      <c r="E1219" s="1"/>
    </row>
    <row r="1220" ht="15.75" customHeight="1">
      <c r="D1220" s="2"/>
      <c r="E1220" s="1"/>
    </row>
    <row r="1221" ht="15.75" customHeight="1">
      <c r="D1221" s="2"/>
      <c r="E1221" s="1"/>
    </row>
    <row r="1222" ht="15.75" customHeight="1">
      <c r="D1222" s="2"/>
      <c r="E1222" s="1"/>
    </row>
    <row r="1223" ht="15.75" customHeight="1">
      <c r="D1223" s="2"/>
      <c r="E1223" s="1"/>
    </row>
    <row r="1224" ht="15.75" customHeight="1">
      <c r="D1224" s="2"/>
      <c r="E1224" s="1"/>
    </row>
    <row r="1225" ht="15.75" customHeight="1">
      <c r="D1225" s="2"/>
      <c r="E1225" s="1"/>
    </row>
    <row r="1226" ht="15.75" customHeight="1">
      <c r="D1226" s="2"/>
      <c r="E1226" s="1"/>
    </row>
    <row r="1227" ht="15.75" customHeight="1">
      <c r="D1227" s="2"/>
      <c r="E1227" s="1"/>
    </row>
    <row r="1228" ht="15.75" customHeight="1">
      <c r="D1228" s="2"/>
      <c r="E1228" s="1"/>
    </row>
    <row r="1229" ht="15.75" customHeight="1">
      <c r="D1229" s="2"/>
      <c r="E1229" s="1"/>
    </row>
    <row r="1230" ht="15.75" customHeight="1">
      <c r="D1230" s="2"/>
      <c r="E1230" s="1"/>
    </row>
    <row r="1231" ht="15.75" customHeight="1">
      <c r="D1231" s="2"/>
      <c r="E1231" s="1"/>
    </row>
    <row r="1232" ht="15.75" customHeight="1">
      <c r="D1232" s="2"/>
      <c r="E1232" s="1"/>
    </row>
    <row r="1233" ht="15.75" customHeight="1">
      <c r="D1233" s="2"/>
      <c r="E1233" s="1"/>
    </row>
    <row r="1234" ht="15.75" customHeight="1">
      <c r="D1234" s="2"/>
      <c r="E1234" s="1"/>
    </row>
    <row r="1235" ht="15.75" customHeight="1">
      <c r="D1235" s="2"/>
      <c r="E1235" s="1"/>
    </row>
    <row r="1236" ht="15.75" customHeight="1">
      <c r="D1236" s="2"/>
      <c r="E1236" s="1"/>
    </row>
    <row r="1237" ht="15.75" customHeight="1">
      <c r="D1237" s="2"/>
      <c r="E1237" s="1"/>
    </row>
    <row r="1238">
      <c r="D1238" s="2"/>
      <c r="E1238" s="1"/>
    </row>
    <row r="1239">
      <c r="D1239" s="2"/>
      <c r="E1239" s="1"/>
    </row>
    <row r="1240">
      <c r="D1240" s="2"/>
      <c r="E1240" s="1"/>
    </row>
    <row r="1241">
      <c r="D1241" s="2"/>
      <c r="E1241" s="1"/>
    </row>
    <row r="1242">
      <c r="D1242" s="2"/>
      <c r="E1242" s="1"/>
    </row>
    <row r="1243">
      <c r="D1243" s="2"/>
      <c r="E1243" s="1"/>
    </row>
    <row r="1244">
      <c r="D1244" s="2"/>
      <c r="E1244" s="1"/>
    </row>
    <row r="1245">
      <c r="D1245" s="2"/>
      <c r="E1245" s="1"/>
    </row>
    <row r="1246">
      <c r="D1246" s="2"/>
      <c r="E1246" s="1"/>
    </row>
    <row r="1247">
      <c r="D1247" s="2"/>
    </row>
  </sheetData>
  <mergeCells count="265">
    <mergeCell ref="E49:E55"/>
    <mergeCell ref="E56:E63"/>
    <mergeCell ref="G57:G68"/>
    <mergeCell ref="E64:E74"/>
    <mergeCell ref="E75:E82"/>
    <mergeCell ref="E83:E91"/>
    <mergeCell ref="E92:E98"/>
    <mergeCell ref="E99:E108"/>
    <mergeCell ref="G104:G112"/>
    <mergeCell ref="E109:E122"/>
    <mergeCell ref="E123:E131"/>
    <mergeCell ref="G125:G132"/>
    <mergeCell ref="E132:E138"/>
    <mergeCell ref="G135:G143"/>
    <mergeCell ref="A22:A29"/>
    <mergeCell ref="A30:A36"/>
    <mergeCell ref="A37:A40"/>
    <mergeCell ref="A41:A48"/>
    <mergeCell ref="A49:A55"/>
    <mergeCell ref="A56:A63"/>
    <mergeCell ref="A64:A74"/>
    <mergeCell ref="A75:A82"/>
    <mergeCell ref="A83:A91"/>
    <mergeCell ref="A92:A98"/>
    <mergeCell ref="A99:A108"/>
    <mergeCell ref="A109:A122"/>
    <mergeCell ref="A123:A131"/>
    <mergeCell ref="A132:A138"/>
    <mergeCell ref="A2:E2"/>
    <mergeCell ref="A4:A10"/>
    <mergeCell ref="E4:E10"/>
    <mergeCell ref="A11:A21"/>
    <mergeCell ref="E11:E21"/>
    <mergeCell ref="G12:G24"/>
    <mergeCell ref="E22:E29"/>
    <mergeCell ref="E30:E36"/>
    <mergeCell ref="G32:H40"/>
    <mergeCell ref="E37:E40"/>
    <mergeCell ref="J38:J41"/>
    <mergeCell ref="E41:E48"/>
    <mergeCell ref="J43:J50"/>
    <mergeCell ref="G44:G52"/>
    <mergeCell ref="G76:G86"/>
    <mergeCell ref="G93:G97"/>
    <mergeCell ref="G179:G188"/>
    <mergeCell ref="G224:G231"/>
    <mergeCell ref="G234:G246"/>
    <mergeCell ref="G261:G266"/>
    <mergeCell ref="F191:N191"/>
    <mergeCell ref="G194:I194"/>
    <mergeCell ref="G195:I195"/>
    <mergeCell ref="G196:I196"/>
    <mergeCell ref="E139:E144"/>
    <mergeCell ref="E145:E155"/>
    <mergeCell ref="E156:E167"/>
    <mergeCell ref="E168:E175"/>
    <mergeCell ref="E176:E184"/>
    <mergeCell ref="E185:E192"/>
    <mergeCell ref="E193:E199"/>
    <mergeCell ref="A228:A231"/>
    <mergeCell ref="A241:A244"/>
    <mergeCell ref="E200:E204"/>
    <mergeCell ref="E205:E213"/>
    <mergeCell ref="E214:E220"/>
    <mergeCell ref="E221:E227"/>
    <mergeCell ref="E228:E231"/>
    <mergeCell ref="E232:E240"/>
    <mergeCell ref="E241:E244"/>
    <mergeCell ref="E245:E250"/>
    <mergeCell ref="E251:E255"/>
    <mergeCell ref="E256:E260"/>
    <mergeCell ref="E261:E264"/>
    <mergeCell ref="J266:J273"/>
    <mergeCell ref="I267:I271"/>
    <mergeCell ref="G268:G271"/>
    <mergeCell ref="E265:E270"/>
    <mergeCell ref="E271:E275"/>
    <mergeCell ref="E276:E281"/>
    <mergeCell ref="G278:G284"/>
    <mergeCell ref="E282:E286"/>
    <mergeCell ref="J282:J295"/>
    <mergeCell ref="E287:E291"/>
    <mergeCell ref="E322:E325"/>
    <mergeCell ref="E326:E329"/>
    <mergeCell ref="G341:G345"/>
    <mergeCell ref="E342:E345"/>
    <mergeCell ref="E292:E296"/>
    <mergeCell ref="E297:E301"/>
    <mergeCell ref="E302:E306"/>
    <mergeCell ref="E307:E309"/>
    <mergeCell ref="E310:E313"/>
    <mergeCell ref="G320:G324"/>
    <mergeCell ref="G326:G332"/>
    <mergeCell ref="E318:E321"/>
    <mergeCell ref="E330:E333"/>
    <mergeCell ref="E334:E337"/>
    <mergeCell ref="E338:E341"/>
    <mergeCell ref="E346:E349"/>
    <mergeCell ref="E350:E353"/>
    <mergeCell ref="E354:E357"/>
    <mergeCell ref="E358:E361"/>
    <mergeCell ref="E362:E365"/>
    <mergeCell ref="E366:E369"/>
    <mergeCell ref="E370:E373"/>
    <mergeCell ref="E374:E377"/>
    <mergeCell ref="E378:E381"/>
    <mergeCell ref="E382:E385"/>
    <mergeCell ref="A415:A421"/>
    <mergeCell ref="A422:A425"/>
    <mergeCell ref="A426:A431"/>
    <mergeCell ref="A432:A436"/>
    <mergeCell ref="A437:A442"/>
    <mergeCell ref="A443:A447"/>
    <mergeCell ref="A448:A457"/>
    <mergeCell ref="A458:A467"/>
    <mergeCell ref="A468:A474"/>
    <mergeCell ref="A475:A480"/>
    <mergeCell ref="A481:A486"/>
    <mergeCell ref="A487:A490"/>
    <mergeCell ref="A491:A495"/>
    <mergeCell ref="A496:A501"/>
    <mergeCell ref="A502:A505"/>
    <mergeCell ref="A506:A510"/>
    <mergeCell ref="A511:A515"/>
    <mergeCell ref="A516:A523"/>
    <mergeCell ref="A524:A531"/>
    <mergeCell ref="A532:A540"/>
    <mergeCell ref="A541:A547"/>
    <mergeCell ref="A548:A553"/>
    <mergeCell ref="A554:A559"/>
    <mergeCell ref="A560:A564"/>
    <mergeCell ref="A565:A570"/>
    <mergeCell ref="A571:A575"/>
    <mergeCell ref="A576:A581"/>
    <mergeCell ref="A582:A589"/>
    <mergeCell ref="A590:A597"/>
    <mergeCell ref="A598:A607"/>
    <mergeCell ref="A608:A615"/>
    <mergeCell ref="A616:A624"/>
    <mergeCell ref="A625:A629"/>
    <mergeCell ref="A630:A635"/>
    <mergeCell ref="A636:A639"/>
    <mergeCell ref="A672:A675"/>
    <mergeCell ref="A676:A679"/>
    <mergeCell ref="A680:A684"/>
    <mergeCell ref="A640:A644"/>
    <mergeCell ref="A645:A648"/>
    <mergeCell ref="A649:A653"/>
    <mergeCell ref="A654:A657"/>
    <mergeCell ref="A658:A662"/>
    <mergeCell ref="A663:A667"/>
    <mergeCell ref="A668:A671"/>
    <mergeCell ref="A139:A144"/>
    <mergeCell ref="A145:A155"/>
    <mergeCell ref="A156:A167"/>
    <mergeCell ref="A168:A175"/>
    <mergeCell ref="A176:A184"/>
    <mergeCell ref="A185:A192"/>
    <mergeCell ref="A193:A199"/>
    <mergeCell ref="A200:A204"/>
    <mergeCell ref="A205:A213"/>
    <mergeCell ref="A214:A220"/>
    <mergeCell ref="A221:A227"/>
    <mergeCell ref="A232:A240"/>
    <mergeCell ref="A245:A250"/>
    <mergeCell ref="A251:A255"/>
    <mergeCell ref="A256:A260"/>
    <mergeCell ref="A261:A264"/>
    <mergeCell ref="A265:A270"/>
    <mergeCell ref="A271:A275"/>
    <mergeCell ref="A276:A281"/>
    <mergeCell ref="A282:A286"/>
    <mergeCell ref="A287:A291"/>
    <mergeCell ref="A292:A296"/>
    <mergeCell ref="A297:A301"/>
    <mergeCell ref="A302:A306"/>
    <mergeCell ref="A307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402"/>
    <mergeCell ref="A403:A407"/>
    <mergeCell ref="A408:A414"/>
    <mergeCell ref="E560:E564"/>
    <mergeCell ref="G560:G565"/>
    <mergeCell ref="G566:G572"/>
    <mergeCell ref="G578:G586"/>
    <mergeCell ref="G588:G594"/>
    <mergeCell ref="G596:G600"/>
    <mergeCell ref="G602:G608"/>
    <mergeCell ref="E565:E570"/>
    <mergeCell ref="E571:E575"/>
    <mergeCell ref="E576:E581"/>
    <mergeCell ref="E582:E589"/>
    <mergeCell ref="E590:E597"/>
    <mergeCell ref="E598:E607"/>
    <mergeCell ref="E608:E615"/>
    <mergeCell ref="E386:E389"/>
    <mergeCell ref="E390:E393"/>
    <mergeCell ref="E394:E402"/>
    <mergeCell ref="E403:E407"/>
    <mergeCell ref="E408:E414"/>
    <mergeCell ref="E415:E421"/>
    <mergeCell ref="E422:E425"/>
    <mergeCell ref="E426:E431"/>
    <mergeCell ref="E432:E436"/>
    <mergeCell ref="E437:E442"/>
    <mergeCell ref="E443:E447"/>
    <mergeCell ref="E448:E457"/>
    <mergeCell ref="E458:E467"/>
    <mergeCell ref="E468:E474"/>
    <mergeCell ref="E475:E480"/>
    <mergeCell ref="E481:E486"/>
    <mergeCell ref="E487:E490"/>
    <mergeCell ref="E491:E495"/>
    <mergeCell ref="E496:E501"/>
    <mergeCell ref="E502:E505"/>
    <mergeCell ref="E506:E510"/>
    <mergeCell ref="E511:E515"/>
    <mergeCell ref="E516:E523"/>
    <mergeCell ref="E524:E531"/>
    <mergeCell ref="E532:E540"/>
    <mergeCell ref="E541:E547"/>
    <mergeCell ref="E548:E553"/>
    <mergeCell ref="E554:E559"/>
    <mergeCell ref="J602:J608"/>
    <mergeCell ref="K605:K606"/>
    <mergeCell ref="L605:L606"/>
    <mergeCell ref="G609:G616"/>
    <mergeCell ref="G617:G618"/>
    <mergeCell ref="G627:G629"/>
    <mergeCell ref="G654:G657"/>
    <mergeCell ref="G658:G661"/>
    <mergeCell ref="E654:E657"/>
    <mergeCell ref="E658:E662"/>
    <mergeCell ref="E663:E667"/>
    <mergeCell ref="E668:E671"/>
    <mergeCell ref="E672:E675"/>
    <mergeCell ref="E676:E679"/>
    <mergeCell ref="E680:E684"/>
    <mergeCell ref="E616:E624"/>
    <mergeCell ref="E625:E629"/>
    <mergeCell ref="E630:E635"/>
    <mergeCell ref="E636:E639"/>
    <mergeCell ref="E640:E644"/>
    <mergeCell ref="E645:E648"/>
    <mergeCell ref="E649:E65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6.43"/>
    <col customWidth="1" min="3" max="3" width="22.29"/>
    <col customWidth="1" min="4" max="4" width="18.57"/>
    <col customWidth="1" min="5" max="5" width="23.43"/>
    <col customWidth="1" min="6" max="6" width="23.86"/>
    <col customWidth="1" min="7" max="7" width="29.57"/>
    <col customWidth="1" min="8" max="8" width="26.14"/>
    <col customWidth="1" min="9" max="9" width="27.86"/>
    <col customWidth="1" min="10" max="10" width="33.71"/>
    <col customWidth="1" min="11" max="11" width="39.0"/>
    <col customWidth="1" min="12" max="12" width="26.0"/>
    <col customWidth="1" min="13" max="13" width="30.14"/>
    <col customWidth="1" min="14" max="24" width="8.71"/>
  </cols>
  <sheetData>
    <row r="1">
      <c r="A1" s="9"/>
      <c r="B1" s="460"/>
      <c r="C1" s="460"/>
      <c r="D1" s="17"/>
      <c r="E1" s="9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</row>
    <row r="2" ht="39.75" customHeight="1">
      <c r="A2" s="280" t="s">
        <v>520</v>
      </c>
      <c r="B2" s="4"/>
      <c r="C2" s="4"/>
      <c r="D2" s="4"/>
      <c r="E2" s="5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</row>
    <row r="3">
      <c r="A3" s="6" t="s">
        <v>1</v>
      </c>
      <c r="B3" s="6"/>
      <c r="C3" s="6" t="s">
        <v>2</v>
      </c>
      <c r="D3" s="7" t="s">
        <v>3</v>
      </c>
      <c r="E3" s="6" t="s">
        <v>4</v>
      </c>
      <c r="F3" s="460"/>
      <c r="G3" s="460"/>
      <c r="H3" s="9"/>
      <c r="I3" s="1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</row>
    <row r="4" ht="27.0" customHeight="1">
      <c r="A4" s="295" t="s">
        <v>5</v>
      </c>
      <c r="B4" s="160" t="s">
        <v>594</v>
      </c>
      <c r="C4" s="155">
        <v>7431500.0</v>
      </c>
      <c r="D4" s="152" t="s">
        <v>7</v>
      </c>
      <c r="E4" s="401">
        <f>sum(C7)</f>
        <v>5385000</v>
      </c>
      <c r="F4" s="460"/>
      <c r="G4" s="460"/>
      <c r="H4" s="9"/>
      <c r="I4" s="17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</row>
    <row r="5" ht="25.5" customHeight="1">
      <c r="A5" s="18"/>
      <c r="B5" s="160" t="s">
        <v>595</v>
      </c>
      <c r="C5" s="155">
        <v>4.3181E7</v>
      </c>
      <c r="D5" s="193" t="s">
        <v>7</v>
      </c>
      <c r="E5" s="18"/>
      <c r="F5" s="53"/>
      <c r="G5" s="460"/>
      <c r="H5" s="9"/>
      <c r="I5" s="1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</row>
    <row r="6" ht="25.5" customHeight="1">
      <c r="A6" s="18"/>
      <c r="B6" s="160" t="s">
        <v>596</v>
      </c>
      <c r="C6" s="155">
        <v>4191000.0</v>
      </c>
      <c r="D6" s="193" t="s">
        <v>7</v>
      </c>
      <c r="E6" s="18"/>
      <c r="F6" s="460"/>
      <c r="G6" s="460"/>
      <c r="H6" s="9"/>
      <c r="I6" s="10"/>
      <c r="J6" s="460"/>
      <c r="K6" s="460"/>
      <c r="L6" s="460"/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</row>
    <row r="7" ht="25.5" customHeight="1">
      <c r="A7" s="18"/>
      <c r="B7" s="192" t="s">
        <v>597</v>
      </c>
      <c r="C7" s="155">
        <v>5385000.0</v>
      </c>
      <c r="D7" s="193"/>
      <c r="E7" s="18"/>
      <c r="F7" s="460"/>
      <c r="G7" s="460"/>
      <c r="H7" s="9"/>
      <c r="I7" s="1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</row>
    <row r="8" ht="25.5" customHeight="1">
      <c r="A8" s="18"/>
      <c r="B8" s="160"/>
      <c r="C8" s="155"/>
      <c r="D8" s="193"/>
      <c r="E8" s="18"/>
      <c r="F8" s="27"/>
      <c r="G8" s="460"/>
      <c r="H8" s="27"/>
      <c r="I8" s="28"/>
      <c r="J8" s="460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ht="25.5" customHeight="1">
      <c r="A9" s="18"/>
      <c r="B9" s="158"/>
      <c r="C9" s="155"/>
      <c r="D9" s="440"/>
      <c r="E9" s="18"/>
      <c r="F9" s="27"/>
      <c r="G9" s="460"/>
      <c r="H9" s="27"/>
      <c r="I9" s="28"/>
      <c r="J9" s="460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ht="26.25" customHeight="1">
      <c r="A10" s="22"/>
      <c r="B10" s="159"/>
      <c r="C10" s="155"/>
      <c r="D10" s="287"/>
      <c r="E10" s="22"/>
      <c r="F10" s="27"/>
      <c r="G10" s="460"/>
      <c r="H10" s="27"/>
      <c r="I10" s="28"/>
      <c r="J10" s="460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ht="25.5" customHeight="1">
      <c r="A11" s="295" t="s">
        <v>11</v>
      </c>
      <c r="B11" s="160" t="s">
        <v>415</v>
      </c>
      <c r="C11" s="160">
        <v>1.337E7</v>
      </c>
      <c r="D11" s="192" t="s">
        <v>7</v>
      </c>
      <c r="E11" s="441">
        <f>sum(C15:C18)</f>
        <v>44365000</v>
      </c>
      <c r="F11" s="460"/>
      <c r="G11" s="460"/>
      <c r="H11" s="9"/>
      <c r="I11" s="10"/>
      <c r="J11" s="460"/>
      <c r="K11" s="460"/>
      <c r="L11" s="460"/>
      <c r="M11" s="460"/>
      <c r="N11" s="460"/>
      <c r="O11" s="460"/>
      <c r="P11" s="460"/>
      <c r="Q11" s="460"/>
      <c r="R11" s="460"/>
      <c r="S11" s="460"/>
      <c r="T11" s="460"/>
      <c r="U11" s="460"/>
      <c r="V11" s="460"/>
      <c r="W11" s="460"/>
      <c r="X11" s="460"/>
    </row>
    <row r="12" ht="25.5" customHeight="1">
      <c r="A12" s="18"/>
      <c r="B12" s="160" t="s">
        <v>416</v>
      </c>
      <c r="C12" s="207">
        <v>8760000.0</v>
      </c>
      <c r="D12" s="192" t="s">
        <v>7</v>
      </c>
      <c r="E12" s="18"/>
      <c r="F12" s="460"/>
      <c r="G12" s="32"/>
      <c r="H12" s="9"/>
      <c r="I12" s="1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60"/>
    </row>
    <row r="13" ht="25.5" customHeight="1">
      <c r="A13" s="18"/>
      <c r="B13" s="160" t="s">
        <v>419</v>
      </c>
      <c r="C13" s="155">
        <v>1.22882E7</v>
      </c>
      <c r="D13" s="192" t="s">
        <v>7</v>
      </c>
      <c r="E13" s="18"/>
      <c r="F13" s="460"/>
      <c r="H13" s="9"/>
      <c r="I13" s="10"/>
      <c r="J13" s="460"/>
      <c r="K13" s="460"/>
      <c r="L13" s="460"/>
      <c r="M13" s="460"/>
      <c r="N13" s="460"/>
      <c r="O13" s="460"/>
      <c r="P13" s="460"/>
      <c r="Q13" s="460"/>
      <c r="R13" s="460"/>
      <c r="S13" s="460"/>
      <c r="T13" s="460"/>
      <c r="U13" s="460"/>
      <c r="V13" s="460"/>
      <c r="W13" s="460"/>
      <c r="X13" s="460"/>
    </row>
    <row r="14" ht="25.5" customHeight="1">
      <c r="A14" s="18"/>
      <c r="B14" s="160" t="s">
        <v>414</v>
      </c>
      <c r="C14" s="155">
        <v>2.854E7</v>
      </c>
      <c r="D14" s="156" t="s">
        <v>7</v>
      </c>
      <c r="E14" s="18"/>
      <c r="F14" s="460"/>
      <c r="H14" s="9"/>
      <c r="I14" s="10"/>
      <c r="J14" s="460"/>
      <c r="K14" s="460"/>
      <c r="L14" s="460"/>
      <c r="M14" s="460"/>
      <c r="N14" s="460"/>
      <c r="O14" s="460"/>
      <c r="P14" s="460"/>
      <c r="Q14" s="460"/>
      <c r="R14" s="460"/>
      <c r="S14" s="460"/>
      <c r="T14" s="460"/>
      <c r="U14" s="460"/>
      <c r="V14" s="460"/>
      <c r="W14" s="460"/>
      <c r="X14" s="460"/>
    </row>
    <row r="15" ht="25.5" customHeight="1">
      <c r="A15" s="18"/>
      <c r="B15" s="160" t="s">
        <v>594</v>
      </c>
      <c r="C15" s="155">
        <v>1.04268E7</v>
      </c>
      <c r="D15" s="156"/>
      <c r="E15" s="18"/>
      <c r="F15" s="460"/>
      <c r="H15" s="9"/>
      <c r="I15" s="10"/>
      <c r="J15" s="460"/>
      <c r="K15" s="460"/>
      <c r="L15" s="460"/>
      <c r="M15" s="460"/>
      <c r="N15" s="460"/>
      <c r="O15" s="460"/>
      <c r="P15" s="460"/>
      <c r="Q15" s="460"/>
      <c r="R15" s="460"/>
      <c r="S15" s="460"/>
      <c r="T15" s="460"/>
      <c r="U15" s="460"/>
      <c r="V15" s="460"/>
      <c r="W15" s="460"/>
      <c r="X15" s="460"/>
    </row>
    <row r="16" ht="25.5" customHeight="1">
      <c r="A16" s="18"/>
      <c r="B16" s="160" t="s">
        <v>595</v>
      </c>
      <c r="C16" s="160">
        <v>8780000.0</v>
      </c>
      <c r="D16" s="156"/>
      <c r="E16" s="18"/>
      <c r="F16" s="281"/>
      <c r="H16" s="9"/>
      <c r="I16" s="10"/>
      <c r="J16" s="460"/>
      <c r="K16" s="460"/>
      <c r="L16" s="460"/>
      <c r="M16" s="460"/>
      <c r="N16" s="460"/>
      <c r="O16" s="460"/>
      <c r="P16" s="460"/>
      <c r="Q16" s="460"/>
      <c r="R16" s="460"/>
      <c r="S16" s="460"/>
      <c r="T16" s="460"/>
      <c r="U16" s="460"/>
      <c r="V16" s="460"/>
      <c r="W16" s="460"/>
      <c r="X16" s="460"/>
    </row>
    <row r="17" ht="25.5" customHeight="1">
      <c r="A17" s="18"/>
      <c r="B17" s="160" t="s">
        <v>596</v>
      </c>
      <c r="C17" s="160">
        <v>8623200.0</v>
      </c>
      <c r="D17" s="156"/>
      <c r="E17" s="18"/>
      <c r="F17" s="281"/>
      <c r="H17" s="9"/>
      <c r="I17" s="10"/>
      <c r="J17" s="460"/>
      <c r="K17" s="460"/>
      <c r="L17" s="460"/>
      <c r="M17" s="460"/>
      <c r="N17" s="460"/>
      <c r="O17" s="460"/>
      <c r="P17" s="460"/>
      <c r="Q17" s="460"/>
      <c r="R17" s="460"/>
      <c r="S17" s="460"/>
      <c r="T17" s="460"/>
      <c r="U17" s="460"/>
      <c r="V17" s="460"/>
      <c r="W17" s="460"/>
      <c r="X17" s="460"/>
    </row>
    <row r="18" ht="25.5" customHeight="1">
      <c r="A18" s="22"/>
      <c r="B18" s="192" t="s">
        <v>597</v>
      </c>
      <c r="C18" s="160">
        <v>1.6535E7</v>
      </c>
      <c r="D18" s="156"/>
      <c r="E18" s="22"/>
      <c r="F18" s="281"/>
      <c r="H18" s="9"/>
      <c r="I18" s="10"/>
      <c r="J18" s="460"/>
      <c r="K18" s="460"/>
      <c r="L18" s="460"/>
      <c r="M18" s="460"/>
      <c r="N18" s="460"/>
      <c r="O18" s="460"/>
      <c r="P18" s="460"/>
      <c r="Q18" s="460"/>
      <c r="R18" s="460"/>
      <c r="S18" s="460"/>
      <c r="T18" s="460"/>
      <c r="U18" s="460"/>
      <c r="V18" s="460"/>
      <c r="W18" s="460"/>
      <c r="X18" s="460"/>
    </row>
    <row r="19" ht="25.5" customHeight="1">
      <c r="A19" s="295" t="s">
        <v>16</v>
      </c>
      <c r="B19" s="160" t="s">
        <v>598</v>
      </c>
      <c r="C19" s="160">
        <v>1.14E7</v>
      </c>
      <c r="D19" s="173" t="s">
        <v>7</v>
      </c>
      <c r="E19" s="441">
        <f>sum(C20:C23)</f>
        <v>58975000</v>
      </c>
      <c r="F19" s="460"/>
      <c r="H19" s="9"/>
      <c r="I19" s="10"/>
      <c r="J19" s="460"/>
      <c r="K19" s="460"/>
      <c r="L19" s="460"/>
      <c r="M19" s="460"/>
      <c r="N19" s="460"/>
      <c r="O19" s="460"/>
      <c r="P19" s="460"/>
      <c r="Q19" s="460"/>
      <c r="R19" s="460"/>
      <c r="S19" s="460"/>
      <c r="T19" s="460"/>
      <c r="U19" s="460"/>
      <c r="V19" s="460"/>
      <c r="W19" s="460"/>
      <c r="X19" s="460"/>
    </row>
    <row r="20" ht="25.5" customHeight="1">
      <c r="A20" s="18"/>
      <c r="B20" s="160" t="s">
        <v>599</v>
      </c>
      <c r="C20" s="160">
        <v>1.52E7</v>
      </c>
      <c r="D20" s="30"/>
      <c r="E20" s="18"/>
      <c r="F20" s="460"/>
      <c r="H20" s="9"/>
      <c r="I20" s="1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</row>
    <row r="21" ht="25.5" customHeight="1">
      <c r="A21" s="18"/>
      <c r="B21" s="160" t="s">
        <v>600</v>
      </c>
      <c r="C21" s="160">
        <v>2.6925E7</v>
      </c>
      <c r="D21" s="158"/>
      <c r="E21" s="18"/>
      <c r="F21" s="460"/>
      <c r="H21" s="9"/>
      <c r="I21" s="10"/>
      <c r="J21" s="460"/>
      <c r="K21" s="460"/>
      <c r="L21" s="460"/>
      <c r="M21" s="460"/>
      <c r="N21" s="460"/>
      <c r="O21" s="460"/>
      <c r="P21" s="460"/>
      <c r="Q21" s="460"/>
      <c r="R21" s="460"/>
      <c r="S21" s="460"/>
      <c r="T21" s="460"/>
      <c r="U21" s="460"/>
      <c r="V21" s="460"/>
      <c r="W21" s="460"/>
      <c r="X21" s="460"/>
    </row>
    <row r="22" ht="25.5" customHeight="1">
      <c r="A22" s="18"/>
      <c r="B22" s="160" t="s">
        <v>594</v>
      </c>
      <c r="C22" s="160">
        <v>9250000.0</v>
      </c>
      <c r="D22" s="158"/>
      <c r="E22" s="18"/>
      <c r="F22" s="460"/>
      <c r="G22" s="53">
        <f>4500*20</f>
        <v>90000</v>
      </c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460"/>
      <c r="T22" s="460"/>
      <c r="U22" s="460"/>
      <c r="V22" s="460"/>
      <c r="W22" s="460"/>
      <c r="X22" s="460"/>
    </row>
    <row r="23" ht="25.5" customHeight="1">
      <c r="A23" s="18"/>
      <c r="B23" s="192" t="s">
        <v>597</v>
      </c>
      <c r="C23" s="160">
        <v>7600000.0</v>
      </c>
      <c r="D23" s="158"/>
      <c r="E23" s="18"/>
      <c r="F23" s="460"/>
      <c r="G23" s="53"/>
      <c r="H23" s="460"/>
      <c r="I23" s="460"/>
      <c r="J23" s="460"/>
      <c r="K23" s="460"/>
      <c r="L23" s="460"/>
      <c r="M23" s="460"/>
      <c r="N23" s="460"/>
      <c r="O23" s="460"/>
      <c r="P23" s="460"/>
      <c r="Q23" s="460"/>
      <c r="R23" s="460"/>
      <c r="S23" s="460"/>
      <c r="T23" s="460"/>
      <c r="U23" s="460"/>
      <c r="V23" s="460"/>
      <c r="W23" s="460"/>
      <c r="X23" s="460"/>
    </row>
    <row r="24" ht="25.5" customHeight="1">
      <c r="A24" s="18"/>
      <c r="B24" s="160"/>
      <c r="C24" s="160"/>
      <c r="D24" s="158"/>
      <c r="E24" s="18"/>
      <c r="F24" s="460"/>
      <c r="G24" s="53"/>
      <c r="H24" s="460"/>
      <c r="I24" s="460"/>
      <c r="J24" s="460"/>
      <c r="K24" s="460"/>
      <c r="L24" s="460"/>
      <c r="M24" s="460"/>
      <c r="N24" s="460"/>
      <c r="O24" s="460"/>
      <c r="P24" s="460"/>
      <c r="Q24" s="460"/>
      <c r="R24" s="460"/>
      <c r="S24" s="460"/>
      <c r="T24" s="460"/>
      <c r="U24" s="460"/>
      <c r="V24" s="460"/>
      <c r="W24" s="460"/>
      <c r="X24" s="460"/>
    </row>
    <row r="25" ht="25.5" customHeight="1">
      <c r="A25" s="18"/>
      <c r="B25" s="160"/>
      <c r="C25" s="160"/>
      <c r="D25" s="30"/>
      <c r="E25" s="18"/>
      <c r="F25" s="460"/>
      <c r="G25" s="53"/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0"/>
      <c r="T25" s="460"/>
      <c r="U25" s="460"/>
      <c r="V25" s="460"/>
      <c r="W25" s="460"/>
      <c r="X25" s="460"/>
    </row>
    <row r="26" ht="25.5" customHeight="1">
      <c r="A26" s="22"/>
      <c r="B26" s="160"/>
      <c r="C26" s="160"/>
      <c r="D26" s="30"/>
      <c r="E26" s="22"/>
      <c r="F26" s="460"/>
      <c r="G26" s="53"/>
      <c r="H26" s="460"/>
      <c r="I26" s="460"/>
      <c r="J26" s="460"/>
      <c r="K26" s="460"/>
      <c r="L26" s="460"/>
      <c r="M26" s="460"/>
      <c r="N26" s="460"/>
      <c r="O26" s="460"/>
      <c r="P26" s="460"/>
      <c r="Q26" s="460"/>
      <c r="R26" s="460"/>
      <c r="S26" s="460"/>
      <c r="T26" s="460"/>
      <c r="U26" s="460"/>
      <c r="V26" s="460"/>
      <c r="W26" s="460"/>
      <c r="X26" s="460"/>
    </row>
    <row r="27" ht="25.5" customHeight="1">
      <c r="A27" s="295" t="s">
        <v>18</v>
      </c>
      <c r="B27" s="160" t="s">
        <v>594</v>
      </c>
      <c r="C27" s="155">
        <v>3.374E7</v>
      </c>
      <c r="D27" s="156" t="s">
        <v>7</v>
      </c>
      <c r="E27" s="401">
        <v>1.679E7</v>
      </c>
      <c r="F27" s="460"/>
      <c r="G27" s="460"/>
      <c r="H27" s="53">
        <f>4500*20</f>
        <v>90000</v>
      </c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  <c r="X27" s="460"/>
    </row>
    <row r="28" ht="25.5" customHeight="1">
      <c r="A28" s="18"/>
      <c r="B28" s="160" t="s">
        <v>595</v>
      </c>
      <c r="C28" s="160">
        <v>5.339E7</v>
      </c>
      <c r="D28" s="156" t="s">
        <v>7</v>
      </c>
      <c r="E28" s="18"/>
      <c r="F28" s="53"/>
      <c r="G28" s="460"/>
      <c r="H28" s="460"/>
      <c r="I28" s="460"/>
      <c r="J28" s="460"/>
      <c r="K28" s="460"/>
      <c r="L28" s="460"/>
      <c r="M28" s="460"/>
      <c r="N28" s="460"/>
      <c r="O28" s="460"/>
      <c r="P28" s="460"/>
      <c r="Q28" s="460"/>
      <c r="R28" s="460"/>
      <c r="S28" s="460"/>
      <c r="T28" s="460"/>
      <c r="U28" s="460"/>
      <c r="V28" s="460"/>
      <c r="W28" s="460"/>
      <c r="X28" s="460"/>
    </row>
    <row r="29" ht="25.5" customHeight="1">
      <c r="A29" s="18"/>
      <c r="B29" s="160" t="s">
        <v>596</v>
      </c>
      <c r="C29" s="155">
        <v>1.679E7</v>
      </c>
      <c r="D29" s="156"/>
      <c r="E29" s="18"/>
      <c r="F29" s="460"/>
      <c r="G29" s="8"/>
      <c r="I29" s="28"/>
      <c r="J29" s="460"/>
      <c r="K29" s="460"/>
      <c r="L29" s="460"/>
      <c r="M29" s="460"/>
      <c r="N29" s="460"/>
      <c r="O29" s="460"/>
      <c r="P29" s="460"/>
      <c r="Q29" s="460"/>
      <c r="R29" s="460"/>
      <c r="S29" s="460"/>
      <c r="T29" s="460"/>
      <c r="U29" s="460"/>
      <c r="V29" s="460"/>
      <c r="W29" s="460"/>
      <c r="X29" s="460"/>
    </row>
    <row r="30" ht="25.5" customHeight="1">
      <c r="A30" s="22"/>
      <c r="B30" s="192"/>
      <c r="C30" s="155"/>
      <c r="D30" s="173"/>
      <c r="E30" s="22"/>
      <c r="F30" s="460"/>
      <c r="I30" s="28"/>
      <c r="J30" s="460"/>
      <c r="K30" s="460"/>
      <c r="L30" s="460"/>
      <c r="M30" s="460"/>
      <c r="N30" s="460"/>
      <c r="O30" s="460"/>
      <c r="P30" s="460"/>
      <c r="Q30" s="460"/>
      <c r="R30" s="460"/>
      <c r="S30" s="460"/>
      <c r="T30" s="460"/>
      <c r="U30" s="460"/>
      <c r="V30" s="460"/>
      <c r="W30" s="460"/>
      <c r="X30" s="460"/>
    </row>
    <row r="31" ht="25.5" customHeight="1">
      <c r="A31" s="295" t="s">
        <v>19</v>
      </c>
      <c r="B31" s="160" t="s">
        <v>594</v>
      </c>
      <c r="C31" s="160">
        <v>2.262E7</v>
      </c>
      <c r="D31" s="173" t="s">
        <v>7</v>
      </c>
      <c r="E31" s="401">
        <v>2.784E7</v>
      </c>
      <c r="F31" s="460"/>
      <c r="I31" s="28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  <c r="X31" s="460"/>
    </row>
    <row r="32" ht="25.5" customHeight="1">
      <c r="A32" s="18"/>
      <c r="B32" s="160" t="s">
        <v>595</v>
      </c>
      <c r="C32" s="155">
        <v>2.806E7</v>
      </c>
      <c r="D32" s="173" t="s">
        <v>7</v>
      </c>
      <c r="E32" s="18"/>
      <c r="F32" s="460"/>
      <c r="I32" s="28"/>
      <c r="J32" s="38" t="str">
        <f>H35</f>
        <v/>
      </c>
      <c r="K32" s="460"/>
      <c r="L32" s="460"/>
      <c r="M32" s="460"/>
      <c r="N32" s="460"/>
      <c r="O32" s="460"/>
      <c r="P32" s="460"/>
      <c r="Q32" s="460"/>
      <c r="R32" s="460"/>
      <c r="S32" s="460"/>
      <c r="T32" s="460"/>
      <c r="U32" s="460"/>
      <c r="V32" s="460"/>
      <c r="W32" s="460"/>
      <c r="X32" s="460"/>
    </row>
    <row r="33" ht="25.5" customHeight="1">
      <c r="A33" s="18"/>
      <c r="B33" s="192" t="s">
        <v>597</v>
      </c>
      <c r="C33" s="160">
        <v>2.784E7</v>
      </c>
      <c r="D33" s="460"/>
      <c r="E33" s="18"/>
      <c r="F33" s="53"/>
      <c r="I33" s="28"/>
      <c r="K33" s="460"/>
      <c r="L33" s="460"/>
      <c r="M33" s="460"/>
      <c r="N33" s="460"/>
      <c r="O33" s="460"/>
      <c r="P33" s="460"/>
      <c r="Q33" s="460"/>
      <c r="R33" s="460"/>
      <c r="S33" s="460"/>
      <c r="T33" s="460"/>
      <c r="U33" s="460"/>
      <c r="V33" s="460"/>
      <c r="W33" s="460"/>
      <c r="X33" s="460"/>
    </row>
    <row r="34" ht="25.5" customHeight="1">
      <c r="A34" s="22"/>
      <c r="B34" s="158"/>
      <c r="C34" s="155"/>
      <c r="D34" s="158"/>
      <c r="E34" s="22"/>
      <c r="F34" s="460"/>
      <c r="I34" s="28"/>
      <c r="K34" s="460"/>
      <c r="L34" s="460"/>
      <c r="M34" s="460"/>
      <c r="N34" s="460"/>
      <c r="O34" s="460"/>
      <c r="P34" s="460"/>
      <c r="Q34" s="460"/>
      <c r="R34" s="460"/>
      <c r="S34" s="460"/>
      <c r="T34" s="460"/>
      <c r="U34" s="460"/>
      <c r="V34" s="460"/>
      <c r="W34" s="460"/>
      <c r="X34" s="460"/>
    </row>
    <row r="35" ht="25.5" customHeight="1">
      <c r="A35" s="295" t="s">
        <v>20</v>
      </c>
      <c r="B35" s="160" t="s">
        <v>594</v>
      </c>
      <c r="C35" s="185">
        <v>5.9124E7</v>
      </c>
      <c r="D35" s="192" t="s">
        <v>7</v>
      </c>
      <c r="E35" s="401">
        <f>sum(C37:C38)</f>
        <v>59243000</v>
      </c>
      <c r="F35" s="460"/>
      <c r="G35" s="460"/>
      <c r="H35" s="460"/>
      <c r="I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</row>
    <row r="36" ht="25.5" customHeight="1">
      <c r="A36" s="18"/>
      <c r="B36" s="160" t="s">
        <v>595</v>
      </c>
      <c r="C36" s="185">
        <v>4.47045E7</v>
      </c>
      <c r="D36" s="192" t="s">
        <v>7</v>
      </c>
      <c r="E36" s="18"/>
      <c r="F36" s="53"/>
      <c r="G36" s="460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</row>
    <row r="37" ht="23.25" customHeight="1">
      <c r="A37" s="18"/>
      <c r="B37" s="160" t="s">
        <v>596</v>
      </c>
      <c r="C37" s="185">
        <v>2.55685E7</v>
      </c>
      <c r="D37" s="284"/>
      <c r="E37" s="18"/>
      <c r="F37" s="460"/>
      <c r="G37" s="460"/>
      <c r="H37" s="460"/>
      <c r="I37" s="460"/>
      <c r="J37" s="38"/>
      <c r="K37" s="460"/>
      <c r="L37" s="460"/>
      <c r="M37" s="460"/>
      <c r="N37" s="460"/>
      <c r="O37" s="460"/>
      <c r="P37" s="460"/>
      <c r="Q37" s="460"/>
      <c r="R37" s="460"/>
      <c r="S37" s="460"/>
      <c r="T37" s="460"/>
      <c r="U37" s="460"/>
      <c r="V37" s="460"/>
      <c r="W37" s="460"/>
      <c r="X37" s="460"/>
    </row>
    <row r="38" ht="23.25" customHeight="1">
      <c r="A38" s="22"/>
      <c r="B38" s="192" t="s">
        <v>597</v>
      </c>
      <c r="C38" s="185">
        <v>3.36745E7</v>
      </c>
      <c r="D38" s="284"/>
      <c r="E38" s="22"/>
      <c r="F38" s="460"/>
      <c r="G38" s="42"/>
      <c r="H38" s="9"/>
      <c r="I38" s="43"/>
      <c r="K38" s="460"/>
      <c r="L38" s="460"/>
      <c r="M38" s="460"/>
      <c r="N38" s="460"/>
      <c r="O38" s="460"/>
      <c r="P38" s="460"/>
      <c r="Q38" s="460"/>
      <c r="R38" s="460"/>
      <c r="S38" s="460"/>
      <c r="T38" s="460"/>
      <c r="U38" s="460"/>
      <c r="V38" s="460"/>
      <c r="W38" s="460"/>
      <c r="X38" s="460"/>
    </row>
    <row r="39" ht="23.25" customHeight="1">
      <c r="A39" s="295" t="s">
        <v>22</v>
      </c>
      <c r="B39" s="160" t="s">
        <v>600</v>
      </c>
      <c r="C39" s="185">
        <v>8148000.0</v>
      </c>
      <c r="D39" s="173" t="s">
        <v>7</v>
      </c>
      <c r="E39" s="401">
        <f>sum(C43:C44)</f>
        <v>7018000</v>
      </c>
      <c r="F39" s="460"/>
      <c r="H39" s="9"/>
      <c r="I39" s="43"/>
      <c r="K39" s="460"/>
      <c r="L39" s="460"/>
      <c r="M39" s="460"/>
      <c r="N39" s="460"/>
      <c r="O39" s="460"/>
      <c r="P39" s="460"/>
      <c r="Q39" s="460"/>
      <c r="R39" s="460"/>
      <c r="S39" s="460"/>
      <c r="T39" s="460"/>
      <c r="U39" s="460"/>
      <c r="V39" s="460"/>
      <c r="W39" s="460"/>
      <c r="X39" s="460"/>
    </row>
    <row r="40" ht="23.25" customHeight="1">
      <c r="A40" s="18"/>
      <c r="B40" s="160" t="s">
        <v>594</v>
      </c>
      <c r="C40" s="185">
        <v>5799000.0</v>
      </c>
      <c r="D40" s="173" t="s">
        <v>7</v>
      </c>
      <c r="E40" s="18"/>
      <c r="F40" s="460"/>
      <c r="H40" s="45"/>
      <c r="I40" s="43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</row>
    <row r="41" ht="23.25" customHeight="1">
      <c r="A41" s="18"/>
      <c r="B41" s="160" t="s">
        <v>414</v>
      </c>
      <c r="C41" s="185">
        <v>2.597E7</v>
      </c>
      <c r="D41" s="192" t="s">
        <v>7</v>
      </c>
      <c r="E41" s="18"/>
      <c r="F41" s="460"/>
      <c r="H41" s="9"/>
      <c r="I41" s="10"/>
      <c r="J41" s="46"/>
      <c r="K41" s="460"/>
      <c r="L41" s="460"/>
      <c r="M41" s="460"/>
      <c r="N41" s="460"/>
      <c r="O41" s="460"/>
      <c r="P41" s="460"/>
      <c r="Q41" s="460"/>
      <c r="R41" s="460"/>
      <c r="S41" s="460"/>
      <c r="T41" s="460"/>
      <c r="U41" s="460"/>
      <c r="V41" s="460"/>
      <c r="W41" s="460"/>
      <c r="X41" s="460"/>
    </row>
    <row r="42" ht="23.25" customHeight="1">
      <c r="A42" s="18"/>
      <c r="B42" s="160" t="s">
        <v>595</v>
      </c>
      <c r="C42" s="185">
        <v>4677000.0</v>
      </c>
      <c r="D42" s="192" t="s">
        <v>7</v>
      </c>
      <c r="E42" s="18"/>
      <c r="F42" s="460"/>
      <c r="H42" s="9"/>
      <c r="I42" s="9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60"/>
      <c r="V42" s="460"/>
      <c r="W42" s="460"/>
      <c r="X42" s="460"/>
    </row>
    <row r="43" ht="23.25" customHeight="1">
      <c r="A43" s="18"/>
      <c r="B43" s="160" t="s">
        <v>596</v>
      </c>
      <c r="C43" s="185">
        <v>4302000.0</v>
      </c>
      <c r="D43" s="158"/>
      <c r="E43" s="18"/>
      <c r="F43" s="460"/>
      <c r="G43" s="42"/>
      <c r="H43" s="9"/>
      <c r="I43" s="9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  <c r="X43" s="460"/>
    </row>
    <row r="44" ht="23.25" customHeight="1">
      <c r="A44" s="22"/>
      <c r="B44" s="192" t="s">
        <v>597</v>
      </c>
      <c r="C44" s="185">
        <v>2716000.0</v>
      </c>
      <c r="D44" s="158"/>
      <c r="E44" s="22"/>
      <c r="F44" s="460"/>
      <c r="G44" s="42"/>
      <c r="H44" s="9"/>
      <c r="I44" s="9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</row>
    <row r="45" ht="23.25" customHeight="1">
      <c r="A45" s="295" t="s">
        <v>23</v>
      </c>
      <c r="B45" s="160" t="s">
        <v>414</v>
      </c>
      <c r="C45" s="160">
        <v>3.5794E7</v>
      </c>
      <c r="D45" s="192" t="s">
        <v>7</v>
      </c>
      <c r="E45" s="401">
        <f>sum(C48:C49)</f>
        <v>36198800</v>
      </c>
      <c r="F45" s="460"/>
      <c r="G45" s="460"/>
      <c r="H45" s="460"/>
      <c r="I45" s="460"/>
      <c r="J45" s="460"/>
      <c r="K45" s="460"/>
      <c r="L45" s="460"/>
      <c r="M45" s="460"/>
      <c r="N45" s="460"/>
      <c r="O45" s="460"/>
      <c r="P45" s="460"/>
      <c r="Q45" s="460"/>
      <c r="R45" s="460"/>
      <c r="S45" s="460"/>
      <c r="T45" s="460"/>
      <c r="U45" s="460"/>
      <c r="V45" s="460"/>
      <c r="W45" s="460"/>
      <c r="X45" s="460"/>
    </row>
    <row r="46" ht="23.25" customHeight="1">
      <c r="A46" s="18"/>
      <c r="B46" s="160" t="s">
        <v>594</v>
      </c>
      <c r="C46" s="160">
        <v>2.27758E7</v>
      </c>
      <c r="D46" s="192" t="s">
        <v>7</v>
      </c>
      <c r="E46" s="18"/>
      <c r="F46" s="460"/>
      <c r="G46" s="8"/>
      <c r="H46" s="228"/>
      <c r="I46" s="442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60"/>
      <c r="V46" s="460"/>
      <c r="W46" s="460"/>
      <c r="X46" s="460"/>
    </row>
    <row r="47" ht="23.25" customHeight="1">
      <c r="A47" s="18"/>
      <c r="B47" s="160" t="s">
        <v>595</v>
      </c>
      <c r="C47" s="160">
        <v>2.07214E7</v>
      </c>
      <c r="D47" s="192" t="s">
        <v>7</v>
      </c>
      <c r="E47" s="18"/>
      <c r="F47" s="460"/>
      <c r="H47" s="228"/>
      <c r="I47" s="442"/>
      <c r="J47" s="460"/>
      <c r="K47" s="460"/>
      <c r="L47" s="460"/>
      <c r="M47" s="460"/>
      <c r="N47" s="460"/>
      <c r="O47" s="460"/>
      <c r="P47" s="460"/>
      <c r="Q47" s="460"/>
      <c r="R47" s="460"/>
      <c r="S47" s="460"/>
      <c r="T47" s="460"/>
      <c r="U47" s="460"/>
      <c r="V47" s="460"/>
      <c r="W47" s="460"/>
      <c r="X47" s="460"/>
    </row>
    <row r="48" ht="23.25" customHeight="1">
      <c r="A48" s="18"/>
      <c r="B48" s="160" t="s">
        <v>596</v>
      </c>
      <c r="C48" s="160">
        <v>1.83011E7</v>
      </c>
      <c r="D48" s="192"/>
      <c r="E48" s="18"/>
      <c r="F48" s="460"/>
      <c r="H48" s="228"/>
      <c r="I48" s="442"/>
      <c r="J48" s="460"/>
      <c r="K48" s="460"/>
      <c r="L48" s="460"/>
      <c r="M48" s="460"/>
      <c r="N48" s="460"/>
      <c r="O48" s="460"/>
      <c r="P48" s="460"/>
      <c r="Q48" s="460"/>
      <c r="R48" s="460"/>
      <c r="S48" s="460"/>
      <c r="T48" s="460"/>
      <c r="U48" s="460"/>
      <c r="V48" s="460"/>
      <c r="W48" s="460"/>
      <c r="X48" s="460"/>
    </row>
    <row r="49" ht="23.25" customHeight="1">
      <c r="A49" s="22"/>
      <c r="B49" s="192" t="s">
        <v>597</v>
      </c>
      <c r="C49" s="160">
        <v>1.78977E7</v>
      </c>
      <c r="D49" s="192"/>
      <c r="E49" s="22"/>
      <c r="F49" s="460"/>
      <c r="H49" s="228"/>
      <c r="I49" s="442"/>
      <c r="J49" s="460"/>
      <c r="K49" s="460"/>
      <c r="L49" s="460"/>
      <c r="M49" s="460"/>
      <c r="N49" s="460"/>
      <c r="O49" s="460"/>
      <c r="P49" s="460"/>
      <c r="Q49" s="460"/>
      <c r="R49" s="460"/>
      <c r="S49" s="460"/>
      <c r="T49" s="460"/>
      <c r="U49" s="460"/>
      <c r="V49" s="460"/>
      <c r="W49" s="460"/>
      <c r="X49" s="460"/>
    </row>
    <row r="50" ht="23.25" customHeight="1">
      <c r="A50" s="102" t="s">
        <v>25</v>
      </c>
      <c r="B50" s="160" t="s">
        <v>599</v>
      </c>
      <c r="C50" s="207">
        <v>1.7073E7</v>
      </c>
      <c r="D50" s="192"/>
      <c r="E50" s="441">
        <f>sum(C50:C52)</f>
        <v>44902000</v>
      </c>
      <c r="F50" s="460"/>
      <c r="H50" s="228"/>
      <c r="I50" s="442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60"/>
      <c r="V50" s="460"/>
      <c r="W50" s="460"/>
      <c r="X50" s="460"/>
    </row>
    <row r="51" ht="23.25" customHeight="1">
      <c r="A51" s="18"/>
      <c r="B51" s="160" t="s">
        <v>601</v>
      </c>
      <c r="C51" s="160">
        <v>2.4878E7</v>
      </c>
      <c r="D51" s="192"/>
      <c r="E51" s="18"/>
      <c r="F51" s="460"/>
      <c r="H51" s="228"/>
      <c r="I51" s="442"/>
      <c r="J51" s="460"/>
      <c r="K51" s="10"/>
      <c r="L51" s="50"/>
      <c r="M51" s="460"/>
      <c r="N51" s="460"/>
      <c r="O51" s="460"/>
      <c r="P51" s="460"/>
      <c r="Q51" s="460"/>
      <c r="R51" s="460"/>
      <c r="S51" s="460"/>
      <c r="T51" s="460"/>
      <c r="U51" s="460"/>
      <c r="V51" s="460"/>
      <c r="W51" s="460"/>
      <c r="X51" s="460"/>
    </row>
    <row r="52" ht="23.25" customHeight="1">
      <c r="A52" s="18"/>
      <c r="B52" s="160" t="s">
        <v>594</v>
      </c>
      <c r="C52" s="160">
        <v>2951000.0</v>
      </c>
      <c r="D52" s="192"/>
      <c r="E52" s="18"/>
      <c r="F52" s="460"/>
      <c r="H52" s="228"/>
      <c r="I52" s="442"/>
      <c r="J52" s="460"/>
      <c r="K52" s="10"/>
      <c r="L52" s="50"/>
      <c r="M52" s="460"/>
      <c r="N52" s="460"/>
      <c r="O52" s="460"/>
      <c r="P52" s="460"/>
      <c r="Q52" s="460"/>
      <c r="R52" s="460"/>
      <c r="S52" s="460"/>
      <c r="T52" s="460"/>
      <c r="U52" s="460"/>
      <c r="V52" s="460"/>
      <c r="W52" s="460"/>
      <c r="X52" s="460"/>
    </row>
    <row r="53" ht="23.25" customHeight="1">
      <c r="A53" s="22"/>
      <c r="B53" s="192"/>
      <c r="C53" s="160"/>
      <c r="D53" s="158"/>
      <c r="E53" s="22"/>
      <c r="F53" s="460"/>
      <c r="H53" s="460"/>
      <c r="I53" s="460"/>
      <c r="J53" s="460"/>
      <c r="K53" s="10"/>
      <c r="L53" s="5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  <c r="X53" s="460"/>
    </row>
    <row r="54" ht="23.25" customHeight="1">
      <c r="A54" s="102" t="s">
        <v>26</v>
      </c>
      <c r="B54" s="160" t="s">
        <v>602</v>
      </c>
      <c r="C54" s="286">
        <v>1.586239E8</v>
      </c>
      <c r="D54" s="287" t="s">
        <v>7</v>
      </c>
      <c r="E54" s="401">
        <v>1.066043E8</v>
      </c>
      <c r="F54" s="460"/>
      <c r="G54" s="460"/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0"/>
      <c r="W54" s="460"/>
      <c r="X54" s="460"/>
    </row>
    <row r="55" ht="23.25" customHeight="1">
      <c r="A55" s="18"/>
      <c r="B55" s="160" t="s">
        <v>594</v>
      </c>
      <c r="C55" s="286">
        <v>9.07405E7</v>
      </c>
      <c r="D55" s="287" t="s">
        <v>7</v>
      </c>
      <c r="E55" s="18"/>
      <c r="F55" s="53"/>
      <c r="G55" s="49"/>
      <c r="H55" s="56"/>
      <c r="I55" s="24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  <c r="U55" s="460"/>
      <c r="V55" s="460"/>
      <c r="W55" s="460"/>
      <c r="X55" s="460"/>
    </row>
    <row r="56" ht="23.25" customHeight="1">
      <c r="A56" s="18"/>
      <c r="B56" s="160" t="s">
        <v>595</v>
      </c>
      <c r="C56" s="160">
        <v>1.069133E8</v>
      </c>
      <c r="D56" s="287" t="s">
        <v>7</v>
      </c>
      <c r="E56" s="18"/>
      <c r="F56" s="460"/>
      <c r="G56" s="18"/>
      <c r="H56" s="19"/>
      <c r="I56" s="57"/>
      <c r="J56" s="460"/>
      <c r="K56" s="460"/>
      <c r="L56" s="460"/>
      <c r="M56" s="460"/>
      <c r="N56" s="460"/>
      <c r="O56" s="460"/>
      <c r="P56" s="460"/>
      <c r="Q56" s="460"/>
      <c r="R56" s="460"/>
      <c r="S56" s="460"/>
      <c r="T56" s="460"/>
      <c r="U56" s="460"/>
      <c r="V56" s="460"/>
      <c r="W56" s="460"/>
      <c r="X56" s="460"/>
    </row>
    <row r="57" ht="23.25" customHeight="1">
      <c r="A57" s="18"/>
      <c r="B57" s="160" t="s">
        <v>596</v>
      </c>
      <c r="C57" s="160">
        <v>7.90184E7</v>
      </c>
      <c r="D57" s="287" t="s">
        <v>7</v>
      </c>
      <c r="E57" s="18"/>
      <c r="F57" s="460"/>
      <c r="G57" s="18"/>
      <c r="H57" s="30"/>
      <c r="I57" s="24"/>
      <c r="J57" s="460"/>
      <c r="K57" s="460"/>
      <c r="L57" s="460"/>
      <c r="M57" s="460"/>
      <c r="N57" s="460"/>
      <c r="O57" s="460"/>
      <c r="P57" s="460"/>
      <c r="Q57" s="460"/>
      <c r="R57" s="460"/>
      <c r="S57" s="460"/>
      <c r="T57" s="460"/>
      <c r="U57" s="460"/>
      <c r="V57" s="460"/>
      <c r="W57" s="460"/>
      <c r="X57" s="460"/>
    </row>
    <row r="58" ht="23.25" customHeight="1">
      <c r="A58" s="22"/>
      <c r="B58" s="192" t="s">
        <v>597</v>
      </c>
      <c r="C58" s="160">
        <v>1.066043E8</v>
      </c>
      <c r="D58" s="287"/>
      <c r="E58" s="22"/>
      <c r="F58" s="460"/>
      <c r="G58" s="18"/>
      <c r="H58" s="30"/>
      <c r="I58" s="24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</row>
    <row r="59" ht="21.75" customHeight="1">
      <c r="A59" s="295" t="s">
        <v>29</v>
      </c>
      <c r="B59" s="160"/>
      <c r="C59" s="155"/>
      <c r="D59" s="173"/>
      <c r="E59" s="401">
        <f>sum(C60:C64)</f>
        <v>204020200</v>
      </c>
      <c r="F59" s="27"/>
      <c r="G59" s="18"/>
      <c r="H59" s="30"/>
      <c r="I59" s="24"/>
      <c r="J59" s="460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</row>
    <row r="60" ht="21.75" customHeight="1">
      <c r="A60" s="18"/>
      <c r="B60" s="160" t="s">
        <v>600</v>
      </c>
      <c r="C60" s="160">
        <v>3.16552E7</v>
      </c>
      <c r="D60" s="173"/>
      <c r="E60" s="18"/>
      <c r="F60" s="460"/>
      <c r="G60" s="18"/>
      <c r="H60" s="30"/>
      <c r="I60" s="24"/>
      <c r="J60" s="460"/>
      <c r="K60" s="460"/>
      <c r="L60" s="460"/>
      <c r="M60" s="460"/>
      <c r="N60" s="460"/>
      <c r="O60" s="460"/>
      <c r="P60" s="460"/>
      <c r="Q60" s="460"/>
      <c r="R60" s="460"/>
      <c r="S60" s="460"/>
      <c r="T60" s="460"/>
      <c r="U60" s="460"/>
      <c r="V60" s="460"/>
      <c r="W60" s="460"/>
      <c r="X60" s="460"/>
    </row>
    <row r="61" ht="21.75" customHeight="1">
      <c r="A61" s="18"/>
      <c r="B61" s="160" t="s">
        <v>594</v>
      </c>
      <c r="C61" s="160">
        <v>5.25524E7</v>
      </c>
      <c r="D61" s="158"/>
      <c r="E61" s="18"/>
      <c r="F61" s="460"/>
      <c r="G61" s="18"/>
      <c r="H61" s="30"/>
      <c r="I61" s="24"/>
      <c r="J61" s="460"/>
      <c r="K61" s="460"/>
      <c r="L61" s="460"/>
      <c r="M61" s="460"/>
      <c r="N61" s="460"/>
      <c r="O61" s="460"/>
      <c r="P61" s="460"/>
      <c r="Q61" s="460"/>
      <c r="R61" s="460"/>
      <c r="S61" s="460"/>
      <c r="T61" s="460"/>
      <c r="U61" s="460"/>
      <c r="V61" s="460"/>
      <c r="W61" s="460"/>
      <c r="X61" s="460"/>
    </row>
    <row r="62" ht="21.75" customHeight="1">
      <c r="A62" s="18"/>
      <c r="B62" s="160" t="s">
        <v>595</v>
      </c>
      <c r="C62" s="160">
        <v>4.24718E7</v>
      </c>
      <c r="D62" s="158"/>
      <c r="E62" s="18"/>
      <c r="F62" s="460"/>
      <c r="G62" s="22"/>
      <c r="H62" s="30"/>
      <c r="I62" s="58"/>
      <c r="J62" s="460"/>
      <c r="K62" s="460"/>
      <c r="L62" s="460"/>
      <c r="M62" s="460"/>
      <c r="N62" s="460"/>
      <c r="O62" s="460"/>
      <c r="P62" s="460"/>
      <c r="Q62" s="460"/>
      <c r="R62" s="460"/>
      <c r="S62" s="460"/>
      <c r="T62" s="460"/>
      <c r="U62" s="460"/>
      <c r="V62" s="460"/>
      <c r="W62" s="460"/>
      <c r="X62" s="460"/>
    </row>
    <row r="63" ht="21.75" customHeight="1">
      <c r="A63" s="18"/>
      <c r="B63" s="160" t="s">
        <v>596</v>
      </c>
      <c r="C63" s="160">
        <v>3.4175E7</v>
      </c>
      <c r="D63" s="158"/>
      <c r="E63" s="18"/>
      <c r="F63" s="460"/>
      <c r="G63" s="460"/>
      <c r="H63" s="460"/>
      <c r="I63" s="460"/>
      <c r="J63" s="460"/>
      <c r="K63" s="460"/>
      <c r="L63" s="460"/>
      <c r="M63" s="460"/>
      <c r="N63" s="460"/>
      <c r="O63" s="460"/>
      <c r="P63" s="460"/>
      <c r="Q63" s="460"/>
      <c r="R63" s="460"/>
      <c r="S63" s="460"/>
      <c r="T63" s="460"/>
      <c r="U63" s="460"/>
      <c r="V63" s="460"/>
      <c r="W63" s="460"/>
      <c r="X63" s="460"/>
    </row>
    <row r="64" ht="21.75" customHeight="1">
      <c r="A64" s="22"/>
      <c r="B64" s="192" t="s">
        <v>597</v>
      </c>
      <c r="C64" s="160">
        <v>4.31658E7</v>
      </c>
      <c r="D64" s="158"/>
      <c r="E64" s="22"/>
      <c r="F64" s="460"/>
      <c r="G64" s="460"/>
      <c r="H64" s="460"/>
      <c r="I64" s="460"/>
      <c r="J64" s="460"/>
      <c r="K64" s="460"/>
      <c r="L64" s="460"/>
      <c r="M64" s="460"/>
      <c r="N64" s="460"/>
      <c r="O64" s="460"/>
      <c r="P64" s="460"/>
      <c r="Q64" s="460"/>
      <c r="R64" s="460"/>
      <c r="S64" s="460"/>
      <c r="T64" s="460"/>
      <c r="U64" s="460"/>
      <c r="V64" s="460"/>
      <c r="W64" s="460"/>
      <c r="X64" s="460"/>
    </row>
    <row r="65" ht="21.75" customHeight="1">
      <c r="A65" s="295" t="s">
        <v>30</v>
      </c>
      <c r="B65" s="160" t="s">
        <v>594</v>
      </c>
      <c r="C65" s="185">
        <v>3.92405E7</v>
      </c>
      <c r="D65" s="156" t="s">
        <v>7</v>
      </c>
      <c r="E65" s="401">
        <f>sum(C67:C68)</f>
        <v>88173500</v>
      </c>
      <c r="F65" s="460"/>
      <c r="G65" s="460"/>
      <c r="H65" s="460"/>
      <c r="I65" s="460"/>
      <c r="J65" s="460"/>
      <c r="K65" s="460"/>
      <c r="L65" s="460"/>
      <c r="M65" s="460"/>
      <c r="N65" s="460"/>
      <c r="O65" s="460"/>
      <c r="P65" s="460"/>
      <c r="Q65" s="460"/>
      <c r="R65" s="460"/>
      <c r="S65" s="460"/>
      <c r="T65" s="460"/>
      <c r="U65" s="460"/>
      <c r="V65" s="460"/>
      <c r="W65" s="460"/>
      <c r="X65" s="460"/>
    </row>
    <row r="66" ht="21.75" customHeight="1">
      <c r="A66" s="18"/>
      <c r="B66" s="160" t="s">
        <v>595</v>
      </c>
      <c r="C66" s="185">
        <v>3.12346E7</v>
      </c>
      <c r="D66" s="192" t="s">
        <v>7</v>
      </c>
      <c r="E66" s="18"/>
      <c r="F66" s="460"/>
      <c r="G66" s="42"/>
      <c r="H66" s="9"/>
      <c r="I66" s="43"/>
      <c r="J66" s="460"/>
      <c r="K66" s="460"/>
      <c r="L66" s="460"/>
      <c r="M66" s="460"/>
      <c r="N66" s="460"/>
      <c r="O66" s="460"/>
      <c r="P66" s="460"/>
      <c r="Q66" s="460"/>
      <c r="R66" s="460"/>
      <c r="S66" s="460"/>
      <c r="T66" s="460"/>
      <c r="U66" s="460"/>
      <c r="V66" s="460"/>
      <c r="W66" s="460"/>
      <c r="X66" s="460"/>
    </row>
    <row r="67" ht="21.75" customHeight="1">
      <c r="A67" s="18"/>
      <c r="B67" s="160" t="s">
        <v>596</v>
      </c>
      <c r="C67" s="185">
        <v>5.39645E7</v>
      </c>
      <c r="D67" s="156"/>
      <c r="E67" s="18"/>
      <c r="F67" s="460"/>
      <c r="H67" s="9"/>
      <c r="I67" s="43"/>
      <c r="J67" s="460"/>
      <c r="K67" s="460"/>
      <c r="L67" s="460"/>
      <c r="M67" s="460"/>
      <c r="N67" s="460"/>
      <c r="O67" s="460"/>
      <c r="P67" s="460"/>
      <c r="Q67" s="460"/>
      <c r="R67" s="460"/>
      <c r="S67" s="460"/>
      <c r="T67" s="460"/>
      <c r="U67" s="460"/>
      <c r="V67" s="460"/>
      <c r="W67" s="460"/>
      <c r="X67" s="460"/>
    </row>
    <row r="68" ht="21.75" customHeight="1">
      <c r="A68" s="22"/>
      <c r="B68" s="192" t="s">
        <v>597</v>
      </c>
      <c r="C68" s="185">
        <v>3.4209E7</v>
      </c>
      <c r="D68" s="156"/>
      <c r="E68" s="22"/>
      <c r="F68" s="460"/>
      <c r="H68" s="45"/>
      <c r="I68" s="43"/>
      <c r="J68" s="460"/>
      <c r="K68" s="460"/>
      <c r="L68" s="460"/>
      <c r="M68" s="460"/>
      <c r="N68" s="460"/>
      <c r="O68" s="460"/>
      <c r="P68" s="460"/>
      <c r="Q68" s="460"/>
      <c r="R68" s="460"/>
      <c r="S68" s="460"/>
      <c r="T68" s="460"/>
      <c r="U68" s="460"/>
      <c r="V68" s="460"/>
      <c r="W68" s="460"/>
      <c r="X68" s="460"/>
    </row>
    <row r="69" ht="21.75" customHeight="1">
      <c r="A69" s="295" t="s">
        <v>31</v>
      </c>
      <c r="B69" s="160" t="s">
        <v>600</v>
      </c>
      <c r="C69" s="155">
        <v>1.3021E7</v>
      </c>
      <c r="D69" s="192"/>
      <c r="E69" s="441">
        <f>sum(C69:C71)</f>
        <v>72734000</v>
      </c>
      <c r="F69" s="460"/>
      <c r="G69" s="42"/>
      <c r="H69" s="9"/>
      <c r="I69" s="9"/>
      <c r="J69" s="460"/>
      <c r="K69" s="460"/>
      <c r="L69" s="460"/>
      <c r="M69" s="460"/>
      <c r="N69" s="460"/>
      <c r="O69" s="460"/>
      <c r="P69" s="460"/>
      <c r="Q69" s="460"/>
      <c r="R69" s="460"/>
      <c r="S69" s="460"/>
      <c r="T69" s="460"/>
      <c r="U69" s="460"/>
      <c r="V69" s="460"/>
      <c r="W69" s="460"/>
      <c r="X69" s="460"/>
    </row>
    <row r="70" ht="21.75" customHeight="1">
      <c r="A70" s="18"/>
      <c r="B70" s="160" t="s">
        <v>594</v>
      </c>
      <c r="C70" s="155">
        <v>3.6979E7</v>
      </c>
      <c r="D70" s="192"/>
      <c r="E70" s="18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</row>
    <row r="71" ht="21.75" customHeight="1">
      <c r="A71" s="18"/>
      <c r="B71" s="192" t="s">
        <v>597</v>
      </c>
      <c r="C71" s="155">
        <v>2.2734E7</v>
      </c>
      <c r="D71" s="192"/>
      <c r="E71" s="18"/>
      <c r="F71" s="460"/>
      <c r="G71" s="460"/>
      <c r="H71" s="460"/>
      <c r="I71" s="460"/>
      <c r="J71" s="460"/>
      <c r="K71" s="460"/>
      <c r="L71" s="460"/>
      <c r="M71" s="460"/>
      <c r="N71" s="460"/>
      <c r="O71" s="460"/>
      <c r="P71" s="460"/>
      <c r="Q71" s="460"/>
      <c r="R71" s="460"/>
      <c r="S71" s="460"/>
      <c r="T71" s="460"/>
      <c r="U71" s="460"/>
      <c r="V71" s="460"/>
      <c r="W71" s="460"/>
      <c r="X71" s="460"/>
    </row>
    <row r="72" ht="21.75" customHeight="1">
      <c r="A72" s="22"/>
      <c r="B72" s="160"/>
      <c r="C72" s="155"/>
      <c r="D72" s="158"/>
      <c r="E72" s="22"/>
      <c r="F72" s="53"/>
      <c r="G72" s="460"/>
      <c r="H72" s="460"/>
      <c r="I72" s="460"/>
      <c r="J72" s="460"/>
      <c r="K72" s="460"/>
      <c r="L72" s="460"/>
      <c r="M72" s="460"/>
      <c r="N72" s="460"/>
      <c r="O72" s="460"/>
      <c r="P72" s="460"/>
      <c r="Q72" s="460"/>
      <c r="R72" s="460"/>
      <c r="S72" s="460"/>
      <c r="T72" s="460"/>
      <c r="U72" s="460"/>
      <c r="V72" s="460"/>
      <c r="W72" s="460"/>
      <c r="X72" s="460"/>
    </row>
    <row r="73" ht="21.75" customHeight="1">
      <c r="A73" s="295" t="s">
        <v>32</v>
      </c>
      <c r="B73" s="184"/>
      <c r="C73" s="154"/>
      <c r="D73" s="193"/>
      <c r="E73" s="441">
        <f>sum(C74:C79)</f>
        <v>380042500</v>
      </c>
      <c r="F73" s="53"/>
      <c r="G73" s="42"/>
      <c r="H73" s="9"/>
      <c r="I73" s="43"/>
      <c r="J73" s="460"/>
      <c r="K73" s="460"/>
      <c r="L73" s="460"/>
      <c r="M73" s="460"/>
      <c r="N73" s="460"/>
      <c r="O73" s="460"/>
      <c r="P73" s="460"/>
      <c r="Q73" s="460"/>
      <c r="R73" s="460"/>
      <c r="S73" s="460"/>
      <c r="T73" s="460"/>
      <c r="U73" s="460"/>
      <c r="V73" s="460"/>
      <c r="W73" s="460"/>
      <c r="X73" s="460"/>
    </row>
    <row r="74" ht="21.75" customHeight="1">
      <c r="A74" s="18"/>
      <c r="B74" s="235" t="s">
        <v>599</v>
      </c>
      <c r="C74" s="335">
        <v>7.4821E7</v>
      </c>
      <c r="D74" s="192"/>
      <c r="E74" s="18"/>
      <c r="F74" s="53"/>
      <c r="H74" s="45"/>
      <c r="I74" s="43"/>
      <c r="J74" s="460"/>
      <c r="K74" s="460"/>
      <c r="L74" s="460"/>
      <c r="M74" s="460"/>
      <c r="N74" s="460"/>
      <c r="O74" s="460"/>
      <c r="P74" s="460"/>
      <c r="Q74" s="460"/>
      <c r="R74" s="460"/>
      <c r="S74" s="460"/>
      <c r="T74" s="460"/>
      <c r="U74" s="460"/>
      <c r="V74" s="460"/>
      <c r="W74" s="460"/>
      <c r="X74" s="460"/>
    </row>
    <row r="75" ht="21.75" customHeight="1">
      <c r="A75" s="18"/>
      <c r="B75" s="192" t="s">
        <v>600</v>
      </c>
      <c r="C75" s="185">
        <v>1.578025E8</v>
      </c>
      <c r="D75" s="158"/>
      <c r="E75" s="18"/>
      <c r="F75" s="460"/>
      <c r="H75" s="9"/>
      <c r="I75" s="10"/>
      <c r="J75" s="460"/>
      <c r="K75" s="460"/>
      <c r="L75" s="460"/>
      <c r="M75" s="460"/>
      <c r="N75" s="460"/>
      <c r="O75" s="460"/>
      <c r="P75" s="460"/>
      <c r="Q75" s="460"/>
      <c r="R75" s="460"/>
      <c r="S75" s="460"/>
      <c r="T75" s="460"/>
      <c r="U75" s="460"/>
      <c r="V75" s="460"/>
      <c r="W75" s="460"/>
      <c r="X75" s="460"/>
    </row>
    <row r="76" ht="21.75" customHeight="1">
      <c r="A76" s="18"/>
      <c r="B76" s="160" t="s">
        <v>594</v>
      </c>
      <c r="C76" s="185">
        <v>4.5105E7</v>
      </c>
      <c r="D76" s="64"/>
      <c r="E76" s="18"/>
      <c r="F76" s="460"/>
      <c r="H76" s="9"/>
      <c r="I76" s="9"/>
      <c r="J76" s="460"/>
      <c r="K76" s="460"/>
      <c r="L76" s="460"/>
      <c r="M76" s="460"/>
      <c r="N76" s="460"/>
      <c r="O76" s="460"/>
      <c r="P76" s="460"/>
      <c r="Q76" s="460"/>
      <c r="R76" s="460"/>
      <c r="S76" s="460"/>
      <c r="T76" s="460"/>
      <c r="U76" s="460"/>
      <c r="V76" s="460"/>
      <c r="W76" s="460"/>
      <c r="X76" s="460"/>
    </row>
    <row r="77" ht="21.75" customHeight="1">
      <c r="A77" s="18"/>
      <c r="B77" s="160" t="s">
        <v>595</v>
      </c>
      <c r="C77" s="185">
        <v>3.1014E7</v>
      </c>
      <c r="D77" s="64"/>
      <c r="E77" s="18"/>
      <c r="F77" s="460"/>
      <c r="G77" s="42"/>
      <c r="H77" s="9"/>
      <c r="I77" s="9"/>
      <c r="J77" s="460"/>
      <c r="K77" s="460"/>
      <c r="L77" s="460"/>
      <c r="M77" s="460"/>
      <c r="N77" s="460"/>
      <c r="O77" s="460"/>
      <c r="P77" s="460"/>
      <c r="Q77" s="460"/>
      <c r="R77" s="460"/>
      <c r="S77" s="460"/>
      <c r="T77" s="460"/>
      <c r="U77" s="460"/>
      <c r="V77" s="460"/>
      <c r="W77" s="460"/>
      <c r="X77" s="460"/>
    </row>
    <row r="78" ht="21.75" customHeight="1">
      <c r="A78" s="18"/>
      <c r="B78" s="160" t="s">
        <v>596</v>
      </c>
      <c r="C78" s="185">
        <v>4.0659E7</v>
      </c>
      <c r="D78" s="64"/>
      <c r="E78" s="18"/>
      <c r="F78" s="460"/>
      <c r="G78" s="42"/>
      <c r="H78" s="9"/>
      <c r="I78" s="9"/>
      <c r="J78" s="460"/>
      <c r="K78" s="460"/>
      <c r="L78" s="460"/>
      <c r="M78" s="460"/>
      <c r="N78" s="460"/>
      <c r="O78" s="460"/>
      <c r="P78" s="460"/>
      <c r="Q78" s="460"/>
      <c r="R78" s="460"/>
      <c r="S78" s="460"/>
      <c r="T78" s="460"/>
      <c r="U78" s="460"/>
      <c r="V78" s="460"/>
      <c r="W78" s="460"/>
      <c r="X78" s="460"/>
    </row>
    <row r="79" ht="21.75" customHeight="1">
      <c r="A79" s="22"/>
      <c r="B79" s="192" t="s">
        <v>597</v>
      </c>
      <c r="C79" s="185">
        <v>3.0641E7</v>
      </c>
      <c r="D79" s="64"/>
      <c r="E79" s="22"/>
      <c r="F79" s="460"/>
      <c r="G79" s="42"/>
      <c r="H79" s="9"/>
      <c r="I79" s="9"/>
      <c r="J79" s="460"/>
      <c r="K79" s="460"/>
      <c r="L79" s="460"/>
      <c r="M79" s="460"/>
      <c r="N79" s="460"/>
      <c r="O79" s="460"/>
      <c r="P79" s="460"/>
      <c r="Q79" s="460"/>
      <c r="R79" s="460"/>
      <c r="S79" s="460"/>
      <c r="T79" s="460"/>
      <c r="U79" s="460"/>
      <c r="V79" s="460"/>
      <c r="W79" s="460"/>
      <c r="X79" s="460"/>
    </row>
    <row r="80" ht="21.75" customHeight="1">
      <c r="A80" s="295" t="s">
        <v>33</v>
      </c>
      <c r="B80" s="160" t="s">
        <v>594</v>
      </c>
      <c r="C80" s="160">
        <v>1.729792E8</v>
      </c>
      <c r="D80" s="156" t="s">
        <v>7</v>
      </c>
      <c r="E80" s="401">
        <v>7.70352E7</v>
      </c>
      <c r="F80" s="460"/>
      <c r="G80" s="42"/>
      <c r="H80" s="9"/>
      <c r="I80" s="9"/>
      <c r="J80" s="460"/>
      <c r="K80" s="460"/>
      <c r="L80" s="460"/>
      <c r="M80" s="460"/>
      <c r="N80" s="460"/>
      <c r="O80" s="460"/>
      <c r="P80" s="460"/>
      <c r="Q80" s="460"/>
      <c r="R80" s="460"/>
      <c r="S80" s="460"/>
      <c r="T80" s="460"/>
      <c r="U80" s="460"/>
      <c r="V80" s="460"/>
      <c r="W80" s="460"/>
      <c r="X80" s="460"/>
    </row>
    <row r="81" ht="21.75" customHeight="1">
      <c r="A81" s="18"/>
      <c r="B81" s="160" t="s">
        <v>595</v>
      </c>
      <c r="C81" s="160">
        <v>4.85935E7</v>
      </c>
      <c r="D81" s="156" t="s">
        <v>7</v>
      </c>
      <c r="E81" s="18"/>
      <c r="F81" s="460"/>
      <c r="G81" s="42"/>
      <c r="H81" s="9"/>
      <c r="I81" s="9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  <c r="X81" s="460"/>
    </row>
    <row r="82" ht="21.75" customHeight="1">
      <c r="A82" s="18"/>
      <c r="B82" s="160" t="s">
        <v>596</v>
      </c>
      <c r="C82" s="185">
        <v>7.70352E7</v>
      </c>
      <c r="D82" s="173" t="s">
        <v>7</v>
      </c>
      <c r="E82" s="18"/>
      <c r="F82" s="460"/>
      <c r="G82" s="42"/>
      <c r="H82" s="9"/>
      <c r="I82" s="43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  <c r="X82" s="460"/>
    </row>
    <row r="83" ht="21.75" customHeight="1">
      <c r="A83" s="22"/>
      <c r="B83" s="192" t="s">
        <v>597</v>
      </c>
      <c r="C83" s="185">
        <v>4.26965E7</v>
      </c>
      <c r="D83" s="156" t="s">
        <v>603</v>
      </c>
      <c r="E83" s="22"/>
      <c r="F83" s="460"/>
      <c r="H83" s="9"/>
      <c r="I83" s="43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  <c r="X83" s="460"/>
    </row>
    <row r="84" ht="21.75" customHeight="1">
      <c r="A84" s="295" t="s">
        <v>35</v>
      </c>
      <c r="B84" s="160" t="s">
        <v>414</v>
      </c>
      <c r="C84" s="185">
        <v>1.87915E7</v>
      </c>
      <c r="D84" s="192" t="s">
        <v>7</v>
      </c>
      <c r="E84" s="401">
        <v>8712900.0</v>
      </c>
      <c r="F84" s="460"/>
      <c r="H84" s="9"/>
      <c r="I84" s="43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  <c r="X84" s="460"/>
    </row>
    <row r="85" ht="21.75" customHeight="1">
      <c r="A85" s="18"/>
      <c r="B85" s="160" t="s">
        <v>594</v>
      </c>
      <c r="C85" s="178">
        <v>3.67313E7</v>
      </c>
      <c r="D85" s="461" t="s">
        <v>7</v>
      </c>
      <c r="E85" s="18"/>
      <c r="F85" s="460"/>
      <c r="G85" s="42"/>
      <c r="H85" s="9"/>
      <c r="I85" s="1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  <c r="X85" s="460"/>
    </row>
    <row r="86" ht="21.75" customHeight="1">
      <c r="A86" s="18"/>
      <c r="B86" s="160" t="s">
        <v>595</v>
      </c>
      <c r="C86" s="160">
        <v>2.50842E7</v>
      </c>
      <c r="D86" s="168" t="s">
        <v>7</v>
      </c>
      <c r="E86" s="18"/>
      <c r="F86" s="53"/>
      <c r="G86" s="460"/>
      <c r="H86" s="460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  <c r="X86" s="460"/>
    </row>
    <row r="87" ht="21.75" customHeight="1">
      <c r="A87" s="18"/>
      <c r="B87" s="160" t="s">
        <v>596</v>
      </c>
      <c r="C87" s="160">
        <v>1.1414E7</v>
      </c>
      <c r="D87" s="168" t="s">
        <v>7</v>
      </c>
      <c r="E87" s="18"/>
      <c r="F87" s="460"/>
      <c r="G87" s="290"/>
      <c r="H87" s="291"/>
      <c r="I87" s="1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  <c r="X87" s="460"/>
    </row>
    <row r="88" ht="21.75" customHeight="1">
      <c r="A88" s="22"/>
      <c r="B88" s="192" t="s">
        <v>597</v>
      </c>
      <c r="C88" s="160">
        <v>8712900.0</v>
      </c>
      <c r="D88" s="168"/>
      <c r="E88" s="22"/>
      <c r="F88" s="460"/>
      <c r="H88" s="291"/>
      <c r="I88" s="1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</row>
    <row r="89" ht="21.75" customHeight="1">
      <c r="A89" s="295" t="s">
        <v>36</v>
      </c>
      <c r="B89" s="160" t="s">
        <v>594</v>
      </c>
      <c r="C89" s="185">
        <v>3.20703E7</v>
      </c>
      <c r="D89" s="192" t="s">
        <v>7</v>
      </c>
      <c r="E89" s="401">
        <v>1.9427E7</v>
      </c>
      <c r="F89" s="460"/>
      <c r="H89" s="291"/>
      <c r="I89" s="1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  <c r="X89" s="460"/>
    </row>
    <row r="90" ht="21.75" customHeight="1">
      <c r="A90" s="18"/>
      <c r="B90" s="160" t="s">
        <v>595</v>
      </c>
      <c r="C90" s="160">
        <v>2.50457E7</v>
      </c>
      <c r="D90" s="156" t="s">
        <v>7</v>
      </c>
      <c r="E90" s="18"/>
      <c r="F90" s="460"/>
      <c r="H90" s="291"/>
      <c r="I90" s="43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</row>
    <row r="91" ht="21.75" customHeight="1">
      <c r="A91" s="18"/>
      <c r="B91" s="160" t="s">
        <v>596</v>
      </c>
      <c r="C91" s="185">
        <v>2.71845E7</v>
      </c>
      <c r="D91" s="156" t="s">
        <v>7</v>
      </c>
      <c r="E91" s="18"/>
      <c r="F91" s="53"/>
      <c r="H91" s="45"/>
      <c r="I91" s="43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</row>
    <row r="92" ht="21.75" customHeight="1">
      <c r="A92" s="22"/>
      <c r="B92" s="192" t="s">
        <v>597</v>
      </c>
      <c r="C92" s="185">
        <v>1.9427E7</v>
      </c>
      <c r="D92" s="156"/>
      <c r="E92" s="22"/>
      <c r="F92" s="460"/>
      <c r="H92" s="291"/>
      <c r="I92" s="43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  <c r="X92" s="460"/>
    </row>
    <row r="93" ht="21.75" customHeight="1">
      <c r="A93" s="295" t="s">
        <v>37</v>
      </c>
      <c r="B93" s="160" t="s">
        <v>594</v>
      </c>
      <c r="C93" s="154">
        <v>7.82635E7</v>
      </c>
      <c r="D93" s="158"/>
      <c r="E93" s="441">
        <f>SUM(C93:C98)</f>
        <v>1007710500</v>
      </c>
      <c r="F93" s="460"/>
      <c r="G93" s="42"/>
      <c r="H93" s="9"/>
      <c r="I93" s="43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  <c r="X93" s="460"/>
    </row>
    <row r="94" ht="21.75" customHeight="1">
      <c r="A94" s="18"/>
      <c r="B94" s="160" t="s">
        <v>595</v>
      </c>
      <c r="C94" s="154">
        <v>5.9494E7</v>
      </c>
      <c r="D94" s="158"/>
      <c r="E94" s="18"/>
      <c r="F94" s="460"/>
      <c r="G94" s="42"/>
      <c r="H94" s="9"/>
      <c r="I94" s="43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  <c r="X94" s="460"/>
    </row>
    <row r="95" ht="21.75" customHeight="1">
      <c r="A95" s="18"/>
      <c r="B95" s="160" t="s">
        <v>596</v>
      </c>
      <c r="C95" s="154">
        <v>6.41435E7</v>
      </c>
      <c r="D95" s="158"/>
      <c r="E95" s="18"/>
      <c r="F95" s="460"/>
      <c r="G95" s="42"/>
      <c r="H95" s="9"/>
      <c r="I95" s="43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</row>
    <row r="96" ht="21.75" customHeight="1">
      <c r="A96" s="18"/>
      <c r="B96" s="192" t="s">
        <v>597</v>
      </c>
      <c r="C96" s="154">
        <v>3.50425E7</v>
      </c>
      <c r="D96" s="158"/>
      <c r="E96" s="18"/>
      <c r="F96" s="460"/>
      <c r="G96" s="42"/>
      <c r="H96" s="9"/>
      <c r="I96" s="43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</row>
    <row r="97" ht="21.75" customHeight="1">
      <c r="A97" s="18"/>
      <c r="B97" s="232" t="s">
        <v>151</v>
      </c>
      <c r="C97" s="462">
        <v>7.86667E8</v>
      </c>
      <c r="D97" s="192"/>
      <c r="E97" s="18"/>
      <c r="F97" s="460"/>
      <c r="G97" s="42"/>
      <c r="H97" s="9"/>
      <c r="I97" s="43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</row>
    <row r="98" ht="21.75" customHeight="1">
      <c r="A98" s="22"/>
      <c r="B98" s="232" t="s">
        <v>604</v>
      </c>
      <c r="C98" s="462">
        <v>-1.59E7</v>
      </c>
      <c r="D98" s="192"/>
      <c r="E98" s="22"/>
      <c r="F98" s="460"/>
      <c r="G98" s="42"/>
      <c r="H98" s="9"/>
      <c r="I98" s="43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</row>
    <row r="99" ht="21.75" customHeight="1">
      <c r="A99" s="102" t="s">
        <v>39</v>
      </c>
      <c r="B99" s="160" t="s">
        <v>595</v>
      </c>
      <c r="C99" s="155">
        <v>4.39775E7</v>
      </c>
      <c r="D99" s="192"/>
      <c r="E99" s="441">
        <f>sum(C99:C103)</f>
        <v>502001500</v>
      </c>
      <c r="F99" s="460"/>
      <c r="G99" s="42"/>
      <c r="H99" s="9"/>
      <c r="I99" s="43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</row>
    <row r="100" ht="21.75" customHeight="1">
      <c r="A100" s="18"/>
      <c r="B100" s="160" t="s">
        <v>596</v>
      </c>
      <c r="C100" s="155">
        <v>2631000.0</v>
      </c>
      <c r="D100" s="192"/>
      <c r="E100" s="18"/>
      <c r="F100" s="460"/>
      <c r="G100" s="42"/>
      <c r="H100" s="9"/>
      <c r="I100" s="43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</row>
    <row r="101" ht="21.75" customHeight="1">
      <c r="A101" s="18"/>
      <c r="B101" s="192" t="s">
        <v>597</v>
      </c>
      <c r="C101" s="155">
        <v>1675000.0</v>
      </c>
      <c r="D101" s="192"/>
      <c r="E101" s="18"/>
      <c r="F101" s="460"/>
      <c r="G101" s="42"/>
      <c r="H101" s="9"/>
      <c r="I101" s="43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</row>
    <row r="102" ht="21.75" customHeight="1">
      <c r="A102" s="18"/>
      <c r="B102" s="232" t="s">
        <v>151</v>
      </c>
      <c r="C102" s="462">
        <v>4.67218E8</v>
      </c>
      <c r="D102" s="192"/>
      <c r="E102" s="18"/>
      <c r="F102" s="460"/>
      <c r="G102" s="42"/>
      <c r="H102" s="9"/>
      <c r="I102" s="43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</row>
    <row r="103" ht="21.75" customHeight="1">
      <c r="A103" s="22"/>
      <c r="B103" s="232" t="s">
        <v>604</v>
      </c>
      <c r="C103" s="462">
        <v>-1.35E7</v>
      </c>
      <c r="D103" s="192"/>
      <c r="E103" s="22"/>
      <c r="F103" s="460"/>
      <c r="G103" s="42"/>
      <c r="H103" s="9"/>
      <c r="I103" s="43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</row>
    <row r="104" ht="21.75" customHeight="1">
      <c r="A104" s="295" t="s">
        <v>40</v>
      </c>
      <c r="B104" s="160" t="s">
        <v>414</v>
      </c>
      <c r="C104" s="185">
        <v>5.639E7</v>
      </c>
      <c r="D104" s="110" t="s">
        <v>7</v>
      </c>
      <c r="E104" s="401">
        <f>sum(C106:C108)</f>
        <v>109489500</v>
      </c>
      <c r="F104" s="460"/>
      <c r="G104" s="42"/>
      <c r="H104" s="10"/>
      <c r="I104" s="1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</row>
    <row r="105" ht="21.75" customHeight="1">
      <c r="A105" s="18"/>
      <c r="B105" s="160" t="s">
        <v>594</v>
      </c>
      <c r="C105" s="185">
        <v>6.07249E7</v>
      </c>
      <c r="D105" s="110" t="s">
        <v>7</v>
      </c>
      <c r="E105" s="18"/>
      <c r="F105" s="460"/>
      <c r="G105" s="42"/>
      <c r="H105" s="9"/>
      <c r="I105" s="1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</row>
    <row r="106" ht="21.75" customHeight="1">
      <c r="A106" s="18"/>
      <c r="B106" s="160" t="s">
        <v>595</v>
      </c>
      <c r="C106" s="185">
        <v>3.38261E7</v>
      </c>
      <c r="D106" s="158"/>
      <c r="E106" s="18"/>
      <c r="F106" s="460"/>
      <c r="G106" s="42"/>
      <c r="H106" s="9"/>
      <c r="I106" s="1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</row>
    <row r="107" ht="21.75" customHeight="1">
      <c r="A107" s="18"/>
      <c r="B107" s="160" t="s">
        <v>596</v>
      </c>
      <c r="C107" s="185">
        <v>3.26569E7</v>
      </c>
      <c r="D107" s="158"/>
      <c r="E107" s="18"/>
      <c r="F107" s="460"/>
      <c r="G107" s="42"/>
      <c r="H107" s="9"/>
      <c r="I107" s="1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  <c r="X107" s="460"/>
    </row>
    <row r="108" ht="21.75" customHeight="1">
      <c r="A108" s="22"/>
      <c r="B108" s="192" t="s">
        <v>597</v>
      </c>
      <c r="C108" s="185">
        <v>4.30065E7</v>
      </c>
      <c r="D108" s="158"/>
      <c r="E108" s="22"/>
      <c r="F108" s="460"/>
      <c r="G108" s="42"/>
      <c r="H108" s="9"/>
      <c r="I108" s="1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460"/>
      <c r="U108" s="460"/>
      <c r="V108" s="460"/>
      <c r="W108" s="460"/>
      <c r="X108" s="460"/>
    </row>
    <row r="109" ht="21.75" customHeight="1">
      <c r="A109" s="295" t="s">
        <v>41</v>
      </c>
      <c r="B109" s="160" t="s">
        <v>600</v>
      </c>
      <c r="C109" s="185">
        <v>9.06165E7</v>
      </c>
      <c r="D109" s="173"/>
      <c r="E109" s="441">
        <f>sum(C109:C113)</f>
        <v>235153000</v>
      </c>
      <c r="F109" s="460"/>
      <c r="G109" s="42"/>
      <c r="H109" s="9"/>
      <c r="I109" s="1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460"/>
      <c r="V109" s="460"/>
      <c r="W109" s="460"/>
      <c r="X109" s="460"/>
    </row>
    <row r="110" ht="21.75" customHeight="1">
      <c r="A110" s="18"/>
      <c r="B110" s="160" t="s">
        <v>594</v>
      </c>
      <c r="C110" s="185">
        <v>5.70085E7</v>
      </c>
      <c r="D110" s="192"/>
      <c r="E110" s="18"/>
      <c r="F110" s="17"/>
      <c r="G110" s="42"/>
      <c r="H110" s="76"/>
      <c r="I110" s="10"/>
      <c r="J110" s="460"/>
      <c r="K110" s="460"/>
      <c r="L110" s="460"/>
      <c r="M110" s="460"/>
      <c r="N110" s="460"/>
      <c r="O110" s="460"/>
      <c r="P110" s="460"/>
      <c r="Q110" s="460"/>
      <c r="R110" s="460"/>
      <c r="S110" s="460"/>
      <c r="T110" s="460"/>
      <c r="U110" s="460"/>
      <c r="V110" s="460"/>
      <c r="W110" s="460"/>
      <c r="X110" s="460"/>
    </row>
    <row r="111" ht="21.75" customHeight="1">
      <c r="A111" s="18"/>
      <c r="B111" s="160" t="s">
        <v>595</v>
      </c>
      <c r="C111" s="185">
        <v>3.32285E7</v>
      </c>
      <c r="D111" s="192"/>
      <c r="E111" s="18"/>
      <c r="F111" s="460"/>
      <c r="G111" s="460"/>
      <c r="H111" s="460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60"/>
      <c r="X111" s="460"/>
    </row>
    <row r="112" ht="21.75" customHeight="1">
      <c r="A112" s="18"/>
      <c r="B112" s="160" t="s">
        <v>596</v>
      </c>
      <c r="C112" s="185">
        <v>2.96905E7</v>
      </c>
      <c r="D112" s="158"/>
      <c r="E112" s="18"/>
      <c r="F112" s="460"/>
      <c r="G112" s="460"/>
      <c r="H112" s="9"/>
      <c r="I112" s="43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</row>
    <row r="113" ht="21.75" customHeight="1">
      <c r="A113" s="22"/>
      <c r="B113" s="192" t="s">
        <v>597</v>
      </c>
      <c r="C113" s="185">
        <v>2.4609E7</v>
      </c>
      <c r="D113" s="158"/>
      <c r="E113" s="22"/>
      <c r="F113" s="460"/>
      <c r="G113" s="460"/>
      <c r="H113" s="9"/>
      <c r="I113" s="43"/>
      <c r="J113" s="460"/>
      <c r="K113" s="460"/>
      <c r="L113" s="460"/>
      <c r="M113" s="460"/>
      <c r="N113" s="460"/>
      <c r="O113" s="460"/>
      <c r="P113" s="460"/>
      <c r="Q113" s="460"/>
      <c r="R113" s="460"/>
      <c r="S113" s="460"/>
      <c r="T113" s="460"/>
      <c r="U113" s="460"/>
      <c r="V113" s="460"/>
      <c r="W113" s="460"/>
      <c r="X113" s="460"/>
    </row>
    <row r="114" ht="21.75" customHeight="1">
      <c r="A114" s="295" t="s">
        <v>42</v>
      </c>
      <c r="B114" s="160" t="s">
        <v>600</v>
      </c>
      <c r="C114" s="155">
        <v>1.208595E8</v>
      </c>
      <c r="D114" s="192" t="s">
        <v>7</v>
      </c>
      <c r="E114" s="401">
        <f>sum(C115:C118)</f>
        <v>162097500</v>
      </c>
      <c r="F114" s="17"/>
      <c r="G114" s="460"/>
      <c r="H114" s="9"/>
      <c r="I114" s="43"/>
      <c r="J114" s="460"/>
      <c r="K114" s="460"/>
      <c r="L114" s="460"/>
      <c r="M114" s="460"/>
      <c r="N114" s="460"/>
      <c r="O114" s="460"/>
      <c r="P114" s="460"/>
      <c r="Q114" s="460"/>
      <c r="R114" s="460"/>
      <c r="S114" s="460"/>
      <c r="T114" s="460"/>
      <c r="U114" s="460"/>
      <c r="V114" s="460"/>
      <c r="W114" s="460"/>
      <c r="X114" s="460"/>
    </row>
    <row r="115" ht="21.75" customHeight="1">
      <c r="A115" s="18"/>
      <c r="B115" s="160" t="s">
        <v>594</v>
      </c>
      <c r="C115" s="160">
        <v>5.15965E7</v>
      </c>
      <c r="D115" s="115"/>
      <c r="E115" s="18"/>
      <c r="F115" s="460"/>
      <c r="G115" s="460"/>
      <c r="H115" s="9"/>
      <c r="I115" s="43"/>
      <c r="J115" s="460"/>
      <c r="K115" s="460"/>
      <c r="L115" s="460"/>
      <c r="M115" s="460"/>
      <c r="N115" s="460"/>
      <c r="O115" s="460"/>
      <c r="P115" s="460"/>
      <c r="Q115" s="460"/>
      <c r="R115" s="460"/>
      <c r="S115" s="460"/>
      <c r="T115" s="460"/>
      <c r="U115" s="460"/>
      <c r="V115" s="460"/>
      <c r="W115" s="460"/>
      <c r="X115" s="460"/>
    </row>
    <row r="116" ht="21.75" customHeight="1">
      <c r="A116" s="18"/>
      <c r="B116" s="160" t="s">
        <v>595</v>
      </c>
      <c r="C116" s="160">
        <v>3.51E7</v>
      </c>
      <c r="D116" s="192"/>
      <c r="E116" s="18"/>
      <c r="F116" s="460"/>
      <c r="G116" s="460"/>
      <c r="H116" s="9"/>
      <c r="I116" s="43"/>
      <c r="J116" s="460"/>
      <c r="K116" s="460"/>
      <c r="L116" s="460"/>
      <c r="M116" s="460"/>
      <c r="N116" s="460"/>
      <c r="O116" s="460"/>
      <c r="P116" s="460"/>
      <c r="Q116" s="460"/>
      <c r="R116" s="460"/>
      <c r="S116" s="460"/>
      <c r="T116" s="460"/>
      <c r="U116" s="460"/>
      <c r="V116" s="460"/>
      <c r="W116" s="460"/>
      <c r="X116" s="460"/>
    </row>
    <row r="117" ht="21.75" customHeight="1">
      <c r="A117" s="18"/>
      <c r="B117" s="160" t="s">
        <v>596</v>
      </c>
      <c r="C117" s="155">
        <v>4.8037E7</v>
      </c>
      <c r="D117" s="115"/>
      <c r="E117" s="18"/>
      <c r="F117" s="463"/>
      <c r="G117" s="460"/>
      <c r="H117" s="9"/>
      <c r="I117" s="10"/>
      <c r="J117" s="460"/>
      <c r="K117" s="460"/>
      <c r="L117" s="460"/>
      <c r="M117" s="460"/>
      <c r="N117" s="460"/>
      <c r="O117" s="460"/>
      <c r="P117" s="460"/>
      <c r="Q117" s="460"/>
      <c r="R117" s="460"/>
      <c r="S117" s="460"/>
      <c r="T117" s="460"/>
      <c r="U117" s="460"/>
      <c r="V117" s="460"/>
      <c r="W117" s="460"/>
      <c r="X117" s="460"/>
    </row>
    <row r="118" ht="21.75" customHeight="1">
      <c r="A118" s="22"/>
      <c r="B118" s="192" t="s">
        <v>597</v>
      </c>
      <c r="C118" s="155">
        <v>2.7364E7</v>
      </c>
      <c r="D118" s="115"/>
      <c r="E118" s="22"/>
      <c r="F118" s="463"/>
      <c r="G118" s="460"/>
      <c r="H118" s="9"/>
      <c r="I118" s="10"/>
      <c r="J118" s="460"/>
      <c r="K118" s="460"/>
      <c r="L118" s="460"/>
      <c r="M118" s="460"/>
      <c r="N118" s="460"/>
      <c r="O118" s="460"/>
      <c r="P118" s="460"/>
      <c r="Q118" s="460"/>
      <c r="R118" s="460"/>
      <c r="S118" s="460"/>
      <c r="T118" s="460"/>
      <c r="U118" s="460"/>
      <c r="V118" s="460"/>
      <c r="W118" s="460"/>
      <c r="X118" s="460"/>
    </row>
    <row r="119" ht="21.75" customHeight="1">
      <c r="A119" s="295" t="s">
        <v>43</v>
      </c>
      <c r="B119" s="160" t="s">
        <v>414</v>
      </c>
      <c r="C119" s="155">
        <v>3.008E7</v>
      </c>
      <c r="D119" s="115" t="s">
        <v>7</v>
      </c>
      <c r="E119" s="401">
        <f>sum(C120:C123)</f>
        <v>55850000</v>
      </c>
      <c r="F119" s="464"/>
      <c r="G119" s="460"/>
      <c r="H119" s="465"/>
      <c r="I119" s="466"/>
      <c r="J119" s="466"/>
      <c r="K119" s="466"/>
      <c r="L119" s="466"/>
      <c r="M119" s="467"/>
      <c r="N119" s="468"/>
      <c r="O119" s="460"/>
      <c r="P119" s="460"/>
      <c r="Q119" s="460"/>
      <c r="R119" s="460"/>
      <c r="S119" s="460"/>
      <c r="T119" s="460"/>
      <c r="U119" s="460"/>
      <c r="V119" s="460"/>
      <c r="W119" s="460"/>
      <c r="X119" s="460"/>
    </row>
    <row r="120" ht="21.75" customHeight="1">
      <c r="A120" s="18"/>
      <c r="B120" s="160" t="s">
        <v>594</v>
      </c>
      <c r="C120" s="155">
        <v>1.708E7</v>
      </c>
      <c r="D120" s="301"/>
      <c r="E120" s="18"/>
      <c r="F120" s="469"/>
      <c r="G120" s="470"/>
      <c r="J120" s="471"/>
      <c r="K120" s="472"/>
      <c r="L120" s="472"/>
      <c r="M120" s="473"/>
      <c r="N120" s="472"/>
      <c r="O120" s="460"/>
      <c r="P120" s="460"/>
      <c r="Q120" s="460"/>
      <c r="R120" s="460"/>
      <c r="S120" s="460"/>
      <c r="T120" s="460"/>
      <c r="U120" s="460"/>
      <c r="V120" s="460"/>
      <c r="W120" s="460"/>
      <c r="X120" s="460"/>
    </row>
    <row r="121" ht="21.75" customHeight="1">
      <c r="A121" s="18"/>
      <c r="B121" s="160" t="s">
        <v>595</v>
      </c>
      <c r="C121" s="155">
        <v>5200000.0</v>
      </c>
      <c r="D121" s="110"/>
      <c r="E121" s="18"/>
      <c r="F121" s="474"/>
      <c r="G121" s="475"/>
      <c r="J121" s="473"/>
      <c r="K121" s="473"/>
      <c r="L121" s="473"/>
      <c r="M121" s="473"/>
      <c r="N121" s="473"/>
      <c r="O121" s="460"/>
      <c r="P121" s="460"/>
      <c r="Q121" s="460"/>
      <c r="R121" s="460"/>
      <c r="S121" s="460"/>
      <c r="T121" s="460"/>
      <c r="U121" s="460"/>
      <c r="V121" s="460"/>
      <c r="W121" s="460"/>
      <c r="X121" s="460"/>
    </row>
    <row r="122" ht="21.75" customHeight="1">
      <c r="A122" s="18"/>
      <c r="B122" s="160" t="s">
        <v>596</v>
      </c>
      <c r="C122" s="178">
        <v>1.95E7</v>
      </c>
      <c r="D122" s="205"/>
      <c r="E122" s="18"/>
      <c r="F122" s="474"/>
      <c r="G122" s="476"/>
      <c r="J122" s="477"/>
      <c r="K122" s="477"/>
      <c r="L122" s="478"/>
      <c r="M122" s="478"/>
      <c r="N122" s="479"/>
      <c r="O122" s="460"/>
      <c r="P122" s="460"/>
      <c r="Q122" s="460"/>
      <c r="R122" s="460"/>
      <c r="S122" s="460"/>
      <c r="T122" s="460"/>
      <c r="U122" s="460"/>
      <c r="V122" s="460"/>
      <c r="W122" s="460"/>
      <c r="X122" s="460"/>
    </row>
    <row r="123" ht="21.75" customHeight="1">
      <c r="A123" s="22"/>
      <c r="B123" s="192" t="s">
        <v>597</v>
      </c>
      <c r="C123" s="178">
        <v>1.407E7</v>
      </c>
      <c r="D123" s="205"/>
      <c r="E123" s="18"/>
      <c r="F123" s="474"/>
      <c r="G123" s="476"/>
      <c r="H123" s="476"/>
      <c r="I123" s="476"/>
      <c r="J123" s="477"/>
      <c r="K123" s="477"/>
      <c r="L123" s="478"/>
      <c r="M123" s="478"/>
      <c r="N123" s="479"/>
      <c r="O123" s="460"/>
      <c r="P123" s="460"/>
      <c r="Q123" s="460"/>
      <c r="R123" s="460"/>
      <c r="S123" s="460"/>
      <c r="T123" s="460"/>
      <c r="U123" s="460"/>
      <c r="V123" s="460"/>
      <c r="W123" s="460"/>
      <c r="X123" s="460"/>
    </row>
    <row r="124" ht="21.75" customHeight="1">
      <c r="A124" s="295" t="s">
        <v>44</v>
      </c>
      <c r="B124" s="160" t="s">
        <v>594</v>
      </c>
      <c r="C124" s="185">
        <v>2.95669E7</v>
      </c>
      <c r="D124" s="205" t="s">
        <v>7</v>
      </c>
      <c r="E124" s="401">
        <f>sum(C126:C127)</f>
        <v>34811500</v>
      </c>
      <c r="F124" s="480"/>
      <c r="G124" s="481"/>
      <c r="H124" s="481"/>
      <c r="I124" s="481"/>
      <c r="J124" s="482"/>
      <c r="K124" s="482"/>
      <c r="L124" s="482"/>
      <c r="M124" s="483"/>
      <c r="N124" s="484"/>
      <c r="O124" s="460"/>
      <c r="P124" s="460"/>
      <c r="Q124" s="460"/>
      <c r="R124" s="460"/>
      <c r="S124" s="460"/>
      <c r="T124" s="460"/>
      <c r="U124" s="460"/>
      <c r="V124" s="460"/>
      <c r="W124" s="460"/>
      <c r="X124" s="460"/>
    </row>
    <row r="125" ht="21.75" customHeight="1">
      <c r="A125" s="18"/>
      <c r="B125" s="160" t="s">
        <v>595</v>
      </c>
      <c r="C125" s="331">
        <v>3949500.0</v>
      </c>
      <c r="D125" s="110" t="s">
        <v>7</v>
      </c>
      <c r="E125" s="18"/>
      <c r="F125" s="480"/>
      <c r="G125" s="481"/>
      <c r="H125" s="481"/>
      <c r="I125" s="481"/>
      <c r="J125" s="482"/>
      <c r="K125" s="482"/>
      <c r="L125" s="482"/>
      <c r="M125" s="483"/>
      <c r="N125" s="484"/>
      <c r="O125" s="460"/>
      <c r="P125" s="460"/>
      <c r="Q125" s="460"/>
      <c r="R125" s="460"/>
      <c r="S125" s="460"/>
      <c r="T125" s="460"/>
      <c r="U125" s="460"/>
      <c r="V125" s="460"/>
      <c r="W125" s="460"/>
      <c r="X125" s="460"/>
    </row>
    <row r="126" ht="21.75" customHeight="1">
      <c r="A126" s="18"/>
      <c r="B126" s="160" t="s">
        <v>596</v>
      </c>
      <c r="C126" s="185">
        <v>1.04835E7</v>
      </c>
      <c r="D126" s="185"/>
      <c r="E126" s="18"/>
      <c r="F126" s="485"/>
      <c r="G126" s="481"/>
      <c r="H126" s="481"/>
      <c r="I126" s="486"/>
      <c r="J126" s="482"/>
      <c r="K126" s="482"/>
      <c r="L126" s="482"/>
      <c r="M126" s="483"/>
      <c r="N126" s="484"/>
      <c r="O126" s="460"/>
      <c r="P126" s="460"/>
      <c r="Q126" s="460"/>
      <c r="R126" s="460"/>
      <c r="S126" s="460"/>
      <c r="T126" s="460"/>
      <c r="U126" s="460"/>
      <c r="V126" s="460"/>
      <c r="W126" s="460"/>
      <c r="X126" s="460"/>
    </row>
    <row r="127" ht="21.75" customHeight="1">
      <c r="A127" s="18"/>
      <c r="B127" s="192" t="s">
        <v>597</v>
      </c>
      <c r="C127" s="185">
        <v>2.4328E7</v>
      </c>
      <c r="D127" s="110"/>
      <c r="E127" s="18"/>
      <c r="F127" s="487"/>
      <c r="G127" s="481"/>
      <c r="H127" s="481"/>
      <c r="I127" s="486"/>
      <c r="J127" s="482"/>
      <c r="K127" s="482"/>
      <c r="L127" s="482"/>
      <c r="M127" s="483"/>
      <c r="N127" s="488"/>
      <c r="O127" s="460"/>
      <c r="P127" s="460"/>
      <c r="Q127" s="460"/>
      <c r="R127" s="460"/>
      <c r="S127" s="460"/>
      <c r="T127" s="460"/>
      <c r="U127" s="460"/>
      <c r="V127" s="460"/>
      <c r="W127" s="460"/>
      <c r="X127" s="460"/>
    </row>
    <row r="128" ht="21.75" customHeight="1">
      <c r="A128" s="22"/>
      <c r="B128" s="184"/>
      <c r="C128" s="185"/>
      <c r="D128" s="110"/>
      <c r="E128" s="22"/>
      <c r="F128" s="487"/>
      <c r="G128" s="481"/>
      <c r="H128" s="481"/>
      <c r="I128" s="486"/>
      <c r="J128" s="482"/>
      <c r="K128" s="482"/>
      <c r="L128" s="482"/>
      <c r="M128" s="483"/>
      <c r="N128" s="488"/>
      <c r="O128" s="460"/>
      <c r="P128" s="460"/>
      <c r="Q128" s="460"/>
      <c r="R128" s="460"/>
      <c r="S128" s="460"/>
      <c r="T128" s="460"/>
      <c r="U128" s="460"/>
      <c r="V128" s="460"/>
      <c r="W128" s="460"/>
      <c r="X128" s="460"/>
    </row>
    <row r="129" ht="21.75" customHeight="1">
      <c r="A129" s="295" t="s">
        <v>45</v>
      </c>
      <c r="B129" s="160" t="s">
        <v>594</v>
      </c>
      <c r="C129" s="185">
        <v>1.0132E7</v>
      </c>
      <c r="D129" s="110"/>
      <c r="E129" s="401">
        <f>sum(C129:C132)</f>
        <v>80090800</v>
      </c>
      <c r="F129" s="460"/>
      <c r="G129" s="95"/>
      <c r="H129" s="460"/>
      <c r="I129" s="460"/>
      <c r="J129" s="460"/>
      <c r="K129" s="460"/>
      <c r="L129" s="460"/>
      <c r="M129" s="460"/>
      <c r="N129" s="460"/>
      <c r="O129" s="460"/>
      <c r="P129" s="460"/>
      <c r="Q129" s="460"/>
      <c r="R129" s="460"/>
      <c r="S129" s="460"/>
      <c r="T129" s="460"/>
      <c r="U129" s="460"/>
      <c r="V129" s="460"/>
      <c r="W129" s="460"/>
      <c r="X129" s="460"/>
    </row>
    <row r="130" ht="21.75" customHeight="1">
      <c r="A130" s="18"/>
      <c r="B130" s="160" t="s">
        <v>595</v>
      </c>
      <c r="C130" s="207">
        <v>1.22648E7</v>
      </c>
      <c r="D130" s="110"/>
      <c r="E130" s="18"/>
      <c r="F130" s="460"/>
      <c r="G130" s="460"/>
      <c r="H130" s="460"/>
      <c r="I130" s="460"/>
      <c r="J130" s="460"/>
      <c r="K130" s="460"/>
      <c r="L130" s="460"/>
      <c r="M130" s="460"/>
      <c r="N130" s="460"/>
      <c r="O130" s="460"/>
      <c r="P130" s="460"/>
      <c r="Q130" s="460"/>
      <c r="R130" s="460"/>
      <c r="S130" s="460"/>
      <c r="T130" s="460"/>
      <c r="U130" s="460"/>
      <c r="V130" s="460"/>
      <c r="W130" s="460"/>
      <c r="X130" s="460"/>
    </row>
    <row r="131" ht="21.75" customHeight="1">
      <c r="A131" s="18"/>
      <c r="B131" s="160" t="s">
        <v>596</v>
      </c>
      <c r="C131" s="160">
        <v>1.43334E7</v>
      </c>
      <c r="D131" s="110"/>
      <c r="E131" s="18"/>
      <c r="F131" s="460"/>
      <c r="G131" s="95"/>
      <c r="H131" s="95"/>
      <c r="I131" s="95"/>
      <c r="J131" s="460"/>
      <c r="K131" s="460"/>
      <c r="L131" s="460"/>
      <c r="M131" s="460"/>
      <c r="N131" s="460"/>
      <c r="O131" s="460"/>
      <c r="P131" s="460"/>
      <c r="Q131" s="460"/>
      <c r="R131" s="460"/>
      <c r="S131" s="460"/>
      <c r="T131" s="460"/>
      <c r="U131" s="460"/>
      <c r="V131" s="460"/>
      <c r="W131" s="460"/>
      <c r="X131" s="460"/>
    </row>
    <row r="132" ht="21.75" customHeight="1">
      <c r="A132" s="22"/>
      <c r="B132" s="192" t="s">
        <v>597</v>
      </c>
      <c r="C132" s="335">
        <v>4.33606E7</v>
      </c>
      <c r="D132" s="110"/>
      <c r="E132" s="22"/>
      <c r="F132" s="460"/>
      <c r="G132" s="95"/>
      <c r="H132" s="95"/>
      <c r="I132" s="95"/>
      <c r="J132" s="460"/>
      <c r="K132" s="460"/>
      <c r="L132" s="460"/>
      <c r="M132" s="460"/>
      <c r="N132" s="460"/>
      <c r="O132" s="460"/>
      <c r="P132" s="460"/>
      <c r="Q132" s="460"/>
      <c r="R132" s="460"/>
      <c r="S132" s="460"/>
      <c r="T132" s="460"/>
      <c r="U132" s="460"/>
      <c r="V132" s="460"/>
      <c r="W132" s="460"/>
      <c r="X132" s="460"/>
    </row>
    <row r="133" ht="21.75" customHeight="1">
      <c r="A133" s="295" t="s">
        <v>46</v>
      </c>
      <c r="B133" s="160" t="s">
        <v>600</v>
      </c>
      <c r="C133" s="207">
        <v>4.3305E7</v>
      </c>
      <c r="D133" s="198"/>
      <c r="E133" s="401">
        <f>sum(C133:C136)</f>
        <v>70635000</v>
      </c>
      <c r="F133" s="460"/>
      <c r="G133" s="95"/>
      <c r="H133" s="95"/>
      <c r="I133" s="95"/>
      <c r="J133" s="460"/>
      <c r="K133" s="460"/>
      <c r="L133" s="460"/>
      <c r="M133" s="460"/>
      <c r="N133" s="460"/>
      <c r="O133" s="460"/>
      <c r="P133" s="460"/>
      <c r="Q133" s="460"/>
      <c r="R133" s="460"/>
      <c r="S133" s="460"/>
      <c r="T133" s="460"/>
      <c r="U133" s="460"/>
      <c r="V133" s="460"/>
      <c r="W133" s="460"/>
      <c r="X133" s="460"/>
    </row>
    <row r="134" ht="21.75" customHeight="1">
      <c r="A134" s="18"/>
      <c r="B134" s="160" t="s">
        <v>595</v>
      </c>
      <c r="C134" s="207">
        <v>3335000.0</v>
      </c>
      <c r="D134" s="198"/>
      <c r="E134" s="18"/>
      <c r="F134" s="460"/>
      <c r="G134" s="95"/>
      <c r="H134" s="95"/>
      <c r="I134" s="95"/>
      <c r="J134" s="460"/>
      <c r="K134" s="460"/>
      <c r="L134" s="460"/>
      <c r="M134" s="460"/>
      <c r="N134" s="460"/>
      <c r="O134" s="460"/>
      <c r="P134" s="460"/>
      <c r="Q134" s="460"/>
      <c r="R134" s="460"/>
      <c r="S134" s="460"/>
      <c r="T134" s="460"/>
      <c r="U134" s="460"/>
      <c r="V134" s="460"/>
      <c r="W134" s="460"/>
      <c r="X134" s="460"/>
    </row>
    <row r="135" ht="21.75" customHeight="1">
      <c r="A135" s="18"/>
      <c r="B135" s="160" t="s">
        <v>596</v>
      </c>
      <c r="C135" s="207">
        <v>2.3345E7</v>
      </c>
      <c r="D135" s="198"/>
      <c r="E135" s="18"/>
      <c r="F135" s="460"/>
      <c r="G135" s="95"/>
      <c r="H135" s="95"/>
      <c r="I135" s="95"/>
      <c r="J135" s="460"/>
      <c r="K135" s="460"/>
      <c r="L135" s="460"/>
      <c r="M135" s="460"/>
      <c r="N135" s="460"/>
      <c r="O135" s="460"/>
      <c r="P135" s="460"/>
      <c r="Q135" s="460"/>
      <c r="R135" s="460"/>
      <c r="S135" s="460"/>
      <c r="T135" s="460"/>
      <c r="U135" s="460"/>
      <c r="V135" s="460"/>
      <c r="W135" s="460"/>
      <c r="X135" s="460"/>
    </row>
    <row r="136" ht="21.75" customHeight="1">
      <c r="A136" s="22"/>
      <c r="B136" s="192" t="s">
        <v>597</v>
      </c>
      <c r="C136" s="160">
        <v>650000.0</v>
      </c>
      <c r="D136" s="198"/>
      <c r="E136" s="22"/>
      <c r="F136" s="460"/>
      <c r="G136" s="460"/>
      <c r="H136" s="460"/>
      <c r="I136" s="460"/>
      <c r="J136" s="460"/>
      <c r="K136" s="460"/>
      <c r="L136" s="460"/>
      <c r="M136" s="460"/>
      <c r="N136" s="460"/>
      <c r="O136" s="460"/>
      <c r="P136" s="460"/>
      <c r="Q136" s="460"/>
      <c r="R136" s="460"/>
      <c r="S136" s="460"/>
      <c r="T136" s="460"/>
      <c r="U136" s="460"/>
      <c r="V136" s="460"/>
      <c r="W136" s="460"/>
      <c r="X136" s="460"/>
    </row>
    <row r="137" ht="21.75" customHeight="1">
      <c r="A137" s="295" t="s">
        <v>47</v>
      </c>
      <c r="B137" s="184" t="s">
        <v>605</v>
      </c>
      <c r="C137" s="155">
        <v>4.0E7</v>
      </c>
      <c r="D137" s="24"/>
      <c r="E137" s="401">
        <f>C137+C140</f>
        <v>52815000</v>
      </c>
      <c r="F137" s="460"/>
      <c r="G137" s="460"/>
      <c r="H137" s="460"/>
      <c r="I137" s="460"/>
      <c r="J137" s="460"/>
      <c r="K137" s="460"/>
      <c r="L137" s="460"/>
      <c r="M137" s="460"/>
      <c r="N137" s="460"/>
      <c r="O137" s="460"/>
      <c r="P137" s="460"/>
      <c r="Q137" s="460"/>
      <c r="R137" s="460"/>
      <c r="S137" s="460"/>
      <c r="T137" s="460"/>
      <c r="U137" s="460"/>
      <c r="V137" s="460"/>
      <c r="W137" s="460"/>
      <c r="X137" s="460"/>
    </row>
    <row r="138" ht="21.75" customHeight="1">
      <c r="A138" s="18"/>
      <c r="B138" s="184" t="s">
        <v>606</v>
      </c>
      <c r="C138" s="207">
        <v>1.783E7</v>
      </c>
      <c r="D138" s="198" t="s">
        <v>7</v>
      </c>
      <c r="E138" s="18"/>
      <c r="F138" s="460"/>
      <c r="G138" s="460"/>
      <c r="H138" s="460"/>
      <c r="I138" s="460"/>
      <c r="J138" s="460"/>
      <c r="K138" s="460"/>
      <c r="L138" s="460"/>
      <c r="M138" s="460"/>
      <c r="N138" s="460"/>
      <c r="O138" s="460"/>
      <c r="P138" s="460"/>
      <c r="Q138" s="460"/>
      <c r="R138" s="460"/>
      <c r="S138" s="460"/>
      <c r="T138" s="460"/>
      <c r="U138" s="460"/>
      <c r="V138" s="460"/>
      <c r="W138" s="460"/>
      <c r="X138" s="460"/>
    </row>
    <row r="139" ht="21.75" customHeight="1">
      <c r="A139" s="18"/>
      <c r="B139" s="184" t="s">
        <v>607</v>
      </c>
      <c r="C139" s="155">
        <v>3.6332E7</v>
      </c>
      <c r="D139" s="110" t="s">
        <v>7</v>
      </c>
      <c r="E139" s="18"/>
      <c r="F139" s="460"/>
      <c r="G139" s="460"/>
      <c r="H139" s="460"/>
      <c r="I139" s="460"/>
      <c r="J139" s="460"/>
      <c r="K139" s="460"/>
      <c r="L139" s="460"/>
      <c r="M139" s="460"/>
      <c r="N139" s="460"/>
      <c r="O139" s="460"/>
      <c r="P139" s="460"/>
      <c r="Q139" s="460"/>
      <c r="R139" s="460"/>
      <c r="S139" s="460"/>
      <c r="T139" s="460"/>
      <c r="U139" s="460"/>
      <c r="V139" s="460"/>
      <c r="W139" s="460"/>
      <c r="X139" s="460"/>
    </row>
    <row r="140" ht="21.75" customHeight="1">
      <c r="A140" s="22"/>
      <c r="B140" s="192" t="s">
        <v>608</v>
      </c>
      <c r="C140" s="155">
        <v>1.2815E7</v>
      </c>
      <c r="D140" s="110"/>
      <c r="E140" s="22"/>
      <c r="F140" s="460"/>
      <c r="G140" s="90" t="s">
        <v>50</v>
      </c>
      <c r="H140" s="56" t="s">
        <v>51</v>
      </c>
      <c r="I140" s="19">
        <v>3.58355E7</v>
      </c>
      <c r="J140" s="460"/>
      <c r="K140" s="460"/>
      <c r="L140" s="460"/>
      <c r="M140" s="460"/>
      <c r="N140" s="460"/>
      <c r="O140" s="460"/>
      <c r="P140" s="460"/>
      <c r="Q140" s="460"/>
      <c r="R140" s="460"/>
      <c r="S140" s="460"/>
      <c r="T140" s="460"/>
      <c r="U140" s="460"/>
      <c r="V140" s="460"/>
      <c r="W140" s="460"/>
      <c r="X140" s="460"/>
    </row>
    <row r="141" ht="21.75" customHeight="1">
      <c r="A141" s="295" t="s">
        <v>56</v>
      </c>
      <c r="B141" s="160" t="s">
        <v>594</v>
      </c>
      <c r="C141" s="207">
        <v>1.8305E7</v>
      </c>
      <c r="D141" s="110"/>
      <c r="E141" s="401">
        <f>sum(C141:C144)</f>
        <v>118438000</v>
      </c>
      <c r="F141" s="489"/>
      <c r="G141" s="18"/>
      <c r="H141" s="56"/>
      <c r="I141" s="19"/>
      <c r="J141" s="460"/>
      <c r="K141" s="460"/>
      <c r="L141" s="460"/>
      <c r="M141" s="460"/>
      <c r="N141" s="460"/>
      <c r="O141" s="460"/>
      <c r="P141" s="460"/>
      <c r="Q141" s="460"/>
      <c r="R141" s="460"/>
      <c r="S141" s="460"/>
      <c r="T141" s="460"/>
      <c r="U141" s="460"/>
      <c r="V141" s="460"/>
      <c r="W141" s="460"/>
      <c r="X141" s="460"/>
    </row>
    <row r="142" ht="21.75" customHeight="1">
      <c r="A142" s="18"/>
      <c r="B142" s="160" t="s">
        <v>595</v>
      </c>
      <c r="C142" s="207">
        <v>2.0103E7</v>
      </c>
      <c r="D142" s="192"/>
      <c r="E142" s="18"/>
      <c r="F142" s="489"/>
      <c r="G142" s="18"/>
      <c r="H142" s="56" t="s">
        <v>57</v>
      </c>
      <c r="I142" s="19">
        <v>6.7791E7</v>
      </c>
      <c r="J142" s="460"/>
      <c r="K142" s="460"/>
      <c r="L142" s="460"/>
      <c r="M142" s="460"/>
      <c r="N142" s="460"/>
      <c r="O142" s="460"/>
      <c r="P142" s="460"/>
      <c r="Q142" s="460"/>
      <c r="R142" s="460"/>
      <c r="S142" s="460"/>
      <c r="T142" s="460"/>
      <c r="U142" s="460"/>
      <c r="V142" s="460"/>
      <c r="W142" s="460"/>
      <c r="X142" s="460"/>
    </row>
    <row r="143" ht="21.75" customHeight="1">
      <c r="A143" s="18"/>
      <c r="B143" s="160" t="s">
        <v>596</v>
      </c>
      <c r="C143" s="160">
        <v>3.9095E7</v>
      </c>
      <c r="D143" s="110"/>
      <c r="E143" s="18"/>
      <c r="F143" s="489"/>
      <c r="G143" s="18"/>
      <c r="H143" s="460"/>
      <c r="I143" s="460"/>
      <c r="J143" s="460"/>
      <c r="K143" s="460"/>
      <c r="L143" s="460"/>
      <c r="M143" s="460"/>
      <c r="N143" s="460"/>
      <c r="O143" s="460"/>
      <c r="P143" s="460"/>
      <c r="Q143" s="460"/>
      <c r="R143" s="460"/>
      <c r="S143" s="460"/>
      <c r="T143" s="460"/>
      <c r="U143" s="460"/>
      <c r="V143" s="460"/>
      <c r="W143" s="460"/>
      <c r="X143" s="460"/>
    </row>
    <row r="144" ht="21.75" customHeight="1">
      <c r="A144" s="22"/>
      <c r="B144" s="192" t="s">
        <v>597</v>
      </c>
      <c r="C144" s="207">
        <v>4.0935E7</v>
      </c>
      <c r="D144" s="110"/>
      <c r="E144" s="22"/>
      <c r="F144" s="460"/>
      <c r="G144" s="18"/>
      <c r="H144" s="460"/>
      <c r="I144" s="17">
        <f>SUM(I153:I154)</f>
        <v>146720000</v>
      </c>
      <c r="J144" s="460"/>
      <c r="K144" s="460"/>
      <c r="L144" s="460"/>
      <c r="M144" s="460"/>
      <c r="N144" s="460"/>
      <c r="O144" s="460"/>
      <c r="P144" s="460"/>
      <c r="Q144" s="460"/>
      <c r="R144" s="460"/>
      <c r="S144" s="460"/>
      <c r="T144" s="460"/>
      <c r="U144" s="460"/>
      <c r="V144" s="460"/>
      <c r="W144" s="460"/>
      <c r="X144" s="460"/>
    </row>
    <row r="145" ht="21.75" customHeight="1">
      <c r="A145" s="102" t="s">
        <v>58</v>
      </c>
      <c r="B145" s="184"/>
      <c r="C145" s="160"/>
      <c r="D145" s="110"/>
      <c r="E145" s="401">
        <f>sum(C146:C150)</f>
        <v>368707000</v>
      </c>
      <c r="F145" s="489"/>
      <c r="G145" s="460"/>
      <c r="H145" s="460"/>
      <c r="I145" s="460"/>
      <c r="J145" s="460"/>
      <c r="K145" s="460"/>
      <c r="L145" s="460"/>
      <c r="M145" s="460"/>
      <c r="N145" s="460"/>
      <c r="O145" s="460"/>
      <c r="P145" s="460"/>
      <c r="Q145" s="460"/>
      <c r="R145" s="460"/>
      <c r="S145" s="460"/>
      <c r="T145" s="460"/>
      <c r="U145" s="460"/>
      <c r="V145" s="460"/>
      <c r="W145" s="460"/>
      <c r="X145" s="460"/>
    </row>
    <row r="146" ht="22.5" customHeight="1">
      <c r="A146" s="18"/>
      <c r="B146" s="184" t="s">
        <v>600</v>
      </c>
      <c r="C146" s="185">
        <v>1.0587E8</v>
      </c>
      <c r="D146" s="110"/>
      <c r="E146" s="18"/>
      <c r="F146" s="460"/>
      <c r="G146" s="95"/>
      <c r="H146" s="9"/>
      <c r="I146" s="28"/>
      <c r="J146" s="460"/>
      <c r="K146" s="460"/>
      <c r="L146" s="460"/>
      <c r="M146" s="460"/>
      <c r="N146" s="460"/>
      <c r="O146" s="460"/>
      <c r="P146" s="460"/>
      <c r="Q146" s="460"/>
      <c r="R146" s="460"/>
      <c r="S146" s="460"/>
      <c r="T146" s="460"/>
      <c r="U146" s="460"/>
      <c r="V146" s="460"/>
      <c r="W146" s="460"/>
      <c r="X146" s="460"/>
    </row>
    <row r="147" ht="22.5" customHeight="1">
      <c r="A147" s="18"/>
      <c r="B147" s="160" t="s">
        <v>594</v>
      </c>
      <c r="C147" s="207">
        <v>1.212115E8</v>
      </c>
      <c r="D147" s="110"/>
      <c r="E147" s="18"/>
      <c r="F147" s="489"/>
      <c r="G147" s="79"/>
      <c r="H147" s="56"/>
      <c r="I147" s="24">
        <v>1.11365E7</v>
      </c>
      <c r="J147" s="460"/>
      <c r="K147" s="460"/>
      <c r="L147" s="460"/>
      <c r="M147" s="460"/>
      <c r="N147" s="460"/>
      <c r="O147" s="460"/>
      <c r="P147" s="460"/>
      <c r="Q147" s="460"/>
      <c r="R147" s="460"/>
      <c r="S147" s="460"/>
      <c r="T147" s="460"/>
      <c r="U147" s="460"/>
      <c r="V147" s="460"/>
      <c r="W147" s="460"/>
      <c r="X147" s="460"/>
    </row>
    <row r="148" ht="22.5" customHeight="1">
      <c r="A148" s="18"/>
      <c r="B148" s="160" t="s">
        <v>595</v>
      </c>
      <c r="C148" s="335">
        <v>6.1948E7</v>
      </c>
      <c r="D148" s="110"/>
      <c r="E148" s="18"/>
      <c r="F148" s="460"/>
      <c r="G148" s="18"/>
      <c r="H148" s="56"/>
      <c r="I148" s="24">
        <v>4.38625E7</v>
      </c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</row>
    <row r="149" ht="22.5" customHeight="1">
      <c r="A149" s="18"/>
      <c r="B149" s="160" t="s">
        <v>596</v>
      </c>
      <c r="C149" s="335">
        <v>7.66825E7</v>
      </c>
      <c r="D149" s="110"/>
      <c r="E149" s="18"/>
      <c r="F149" s="460"/>
      <c r="G149" s="18"/>
      <c r="H149" s="56"/>
      <c r="I149" s="24"/>
      <c r="J149" s="460"/>
      <c r="K149" s="460"/>
      <c r="L149" s="460"/>
      <c r="M149" s="460"/>
      <c r="N149" s="460"/>
      <c r="O149" s="460"/>
      <c r="P149" s="460"/>
      <c r="Q149" s="460"/>
      <c r="R149" s="460"/>
      <c r="S149" s="460"/>
      <c r="T149" s="460"/>
      <c r="U149" s="460"/>
      <c r="V149" s="460"/>
      <c r="W149" s="460"/>
      <c r="X149" s="460"/>
    </row>
    <row r="150" ht="22.5" customHeight="1">
      <c r="A150" s="22"/>
      <c r="B150" s="192" t="s">
        <v>597</v>
      </c>
      <c r="C150" s="335">
        <v>2995000.0</v>
      </c>
      <c r="D150" s="110"/>
      <c r="E150" s="22"/>
      <c r="F150" s="460"/>
      <c r="G150" s="18"/>
      <c r="H150" s="56"/>
      <c r="I150" s="24"/>
      <c r="J150" s="460"/>
      <c r="K150" s="460"/>
      <c r="L150" s="460"/>
      <c r="M150" s="460"/>
      <c r="N150" s="460"/>
      <c r="O150" s="460"/>
      <c r="P150" s="460"/>
      <c r="Q150" s="460"/>
      <c r="R150" s="460"/>
      <c r="S150" s="460"/>
      <c r="T150" s="460"/>
      <c r="U150" s="460"/>
      <c r="V150" s="460"/>
      <c r="W150" s="460"/>
      <c r="X150" s="460"/>
    </row>
    <row r="151" ht="22.5" customHeight="1">
      <c r="A151" s="102" t="s">
        <v>60</v>
      </c>
      <c r="B151" s="184"/>
      <c r="C151" s="358"/>
      <c r="D151" s="110"/>
      <c r="E151" s="401"/>
      <c r="F151" s="460"/>
      <c r="G151" s="18"/>
      <c r="H151" s="56"/>
      <c r="I151" s="24"/>
      <c r="J151" s="460"/>
      <c r="K151" s="460"/>
      <c r="L151" s="460"/>
      <c r="M151" s="460"/>
      <c r="N151" s="460"/>
      <c r="O151" s="460"/>
      <c r="P151" s="460"/>
      <c r="Q151" s="460"/>
      <c r="R151" s="460"/>
      <c r="S151" s="460"/>
      <c r="T151" s="460"/>
      <c r="U151" s="460"/>
      <c r="V151" s="460"/>
      <c r="W151" s="460"/>
      <c r="X151" s="460"/>
    </row>
    <row r="152" ht="22.5" customHeight="1">
      <c r="A152" s="18"/>
      <c r="B152" s="184"/>
      <c r="C152" s="110"/>
      <c r="D152" s="110"/>
      <c r="E152" s="18"/>
      <c r="F152" s="460"/>
      <c r="G152" s="18"/>
      <c r="H152" s="56"/>
      <c r="I152" s="24"/>
      <c r="J152" s="460"/>
      <c r="K152" s="460"/>
      <c r="L152" s="460"/>
      <c r="M152" s="460"/>
      <c r="N152" s="460"/>
      <c r="O152" s="460"/>
      <c r="P152" s="460"/>
      <c r="Q152" s="460"/>
      <c r="R152" s="460"/>
      <c r="S152" s="460"/>
      <c r="T152" s="460"/>
      <c r="U152" s="460"/>
      <c r="V152" s="460"/>
      <c r="W152" s="460"/>
      <c r="X152" s="460"/>
    </row>
    <row r="153" ht="22.5" customHeight="1">
      <c r="A153" s="18"/>
      <c r="B153" s="160"/>
      <c r="C153" s="207"/>
      <c r="D153" s="110"/>
      <c r="E153" s="18"/>
      <c r="F153" s="460"/>
      <c r="G153" s="18"/>
      <c r="H153" s="56"/>
      <c r="I153" s="24">
        <v>9.8639E7</v>
      </c>
      <c r="J153" s="460"/>
      <c r="K153" s="460"/>
      <c r="L153" s="460"/>
      <c r="M153" s="460"/>
      <c r="N153" s="460"/>
      <c r="O153" s="460"/>
      <c r="P153" s="460"/>
      <c r="Q153" s="460"/>
      <c r="R153" s="460"/>
      <c r="S153" s="460"/>
      <c r="T153" s="460"/>
      <c r="U153" s="460"/>
      <c r="V153" s="460"/>
      <c r="W153" s="460"/>
      <c r="X153" s="460"/>
    </row>
    <row r="154" ht="22.5" customHeight="1">
      <c r="A154" s="22"/>
      <c r="B154" s="184"/>
      <c r="C154" s="207"/>
      <c r="D154" s="192"/>
      <c r="E154" s="22"/>
      <c r="F154" s="460"/>
      <c r="G154" s="18"/>
      <c r="H154" s="56"/>
      <c r="I154" s="24">
        <v>4.8081E7</v>
      </c>
      <c r="J154" s="460"/>
      <c r="K154" s="460"/>
      <c r="L154" s="460"/>
      <c r="M154" s="460"/>
      <c r="N154" s="460"/>
      <c r="O154" s="460"/>
      <c r="P154" s="460"/>
      <c r="Q154" s="460"/>
      <c r="R154" s="460"/>
      <c r="S154" s="460"/>
      <c r="T154" s="460"/>
      <c r="U154" s="460"/>
      <c r="V154" s="460"/>
      <c r="W154" s="460"/>
      <c r="X154" s="460"/>
    </row>
    <row r="155" ht="22.5" customHeight="1">
      <c r="A155" s="295" t="s">
        <v>61</v>
      </c>
      <c r="B155" s="184" t="s">
        <v>600</v>
      </c>
      <c r="C155" s="207">
        <v>900000.0</v>
      </c>
      <c r="D155" s="337"/>
      <c r="E155" s="401">
        <f>C155+C157+C158</f>
        <v>27627500</v>
      </c>
      <c r="F155" s="53" t="s">
        <v>62</v>
      </c>
      <c r="G155" s="18"/>
      <c r="H155" s="460"/>
      <c r="I155" s="460"/>
      <c r="J155" s="460"/>
      <c r="K155" s="460"/>
      <c r="L155" s="460"/>
      <c r="M155" s="460"/>
      <c r="N155" s="460"/>
      <c r="O155" s="460"/>
      <c r="P155" s="460"/>
      <c r="Q155" s="460"/>
      <c r="R155" s="460"/>
      <c r="S155" s="460"/>
      <c r="T155" s="460"/>
      <c r="U155" s="460"/>
      <c r="V155" s="460"/>
      <c r="W155" s="460"/>
      <c r="X155" s="460"/>
    </row>
    <row r="156" ht="22.5" customHeight="1">
      <c r="A156" s="18"/>
      <c r="B156" s="160" t="s">
        <v>594</v>
      </c>
      <c r="C156" s="110">
        <v>1.431E7</v>
      </c>
      <c r="D156" s="110" t="s">
        <v>7</v>
      </c>
      <c r="E156" s="18"/>
      <c r="F156" s="460"/>
      <c r="G156" s="18"/>
      <c r="H156" s="56"/>
      <c r="I156" s="99">
        <f>SUM(I147:I154)</f>
        <v>201719000</v>
      </c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0"/>
    </row>
    <row r="157" ht="22.5" customHeight="1">
      <c r="A157" s="18"/>
      <c r="B157" s="160" t="s">
        <v>595</v>
      </c>
      <c r="C157" s="110">
        <v>1.63625E7</v>
      </c>
      <c r="D157" s="110"/>
      <c r="E157" s="18"/>
      <c r="F157" s="460"/>
      <c r="G157" s="95"/>
      <c r="H157" s="9"/>
      <c r="I157" s="234"/>
      <c r="J157" s="460"/>
      <c r="K157" s="460"/>
      <c r="L157" s="460"/>
      <c r="M157" s="460"/>
      <c r="N157" s="460"/>
      <c r="O157" s="460"/>
      <c r="P157" s="460"/>
      <c r="Q157" s="460"/>
      <c r="R157" s="460"/>
      <c r="S157" s="460"/>
      <c r="T157" s="460"/>
      <c r="U157" s="460"/>
      <c r="V157" s="460"/>
      <c r="W157" s="460"/>
      <c r="X157" s="460"/>
    </row>
    <row r="158" ht="22.5" customHeight="1">
      <c r="A158" s="18"/>
      <c r="B158" s="160" t="s">
        <v>596</v>
      </c>
      <c r="C158" s="110">
        <v>1.0365E7</v>
      </c>
      <c r="D158" s="110"/>
      <c r="E158" s="18"/>
      <c r="F158" s="460"/>
      <c r="G158" s="460"/>
      <c r="H158" s="460"/>
      <c r="I158" s="460"/>
      <c r="J158" s="460"/>
      <c r="K158" s="460"/>
      <c r="L158" s="460"/>
      <c r="M158" s="460"/>
      <c r="N158" s="460"/>
      <c r="O158" s="460"/>
      <c r="P158" s="460"/>
      <c r="Q158" s="460"/>
      <c r="R158" s="460"/>
      <c r="S158" s="460"/>
      <c r="T158" s="460"/>
      <c r="U158" s="460"/>
      <c r="V158" s="460"/>
      <c r="W158" s="460"/>
      <c r="X158" s="460"/>
    </row>
    <row r="159" ht="22.5" customHeight="1">
      <c r="A159" s="22"/>
      <c r="B159" s="192"/>
      <c r="C159" s="110"/>
      <c r="D159" s="110"/>
      <c r="E159" s="22"/>
      <c r="F159" s="460"/>
      <c r="G159" s="460"/>
      <c r="H159" s="460"/>
      <c r="I159" s="460"/>
      <c r="J159" s="460"/>
      <c r="K159" s="460"/>
      <c r="L159" s="460"/>
      <c r="M159" s="460"/>
      <c r="N159" s="460"/>
      <c r="O159" s="460"/>
      <c r="P159" s="460"/>
      <c r="Q159" s="460"/>
      <c r="R159" s="460"/>
      <c r="S159" s="460"/>
      <c r="T159" s="460"/>
      <c r="U159" s="460"/>
      <c r="V159" s="460"/>
      <c r="W159" s="460"/>
      <c r="X159" s="460"/>
    </row>
    <row r="160" ht="22.5" customHeight="1">
      <c r="A160" s="102" t="s">
        <v>63</v>
      </c>
      <c r="B160" s="160" t="s">
        <v>594</v>
      </c>
      <c r="C160" s="110">
        <v>6.8814E7</v>
      </c>
      <c r="D160" s="192" t="s">
        <v>7</v>
      </c>
      <c r="E160" s="401">
        <v>2.9898E7</v>
      </c>
      <c r="F160" s="460"/>
      <c r="G160" s="460"/>
      <c r="H160" s="460"/>
      <c r="I160" s="460"/>
      <c r="J160" s="460"/>
      <c r="K160" s="460"/>
      <c r="L160" s="460"/>
      <c r="M160" s="460"/>
      <c r="N160" s="460"/>
      <c r="O160" s="460"/>
      <c r="P160" s="460"/>
      <c r="Q160" s="460"/>
      <c r="R160" s="460"/>
      <c r="S160" s="460"/>
      <c r="T160" s="460"/>
      <c r="U160" s="460"/>
      <c r="V160" s="460"/>
      <c r="W160" s="460"/>
      <c r="X160" s="460"/>
    </row>
    <row r="161" ht="22.5" customHeight="1">
      <c r="A161" s="18"/>
      <c r="B161" s="160" t="s">
        <v>595</v>
      </c>
      <c r="C161" s="198">
        <v>2.9898E7</v>
      </c>
      <c r="D161" s="110"/>
      <c r="E161" s="18"/>
      <c r="F161" s="460"/>
      <c r="G161" s="460"/>
      <c r="H161" s="460"/>
      <c r="I161" s="460"/>
      <c r="J161" s="460"/>
      <c r="K161" s="460"/>
      <c r="L161" s="460"/>
      <c r="M161" s="460"/>
      <c r="N161" s="460"/>
      <c r="O161" s="460"/>
      <c r="P161" s="460"/>
      <c r="Q161" s="460"/>
      <c r="R161" s="460"/>
      <c r="S161" s="460"/>
      <c r="T161" s="460"/>
      <c r="U161" s="460"/>
      <c r="V161" s="460"/>
      <c r="W161" s="460"/>
      <c r="X161" s="460"/>
    </row>
    <row r="162" ht="22.5" customHeight="1">
      <c r="A162" s="18"/>
      <c r="B162" s="160" t="s">
        <v>596</v>
      </c>
      <c r="C162" s="110">
        <v>4.3435E7</v>
      </c>
      <c r="D162" s="110" t="s">
        <v>7</v>
      </c>
      <c r="E162" s="18"/>
      <c r="F162" s="460"/>
      <c r="G162" s="460"/>
      <c r="H162" s="460"/>
      <c r="I162" s="460"/>
      <c r="J162" s="460"/>
      <c r="K162" s="460"/>
      <c r="L162" s="460"/>
      <c r="M162" s="460"/>
      <c r="N162" s="460"/>
      <c r="O162" s="460"/>
      <c r="P162" s="460"/>
      <c r="Q162" s="460"/>
      <c r="R162" s="460"/>
      <c r="S162" s="460"/>
      <c r="T162" s="460"/>
      <c r="U162" s="460"/>
      <c r="V162" s="460"/>
      <c r="W162" s="460"/>
      <c r="X162" s="460"/>
    </row>
    <row r="163" ht="22.5" customHeight="1">
      <c r="A163" s="18"/>
      <c r="B163" s="192" t="s">
        <v>597</v>
      </c>
      <c r="C163" s="110">
        <v>4.8738E7</v>
      </c>
      <c r="D163" s="110" t="s">
        <v>7</v>
      </c>
      <c r="E163" s="18"/>
      <c r="F163" s="460"/>
      <c r="G163" s="460"/>
      <c r="H163" s="460"/>
      <c r="I163" s="460"/>
      <c r="J163" s="460"/>
      <c r="K163" s="460"/>
      <c r="L163" s="460"/>
      <c r="M163" s="460"/>
      <c r="N163" s="460"/>
      <c r="O163" s="460"/>
      <c r="P163" s="460"/>
      <c r="Q163" s="460"/>
      <c r="R163" s="460"/>
      <c r="S163" s="460"/>
      <c r="T163" s="460"/>
      <c r="U163" s="460"/>
      <c r="V163" s="460"/>
      <c r="W163" s="460"/>
      <c r="X163" s="460"/>
    </row>
    <row r="164" ht="22.5" customHeight="1">
      <c r="A164" s="22"/>
      <c r="B164" s="184"/>
      <c r="C164" s="198"/>
      <c r="D164" s="110"/>
      <c r="E164" s="22"/>
      <c r="F164" s="460"/>
      <c r="G164" s="460"/>
      <c r="H164" s="460"/>
      <c r="I164" s="460"/>
      <c r="J164" s="460"/>
      <c r="K164" s="460"/>
      <c r="L164" s="460"/>
      <c r="M164" s="460"/>
      <c r="N164" s="460"/>
      <c r="O164" s="460"/>
      <c r="P164" s="460"/>
      <c r="Q164" s="460"/>
      <c r="R164" s="460"/>
      <c r="S164" s="460"/>
      <c r="T164" s="460"/>
      <c r="U164" s="460"/>
      <c r="V164" s="460"/>
      <c r="W164" s="460"/>
      <c r="X164" s="460"/>
    </row>
    <row r="165" ht="22.5" customHeight="1">
      <c r="A165" s="338" t="s">
        <v>64</v>
      </c>
      <c r="B165" s="184" t="s">
        <v>609</v>
      </c>
      <c r="C165" s="198">
        <v>6.1107E7</v>
      </c>
      <c r="D165" s="115" t="s">
        <v>7</v>
      </c>
      <c r="E165" s="401">
        <v>4.41205E7</v>
      </c>
      <c r="F165" s="460"/>
      <c r="G165" s="460"/>
      <c r="H165" s="460"/>
      <c r="I165" s="460"/>
      <c r="J165" s="460"/>
      <c r="K165" s="460"/>
      <c r="L165" s="460"/>
      <c r="M165" s="460"/>
      <c r="N165" s="460"/>
      <c r="O165" s="460"/>
      <c r="P165" s="460"/>
      <c r="Q165" s="460"/>
      <c r="R165" s="460"/>
      <c r="S165" s="460"/>
      <c r="T165" s="460"/>
      <c r="U165" s="460"/>
      <c r="V165" s="460"/>
      <c r="W165" s="460"/>
      <c r="X165" s="460"/>
    </row>
    <row r="166" ht="22.5" customHeight="1">
      <c r="A166" s="18"/>
      <c r="B166" s="160" t="s">
        <v>594</v>
      </c>
      <c r="C166" s="198">
        <v>7.21255E7</v>
      </c>
      <c r="D166" s="115" t="s">
        <v>7</v>
      </c>
      <c r="E166" s="18"/>
      <c r="F166" s="460"/>
      <c r="G166" s="460"/>
      <c r="H166" s="460"/>
      <c r="I166" s="460"/>
      <c r="J166" s="460"/>
      <c r="K166" s="460"/>
      <c r="L166" s="460"/>
      <c r="M166" s="460"/>
      <c r="N166" s="460"/>
      <c r="O166" s="460"/>
      <c r="P166" s="460"/>
      <c r="Q166" s="460"/>
      <c r="R166" s="460"/>
      <c r="S166" s="460"/>
      <c r="T166" s="460"/>
      <c r="U166" s="460"/>
      <c r="V166" s="460"/>
      <c r="W166" s="460"/>
      <c r="X166" s="460"/>
    </row>
    <row r="167" ht="22.5" customHeight="1">
      <c r="A167" s="18"/>
      <c r="B167" s="160" t="s">
        <v>595</v>
      </c>
      <c r="C167" s="198">
        <v>7.5764E7</v>
      </c>
      <c r="D167" s="115" t="s">
        <v>7</v>
      </c>
      <c r="E167" s="18"/>
      <c r="F167" s="460"/>
      <c r="G167" s="460"/>
      <c r="H167" s="460"/>
      <c r="I167" s="460"/>
      <c r="J167" s="460"/>
      <c r="K167" s="460"/>
      <c r="L167" s="460"/>
      <c r="M167" s="460"/>
      <c r="N167" s="460"/>
      <c r="O167" s="460"/>
      <c r="P167" s="460"/>
      <c r="Q167" s="460"/>
      <c r="R167" s="460"/>
      <c r="S167" s="460"/>
      <c r="T167" s="460"/>
      <c r="U167" s="460"/>
      <c r="V167" s="460"/>
      <c r="W167" s="460"/>
      <c r="X167" s="460"/>
    </row>
    <row r="168" ht="22.5" customHeight="1">
      <c r="A168" s="18"/>
      <c r="B168" s="160" t="s">
        <v>596</v>
      </c>
      <c r="C168" s="198">
        <v>7.20335E7</v>
      </c>
      <c r="D168" s="115" t="s">
        <v>7</v>
      </c>
      <c r="E168" s="18"/>
      <c r="F168" s="460"/>
      <c r="G168" s="460"/>
      <c r="H168" s="460"/>
      <c r="I168" s="460"/>
      <c r="J168" s="460"/>
      <c r="K168" s="460"/>
      <c r="L168" s="53">
        <f>SUM(I168:I171)</f>
        <v>0</v>
      </c>
      <c r="M168" s="460"/>
      <c r="N168" s="460"/>
      <c r="O168" s="460"/>
      <c r="P168" s="460"/>
      <c r="Q168" s="460"/>
      <c r="R168" s="460"/>
      <c r="S168" s="460"/>
      <c r="T168" s="460"/>
      <c r="U168" s="460"/>
      <c r="V168" s="460"/>
      <c r="W168" s="460"/>
      <c r="X168" s="460"/>
    </row>
    <row r="169" ht="22.5" customHeight="1">
      <c r="A169" s="22"/>
      <c r="B169" s="192" t="s">
        <v>597</v>
      </c>
      <c r="C169" s="198">
        <v>4.41205E7</v>
      </c>
      <c r="D169" s="158"/>
      <c r="E169" s="22"/>
      <c r="F169" s="460"/>
      <c r="G169" s="460"/>
      <c r="H169" s="460"/>
      <c r="I169" s="460"/>
      <c r="J169" s="460"/>
      <c r="K169" s="460"/>
      <c r="L169" s="53"/>
      <c r="M169" s="460"/>
      <c r="N169" s="460"/>
      <c r="O169" s="460"/>
      <c r="P169" s="460"/>
      <c r="Q169" s="460"/>
      <c r="R169" s="460"/>
      <c r="S169" s="460"/>
      <c r="T169" s="460"/>
      <c r="U169" s="460"/>
      <c r="V169" s="460"/>
      <c r="W169" s="460"/>
      <c r="X169" s="460"/>
    </row>
    <row r="170" ht="22.5" customHeight="1">
      <c r="A170" s="102" t="s">
        <v>65</v>
      </c>
      <c r="B170" s="129" t="s">
        <v>598</v>
      </c>
      <c r="C170" s="115">
        <v>2625000.0</v>
      </c>
      <c r="D170" s="115"/>
      <c r="E170" s="401">
        <f>sum(C170:C175)</f>
        <v>243776500</v>
      </c>
      <c r="F170" s="460"/>
      <c r="G170" s="103"/>
      <c r="H170" s="56"/>
      <c r="I170" s="101"/>
      <c r="J170" s="460"/>
      <c r="K170" s="460"/>
      <c r="L170" s="460"/>
      <c r="M170" s="460"/>
      <c r="N170" s="460"/>
      <c r="O170" s="460"/>
      <c r="P170" s="460"/>
      <c r="Q170" s="460"/>
      <c r="R170" s="460"/>
      <c r="S170" s="460"/>
      <c r="T170" s="460"/>
      <c r="U170" s="460"/>
      <c r="V170" s="460"/>
      <c r="W170" s="460"/>
      <c r="X170" s="460"/>
    </row>
    <row r="171" ht="22.5" customHeight="1">
      <c r="A171" s="18"/>
      <c r="B171" s="129" t="s">
        <v>600</v>
      </c>
      <c r="C171" s="115">
        <v>1.561335E8</v>
      </c>
      <c r="D171" s="48"/>
      <c r="E171" s="18"/>
      <c r="F171" s="460"/>
      <c r="G171" s="18"/>
      <c r="H171" s="56"/>
      <c r="I171" s="48"/>
      <c r="J171" s="460"/>
      <c r="K171" s="460"/>
      <c r="L171" s="460"/>
      <c r="M171" s="460"/>
      <c r="N171" s="460"/>
      <c r="O171" s="460"/>
      <c r="P171" s="460"/>
      <c r="Q171" s="460"/>
      <c r="R171" s="460"/>
      <c r="S171" s="460"/>
      <c r="T171" s="460"/>
      <c r="U171" s="460"/>
      <c r="V171" s="460"/>
      <c r="W171" s="460"/>
      <c r="X171" s="460"/>
    </row>
    <row r="172" ht="22.5" customHeight="1">
      <c r="A172" s="18"/>
      <c r="B172" s="160" t="s">
        <v>594</v>
      </c>
      <c r="C172" s="115">
        <v>4.9153E7</v>
      </c>
      <c r="D172" s="48"/>
      <c r="E172" s="18"/>
      <c r="F172" s="460"/>
      <c r="G172" s="18"/>
      <c r="H172" s="56"/>
      <c r="I172" s="48"/>
      <c r="J172" s="460"/>
      <c r="K172" s="460"/>
      <c r="L172" s="460"/>
      <c r="M172" s="460"/>
      <c r="N172" s="460"/>
      <c r="O172" s="460"/>
      <c r="P172" s="460"/>
      <c r="Q172" s="460"/>
      <c r="R172" s="460"/>
      <c r="S172" s="460"/>
      <c r="T172" s="460"/>
      <c r="U172" s="460"/>
      <c r="V172" s="460"/>
      <c r="W172" s="460"/>
      <c r="X172" s="460"/>
    </row>
    <row r="173" ht="22.5" customHeight="1">
      <c r="A173" s="18"/>
      <c r="B173" s="160" t="s">
        <v>595</v>
      </c>
      <c r="C173" s="115">
        <v>6615000.0</v>
      </c>
      <c r="D173" s="48"/>
      <c r="E173" s="18"/>
      <c r="F173" s="460"/>
      <c r="G173" s="18"/>
      <c r="H173" s="56"/>
      <c r="I173" s="48"/>
      <c r="J173" s="460"/>
      <c r="K173" s="460"/>
      <c r="L173" s="460"/>
      <c r="M173" s="460"/>
      <c r="N173" s="460"/>
      <c r="O173" s="460"/>
      <c r="P173" s="460"/>
      <c r="Q173" s="460"/>
      <c r="R173" s="460"/>
      <c r="S173" s="460"/>
      <c r="T173" s="460"/>
      <c r="U173" s="460"/>
      <c r="V173" s="460"/>
      <c r="W173" s="460"/>
      <c r="X173" s="460"/>
    </row>
    <row r="174" ht="22.5" customHeight="1">
      <c r="A174" s="18"/>
      <c r="B174" s="160" t="s">
        <v>596</v>
      </c>
      <c r="C174" s="115">
        <v>1.2005E7</v>
      </c>
      <c r="D174" s="48"/>
      <c r="E174" s="18"/>
      <c r="F174" s="460"/>
      <c r="G174" s="18"/>
      <c r="H174" s="56"/>
      <c r="I174" s="48"/>
      <c r="J174" s="460"/>
      <c r="K174" s="460"/>
      <c r="L174" s="460"/>
      <c r="M174" s="460"/>
      <c r="N174" s="460"/>
      <c r="O174" s="460"/>
      <c r="P174" s="460"/>
      <c r="Q174" s="460"/>
      <c r="R174" s="460"/>
      <c r="S174" s="460"/>
      <c r="T174" s="460"/>
      <c r="U174" s="460"/>
      <c r="V174" s="460"/>
      <c r="W174" s="460"/>
      <c r="X174" s="460"/>
    </row>
    <row r="175" ht="22.5" customHeight="1">
      <c r="A175" s="22"/>
      <c r="B175" s="192" t="s">
        <v>597</v>
      </c>
      <c r="C175" s="115">
        <v>1.7245E7</v>
      </c>
      <c r="D175" s="48"/>
      <c r="E175" s="22"/>
      <c r="F175" s="460"/>
      <c r="G175" s="18"/>
      <c r="H175" s="56"/>
      <c r="I175" s="48"/>
      <c r="J175" s="460"/>
      <c r="K175" s="460"/>
      <c r="L175" s="460"/>
      <c r="M175" s="460"/>
      <c r="N175" s="460"/>
      <c r="O175" s="460"/>
      <c r="P175" s="460"/>
      <c r="Q175" s="460"/>
      <c r="R175" s="460"/>
      <c r="S175" s="460"/>
      <c r="T175" s="460"/>
      <c r="U175" s="460"/>
      <c r="V175" s="460"/>
      <c r="W175" s="460"/>
      <c r="X175" s="460"/>
    </row>
    <row r="176" ht="22.5" customHeight="1">
      <c r="A176" s="102" t="s">
        <v>68</v>
      </c>
      <c r="B176" s="160" t="s">
        <v>594</v>
      </c>
      <c r="C176" s="224">
        <v>1.0E7</v>
      </c>
      <c r="D176" s="110" t="s">
        <v>7</v>
      </c>
      <c r="E176" s="401">
        <v>3.507E7</v>
      </c>
      <c r="F176" s="460"/>
      <c r="G176" s="18"/>
      <c r="H176" s="56"/>
      <c r="I176" s="99"/>
      <c r="J176" s="340"/>
      <c r="K176" s="341"/>
      <c r="L176" s="342"/>
      <c r="M176" s="460"/>
      <c r="N176" s="460"/>
      <c r="O176" s="460"/>
      <c r="P176" s="460"/>
      <c r="Q176" s="460"/>
      <c r="R176" s="460"/>
      <c r="S176" s="460"/>
      <c r="T176" s="460"/>
      <c r="U176" s="460"/>
      <c r="V176" s="460"/>
      <c r="W176" s="460"/>
      <c r="X176" s="460"/>
    </row>
    <row r="177" ht="22.5" customHeight="1">
      <c r="A177" s="18"/>
      <c r="B177" s="160" t="s">
        <v>595</v>
      </c>
      <c r="C177" s="115">
        <v>2.4238E7</v>
      </c>
      <c r="D177" s="110" t="s">
        <v>7</v>
      </c>
      <c r="E177" s="18"/>
      <c r="F177" s="460"/>
      <c r="G177" s="22"/>
      <c r="H177" s="56"/>
      <c r="I177" s="99"/>
      <c r="J177" s="105"/>
      <c r="K177" s="106"/>
      <c r="L177" s="107"/>
      <c r="M177" s="460"/>
      <c r="N177" s="460"/>
      <c r="O177" s="460"/>
      <c r="P177" s="460"/>
      <c r="Q177" s="460"/>
      <c r="R177" s="460"/>
      <c r="S177" s="460"/>
      <c r="T177" s="460"/>
      <c r="U177" s="460"/>
      <c r="V177" s="460"/>
      <c r="W177" s="460"/>
      <c r="X177" s="460"/>
    </row>
    <row r="178" ht="22.5" customHeight="1">
      <c r="A178" s="18"/>
      <c r="B178" s="160" t="s">
        <v>596</v>
      </c>
      <c r="C178" s="115">
        <v>1.88135E7</v>
      </c>
      <c r="D178" s="110" t="s">
        <v>7</v>
      </c>
      <c r="E178" s="18"/>
      <c r="F178" s="460"/>
      <c r="G178" s="460"/>
      <c r="H178" s="460"/>
      <c r="I178" s="460"/>
      <c r="J178" s="18"/>
      <c r="K178" s="108"/>
      <c r="L178" s="109"/>
      <c r="M178" s="460"/>
      <c r="N178" s="460"/>
      <c r="O178" s="460"/>
      <c r="P178" s="460"/>
      <c r="Q178" s="460"/>
      <c r="R178" s="460"/>
      <c r="S178" s="460"/>
      <c r="T178" s="460"/>
      <c r="U178" s="460"/>
      <c r="V178" s="460"/>
      <c r="W178" s="460"/>
      <c r="X178" s="460"/>
    </row>
    <row r="179" ht="22.5" customHeight="1">
      <c r="A179" s="22"/>
      <c r="B179" s="192" t="s">
        <v>597</v>
      </c>
      <c r="C179" s="115">
        <v>3.507E7</v>
      </c>
      <c r="D179" s="115"/>
      <c r="E179" s="22"/>
      <c r="F179" s="460"/>
      <c r="G179" s="223"/>
      <c r="H179" s="56"/>
      <c r="J179" s="18"/>
      <c r="K179" s="108"/>
      <c r="L179" s="109"/>
      <c r="M179" s="460"/>
      <c r="N179" s="460"/>
      <c r="O179" s="460"/>
      <c r="P179" s="460"/>
      <c r="Q179" s="460"/>
      <c r="R179" s="460"/>
      <c r="S179" s="460"/>
      <c r="T179" s="460"/>
      <c r="U179" s="460"/>
      <c r="V179" s="460"/>
      <c r="W179" s="460"/>
      <c r="X179" s="460"/>
    </row>
    <row r="180" ht="22.5" customHeight="1">
      <c r="A180" s="102" t="s">
        <v>75</v>
      </c>
      <c r="B180" s="184" t="s">
        <v>609</v>
      </c>
      <c r="C180" s="115">
        <v>3.6875E7</v>
      </c>
      <c r="D180" s="110" t="s">
        <v>7</v>
      </c>
      <c r="E180" s="401">
        <v>2.86915E7</v>
      </c>
      <c r="F180" s="460"/>
      <c r="G180" s="22"/>
      <c r="H180" s="56"/>
      <c r="J180" s="18"/>
      <c r="K180" s="108"/>
      <c r="L180" s="112"/>
      <c r="M180" s="460"/>
      <c r="N180" s="460"/>
      <c r="O180" s="460"/>
      <c r="P180" s="460"/>
      <c r="Q180" s="460"/>
      <c r="R180" s="460"/>
      <c r="S180" s="460"/>
      <c r="T180" s="460"/>
      <c r="U180" s="460"/>
      <c r="V180" s="460"/>
      <c r="W180" s="460"/>
      <c r="X180" s="460"/>
    </row>
    <row r="181" ht="22.5" customHeight="1">
      <c r="A181" s="18"/>
      <c r="B181" s="160" t="s">
        <v>594</v>
      </c>
      <c r="C181" s="115">
        <v>2.4741E7</v>
      </c>
      <c r="D181" s="110" t="s">
        <v>7</v>
      </c>
      <c r="E181" s="18"/>
      <c r="F181" s="460"/>
      <c r="G181" s="460"/>
      <c r="H181" s="460"/>
      <c r="I181" s="460"/>
      <c r="J181" s="18"/>
      <c r="K181" s="108"/>
      <c r="L181" s="112"/>
      <c r="M181" s="460"/>
      <c r="N181" s="460"/>
      <c r="O181" s="460"/>
      <c r="P181" s="460"/>
      <c r="Q181" s="460"/>
      <c r="R181" s="460"/>
      <c r="S181" s="460"/>
      <c r="T181" s="460"/>
      <c r="U181" s="460"/>
      <c r="V181" s="460"/>
      <c r="W181" s="460"/>
      <c r="X181" s="460"/>
    </row>
    <row r="182" ht="22.5" customHeight="1">
      <c r="A182" s="18"/>
      <c r="B182" s="160" t="s">
        <v>595</v>
      </c>
      <c r="C182" s="115">
        <v>2.90515E7</v>
      </c>
      <c r="D182" s="110" t="s">
        <v>7</v>
      </c>
      <c r="E182" s="18"/>
      <c r="F182" s="460"/>
      <c r="G182" s="460"/>
      <c r="H182" s="460"/>
      <c r="I182" s="460"/>
      <c r="J182" s="22"/>
      <c r="K182" s="108"/>
      <c r="L182" s="113"/>
      <c r="M182" s="460"/>
      <c r="N182" s="460"/>
      <c r="O182" s="460"/>
      <c r="P182" s="460"/>
      <c r="Q182" s="460"/>
      <c r="R182" s="460"/>
      <c r="S182" s="460"/>
      <c r="T182" s="460"/>
      <c r="U182" s="460"/>
      <c r="V182" s="460"/>
      <c r="W182" s="460"/>
      <c r="X182" s="460"/>
    </row>
    <row r="183" ht="22.5" customHeight="1">
      <c r="A183" s="18"/>
      <c r="B183" s="160" t="s">
        <v>596</v>
      </c>
      <c r="C183" s="115">
        <v>3.5625E7</v>
      </c>
      <c r="D183" s="110" t="s">
        <v>7</v>
      </c>
      <c r="E183" s="18"/>
      <c r="F183" s="460"/>
      <c r="G183" s="460"/>
      <c r="H183" s="53"/>
      <c r="I183" s="460"/>
      <c r="J183" s="460"/>
      <c r="K183" s="460"/>
      <c r="L183" s="460"/>
      <c r="M183" s="460"/>
      <c r="N183" s="460"/>
      <c r="O183" s="460"/>
      <c r="P183" s="460"/>
      <c r="Q183" s="460"/>
      <c r="R183" s="460"/>
      <c r="S183" s="460"/>
      <c r="T183" s="460"/>
      <c r="U183" s="460"/>
      <c r="V183" s="460"/>
      <c r="W183" s="460"/>
      <c r="X183" s="460"/>
    </row>
    <row r="184" ht="22.5" customHeight="1">
      <c r="A184" s="22"/>
      <c r="B184" s="192" t="s">
        <v>597</v>
      </c>
      <c r="C184" s="115">
        <v>2.86915E7</v>
      </c>
      <c r="D184" s="110"/>
      <c r="E184" s="22"/>
      <c r="F184" s="460"/>
      <c r="G184" s="460"/>
      <c r="H184" s="53"/>
      <c r="I184" s="460"/>
      <c r="J184" s="460"/>
      <c r="K184" s="460"/>
      <c r="L184" s="460"/>
      <c r="M184" s="460"/>
      <c r="N184" s="460"/>
      <c r="O184" s="460"/>
      <c r="P184" s="460"/>
      <c r="Q184" s="460"/>
      <c r="R184" s="460"/>
      <c r="S184" s="460"/>
      <c r="T184" s="460"/>
      <c r="U184" s="460"/>
      <c r="V184" s="460"/>
      <c r="W184" s="460"/>
      <c r="X184" s="460"/>
    </row>
    <row r="185" ht="22.5" customHeight="1">
      <c r="A185" s="102" t="s">
        <v>79</v>
      </c>
      <c r="B185" s="160" t="s">
        <v>594</v>
      </c>
      <c r="C185" s="224">
        <v>4.03075E7</v>
      </c>
      <c r="D185" s="115" t="s">
        <v>7</v>
      </c>
      <c r="E185" s="401">
        <f>sum(C187:C188)</f>
        <v>67576000</v>
      </c>
      <c r="F185" s="460"/>
      <c r="G185" s="460"/>
      <c r="H185" s="460"/>
      <c r="I185" s="460"/>
      <c r="J185" s="460"/>
      <c r="K185" s="460"/>
      <c r="L185" s="460"/>
      <c r="M185" s="460"/>
      <c r="N185" s="460"/>
      <c r="O185" s="460"/>
      <c r="P185" s="460"/>
      <c r="Q185" s="460"/>
      <c r="R185" s="460"/>
      <c r="S185" s="460"/>
      <c r="T185" s="460"/>
      <c r="U185" s="460"/>
      <c r="V185" s="460"/>
      <c r="W185" s="460"/>
      <c r="X185" s="460"/>
    </row>
    <row r="186" ht="22.5" customHeight="1">
      <c r="A186" s="18"/>
      <c r="B186" s="160" t="s">
        <v>595</v>
      </c>
      <c r="C186" s="115">
        <v>3.46455E7</v>
      </c>
      <c r="D186" s="115" t="s">
        <v>7</v>
      </c>
      <c r="E186" s="18"/>
      <c r="F186" s="460"/>
      <c r="G186" s="460"/>
      <c r="H186" s="460"/>
      <c r="I186" s="460"/>
      <c r="J186" s="460"/>
      <c r="K186" s="460"/>
      <c r="L186" s="460"/>
      <c r="M186" s="460"/>
      <c r="N186" s="460"/>
      <c r="O186" s="460"/>
      <c r="P186" s="460"/>
      <c r="Q186" s="460"/>
      <c r="R186" s="460"/>
      <c r="S186" s="460"/>
      <c r="T186" s="460"/>
      <c r="U186" s="460"/>
      <c r="V186" s="460"/>
      <c r="W186" s="460"/>
      <c r="X186" s="460"/>
    </row>
    <row r="187" ht="22.5" customHeight="1">
      <c r="A187" s="18"/>
      <c r="B187" s="160" t="s">
        <v>596</v>
      </c>
      <c r="C187" s="115">
        <v>3.6327E7</v>
      </c>
      <c r="D187" s="115"/>
      <c r="E187" s="18"/>
      <c r="F187" s="460"/>
      <c r="G187" s="114"/>
      <c r="H187" s="116"/>
      <c r="I187" s="117"/>
      <c r="J187" s="460"/>
      <c r="K187" s="460"/>
      <c r="L187" s="460"/>
      <c r="M187" s="460"/>
      <c r="N187" s="460"/>
      <c r="O187" s="460"/>
      <c r="P187" s="460"/>
      <c r="Q187" s="460"/>
      <c r="R187" s="460"/>
      <c r="S187" s="460"/>
      <c r="T187" s="460"/>
      <c r="U187" s="460"/>
      <c r="V187" s="460"/>
      <c r="W187" s="460"/>
      <c r="X187" s="460"/>
    </row>
    <row r="188" ht="22.5" customHeight="1">
      <c r="A188" s="22"/>
      <c r="B188" s="192" t="s">
        <v>597</v>
      </c>
      <c r="C188" s="343">
        <v>3.1249E7</v>
      </c>
      <c r="D188" s="344"/>
      <c r="E188" s="22"/>
      <c r="F188" s="460"/>
      <c r="G188" s="18"/>
      <c r="H188" s="116"/>
      <c r="I188" s="117"/>
      <c r="J188" s="460"/>
      <c r="K188" s="460"/>
      <c r="L188" s="460"/>
      <c r="M188" s="460"/>
      <c r="N188" s="460"/>
      <c r="O188" s="460"/>
      <c r="P188" s="460"/>
      <c r="Q188" s="460"/>
      <c r="R188" s="460"/>
      <c r="S188" s="460"/>
      <c r="T188" s="460"/>
      <c r="U188" s="460"/>
      <c r="V188" s="460"/>
      <c r="W188" s="460"/>
      <c r="X188" s="460"/>
    </row>
    <row r="189" ht="22.5" customHeight="1">
      <c r="A189" s="102" t="s">
        <v>80</v>
      </c>
      <c r="B189" s="184" t="s">
        <v>600</v>
      </c>
      <c r="C189" s="224">
        <v>1.9575E7</v>
      </c>
      <c r="D189" s="115"/>
      <c r="E189" s="401">
        <f>sum(C189:C193)</f>
        <v>198219000</v>
      </c>
      <c r="F189" s="460"/>
      <c r="G189" s="18"/>
      <c r="H189" s="56"/>
      <c r="I189" s="48"/>
      <c r="J189" s="103"/>
      <c r="K189" s="23"/>
      <c r="L189" s="118"/>
      <c r="M189" s="460"/>
      <c r="N189" s="460"/>
      <c r="O189" s="460"/>
      <c r="P189" s="460"/>
      <c r="Q189" s="460"/>
      <c r="R189" s="460"/>
      <c r="S189" s="460"/>
      <c r="T189" s="460"/>
      <c r="U189" s="460"/>
      <c r="V189" s="460"/>
      <c r="W189" s="460"/>
      <c r="X189" s="460"/>
    </row>
    <row r="190" ht="22.5" customHeight="1">
      <c r="A190" s="18"/>
      <c r="B190" s="160" t="s">
        <v>594</v>
      </c>
      <c r="C190" s="115">
        <v>8.65445E7</v>
      </c>
      <c r="D190" s="115"/>
      <c r="E190" s="18"/>
      <c r="F190" s="460"/>
      <c r="G190" s="18"/>
      <c r="H190" s="56"/>
      <c r="I190" s="101"/>
      <c r="J190" s="18"/>
      <c r="K190" s="23"/>
      <c r="L190" s="118"/>
      <c r="M190" s="460"/>
      <c r="N190" s="460"/>
      <c r="O190" s="460"/>
      <c r="P190" s="460"/>
      <c r="Q190" s="460"/>
      <c r="R190" s="460"/>
      <c r="S190" s="460"/>
      <c r="T190" s="460"/>
      <c r="U190" s="460"/>
      <c r="V190" s="460"/>
      <c r="W190" s="460"/>
      <c r="X190" s="460"/>
    </row>
    <row r="191" ht="22.5" customHeight="1">
      <c r="A191" s="18"/>
      <c r="B191" s="160" t="s">
        <v>595</v>
      </c>
      <c r="C191" s="119">
        <v>1.9697E7</v>
      </c>
      <c r="D191" s="115"/>
      <c r="E191" s="18"/>
      <c r="F191" s="460"/>
      <c r="G191" s="18"/>
      <c r="H191" s="56"/>
      <c r="I191" s="99"/>
      <c r="J191" s="18"/>
      <c r="K191" s="23"/>
      <c r="L191" s="48"/>
      <c r="M191" s="460"/>
      <c r="N191" s="460"/>
      <c r="O191" s="460"/>
      <c r="P191" s="460"/>
      <c r="Q191" s="460"/>
      <c r="R191" s="460"/>
      <c r="S191" s="460"/>
      <c r="T191" s="460"/>
      <c r="U191" s="460"/>
      <c r="V191" s="460"/>
      <c r="W191" s="460"/>
      <c r="X191" s="460"/>
    </row>
    <row r="192" ht="22.5" customHeight="1">
      <c r="A192" s="18"/>
      <c r="B192" s="160" t="s">
        <v>596</v>
      </c>
      <c r="C192" s="119">
        <v>4.0237E7</v>
      </c>
      <c r="D192" s="115"/>
      <c r="E192" s="18"/>
      <c r="F192" s="460"/>
      <c r="G192" s="460"/>
      <c r="H192" s="460"/>
      <c r="I192" s="460"/>
      <c r="J192" s="18"/>
      <c r="K192" s="56"/>
      <c r="L192" s="48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</row>
    <row r="193" ht="22.5" customHeight="1">
      <c r="A193" s="22"/>
      <c r="B193" s="192" t="s">
        <v>597</v>
      </c>
      <c r="C193" s="119">
        <v>3.21655E7</v>
      </c>
      <c r="D193" s="115"/>
      <c r="E193" s="22"/>
      <c r="F193" s="460"/>
      <c r="G193" s="460"/>
      <c r="H193" s="460"/>
      <c r="I193" s="460"/>
      <c r="J193" s="18"/>
      <c r="K193" s="56"/>
      <c r="L193" s="48"/>
      <c r="M193" s="460"/>
      <c r="N193" s="460"/>
      <c r="O193" s="460"/>
      <c r="P193" s="460"/>
      <c r="Q193" s="460"/>
      <c r="R193" s="460"/>
      <c r="S193" s="460"/>
      <c r="T193" s="460"/>
      <c r="U193" s="460"/>
      <c r="V193" s="460"/>
      <c r="W193" s="460"/>
      <c r="X193" s="460"/>
    </row>
    <row r="194" ht="22.5" customHeight="1">
      <c r="A194" s="103" t="s">
        <v>86</v>
      </c>
      <c r="B194" s="184" t="s">
        <v>414</v>
      </c>
      <c r="C194" s="115">
        <v>6.8632E7</v>
      </c>
      <c r="D194" s="110" t="s">
        <v>7</v>
      </c>
      <c r="E194" s="136">
        <f>sum(C196:C198)</f>
        <v>89867400</v>
      </c>
      <c r="F194" s="460"/>
      <c r="G194" s="460"/>
      <c r="H194" s="460"/>
      <c r="I194" s="460"/>
      <c r="J194" s="18"/>
      <c r="K194" s="30"/>
      <c r="L194" s="24"/>
      <c r="M194" s="460"/>
      <c r="N194" s="460"/>
      <c r="O194" s="460"/>
      <c r="P194" s="460"/>
      <c r="Q194" s="460"/>
      <c r="R194" s="460"/>
      <c r="S194" s="460"/>
      <c r="T194" s="460"/>
      <c r="U194" s="460"/>
      <c r="V194" s="460"/>
      <c r="W194" s="460"/>
      <c r="X194" s="460"/>
    </row>
    <row r="195" ht="22.5" customHeight="1">
      <c r="A195" s="18"/>
      <c r="B195" s="160" t="s">
        <v>594</v>
      </c>
      <c r="C195" s="115">
        <v>3.0455E7</v>
      </c>
      <c r="D195" s="110" t="s">
        <v>7</v>
      </c>
      <c r="E195" s="18"/>
      <c r="F195" s="460"/>
      <c r="G195" s="460"/>
      <c r="H195" s="460"/>
      <c r="I195" s="460"/>
      <c r="J195" s="18"/>
      <c r="K195" s="30"/>
      <c r="L195" s="24"/>
      <c r="M195" s="460"/>
      <c r="N195" s="460"/>
      <c r="O195" s="460"/>
      <c r="P195" s="460"/>
      <c r="Q195" s="460"/>
      <c r="R195" s="460"/>
      <c r="S195" s="460"/>
      <c r="T195" s="460"/>
      <c r="U195" s="460"/>
      <c r="V195" s="460"/>
      <c r="W195" s="460"/>
      <c r="X195" s="460"/>
    </row>
    <row r="196" ht="22.5" customHeight="1">
      <c r="A196" s="18"/>
      <c r="B196" s="160" t="s">
        <v>595</v>
      </c>
      <c r="C196" s="343">
        <v>2.6631E7</v>
      </c>
      <c r="D196" s="110"/>
      <c r="E196" s="18"/>
      <c r="F196" s="460"/>
      <c r="G196" s="460"/>
      <c r="H196" s="460"/>
      <c r="I196" s="460"/>
      <c r="J196" s="18"/>
      <c r="K196" s="30"/>
      <c r="L196" s="24"/>
      <c r="M196" s="460"/>
      <c r="N196" s="460"/>
      <c r="O196" s="460"/>
      <c r="P196" s="460"/>
      <c r="Q196" s="460"/>
      <c r="R196" s="460"/>
      <c r="S196" s="460"/>
      <c r="T196" s="460"/>
      <c r="U196" s="460"/>
      <c r="V196" s="460"/>
      <c r="W196" s="460"/>
      <c r="X196" s="460"/>
    </row>
    <row r="197" ht="22.5" customHeight="1">
      <c r="A197" s="18"/>
      <c r="B197" s="160" t="s">
        <v>596</v>
      </c>
      <c r="C197" s="119">
        <v>4.212E7</v>
      </c>
      <c r="D197" s="110"/>
      <c r="E197" s="18"/>
      <c r="F197" s="460"/>
      <c r="G197" s="460"/>
      <c r="H197" s="460"/>
      <c r="I197" s="460"/>
      <c r="J197" s="18"/>
      <c r="K197" s="56"/>
      <c r="L197" s="48"/>
      <c r="M197" s="460"/>
      <c r="N197" s="460"/>
      <c r="O197" s="460"/>
      <c r="P197" s="460"/>
      <c r="Q197" s="460"/>
      <c r="R197" s="460"/>
      <c r="S197" s="460"/>
      <c r="T197" s="460"/>
      <c r="U197" s="460"/>
      <c r="V197" s="460"/>
      <c r="W197" s="460"/>
      <c r="X197" s="460"/>
    </row>
    <row r="198" ht="22.5" customHeight="1">
      <c r="A198" s="22"/>
      <c r="B198" s="160" t="s">
        <v>597</v>
      </c>
      <c r="C198" s="119">
        <v>2.11164E7</v>
      </c>
      <c r="D198" s="110"/>
      <c r="E198" s="22"/>
      <c r="F198" s="460"/>
      <c r="G198" s="460"/>
      <c r="H198" s="460"/>
      <c r="I198" s="460"/>
      <c r="J198" s="18"/>
      <c r="K198" s="56"/>
      <c r="L198" s="48"/>
      <c r="M198" s="460"/>
      <c r="N198" s="460"/>
      <c r="O198" s="460"/>
      <c r="P198" s="460"/>
      <c r="Q198" s="460"/>
      <c r="R198" s="460"/>
      <c r="S198" s="460"/>
      <c r="T198" s="460"/>
      <c r="U198" s="460"/>
      <c r="V198" s="460"/>
      <c r="W198" s="460"/>
      <c r="X198" s="460"/>
    </row>
    <row r="199" ht="22.5" customHeight="1">
      <c r="A199" s="103" t="s">
        <v>87</v>
      </c>
      <c r="B199" s="160" t="s">
        <v>594</v>
      </c>
      <c r="C199" s="115">
        <v>5.942E7</v>
      </c>
      <c r="D199" s="110" t="s">
        <v>7</v>
      </c>
      <c r="E199" s="136">
        <f>sum(C199:C203)</f>
        <v>141716000</v>
      </c>
      <c r="F199" s="460"/>
      <c r="G199" s="460"/>
      <c r="H199" s="460"/>
      <c r="I199" s="460"/>
      <c r="J199" s="18"/>
      <c r="K199" s="30"/>
      <c r="L199" s="24"/>
      <c r="M199" s="460"/>
      <c r="N199" s="460"/>
      <c r="O199" s="460"/>
      <c r="P199" s="460"/>
      <c r="Q199" s="460"/>
      <c r="R199" s="460"/>
      <c r="S199" s="460"/>
      <c r="T199" s="460"/>
      <c r="U199" s="460"/>
      <c r="V199" s="460"/>
      <c r="W199" s="460"/>
      <c r="X199" s="460"/>
    </row>
    <row r="200" ht="22.5" customHeight="1">
      <c r="A200" s="18"/>
      <c r="B200" s="160" t="s">
        <v>595</v>
      </c>
      <c r="C200" s="119">
        <v>2.79655E7</v>
      </c>
      <c r="D200" s="198" t="s">
        <v>7</v>
      </c>
      <c r="E200" s="18"/>
      <c r="F200" s="460"/>
      <c r="G200" s="460"/>
      <c r="H200" s="460"/>
      <c r="I200" s="460"/>
      <c r="J200" s="18"/>
      <c r="K200" s="30"/>
      <c r="L200" s="24"/>
      <c r="M200" s="460"/>
      <c r="N200" s="460"/>
      <c r="O200" s="460"/>
      <c r="P200" s="460"/>
      <c r="Q200" s="460"/>
      <c r="R200" s="460"/>
      <c r="S200" s="460"/>
      <c r="T200" s="460"/>
      <c r="U200" s="460"/>
      <c r="V200" s="460"/>
      <c r="W200" s="460"/>
      <c r="X200" s="460"/>
    </row>
    <row r="201" ht="22.5" customHeight="1">
      <c r="A201" s="18"/>
      <c r="B201" s="160" t="s">
        <v>596</v>
      </c>
      <c r="C201" s="119">
        <v>2.937E7</v>
      </c>
      <c r="D201" s="110" t="s">
        <v>7</v>
      </c>
      <c r="E201" s="18"/>
      <c r="F201" s="460"/>
      <c r="G201" s="460"/>
      <c r="H201" s="460"/>
      <c r="I201" s="460"/>
      <c r="J201" s="18"/>
      <c r="K201" s="30"/>
      <c r="L201" s="24"/>
      <c r="M201" s="460"/>
      <c r="N201" s="460"/>
      <c r="O201" s="460"/>
      <c r="P201" s="460"/>
      <c r="Q201" s="460"/>
      <c r="R201" s="460"/>
      <c r="S201" s="460"/>
      <c r="T201" s="460"/>
      <c r="U201" s="460"/>
      <c r="V201" s="460"/>
      <c r="W201" s="460"/>
      <c r="X201" s="460"/>
    </row>
    <row r="202" ht="22.5" customHeight="1">
      <c r="A202" s="18"/>
      <c r="B202" s="184" t="s">
        <v>597</v>
      </c>
      <c r="C202" s="119">
        <v>2.49605E7</v>
      </c>
      <c r="D202" s="110" t="s">
        <v>7</v>
      </c>
      <c r="E202" s="18"/>
      <c r="F202" s="460"/>
      <c r="G202" s="460"/>
      <c r="H202" s="460"/>
      <c r="I202" s="460"/>
      <c r="J202" s="22"/>
      <c r="K202" s="30"/>
      <c r="L202" s="99"/>
      <c r="M202" s="460"/>
      <c r="N202" s="460"/>
      <c r="O202" s="460"/>
      <c r="P202" s="460"/>
      <c r="Q202" s="460"/>
      <c r="R202" s="460"/>
      <c r="S202" s="460"/>
      <c r="T202" s="460"/>
      <c r="U202" s="460"/>
      <c r="V202" s="460"/>
      <c r="W202" s="460"/>
      <c r="X202" s="460"/>
    </row>
    <row r="203" ht="22.5" customHeight="1">
      <c r="A203" s="22"/>
      <c r="B203" s="129"/>
      <c r="C203" s="119"/>
      <c r="D203" s="19"/>
      <c r="E203" s="22"/>
      <c r="F203" s="460"/>
      <c r="G203" s="460"/>
      <c r="H203" s="460"/>
      <c r="I203" s="460"/>
      <c r="J203" s="218"/>
      <c r="K203" s="53"/>
      <c r="L203" s="234"/>
      <c r="M203" s="460"/>
      <c r="N203" s="460"/>
      <c r="O203" s="460"/>
      <c r="P203" s="460"/>
      <c r="Q203" s="460"/>
      <c r="R203" s="460"/>
      <c r="S203" s="460"/>
      <c r="T203" s="460"/>
      <c r="U203" s="460"/>
      <c r="V203" s="460"/>
      <c r="W203" s="460"/>
      <c r="X203" s="460"/>
    </row>
    <row r="204" ht="22.5" customHeight="1">
      <c r="A204" s="103" t="s">
        <v>90</v>
      </c>
      <c r="B204" s="184" t="s">
        <v>414</v>
      </c>
      <c r="C204" s="115">
        <v>7.80745E7</v>
      </c>
      <c r="D204" s="110" t="s">
        <v>7</v>
      </c>
      <c r="E204" s="136">
        <v>0.0</v>
      </c>
      <c r="F204" s="460"/>
      <c r="G204" s="460"/>
      <c r="H204" s="460"/>
      <c r="I204" s="460"/>
      <c r="J204" s="460"/>
      <c r="K204" s="460"/>
      <c r="L204" s="460"/>
      <c r="M204" s="460"/>
      <c r="N204" s="460"/>
      <c r="O204" s="460"/>
      <c r="P204" s="460"/>
      <c r="Q204" s="460"/>
      <c r="R204" s="460"/>
      <c r="S204" s="460"/>
      <c r="T204" s="460"/>
      <c r="U204" s="460"/>
      <c r="V204" s="460"/>
      <c r="W204" s="460"/>
      <c r="X204" s="460"/>
    </row>
    <row r="205" ht="22.5" customHeight="1">
      <c r="A205" s="18"/>
      <c r="B205" s="160" t="s">
        <v>594</v>
      </c>
      <c r="C205" s="115">
        <v>3.7928E7</v>
      </c>
      <c r="D205" s="110" t="s">
        <v>7</v>
      </c>
      <c r="E205" s="18"/>
      <c r="F205" s="460"/>
      <c r="G205" s="460"/>
      <c r="H205" s="460"/>
      <c r="I205" s="460"/>
      <c r="J205" s="460"/>
      <c r="K205" s="460"/>
      <c r="L205" s="460"/>
      <c r="M205" s="460"/>
      <c r="N205" s="460"/>
      <c r="O205" s="460"/>
      <c r="P205" s="460"/>
      <c r="Q205" s="460"/>
      <c r="R205" s="460"/>
      <c r="S205" s="460"/>
      <c r="T205" s="460"/>
      <c r="U205" s="460"/>
      <c r="V205" s="460"/>
      <c r="W205" s="460"/>
      <c r="X205" s="460"/>
    </row>
    <row r="206" ht="22.5" customHeight="1">
      <c r="A206" s="18"/>
      <c r="B206" s="160" t="s">
        <v>595</v>
      </c>
      <c r="C206" s="115">
        <v>4.0401E7</v>
      </c>
      <c r="D206" s="110" t="s">
        <v>7</v>
      </c>
      <c r="E206" s="18"/>
      <c r="F206" s="460"/>
      <c r="G206" s="460"/>
      <c r="H206" s="460"/>
      <c r="I206" s="460"/>
      <c r="J206" s="460"/>
      <c r="K206" s="460"/>
      <c r="L206" s="460"/>
      <c r="M206" s="460"/>
      <c r="N206" s="460"/>
      <c r="O206" s="460"/>
      <c r="P206" s="460"/>
      <c r="Q206" s="460"/>
      <c r="R206" s="460"/>
      <c r="S206" s="460"/>
      <c r="T206" s="460"/>
      <c r="U206" s="460"/>
      <c r="V206" s="460"/>
      <c r="W206" s="460"/>
      <c r="X206" s="460"/>
    </row>
    <row r="207" ht="22.5" customHeight="1">
      <c r="A207" s="18"/>
      <c r="B207" s="160" t="s">
        <v>596</v>
      </c>
      <c r="C207" s="119">
        <v>4.3524E7</v>
      </c>
      <c r="D207" s="110" t="s">
        <v>7</v>
      </c>
      <c r="E207" s="18"/>
      <c r="F207" s="460"/>
      <c r="G207" s="460"/>
      <c r="H207" s="460"/>
      <c r="I207" s="460"/>
      <c r="J207" s="460"/>
      <c r="K207" s="460"/>
      <c r="L207" s="460"/>
      <c r="M207" s="460"/>
      <c r="N207" s="460"/>
      <c r="O207" s="460"/>
      <c r="P207" s="460"/>
      <c r="Q207" s="460"/>
      <c r="R207" s="460"/>
      <c r="S207" s="460"/>
      <c r="T207" s="460"/>
      <c r="U207" s="460"/>
      <c r="V207" s="460"/>
      <c r="W207" s="460"/>
      <c r="X207" s="460"/>
    </row>
    <row r="208" ht="22.5" customHeight="1">
      <c r="A208" s="22"/>
      <c r="B208" s="160" t="s">
        <v>597</v>
      </c>
      <c r="C208" s="119">
        <v>4.3681E7</v>
      </c>
      <c r="D208" s="110" t="s">
        <v>7</v>
      </c>
      <c r="E208" s="22"/>
      <c r="F208" s="460"/>
      <c r="G208" s="460"/>
      <c r="H208" s="460"/>
      <c r="I208" s="460"/>
      <c r="J208" s="460"/>
      <c r="K208" s="460"/>
      <c r="L208" s="460"/>
      <c r="M208" s="460"/>
      <c r="N208" s="460"/>
      <c r="O208" s="460"/>
      <c r="P208" s="460"/>
      <c r="Q208" s="460"/>
      <c r="R208" s="460"/>
      <c r="S208" s="460"/>
      <c r="T208" s="460"/>
      <c r="U208" s="460"/>
      <c r="V208" s="460"/>
      <c r="W208" s="460"/>
      <c r="X208" s="460"/>
    </row>
    <row r="209" ht="22.5" customHeight="1">
      <c r="A209" s="223" t="s">
        <v>610</v>
      </c>
      <c r="B209" s="184" t="s">
        <v>414</v>
      </c>
      <c r="C209" s="115">
        <v>6.6782E7</v>
      </c>
      <c r="D209" s="110" t="s">
        <v>7</v>
      </c>
      <c r="E209" s="136">
        <v>0.0</v>
      </c>
      <c r="F209" s="460"/>
      <c r="G209" s="460"/>
      <c r="H209" s="460"/>
      <c r="I209" s="460"/>
      <c r="J209" s="460"/>
      <c r="K209" s="460"/>
      <c r="L209" s="460"/>
      <c r="M209" s="460"/>
      <c r="N209" s="460"/>
      <c r="O209" s="460"/>
      <c r="P209" s="460"/>
      <c r="Q209" s="460"/>
      <c r="R209" s="460"/>
      <c r="S209" s="460"/>
      <c r="T209" s="460"/>
      <c r="U209" s="460"/>
      <c r="V209" s="460"/>
      <c r="W209" s="460"/>
      <c r="X209" s="460"/>
    </row>
    <row r="210" ht="22.5" customHeight="1">
      <c r="A210" s="18"/>
      <c r="B210" s="160" t="s">
        <v>594</v>
      </c>
      <c r="C210" s="115">
        <v>2.40378E7</v>
      </c>
      <c r="D210" s="110" t="s">
        <v>7</v>
      </c>
      <c r="E210" s="18"/>
      <c r="F210" s="460"/>
      <c r="H210" s="460"/>
      <c r="I210" s="460"/>
      <c r="J210" s="460"/>
      <c r="K210" s="460"/>
      <c r="L210" s="460"/>
      <c r="M210" s="460"/>
      <c r="N210" s="460"/>
      <c r="O210" s="460"/>
      <c r="P210" s="460"/>
      <c r="Q210" s="460"/>
      <c r="R210" s="460"/>
      <c r="S210" s="460"/>
      <c r="T210" s="460"/>
      <c r="U210" s="460"/>
      <c r="V210" s="460"/>
      <c r="W210" s="460"/>
      <c r="X210" s="460"/>
    </row>
    <row r="211" ht="22.5" customHeight="1">
      <c r="A211" s="18"/>
      <c r="B211" s="160" t="s">
        <v>595</v>
      </c>
      <c r="C211" s="115">
        <v>2.45435E7</v>
      </c>
      <c r="D211" s="110" t="s">
        <v>7</v>
      </c>
      <c r="E211" s="18"/>
      <c r="F211" s="460"/>
      <c r="G211" s="460"/>
      <c r="H211" s="460"/>
      <c r="I211" s="460"/>
      <c r="J211" s="460"/>
      <c r="K211" s="460"/>
      <c r="L211" s="460"/>
      <c r="M211" s="460"/>
      <c r="N211" s="460"/>
      <c r="O211" s="460"/>
      <c r="P211" s="460"/>
      <c r="Q211" s="460"/>
      <c r="R211" s="460"/>
      <c r="S211" s="460"/>
      <c r="T211" s="460"/>
      <c r="U211" s="460"/>
      <c r="V211" s="460"/>
      <c r="W211" s="460"/>
      <c r="X211" s="460"/>
    </row>
    <row r="212" ht="22.5" customHeight="1">
      <c r="A212" s="18"/>
      <c r="B212" s="160" t="s">
        <v>596</v>
      </c>
      <c r="C212" s="115">
        <v>2.4536E7</v>
      </c>
      <c r="D212" s="115" t="s">
        <v>7</v>
      </c>
      <c r="E212" s="18"/>
      <c r="F212" s="490"/>
      <c r="G212" s="490"/>
      <c r="H212" s="460"/>
      <c r="I212" s="460"/>
      <c r="J212" s="460"/>
      <c r="K212" s="460"/>
      <c r="L212" s="460"/>
      <c r="M212" s="460"/>
      <c r="N212" s="460"/>
      <c r="O212" s="460"/>
      <c r="P212" s="460"/>
      <c r="Q212" s="460"/>
      <c r="R212" s="460"/>
      <c r="S212" s="460"/>
      <c r="T212" s="460"/>
      <c r="U212" s="460"/>
      <c r="V212" s="460"/>
      <c r="W212" s="460"/>
      <c r="X212" s="460"/>
    </row>
    <row r="213" ht="22.5" customHeight="1">
      <c r="A213" s="22"/>
      <c r="B213" s="160" t="s">
        <v>597</v>
      </c>
      <c r="C213" s="115">
        <v>3.1234E7</v>
      </c>
      <c r="D213" s="115" t="s">
        <v>7</v>
      </c>
      <c r="E213" s="22"/>
      <c r="F213" s="490"/>
      <c r="G213" s="490"/>
      <c r="H213" s="460"/>
      <c r="I213" s="460"/>
      <c r="J213" s="460"/>
      <c r="K213" s="460"/>
      <c r="L213" s="460"/>
      <c r="M213" s="460"/>
      <c r="N213" s="460"/>
      <c r="O213" s="460"/>
      <c r="P213" s="460"/>
      <c r="Q213" s="460"/>
      <c r="R213" s="460"/>
      <c r="S213" s="460"/>
      <c r="T213" s="460"/>
      <c r="U213" s="460"/>
      <c r="V213" s="460"/>
      <c r="W213" s="460"/>
      <c r="X213" s="460"/>
    </row>
    <row r="214" ht="22.5" customHeight="1">
      <c r="A214" s="103" t="s">
        <v>93</v>
      </c>
      <c r="B214" s="129" t="s">
        <v>599</v>
      </c>
      <c r="C214" s="115">
        <v>6.6882E7</v>
      </c>
      <c r="D214" s="110" t="s">
        <v>7</v>
      </c>
      <c r="E214" s="243">
        <f>sum(C215:C218)</f>
        <v>156953500</v>
      </c>
      <c r="F214" s="490"/>
      <c r="G214" s="490"/>
      <c r="H214" s="460"/>
      <c r="I214" s="460"/>
      <c r="J214" s="460"/>
      <c r="K214" s="460"/>
      <c r="L214" s="460"/>
      <c r="M214" s="460"/>
      <c r="N214" s="460"/>
      <c r="O214" s="460"/>
      <c r="P214" s="460"/>
      <c r="Q214" s="460"/>
      <c r="R214" s="460"/>
      <c r="S214" s="460"/>
      <c r="T214" s="460"/>
      <c r="U214" s="460"/>
      <c r="V214" s="460"/>
      <c r="W214" s="460"/>
      <c r="X214" s="460"/>
    </row>
    <row r="215" ht="22.5" customHeight="1">
      <c r="A215" s="18"/>
      <c r="B215" s="129" t="s">
        <v>611</v>
      </c>
      <c r="C215" s="115">
        <v>8.8724E7</v>
      </c>
      <c r="D215" s="19"/>
      <c r="E215" s="18"/>
      <c r="F215" s="490"/>
      <c r="G215" s="490"/>
      <c r="H215" s="460"/>
      <c r="I215" s="460"/>
      <c r="J215" s="460"/>
      <c r="K215" s="460"/>
      <c r="L215" s="460"/>
      <c r="M215" s="460"/>
      <c r="N215" s="460"/>
      <c r="O215" s="460"/>
      <c r="P215" s="460"/>
      <c r="Q215" s="460"/>
      <c r="R215" s="460"/>
      <c r="S215" s="460"/>
      <c r="T215" s="460"/>
      <c r="U215" s="460"/>
      <c r="V215" s="460"/>
      <c r="W215" s="460"/>
      <c r="X215" s="460"/>
    </row>
    <row r="216" ht="22.5" customHeight="1">
      <c r="A216" s="18"/>
      <c r="B216" s="160" t="s">
        <v>595</v>
      </c>
      <c r="C216" s="115">
        <v>2.09145E7</v>
      </c>
      <c r="D216" s="19"/>
      <c r="E216" s="18"/>
      <c r="F216" s="490"/>
      <c r="G216" s="490"/>
      <c r="H216" s="460"/>
      <c r="I216" s="460"/>
      <c r="J216" s="460"/>
      <c r="K216" s="460"/>
      <c r="L216" s="460"/>
      <c r="M216" s="460"/>
      <c r="N216" s="460"/>
      <c r="O216" s="460"/>
      <c r="P216" s="460"/>
      <c r="Q216" s="460"/>
      <c r="R216" s="460"/>
      <c r="S216" s="460"/>
      <c r="T216" s="460"/>
      <c r="U216" s="460"/>
      <c r="V216" s="460"/>
      <c r="W216" s="460"/>
      <c r="X216" s="460"/>
    </row>
    <row r="217" ht="22.5" customHeight="1">
      <c r="A217" s="18"/>
      <c r="B217" s="160" t="s">
        <v>596</v>
      </c>
      <c r="C217" s="115">
        <v>1.95E7</v>
      </c>
      <c r="D217" s="19"/>
      <c r="E217" s="18"/>
      <c r="F217" s="460"/>
      <c r="G217" s="460"/>
      <c r="H217" s="460"/>
      <c r="I217" s="490"/>
      <c r="J217" s="460"/>
      <c r="K217" s="460"/>
      <c r="L217" s="460"/>
      <c r="M217" s="460"/>
      <c r="N217" s="460"/>
      <c r="O217" s="460"/>
      <c r="P217" s="460"/>
      <c r="Q217" s="460"/>
      <c r="R217" s="460"/>
      <c r="S217" s="460"/>
      <c r="T217" s="460"/>
      <c r="U217" s="460"/>
      <c r="V217" s="460"/>
      <c r="W217" s="460"/>
      <c r="X217" s="460"/>
    </row>
    <row r="218" ht="22.5" customHeight="1">
      <c r="A218" s="18"/>
      <c r="B218" s="160" t="s">
        <v>597</v>
      </c>
      <c r="C218" s="115">
        <v>2.7815E7</v>
      </c>
      <c r="D218" s="19"/>
      <c r="E218" s="22"/>
      <c r="F218" s="460"/>
      <c r="G218" s="460"/>
      <c r="H218" s="460"/>
      <c r="I218" s="490"/>
      <c r="J218" s="460"/>
      <c r="K218" s="460"/>
      <c r="L218" s="460"/>
      <c r="M218" s="460"/>
      <c r="N218" s="460"/>
      <c r="O218" s="460"/>
      <c r="P218" s="460"/>
      <c r="Q218" s="460"/>
      <c r="R218" s="460"/>
      <c r="S218" s="460"/>
      <c r="T218" s="460"/>
      <c r="U218" s="460"/>
      <c r="V218" s="460"/>
      <c r="W218" s="460"/>
      <c r="X218" s="460"/>
    </row>
    <row r="219" ht="22.5" customHeight="1">
      <c r="A219" s="136" t="s">
        <v>96</v>
      </c>
      <c r="B219" s="56" t="s">
        <v>51</v>
      </c>
      <c r="C219" s="410">
        <v>6.0208E7</v>
      </c>
      <c r="D219" s="115" t="s">
        <v>7</v>
      </c>
      <c r="E219" s="136">
        <f>SUM(C222)</f>
        <v>27865000</v>
      </c>
      <c r="F219" s="460"/>
      <c r="G219" s="460"/>
      <c r="H219" s="460"/>
      <c r="I219" s="460"/>
      <c r="J219" s="460"/>
      <c r="K219" s="460"/>
      <c r="L219" s="460"/>
      <c r="M219" s="460"/>
      <c r="N219" s="460"/>
      <c r="O219" s="460"/>
      <c r="P219" s="460"/>
      <c r="Q219" s="460"/>
      <c r="R219" s="460"/>
      <c r="S219" s="460"/>
      <c r="T219" s="460"/>
      <c r="U219" s="460"/>
      <c r="V219" s="460"/>
      <c r="W219" s="460"/>
      <c r="X219" s="460"/>
    </row>
    <row r="220" ht="22.5" customHeight="1">
      <c r="A220" s="18"/>
      <c r="B220" s="56" t="s">
        <v>53</v>
      </c>
      <c r="C220" s="115">
        <v>2.5808E7</v>
      </c>
      <c r="D220" s="115" t="s">
        <v>7</v>
      </c>
      <c r="E220" s="18"/>
      <c r="F220" s="460"/>
      <c r="G220" s="460"/>
      <c r="H220" s="460"/>
      <c r="I220" s="460"/>
      <c r="J220" s="46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</row>
    <row r="221" ht="22.5" customHeight="1">
      <c r="A221" s="18"/>
      <c r="B221" s="56" t="s">
        <v>55</v>
      </c>
      <c r="C221" s="115">
        <v>3.15365E7</v>
      </c>
      <c r="D221" s="115" t="s">
        <v>7</v>
      </c>
      <c r="E221" s="18"/>
      <c r="F221" s="460"/>
      <c r="G221" s="460"/>
      <c r="H221" s="460"/>
      <c r="I221" s="460"/>
      <c r="J221" s="460"/>
      <c r="K221" s="460"/>
      <c r="L221" s="460"/>
      <c r="M221" s="460"/>
      <c r="N221" s="460"/>
      <c r="O221" s="460"/>
      <c r="P221" s="460"/>
      <c r="Q221" s="460"/>
      <c r="R221" s="460"/>
      <c r="S221" s="460"/>
      <c r="T221" s="460"/>
      <c r="U221" s="460"/>
      <c r="V221" s="460"/>
      <c r="W221" s="460"/>
      <c r="X221" s="460"/>
    </row>
    <row r="222" ht="22.5" customHeight="1">
      <c r="A222" s="18"/>
      <c r="B222" s="56" t="s">
        <v>57</v>
      </c>
      <c r="C222" s="115">
        <v>2.7865E7</v>
      </c>
      <c r="D222" s="115"/>
      <c r="E222" s="18"/>
      <c r="F222" s="460"/>
      <c r="G222" s="460"/>
      <c r="H222" s="460"/>
      <c r="I222" s="460"/>
      <c r="J222" s="460"/>
      <c r="K222" s="460"/>
      <c r="L222" s="460"/>
      <c r="M222" s="460"/>
      <c r="N222" s="460"/>
      <c r="O222" s="460"/>
      <c r="P222" s="460"/>
      <c r="Q222" s="460"/>
      <c r="R222" s="460"/>
      <c r="S222" s="460"/>
      <c r="T222" s="460"/>
      <c r="U222" s="460"/>
      <c r="V222" s="460"/>
      <c r="W222" s="460"/>
      <c r="X222" s="460"/>
    </row>
    <row r="223" ht="22.5" customHeight="1">
      <c r="A223" s="136" t="s">
        <v>100</v>
      </c>
      <c r="B223" s="348" t="s">
        <v>612</v>
      </c>
      <c r="C223" s="119">
        <v>8.41328E7</v>
      </c>
      <c r="D223" s="110" t="s">
        <v>7</v>
      </c>
      <c r="E223" s="136"/>
      <c r="F223" s="460"/>
      <c r="G223" s="460"/>
      <c r="H223" s="460"/>
      <c r="I223" s="460"/>
      <c r="J223" s="460"/>
      <c r="K223" s="460"/>
      <c r="L223" s="460"/>
      <c r="M223" s="460"/>
      <c r="N223" s="460"/>
      <c r="O223" s="460"/>
      <c r="P223" s="460"/>
      <c r="Q223" s="460"/>
      <c r="R223" s="460"/>
      <c r="S223" s="460"/>
      <c r="T223" s="460"/>
      <c r="U223" s="460"/>
      <c r="V223" s="460"/>
      <c r="W223" s="460"/>
      <c r="X223" s="460"/>
    </row>
    <row r="224" ht="22.5" customHeight="1">
      <c r="A224" s="18"/>
      <c r="B224" s="348" t="s">
        <v>613</v>
      </c>
      <c r="C224" s="119">
        <v>1.39132E8</v>
      </c>
      <c r="D224" s="110" t="s">
        <v>7</v>
      </c>
      <c r="E224" s="18"/>
      <c r="F224" s="460"/>
      <c r="G224" s="460"/>
      <c r="H224" s="460"/>
      <c r="I224" s="460"/>
      <c r="J224" s="460"/>
      <c r="K224" s="460"/>
      <c r="L224" s="460"/>
      <c r="M224" s="460"/>
      <c r="N224" s="460"/>
      <c r="O224" s="460"/>
      <c r="P224" s="460"/>
      <c r="Q224" s="460"/>
      <c r="R224" s="460"/>
      <c r="S224" s="460"/>
      <c r="T224" s="460"/>
      <c r="U224" s="460"/>
      <c r="V224" s="460"/>
      <c r="W224" s="460"/>
      <c r="X224" s="460"/>
    </row>
    <row r="225" ht="22.5" customHeight="1">
      <c r="A225" s="18"/>
      <c r="B225" s="348" t="s">
        <v>614</v>
      </c>
      <c r="C225" s="119">
        <v>1925000.0</v>
      </c>
      <c r="D225" s="110" t="s">
        <v>7</v>
      </c>
      <c r="E225" s="18"/>
      <c r="F225" s="460"/>
      <c r="G225" s="460"/>
      <c r="H225" s="460"/>
      <c r="I225" s="460"/>
      <c r="J225" s="460"/>
      <c r="K225" s="460"/>
      <c r="L225" s="460"/>
      <c r="M225" s="460"/>
      <c r="N225" s="460"/>
      <c r="O225" s="460"/>
      <c r="P225" s="460"/>
      <c r="Q225" s="460"/>
      <c r="R225" s="460"/>
      <c r="S225" s="460"/>
      <c r="T225" s="460"/>
      <c r="U225" s="460"/>
      <c r="V225" s="460"/>
      <c r="W225" s="460"/>
      <c r="X225" s="460"/>
    </row>
    <row r="226" ht="22.5" customHeight="1">
      <c r="A226" s="18"/>
      <c r="B226" s="348" t="s">
        <v>615</v>
      </c>
      <c r="C226" s="119">
        <v>1.010285E8</v>
      </c>
      <c r="D226" s="110" t="s">
        <v>7</v>
      </c>
      <c r="E226" s="18"/>
      <c r="F226" s="460"/>
      <c r="G226" s="460"/>
      <c r="H226" s="460"/>
      <c r="I226" s="460"/>
      <c r="J226" s="460"/>
      <c r="K226" s="460"/>
      <c r="L226" s="460"/>
      <c r="M226" s="460"/>
      <c r="N226" s="460"/>
      <c r="O226" s="460"/>
      <c r="P226" s="460"/>
      <c r="Q226" s="460"/>
      <c r="R226" s="460"/>
      <c r="S226" s="460"/>
      <c r="T226" s="460"/>
      <c r="U226" s="460"/>
      <c r="V226" s="460"/>
      <c r="W226" s="460"/>
      <c r="X226" s="460"/>
    </row>
    <row r="227" ht="22.5" customHeight="1">
      <c r="A227" s="18"/>
      <c r="B227" s="348" t="s">
        <v>616</v>
      </c>
      <c r="C227" s="119">
        <v>4898000.0</v>
      </c>
      <c r="D227" s="110" t="s">
        <v>7</v>
      </c>
      <c r="E227" s="18"/>
      <c r="F227" s="460"/>
      <c r="G227" s="460"/>
      <c r="H227" s="460"/>
      <c r="I227" s="460"/>
      <c r="J227" s="460"/>
      <c r="K227" s="460"/>
      <c r="L227" s="460"/>
      <c r="M227" s="460"/>
      <c r="N227" s="460"/>
      <c r="O227" s="460"/>
      <c r="P227" s="460"/>
      <c r="Q227" s="460"/>
      <c r="R227" s="460"/>
      <c r="S227" s="460"/>
      <c r="T227" s="460"/>
      <c r="U227" s="460"/>
      <c r="V227" s="460"/>
      <c r="W227" s="460"/>
      <c r="X227" s="460"/>
    </row>
    <row r="228" ht="22.5" customHeight="1">
      <c r="A228" s="18"/>
      <c r="B228" s="348" t="s">
        <v>617</v>
      </c>
      <c r="C228" s="119">
        <v>1.49868E8</v>
      </c>
      <c r="D228" s="19"/>
      <c r="E228" s="18"/>
      <c r="F228" s="460"/>
      <c r="G228" s="460"/>
      <c r="H228" s="460"/>
      <c r="I228" s="460"/>
      <c r="J228" s="460"/>
      <c r="K228" s="460"/>
      <c r="L228" s="460"/>
      <c r="M228" s="460"/>
      <c r="N228" s="460"/>
      <c r="O228" s="460"/>
      <c r="P228" s="460"/>
      <c r="Q228" s="460"/>
      <c r="R228" s="460"/>
      <c r="S228" s="460"/>
      <c r="T228" s="460"/>
      <c r="U228" s="460"/>
      <c r="V228" s="460"/>
      <c r="W228" s="460"/>
      <c r="X228" s="460"/>
    </row>
    <row r="229" ht="22.5" customHeight="1">
      <c r="A229" s="18"/>
      <c r="B229" s="348" t="s">
        <v>618</v>
      </c>
      <c r="C229" s="119">
        <v>3025000.0</v>
      </c>
      <c r="D229" s="19"/>
      <c r="E229" s="18"/>
      <c r="F229" s="460"/>
      <c r="G229" s="460"/>
      <c r="H229" s="460"/>
      <c r="I229" s="460"/>
      <c r="J229" s="460"/>
      <c r="K229" s="460"/>
      <c r="L229" s="460"/>
      <c r="M229" s="460"/>
      <c r="N229" s="460"/>
      <c r="O229" s="460"/>
      <c r="P229" s="460"/>
      <c r="Q229" s="460"/>
      <c r="R229" s="460"/>
      <c r="S229" s="460"/>
      <c r="T229" s="460"/>
      <c r="U229" s="460"/>
      <c r="V229" s="460"/>
      <c r="W229" s="460"/>
      <c r="X229" s="460"/>
    </row>
    <row r="230" ht="22.5" customHeight="1">
      <c r="A230" s="18"/>
      <c r="B230" s="348" t="s">
        <v>619</v>
      </c>
      <c r="C230" s="119">
        <v>1.533655E8</v>
      </c>
      <c r="D230" s="19"/>
      <c r="E230" s="18"/>
      <c r="F230" s="460"/>
      <c r="G230" s="460"/>
      <c r="H230" s="460"/>
      <c r="I230" s="460"/>
      <c r="J230" s="460"/>
      <c r="K230" s="460"/>
      <c r="L230" s="460"/>
      <c r="M230" s="460"/>
      <c r="N230" s="460"/>
      <c r="O230" s="460"/>
      <c r="P230" s="460"/>
      <c r="Q230" s="460"/>
      <c r="R230" s="460"/>
      <c r="S230" s="460"/>
      <c r="T230" s="460"/>
      <c r="U230" s="460"/>
      <c r="V230" s="460"/>
      <c r="W230" s="460"/>
      <c r="X230" s="460"/>
    </row>
    <row r="231" ht="22.5" customHeight="1">
      <c r="A231" s="18"/>
      <c r="B231" s="348" t="s">
        <v>99</v>
      </c>
      <c r="C231" s="51">
        <f>SUM(C228:C230)</f>
        <v>306258500</v>
      </c>
      <c r="D231" s="19"/>
      <c r="E231" s="18"/>
      <c r="F231" s="460"/>
      <c r="G231" s="460"/>
      <c r="H231" s="460"/>
      <c r="I231" s="460"/>
      <c r="J231" s="460"/>
      <c r="K231" s="460"/>
      <c r="L231" s="460"/>
      <c r="M231" s="460"/>
      <c r="N231" s="460"/>
      <c r="O231" s="460"/>
      <c r="P231" s="460"/>
      <c r="Q231" s="460"/>
      <c r="R231" s="460"/>
      <c r="S231" s="460"/>
      <c r="T231" s="460"/>
      <c r="U231" s="460"/>
      <c r="V231" s="460"/>
      <c r="W231" s="460"/>
      <c r="X231" s="460"/>
    </row>
    <row r="232" ht="22.5" customHeight="1">
      <c r="A232" s="18"/>
      <c r="B232" s="158"/>
      <c r="C232" s="158"/>
      <c r="D232" s="19"/>
      <c r="E232" s="18"/>
      <c r="F232" s="460"/>
      <c r="G232" s="460"/>
      <c r="H232" s="460"/>
      <c r="I232" s="460"/>
      <c r="J232" s="460"/>
      <c r="K232" s="460"/>
      <c r="L232" s="460"/>
      <c r="M232" s="460"/>
      <c r="N232" s="460"/>
      <c r="O232" s="460"/>
      <c r="P232" s="460"/>
      <c r="Q232" s="460"/>
      <c r="R232" s="460"/>
      <c r="S232" s="460"/>
      <c r="T232" s="460"/>
      <c r="U232" s="460"/>
      <c r="V232" s="460"/>
      <c r="W232" s="460"/>
      <c r="X232" s="460"/>
    </row>
    <row r="233" ht="22.5" customHeight="1">
      <c r="A233" s="136" t="s">
        <v>101</v>
      </c>
      <c r="B233" s="56" t="s">
        <v>51</v>
      </c>
      <c r="C233" s="115">
        <v>5.56005E7</v>
      </c>
      <c r="D233" s="115"/>
      <c r="E233" s="136">
        <f>SUM(C233:C236)</f>
        <v>149099000</v>
      </c>
      <c r="F233" s="460"/>
      <c r="G233" s="460"/>
      <c r="H233" s="460"/>
      <c r="I233" s="460"/>
      <c r="J233" s="460"/>
      <c r="K233" s="460"/>
      <c r="L233" s="460"/>
      <c r="M233" s="460"/>
      <c r="N233" s="460"/>
      <c r="O233" s="460"/>
      <c r="P233" s="460"/>
      <c r="Q233" s="460"/>
      <c r="R233" s="460"/>
      <c r="S233" s="460"/>
      <c r="T233" s="460"/>
      <c r="U233" s="460"/>
      <c r="V233" s="460"/>
      <c r="W233" s="460"/>
      <c r="X233" s="460"/>
    </row>
    <row r="234" ht="22.5" customHeight="1">
      <c r="A234" s="18"/>
      <c r="B234" s="56" t="s">
        <v>53</v>
      </c>
      <c r="C234" s="115">
        <v>2.3345E7</v>
      </c>
      <c r="D234" s="115"/>
      <c r="E234" s="18"/>
      <c r="F234" s="460"/>
      <c r="G234" s="460"/>
      <c r="H234" s="460"/>
      <c r="I234" s="460"/>
      <c r="J234" s="460"/>
      <c r="K234" s="460"/>
      <c r="L234" s="460"/>
      <c r="M234" s="460"/>
      <c r="N234" s="460"/>
      <c r="O234" s="460"/>
      <c r="P234" s="460"/>
      <c r="Q234" s="460"/>
      <c r="R234" s="460"/>
      <c r="S234" s="460"/>
      <c r="T234" s="460"/>
      <c r="U234" s="460"/>
      <c r="V234" s="460"/>
      <c r="W234" s="460"/>
      <c r="X234" s="460"/>
    </row>
    <row r="235" ht="22.5" customHeight="1">
      <c r="A235" s="18"/>
      <c r="B235" s="56" t="s">
        <v>55</v>
      </c>
      <c r="C235" s="115">
        <v>3.958E7</v>
      </c>
      <c r="D235" s="115"/>
      <c r="E235" s="18"/>
      <c r="F235" s="460"/>
      <c r="G235" s="460"/>
      <c r="H235" s="460"/>
      <c r="I235" s="460"/>
      <c r="J235" s="460"/>
      <c r="K235" s="460"/>
      <c r="L235" s="460"/>
      <c r="M235" s="460"/>
      <c r="N235" s="460"/>
      <c r="O235" s="460"/>
      <c r="P235" s="460"/>
      <c r="Q235" s="460"/>
      <c r="R235" s="460"/>
      <c r="S235" s="460"/>
      <c r="T235" s="460"/>
      <c r="U235" s="460"/>
      <c r="V235" s="460"/>
      <c r="W235" s="460"/>
      <c r="X235" s="460"/>
    </row>
    <row r="236" ht="22.5" customHeight="1">
      <c r="A236" s="18"/>
      <c r="B236" s="56" t="s">
        <v>57</v>
      </c>
      <c r="C236" s="115">
        <v>3.05735E7</v>
      </c>
      <c r="D236" s="115"/>
      <c r="E236" s="18"/>
      <c r="F236" s="460"/>
      <c r="G236" s="460"/>
      <c r="H236" s="460"/>
      <c r="I236" s="460"/>
      <c r="J236" s="460"/>
      <c r="K236" s="460"/>
      <c r="L236" s="460"/>
      <c r="M236" s="460"/>
      <c r="N236" s="460"/>
      <c r="O236" s="460"/>
      <c r="P236" s="460"/>
      <c r="Q236" s="460"/>
      <c r="R236" s="460"/>
      <c r="S236" s="460"/>
      <c r="T236" s="460"/>
      <c r="U236" s="460"/>
      <c r="V236" s="460"/>
      <c r="W236" s="460"/>
      <c r="X236" s="460"/>
    </row>
    <row r="237" ht="22.5" customHeight="1">
      <c r="A237" s="136" t="s">
        <v>107</v>
      </c>
      <c r="B237" s="56" t="s">
        <v>51</v>
      </c>
      <c r="C237" s="115">
        <v>5.3689E7</v>
      </c>
      <c r="D237" s="115" t="s">
        <v>7</v>
      </c>
      <c r="E237" s="136">
        <f>SUM(C240)</f>
        <v>32198000</v>
      </c>
      <c r="F237" s="460"/>
      <c r="G237" s="460"/>
      <c r="H237" s="460"/>
      <c r="I237" s="460"/>
      <c r="J237" s="460"/>
      <c r="K237" s="460"/>
      <c r="L237" s="460"/>
      <c r="M237" s="460"/>
      <c r="N237" s="460"/>
      <c r="O237" s="460"/>
      <c r="P237" s="460"/>
      <c r="Q237" s="460"/>
      <c r="R237" s="460"/>
      <c r="S237" s="460"/>
      <c r="T237" s="460"/>
      <c r="U237" s="460"/>
      <c r="V237" s="460"/>
      <c r="W237" s="460"/>
      <c r="X237" s="460"/>
    </row>
    <row r="238" ht="22.5" customHeight="1">
      <c r="A238" s="18"/>
      <c r="B238" s="56" t="s">
        <v>53</v>
      </c>
      <c r="C238" s="119">
        <v>2.3125E7</v>
      </c>
      <c r="D238" s="115" t="s">
        <v>7</v>
      </c>
      <c r="E238" s="18"/>
      <c r="F238" s="460"/>
      <c r="G238" s="460"/>
      <c r="H238" s="460"/>
      <c r="I238" s="460"/>
      <c r="J238" s="460"/>
      <c r="K238" s="460"/>
      <c r="L238" s="460"/>
      <c r="M238" s="460"/>
      <c r="N238" s="460"/>
      <c r="O238" s="460"/>
      <c r="P238" s="460"/>
      <c r="Q238" s="460"/>
      <c r="R238" s="460"/>
      <c r="S238" s="460"/>
      <c r="T238" s="460"/>
      <c r="U238" s="460"/>
      <c r="V238" s="460"/>
      <c r="W238" s="460"/>
      <c r="X238" s="460"/>
    </row>
    <row r="239" ht="22.5" customHeight="1">
      <c r="A239" s="18"/>
      <c r="B239" s="56" t="s">
        <v>55</v>
      </c>
      <c r="C239" s="115">
        <v>1.7707E7</v>
      </c>
      <c r="D239" s="115" t="s">
        <v>7</v>
      </c>
      <c r="E239" s="18"/>
      <c r="F239" s="460"/>
      <c r="G239" s="460"/>
      <c r="H239" s="460"/>
      <c r="I239" s="460"/>
      <c r="J239" s="460"/>
      <c r="K239" s="460"/>
      <c r="L239" s="460"/>
      <c r="M239" s="460"/>
      <c r="N239" s="460"/>
      <c r="O239" s="460"/>
      <c r="P239" s="460"/>
      <c r="Q239" s="460"/>
      <c r="R239" s="460"/>
      <c r="S239" s="460"/>
      <c r="T239" s="460"/>
      <c r="U239" s="460"/>
      <c r="V239" s="460"/>
      <c r="W239" s="460"/>
      <c r="X239" s="460"/>
    </row>
    <row r="240" ht="22.5" customHeight="1">
      <c r="A240" s="18"/>
      <c r="B240" s="56" t="s">
        <v>57</v>
      </c>
      <c r="C240" s="115">
        <v>3.2198E7</v>
      </c>
      <c r="D240" s="115"/>
      <c r="E240" s="18"/>
      <c r="F240" s="460"/>
      <c r="G240" s="460"/>
      <c r="H240" s="460"/>
      <c r="I240" s="460"/>
      <c r="J240" s="460"/>
      <c r="K240" s="460"/>
      <c r="L240" s="460"/>
      <c r="M240" s="460"/>
      <c r="N240" s="460"/>
      <c r="O240" s="460"/>
      <c r="P240" s="460"/>
      <c r="Q240" s="460"/>
      <c r="R240" s="460"/>
      <c r="S240" s="460"/>
      <c r="T240" s="460"/>
      <c r="U240" s="460"/>
      <c r="V240" s="460"/>
      <c r="W240" s="460"/>
      <c r="X240" s="460"/>
    </row>
    <row r="241" ht="22.5" customHeight="1">
      <c r="A241" s="136" t="s">
        <v>108</v>
      </c>
      <c r="B241" s="129" t="s">
        <v>71</v>
      </c>
      <c r="C241" s="115">
        <f>sum(56494900-25000000-25000000)</f>
        <v>6494900</v>
      </c>
      <c r="D241" s="115">
        <v>-3.0E7</v>
      </c>
      <c r="E241" s="136">
        <f>SUM(C241:D245)</f>
        <v>80757700</v>
      </c>
      <c r="F241" s="460"/>
      <c r="G241" s="460"/>
      <c r="H241" s="460"/>
      <c r="I241" s="460"/>
      <c r="J241" s="460"/>
      <c r="K241" s="460"/>
      <c r="L241" s="460"/>
      <c r="M241" s="460"/>
      <c r="N241" s="460"/>
      <c r="O241" s="460"/>
      <c r="P241" s="460"/>
      <c r="Q241" s="460"/>
      <c r="R241" s="460"/>
      <c r="S241" s="460"/>
      <c r="T241" s="460"/>
      <c r="U241" s="460"/>
      <c r="V241" s="460"/>
      <c r="W241" s="460"/>
      <c r="X241" s="460"/>
    </row>
    <row r="242" ht="22.5" customHeight="1">
      <c r="A242" s="18"/>
      <c r="B242" s="56" t="s">
        <v>51</v>
      </c>
      <c r="C242" s="115">
        <v>2.92881E7</v>
      </c>
      <c r="D242" s="115"/>
      <c r="E242" s="18"/>
      <c r="F242" s="460"/>
      <c r="G242" s="460"/>
      <c r="H242" s="460"/>
      <c r="I242" s="460"/>
      <c r="J242" s="460"/>
      <c r="K242" s="460"/>
      <c r="L242" s="460"/>
      <c r="M242" s="460"/>
      <c r="N242" s="460"/>
      <c r="O242" s="460"/>
      <c r="P242" s="460"/>
      <c r="Q242" s="460"/>
      <c r="R242" s="460"/>
      <c r="S242" s="460"/>
      <c r="T242" s="460"/>
      <c r="U242" s="460"/>
      <c r="V242" s="460"/>
      <c r="W242" s="460"/>
      <c r="X242" s="460"/>
    </row>
    <row r="243" ht="22.5" customHeight="1">
      <c r="A243" s="18"/>
      <c r="B243" s="56" t="s">
        <v>53</v>
      </c>
      <c r="C243" s="115">
        <v>2.21533E7</v>
      </c>
      <c r="D243" s="115"/>
      <c r="E243" s="18"/>
      <c r="F243" s="460"/>
      <c r="G243" s="460"/>
      <c r="H243" s="460"/>
      <c r="I243" s="460"/>
      <c r="J243" s="460"/>
      <c r="K243" s="460"/>
      <c r="L243" s="460"/>
      <c r="M243" s="460"/>
      <c r="N243" s="460"/>
      <c r="O243" s="460"/>
      <c r="P243" s="460"/>
      <c r="Q243" s="460"/>
      <c r="R243" s="460"/>
      <c r="S243" s="460"/>
      <c r="T243" s="460"/>
      <c r="U243" s="460"/>
      <c r="V243" s="460"/>
      <c r="W243" s="460"/>
      <c r="X243" s="460"/>
    </row>
    <row r="244" ht="22.5" customHeight="1">
      <c r="A244" s="18"/>
      <c r="B244" s="56" t="s">
        <v>55</v>
      </c>
      <c r="C244" s="115">
        <v>2.39164E7</v>
      </c>
      <c r="D244" s="115"/>
      <c r="E244" s="18"/>
      <c r="F244" s="460"/>
      <c r="G244" s="460"/>
      <c r="H244" s="460"/>
      <c r="I244" s="460"/>
      <c r="J244" s="460"/>
      <c r="K244" s="460"/>
      <c r="L244" s="460"/>
      <c r="M244" s="460"/>
      <c r="N244" s="460"/>
      <c r="O244" s="460"/>
      <c r="P244" s="460"/>
      <c r="Q244" s="460"/>
      <c r="R244" s="460"/>
      <c r="S244" s="460"/>
      <c r="T244" s="460"/>
      <c r="U244" s="460"/>
      <c r="V244" s="460"/>
      <c r="W244" s="460"/>
      <c r="X244" s="460"/>
    </row>
    <row r="245" ht="22.5" customHeight="1">
      <c r="A245" s="18"/>
      <c r="B245" s="56" t="s">
        <v>57</v>
      </c>
      <c r="C245" s="115">
        <v>2.8905E7</v>
      </c>
      <c r="D245" s="48"/>
      <c r="E245" s="18"/>
      <c r="F245" s="190"/>
      <c r="G245" s="460"/>
      <c r="H245" s="460"/>
      <c r="I245" s="460"/>
      <c r="J245" s="460"/>
      <c r="K245" s="460"/>
      <c r="L245" s="460"/>
      <c r="M245" s="460"/>
      <c r="N245" s="460"/>
      <c r="O245" s="460"/>
      <c r="P245" s="460"/>
      <c r="Q245" s="460"/>
      <c r="R245" s="460"/>
      <c r="S245" s="460"/>
      <c r="T245" s="460"/>
      <c r="U245" s="460"/>
      <c r="V245" s="460"/>
      <c r="W245" s="460"/>
      <c r="X245" s="460"/>
    </row>
    <row r="246" ht="22.5" customHeight="1">
      <c r="A246" s="417" t="s">
        <v>620</v>
      </c>
      <c r="B246" s="129" t="s">
        <v>71</v>
      </c>
      <c r="C246" s="119">
        <v>3.0E8</v>
      </c>
      <c r="D246" s="115"/>
      <c r="E246" s="417">
        <f>SUM(C246:C250)</f>
        <v>643833000</v>
      </c>
      <c r="F246" s="460"/>
      <c r="G246" s="460"/>
      <c r="H246" s="460"/>
      <c r="I246" s="460"/>
      <c r="J246" s="460"/>
      <c r="K246" s="460"/>
      <c r="L246" s="460"/>
      <c r="M246" s="460"/>
      <c r="N246" s="460"/>
      <c r="O246" s="460"/>
      <c r="P246" s="460"/>
      <c r="Q246" s="460"/>
      <c r="R246" s="460"/>
      <c r="S246" s="460"/>
      <c r="T246" s="460"/>
      <c r="U246" s="460"/>
      <c r="V246" s="460"/>
      <c r="W246" s="460"/>
      <c r="X246" s="460"/>
    </row>
    <row r="247" ht="22.5" customHeight="1">
      <c r="A247" s="18"/>
      <c r="B247" s="56" t="s">
        <v>51</v>
      </c>
      <c r="C247" s="119">
        <v>1.55183E8</v>
      </c>
      <c r="D247" s="115"/>
      <c r="E247" s="18"/>
      <c r="F247" s="460"/>
      <c r="G247" s="460"/>
      <c r="H247" s="460"/>
      <c r="I247" s="460"/>
      <c r="J247" s="460"/>
      <c r="K247" s="460"/>
      <c r="L247" s="460"/>
      <c r="M247" s="460"/>
      <c r="N247" s="460"/>
      <c r="O247" s="460"/>
      <c r="P247" s="460"/>
      <c r="Q247" s="460"/>
      <c r="R247" s="460"/>
      <c r="S247" s="460"/>
      <c r="T247" s="460"/>
      <c r="U247" s="460"/>
      <c r="V247" s="460"/>
      <c r="W247" s="460"/>
      <c r="X247" s="460"/>
    </row>
    <row r="248" ht="22.5" customHeight="1">
      <c r="A248" s="18"/>
      <c r="B248" s="56" t="s">
        <v>53</v>
      </c>
      <c r="C248" s="119">
        <v>9.8465E7</v>
      </c>
      <c r="D248" s="115"/>
      <c r="E248" s="18"/>
      <c r="F248" s="460"/>
      <c r="G248" s="460"/>
      <c r="H248" s="460"/>
      <c r="I248" s="460"/>
      <c r="J248" s="460"/>
      <c r="K248" s="460"/>
      <c r="L248" s="460"/>
      <c r="M248" s="460"/>
      <c r="N248" s="460"/>
      <c r="O248" s="460"/>
      <c r="P248" s="460"/>
      <c r="Q248" s="460"/>
      <c r="R248" s="460"/>
      <c r="S248" s="460"/>
      <c r="T248" s="460"/>
      <c r="U248" s="460"/>
      <c r="V248" s="460"/>
      <c r="W248" s="460"/>
      <c r="X248" s="460"/>
    </row>
    <row r="249" ht="22.5" customHeight="1">
      <c r="A249" s="18"/>
      <c r="B249" s="56" t="s">
        <v>55</v>
      </c>
      <c r="C249" s="115">
        <v>9.0185E7</v>
      </c>
      <c r="D249" s="48"/>
      <c r="E249" s="18"/>
      <c r="F249" s="460"/>
      <c r="G249" s="460"/>
      <c r="H249" s="460"/>
      <c r="I249" s="460"/>
      <c r="J249" s="460"/>
      <c r="K249" s="460"/>
      <c r="L249" s="460"/>
      <c r="M249" s="460"/>
      <c r="N249" s="460"/>
      <c r="O249" s="460"/>
      <c r="P249" s="460"/>
      <c r="Q249" s="460"/>
      <c r="R249" s="460"/>
      <c r="S249" s="460"/>
      <c r="T249" s="460"/>
      <c r="U249" s="460"/>
      <c r="V249" s="460"/>
      <c r="W249" s="460"/>
      <c r="X249" s="460"/>
    </row>
    <row r="250" ht="22.5" customHeight="1">
      <c r="A250" s="22"/>
      <c r="B250" s="56" t="s">
        <v>57</v>
      </c>
      <c r="C250" s="115">
        <v>0.0</v>
      </c>
      <c r="D250" s="48"/>
      <c r="E250" s="18"/>
      <c r="F250" s="460"/>
      <c r="G250" s="460"/>
      <c r="H250" s="460"/>
      <c r="I250" s="460"/>
      <c r="J250" s="460"/>
      <c r="K250" s="460"/>
      <c r="L250" s="460"/>
      <c r="M250" s="460"/>
      <c r="N250" s="460"/>
      <c r="O250" s="460"/>
      <c r="P250" s="460"/>
      <c r="Q250" s="460"/>
      <c r="R250" s="460"/>
      <c r="S250" s="460"/>
      <c r="T250" s="460"/>
      <c r="U250" s="460"/>
      <c r="V250" s="460"/>
      <c r="W250" s="460"/>
      <c r="X250" s="460"/>
    </row>
    <row r="251" ht="22.5" customHeight="1">
      <c r="A251" s="417" t="s">
        <v>112</v>
      </c>
      <c r="B251" s="56" t="s">
        <v>51</v>
      </c>
      <c r="C251" s="115">
        <v>3.22105E7</v>
      </c>
      <c r="D251" s="115" t="s">
        <v>7</v>
      </c>
      <c r="E251" s="417">
        <f>SUM(C254)</f>
        <v>56781000</v>
      </c>
      <c r="F251" s="460"/>
      <c r="G251" s="460"/>
      <c r="H251" s="460"/>
      <c r="I251" s="460"/>
      <c r="J251" s="460"/>
      <c r="K251" s="460"/>
      <c r="L251" s="460"/>
      <c r="M251" s="460"/>
      <c r="N251" s="460"/>
      <c r="O251" s="460"/>
      <c r="P251" s="460"/>
      <c r="Q251" s="460"/>
      <c r="R251" s="460"/>
      <c r="S251" s="460"/>
      <c r="T251" s="460"/>
      <c r="U251" s="460"/>
      <c r="V251" s="460"/>
      <c r="W251" s="460"/>
      <c r="X251" s="460"/>
    </row>
    <row r="252" ht="22.5" customHeight="1">
      <c r="A252" s="18"/>
      <c r="B252" s="56" t="s">
        <v>53</v>
      </c>
      <c r="C252" s="115">
        <v>4.812E7</v>
      </c>
      <c r="D252" s="115" t="s">
        <v>7</v>
      </c>
      <c r="E252" s="18"/>
      <c r="F252" s="460"/>
      <c r="G252" s="460"/>
      <c r="H252" s="460"/>
      <c r="I252" s="460"/>
      <c r="J252" s="460"/>
      <c r="K252" s="460"/>
      <c r="L252" s="460"/>
      <c r="M252" s="460"/>
      <c r="N252" s="460"/>
      <c r="O252" s="460"/>
      <c r="P252" s="460"/>
      <c r="Q252" s="460"/>
      <c r="R252" s="460"/>
      <c r="S252" s="460"/>
      <c r="T252" s="460"/>
      <c r="U252" s="460"/>
      <c r="V252" s="460"/>
      <c r="W252" s="460"/>
      <c r="X252" s="460"/>
    </row>
    <row r="253" ht="22.5" customHeight="1">
      <c r="A253" s="18"/>
      <c r="B253" s="56" t="s">
        <v>55</v>
      </c>
      <c r="C253" s="115">
        <v>5.8304E7</v>
      </c>
      <c r="D253" s="115" t="s">
        <v>7</v>
      </c>
      <c r="E253" s="18"/>
      <c r="F253" s="460"/>
      <c r="G253" s="460"/>
      <c r="H253" s="460"/>
      <c r="I253" s="460"/>
      <c r="J253" s="460"/>
      <c r="K253" s="460"/>
      <c r="L253" s="460"/>
      <c r="M253" s="460"/>
      <c r="N253" s="460"/>
      <c r="O253" s="460"/>
      <c r="P253" s="460"/>
      <c r="Q253" s="460"/>
      <c r="R253" s="460"/>
      <c r="S253" s="460"/>
      <c r="T253" s="460"/>
      <c r="U253" s="460"/>
      <c r="V253" s="460"/>
      <c r="W253" s="460"/>
      <c r="X253" s="460"/>
    </row>
    <row r="254" ht="22.5" customHeight="1">
      <c r="A254" s="18"/>
      <c r="B254" s="56" t="s">
        <v>57</v>
      </c>
      <c r="C254" s="115">
        <v>5.6781E7</v>
      </c>
      <c r="D254" s="115"/>
      <c r="E254" s="18"/>
      <c r="F254" s="460"/>
      <c r="G254" s="460"/>
      <c r="H254" s="460"/>
      <c r="I254" s="460"/>
      <c r="J254" s="460"/>
      <c r="K254" s="460"/>
      <c r="L254" s="460"/>
      <c r="M254" s="460"/>
      <c r="N254" s="460"/>
      <c r="O254" s="460"/>
      <c r="P254" s="460"/>
      <c r="Q254" s="460"/>
      <c r="R254" s="460"/>
      <c r="S254" s="460"/>
      <c r="T254" s="460"/>
      <c r="U254" s="460"/>
      <c r="V254" s="460"/>
      <c r="W254" s="460"/>
      <c r="X254" s="460"/>
    </row>
    <row r="255" ht="22.5" customHeight="1">
      <c r="A255" s="417" t="s">
        <v>115</v>
      </c>
      <c r="B255" s="129" t="s">
        <v>71</v>
      </c>
      <c r="C255" s="115">
        <f>SUM(126203000-46366000)</f>
        <v>79837000</v>
      </c>
      <c r="D255" s="115"/>
      <c r="E255" s="417">
        <f>SUM(C255:C259)</f>
        <v>205926000</v>
      </c>
      <c r="F255" s="460"/>
      <c r="G255" s="460"/>
      <c r="H255" s="460"/>
      <c r="I255" s="460"/>
      <c r="J255" s="460"/>
      <c r="K255" s="460"/>
      <c r="L255" s="460"/>
      <c r="M255" s="460"/>
      <c r="N255" s="460"/>
      <c r="O255" s="460"/>
      <c r="P255" s="460"/>
      <c r="Q255" s="460"/>
      <c r="R255" s="460"/>
      <c r="S255" s="460"/>
      <c r="T255" s="460"/>
      <c r="U255" s="460"/>
      <c r="V255" s="460"/>
      <c r="W255" s="460"/>
      <c r="X255" s="460"/>
    </row>
    <row r="256" ht="22.5" customHeight="1">
      <c r="A256" s="18"/>
      <c r="B256" s="56" t="s">
        <v>51</v>
      </c>
      <c r="C256" s="115">
        <v>2.2307E7</v>
      </c>
      <c r="D256" s="115"/>
      <c r="E256" s="18"/>
      <c r="F256" s="460"/>
      <c r="G256" s="460"/>
      <c r="H256" s="460"/>
      <c r="I256" s="460"/>
      <c r="J256" s="460"/>
      <c r="K256" s="460"/>
      <c r="L256" s="460"/>
      <c r="M256" s="460"/>
      <c r="N256" s="460"/>
      <c r="O256" s="460"/>
      <c r="P256" s="460"/>
      <c r="Q256" s="460"/>
      <c r="R256" s="460"/>
      <c r="S256" s="460"/>
      <c r="T256" s="460"/>
      <c r="U256" s="460"/>
      <c r="V256" s="460"/>
      <c r="W256" s="460"/>
      <c r="X256" s="460"/>
    </row>
    <row r="257" ht="22.5" customHeight="1">
      <c r="A257" s="18"/>
      <c r="B257" s="56" t="s">
        <v>53</v>
      </c>
      <c r="C257" s="115">
        <v>2.9991E7</v>
      </c>
      <c r="D257" s="115"/>
      <c r="E257" s="18"/>
      <c r="F257" s="460"/>
      <c r="G257" s="460"/>
      <c r="H257" s="460"/>
      <c r="I257" s="460"/>
      <c r="J257" s="460"/>
      <c r="K257" s="460"/>
      <c r="L257" s="460"/>
      <c r="M257" s="460"/>
      <c r="N257" s="460"/>
      <c r="O257" s="460"/>
      <c r="P257" s="460"/>
      <c r="Q257" s="460"/>
      <c r="R257" s="460"/>
      <c r="S257" s="460"/>
      <c r="T257" s="460"/>
      <c r="U257" s="460"/>
      <c r="V257" s="460"/>
      <c r="W257" s="460"/>
      <c r="X257" s="460"/>
    </row>
    <row r="258" ht="22.5" customHeight="1">
      <c r="A258" s="18"/>
      <c r="B258" s="56" t="s">
        <v>55</v>
      </c>
      <c r="C258" s="115">
        <v>4.5447E7</v>
      </c>
      <c r="D258" s="48"/>
      <c r="E258" s="18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</row>
    <row r="259" ht="22.5" customHeight="1">
      <c r="A259" s="18"/>
      <c r="B259" s="56" t="s">
        <v>57</v>
      </c>
      <c r="C259" s="115">
        <v>2.8344E7</v>
      </c>
      <c r="D259" s="48"/>
      <c r="E259" s="18"/>
      <c r="F259" s="460"/>
      <c r="G259" s="460"/>
      <c r="H259" s="460"/>
      <c r="I259" s="460"/>
      <c r="J259" s="460"/>
      <c r="K259" s="460"/>
      <c r="L259" s="460"/>
      <c r="M259" s="460"/>
      <c r="N259" s="460"/>
      <c r="O259" s="460"/>
      <c r="P259" s="460"/>
      <c r="Q259" s="460"/>
      <c r="R259" s="460"/>
      <c r="S259" s="460"/>
      <c r="T259" s="460"/>
      <c r="U259" s="460"/>
      <c r="V259" s="460"/>
      <c r="W259" s="460"/>
      <c r="X259" s="460"/>
    </row>
    <row r="260" ht="22.5" customHeight="1">
      <c r="A260" s="417" t="s">
        <v>116</v>
      </c>
      <c r="B260" s="56" t="s">
        <v>51</v>
      </c>
      <c r="C260" s="115">
        <v>9.9615E7</v>
      </c>
      <c r="D260" s="115" t="s">
        <v>7</v>
      </c>
      <c r="E260" s="417">
        <f>SUM(C261:C262)</f>
        <v>106069000</v>
      </c>
      <c r="F260" s="460"/>
      <c r="G260" s="460"/>
      <c r="H260" s="460"/>
      <c r="I260" s="460"/>
      <c r="J260" s="460"/>
      <c r="K260" s="460"/>
      <c r="L260" s="460"/>
      <c r="M260" s="460"/>
      <c r="N260" s="460"/>
      <c r="O260" s="460"/>
      <c r="P260" s="460"/>
      <c r="Q260" s="460"/>
      <c r="R260" s="460"/>
      <c r="S260" s="460"/>
      <c r="T260" s="460"/>
      <c r="U260" s="460"/>
      <c r="V260" s="460"/>
      <c r="W260" s="460"/>
      <c r="X260" s="460"/>
    </row>
    <row r="261" ht="22.5" customHeight="1">
      <c r="A261" s="18"/>
      <c r="B261" s="56" t="s">
        <v>53</v>
      </c>
      <c r="C261" s="119">
        <v>4.6375E7</v>
      </c>
      <c r="D261" s="115"/>
      <c r="E261" s="18"/>
      <c r="F261" s="460"/>
      <c r="G261" s="460"/>
      <c r="H261" s="460"/>
      <c r="I261" s="460"/>
      <c r="J261" s="460"/>
      <c r="K261" s="460"/>
      <c r="L261" s="460"/>
      <c r="M261" s="460"/>
      <c r="N261" s="460"/>
      <c r="O261" s="460"/>
      <c r="P261" s="460"/>
      <c r="Q261" s="460"/>
      <c r="R261" s="460"/>
      <c r="S261" s="460"/>
      <c r="T261" s="460"/>
      <c r="U261" s="460"/>
      <c r="V261" s="460"/>
      <c r="W261" s="460"/>
      <c r="X261" s="460"/>
    </row>
    <row r="262" ht="22.5" customHeight="1">
      <c r="A262" s="18"/>
      <c r="B262" s="56" t="s">
        <v>55</v>
      </c>
      <c r="C262" s="119">
        <v>5.9694E7</v>
      </c>
      <c r="D262" s="115"/>
      <c r="E262" s="18"/>
      <c r="F262" s="460"/>
      <c r="G262" s="460"/>
      <c r="H262" s="460"/>
      <c r="I262" s="460"/>
      <c r="J262" s="460"/>
      <c r="K262" s="460"/>
      <c r="L262" s="460"/>
      <c r="M262" s="460"/>
      <c r="N262" s="460"/>
      <c r="O262" s="460"/>
      <c r="P262" s="460"/>
      <c r="Q262" s="460"/>
      <c r="R262" s="460"/>
      <c r="S262" s="460"/>
      <c r="T262" s="460"/>
      <c r="U262" s="460"/>
      <c r="V262" s="460"/>
      <c r="W262" s="460"/>
      <c r="X262" s="460"/>
    </row>
    <row r="263" ht="22.5" customHeight="1">
      <c r="A263" s="18"/>
      <c r="B263" s="56" t="s">
        <v>57</v>
      </c>
      <c r="C263" s="119">
        <v>6.4978E7</v>
      </c>
      <c r="D263" s="115"/>
      <c r="E263" s="18"/>
      <c r="F263" s="460"/>
      <c r="G263" s="460"/>
      <c r="H263" s="460"/>
      <c r="I263" s="460"/>
      <c r="J263" s="460"/>
      <c r="K263" s="460"/>
      <c r="L263" s="460"/>
      <c r="M263" s="460"/>
      <c r="N263" s="460"/>
      <c r="O263" s="460"/>
      <c r="P263" s="460"/>
      <c r="Q263" s="460"/>
      <c r="R263" s="460"/>
      <c r="S263" s="460"/>
      <c r="T263" s="460"/>
      <c r="U263" s="460"/>
      <c r="V263" s="460"/>
      <c r="W263" s="460"/>
      <c r="X263" s="460"/>
    </row>
    <row r="264" ht="22.5" customHeight="1">
      <c r="A264" s="417" t="s">
        <v>117</v>
      </c>
      <c r="B264" s="56" t="s">
        <v>51</v>
      </c>
      <c r="C264" s="115">
        <v>4.32415E7</v>
      </c>
      <c r="D264" s="115" t="s">
        <v>7</v>
      </c>
      <c r="E264" s="417">
        <f>SUM(C265:C267)</f>
        <v>98785500</v>
      </c>
      <c r="F264" s="460"/>
      <c r="G264" s="460"/>
      <c r="H264" s="460"/>
      <c r="I264" s="460"/>
      <c r="J264" s="460"/>
      <c r="K264" s="460"/>
      <c r="L264" s="460"/>
      <c r="M264" s="460"/>
      <c r="N264" s="460"/>
      <c r="O264" s="460"/>
      <c r="P264" s="460"/>
      <c r="Q264" s="460"/>
      <c r="R264" s="460"/>
      <c r="S264" s="460"/>
      <c r="T264" s="460"/>
      <c r="U264" s="460"/>
      <c r="V264" s="460"/>
      <c r="W264" s="460"/>
      <c r="X264" s="460"/>
    </row>
    <row r="265" ht="22.5" customHeight="1">
      <c r="A265" s="18"/>
      <c r="B265" s="56" t="s">
        <v>53</v>
      </c>
      <c r="C265" s="115">
        <v>2.2701E7</v>
      </c>
      <c r="D265" s="115"/>
      <c r="E265" s="18"/>
      <c r="F265" s="460"/>
      <c r="G265" s="460"/>
      <c r="H265" s="460"/>
      <c r="I265" s="460"/>
      <c r="J265" s="460"/>
      <c r="K265" s="460"/>
      <c r="L265" s="460"/>
      <c r="M265" s="460"/>
      <c r="N265" s="460"/>
      <c r="O265" s="460"/>
      <c r="P265" s="460"/>
      <c r="Q265" s="460"/>
      <c r="R265" s="460"/>
      <c r="S265" s="460"/>
      <c r="T265" s="460"/>
      <c r="U265" s="460"/>
      <c r="V265" s="460"/>
      <c r="W265" s="460"/>
      <c r="X265" s="460"/>
    </row>
    <row r="266" ht="22.5" customHeight="1">
      <c r="A266" s="18"/>
      <c r="B266" s="56" t="s">
        <v>55</v>
      </c>
      <c r="C266" s="115">
        <v>3.68855E7</v>
      </c>
      <c r="D266" s="115"/>
      <c r="E266" s="18"/>
      <c r="F266" s="460"/>
      <c r="G266" s="460"/>
      <c r="H266" s="460"/>
      <c r="I266" s="460"/>
      <c r="J266" s="460"/>
      <c r="K266" s="460"/>
      <c r="L266" s="460"/>
      <c r="M266" s="460"/>
      <c r="N266" s="460"/>
      <c r="O266" s="460"/>
      <c r="P266" s="460"/>
      <c r="Q266" s="460"/>
      <c r="R266" s="460"/>
      <c r="S266" s="460"/>
      <c r="T266" s="460"/>
      <c r="U266" s="460"/>
      <c r="V266" s="460"/>
      <c r="W266" s="460"/>
      <c r="X266" s="460"/>
    </row>
    <row r="267" ht="22.5" customHeight="1">
      <c r="A267" s="18"/>
      <c r="B267" s="56" t="s">
        <v>57</v>
      </c>
      <c r="C267" s="119">
        <v>3.9199E7</v>
      </c>
      <c r="D267" s="115"/>
      <c r="E267" s="18"/>
      <c r="F267" s="491"/>
      <c r="G267" s="460"/>
      <c r="H267" s="460"/>
      <c r="I267" s="460"/>
      <c r="J267" s="460"/>
      <c r="K267" s="460"/>
      <c r="L267" s="460"/>
      <c r="M267" s="460"/>
      <c r="N267" s="460"/>
      <c r="O267" s="460"/>
      <c r="P267" s="460"/>
      <c r="Q267" s="460"/>
      <c r="R267" s="460"/>
      <c r="S267" s="460"/>
      <c r="T267" s="460"/>
      <c r="U267" s="460"/>
      <c r="V267" s="460"/>
      <c r="W267" s="460"/>
      <c r="X267" s="460"/>
    </row>
    <row r="268" ht="22.5" customHeight="1">
      <c r="A268" s="417" t="s">
        <v>118</v>
      </c>
      <c r="B268" s="129" t="s">
        <v>51</v>
      </c>
      <c r="C268" s="115">
        <v>6.04495E7</v>
      </c>
      <c r="D268" s="115" t="s">
        <v>7</v>
      </c>
      <c r="E268" s="417">
        <f>sum(C271)</f>
        <v>59933000</v>
      </c>
      <c r="F268" s="460"/>
      <c r="G268" s="460"/>
      <c r="H268" s="460"/>
      <c r="I268" s="460"/>
      <c r="J268" s="460"/>
      <c r="K268" s="460"/>
      <c r="L268" s="460"/>
      <c r="M268" s="460"/>
      <c r="N268" s="460"/>
      <c r="O268" s="460"/>
      <c r="P268" s="460"/>
      <c r="Q268" s="460"/>
      <c r="R268" s="460"/>
      <c r="S268" s="460"/>
      <c r="T268" s="460"/>
      <c r="U268" s="460"/>
      <c r="V268" s="460"/>
      <c r="W268" s="460"/>
      <c r="X268" s="460"/>
    </row>
    <row r="269" ht="22.5" customHeight="1">
      <c r="A269" s="18"/>
      <c r="B269" s="129" t="s">
        <v>53</v>
      </c>
      <c r="C269" s="115">
        <v>7.96055E7</v>
      </c>
      <c r="D269" s="115" t="s">
        <v>7</v>
      </c>
      <c r="E269" s="18"/>
      <c r="F269" s="460"/>
      <c r="G269" s="460"/>
      <c r="H269" s="460"/>
      <c r="I269" s="460"/>
      <c r="J269" s="460"/>
      <c r="K269" s="460"/>
      <c r="L269" s="460"/>
      <c r="M269" s="460"/>
      <c r="N269" s="460"/>
      <c r="O269" s="460"/>
      <c r="P269" s="460"/>
      <c r="Q269" s="460"/>
      <c r="R269" s="460"/>
      <c r="S269" s="460"/>
      <c r="T269" s="460"/>
      <c r="U269" s="460"/>
      <c r="V269" s="460"/>
      <c r="W269" s="460"/>
      <c r="X269" s="460"/>
    </row>
    <row r="270" ht="22.5" customHeight="1">
      <c r="A270" s="18"/>
      <c r="B270" s="129" t="s">
        <v>55</v>
      </c>
      <c r="C270" s="115">
        <v>6.74775E7</v>
      </c>
      <c r="D270" s="115" t="s">
        <v>7</v>
      </c>
      <c r="E270" s="18"/>
      <c r="F270" s="460"/>
      <c r="G270" s="460"/>
      <c r="H270" s="460"/>
      <c r="I270" s="460"/>
      <c r="J270" s="460"/>
      <c r="K270" s="460"/>
      <c r="L270" s="460"/>
      <c r="M270" s="460"/>
      <c r="N270" s="460"/>
      <c r="O270" s="460"/>
      <c r="P270" s="460"/>
      <c r="Q270" s="460"/>
      <c r="R270" s="460"/>
      <c r="S270" s="460"/>
      <c r="T270" s="460"/>
      <c r="U270" s="460"/>
      <c r="V270" s="460"/>
      <c r="W270" s="460"/>
      <c r="X270" s="460"/>
    </row>
    <row r="271" ht="22.5" customHeight="1">
      <c r="A271" s="18"/>
      <c r="B271" s="56" t="s">
        <v>57</v>
      </c>
      <c r="C271" s="115">
        <v>5.9933E7</v>
      </c>
      <c r="D271" s="115"/>
      <c r="E271" s="18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</row>
    <row r="272" ht="22.5" customHeight="1">
      <c r="A272" s="417" t="s">
        <v>119</v>
      </c>
      <c r="B272" s="56" t="s">
        <v>51</v>
      </c>
      <c r="C272" s="115">
        <v>4.07475E7</v>
      </c>
      <c r="D272" s="115" t="s">
        <v>7</v>
      </c>
      <c r="E272" s="417">
        <f>SUM(C275)</f>
        <v>28331500</v>
      </c>
      <c r="F272" s="460"/>
      <c r="G272" s="460"/>
      <c r="H272" s="460"/>
      <c r="I272" s="460"/>
      <c r="J272" s="460"/>
      <c r="K272" s="460"/>
      <c r="L272" s="460"/>
      <c r="M272" s="460"/>
      <c r="N272" s="460"/>
      <c r="O272" s="460"/>
      <c r="P272" s="460"/>
      <c r="Q272" s="460"/>
      <c r="R272" s="460"/>
      <c r="S272" s="460"/>
      <c r="T272" s="460"/>
      <c r="U272" s="460"/>
      <c r="V272" s="460"/>
      <c r="W272" s="460"/>
      <c r="X272" s="460"/>
    </row>
    <row r="273" ht="22.5" customHeight="1">
      <c r="A273" s="18"/>
      <c r="B273" s="56" t="s">
        <v>53</v>
      </c>
      <c r="C273" s="115">
        <v>3.51475E7</v>
      </c>
      <c r="D273" s="115" t="s">
        <v>7</v>
      </c>
      <c r="E273" s="18"/>
      <c r="F273" s="460"/>
      <c r="G273" s="460"/>
      <c r="H273" s="460"/>
      <c r="I273" s="460"/>
      <c r="J273" s="460"/>
      <c r="K273" s="460"/>
      <c r="L273" s="460"/>
      <c r="M273" s="460"/>
      <c r="N273" s="460"/>
      <c r="O273" s="460"/>
      <c r="P273" s="460"/>
      <c r="Q273" s="460"/>
      <c r="R273" s="460"/>
      <c r="S273" s="460"/>
      <c r="T273" s="460"/>
      <c r="U273" s="460"/>
      <c r="V273" s="460"/>
      <c r="W273" s="460"/>
      <c r="X273" s="460"/>
    </row>
    <row r="274" ht="22.5" customHeight="1">
      <c r="A274" s="18"/>
      <c r="B274" s="56" t="s">
        <v>55</v>
      </c>
      <c r="C274" s="115">
        <v>2.82195E7</v>
      </c>
      <c r="D274" s="115" t="s">
        <v>7</v>
      </c>
      <c r="E274" s="18"/>
      <c r="F274" s="460"/>
      <c r="G274" s="460"/>
      <c r="H274" s="460"/>
      <c r="I274" s="460"/>
      <c r="J274" s="460"/>
      <c r="K274" s="460"/>
      <c r="L274" s="460"/>
      <c r="M274" s="460"/>
      <c r="N274" s="460"/>
      <c r="O274" s="460"/>
      <c r="P274" s="460"/>
      <c r="Q274" s="460"/>
      <c r="R274" s="460"/>
      <c r="S274" s="460"/>
      <c r="T274" s="460"/>
      <c r="U274" s="460"/>
      <c r="V274" s="460"/>
      <c r="W274" s="460"/>
      <c r="X274" s="460"/>
    </row>
    <row r="275" ht="22.5" customHeight="1">
      <c r="A275" s="18"/>
      <c r="B275" s="56" t="s">
        <v>57</v>
      </c>
      <c r="C275" s="115">
        <v>2.83315E7</v>
      </c>
      <c r="D275" s="115"/>
      <c r="E275" s="18"/>
      <c r="F275" s="460"/>
      <c r="G275" s="460"/>
      <c r="H275" s="460"/>
      <c r="I275" s="460"/>
      <c r="J275" s="460"/>
      <c r="K275" s="460"/>
      <c r="L275" s="460"/>
      <c r="M275" s="460"/>
      <c r="N275" s="460"/>
      <c r="O275" s="460"/>
      <c r="P275" s="460"/>
      <c r="Q275" s="460"/>
      <c r="R275" s="460"/>
      <c r="S275" s="460"/>
      <c r="T275" s="460"/>
      <c r="U275" s="460"/>
      <c r="V275" s="460"/>
      <c r="W275" s="460"/>
      <c r="X275" s="460"/>
    </row>
    <row r="276" ht="22.5" customHeight="1">
      <c r="A276" s="417" t="s">
        <v>120</v>
      </c>
      <c r="B276" s="56" t="s">
        <v>51</v>
      </c>
      <c r="C276" s="119">
        <v>1.21969E8</v>
      </c>
      <c r="D276" s="115" t="s">
        <v>7</v>
      </c>
      <c r="E276" s="417">
        <f>SUM(C278:C279)</f>
        <v>126097000</v>
      </c>
      <c r="F276" s="460"/>
      <c r="G276" s="460"/>
      <c r="H276" s="460"/>
      <c r="I276" s="460"/>
      <c r="J276" s="460"/>
      <c r="K276" s="460"/>
      <c r="L276" s="460"/>
      <c r="M276" s="460"/>
      <c r="N276" s="460"/>
      <c r="O276" s="460"/>
      <c r="P276" s="460"/>
      <c r="Q276" s="460"/>
      <c r="R276" s="460"/>
      <c r="S276" s="460"/>
      <c r="T276" s="460"/>
      <c r="U276" s="460"/>
      <c r="V276" s="460"/>
      <c r="W276" s="460"/>
      <c r="X276" s="460"/>
    </row>
    <row r="277" ht="22.5" customHeight="1">
      <c r="A277" s="18"/>
      <c r="B277" s="56" t="s">
        <v>53</v>
      </c>
      <c r="C277" s="115">
        <v>5.2493E7</v>
      </c>
      <c r="D277" s="115" t="s">
        <v>7</v>
      </c>
      <c r="E277" s="18"/>
      <c r="F277" s="460"/>
      <c r="G277" s="460"/>
      <c r="H277" s="460"/>
      <c r="I277" s="460"/>
      <c r="J277" s="460"/>
      <c r="K277" s="460"/>
      <c r="L277" s="460"/>
      <c r="M277" s="460"/>
      <c r="N277" s="460"/>
      <c r="O277" s="460"/>
      <c r="P277" s="460"/>
      <c r="Q277" s="460"/>
      <c r="R277" s="460"/>
      <c r="S277" s="460"/>
      <c r="T277" s="460"/>
      <c r="U277" s="460"/>
      <c r="V277" s="460"/>
      <c r="W277" s="460"/>
      <c r="X277" s="460"/>
    </row>
    <row r="278" ht="22.5" customHeight="1">
      <c r="A278" s="18"/>
      <c r="B278" s="56" t="s">
        <v>55</v>
      </c>
      <c r="C278" s="115">
        <v>7.6469E7</v>
      </c>
      <c r="D278" s="115"/>
      <c r="E278" s="18"/>
      <c r="F278" s="460"/>
      <c r="G278" s="460"/>
      <c r="H278" s="460"/>
      <c r="I278" s="460"/>
      <c r="J278" s="460"/>
      <c r="K278" s="460"/>
      <c r="L278" s="460"/>
      <c r="M278" s="460"/>
      <c r="N278" s="460"/>
      <c r="O278" s="460"/>
      <c r="P278" s="460"/>
      <c r="Q278" s="460"/>
      <c r="R278" s="460"/>
      <c r="S278" s="460"/>
      <c r="T278" s="460"/>
      <c r="U278" s="460"/>
      <c r="V278" s="460"/>
      <c r="W278" s="460"/>
      <c r="X278" s="460"/>
    </row>
    <row r="279" ht="22.5" customHeight="1">
      <c r="A279" s="18"/>
      <c r="B279" s="56" t="s">
        <v>57</v>
      </c>
      <c r="C279" s="119">
        <v>4.9628E7</v>
      </c>
      <c r="D279" s="115"/>
      <c r="E279" s="18"/>
      <c r="F279" s="460"/>
      <c r="G279" s="460"/>
      <c r="H279" s="460"/>
      <c r="I279" s="460"/>
      <c r="J279" s="460"/>
      <c r="K279" s="460"/>
      <c r="L279" s="460"/>
      <c r="M279" s="460"/>
      <c r="N279" s="460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</row>
    <row r="280" ht="22.5" customHeight="1">
      <c r="A280" s="417" t="s">
        <v>121</v>
      </c>
      <c r="B280" s="56" t="s">
        <v>51</v>
      </c>
      <c r="C280" s="115">
        <v>2.2891E7</v>
      </c>
      <c r="D280" s="115"/>
      <c r="E280" s="417">
        <f>SUM(C280:C283)</f>
        <v>133357500</v>
      </c>
      <c r="F280" s="460"/>
      <c r="G280" s="460"/>
      <c r="H280" s="460"/>
      <c r="I280" s="460"/>
      <c r="J280" s="460"/>
      <c r="K280" s="460"/>
      <c r="L280" s="460"/>
      <c r="M280" s="460"/>
      <c r="N280" s="460"/>
      <c r="O280" s="460"/>
      <c r="P280" s="460"/>
      <c r="Q280" s="460"/>
      <c r="R280" s="460"/>
      <c r="S280" s="460"/>
      <c r="T280" s="460"/>
      <c r="U280" s="460"/>
      <c r="V280" s="460"/>
      <c r="W280" s="460"/>
      <c r="X280" s="460"/>
    </row>
    <row r="281" ht="22.5" customHeight="1">
      <c r="A281" s="18"/>
      <c r="B281" s="56" t="s">
        <v>53</v>
      </c>
      <c r="C281" s="247">
        <v>2.79755E7</v>
      </c>
      <c r="D281" s="115"/>
      <c r="E281" s="18"/>
      <c r="F281" s="460"/>
      <c r="G281" s="460"/>
      <c r="H281" s="460"/>
      <c r="I281" s="460"/>
      <c r="J281" s="460"/>
      <c r="K281" s="460"/>
      <c r="L281" s="460"/>
      <c r="M281" s="460"/>
      <c r="N281" s="460"/>
      <c r="O281" s="460"/>
      <c r="P281" s="460"/>
      <c r="Q281" s="460"/>
      <c r="R281" s="460"/>
      <c r="S281" s="460"/>
      <c r="T281" s="460"/>
      <c r="U281" s="460"/>
      <c r="V281" s="460"/>
      <c r="W281" s="460"/>
      <c r="X281" s="460"/>
    </row>
    <row r="282" ht="22.5" customHeight="1">
      <c r="A282" s="18"/>
      <c r="B282" s="56" t="s">
        <v>55</v>
      </c>
      <c r="C282" s="115">
        <v>3.66575E7</v>
      </c>
      <c r="D282" s="115"/>
      <c r="E282" s="18"/>
      <c r="F282" s="460"/>
      <c r="G282" s="460"/>
      <c r="H282" s="460"/>
      <c r="I282" s="460"/>
      <c r="J282" s="460"/>
      <c r="K282" s="460"/>
      <c r="L282" s="460"/>
      <c r="M282" s="460"/>
      <c r="N282" s="460"/>
      <c r="O282" s="460"/>
      <c r="P282" s="460"/>
      <c r="Q282" s="460"/>
      <c r="R282" s="460"/>
      <c r="S282" s="460"/>
      <c r="T282" s="460"/>
      <c r="U282" s="460"/>
      <c r="V282" s="460"/>
      <c r="W282" s="460"/>
      <c r="X282" s="460"/>
    </row>
    <row r="283" ht="22.5" customHeight="1">
      <c r="A283" s="18"/>
      <c r="B283" s="56" t="s">
        <v>57</v>
      </c>
      <c r="C283" s="115">
        <v>4.58335E7</v>
      </c>
      <c r="D283" s="115"/>
      <c r="E283" s="18"/>
      <c r="F283" s="460"/>
      <c r="G283" s="460"/>
      <c r="H283" s="460"/>
      <c r="I283" s="460"/>
      <c r="J283" s="460"/>
      <c r="K283" s="460"/>
      <c r="L283" s="460"/>
      <c r="M283" s="460"/>
      <c r="N283" s="460"/>
      <c r="O283" s="460"/>
      <c r="P283" s="460"/>
      <c r="Q283" s="460"/>
      <c r="R283" s="460"/>
      <c r="S283" s="460"/>
      <c r="T283" s="460"/>
      <c r="U283" s="460"/>
      <c r="V283" s="460"/>
      <c r="W283" s="460"/>
      <c r="X283" s="460"/>
    </row>
    <row r="284" ht="22.5" customHeight="1">
      <c r="A284" s="417" t="s">
        <v>122</v>
      </c>
      <c r="B284" s="56" t="s">
        <v>51</v>
      </c>
      <c r="C284" s="115">
        <v>6.98685E7</v>
      </c>
      <c r="D284" s="115"/>
      <c r="E284" s="417">
        <f>SUM(C284:C287)</f>
        <v>211223200</v>
      </c>
      <c r="F284" s="460"/>
      <c r="G284" s="460"/>
      <c r="H284" s="460"/>
      <c r="I284" s="460"/>
      <c r="J284" s="460"/>
      <c r="K284" s="460"/>
      <c r="L284" s="460"/>
      <c r="M284" s="460"/>
      <c r="N284" s="460"/>
      <c r="O284" s="460"/>
      <c r="P284" s="460"/>
      <c r="Q284" s="460"/>
      <c r="R284" s="460"/>
      <c r="S284" s="460"/>
      <c r="T284" s="460"/>
      <c r="U284" s="460"/>
      <c r="V284" s="460"/>
      <c r="W284" s="460"/>
      <c r="X284" s="460"/>
    </row>
    <row r="285" ht="22.5" customHeight="1">
      <c r="A285" s="18"/>
      <c r="B285" s="56" t="s">
        <v>53</v>
      </c>
      <c r="C285" s="119">
        <v>5.49665E7</v>
      </c>
      <c r="D285" s="115"/>
      <c r="E285" s="18"/>
      <c r="F285" s="460"/>
      <c r="G285" s="460"/>
      <c r="H285" s="460"/>
      <c r="I285" s="460"/>
      <c r="J285" s="460"/>
      <c r="K285" s="460"/>
      <c r="L285" s="460"/>
      <c r="M285" s="460"/>
      <c r="N285" s="460"/>
      <c r="O285" s="460"/>
      <c r="P285" s="460"/>
      <c r="Q285" s="460"/>
      <c r="R285" s="460"/>
      <c r="S285" s="460"/>
      <c r="T285" s="460"/>
      <c r="U285" s="460"/>
      <c r="V285" s="460"/>
      <c r="W285" s="460"/>
      <c r="X285" s="460"/>
    </row>
    <row r="286" ht="22.5" customHeight="1">
      <c r="A286" s="18"/>
      <c r="B286" s="56" t="s">
        <v>55</v>
      </c>
      <c r="C286" s="119">
        <v>5.83792E7</v>
      </c>
      <c r="D286" s="115"/>
      <c r="E286" s="18"/>
      <c r="F286" s="460"/>
      <c r="G286" s="460"/>
      <c r="H286" s="460"/>
      <c r="I286" s="460"/>
      <c r="J286" s="460"/>
      <c r="K286" s="460"/>
      <c r="L286" s="460"/>
      <c r="M286" s="460"/>
      <c r="N286" s="460"/>
      <c r="O286" s="460"/>
      <c r="P286" s="460"/>
      <c r="Q286" s="460"/>
      <c r="R286" s="460"/>
      <c r="S286" s="460"/>
      <c r="T286" s="460"/>
      <c r="U286" s="460"/>
      <c r="V286" s="460"/>
      <c r="W286" s="460"/>
      <c r="X286" s="460"/>
    </row>
    <row r="287" ht="22.5" customHeight="1">
      <c r="A287" s="18"/>
      <c r="B287" s="56" t="s">
        <v>57</v>
      </c>
      <c r="C287" s="115">
        <v>2.8009E7</v>
      </c>
      <c r="D287" s="115"/>
      <c r="E287" s="18"/>
      <c r="F287" s="460"/>
      <c r="G287" s="460"/>
      <c r="H287" s="460"/>
      <c r="I287" s="460"/>
      <c r="J287" s="460"/>
      <c r="K287" s="460"/>
      <c r="L287" s="460"/>
      <c r="M287" s="460"/>
      <c r="N287" s="460"/>
      <c r="O287" s="460"/>
      <c r="P287" s="460"/>
      <c r="Q287" s="460"/>
      <c r="R287" s="460"/>
      <c r="S287" s="460"/>
      <c r="T287" s="460"/>
      <c r="U287" s="460"/>
      <c r="V287" s="460"/>
      <c r="W287" s="460"/>
      <c r="X287" s="460"/>
    </row>
    <row r="288" ht="22.5" customHeight="1">
      <c r="A288" s="417" t="s">
        <v>123</v>
      </c>
      <c r="B288" s="56" t="s">
        <v>51</v>
      </c>
      <c r="C288" s="115">
        <v>1.7948E7</v>
      </c>
      <c r="D288" s="115" t="s">
        <v>7</v>
      </c>
      <c r="E288" s="417">
        <f>SUM(C290:C291)</f>
        <v>42206500</v>
      </c>
      <c r="F288" s="460"/>
      <c r="G288" s="460"/>
      <c r="H288" s="460"/>
      <c r="I288" s="460"/>
      <c r="J288" s="460"/>
      <c r="K288" s="460"/>
      <c r="L288" s="460"/>
      <c r="M288" s="460"/>
      <c r="N288" s="460"/>
      <c r="O288" s="460"/>
      <c r="P288" s="460"/>
      <c r="Q288" s="460"/>
      <c r="R288" s="460"/>
      <c r="S288" s="460"/>
      <c r="T288" s="460"/>
      <c r="U288" s="460"/>
      <c r="V288" s="460"/>
      <c r="W288" s="460"/>
      <c r="X288" s="460"/>
    </row>
    <row r="289" ht="22.5" customHeight="1">
      <c r="A289" s="18"/>
      <c r="B289" s="56" t="s">
        <v>53</v>
      </c>
      <c r="C289" s="115">
        <v>6259000.0</v>
      </c>
      <c r="D289" s="115" t="s">
        <v>7</v>
      </c>
      <c r="E289" s="18"/>
      <c r="F289" s="460"/>
      <c r="G289" s="460"/>
      <c r="H289" s="460"/>
      <c r="I289" s="460"/>
      <c r="J289" s="460"/>
      <c r="K289" s="460"/>
      <c r="L289" s="460"/>
      <c r="M289" s="460"/>
      <c r="N289" s="460"/>
      <c r="O289" s="460"/>
      <c r="P289" s="460"/>
      <c r="Q289" s="460"/>
      <c r="R289" s="460"/>
      <c r="S289" s="460"/>
      <c r="T289" s="460"/>
      <c r="U289" s="460"/>
      <c r="V289" s="460"/>
      <c r="W289" s="460"/>
      <c r="X289" s="460"/>
    </row>
    <row r="290" ht="22.5" customHeight="1">
      <c r="A290" s="18"/>
      <c r="B290" s="56" t="s">
        <v>55</v>
      </c>
      <c r="C290" s="115">
        <v>2.0607E7</v>
      </c>
      <c r="D290" s="115"/>
      <c r="E290" s="18"/>
      <c r="F290" s="460"/>
      <c r="G290" s="460"/>
      <c r="H290" s="460"/>
      <c r="I290" s="460"/>
      <c r="J290" s="460"/>
      <c r="K290" s="460"/>
      <c r="L290" s="460"/>
      <c r="M290" s="460"/>
      <c r="N290" s="460"/>
      <c r="O290" s="460"/>
      <c r="P290" s="460"/>
      <c r="Q290" s="460"/>
      <c r="R290" s="460"/>
      <c r="S290" s="460"/>
      <c r="T290" s="460"/>
      <c r="U290" s="460"/>
      <c r="V290" s="460"/>
      <c r="W290" s="460"/>
      <c r="X290" s="460"/>
    </row>
    <row r="291" ht="22.5" customHeight="1">
      <c r="A291" s="18"/>
      <c r="B291" s="56" t="s">
        <v>57</v>
      </c>
      <c r="C291" s="115">
        <v>2.15995E7</v>
      </c>
      <c r="D291" s="115"/>
      <c r="E291" s="18"/>
      <c r="F291" s="460"/>
      <c r="G291" s="460"/>
      <c r="H291" s="460"/>
      <c r="I291" s="460"/>
      <c r="J291" s="460"/>
      <c r="K291" s="460"/>
      <c r="L291" s="460"/>
      <c r="M291" s="460"/>
      <c r="N291" s="460"/>
      <c r="O291" s="460"/>
      <c r="P291" s="460"/>
      <c r="Q291" s="460"/>
      <c r="R291" s="460"/>
      <c r="S291" s="460"/>
      <c r="T291" s="460"/>
      <c r="U291" s="460"/>
      <c r="V291" s="460"/>
      <c r="W291" s="460"/>
      <c r="X291" s="460"/>
    </row>
    <row r="292" ht="22.5" customHeight="1">
      <c r="A292" s="417" t="s">
        <v>124</v>
      </c>
      <c r="B292" s="129" t="s">
        <v>71</v>
      </c>
      <c r="C292" s="115">
        <v>6.16145E7</v>
      </c>
      <c r="D292" s="115" t="s">
        <v>7</v>
      </c>
      <c r="E292" s="417">
        <f>SUM(C293:C296)</f>
        <v>187226500</v>
      </c>
      <c r="F292" s="460"/>
      <c r="G292" s="460"/>
      <c r="H292" s="460"/>
      <c r="I292" s="460"/>
      <c r="J292" s="53"/>
      <c r="K292" s="460"/>
      <c r="L292" s="460"/>
      <c r="M292" s="460"/>
      <c r="N292" s="460"/>
      <c r="O292" s="460"/>
      <c r="P292" s="460"/>
      <c r="Q292" s="460"/>
      <c r="R292" s="460"/>
      <c r="S292" s="460"/>
      <c r="T292" s="460"/>
      <c r="U292" s="460"/>
      <c r="V292" s="460"/>
      <c r="W292" s="460"/>
      <c r="X292" s="460"/>
    </row>
    <row r="293" ht="22.5" customHeight="1">
      <c r="A293" s="18"/>
      <c r="B293" s="56" t="s">
        <v>51</v>
      </c>
      <c r="C293" s="115">
        <v>7.7077E7</v>
      </c>
      <c r="D293" s="115"/>
      <c r="E293" s="18"/>
      <c r="F293" s="460"/>
      <c r="G293" s="460"/>
      <c r="H293" s="460"/>
      <c r="I293" s="460"/>
      <c r="J293" s="460"/>
      <c r="K293" s="460"/>
      <c r="L293" s="460"/>
      <c r="M293" s="460"/>
      <c r="N293" s="460"/>
      <c r="O293" s="460"/>
      <c r="P293" s="460"/>
      <c r="Q293" s="460"/>
      <c r="R293" s="460"/>
      <c r="S293" s="460"/>
      <c r="T293" s="460"/>
      <c r="U293" s="460"/>
      <c r="V293" s="460"/>
      <c r="W293" s="460"/>
      <c r="X293" s="460"/>
    </row>
    <row r="294" ht="22.5" customHeight="1">
      <c r="A294" s="18"/>
      <c r="B294" s="56" t="s">
        <v>53</v>
      </c>
      <c r="C294" s="115">
        <v>3.8971E7</v>
      </c>
      <c r="D294" s="48"/>
      <c r="E294" s="18"/>
      <c r="F294" s="460"/>
      <c r="G294" s="460"/>
      <c r="H294" s="460"/>
      <c r="I294" s="460"/>
      <c r="J294" s="460"/>
      <c r="K294" s="460"/>
      <c r="L294" s="460"/>
      <c r="M294" s="460"/>
      <c r="N294" s="460"/>
      <c r="O294" s="460"/>
      <c r="P294" s="460"/>
      <c r="Q294" s="460"/>
      <c r="R294" s="460"/>
      <c r="S294" s="460"/>
      <c r="T294" s="460"/>
      <c r="U294" s="460"/>
      <c r="V294" s="460"/>
      <c r="W294" s="460"/>
      <c r="X294" s="460"/>
    </row>
    <row r="295" ht="22.5" customHeight="1">
      <c r="A295" s="18"/>
      <c r="B295" s="56" t="s">
        <v>55</v>
      </c>
      <c r="C295" s="119">
        <v>4.22875E7</v>
      </c>
      <c r="D295" s="48"/>
      <c r="E295" s="18"/>
      <c r="F295" s="460"/>
      <c r="G295" s="460"/>
      <c r="H295" s="460"/>
      <c r="I295" s="460"/>
      <c r="J295" s="460"/>
      <c r="K295" s="460"/>
      <c r="L295" s="460"/>
      <c r="M295" s="460"/>
      <c r="N295" s="460"/>
      <c r="O295" s="460"/>
      <c r="P295" s="460"/>
      <c r="Q295" s="460"/>
      <c r="R295" s="460"/>
      <c r="S295" s="460"/>
      <c r="T295" s="460"/>
      <c r="U295" s="460"/>
      <c r="V295" s="460"/>
      <c r="W295" s="460"/>
      <c r="X295" s="460"/>
    </row>
    <row r="296" ht="22.5" customHeight="1">
      <c r="A296" s="18"/>
      <c r="B296" s="56" t="s">
        <v>57</v>
      </c>
      <c r="C296" s="119">
        <v>2.8891E7</v>
      </c>
      <c r="D296" s="48"/>
      <c r="E296" s="18"/>
      <c r="F296" s="491"/>
      <c r="G296" s="460"/>
      <c r="H296" s="460"/>
      <c r="I296" s="460"/>
      <c r="J296" s="460"/>
      <c r="K296" s="460"/>
      <c r="L296" s="460"/>
      <c r="M296" s="460"/>
      <c r="N296" s="460"/>
      <c r="O296" s="460"/>
      <c r="P296" s="460"/>
      <c r="Q296" s="460"/>
      <c r="R296" s="460"/>
      <c r="S296" s="460"/>
      <c r="T296" s="460"/>
      <c r="U296" s="460"/>
      <c r="V296" s="460"/>
      <c r="W296" s="460"/>
      <c r="X296" s="460"/>
    </row>
    <row r="297" ht="22.5" customHeight="1">
      <c r="A297" s="417" t="s">
        <v>126</v>
      </c>
      <c r="B297" s="56" t="s">
        <v>51</v>
      </c>
      <c r="C297" s="115">
        <v>5.9617E7</v>
      </c>
      <c r="D297" s="115" t="s">
        <v>7</v>
      </c>
      <c r="E297" s="417">
        <f>SUM(C300)</f>
        <v>51637500</v>
      </c>
      <c r="F297" s="460"/>
      <c r="G297" s="460"/>
      <c r="H297" s="460"/>
      <c r="I297" s="460"/>
      <c r="J297" s="460"/>
      <c r="K297" s="460"/>
      <c r="L297" s="460"/>
      <c r="M297" s="460"/>
      <c r="N297" s="460"/>
      <c r="O297" s="460"/>
      <c r="P297" s="460"/>
      <c r="Q297" s="460"/>
      <c r="R297" s="460"/>
      <c r="S297" s="460"/>
      <c r="T297" s="460"/>
      <c r="U297" s="460"/>
      <c r="V297" s="460"/>
      <c r="W297" s="460"/>
      <c r="X297" s="460"/>
    </row>
    <row r="298" ht="22.5" customHeight="1">
      <c r="A298" s="18"/>
      <c r="B298" s="56" t="s">
        <v>53</v>
      </c>
      <c r="C298" s="115">
        <v>5.8444E7</v>
      </c>
      <c r="D298" s="115" t="s">
        <v>7</v>
      </c>
      <c r="E298" s="18"/>
      <c r="F298" s="460"/>
      <c r="G298" s="460"/>
      <c r="H298" s="460"/>
      <c r="I298" s="460"/>
      <c r="J298" s="460"/>
      <c r="K298" s="460"/>
      <c r="L298" s="460"/>
      <c r="M298" s="460"/>
      <c r="N298" s="460"/>
      <c r="O298" s="460"/>
      <c r="P298" s="460"/>
      <c r="Q298" s="460"/>
      <c r="R298" s="460"/>
      <c r="S298" s="460"/>
      <c r="T298" s="460"/>
      <c r="U298" s="460"/>
      <c r="V298" s="460"/>
      <c r="W298" s="460"/>
      <c r="X298" s="460"/>
    </row>
    <row r="299" ht="22.5" customHeight="1">
      <c r="A299" s="18"/>
      <c r="B299" s="56" t="s">
        <v>55</v>
      </c>
      <c r="C299" s="115">
        <v>5.7049E7</v>
      </c>
      <c r="D299" s="115" t="s">
        <v>7</v>
      </c>
      <c r="E299" s="18"/>
      <c r="F299" s="460"/>
      <c r="G299" s="460"/>
      <c r="H299" s="460"/>
      <c r="I299" s="460"/>
      <c r="J299" s="460"/>
      <c r="K299" s="460"/>
      <c r="L299" s="460"/>
      <c r="M299" s="460"/>
      <c r="N299" s="460"/>
      <c r="O299" s="460"/>
      <c r="P299" s="460"/>
      <c r="Q299" s="460"/>
      <c r="R299" s="460"/>
      <c r="S299" s="460"/>
      <c r="T299" s="460"/>
      <c r="U299" s="460"/>
      <c r="V299" s="460"/>
      <c r="W299" s="460"/>
      <c r="X299" s="460"/>
    </row>
    <row r="300" ht="22.5" customHeight="1">
      <c r="A300" s="18"/>
      <c r="B300" s="56" t="s">
        <v>57</v>
      </c>
      <c r="C300" s="115">
        <v>5.16375E7</v>
      </c>
      <c r="D300" s="115"/>
      <c r="E300" s="18"/>
      <c r="F300" s="460"/>
      <c r="G300" s="460"/>
      <c r="H300" s="460"/>
      <c r="I300" s="460"/>
      <c r="J300" s="460"/>
      <c r="K300" s="460"/>
      <c r="L300" s="460"/>
      <c r="M300" s="460"/>
      <c r="N300" s="460"/>
      <c r="O300" s="460"/>
      <c r="P300" s="460"/>
      <c r="Q300" s="460"/>
      <c r="R300" s="460"/>
      <c r="S300" s="460"/>
      <c r="T300" s="460"/>
      <c r="U300" s="460"/>
      <c r="V300" s="460"/>
      <c r="W300" s="460"/>
      <c r="X300" s="460"/>
    </row>
    <row r="301" ht="22.5" customHeight="1">
      <c r="A301" s="417" t="s">
        <v>621</v>
      </c>
      <c r="B301" s="56" t="s">
        <v>51</v>
      </c>
      <c r="C301" s="115">
        <v>3.3495E7</v>
      </c>
      <c r="D301" s="115" t="s">
        <v>7</v>
      </c>
      <c r="E301" s="417">
        <f>SUM(C303:C304)</f>
        <v>21115000</v>
      </c>
      <c r="F301" s="460"/>
      <c r="G301" s="460"/>
      <c r="H301" s="460"/>
      <c r="I301" s="460"/>
      <c r="J301" s="460"/>
      <c r="K301" s="460"/>
      <c r="L301" s="460"/>
      <c r="M301" s="460"/>
      <c r="N301" s="460"/>
      <c r="O301" s="460"/>
      <c r="P301" s="460"/>
      <c r="Q301" s="460"/>
      <c r="R301" s="460"/>
      <c r="S301" s="460"/>
      <c r="T301" s="460"/>
      <c r="U301" s="460"/>
      <c r="V301" s="460"/>
      <c r="W301" s="460"/>
      <c r="X301" s="460"/>
    </row>
    <row r="302" ht="22.5" customHeight="1">
      <c r="A302" s="18"/>
      <c r="B302" s="56" t="s">
        <v>53</v>
      </c>
      <c r="C302" s="119">
        <v>1.7625E7</v>
      </c>
      <c r="D302" s="115" t="s">
        <v>7</v>
      </c>
      <c r="E302" s="18"/>
      <c r="F302" s="460"/>
      <c r="G302" s="460"/>
      <c r="H302" s="460"/>
      <c r="I302" s="460"/>
      <c r="J302" s="460"/>
      <c r="K302" s="460"/>
      <c r="L302" s="460"/>
      <c r="M302" s="460"/>
      <c r="N302" s="460"/>
      <c r="O302" s="460"/>
      <c r="P302" s="460"/>
      <c r="Q302" s="460"/>
      <c r="R302" s="460"/>
      <c r="S302" s="460"/>
      <c r="T302" s="460"/>
      <c r="U302" s="460"/>
      <c r="V302" s="460"/>
      <c r="W302" s="460"/>
      <c r="X302" s="460"/>
    </row>
    <row r="303" ht="22.5" customHeight="1">
      <c r="A303" s="18"/>
      <c r="B303" s="56" t="s">
        <v>55</v>
      </c>
      <c r="C303" s="115">
        <v>2.1115E7</v>
      </c>
      <c r="D303" s="115"/>
      <c r="E303" s="18"/>
      <c r="F303" s="460"/>
      <c r="G303" s="460"/>
      <c r="H303" s="460"/>
      <c r="I303" s="460"/>
      <c r="J303" s="460"/>
      <c r="K303" s="460"/>
      <c r="L303" s="460"/>
      <c r="M303" s="460"/>
      <c r="N303" s="460"/>
      <c r="O303" s="460"/>
      <c r="P303" s="460"/>
      <c r="Q303" s="460"/>
      <c r="R303" s="460"/>
      <c r="S303" s="460"/>
      <c r="T303" s="460"/>
      <c r="U303" s="460"/>
      <c r="V303" s="460"/>
      <c r="W303" s="460"/>
      <c r="X303" s="460"/>
    </row>
    <row r="304" ht="22.5" customHeight="1">
      <c r="A304" s="18"/>
      <c r="B304" s="56" t="s">
        <v>57</v>
      </c>
      <c r="C304" s="119">
        <v>0.0</v>
      </c>
      <c r="D304" s="115"/>
      <c r="E304" s="18"/>
      <c r="F304" s="460"/>
      <c r="G304" s="460"/>
      <c r="H304" s="460"/>
      <c r="I304" s="460"/>
      <c r="J304" s="460"/>
      <c r="K304" s="460"/>
      <c r="L304" s="460"/>
      <c r="M304" s="460"/>
      <c r="N304" s="460"/>
      <c r="O304" s="460"/>
      <c r="P304" s="460"/>
      <c r="Q304" s="460"/>
      <c r="R304" s="460"/>
      <c r="S304" s="460"/>
      <c r="T304" s="460"/>
      <c r="U304" s="460"/>
      <c r="V304" s="460"/>
      <c r="W304" s="460"/>
      <c r="X304" s="460"/>
    </row>
    <row r="305" ht="22.5" customHeight="1">
      <c r="A305" s="417" t="s">
        <v>128</v>
      </c>
      <c r="B305" s="129" t="s">
        <v>71</v>
      </c>
      <c r="C305" s="115">
        <v>4.2981E7</v>
      </c>
      <c r="D305" s="115" t="s">
        <v>7</v>
      </c>
      <c r="E305" s="417">
        <f>SUM(C306:C309)</f>
        <v>103003000</v>
      </c>
      <c r="F305" s="460"/>
      <c r="G305" s="460"/>
      <c r="H305" s="460"/>
      <c r="I305" s="460"/>
      <c r="J305" s="460"/>
      <c r="K305" s="460"/>
      <c r="L305" s="460"/>
      <c r="M305" s="460"/>
      <c r="N305" s="460"/>
      <c r="O305" s="460"/>
      <c r="P305" s="460"/>
      <c r="Q305" s="460"/>
      <c r="R305" s="460"/>
      <c r="S305" s="460"/>
      <c r="T305" s="460"/>
      <c r="U305" s="460"/>
      <c r="V305" s="460"/>
      <c r="W305" s="460"/>
      <c r="X305" s="460"/>
    </row>
    <row r="306" ht="22.5" customHeight="1">
      <c r="A306" s="18"/>
      <c r="B306" s="56" t="s">
        <v>51</v>
      </c>
      <c r="C306" s="119">
        <v>3.62215E7</v>
      </c>
      <c r="D306" s="115"/>
      <c r="E306" s="18"/>
      <c r="F306" s="460"/>
      <c r="G306" s="460"/>
      <c r="H306" s="460"/>
      <c r="I306" s="460"/>
      <c r="J306" s="460"/>
      <c r="K306" s="460"/>
      <c r="L306" s="460"/>
      <c r="M306" s="460"/>
      <c r="N306" s="460"/>
      <c r="O306" s="460"/>
      <c r="P306" s="460"/>
      <c r="Q306" s="460"/>
      <c r="R306" s="460"/>
      <c r="S306" s="460"/>
      <c r="T306" s="460"/>
      <c r="U306" s="460"/>
      <c r="V306" s="460"/>
      <c r="W306" s="460"/>
      <c r="X306" s="460"/>
    </row>
    <row r="307" ht="22.5" customHeight="1">
      <c r="A307" s="18"/>
      <c r="B307" s="56" t="s">
        <v>53</v>
      </c>
      <c r="C307" s="115">
        <v>2.1963E7</v>
      </c>
      <c r="D307" s="48"/>
      <c r="E307" s="18"/>
      <c r="F307" s="460"/>
      <c r="G307" s="460"/>
      <c r="H307" s="460"/>
      <c r="I307" s="460"/>
      <c r="J307" s="460"/>
      <c r="K307" s="460"/>
      <c r="L307" s="460"/>
      <c r="M307" s="460"/>
      <c r="N307" s="460"/>
      <c r="O307" s="460"/>
      <c r="P307" s="460"/>
      <c r="Q307" s="460"/>
      <c r="R307" s="460"/>
      <c r="S307" s="460"/>
      <c r="T307" s="460"/>
      <c r="U307" s="460"/>
      <c r="V307" s="460"/>
      <c r="W307" s="460"/>
      <c r="X307" s="460"/>
    </row>
    <row r="308" ht="22.5" customHeight="1">
      <c r="A308" s="18"/>
      <c r="B308" s="56" t="s">
        <v>55</v>
      </c>
      <c r="C308" s="119">
        <v>2.4375E7</v>
      </c>
      <c r="D308" s="48"/>
      <c r="E308" s="18"/>
      <c r="F308" s="460"/>
      <c r="G308" s="460"/>
      <c r="H308" s="460"/>
      <c r="I308" s="460"/>
      <c r="J308" s="460"/>
      <c r="K308" s="460"/>
      <c r="L308" s="460"/>
      <c r="M308" s="460"/>
      <c r="N308" s="460"/>
      <c r="O308" s="460"/>
      <c r="P308" s="460"/>
      <c r="Q308" s="460"/>
      <c r="R308" s="460"/>
      <c r="S308" s="460"/>
      <c r="T308" s="460"/>
      <c r="U308" s="460"/>
      <c r="V308" s="460"/>
      <c r="W308" s="460"/>
      <c r="X308" s="460"/>
    </row>
    <row r="309" ht="22.5" customHeight="1">
      <c r="A309" s="18"/>
      <c r="B309" s="56" t="s">
        <v>57</v>
      </c>
      <c r="C309" s="119">
        <v>2.04435E7</v>
      </c>
      <c r="D309" s="48"/>
      <c r="E309" s="18"/>
      <c r="F309" s="460"/>
      <c r="G309" s="460"/>
      <c r="H309" s="460"/>
      <c r="I309" s="460"/>
      <c r="J309" s="460"/>
      <c r="K309" s="460"/>
      <c r="L309" s="460"/>
      <c r="M309" s="460"/>
      <c r="N309" s="460"/>
      <c r="O309" s="460"/>
      <c r="P309" s="460"/>
      <c r="Q309" s="460"/>
      <c r="R309" s="460"/>
      <c r="S309" s="460"/>
      <c r="T309" s="460"/>
      <c r="U309" s="460"/>
      <c r="V309" s="460"/>
      <c r="W309" s="460"/>
      <c r="X309" s="460"/>
    </row>
    <row r="310" ht="22.5" customHeight="1">
      <c r="A310" s="417" t="s">
        <v>129</v>
      </c>
      <c r="B310" s="56" t="s">
        <v>51</v>
      </c>
      <c r="C310" s="115">
        <v>9.5233E7</v>
      </c>
      <c r="D310" s="115" t="s">
        <v>7</v>
      </c>
      <c r="E310" s="417"/>
      <c r="F310" s="460"/>
      <c r="G310" s="460"/>
      <c r="H310" s="460"/>
      <c r="I310" s="460"/>
      <c r="J310" s="460"/>
      <c r="K310" s="460"/>
      <c r="L310" s="460"/>
      <c r="M310" s="460"/>
      <c r="N310" s="460"/>
      <c r="O310" s="460"/>
      <c r="P310" s="460"/>
      <c r="Q310" s="460"/>
      <c r="R310" s="460"/>
      <c r="S310" s="460"/>
      <c r="T310" s="460"/>
      <c r="U310" s="460"/>
      <c r="V310" s="460"/>
      <c r="W310" s="460"/>
      <c r="X310" s="460"/>
    </row>
    <row r="311" ht="22.5" customHeight="1">
      <c r="A311" s="18"/>
      <c r="B311" s="56" t="s">
        <v>53</v>
      </c>
      <c r="C311" s="119">
        <v>3.6915E7</v>
      </c>
      <c r="D311" s="115" t="s">
        <v>7</v>
      </c>
      <c r="E311" s="18"/>
      <c r="F311" s="460"/>
      <c r="G311" s="460"/>
      <c r="H311" s="460"/>
      <c r="I311" s="460"/>
      <c r="J311" s="460"/>
      <c r="K311" s="460"/>
      <c r="L311" s="460"/>
      <c r="M311" s="248"/>
      <c r="N311" s="460"/>
      <c r="O311" s="460"/>
      <c r="P311" s="460"/>
      <c r="Q311" s="460"/>
      <c r="R311" s="460"/>
      <c r="S311" s="460"/>
      <c r="T311" s="460"/>
      <c r="U311" s="460"/>
      <c r="V311" s="460"/>
      <c r="W311" s="460"/>
      <c r="X311" s="460"/>
    </row>
    <row r="312" ht="22.5" customHeight="1">
      <c r="A312" s="18"/>
      <c r="B312" s="56" t="s">
        <v>55</v>
      </c>
      <c r="C312" s="115">
        <v>5.4129E7</v>
      </c>
      <c r="D312" s="115" t="s">
        <v>7</v>
      </c>
      <c r="E312" s="18"/>
      <c r="F312" s="460"/>
      <c r="G312" s="460"/>
      <c r="H312" s="460"/>
      <c r="I312" s="460"/>
      <c r="J312" s="460"/>
      <c r="K312" s="460"/>
      <c r="L312" s="460"/>
      <c r="M312" s="460"/>
      <c r="N312" s="460"/>
      <c r="O312" s="460"/>
      <c r="P312" s="460"/>
      <c r="Q312" s="460"/>
      <c r="R312" s="460"/>
      <c r="S312" s="460"/>
      <c r="T312" s="460"/>
      <c r="U312" s="460"/>
      <c r="V312" s="460"/>
      <c r="W312" s="460"/>
      <c r="X312" s="460"/>
    </row>
    <row r="313" ht="22.5" customHeight="1">
      <c r="A313" s="18"/>
      <c r="B313" s="56" t="s">
        <v>57</v>
      </c>
      <c r="C313" s="119">
        <v>4.0418E7</v>
      </c>
      <c r="D313" s="115" t="s">
        <v>7</v>
      </c>
      <c r="E313" s="18"/>
      <c r="F313" s="460"/>
      <c r="G313" s="460"/>
      <c r="H313" s="460"/>
      <c r="I313" s="460"/>
      <c r="J313" s="460"/>
      <c r="K313" s="460"/>
      <c r="L313" s="460"/>
      <c r="M313" s="460"/>
      <c r="N313" s="460"/>
      <c r="O313" s="460"/>
      <c r="P313" s="460"/>
      <c r="Q313" s="460"/>
      <c r="R313" s="460"/>
      <c r="S313" s="460"/>
      <c r="T313" s="460"/>
      <c r="U313" s="460"/>
      <c r="V313" s="460"/>
      <c r="W313" s="460"/>
      <c r="X313" s="460"/>
    </row>
    <row r="314" ht="22.5" customHeight="1">
      <c r="A314" s="492" t="s">
        <v>131</v>
      </c>
      <c r="B314" s="56" t="s">
        <v>51</v>
      </c>
      <c r="C314" s="168">
        <f>SUM(77591000-16299000)</f>
        <v>61292000</v>
      </c>
      <c r="D314" s="115" t="s">
        <v>7</v>
      </c>
      <c r="E314" s="414">
        <f>SUM(C316:C317)</f>
        <v>124816000</v>
      </c>
      <c r="F314" s="460"/>
      <c r="G314" s="460"/>
      <c r="H314" s="460"/>
      <c r="I314" s="460"/>
      <c r="J314" s="460"/>
      <c r="K314" s="460"/>
      <c r="L314" s="460"/>
      <c r="M314" s="460"/>
      <c r="N314" s="460"/>
      <c r="O314" s="460"/>
      <c r="P314" s="460"/>
      <c r="Q314" s="460"/>
      <c r="R314" s="460"/>
      <c r="S314" s="460"/>
      <c r="T314" s="460"/>
      <c r="U314" s="460"/>
      <c r="V314" s="460"/>
      <c r="W314" s="460"/>
      <c r="X314" s="460"/>
    </row>
    <row r="315" ht="22.5" customHeight="1">
      <c r="A315" s="18"/>
      <c r="B315" s="56" t="s">
        <v>53</v>
      </c>
      <c r="C315" s="168">
        <v>6.60225E7</v>
      </c>
      <c r="D315" s="115" t="s">
        <v>7</v>
      </c>
      <c r="E315" s="18"/>
      <c r="F315" s="460"/>
      <c r="G315" s="460"/>
      <c r="H315" s="460"/>
      <c r="I315" s="460"/>
      <c r="J315" s="460"/>
      <c r="K315" s="460"/>
      <c r="L315" s="460"/>
      <c r="M315" s="460"/>
      <c r="N315" s="460"/>
      <c r="O315" s="460"/>
      <c r="P315" s="460"/>
      <c r="Q315" s="460"/>
      <c r="R315" s="460"/>
      <c r="S315" s="460"/>
      <c r="T315" s="460"/>
      <c r="U315" s="460"/>
      <c r="V315" s="460"/>
      <c r="W315" s="460"/>
      <c r="X315" s="460"/>
    </row>
    <row r="316" ht="22.5" customHeight="1">
      <c r="A316" s="18"/>
      <c r="B316" s="56" t="s">
        <v>55</v>
      </c>
      <c r="C316" s="168">
        <v>6.3127E7</v>
      </c>
      <c r="D316" s="460"/>
      <c r="E316" s="18"/>
      <c r="F316" s="460"/>
      <c r="G316" s="460"/>
      <c r="H316" s="460"/>
      <c r="I316" s="460"/>
      <c r="J316" s="460"/>
      <c r="K316" s="460"/>
      <c r="L316" s="460"/>
      <c r="M316" s="460"/>
      <c r="N316" s="460"/>
      <c r="O316" s="460"/>
      <c r="P316" s="460"/>
      <c r="Q316" s="460"/>
      <c r="R316" s="460"/>
      <c r="S316" s="460"/>
      <c r="T316" s="460"/>
      <c r="U316" s="460"/>
      <c r="V316" s="460"/>
      <c r="W316" s="460"/>
      <c r="X316" s="460"/>
    </row>
    <row r="317" ht="22.5" customHeight="1">
      <c r="A317" s="22"/>
      <c r="B317" s="56" t="s">
        <v>57</v>
      </c>
      <c r="C317" s="168">
        <v>6.1689E7</v>
      </c>
      <c r="D317" s="115"/>
      <c r="E317" s="18"/>
      <c r="F317" s="460"/>
      <c r="G317" s="460"/>
      <c r="H317" s="460"/>
      <c r="I317" s="460"/>
      <c r="J317" s="460"/>
      <c r="K317" s="460"/>
      <c r="L317" s="460"/>
      <c r="M317" s="460"/>
      <c r="N317" s="460"/>
      <c r="O317" s="460"/>
      <c r="P317" s="460"/>
      <c r="Q317" s="460"/>
      <c r="R317" s="460"/>
      <c r="S317" s="460"/>
      <c r="T317" s="460"/>
      <c r="U317" s="460"/>
      <c r="V317" s="460"/>
      <c r="W317" s="460"/>
      <c r="X317" s="460"/>
    </row>
    <row r="318" ht="26.25" customHeight="1">
      <c r="A318" s="492" t="s">
        <v>130</v>
      </c>
      <c r="B318" s="447" t="s">
        <v>51</v>
      </c>
      <c r="C318" s="168">
        <v>6.88238E7</v>
      </c>
      <c r="D318" s="115" t="s">
        <v>7</v>
      </c>
      <c r="E318" s="417">
        <f>SUM(C320:C321)</f>
        <v>56340000</v>
      </c>
      <c r="F318" s="460"/>
      <c r="G318" s="460"/>
      <c r="H318" s="460"/>
      <c r="I318" s="460"/>
      <c r="J318" s="460"/>
      <c r="K318" s="460"/>
      <c r="L318" s="460"/>
      <c r="M318" s="460"/>
      <c r="N318" s="460"/>
      <c r="O318" s="460"/>
      <c r="P318" s="460"/>
      <c r="Q318" s="460"/>
      <c r="R318" s="460"/>
      <c r="S318" s="460"/>
      <c r="T318" s="460"/>
      <c r="U318" s="460"/>
      <c r="V318" s="460"/>
      <c r="W318" s="460"/>
      <c r="X318" s="460"/>
    </row>
    <row r="319" ht="26.25" customHeight="1">
      <c r="A319" s="18"/>
      <c r="B319" s="447" t="s">
        <v>53</v>
      </c>
      <c r="C319" s="168">
        <v>4.1427E7</v>
      </c>
      <c r="D319" s="115" t="s">
        <v>7</v>
      </c>
      <c r="E319" s="18"/>
      <c r="F319" s="460"/>
      <c r="G319" s="460"/>
      <c r="H319" s="460"/>
      <c r="I319" s="460"/>
      <c r="J319" s="460"/>
      <c r="K319" s="460"/>
      <c r="L319" s="460"/>
      <c r="M319" s="460"/>
      <c r="N319" s="460"/>
      <c r="O319" s="460"/>
      <c r="P319" s="460"/>
      <c r="Q319" s="460"/>
      <c r="R319" s="460"/>
      <c r="S319" s="460"/>
      <c r="T319" s="460"/>
      <c r="U319" s="460"/>
      <c r="V319" s="460"/>
      <c r="W319" s="460"/>
      <c r="X319" s="460"/>
    </row>
    <row r="320" ht="26.25" customHeight="1">
      <c r="A320" s="18"/>
      <c r="B320" s="447" t="s">
        <v>55</v>
      </c>
      <c r="C320" s="168">
        <v>2.5028E7</v>
      </c>
      <c r="D320" s="115"/>
      <c r="E320" s="18"/>
      <c r="F320" s="460"/>
      <c r="G320" s="460"/>
      <c r="H320" s="460"/>
      <c r="I320" s="460"/>
      <c r="J320" s="460"/>
      <c r="K320" s="460"/>
      <c r="L320" s="460"/>
      <c r="M320" s="460"/>
      <c r="N320" s="460"/>
      <c r="O320" s="460"/>
      <c r="P320" s="460"/>
      <c r="Q320" s="460"/>
      <c r="R320" s="460"/>
      <c r="S320" s="460"/>
      <c r="T320" s="460"/>
      <c r="U320" s="460"/>
      <c r="V320" s="460"/>
      <c r="W320" s="460"/>
      <c r="X320" s="460"/>
    </row>
    <row r="321" ht="25.5" customHeight="1">
      <c r="A321" s="22"/>
      <c r="B321" s="447" t="s">
        <v>57</v>
      </c>
      <c r="C321" s="418">
        <v>3.1312E7</v>
      </c>
      <c r="D321" s="115"/>
      <c r="E321" s="18"/>
      <c r="F321" s="460"/>
      <c r="G321" s="460"/>
      <c r="H321" s="190" t="s">
        <v>50</v>
      </c>
      <c r="I321" s="460"/>
      <c r="J321" s="460"/>
      <c r="K321" s="460"/>
      <c r="L321" s="460"/>
      <c r="M321" s="460"/>
      <c r="N321" s="460"/>
      <c r="O321" s="460"/>
      <c r="P321" s="460"/>
      <c r="Q321" s="460"/>
      <c r="R321" s="460"/>
      <c r="S321" s="460"/>
      <c r="T321" s="460"/>
      <c r="U321" s="460"/>
      <c r="V321" s="460"/>
      <c r="W321" s="460"/>
      <c r="X321" s="460"/>
    </row>
    <row r="322" ht="24.0" customHeight="1">
      <c r="A322" s="492" t="s">
        <v>136</v>
      </c>
      <c r="B322" s="56" t="s">
        <v>51</v>
      </c>
      <c r="C322" s="168">
        <f>SUM(72507000-4832500-40000000)</f>
        <v>27674500</v>
      </c>
      <c r="D322" s="172"/>
      <c r="E322" s="414">
        <f>sum(C322:D325)</f>
        <v>92503000</v>
      </c>
      <c r="F322" s="460"/>
      <c r="G322" s="460"/>
      <c r="H322" s="460"/>
      <c r="I322" s="460"/>
      <c r="J322" s="460"/>
      <c r="K322" s="460"/>
      <c r="L322" s="460"/>
      <c r="M322" s="460"/>
      <c r="N322" s="460"/>
      <c r="O322" s="460"/>
      <c r="P322" s="460"/>
      <c r="Q322" s="460"/>
      <c r="R322" s="460"/>
      <c r="S322" s="460"/>
      <c r="T322" s="460"/>
      <c r="U322" s="460"/>
      <c r="V322" s="460"/>
      <c r="W322" s="460"/>
      <c r="X322" s="460"/>
    </row>
    <row r="323" ht="25.5" customHeight="1">
      <c r="A323" s="18"/>
      <c r="B323" s="56" t="s">
        <v>53</v>
      </c>
      <c r="C323" s="168">
        <v>3.7063E7</v>
      </c>
      <c r="D323" s="158"/>
      <c r="E323" s="18"/>
      <c r="F323" s="460"/>
      <c r="G323" s="460"/>
      <c r="H323" s="460"/>
      <c r="I323" s="460"/>
      <c r="J323" s="460"/>
      <c r="K323" s="460"/>
      <c r="L323" s="460"/>
      <c r="M323" s="460"/>
      <c r="N323" s="460"/>
      <c r="O323" s="460"/>
      <c r="P323" s="460"/>
      <c r="Q323" s="460"/>
      <c r="R323" s="460"/>
      <c r="S323" s="460"/>
      <c r="T323" s="460"/>
      <c r="U323" s="460"/>
      <c r="V323" s="460"/>
      <c r="W323" s="460"/>
      <c r="X323" s="460"/>
    </row>
    <row r="324" ht="25.5" customHeight="1">
      <c r="A324" s="18"/>
      <c r="B324" s="56" t="s">
        <v>55</v>
      </c>
      <c r="C324" s="168">
        <v>2.24055E7</v>
      </c>
      <c r="D324" s="158"/>
      <c r="E324" s="18"/>
      <c r="F324" s="460"/>
      <c r="G324" s="460"/>
      <c r="H324" s="460"/>
      <c r="I324" s="460"/>
      <c r="J324" s="460"/>
      <c r="K324" s="460"/>
      <c r="L324" s="460"/>
      <c r="M324" s="460"/>
      <c r="N324" s="460"/>
      <c r="O324" s="460"/>
      <c r="P324" s="460"/>
      <c r="Q324" s="460"/>
      <c r="R324" s="460"/>
      <c r="S324" s="460"/>
      <c r="T324" s="460"/>
      <c r="U324" s="460"/>
      <c r="V324" s="460"/>
      <c r="W324" s="460"/>
      <c r="X324" s="460"/>
    </row>
    <row r="325" ht="24.0" customHeight="1">
      <c r="A325" s="22"/>
      <c r="B325" s="56" t="s">
        <v>57</v>
      </c>
      <c r="C325" s="168">
        <v>5360000.0</v>
      </c>
      <c r="D325" s="34"/>
      <c r="E325" s="22"/>
      <c r="F325" s="460"/>
      <c r="G325" s="460"/>
      <c r="H325" s="460"/>
      <c r="I325" s="460"/>
      <c r="J325" s="460"/>
      <c r="K325" s="460"/>
      <c r="L325" s="460"/>
      <c r="M325" s="460"/>
      <c r="N325" s="460"/>
      <c r="O325" s="460"/>
      <c r="P325" s="460"/>
      <c r="Q325" s="460"/>
      <c r="R325" s="460"/>
      <c r="S325" s="460"/>
      <c r="T325" s="460"/>
      <c r="U325" s="460"/>
      <c r="V325" s="460"/>
      <c r="W325" s="460"/>
      <c r="X325" s="460"/>
    </row>
    <row r="326" ht="24.75" customHeight="1">
      <c r="A326" s="492" t="s">
        <v>138</v>
      </c>
      <c r="B326" s="284" t="s">
        <v>622</v>
      </c>
      <c r="C326" s="168">
        <f>SUM(45446000-30000000)</f>
        <v>15446000</v>
      </c>
      <c r="D326" s="115"/>
      <c r="E326" s="414">
        <f>sum(C326:C330)</f>
        <v>108517000</v>
      </c>
      <c r="F326" s="460"/>
      <c r="G326" s="460"/>
      <c r="H326" s="460"/>
      <c r="I326" s="460"/>
      <c r="J326" s="460"/>
      <c r="K326" s="460"/>
      <c r="L326" s="460"/>
      <c r="M326" s="460"/>
      <c r="N326" s="460"/>
      <c r="O326" s="460"/>
      <c r="P326" s="460"/>
      <c r="Q326" s="460"/>
      <c r="R326" s="460"/>
      <c r="S326" s="460"/>
      <c r="T326" s="460"/>
      <c r="U326" s="460"/>
      <c r="V326" s="460"/>
      <c r="W326" s="460"/>
      <c r="X326" s="460"/>
    </row>
    <row r="327" ht="23.25" customHeight="1">
      <c r="A327" s="18"/>
      <c r="B327" s="56" t="s">
        <v>51</v>
      </c>
      <c r="C327" s="168">
        <v>2.7464E7</v>
      </c>
      <c r="D327" s="115"/>
      <c r="E327" s="18"/>
      <c r="F327" s="460"/>
      <c r="G327" s="460"/>
      <c r="H327" s="460"/>
      <c r="I327" s="460"/>
      <c r="J327" s="460"/>
      <c r="K327" s="460"/>
      <c r="L327" s="460"/>
      <c r="M327" s="460"/>
      <c r="N327" s="460"/>
      <c r="O327" s="460"/>
      <c r="P327" s="460"/>
      <c r="Q327" s="460"/>
      <c r="R327" s="460"/>
      <c r="S327" s="460"/>
      <c r="T327" s="460"/>
      <c r="U327" s="460"/>
      <c r="V327" s="460"/>
      <c r="W327" s="460"/>
      <c r="X327" s="460"/>
    </row>
    <row r="328" ht="26.25" customHeight="1">
      <c r="A328" s="18"/>
      <c r="B328" s="56" t="s">
        <v>53</v>
      </c>
      <c r="C328" s="168">
        <v>2.6384E7</v>
      </c>
      <c r="D328" s="115"/>
      <c r="E328" s="18"/>
      <c r="F328" s="460"/>
      <c r="G328" s="460"/>
      <c r="H328" s="460"/>
      <c r="I328" s="460"/>
      <c r="J328" s="460"/>
      <c r="K328" s="460"/>
      <c r="L328" s="460"/>
      <c r="M328" s="460"/>
      <c r="N328" s="460"/>
      <c r="O328" s="460"/>
      <c r="P328" s="460"/>
      <c r="Q328" s="460"/>
      <c r="R328" s="460"/>
      <c r="S328" s="460"/>
      <c r="T328" s="460"/>
      <c r="U328" s="460"/>
      <c r="V328" s="460"/>
      <c r="W328" s="460"/>
      <c r="X328" s="460"/>
    </row>
    <row r="329" ht="26.25" customHeight="1">
      <c r="A329" s="18"/>
      <c r="B329" s="56" t="s">
        <v>55</v>
      </c>
      <c r="C329" s="168">
        <v>1.86805E7</v>
      </c>
      <c r="D329" s="115"/>
      <c r="E329" s="18"/>
      <c r="F329" s="460"/>
      <c r="G329" s="460"/>
      <c r="H329" s="460"/>
      <c r="I329" s="460"/>
      <c r="J329" s="460"/>
      <c r="K329" s="460"/>
      <c r="L329" s="460"/>
      <c r="M329" s="460"/>
      <c r="N329" s="460"/>
      <c r="O329" s="460"/>
      <c r="P329" s="460"/>
      <c r="Q329" s="460"/>
      <c r="R329" s="460"/>
      <c r="S329" s="460"/>
      <c r="T329" s="460"/>
      <c r="U329" s="460"/>
      <c r="V329" s="460"/>
      <c r="W329" s="460"/>
      <c r="X329" s="460"/>
    </row>
    <row r="330" ht="24.0" customHeight="1">
      <c r="A330" s="22"/>
      <c r="B330" s="56" t="s">
        <v>57</v>
      </c>
      <c r="C330" s="168">
        <v>2.05425E7</v>
      </c>
      <c r="D330" s="48"/>
      <c r="E330" s="18"/>
      <c r="F330" s="460"/>
      <c r="G330" s="460"/>
      <c r="H330" s="460"/>
      <c r="I330" s="460"/>
      <c r="J330" s="460"/>
      <c r="K330" s="460"/>
      <c r="L330" s="460"/>
      <c r="M330" s="460"/>
      <c r="N330" s="460"/>
      <c r="O330" s="460"/>
      <c r="P330" s="460"/>
      <c r="Q330" s="460"/>
      <c r="R330" s="460"/>
      <c r="S330" s="460"/>
      <c r="T330" s="460"/>
      <c r="U330" s="460"/>
      <c r="V330" s="460"/>
      <c r="W330" s="460"/>
      <c r="X330" s="460"/>
    </row>
    <row r="331" ht="24.0" customHeight="1">
      <c r="A331" s="492" t="s">
        <v>139</v>
      </c>
      <c r="B331" s="56" t="s">
        <v>51</v>
      </c>
      <c r="C331" s="115">
        <v>4.2498E7</v>
      </c>
      <c r="D331" s="115" t="s">
        <v>7</v>
      </c>
      <c r="E331" s="417">
        <f>SUM(C334)</f>
        <v>51728000</v>
      </c>
      <c r="F331" s="460"/>
      <c r="G331" s="460"/>
      <c r="H331" s="460"/>
      <c r="I331" s="460"/>
      <c r="J331" s="460"/>
      <c r="K331" s="460"/>
      <c r="L331" s="460"/>
      <c r="M331" s="460"/>
      <c r="N331" s="460"/>
      <c r="O331" s="460"/>
      <c r="P331" s="460"/>
      <c r="Q331" s="460"/>
      <c r="R331" s="460"/>
      <c r="S331" s="460"/>
      <c r="T331" s="460"/>
      <c r="U331" s="460"/>
      <c r="V331" s="460"/>
      <c r="W331" s="460"/>
      <c r="X331" s="460"/>
    </row>
    <row r="332" ht="26.25" customHeight="1">
      <c r="A332" s="18"/>
      <c r="B332" s="56" t="s">
        <v>53</v>
      </c>
      <c r="C332" s="115">
        <v>0.0</v>
      </c>
      <c r="D332" s="115"/>
      <c r="E332" s="18"/>
      <c r="F332" s="493" t="s">
        <v>342</v>
      </c>
      <c r="G332" s="460"/>
      <c r="H332" s="460"/>
      <c r="I332" s="460"/>
      <c r="J332" s="460"/>
      <c r="K332" s="460"/>
      <c r="L332" s="460"/>
      <c r="M332" s="460"/>
      <c r="N332" s="460"/>
      <c r="O332" s="460"/>
      <c r="P332" s="460"/>
      <c r="Q332" s="460"/>
      <c r="R332" s="460"/>
      <c r="S332" s="460"/>
      <c r="T332" s="460"/>
      <c r="U332" s="460"/>
      <c r="V332" s="460"/>
      <c r="W332" s="460"/>
      <c r="X332" s="460"/>
    </row>
    <row r="333" ht="24.0" customHeight="1">
      <c r="A333" s="18"/>
      <c r="B333" s="56" t="s">
        <v>55</v>
      </c>
      <c r="C333" s="115">
        <v>4.7996E7</v>
      </c>
      <c r="D333" s="115" t="s">
        <v>7</v>
      </c>
      <c r="E333" s="18"/>
      <c r="F333" s="460"/>
      <c r="G333" s="460"/>
      <c r="H333" s="460"/>
      <c r="I333" s="460"/>
      <c r="J333" s="460"/>
      <c r="K333" s="460"/>
      <c r="L333" s="460"/>
      <c r="M333" s="460"/>
      <c r="N333" s="460"/>
      <c r="O333" s="460"/>
      <c r="P333" s="460"/>
      <c r="Q333" s="460"/>
      <c r="R333" s="460"/>
      <c r="S333" s="460"/>
      <c r="T333" s="460"/>
      <c r="U333" s="460"/>
      <c r="V333" s="460"/>
      <c r="W333" s="460"/>
      <c r="X333" s="460"/>
    </row>
    <row r="334" ht="24.0" customHeight="1">
      <c r="A334" s="22"/>
      <c r="B334" s="56" t="s">
        <v>57</v>
      </c>
      <c r="C334" s="115">
        <v>5.1728E7</v>
      </c>
      <c r="D334" s="115"/>
      <c r="E334" s="22"/>
      <c r="F334" s="460"/>
      <c r="G334" s="460"/>
      <c r="H334" s="460"/>
      <c r="I334" s="460"/>
      <c r="J334" s="460"/>
      <c r="K334" s="460"/>
      <c r="L334" s="460"/>
      <c r="M334" s="460"/>
      <c r="N334" s="460"/>
      <c r="O334" s="460"/>
      <c r="P334" s="460"/>
      <c r="Q334" s="460"/>
      <c r="R334" s="460"/>
      <c r="S334" s="460"/>
      <c r="T334" s="460"/>
      <c r="U334" s="460"/>
      <c r="V334" s="460"/>
      <c r="W334" s="460"/>
      <c r="X334" s="460"/>
    </row>
    <row r="335" ht="24.0" customHeight="1">
      <c r="A335" s="494" t="s">
        <v>140</v>
      </c>
      <c r="B335" s="56" t="s">
        <v>51</v>
      </c>
      <c r="C335" s="168">
        <v>3.4873E7</v>
      </c>
      <c r="D335" s="115"/>
      <c r="E335" s="414">
        <f>sum(C338)</f>
        <v>24230000</v>
      </c>
      <c r="F335" s="460"/>
      <c r="G335" s="460"/>
      <c r="H335" s="460"/>
      <c r="I335" s="460"/>
      <c r="J335" s="460"/>
      <c r="K335" s="460"/>
      <c r="L335" s="460"/>
      <c r="M335" s="460"/>
      <c r="N335" s="460"/>
      <c r="O335" s="460"/>
      <c r="P335" s="460"/>
      <c r="Q335" s="460"/>
      <c r="R335" s="460"/>
      <c r="S335" s="460"/>
      <c r="T335" s="460"/>
      <c r="U335" s="460"/>
      <c r="V335" s="460"/>
      <c r="W335" s="460"/>
      <c r="X335" s="460"/>
    </row>
    <row r="336" ht="24.0" customHeight="1">
      <c r="A336" s="18"/>
      <c r="B336" s="56" t="s">
        <v>53</v>
      </c>
      <c r="C336" s="168">
        <v>1.5224E7</v>
      </c>
      <c r="D336" s="115"/>
      <c r="E336" s="18"/>
      <c r="F336" s="460"/>
      <c r="G336" s="460"/>
      <c r="H336" s="460"/>
      <c r="I336" s="460"/>
      <c r="J336" s="460"/>
      <c r="K336" s="460"/>
      <c r="L336" s="460"/>
      <c r="M336" s="460"/>
      <c r="N336" s="460"/>
      <c r="O336" s="460"/>
      <c r="P336" s="460"/>
      <c r="Q336" s="460"/>
      <c r="R336" s="460"/>
      <c r="S336" s="460"/>
      <c r="T336" s="460"/>
      <c r="U336" s="460"/>
      <c r="V336" s="460"/>
      <c r="W336" s="460"/>
      <c r="X336" s="460"/>
    </row>
    <row r="337" ht="25.5" customHeight="1">
      <c r="A337" s="18"/>
      <c r="B337" s="56" t="s">
        <v>55</v>
      </c>
      <c r="C337" s="168">
        <v>2.1355E7</v>
      </c>
      <c r="D337" s="48"/>
      <c r="E337" s="18"/>
      <c r="F337" s="460"/>
      <c r="G337" s="460"/>
      <c r="H337" s="460"/>
      <c r="I337" s="460"/>
      <c r="J337" s="460"/>
      <c r="K337" s="460"/>
      <c r="L337" s="460"/>
      <c r="M337" s="460"/>
      <c r="N337" s="460"/>
      <c r="O337" s="460"/>
      <c r="P337" s="460"/>
      <c r="Q337" s="460"/>
      <c r="R337" s="460"/>
      <c r="S337" s="460"/>
      <c r="T337" s="460"/>
      <c r="U337" s="460"/>
      <c r="V337" s="460"/>
      <c r="W337" s="460"/>
      <c r="X337" s="460"/>
    </row>
    <row r="338" ht="25.5" customHeight="1">
      <c r="A338" s="22"/>
      <c r="B338" s="56" t="s">
        <v>57</v>
      </c>
      <c r="C338" s="168">
        <v>2.423E7</v>
      </c>
      <c r="D338" s="48"/>
      <c r="E338" s="22"/>
      <c r="F338" s="460"/>
      <c r="G338" s="460"/>
      <c r="H338" s="460"/>
      <c r="I338" s="460"/>
      <c r="J338" s="460"/>
      <c r="K338" s="460"/>
      <c r="L338" s="460"/>
      <c r="M338" s="460"/>
      <c r="N338" s="460"/>
      <c r="O338" s="460"/>
      <c r="P338" s="460"/>
      <c r="Q338" s="460"/>
      <c r="R338" s="460"/>
      <c r="S338" s="460"/>
      <c r="T338" s="460"/>
      <c r="U338" s="460"/>
      <c r="V338" s="460"/>
      <c r="W338" s="460"/>
      <c r="X338" s="460"/>
    </row>
    <row r="339" ht="24.0" customHeight="1">
      <c r="A339" s="494" t="s">
        <v>141</v>
      </c>
      <c r="B339" s="56" t="s">
        <v>51</v>
      </c>
      <c r="C339" s="119">
        <v>2.57952E7</v>
      </c>
      <c r="D339" s="115" t="s">
        <v>7</v>
      </c>
      <c r="E339" s="417">
        <f>SUM(C342)</f>
        <v>36316700</v>
      </c>
      <c r="F339" s="495"/>
      <c r="G339" s="460"/>
      <c r="H339" s="460"/>
      <c r="I339" s="460"/>
      <c r="J339" s="460"/>
      <c r="K339" s="460"/>
      <c r="L339" s="460"/>
      <c r="M339" s="460"/>
      <c r="N339" s="460"/>
      <c r="O339" s="460"/>
      <c r="P339" s="460"/>
      <c r="Q339" s="460"/>
      <c r="R339" s="460"/>
      <c r="S339" s="460"/>
      <c r="T339" s="460"/>
      <c r="U339" s="460"/>
      <c r="V339" s="460"/>
      <c r="W339" s="460"/>
      <c r="X339" s="460"/>
    </row>
    <row r="340" ht="24.0" customHeight="1">
      <c r="A340" s="18"/>
      <c r="B340" s="56" t="s">
        <v>53</v>
      </c>
      <c r="C340" s="119">
        <v>3.2073E7</v>
      </c>
      <c r="D340" s="115" t="s">
        <v>7</v>
      </c>
      <c r="E340" s="18"/>
      <c r="F340" s="495"/>
      <c r="G340" s="460"/>
      <c r="H340" s="460"/>
      <c r="I340" s="460"/>
      <c r="J340" s="460"/>
      <c r="K340" s="460"/>
      <c r="L340" s="460"/>
      <c r="M340" s="460"/>
      <c r="N340" s="460"/>
      <c r="O340" s="460"/>
      <c r="P340" s="460"/>
      <c r="Q340" s="460"/>
      <c r="R340" s="460"/>
      <c r="S340" s="460"/>
      <c r="T340" s="460"/>
      <c r="U340" s="460"/>
      <c r="V340" s="460"/>
      <c r="W340" s="460"/>
      <c r="X340" s="460"/>
    </row>
    <row r="341" ht="24.0" customHeight="1">
      <c r="A341" s="18"/>
      <c r="B341" s="56" t="s">
        <v>55</v>
      </c>
      <c r="C341" s="119">
        <v>3.62941E7</v>
      </c>
      <c r="D341" s="115" t="s">
        <v>7</v>
      </c>
      <c r="E341" s="18"/>
      <c r="F341" s="495"/>
      <c r="G341" s="460"/>
      <c r="H341" s="460"/>
      <c r="I341" s="460"/>
      <c r="J341" s="460"/>
      <c r="K341" s="460"/>
      <c r="L341" s="460"/>
      <c r="M341" s="460"/>
      <c r="N341" s="460"/>
      <c r="O341" s="460"/>
      <c r="P341" s="460"/>
      <c r="Q341" s="460"/>
      <c r="R341" s="460"/>
      <c r="S341" s="460"/>
      <c r="T341" s="460"/>
      <c r="U341" s="460"/>
      <c r="V341" s="460"/>
      <c r="W341" s="460"/>
      <c r="X341" s="460"/>
    </row>
    <row r="342" ht="24.0" customHeight="1">
      <c r="A342" s="22"/>
      <c r="B342" s="56" t="s">
        <v>57</v>
      </c>
      <c r="C342" s="119">
        <v>3.63167E7</v>
      </c>
      <c r="D342" s="115"/>
      <c r="E342" s="22"/>
      <c r="F342" s="495"/>
      <c r="G342" s="460"/>
      <c r="H342" s="460"/>
      <c r="I342" s="460"/>
      <c r="J342" s="460"/>
      <c r="K342" s="460"/>
      <c r="L342" s="460"/>
      <c r="M342" s="460"/>
      <c r="N342" s="460"/>
      <c r="O342" s="460"/>
      <c r="P342" s="460"/>
      <c r="Q342" s="460"/>
      <c r="R342" s="460"/>
      <c r="S342" s="460"/>
      <c r="T342" s="460"/>
      <c r="U342" s="460"/>
      <c r="V342" s="460"/>
      <c r="W342" s="460"/>
      <c r="X342" s="460"/>
    </row>
    <row r="343" ht="22.5" customHeight="1">
      <c r="A343" s="492" t="s">
        <v>142</v>
      </c>
      <c r="B343" s="129" t="s">
        <v>71</v>
      </c>
      <c r="C343" s="156">
        <f>SUM(201588000-128537500)</f>
        <v>73050500</v>
      </c>
      <c r="D343" s="158"/>
      <c r="E343" s="414">
        <f>SUM(C343:C345)</f>
        <v>174815500</v>
      </c>
      <c r="F343" s="460"/>
      <c r="G343" s="460"/>
      <c r="H343" s="460"/>
      <c r="I343" s="460"/>
      <c r="J343" s="460"/>
      <c r="K343" s="460"/>
      <c r="L343" s="460"/>
      <c r="M343" s="460"/>
      <c r="N343" s="460"/>
      <c r="O343" s="460"/>
      <c r="P343" s="460"/>
      <c r="Q343" s="460"/>
      <c r="R343" s="460"/>
      <c r="S343" s="460"/>
      <c r="T343" s="460"/>
      <c r="U343" s="460"/>
      <c r="V343" s="460"/>
      <c r="W343" s="460"/>
      <c r="X343" s="460"/>
    </row>
    <row r="344" ht="22.5" customHeight="1">
      <c r="A344" s="18"/>
      <c r="B344" s="56" t="s">
        <v>51</v>
      </c>
      <c r="C344" s="156">
        <v>4.8385E7</v>
      </c>
      <c r="D344" s="168"/>
      <c r="E344" s="18"/>
      <c r="F344" s="460"/>
      <c r="G344" s="460"/>
      <c r="H344" s="460"/>
      <c r="I344" s="460"/>
      <c r="J344" s="460"/>
      <c r="K344" s="460"/>
      <c r="L344" s="460"/>
      <c r="M344" s="460"/>
      <c r="N344" s="460"/>
      <c r="O344" s="460"/>
      <c r="P344" s="460"/>
      <c r="Q344" s="460"/>
      <c r="R344" s="460"/>
      <c r="S344" s="460"/>
      <c r="T344" s="460"/>
      <c r="U344" s="460"/>
      <c r="V344" s="460"/>
      <c r="W344" s="460"/>
      <c r="X344" s="460"/>
    </row>
    <row r="345" ht="22.5" customHeight="1">
      <c r="A345" s="18"/>
      <c r="B345" s="56" t="s">
        <v>53</v>
      </c>
      <c r="C345" s="156">
        <v>5.338E7</v>
      </c>
      <c r="D345" s="21"/>
      <c r="E345" s="18"/>
      <c r="F345" s="460"/>
      <c r="G345" s="460"/>
      <c r="H345" s="460"/>
      <c r="I345" s="460"/>
      <c r="J345" s="460"/>
      <c r="K345" s="460"/>
      <c r="L345" s="460"/>
      <c r="M345" s="460"/>
      <c r="N345" s="460"/>
      <c r="O345" s="460"/>
      <c r="P345" s="460"/>
      <c r="Q345" s="460"/>
      <c r="R345" s="460"/>
      <c r="S345" s="460"/>
      <c r="T345" s="460"/>
      <c r="U345" s="460"/>
      <c r="V345" s="460"/>
      <c r="W345" s="460"/>
      <c r="X345" s="460"/>
    </row>
    <row r="346" ht="22.5" customHeight="1">
      <c r="A346" s="18"/>
      <c r="B346" s="56" t="s">
        <v>55</v>
      </c>
      <c r="C346" s="156">
        <v>6.4355E7</v>
      </c>
      <c r="D346" s="21"/>
      <c r="E346" s="18"/>
      <c r="F346" s="493"/>
      <c r="G346" s="460"/>
      <c r="H346" s="460"/>
      <c r="I346" s="460"/>
      <c r="J346" s="460"/>
      <c r="K346" s="460"/>
      <c r="L346" s="460"/>
      <c r="M346" s="460"/>
      <c r="N346" s="460"/>
      <c r="O346" s="460"/>
      <c r="P346" s="460"/>
      <c r="Q346" s="460"/>
      <c r="R346" s="460"/>
      <c r="S346" s="460"/>
      <c r="T346" s="460"/>
      <c r="U346" s="460"/>
      <c r="V346" s="460"/>
      <c r="W346" s="460"/>
      <c r="X346" s="460"/>
    </row>
    <row r="347" ht="22.5" customHeight="1">
      <c r="A347" s="22"/>
      <c r="B347" s="56" t="s">
        <v>57</v>
      </c>
      <c r="C347" s="156">
        <v>6.493E7</v>
      </c>
      <c r="D347" s="21"/>
      <c r="E347" s="18"/>
      <c r="F347" s="493"/>
      <c r="G347" s="460"/>
      <c r="H347" s="460"/>
      <c r="I347" s="460"/>
      <c r="J347" s="460"/>
      <c r="K347" s="460"/>
      <c r="L347" s="460"/>
      <c r="M347" s="460"/>
      <c r="N347" s="460"/>
      <c r="O347" s="460"/>
      <c r="P347" s="460"/>
      <c r="Q347" s="460"/>
      <c r="R347" s="460"/>
      <c r="S347" s="460"/>
      <c r="T347" s="460"/>
      <c r="U347" s="460"/>
      <c r="V347" s="460"/>
      <c r="W347" s="460"/>
      <c r="X347" s="460"/>
    </row>
    <row r="348" ht="27.0" customHeight="1">
      <c r="A348" s="492" t="s">
        <v>143</v>
      </c>
      <c r="B348" s="56" t="s">
        <v>51</v>
      </c>
      <c r="C348" s="168">
        <v>6.31E7</v>
      </c>
      <c r="D348" s="115"/>
      <c r="E348" s="414">
        <f>SUM(C348:C351)</f>
        <v>173113500</v>
      </c>
      <c r="F348" s="460"/>
      <c r="G348" s="460"/>
      <c r="H348" s="460"/>
      <c r="I348" s="460"/>
      <c r="J348" s="460"/>
      <c r="K348" s="460"/>
      <c r="L348" s="460"/>
      <c r="M348" s="460"/>
      <c r="N348" s="460"/>
      <c r="O348" s="460"/>
      <c r="P348" s="460"/>
      <c r="Q348" s="460"/>
      <c r="R348" s="460"/>
      <c r="S348" s="460"/>
      <c r="T348" s="460"/>
      <c r="U348" s="460"/>
      <c r="V348" s="460"/>
      <c r="W348" s="460"/>
      <c r="X348" s="460"/>
    </row>
    <row r="349" ht="27.75" customHeight="1">
      <c r="A349" s="18"/>
      <c r="B349" s="56" t="s">
        <v>53</v>
      </c>
      <c r="C349" s="168">
        <v>3.93795E7</v>
      </c>
      <c r="D349" s="115"/>
      <c r="E349" s="18"/>
      <c r="F349" s="460"/>
      <c r="G349" s="460"/>
      <c r="H349" s="460"/>
      <c r="I349" s="460"/>
      <c r="J349" s="17"/>
      <c r="K349" s="460"/>
      <c r="L349" s="460"/>
      <c r="M349" s="460"/>
      <c r="N349" s="460"/>
      <c r="O349" s="460"/>
      <c r="P349" s="460"/>
      <c r="Q349" s="460"/>
      <c r="R349" s="460"/>
      <c r="S349" s="460"/>
      <c r="T349" s="460"/>
      <c r="U349" s="460"/>
      <c r="V349" s="460"/>
      <c r="W349" s="460"/>
      <c r="X349" s="460"/>
    </row>
    <row r="350" ht="28.5" customHeight="1">
      <c r="A350" s="18"/>
      <c r="B350" s="56" t="s">
        <v>55</v>
      </c>
      <c r="C350" s="168">
        <v>4.0011E7</v>
      </c>
      <c r="D350" s="115"/>
      <c r="E350" s="18"/>
      <c r="F350" s="460"/>
      <c r="G350" s="460"/>
      <c r="H350" s="460"/>
      <c r="I350" s="460"/>
      <c r="J350" s="460"/>
      <c r="K350" s="460"/>
      <c r="L350" s="460"/>
      <c r="M350" s="460"/>
      <c r="N350" s="460"/>
      <c r="O350" s="460"/>
      <c r="P350" s="460"/>
      <c r="Q350" s="460"/>
      <c r="R350" s="460"/>
      <c r="S350" s="460"/>
      <c r="T350" s="460"/>
      <c r="U350" s="460"/>
      <c r="V350" s="460"/>
      <c r="W350" s="460"/>
      <c r="X350" s="460"/>
    </row>
    <row r="351" ht="26.25" customHeight="1">
      <c r="A351" s="22"/>
      <c r="B351" s="56" t="s">
        <v>57</v>
      </c>
      <c r="C351" s="168">
        <v>3.0623E7</v>
      </c>
      <c r="D351" s="115"/>
      <c r="E351" s="18"/>
      <c r="F351" s="460"/>
      <c r="G351" s="460"/>
      <c r="H351" s="460"/>
      <c r="I351" s="460"/>
      <c r="J351" s="460"/>
      <c r="K351" s="460"/>
      <c r="L351" s="460"/>
      <c r="M351" s="460"/>
      <c r="N351" s="460"/>
      <c r="O351" s="460"/>
      <c r="P351" s="460"/>
      <c r="Q351" s="460"/>
      <c r="R351" s="460"/>
      <c r="S351" s="460"/>
      <c r="T351" s="460"/>
      <c r="U351" s="460"/>
      <c r="V351" s="460"/>
      <c r="W351" s="460"/>
      <c r="X351" s="460"/>
    </row>
    <row r="352" ht="24.75" customHeight="1">
      <c r="A352" s="492" t="s">
        <v>144</v>
      </c>
      <c r="B352" s="56" t="s">
        <v>51</v>
      </c>
      <c r="C352" s="168">
        <v>7.131E7</v>
      </c>
      <c r="D352" s="115" t="s">
        <v>7</v>
      </c>
      <c r="E352" s="417"/>
      <c r="F352" s="460"/>
      <c r="G352" s="460"/>
      <c r="H352" s="460"/>
      <c r="I352" s="460"/>
      <c r="J352" s="460"/>
      <c r="K352" s="460"/>
      <c r="L352" s="460"/>
      <c r="M352" s="460"/>
      <c r="N352" s="460"/>
      <c r="O352" s="460"/>
      <c r="P352" s="460"/>
      <c r="Q352" s="460"/>
      <c r="R352" s="460"/>
      <c r="S352" s="460"/>
      <c r="T352" s="460"/>
      <c r="U352" s="460"/>
      <c r="V352" s="460"/>
      <c r="W352" s="460"/>
      <c r="X352" s="460"/>
    </row>
    <row r="353" ht="25.5" customHeight="1">
      <c r="A353" s="18"/>
      <c r="B353" s="56" t="s">
        <v>53</v>
      </c>
      <c r="C353" s="115">
        <v>2.39E7</v>
      </c>
      <c r="D353" s="115" t="s">
        <v>7</v>
      </c>
      <c r="E353" s="18"/>
      <c r="F353" s="460"/>
      <c r="G353" s="460"/>
      <c r="H353" s="460"/>
      <c r="I353" s="460"/>
      <c r="J353" s="460"/>
      <c r="K353" s="460"/>
      <c r="L353" s="460"/>
      <c r="M353" s="460"/>
      <c r="N353" s="460"/>
      <c r="O353" s="460"/>
      <c r="P353" s="460"/>
      <c r="Q353" s="460"/>
      <c r="R353" s="460"/>
      <c r="S353" s="460"/>
      <c r="T353" s="460"/>
      <c r="U353" s="460"/>
      <c r="V353" s="460"/>
      <c r="W353" s="460"/>
      <c r="X353" s="460"/>
    </row>
    <row r="354" ht="25.5" customHeight="1">
      <c r="A354" s="18"/>
      <c r="B354" s="56" t="s">
        <v>55</v>
      </c>
      <c r="C354" s="115">
        <v>7.3328E7</v>
      </c>
      <c r="D354" s="115" t="s">
        <v>7</v>
      </c>
      <c r="E354" s="18"/>
      <c r="F354" s="460"/>
      <c r="G354" s="460"/>
      <c r="H354" s="460"/>
      <c r="I354" s="460"/>
      <c r="J354" s="460"/>
      <c r="K354" s="460"/>
      <c r="L354" s="460"/>
      <c r="M354" s="460"/>
      <c r="N354" s="460"/>
      <c r="O354" s="460"/>
      <c r="P354" s="460"/>
      <c r="Q354" s="460"/>
      <c r="R354" s="460"/>
      <c r="S354" s="460"/>
      <c r="T354" s="460"/>
      <c r="U354" s="460"/>
      <c r="V354" s="460"/>
      <c r="W354" s="460"/>
      <c r="X354" s="460"/>
    </row>
    <row r="355" ht="24.75" customHeight="1">
      <c r="A355" s="22"/>
      <c r="B355" s="56" t="s">
        <v>57</v>
      </c>
      <c r="C355" s="115">
        <v>4.5747E7</v>
      </c>
      <c r="D355" s="115" t="s">
        <v>7</v>
      </c>
      <c r="E355" s="22"/>
      <c r="F355" s="460"/>
      <c r="G355" s="460"/>
      <c r="H355" s="460"/>
      <c r="I355" s="460"/>
      <c r="J355" s="460"/>
      <c r="K355" s="460"/>
      <c r="L355" s="460"/>
      <c r="M355" s="460"/>
      <c r="N355" s="460"/>
      <c r="O355" s="460"/>
      <c r="P355" s="460"/>
      <c r="Q355" s="460"/>
      <c r="R355" s="460"/>
      <c r="S355" s="460"/>
      <c r="T355" s="460"/>
      <c r="U355" s="460"/>
      <c r="V355" s="460"/>
      <c r="W355" s="460"/>
      <c r="X355" s="460"/>
    </row>
    <row r="356" ht="22.5" customHeight="1">
      <c r="A356" s="492" t="s">
        <v>145</v>
      </c>
      <c r="B356" s="56" t="s">
        <v>51</v>
      </c>
      <c r="C356" s="168">
        <v>5.67555E7</v>
      </c>
      <c r="D356" s="115" t="s">
        <v>7</v>
      </c>
      <c r="E356" s="421">
        <f>SUM(C359)</f>
        <v>32563000</v>
      </c>
      <c r="F356" s="460"/>
      <c r="G356" s="460"/>
      <c r="H356" s="460"/>
      <c r="I356" s="460"/>
      <c r="J356" s="460"/>
      <c r="K356" s="460"/>
      <c r="L356" s="460"/>
      <c r="M356" s="460"/>
      <c r="N356" s="460"/>
      <c r="O356" s="460"/>
      <c r="P356" s="460"/>
      <c r="Q356" s="460"/>
      <c r="R356" s="460"/>
      <c r="S356" s="460"/>
      <c r="T356" s="460"/>
      <c r="U356" s="460"/>
      <c r="V356" s="460"/>
      <c r="W356" s="460"/>
      <c r="X356" s="460"/>
    </row>
    <row r="357" ht="22.5" customHeight="1">
      <c r="A357" s="18"/>
      <c r="B357" s="56" t="s">
        <v>53</v>
      </c>
      <c r="C357" s="168">
        <v>2.011E7</v>
      </c>
      <c r="D357" s="115" t="s">
        <v>7</v>
      </c>
      <c r="E357" s="18"/>
      <c r="F357" s="460"/>
      <c r="G357" s="460"/>
      <c r="H357" s="460"/>
      <c r="I357" s="460"/>
      <c r="J357" s="460"/>
      <c r="K357" s="460"/>
      <c r="L357" s="460"/>
      <c r="M357" s="460"/>
      <c r="N357" s="460"/>
      <c r="O357" s="460"/>
      <c r="P357" s="460"/>
      <c r="Q357" s="460"/>
      <c r="R357" s="460"/>
      <c r="S357" s="460"/>
      <c r="T357" s="460"/>
      <c r="U357" s="460"/>
      <c r="V357" s="460"/>
      <c r="W357" s="460"/>
      <c r="X357" s="460"/>
    </row>
    <row r="358" ht="22.5" customHeight="1">
      <c r="A358" s="18"/>
      <c r="B358" s="56" t="s">
        <v>55</v>
      </c>
      <c r="C358" s="168">
        <v>1.91215E7</v>
      </c>
      <c r="D358" s="115" t="s">
        <v>7</v>
      </c>
      <c r="E358" s="18"/>
      <c r="F358" s="460"/>
      <c r="G358" s="460"/>
      <c r="H358" s="460"/>
      <c r="I358" s="460"/>
      <c r="J358" s="460"/>
      <c r="K358" s="460"/>
      <c r="L358" s="460"/>
      <c r="M358" s="460"/>
      <c r="N358" s="460"/>
      <c r="O358" s="460"/>
      <c r="P358" s="460"/>
      <c r="Q358" s="460"/>
      <c r="R358" s="460"/>
      <c r="S358" s="460"/>
      <c r="T358" s="460"/>
      <c r="U358" s="460"/>
      <c r="V358" s="460"/>
      <c r="W358" s="460"/>
      <c r="X358" s="460"/>
    </row>
    <row r="359" ht="22.5" customHeight="1">
      <c r="A359" s="22"/>
      <c r="B359" s="56" t="s">
        <v>57</v>
      </c>
      <c r="C359" s="168">
        <v>3.2563E7</v>
      </c>
      <c r="D359" s="115"/>
      <c r="E359" s="18"/>
      <c r="F359" s="460"/>
      <c r="G359" s="460"/>
      <c r="H359" s="460"/>
      <c r="I359" s="460"/>
      <c r="J359" s="460"/>
      <c r="K359" s="460"/>
      <c r="L359" s="460"/>
      <c r="M359" s="460"/>
      <c r="N359" s="460"/>
      <c r="O359" s="460"/>
      <c r="P359" s="460"/>
      <c r="Q359" s="460"/>
      <c r="R359" s="460"/>
      <c r="S359" s="460"/>
      <c r="T359" s="460"/>
      <c r="U359" s="460"/>
      <c r="V359" s="460"/>
      <c r="W359" s="460"/>
      <c r="X359" s="460"/>
    </row>
    <row r="360" ht="26.25" customHeight="1">
      <c r="A360" s="494" t="s">
        <v>146</v>
      </c>
      <c r="B360" s="56" t="s">
        <v>51</v>
      </c>
      <c r="C360" s="172">
        <v>5.29745E7</v>
      </c>
      <c r="D360" s="115" t="s">
        <v>7</v>
      </c>
      <c r="E360" s="422">
        <f>sum(C363)</f>
        <v>11145000</v>
      </c>
      <c r="F360" s="460"/>
      <c r="G360" s="460"/>
      <c r="H360" s="460"/>
      <c r="I360" s="460"/>
      <c r="J360" s="460"/>
      <c r="K360" s="460"/>
      <c r="L360" s="460"/>
      <c r="M360" s="460"/>
      <c r="N360" s="460"/>
      <c r="O360" s="460"/>
      <c r="P360" s="460"/>
      <c r="Q360" s="460"/>
      <c r="R360" s="460"/>
      <c r="S360" s="460"/>
      <c r="T360" s="460"/>
      <c r="U360" s="460"/>
      <c r="V360" s="460"/>
      <c r="W360" s="460"/>
      <c r="X360" s="460"/>
    </row>
    <row r="361" ht="24.0" customHeight="1">
      <c r="A361" s="18"/>
      <c r="B361" s="56" t="s">
        <v>53</v>
      </c>
      <c r="C361" s="172">
        <v>6.9378E7</v>
      </c>
      <c r="D361" s="115" t="s">
        <v>7</v>
      </c>
      <c r="E361" s="18"/>
      <c r="F361" s="460"/>
      <c r="G361" s="460"/>
      <c r="H361" s="460"/>
      <c r="I361" s="460"/>
      <c r="J361" s="460"/>
      <c r="K361" s="460"/>
      <c r="L361" s="460"/>
      <c r="M361" s="460"/>
      <c r="N361" s="460"/>
      <c r="O361" s="460"/>
      <c r="P361" s="460"/>
      <c r="Q361" s="460"/>
      <c r="R361" s="460"/>
      <c r="S361" s="460"/>
      <c r="T361" s="460"/>
      <c r="U361" s="460"/>
      <c r="V361" s="460"/>
      <c r="W361" s="460"/>
      <c r="X361" s="460"/>
    </row>
    <row r="362" ht="24.75" customHeight="1">
      <c r="A362" s="18"/>
      <c r="B362" s="56" t="s">
        <v>55</v>
      </c>
      <c r="C362" s="172">
        <v>6.3723E7</v>
      </c>
      <c r="D362" s="115" t="s">
        <v>7</v>
      </c>
      <c r="E362" s="18"/>
      <c r="F362" s="493"/>
      <c r="G362" s="460"/>
      <c r="H362" s="460"/>
      <c r="I362" s="460"/>
      <c r="J362" s="460"/>
      <c r="K362" s="460"/>
      <c r="L362" s="460"/>
      <c r="M362" s="460"/>
      <c r="N362" s="460"/>
      <c r="O362" s="460"/>
      <c r="P362" s="460"/>
      <c r="Q362" s="460"/>
      <c r="R362" s="460"/>
      <c r="S362" s="460"/>
      <c r="T362" s="460"/>
      <c r="U362" s="460"/>
      <c r="V362" s="460"/>
      <c r="W362" s="460"/>
      <c r="X362" s="460"/>
    </row>
    <row r="363" ht="24.75" customHeight="1">
      <c r="A363" s="18"/>
      <c r="B363" s="56" t="s">
        <v>57</v>
      </c>
      <c r="C363" s="172">
        <v>1.1145E7</v>
      </c>
      <c r="D363" s="48"/>
      <c r="E363" s="18"/>
      <c r="F363" s="493"/>
      <c r="G363" s="460"/>
      <c r="H363" s="460"/>
      <c r="I363" s="460"/>
      <c r="J363" s="460"/>
      <c r="K363" s="460"/>
      <c r="L363" s="460"/>
      <c r="M363" s="460"/>
      <c r="N363" s="460"/>
      <c r="O363" s="460"/>
      <c r="P363" s="460"/>
      <c r="Q363" s="460"/>
      <c r="R363" s="460"/>
      <c r="S363" s="460"/>
      <c r="T363" s="460"/>
      <c r="U363" s="460"/>
      <c r="V363" s="460"/>
      <c r="W363" s="460"/>
      <c r="X363" s="460"/>
    </row>
    <row r="364" ht="24.75" customHeight="1">
      <c r="A364" s="22"/>
      <c r="B364" s="284"/>
      <c r="C364" s="156"/>
      <c r="D364" s="48"/>
      <c r="E364" s="22"/>
      <c r="F364" s="460"/>
      <c r="G364" s="460"/>
      <c r="H364" s="460"/>
      <c r="I364" s="460"/>
      <c r="J364" s="460"/>
      <c r="K364" s="460"/>
      <c r="L364" s="460"/>
      <c r="M364" s="460"/>
      <c r="N364" s="460"/>
      <c r="O364" s="460"/>
      <c r="P364" s="460"/>
      <c r="Q364" s="460"/>
      <c r="R364" s="460"/>
      <c r="S364" s="460"/>
      <c r="T364" s="460"/>
      <c r="U364" s="460"/>
      <c r="V364" s="460"/>
      <c r="W364" s="460"/>
      <c r="X364" s="460"/>
    </row>
    <row r="365" ht="24.75" customHeight="1">
      <c r="A365" s="492" t="s">
        <v>148</v>
      </c>
      <c r="B365" s="56" t="s">
        <v>51</v>
      </c>
      <c r="C365" s="168">
        <v>2200000.0</v>
      </c>
      <c r="D365" s="115" t="s">
        <v>7</v>
      </c>
      <c r="E365" s="417">
        <f>SUM(C366:C368)</f>
        <v>220977000</v>
      </c>
      <c r="F365" s="460"/>
      <c r="G365" s="460"/>
      <c r="H365" s="460"/>
      <c r="I365" s="460"/>
      <c r="J365" s="460"/>
      <c r="K365" s="460"/>
      <c r="L365" s="460"/>
      <c r="M365" s="460"/>
      <c r="N365" s="460"/>
      <c r="O365" s="460"/>
      <c r="P365" s="460"/>
      <c r="Q365" s="460"/>
      <c r="R365" s="460"/>
      <c r="S365" s="460"/>
      <c r="T365" s="460"/>
      <c r="U365" s="460"/>
      <c r="V365" s="460"/>
      <c r="W365" s="460"/>
      <c r="X365" s="460"/>
    </row>
    <row r="366" ht="25.5" customHeight="1">
      <c r="A366" s="18"/>
      <c r="B366" s="56" t="s">
        <v>53</v>
      </c>
      <c r="C366" s="168">
        <v>2.20857E8</v>
      </c>
      <c r="D366" s="115"/>
      <c r="E366" s="18"/>
      <c r="F366" s="460"/>
      <c r="G366" s="460"/>
      <c r="H366" s="460"/>
      <c r="I366" s="460"/>
      <c r="J366" s="460"/>
      <c r="K366" s="460"/>
      <c r="L366" s="460"/>
      <c r="M366" s="460"/>
      <c r="N366" s="460"/>
      <c r="O366" s="460"/>
      <c r="P366" s="460"/>
      <c r="Q366" s="460"/>
      <c r="R366" s="460"/>
      <c r="S366" s="460"/>
      <c r="T366" s="460"/>
      <c r="U366" s="460"/>
      <c r="V366" s="460"/>
      <c r="W366" s="460"/>
      <c r="X366" s="460"/>
    </row>
    <row r="367" ht="24.75" customHeight="1">
      <c r="A367" s="18"/>
      <c r="B367" s="56" t="s">
        <v>55</v>
      </c>
      <c r="C367" s="168">
        <v>120000.0</v>
      </c>
      <c r="D367" s="115"/>
      <c r="E367" s="18"/>
      <c r="F367" s="493"/>
      <c r="G367" s="460"/>
      <c r="H367" s="460"/>
      <c r="I367" s="460"/>
      <c r="J367" s="460"/>
      <c r="K367" s="460"/>
      <c r="L367" s="460"/>
      <c r="M367" s="460"/>
      <c r="N367" s="460"/>
      <c r="O367" s="460"/>
      <c r="P367" s="460"/>
      <c r="Q367" s="460"/>
      <c r="R367" s="460"/>
      <c r="S367" s="460"/>
      <c r="T367" s="460"/>
      <c r="U367" s="460"/>
      <c r="V367" s="460"/>
      <c r="W367" s="460"/>
      <c r="X367" s="460"/>
    </row>
    <row r="368" ht="24.75" customHeight="1">
      <c r="A368" s="18"/>
      <c r="B368" s="56" t="s">
        <v>57</v>
      </c>
      <c r="C368" s="168">
        <v>0.0</v>
      </c>
      <c r="D368" s="115"/>
      <c r="E368" s="18"/>
      <c r="F368" s="493"/>
      <c r="G368" s="460"/>
      <c r="H368" s="460"/>
      <c r="I368" s="460"/>
      <c r="J368" s="460"/>
      <c r="K368" s="460"/>
      <c r="L368" s="460"/>
      <c r="M368" s="460"/>
      <c r="N368" s="460"/>
      <c r="O368" s="460"/>
      <c r="P368" s="460"/>
      <c r="Q368" s="460"/>
      <c r="R368" s="460"/>
      <c r="S368" s="460"/>
      <c r="T368" s="460"/>
      <c r="U368" s="460"/>
      <c r="V368" s="460"/>
      <c r="W368" s="460"/>
      <c r="X368" s="460"/>
    </row>
    <row r="369" ht="24.0" customHeight="1">
      <c r="A369" s="492" t="s">
        <v>149</v>
      </c>
      <c r="B369" s="447" t="s">
        <v>623</v>
      </c>
      <c r="C369" s="168">
        <f>sum(18414000+941300-3000000)+9446700-20000000</f>
        <v>5802000</v>
      </c>
      <c r="D369" s="48"/>
      <c r="E369" s="422">
        <f>SUM(C369:C374)</f>
        <v>119261900</v>
      </c>
      <c r="F369" s="460"/>
      <c r="G369" s="460"/>
      <c r="H369" s="493"/>
      <c r="I369" s="460"/>
      <c r="J369" s="460"/>
      <c r="K369" s="460"/>
      <c r="L369" s="460"/>
      <c r="M369" s="460"/>
      <c r="N369" s="460"/>
      <c r="O369" s="460"/>
      <c r="P369" s="460"/>
      <c r="Q369" s="460"/>
      <c r="R369" s="460"/>
      <c r="S369" s="460"/>
      <c r="T369" s="460"/>
      <c r="U369" s="460"/>
      <c r="V369" s="460"/>
      <c r="W369" s="460"/>
      <c r="X369" s="460"/>
    </row>
    <row r="370" ht="22.5" customHeight="1">
      <c r="A370" s="18"/>
      <c r="B370" s="192" t="s">
        <v>624</v>
      </c>
      <c r="C370" s="168">
        <f>sum(41614000+9970500+15654400)</f>
        <v>67238900</v>
      </c>
      <c r="D370" s="460"/>
      <c r="E370" s="18"/>
      <c r="F370" s="460"/>
      <c r="G370" s="460"/>
      <c r="H370" s="460"/>
      <c r="I370" s="460"/>
      <c r="J370" s="460"/>
      <c r="K370" s="460"/>
      <c r="L370" s="460"/>
      <c r="M370" s="460"/>
      <c r="N370" s="460"/>
      <c r="O370" s="460"/>
      <c r="P370" s="460"/>
      <c r="Q370" s="460"/>
      <c r="R370" s="460"/>
      <c r="S370" s="460"/>
      <c r="T370" s="460"/>
      <c r="U370" s="460"/>
      <c r="V370" s="460"/>
      <c r="W370" s="460"/>
      <c r="X370" s="460"/>
    </row>
    <row r="371" ht="22.5" customHeight="1">
      <c r="A371" s="18"/>
      <c r="B371" s="56" t="s">
        <v>51</v>
      </c>
      <c r="C371" s="168">
        <v>7832000.0</v>
      </c>
      <c r="D371" s="48"/>
      <c r="E371" s="18"/>
      <c r="F371" s="460"/>
      <c r="G371" s="460"/>
      <c r="H371" s="460"/>
      <c r="I371" s="460"/>
      <c r="J371" s="460"/>
      <c r="K371" s="460"/>
      <c r="L371" s="460"/>
      <c r="M371" s="460"/>
      <c r="N371" s="460"/>
      <c r="O371" s="460"/>
      <c r="P371" s="460"/>
      <c r="Q371" s="460"/>
      <c r="R371" s="460"/>
      <c r="S371" s="460"/>
      <c r="T371" s="460"/>
      <c r="U371" s="460"/>
      <c r="V371" s="460"/>
      <c r="W371" s="460"/>
      <c r="X371" s="460"/>
    </row>
    <row r="372" ht="24.0" customHeight="1">
      <c r="A372" s="18"/>
      <c r="B372" s="56" t="s">
        <v>53</v>
      </c>
      <c r="C372" s="156">
        <v>1.01636E7</v>
      </c>
      <c r="D372" s="460"/>
      <c r="E372" s="18"/>
      <c r="F372" s="460"/>
      <c r="G372" s="460"/>
      <c r="H372" s="460"/>
      <c r="I372" s="460"/>
      <c r="J372" s="460"/>
      <c r="K372" s="460"/>
      <c r="L372" s="460"/>
      <c r="M372" s="460"/>
      <c r="N372" s="460"/>
      <c r="O372" s="460"/>
      <c r="P372" s="460"/>
      <c r="Q372" s="460"/>
      <c r="R372" s="460"/>
      <c r="S372" s="460"/>
      <c r="T372" s="460"/>
      <c r="U372" s="460"/>
      <c r="V372" s="460"/>
      <c r="W372" s="460"/>
      <c r="X372" s="460"/>
    </row>
    <row r="373" ht="22.5" customHeight="1">
      <c r="A373" s="18"/>
      <c r="B373" s="56" t="s">
        <v>55</v>
      </c>
      <c r="C373" s="168">
        <v>1.1773E7</v>
      </c>
      <c r="D373" s="115"/>
      <c r="E373" s="18"/>
      <c r="F373" s="460"/>
      <c r="G373" s="460"/>
      <c r="H373" s="460"/>
      <c r="I373" s="460"/>
      <c r="J373" s="460"/>
      <c r="K373" s="460"/>
      <c r="L373" s="460"/>
      <c r="M373" s="460"/>
      <c r="N373" s="460"/>
      <c r="O373" s="460"/>
      <c r="P373" s="460"/>
      <c r="Q373" s="460"/>
      <c r="R373" s="460"/>
      <c r="S373" s="460"/>
      <c r="T373" s="460"/>
      <c r="U373" s="460"/>
      <c r="V373" s="460"/>
      <c r="W373" s="460"/>
      <c r="X373" s="460"/>
    </row>
    <row r="374" ht="23.25" customHeight="1">
      <c r="A374" s="22"/>
      <c r="B374" s="56" t="s">
        <v>57</v>
      </c>
      <c r="C374" s="168">
        <v>1.64524E7</v>
      </c>
      <c r="D374" s="115"/>
      <c r="E374" s="22"/>
      <c r="F374" s="273"/>
      <c r="G374" s="460"/>
      <c r="H374" s="460"/>
      <c r="I374" s="460"/>
      <c r="J374" s="460"/>
      <c r="K374" s="460"/>
      <c r="L374" s="460"/>
      <c r="M374" s="460"/>
      <c r="N374" s="460"/>
      <c r="O374" s="460"/>
      <c r="P374" s="460"/>
      <c r="Q374" s="460"/>
      <c r="R374" s="460"/>
      <c r="S374" s="460"/>
      <c r="T374" s="460"/>
      <c r="U374" s="460"/>
      <c r="V374" s="460"/>
      <c r="W374" s="460"/>
      <c r="X374" s="460"/>
    </row>
    <row r="375" ht="24.0" customHeight="1">
      <c r="A375" s="492" t="s">
        <v>150</v>
      </c>
      <c r="B375" s="56" t="s">
        <v>51</v>
      </c>
      <c r="C375" s="168">
        <v>108000.0</v>
      </c>
      <c r="D375" s="115"/>
      <c r="E375" s="421">
        <f>SUM(C378)</f>
        <v>60191500</v>
      </c>
      <c r="F375" s="460"/>
      <c r="G375" s="460"/>
      <c r="H375" s="460"/>
      <c r="I375" s="460"/>
      <c r="J375" s="460"/>
      <c r="K375" s="460"/>
      <c r="L375" s="460"/>
      <c r="M375" s="460"/>
      <c r="N375" s="460"/>
      <c r="O375" s="460"/>
      <c r="P375" s="460"/>
      <c r="Q375" s="460"/>
      <c r="R375" s="460"/>
      <c r="S375" s="460"/>
      <c r="T375" s="460"/>
      <c r="U375" s="460"/>
      <c r="V375" s="460"/>
      <c r="W375" s="460"/>
      <c r="X375" s="460"/>
    </row>
    <row r="376" ht="24.0" customHeight="1">
      <c r="A376" s="18"/>
      <c r="B376" s="56" t="s">
        <v>53</v>
      </c>
      <c r="C376" s="168">
        <v>4.6938E7</v>
      </c>
      <c r="D376" s="115"/>
      <c r="E376" s="18"/>
      <c r="F376" s="460"/>
      <c r="G376" s="460"/>
      <c r="H376" s="460"/>
      <c r="I376" s="460"/>
      <c r="J376" s="460"/>
      <c r="K376" s="460"/>
      <c r="L376" s="460"/>
      <c r="M376" s="460"/>
      <c r="N376" s="460"/>
      <c r="O376" s="460"/>
      <c r="P376" s="460"/>
      <c r="Q376" s="460"/>
      <c r="R376" s="460"/>
      <c r="S376" s="460"/>
      <c r="T376" s="460"/>
      <c r="U376" s="460"/>
      <c r="V376" s="460"/>
      <c r="W376" s="460"/>
      <c r="X376" s="460"/>
    </row>
    <row r="377" ht="24.0" customHeight="1">
      <c r="A377" s="18"/>
      <c r="B377" s="56" t="s">
        <v>55</v>
      </c>
      <c r="C377" s="168">
        <v>6.1144E7</v>
      </c>
      <c r="D377" s="115"/>
      <c r="E377" s="18"/>
      <c r="F377" s="460"/>
      <c r="G377" s="460"/>
      <c r="H377" s="460"/>
      <c r="I377" s="460"/>
      <c r="J377" s="460"/>
      <c r="K377" s="460"/>
      <c r="L377" s="460"/>
      <c r="M377" s="460"/>
      <c r="N377" s="460"/>
      <c r="O377" s="460"/>
      <c r="P377" s="460"/>
      <c r="Q377" s="460"/>
      <c r="R377" s="460"/>
      <c r="S377" s="460"/>
      <c r="T377" s="460"/>
      <c r="U377" s="460"/>
      <c r="V377" s="460"/>
      <c r="W377" s="460"/>
      <c r="X377" s="460"/>
    </row>
    <row r="378" ht="24.0" customHeight="1">
      <c r="A378" s="22"/>
      <c r="B378" s="56" t="s">
        <v>57</v>
      </c>
      <c r="C378" s="168">
        <v>6.01915E7</v>
      </c>
      <c r="D378" s="115"/>
      <c r="E378" s="22"/>
      <c r="F378" s="491"/>
      <c r="G378" s="460"/>
      <c r="H378" s="460"/>
      <c r="I378" s="460"/>
      <c r="J378" s="460"/>
      <c r="K378" s="460"/>
      <c r="L378" s="460"/>
      <c r="M378" s="460"/>
      <c r="N378" s="460"/>
      <c r="O378" s="460"/>
      <c r="P378" s="460"/>
      <c r="Q378" s="460"/>
      <c r="R378" s="460"/>
      <c r="S378" s="460"/>
      <c r="T378" s="460"/>
      <c r="U378" s="460"/>
      <c r="V378" s="460"/>
      <c r="W378" s="460"/>
      <c r="X378" s="460"/>
    </row>
    <row r="379" ht="23.25" customHeight="1">
      <c r="A379" s="492" t="s">
        <v>153</v>
      </c>
      <c r="B379" s="56" t="s">
        <v>51</v>
      </c>
      <c r="C379" s="168">
        <f>SUM(93561500-70000)</f>
        <v>93491500</v>
      </c>
      <c r="D379" s="172" t="s">
        <v>7</v>
      </c>
      <c r="E379" s="417">
        <f>SUM(C382)</f>
        <v>126883000</v>
      </c>
      <c r="F379" s="460"/>
      <c r="G379" s="460"/>
      <c r="H379" s="460"/>
      <c r="I379" s="460"/>
      <c r="J379" s="460"/>
      <c r="K379" s="460"/>
      <c r="L379" s="460"/>
      <c r="M379" s="460"/>
      <c r="N379" s="460"/>
      <c r="O379" s="460"/>
      <c r="P379" s="460"/>
      <c r="Q379" s="460"/>
      <c r="R379" s="460"/>
      <c r="S379" s="460"/>
      <c r="T379" s="460"/>
      <c r="U379" s="460"/>
      <c r="V379" s="460"/>
      <c r="W379" s="460"/>
      <c r="X379" s="460"/>
    </row>
    <row r="380" ht="22.5" customHeight="1">
      <c r="A380" s="18"/>
      <c r="B380" s="56" t="s">
        <v>53</v>
      </c>
      <c r="C380" s="168">
        <v>1.102425E8</v>
      </c>
      <c r="D380" s="168" t="s">
        <v>7</v>
      </c>
      <c r="E380" s="18"/>
      <c r="F380" s="460"/>
      <c r="G380" s="460"/>
      <c r="H380" s="460"/>
      <c r="I380" s="460"/>
      <c r="J380" s="460"/>
      <c r="K380" s="460"/>
      <c r="L380" s="460"/>
      <c r="M380" s="460"/>
      <c r="N380" s="460"/>
      <c r="O380" s="460"/>
      <c r="P380" s="460"/>
      <c r="Q380" s="460"/>
      <c r="R380" s="460"/>
      <c r="S380" s="460"/>
      <c r="T380" s="460"/>
      <c r="U380" s="460"/>
      <c r="V380" s="460"/>
      <c r="W380" s="460"/>
      <c r="X380" s="460"/>
    </row>
    <row r="381" ht="24.0" customHeight="1">
      <c r="A381" s="18"/>
      <c r="B381" s="56" t="s">
        <v>55</v>
      </c>
      <c r="C381" s="168">
        <v>1.022555E8</v>
      </c>
      <c r="D381" s="168" t="s">
        <v>7</v>
      </c>
      <c r="E381" s="18"/>
      <c r="F381" s="460"/>
      <c r="G381" s="460"/>
      <c r="H381" s="460"/>
      <c r="I381" s="460"/>
      <c r="J381" s="460"/>
      <c r="K381" s="460"/>
      <c r="L381" s="460"/>
      <c r="M381" s="460"/>
      <c r="N381" s="460"/>
      <c r="O381" s="460"/>
      <c r="P381" s="460"/>
      <c r="Q381" s="460"/>
      <c r="R381" s="460"/>
      <c r="S381" s="460"/>
      <c r="T381" s="460"/>
      <c r="U381" s="460"/>
      <c r="V381" s="460"/>
      <c r="W381" s="460"/>
      <c r="X381" s="460"/>
    </row>
    <row r="382" ht="24.0" customHeight="1">
      <c r="A382" s="22"/>
      <c r="B382" s="56" t="s">
        <v>57</v>
      </c>
      <c r="C382" s="168">
        <v>1.26883E8</v>
      </c>
      <c r="D382" s="168"/>
      <c r="E382" s="18"/>
      <c r="F382" s="460"/>
      <c r="G382" s="460"/>
      <c r="H382" s="460"/>
      <c r="I382" s="460"/>
      <c r="J382" s="460"/>
      <c r="K382" s="460"/>
      <c r="L382" s="460"/>
      <c r="M382" s="460"/>
      <c r="N382" s="460"/>
      <c r="O382" s="460"/>
      <c r="P382" s="460"/>
      <c r="Q382" s="460"/>
      <c r="R382" s="460"/>
      <c r="S382" s="460"/>
      <c r="T382" s="460"/>
      <c r="U382" s="460"/>
      <c r="V382" s="460"/>
      <c r="W382" s="460"/>
      <c r="X382" s="460"/>
    </row>
    <row r="383" ht="24.0" customHeight="1">
      <c r="A383" s="494" t="s">
        <v>154</v>
      </c>
      <c r="B383" s="129" t="s">
        <v>71</v>
      </c>
      <c r="C383" s="110">
        <v>850000.0</v>
      </c>
      <c r="D383" s="115" t="s">
        <v>7</v>
      </c>
      <c r="E383" s="417">
        <f>SUM(C385:C387)</f>
        <v>144012800</v>
      </c>
      <c r="F383" s="460"/>
      <c r="G383" s="460"/>
      <c r="H383" s="460"/>
      <c r="I383" s="460"/>
      <c r="J383" s="460"/>
      <c r="K383" s="460"/>
      <c r="L383" s="460"/>
      <c r="M383" s="460"/>
      <c r="N383" s="460"/>
      <c r="O383" s="460"/>
      <c r="P383" s="460"/>
      <c r="Q383" s="460"/>
      <c r="R383" s="460"/>
      <c r="S383" s="460"/>
      <c r="T383" s="460"/>
      <c r="U383" s="460"/>
      <c r="V383" s="460"/>
      <c r="W383" s="460"/>
      <c r="X383" s="460"/>
    </row>
    <row r="384" ht="24.0" customHeight="1">
      <c r="A384" s="18"/>
      <c r="B384" s="56" t="s">
        <v>51</v>
      </c>
      <c r="C384" s="110">
        <f>SUM(121281100-69414000)</f>
        <v>51867100</v>
      </c>
      <c r="D384" s="115" t="s">
        <v>7</v>
      </c>
      <c r="E384" s="18"/>
      <c r="F384" s="460"/>
      <c r="G384" s="460"/>
      <c r="H384" s="460"/>
      <c r="I384" s="460"/>
      <c r="J384" s="460"/>
      <c r="K384" s="460"/>
      <c r="L384" s="460"/>
      <c r="M384" s="460"/>
      <c r="N384" s="460"/>
      <c r="O384" s="460"/>
      <c r="P384" s="460"/>
      <c r="Q384" s="460"/>
      <c r="R384" s="460"/>
      <c r="S384" s="460"/>
      <c r="T384" s="460"/>
      <c r="U384" s="460"/>
      <c r="V384" s="460"/>
      <c r="W384" s="460"/>
      <c r="X384" s="460"/>
    </row>
    <row r="385" ht="24.0" customHeight="1">
      <c r="A385" s="18"/>
      <c r="B385" s="56" t="s">
        <v>53</v>
      </c>
      <c r="C385" s="110">
        <v>3.4355E7</v>
      </c>
      <c r="D385" s="460"/>
      <c r="E385" s="18"/>
      <c r="F385" s="460"/>
      <c r="G385" s="460"/>
      <c r="H385" s="460"/>
      <c r="I385" s="460"/>
      <c r="J385" s="460"/>
      <c r="K385" s="460"/>
      <c r="L385" s="460"/>
      <c r="M385" s="460"/>
      <c r="N385" s="460"/>
      <c r="O385" s="460"/>
      <c r="P385" s="460"/>
      <c r="Q385" s="460"/>
      <c r="R385" s="460"/>
      <c r="S385" s="460"/>
      <c r="T385" s="460"/>
      <c r="U385" s="460"/>
      <c r="V385" s="460"/>
      <c r="W385" s="460"/>
      <c r="X385" s="460"/>
    </row>
    <row r="386" ht="24.75" customHeight="1">
      <c r="A386" s="18"/>
      <c r="B386" s="56" t="s">
        <v>55</v>
      </c>
      <c r="C386" s="110">
        <v>4.35065E7</v>
      </c>
      <c r="D386" s="115"/>
      <c r="E386" s="18"/>
      <c r="F386" s="460"/>
      <c r="G386" s="460"/>
      <c r="H386" s="460"/>
      <c r="I386" s="460"/>
      <c r="J386" s="460"/>
      <c r="K386" s="460"/>
      <c r="L386" s="460"/>
      <c r="M386" s="460"/>
      <c r="N386" s="460"/>
      <c r="O386" s="460"/>
      <c r="P386" s="460"/>
      <c r="Q386" s="460"/>
      <c r="R386" s="460"/>
      <c r="S386" s="460"/>
      <c r="T386" s="460"/>
      <c r="U386" s="460"/>
      <c r="V386" s="460"/>
      <c r="W386" s="460"/>
      <c r="X386" s="460"/>
    </row>
    <row r="387" ht="24.0" customHeight="1">
      <c r="A387" s="18"/>
      <c r="B387" s="56" t="s">
        <v>57</v>
      </c>
      <c r="C387" s="110">
        <v>6.61513E7</v>
      </c>
      <c r="D387" s="115"/>
      <c r="E387" s="18"/>
      <c r="F387" s="460"/>
      <c r="G387" s="460"/>
      <c r="H387" s="460"/>
      <c r="I387" s="460"/>
      <c r="J387" s="460"/>
      <c r="K387" s="460"/>
      <c r="L387" s="460"/>
      <c r="M387" s="460"/>
      <c r="N387" s="460"/>
      <c r="O387" s="460"/>
      <c r="P387" s="460"/>
      <c r="Q387" s="460"/>
      <c r="R387" s="460"/>
      <c r="S387" s="460"/>
      <c r="T387" s="460"/>
      <c r="U387" s="460"/>
      <c r="V387" s="460"/>
      <c r="W387" s="460"/>
      <c r="X387" s="460"/>
    </row>
    <row r="388" ht="24.0" customHeight="1">
      <c r="A388" s="22"/>
      <c r="B388" s="129"/>
      <c r="C388" s="110"/>
      <c r="D388" s="115" t="s">
        <v>625</v>
      </c>
      <c r="E388" s="18"/>
      <c r="F388" s="460"/>
      <c r="G388" s="460"/>
      <c r="H388" s="460"/>
      <c r="I388" s="460"/>
      <c r="J388" s="460"/>
      <c r="K388" s="460"/>
      <c r="L388" s="460"/>
      <c r="M388" s="460"/>
      <c r="N388" s="460"/>
      <c r="O388" s="460"/>
      <c r="P388" s="460"/>
      <c r="Q388" s="460"/>
      <c r="R388" s="460"/>
      <c r="S388" s="460"/>
      <c r="T388" s="460"/>
      <c r="U388" s="460"/>
      <c r="V388" s="460"/>
      <c r="W388" s="460"/>
      <c r="X388" s="460"/>
    </row>
    <row r="389" ht="25.5" customHeight="1">
      <c r="A389" s="492" t="s">
        <v>155</v>
      </c>
      <c r="B389" s="56" t="s">
        <v>51</v>
      </c>
      <c r="C389" s="110">
        <v>2.96955E7</v>
      </c>
      <c r="D389" s="115" t="s">
        <v>7</v>
      </c>
      <c r="E389" s="417">
        <f>sum(C392)</f>
        <v>35379000</v>
      </c>
      <c r="F389" s="460"/>
      <c r="G389" s="460"/>
      <c r="H389" s="460"/>
      <c r="I389" s="460"/>
      <c r="J389" s="460"/>
      <c r="K389" s="460"/>
      <c r="L389" s="460"/>
      <c r="M389" s="460"/>
      <c r="N389" s="460"/>
      <c r="O389" s="460"/>
      <c r="P389" s="460"/>
      <c r="Q389" s="460"/>
      <c r="R389" s="460"/>
      <c r="S389" s="460"/>
      <c r="T389" s="460"/>
      <c r="U389" s="460"/>
      <c r="V389" s="460"/>
      <c r="W389" s="460"/>
      <c r="X389" s="460"/>
    </row>
    <row r="390" ht="24.75" customHeight="1">
      <c r="A390" s="18"/>
      <c r="B390" s="56" t="s">
        <v>53</v>
      </c>
      <c r="C390" s="110">
        <v>4.51775E7</v>
      </c>
      <c r="D390" s="115" t="s">
        <v>7</v>
      </c>
      <c r="E390" s="18"/>
      <c r="F390" s="190"/>
      <c r="G390" s="460"/>
      <c r="H390" s="460"/>
      <c r="I390" s="460"/>
      <c r="J390" s="460"/>
      <c r="K390" s="460"/>
      <c r="L390" s="460"/>
      <c r="M390" s="460"/>
      <c r="N390" s="460"/>
      <c r="O390" s="460"/>
      <c r="P390" s="460"/>
      <c r="Q390" s="460"/>
      <c r="R390" s="460"/>
      <c r="S390" s="460"/>
      <c r="T390" s="460"/>
      <c r="U390" s="460"/>
      <c r="V390" s="460"/>
      <c r="W390" s="460"/>
      <c r="X390" s="460"/>
    </row>
    <row r="391" ht="24.75" customHeight="1">
      <c r="A391" s="18"/>
      <c r="B391" s="56" t="s">
        <v>55</v>
      </c>
      <c r="C391" s="110">
        <v>3.49105E7</v>
      </c>
      <c r="D391" s="115" t="s">
        <v>7</v>
      </c>
      <c r="E391" s="18"/>
      <c r="F391" s="460"/>
      <c r="G391" s="460"/>
      <c r="H391" s="460"/>
      <c r="I391" s="460"/>
      <c r="J391" s="460"/>
      <c r="K391" s="460"/>
      <c r="L391" s="460"/>
      <c r="M391" s="460"/>
      <c r="N391" s="460"/>
      <c r="O391" s="460"/>
      <c r="P391" s="460"/>
      <c r="Q391" s="460"/>
      <c r="R391" s="460"/>
      <c r="S391" s="460"/>
      <c r="T391" s="460"/>
      <c r="U391" s="460"/>
      <c r="V391" s="460"/>
      <c r="W391" s="460"/>
      <c r="X391" s="460"/>
    </row>
    <row r="392" ht="26.25" customHeight="1">
      <c r="A392" s="22"/>
      <c r="B392" s="56" t="s">
        <v>57</v>
      </c>
      <c r="C392" s="110">
        <v>3.5379E7</v>
      </c>
      <c r="D392" s="115"/>
      <c r="E392" s="18"/>
      <c r="F392" s="460"/>
      <c r="G392" s="460"/>
      <c r="H392" s="460"/>
      <c r="I392" s="460"/>
      <c r="J392" s="460"/>
      <c r="K392" s="460"/>
      <c r="L392" s="460"/>
      <c r="M392" s="460"/>
      <c r="N392" s="460"/>
      <c r="O392" s="460"/>
      <c r="P392" s="460"/>
      <c r="Q392" s="460"/>
      <c r="R392" s="460"/>
      <c r="S392" s="460"/>
      <c r="T392" s="460"/>
      <c r="U392" s="460"/>
      <c r="V392" s="460"/>
      <c r="W392" s="460"/>
      <c r="X392" s="460"/>
    </row>
    <row r="393" ht="24.75" customHeight="1">
      <c r="A393" s="492" t="s">
        <v>156</v>
      </c>
      <c r="B393" s="184" t="s">
        <v>71</v>
      </c>
      <c r="C393" s="110">
        <f>SUM(148818500-21330000-26385000)</f>
        <v>101103500</v>
      </c>
      <c r="D393" s="31"/>
      <c r="E393" s="417">
        <f>SUM(C393:C397)</f>
        <v>210019000</v>
      </c>
      <c r="F393" s="460"/>
      <c r="G393" s="460"/>
      <c r="H393" s="460"/>
      <c r="I393" s="460"/>
      <c r="J393" s="460"/>
      <c r="K393" s="460"/>
      <c r="L393" s="460"/>
      <c r="M393" s="460"/>
      <c r="N393" s="460"/>
      <c r="O393" s="460"/>
      <c r="P393" s="460"/>
      <c r="Q393" s="460"/>
      <c r="R393" s="460"/>
      <c r="S393" s="460"/>
      <c r="T393" s="460"/>
      <c r="U393" s="460"/>
      <c r="V393" s="460"/>
      <c r="W393" s="460"/>
      <c r="X393" s="460"/>
    </row>
    <row r="394" ht="25.5" customHeight="1">
      <c r="A394" s="18"/>
      <c r="B394" s="56" t="s">
        <v>51</v>
      </c>
      <c r="C394" s="168">
        <v>1.7465E7</v>
      </c>
      <c r="D394" s="158"/>
      <c r="E394" s="18"/>
      <c r="F394" s="460"/>
      <c r="G394" s="460"/>
      <c r="H394" s="460"/>
      <c r="I394" s="460"/>
      <c r="J394" s="460"/>
      <c r="K394" s="460"/>
      <c r="L394" s="460"/>
      <c r="M394" s="460"/>
      <c r="N394" s="460"/>
      <c r="O394" s="460"/>
      <c r="P394" s="460"/>
      <c r="Q394" s="460"/>
      <c r="R394" s="460"/>
      <c r="S394" s="460"/>
      <c r="T394" s="460"/>
      <c r="U394" s="460"/>
      <c r="V394" s="460"/>
      <c r="W394" s="460"/>
      <c r="X394" s="460"/>
    </row>
    <row r="395" ht="23.25" customHeight="1">
      <c r="A395" s="18"/>
      <c r="B395" s="56" t="s">
        <v>53</v>
      </c>
      <c r="C395" s="168">
        <v>3.47855E7</v>
      </c>
      <c r="D395" s="34"/>
      <c r="E395" s="18"/>
      <c r="F395" s="460"/>
      <c r="G395" s="460"/>
      <c r="H395" s="460"/>
      <c r="I395" s="460"/>
      <c r="J395" s="460"/>
      <c r="K395" s="460"/>
      <c r="L395" s="460"/>
      <c r="M395" s="460"/>
      <c r="N395" s="460"/>
      <c r="O395" s="460"/>
      <c r="P395" s="460"/>
      <c r="Q395" s="460"/>
      <c r="R395" s="460"/>
      <c r="S395" s="460"/>
      <c r="T395" s="460"/>
      <c r="U395" s="460"/>
      <c r="V395" s="460"/>
      <c r="W395" s="460"/>
      <c r="X395" s="460"/>
    </row>
    <row r="396" ht="24.0" customHeight="1">
      <c r="A396" s="18"/>
      <c r="B396" s="56" t="s">
        <v>55</v>
      </c>
      <c r="C396" s="168">
        <v>2.5855E7</v>
      </c>
      <c r="D396" s="21"/>
      <c r="E396" s="18"/>
      <c r="F396" s="460"/>
      <c r="G396" s="460"/>
      <c r="H396" s="460"/>
      <c r="I396" s="460"/>
      <c r="J396" s="460"/>
      <c r="K396" s="460"/>
      <c r="L396" s="460"/>
      <c r="M396" s="460"/>
      <c r="N396" s="460"/>
      <c r="O396" s="460"/>
      <c r="P396" s="460"/>
      <c r="Q396" s="460"/>
      <c r="R396" s="460"/>
      <c r="S396" s="460"/>
      <c r="T396" s="460"/>
      <c r="U396" s="460"/>
      <c r="V396" s="460"/>
      <c r="W396" s="460"/>
      <c r="X396" s="460"/>
    </row>
    <row r="397" ht="23.25" customHeight="1">
      <c r="A397" s="22"/>
      <c r="B397" s="56" t="s">
        <v>57</v>
      </c>
      <c r="C397" s="168">
        <v>3.081E7</v>
      </c>
      <c r="D397" s="34"/>
      <c r="E397" s="22"/>
      <c r="F397" s="190" t="s">
        <v>360</v>
      </c>
      <c r="G397" s="460"/>
      <c r="H397" s="460"/>
      <c r="I397" s="460"/>
      <c r="J397" s="460"/>
      <c r="K397" s="460"/>
      <c r="L397" s="460"/>
      <c r="M397" s="460"/>
      <c r="N397" s="460"/>
      <c r="O397" s="460"/>
      <c r="P397" s="460"/>
      <c r="Q397" s="460"/>
      <c r="R397" s="460"/>
      <c r="S397" s="460"/>
      <c r="T397" s="460"/>
      <c r="U397" s="460"/>
      <c r="V397" s="460"/>
      <c r="W397" s="460"/>
      <c r="X397" s="460"/>
    </row>
    <row r="398" ht="22.5" customHeight="1">
      <c r="A398" s="492" t="s">
        <v>158</v>
      </c>
      <c r="B398" s="129" t="s">
        <v>51</v>
      </c>
      <c r="C398" s="110">
        <v>5980000.0</v>
      </c>
      <c r="D398" s="115"/>
      <c r="E398" s="496">
        <f>SUM(C398:C401)</f>
        <v>55264000</v>
      </c>
      <c r="F398" s="460"/>
      <c r="G398" s="460"/>
      <c r="H398" s="460"/>
      <c r="I398" s="460"/>
      <c r="J398" s="460"/>
      <c r="K398" s="460"/>
      <c r="L398" s="460"/>
      <c r="M398" s="460"/>
      <c r="N398" s="460"/>
      <c r="O398" s="460"/>
      <c r="P398" s="460"/>
      <c r="Q398" s="460"/>
      <c r="R398" s="460"/>
      <c r="S398" s="460"/>
      <c r="T398" s="460"/>
      <c r="U398" s="460"/>
      <c r="V398" s="460"/>
      <c r="W398" s="460"/>
      <c r="X398" s="460"/>
    </row>
    <row r="399" ht="22.5" customHeight="1">
      <c r="A399" s="18"/>
      <c r="B399" s="129" t="s">
        <v>362</v>
      </c>
      <c r="C399" s="110">
        <v>2865500.0</v>
      </c>
      <c r="D399" s="115"/>
      <c r="E399" s="18"/>
      <c r="F399" s="460"/>
      <c r="G399" s="460"/>
      <c r="H399" s="460"/>
      <c r="I399" s="460"/>
      <c r="J399" s="460"/>
      <c r="K399" s="460"/>
      <c r="L399" s="460"/>
      <c r="M399" s="460"/>
      <c r="N399" s="460"/>
      <c r="O399" s="460"/>
      <c r="P399" s="460"/>
      <c r="Q399" s="460"/>
      <c r="R399" s="460"/>
      <c r="S399" s="460"/>
      <c r="T399" s="460"/>
      <c r="U399" s="460"/>
      <c r="V399" s="460"/>
      <c r="W399" s="460"/>
      <c r="X399" s="460"/>
    </row>
    <row r="400" ht="22.5" customHeight="1">
      <c r="A400" s="18"/>
      <c r="B400" s="116" t="s">
        <v>55</v>
      </c>
      <c r="C400" s="110">
        <v>2.4694E7</v>
      </c>
      <c r="D400" s="115"/>
      <c r="E400" s="18"/>
      <c r="F400" s="460"/>
      <c r="G400" s="460"/>
      <c r="H400" s="460"/>
      <c r="I400" s="460"/>
      <c r="J400" s="460"/>
      <c r="K400" s="460"/>
      <c r="L400" s="460"/>
      <c r="M400" s="460"/>
      <c r="N400" s="460"/>
      <c r="O400" s="460"/>
      <c r="P400" s="460"/>
      <c r="Q400" s="460"/>
      <c r="R400" s="460"/>
      <c r="S400" s="460"/>
      <c r="T400" s="460"/>
      <c r="U400" s="460"/>
      <c r="V400" s="460"/>
      <c r="W400" s="460"/>
      <c r="X400" s="460"/>
    </row>
    <row r="401" ht="22.5" customHeight="1">
      <c r="A401" s="18"/>
      <c r="B401" s="354" t="s">
        <v>57</v>
      </c>
      <c r="C401" s="110">
        <v>2.17245E7</v>
      </c>
      <c r="D401" s="115"/>
      <c r="E401" s="18"/>
      <c r="F401" s="460"/>
      <c r="G401" s="460"/>
      <c r="H401" s="460"/>
      <c r="I401" s="460"/>
      <c r="J401" s="460"/>
      <c r="K401" s="460"/>
      <c r="L401" s="460"/>
      <c r="M401" s="460"/>
      <c r="N401" s="460"/>
      <c r="O401" s="460"/>
      <c r="P401" s="460"/>
      <c r="Q401" s="460"/>
      <c r="R401" s="460"/>
      <c r="S401" s="460"/>
      <c r="T401" s="460"/>
      <c r="U401" s="460"/>
      <c r="V401" s="460"/>
      <c r="W401" s="460"/>
      <c r="X401" s="460"/>
    </row>
    <row r="402" ht="22.5" customHeight="1">
      <c r="A402" s="22"/>
      <c r="B402" s="56"/>
      <c r="C402" s="110"/>
      <c r="D402" s="115"/>
      <c r="E402" s="18"/>
      <c r="F402" s="497" t="s">
        <v>361</v>
      </c>
      <c r="G402" s="498"/>
      <c r="H402" s="460"/>
      <c r="I402" s="460"/>
      <c r="J402" s="460"/>
      <c r="K402" s="460"/>
      <c r="L402" s="460"/>
      <c r="M402" s="460"/>
      <c r="N402" s="460"/>
      <c r="O402" s="460"/>
      <c r="P402" s="460"/>
      <c r="Q402" s="460"/>
      <c r="R402" s="460"/>
      <c r="S402" s="460"/>
      <c r="T402" s="460"/>
      <c r="U402" s="460"/>
      <c r="V402" s="460"/>
      <c r="W402" s="460"/>
      <c r="X402" s="460"/>
    </row>
    <row r="403" ht="22.5" customHeight="1">
      <c r="A403" s="492" t="s">
        <v>159</v>
      </c>
      <c r="B403" s="129" t="s">
        <v>51</v>
      </c>
      <c r="C403" s="110">
        <v>7680000.0</v>
      </c>
      <c r="D403" s="115" t="s">
        <v>7</v>
      </c>
      <c r="E403" s="417">
        <f>SUM(C405:C406)</f>
        <v>41786500</v>
      </c>
      <c r="F403" s="460"/>
      <c r="G403" s="460"/>
      <c r="H403" s="460"/>
      <c r="I403" s="460"/>
      <c r="J403" s="460"/>
      <c r="K403" s="460"/>
      <c r="L403" s="460"/>
      <c r="M403" s="460"/>
      <c r="N403" s="460"/>
      <c r="O403" s="460"/>
      <c r="P403" s="460"/>
      <c r="Q403" s="460"/>
      <c r="R403" s="460"/>
      <c r="S403" s="460"/>
      <c r="T403" s="460"/>
      <c r="U403" s="460"/>
      <c r="V403" s="460"/>
      <c r="W403" s="460"/>
      <c r="X403" s="460"/>
    </row>
    <row r="404" ht="22.5" customHeight="1">
      <c r="A404" s="18"/>
      <c r="B404" s="129" t="s">
        <v>362</v>
      </c>
      <c r="C404" s="110">
        <v>2.61525E7</v>
      </c>
      <c r="D404" s="115" t="s">
        <v>7</v>
      </c>
      <c r="E404" s="18"/>
      <c r="F404" s="460"/>
      <c r="G404" s="460"/>
      <c r="H404" s="460"/>
      <c r="I404" s="460"/>
      <c r="J404" s="460"/>
      <c r="K404" s="460"/>
      <c r="L404" s="460"/>
      <c r="M404" s="460"/>
      <c r="N404" s="460"/>
      <c r="O404" s="460"/>
      <c r="P404" s="460"/>
      <c r="Q404" s="460"/>
      <c r="R404" s="460"/>
      <c r="S404" s="460"/>
      <c r="T404" s="460"/>
      <c r="U404" s="460"/>
      <c r="V404" s="460"/>
      <c r="W404" s="460"/>
      <c r="X404" s="460"/>
    </row>
    <row r="405" ht="22.5" customHeight="1">
      <c r="A405" s="18"/>
      <c r="B405" s="116" t="s">
        <v>55</v>
      </c>
      <c r="C405" s="110">
        <v>1.752E7</v>
      </c>
      <c r="D405" s="115"/>
      <c r="E405" s="18"/>
      <c r="F405" s="460"/>
      <c r="G405" s="460"/>
      <c r="H405" s="460"/>
      <c r="I405" s="460"/>
      <c r="J405" s="460"/>
      <c r="K405" s="460"/>
      <c r="L405" s="460"/>
      <c r="M405" s="460"/>
      <c r="N405" s="460"/>
      <c r="O405" s="460"/>
      <c r="P405" s="460"/>
      <c r="Q405" s="460"/>
      <c r="R405" s="460"/>
      <c r="S405" s="460"/>
      <c r="T405" s="460"/>
      <c r="U405" s="460"/>
      <c r="V405" s="460"/>
      <c r="W405" s="460"/>
      <c r="X405" s="460"/>
    </row>
    <row r="406" ht="22.5" customHeight="1">
      <c r="A406" s="22"/>
      <c r="B406" s="354" t="s">
        <v>57</v>
      </c>
      <c r="C406" s="110">
        <v>2.42665E7</v>
      </c>
      <c r="D406" s="115"/>
      <c r="E406" s="22"/>
      <c r="F406" s="460"/>
      <c r="G406" s="460"/>
      <c r="H406" s="460"/>
      <c r="I406" s="460"/>
      <c r="J406" s="460"/>
      <c r="K406" s="460"/>
      <c r="L406" s="460"/>
      <c r="M406" s="460"/>
      <c r="N406" s="460"/>
      <c r="O406" s="460"/>
      <c r="P406" s="460"/>
      <c r="Q406" s="460"/>
      <c r="R406" s="460"/>
      <c r="S406" s="460"/>
      <c r="T406" s="460"/>
      <c r="U406" s="460"/>
      <c r="V406" s="460"/>
      <c r="W406" s="460"/>
      <c r="X406" s="460"/>
    </row>
    <row r="407" ht="22.5" customHeight="1">
      <c r="A407" s="492" t="s">
        <v>160</v>
      </c>
      <c r="B407" s="184" t="s">
        <v>626</v>
      </c>
      <c r="C407" s="110">
        <v>1.33357E8</v>
      </c>
      <c r="D407" s="115"/>
      <c r="E407" s="414">
        <f>SUM(C407:C410)</f>
        <v>510516500</v>
      </c>
      <c r="F407" s="460"/>
      <c r="G407" s="460"/>
      <c r="H407" s="460"/>
      <c r="I407" s="460"/>
      <c r="J407" s="460"/>
      <c r="K407" s="460"/>
      <c r="L407" s="460"/>
      <c r="M407" s="460"/>
      <c r="N407" s="460"/>
      <c r="O407" s="460"/>
      <c r="P407" s="460"/>
      <c r="Q407" s="460"/>
      <c r="R407" s="460"/>
      <c r="S407" s="460"/>
      <c r="T407" s="460"/>
      <c r="U407" s="460"/>
      <c r="V407" s="460"/>
      <c r="W407" s="460"/>
      <c r="X407" s="460"/>
    </row>
    <row r="408" ht="22.5" customHeight="1">
      <c r="A408" s="18"/>
      <c r="B408" s="184" t="s">
        <v>71</v>
      </c>
      <c r="C408" s="115">
        <v>1.820835E8</v>
      </c>
      <c r="D408" s="115"/>
      <c r="E408" s="18"/>
      <c r="F408" s="460"/>
      <c r="G408" s="460"/>
      <c r="H408" s="460"/>
      <c r="I408" s="460"/>
      <c r="J408" s="460"/>
      <c r="K408" s="460"/>
      <c r="L408" s="460"/>
      <c r="M408" s="460"/>
      <c r="N408" s="460"/>
      <c r="O408" s="460"/>
      <c r="P408" s="460"/>
      <c r="Q408" s="460"/>
      <c r="R408" s="460"/>
      <c r="S408" s="460"/>
      <c r="T408" s="460"/>
      <c r="U408" s="460"/>
      <c r="V408" s="460"/>
      <c r="W408" s="460"/>
      <c r="X408" s="460"/>
    </row>
    <row r="409" ht="22.5" customHeight="1">
      <c r="A409" s="18"/>
      <c r="B409" s="184" t="s">
        <v>72</v>
      </c>
      <c r="C409" s="115">
        <v>1.95076E8</v>
      </c>
      <c r="D409" s="158"/>
      <c r="E409" s="18"/>
      <c r="F409" s="53"/>
      <c r="G409" s="460"/>
      <c r="H409" s="460"/>
      <c r="I409" s="460"/>
      <c r="J409" s="460"/>
      <c r="K409" s="460"/>
      <c r="L409" s="460"/>
      <c r="M409" s="460"/>
      <c r="N409" s="460"/>
      <c r="O409" s="460"/>
      <c r="P409" s="460"/>
      <c r="Q409" s="460"/>
      <c r="R409" s="460"/>
      <c r="S409" s="460"/>
      <c r="T409" s="460"/>
      <c r="U409" s="460"/>
      <c r="V409" s="460"/>
      <c r="W409" s="460"/>
      <c r="X409" s="460"/>
    </row>
    <row r="410" ht="22.5" customHeight="1">
      <c r="A410" s="22"/>
      <c r="B410" s="499"/>
      <c r="C410" s="110"/>
      <c r="D410" s="115"/>
      <c r="E410" s="22"/>
      <c r="F410" s="426"/>
      <c r="G410" s="460"/>
      <c r="H410" s="460"/>
      <c r="I410" s="460"/>
      <c r="J410" s="460"/>
      <c r="K410" s="460"/>
      <c r="L410" s="460"/>
      <c r="M410" s="460"/>
      <c r="N410" s="460"/>
      <c r="O410" s="460"/>
      <c r="P410" s="460"/>
      <c r="Q410" s="460"/>
      <c r="R410" s="460"/>
      <c r="S410" s="460"/>
      <c r="T410" s="460"/>
      <c r="U410" s="460"/>
      <c r="V410" s="460"/>
      <c r="W410" s="460"/>
      <c r="X410" s="460"/>
    </row>
    <row r="411" ht="21.75" customHeight="1">
      <c r="A411" s="494" t="s">
        <v>386</v>
      </c>
      <c r="B411" s="192" t="s">
        <v>71</v>
      </c>
      <c r="C411" s="110">
        <v>3.2303E7</v>
      </c>
      <c r="D411" s="115"/>
      <c r="E411" s="414">
        <f>SUM(C411:C414)</f>
        <v>57279000</v>
      </c>
      <c r="F411" s="460"/>
      <c r="G411" s="460"/>
      <c r="H411" s="460"/>
      <c r="I411" s="460"/>
      <c r="J411" s="460"/>
      <c r="K411" s="460"/>
      <c r="L411" s="460"/>
      <c r="M411" s="460"/>
      <c r="N411" s="460"/>
      <c r="O411" s="460"/>
      <c r="P411" s="460"/>
      <c r="Q411" s="460"/>
      <c r="R411" s="460"/>
      <c r="S411" s="460"/>
      <c r="T411" s="460"/>
      <c r="U411" s="460"/>
      <c r="V411" s="460"/>
      <c r="W411" s="460"/>
      <c r="X411" s="460"/>
    </row>
    <row r="412" ht="21.75" customHeight="1">
      <c r="A412" s="18"/>
      <c r="B412" s="500" t="s">
        <v>72</v>
      </c>
      <c r="C412" s="110">
        <v>2.4976E7</v>
      </c>
      <c r="D412" s="192"/>
      <c r="E412" s="18"/>
      <c r="F412" s="460"/>
      <c r="G412" s="460"/>
      <c r="H412" s="460"/>
      <c r="I412" s="460"/>
      <c r="J412" s="460"/>
      <c r="K412" s="460"/>
      <c r="L412" s="460"/>
      <c r="M412" s="460"/>
      <c r="N412" s="460"/>
      <c r="O412" s="460"/>
      <c r="P412" s="460"/>
      <c r="Q412" s="460"/>
      <c r="R412" s="460"/>
      <c r="S412" s="460"/>
      <c r="T412" s="460"/>
      <c r="U412" s="460"/>
      <c r="V412" s="460"/>
      <c r="W412" s="460"/>
      <c r="X412" s="460"/>
    </row>
    <row r="413" ht="21.75" customHeight="1">
      <c r="A413" s="18"/>
      <c r="B413" s="184"/>
      <c r="C413" s="110"/>
      <c r="D413" s="158"/>
      <c r="E413" s="18"/>
      <c r="F413" s="460"/>
      <c r="G413" s="460"/>
      <c r="H413" s="460"/>
      <c r="I413" s="460"/>
      <c r="J413" s="460"/>
      <c r="K413" s="460"/>
      <c r="L413" s="460"/>
      <c r="M413" s="460"/>
      <c r="N413" s="460"/>
      <c r="O413" s="460"/>
      <c r="P413" s="460"/>
      <c r="Q413" s="460"/>
      <c r="R413" s="460"/>
      <c r="S413" s="460"/>
      <c r="T413" s="460"/>
      <c r="U413" s="460"/>
      <c r="V413" s="460"/>
      <c r="W413" s="460"/>
      <c r="X413" s="460"/>
    </row>
    <row r="414" ht="21.75" customHeight="1">
      <c r="A414" s="22"/>
      <c r="B414" s="184"/>
      <c r="C414" s="110"/>
      <c r="D414" s="158"/>
      <c r="E414" s="22"/>
      <c r="F414" s="460"/>
      <c r="G414" s="460"/>
      <c r="H414" s="460"/>
      <c r="I414" s="460"/>
      <c r="J414" s="460"/>
      <c r="K414" s="460"/>
      <c r="L414" s="460"/>
      <c r="M414" s="460"/>
      <c r="N414" s="460"/>
      <c r="O414" s="460"/>
      <c r="P414" s="460"/>
      <c r="Q414" s="460"/>
      <c r="R414" s="460"/>
      <c r="S414" s="460"/>
      <c r="T414" s="460"/>
      <c r="U414" s="460"/>
      <c r="V414" s="460"/>
      <c r="W414" s="460"/>
      <c r="X414" s="460"/>
    </row>
    <row r="415" ht="22.5" customHeight="1">
      <c r="A415" s="492" t="s">
        <v>167</v>
      </c>
      <c r="B415" s="129" t="s">
        <v>51</v>
      </c>
      <c r="C415" s="110">
        <v>2.02228E7</v>
      </c>
      <c r="D415" s="115" t="s">
        <v>7</v>
      </c>
      <c r="E415" s="417">
        <f>SUM(C418)</f>
        <v>20704800</v>
      </c>
      <c r="F415" s="460"/>
      <c r="G415" s="460"/>
      <c r="H415" s="460"/>
      <c r="I415" s="460"/>
      <c r="J415" s="460"/>
      <c r="K415" s="460"/>
      <c r="L415" s="460"/>
      <c r="M415" s="460"/>
      <c r="N415" s="460"/>
      <c r="O415" s="460"/>
      <c r="P415" s="460"/>
      <c r="Q415" s="460"/>
      <c r="R415" s="460"/>
      <c r="S415" s="460"/>
      <c r="T415" s="460"/>
      <c r="U415" s="460"/>
      <c r="V415" s="460"/>
      <c r="W415" s="460"/>
      <c r="X415" s="460"/>
    </row>
    <row r="416" ht="22.5" customHeight="1">
      <c r="A416" s="18"/>
      <c r="B416" s="192" t="s">
        <v>53</v>
      </c>
      <c r="C416" s="110">
        <v>1.7813E7</v>
      </c>
      <c r="D416" s="115" t="s">
        <v>7</v>
      </c>
      <c r="E416" s="18"/>
      <c r="F416" s="460"/>
      <c r="G416" s="460"/>
      <c r="H416" s="460"/>
      <c r="I416" s="460"/>
      <c r="J416" s="460"/>
      <c r="K416" s="460"/>
      <c r="L416" s="460"/>
      <c r="M416" s="460"/>
      <c r="N416" s="460"/>
      <c r="O416" s="460"/>
      <c r="P416" s="460"/>
      <c r="Q416" s="460"/>
      <c r="R416" s="460"/>
      <c r="S416" s="460"/>
      <c r="T416" s="460"/>
      <c r="U416" s="460"/>
      <c r="V416" s="460"/>
      <c r="W416" s="460"/>
      <c r="X416" s="460"/>
    </row>
    <row r="417" ht="22.5" customHeight="1">
      <c r="A417" s="18"/>
      <c r="B417" s="116" t="s">
        <v>55</v>
      </c>
      <c r="C417" s="110">
        <v>2.1821E7</v>
      </c>
      <c r="D417" s="115" t="s">
        <v>7</v>
      </c>
      <c r="E417" s="18"/>
      <c r="F417" s="460"/>
      <c r="G417" s="460"/>
      <c r="H417" s="460"/>
      <c r="I417" s="460"/>
      <c r="J417" s="460"/>
      <c r="K417" s="460"/>
      <c r="L417" s="460"/>
      <c r="M417" s="460"/>
      <c r="N417" s="460"/>
      <c r="O417" s="460"/>
      <c r="P417" s="460"/>
      <c r="Q417" s="460"/>
      <c r="R417" s="460"/>
      <c r="S417" s="460"/>
      <c r="T417" s="460"/>
      <c r="U417" s="460"/>
      <c r="V417" s="460"/>
      <c r="W417" s="460"/>
      <c r="X417" s="460"/>
    </row>
    <row r="418" ht="22.5" customHeight="1">
      <c r="A418" s="22"/>
      <c r="B418" s="354" t="s">
        <v>57</v>
      </c>
      <c r="C418" s="110">
        <v>2.07048E7</v>
      </c>
      <c r="D418" s="115"/>
      <c r="E418" s="22"/>
      <c r="F418" s="460"/>
      <c r="G418" s="460"/>
      <c r="H418" s="460"/>
      <c r="I418" s="460"/>
      <c r="J418" s="460"/>
      <c r="K418" s="460"/>
      <c r="L418" s="460"/>
      <c r="M418" s="460"/>
      <c r="N418" s="460"/>
      <c r="O418" s="460"/>
      <c r="P418" s="460"/>
      <c r="Q418" s="460"/>
      <c r="R418" s="460"/>
      <c r="S418" s="460"/>
      <c r="T418" s="460"/>
      <c r="U418" s="460"/>
      <c r="V418" s="460"/>
      <c r="W418" s="460"/>
      <c r="X418" s="460"/>
    </row>
    <row r="419" ht="22.5" customHeight="1">
      <c r="A419" s="492" t="s">
        <v>172</v>
      </c>
      <c r="B419" s="129" t="s">
        <v>570</v>
      </c>
      <c r="C419" s="110">
        <v>4.42215E7</v>
      </c>
      <c r="D419" s="115" t="s">
        <v>7</v>
      </c>
      <c r="E419" s="414">
        <f>SUM(C420:C425)</f>
        <v>253193000</v>
      </c>
      <c r="F419" s="460"/>
      <c r="G419" s="190">
        <v>4.42215E7</v>
      </c>
      <c r="H419" s="460"/>
      <c r="I419" s="460"/>
      <c r="J419" s="460"/>
      <c r="K419" s="460"/>
      <c r="L419" s="460"/>
      <c r="M419" s="460"/>
      <c r="N419" s="460"/>
      <c r="O419" s="460"/>
      <c r="P419" s="460"/>
      <c r="Q419" s="460"/>
      <c r="R419" s="460"/>
      <c r="S419" s="460"/>
      <c r="T419" s="460"/>
      <c r="U419" s="460"/>
      <c r="V419" s="460"/>
      <c r="W419" s="460"/>
      <c r="X419" s="460"/>
    </row>
    <row r="420" ht="22.5" customHeight="1">
      <c r="A420" s="18"/>
      <c r="B420" s="184" t="s">
        <v>537</v>
      </c>
      <c r="C420" s="155">
        <f>SUM(60210500-9000)</f>
        <v>60201500</v>
      </c>
      <c r="D420" s="48"/>
      <c r="E420" s="18"/>
      <c r="F420" s="460"/>
      <c r="G420" s="460"/>
      <c r="H420" s="460"/>
      <c r="I420" s="460"/>
      <c r="J420" s="460"/>
      <c r="K420" s="460"/>
      <c r="L420" s="460"/>
      <c r="M420" s="460"/>
      <c r="N420" s="460"/>
      <c r="O420" s="460"/>
      <c r="P420" s="460"/>
      <c r="Q420" s="460"/>
      <c r="R420" s="460"/>
      <c r="S420" s="460"/>
      <c r="T420" s="460"/>
      <c r="U420" s="460"/>
      <c r="V420" s="460"/>
      <c r="W420" s="460"/>
      <c r="X420" s="460"/>
    </row>
    <row r="421" ht="24.0" customHeight="1">
      <c r="A421" s="18"/>
      <c r="B421" s="129" t="s">
        <v>624</v>
      </c>
      <c r="C421" s="155">
        <v>8.7427E7</v>
      </c>
      <c r="D421" s="192"/>
      <c r="E421" s="18"/>
      <c r="F421" s="53"/>
      <c r="G421" s="460"/>
      <c r="H421" s="460"/>
      <c r="I421" s="460"/>
      <c r="J421" s="460"/>
      <c r="K421" s="460"/>
      <c r="L421" s="460"/>
      <c r="M421" s="460"/>
      <c r="N421" s="460"/>
      <c r="O421" s="460"/>
      <c r="P421" s="460"/>
      <c r="Q421" s="460"/>
      <c r="R421" s="460"/>
      <c r="S421" s="460"/>
      <c r="T421" s="460"/>
      <c r="U421" s="460"/>
      <c r="V421" s="460"/>
      <c r="W421" s="460"/>
      <c r="X421" s="460"/>
    </row>
    <row r="422" ht="24.0" customHeight="1">
      <c r="A422" s="18"/>
      <c r="B422" s="129" t="s">
        <v>51</v>
      </c>
      <c r="C422" s="155">
        <v>1.5794E7</v>
      </c>
      <c r="D422" s="460"/>
      <c r="E422" s="18"/>
      <c r="F422" s="53"/>
      <c r="G422" s="460"/>
      <c r="H422" s="460"/>
      <c r="I422" s="460"/>
      <c r="J422" s="460"/>
      <c r="K422" s="460"/>
      <c r="L422" s="460"/>
      <c r="M422" s="460"/>
      <c r="N422" s="460"/>
      <c r="O422" s="460"/>
      <c r="P422" s="460"/>
      <c r="Q422" s="460"/>
      <c r="R422" s="460"/>
      <c r="S422" s="460"/>
      <c r="T422" s="460"/>
      <c r="U422" s="460"/>
      <c r="V422" s="460"/>
      <c r="W422" s="460"/>
      <c r="X422" s="460"/>
    </row>
    <row r="423" ht="24.0" customHeight="1">
      <c r="A423" s="18"/>
      <c r="B423" s="192" t="s">
        <v>53</v>
      </c>
      <c r="C423" s="155">
        <v>1.80675E7</v>
      </c>
      <c r="D423" s="192"/>
      <c r="E423" s="18"/>
      <c r="F423" s="460"/>
      <c r="G423" s="460"/>
      <c r="H423" s="460"/>
      <c r="I423" s="460"/>
      <c r="J423" s="460"/>
      <c r="K423" s="460"/>
      <c r="L423" s="460"/>
      <c r="M423" s="460"/>
      <c r="N423" s="460"/>
      <c r="O423" s="460"/>
      <c r="P423" s="460"/>
      <c r="Q423" s="460"/>
      <c r="R423" s="460"/>
      <c r="S423" s="460"/>
      <c r="T423" s="460"/>
      <c r="U423" s="460"/>
      <c r="V423" s="460"/>
      <c r="W423" s="460"/>
      <c r="X423" s="460"/>
    </row>
    <row r="424" ht="24.0" customHeight="1">
      <c r="A424" s="18"/>
      <c r="B424" s="116" t="s">
        <v>55</v>
      </c>
      <c r="C424" s="155">
        <v>1.808E7</v>
      </c>
      <c r="D424" s="158"/>
      <c r="E424" s="18"/>
      <c r="F424" s="53"/>
      <c r="G424" s="460"/>
      <c r="H424" s="460"/>
      <c r="I424" s="460"/>
      <c r="J424" s="460"/>
      <c r="K424" s="460"/>
      <c r="L424" s="460"/>
      <c r="M424" s="460"/>
      <c r="N424" s="460"/>
      <c r="O424" s="460"/>
      <c r="P424" s="460"/>
      <c r="Q424" s="460"/>
      <c r="R424" s="460"/>
      <c r="S424" s="460"/>
      <c r="T424" s="460"/>
      <c r="U424" s="460"/>
      <c r="V424" s="460"/>
      <c r="W424" s="460"/>
      <c r="X424" s="460"/>
    </row>
    <row r="425" ht="24.0" customHeight="1">
      <c r="A425" s="22"/>
      <c r="B425" s="354" t="s">
        <v>57</v>
      </c>
      <c r="C425" s="155">
        <v>5.3623E7</v>
      </c>
      <c r="D425" s="158"/>
      <c r="E425" s="22"/>
      <c r="F425" s="53"/>
      <c r="G425" s="460"/>
      <c r="H425" s="460"/>
      <c r="I425" s="460"/>
      <c r="J425" s="460"/>
      <c r="K425" s="460"/>
      <c r="L425" s="460"/>
      <c r="M425" s="460"/>
      <c r="N425" s="460"/>
      <c r="O425" s="460"/>
      <c r="P425" s="460"/>
      <c r="Q425" s="460"/>
      <c r="R425" s="460"/>
      <c r="S425" s="460"/>
      <c r="T425" s="460"/>
      <c r="U425" s="460"/>
      <c r="V425" s="460"/>
      <c r="W425" s="460"/>
      <c r="X425" s="460"/>
    </row>
    <row r="426" ht="24.0" customHeight="1">
      <c r="A426" s="494" t="s">
        <v>178</v>
      </c>
      <c r="B426" s="129" t="s">
        <v>51</v>
      </c>
      <c r="C426" s="155">
        <v>2.72435E7</v>
      </c>
      <c r="D426" s="158"/>
      <c r="E426" s="414">
        <f>SUM(C426:C429)</f>
        <v>151991500</v>
      </c>
      <c r="F426" s="53"/>
      <c r="G426" s="460"/>
      <c r="H426" s="460"/>
      <c r="I426" s="460"/>
      <c r="J426" s="460"/>
      <c r="K426" s="460"/>
      <c r="L426" s="460"/>
      <c r="M426" s="460"/>
      <c r="N426" s="460"/>
      <c r="O426" s="460"/>
      <c r="P426" s="460"/>
      <c r="Q426" s="460"/>
      <c r="R426" s="460"/>
      <c r="S426" s="460"/>
      <c r="T426" s="460"/>
      <c r="U426" s="460"/>
      <c r="V426" s="460"/>
      <c r="W426" s="460"/>
      <c r="X426" s="460"/>
    </row>
    <row r="427" ht="27.75" customHeight="1">
      <c r="A427" s="18"/>
      <c r="B427" s="192" t="s">
        <v>53</v>
      </c>
      <c r="C427" s="155">
        <v>4.5617E7</v>
      </c>
      <c r="D427" s="158"/>
      <c r="E427" s="18"/>
      <c r="F427" s="190" t="s">
        <v>573</v>
      </c>
      <c r="G427" s="460"/>
      <c r="H427" s="460"/>
      <c r="I427" s="460"/>
      <c r="J427" s="460"/>
      <c r="K427" s="460"/>
      <c r="L427" s="460"/>
      <c r="M427" s="460"/>
      <c r="N427" s="460"/>
      <c r="O427" s="460"/>
      <c r="P427" s="460"/>
      <c r="Q427" s="460"/>
      <c r="R427" s="460"/>
      <c r="S427" s="460"/>
      <c r="T427" s="460"/>
      <c r="U427" s="460"/>
      <c r="V427" s="460"/>
      <c r="W427" s="460"/>
      <c r="X427" s="460"/>
    </row>
    <row r="428" ht="27.75" customHeight="1">
      <c r="A428" s="18"/>
      <c r="B428" s="116" t="s">
        <v>55</v>
      </c>
      <c r="C428" s="155">
        <v>3.4691E7</v>
      </c>
      <c r="D428" s="115"/>
      <c r="E428" s="18"/>
      <c r="F428" s="460"/>
      <c r="G428" s="460"/>
      <c r="H428" s="460"/>
      <c r="I428" s="460"/>
      <c r="J428" s="460"/>
      <c r="K428" s="460"/>
      <c r="L428" s="460"/>
      <c r="M428" s="460"/>
      <c r="N428" s="460"/>
      <c r="O428" s="460"/>
      <c r="P428" s="460"/>
      <c r="Q428" s="460"/>
      <c r="R428" s="460"/>
      <c r="S428" s="460"/>
      <c r="T428" s="460"/>
      <c r="U428" s="460"/>
      <c r="V428" s="460"/>
      <c r="W428" s="460"/>
      <c r="X428" s="460"/>
    </row>
    <row r="429" ht="27.75" customHeight="1">
      <c r="A429" s="22"/>
      <c r="B429" s="354" t="s">
        <v>57</v>
      </c>
      <c r="C429" s="155">
        <v>4.444E7</v>
      </c>
      <c r="D429" s="115"/>
      <c r="E429" s="22"/>
      <c r="F429" s="460"/>
      <c r="G429" s="460"/>
      <c r="H429" s="460"/>
      <c r="I429" s="460"/>
      <c r="J429" s="460"/>
      <c r="K429" s="460"/>
      <c r="L429" s="460"/>
      <c r="M429" s="460"/>
      <c r="N429" s="460"/>
      <c r="O429" s="460"/>
      <c r="P429" s="460"/>
      <c r="Q429" s="460"/>
      <c r="R429" s="460"/>
      <c r="S429" s="460"/>
      <c r="T429" s="460"/>
      <c r="U429" s="460"/>
      <c r="V429" s="460"/>
      <c r="W429" s="460"/>
      <c r="X429" s="460"/>
    </row>
    <row r="430" ht="27.75" customHeight="1">
      <c r="A430" s="494" t="s">
        <v>182</v>
      </c>
      <c r="B430" s="129" t="s">
        <v>71</v>
      </c>
      <c r="C430" s="155">
        <f>SUM(102633800-20000000-20000000-15000000-15000000)</f>
        <v>32633800</v>
      </c>
      <c r="D430" s="192"/>
      <c r="E430" s="417">
        <f>SUM(C430:C433)</f>
        <v>71490800</v>
      </c>
      <c r="F430" s="460"/>
      <c r="G430" s="460"/>
      <c r="H430" s="460"/>
      <c r="I430" s="460"/>
      <c r="J430" s="460"/>
      <c r="K430" s="460"/>
      <c r="L430" s="460"/>
      <c r="M430" s="460"/>
      <c r="N430" s="460"/>
      <c r="O430" s="460"/>
      <c r="P430" s="460"/>
      <c r="Q430" s="460"/>
      <c r="R430" s="460"/>
      <c r="S430" s="460"/>
      <c r="T430" s="460"/>
      <c r="U430" s="460"/>
      <c r="V430" s="460"/>
      <c r="W430" s="460"/>
      <c r="X430" s="460"/>
    </row>
    <row r="431" ht="27.75" customHeight="1">
      <c r="A431" s="18"/>
      <c r="B431" s="129" t="s">
        <v>51</v>
      </c>
      <c r="C431" s="155">
        <v>6233600.0</v>
      </c>
      <c r="D431" s="192"/>
      <c r="E431" s="18"/>
      <c r="F431" s="460"/>
      <c r="G431" s="460"/>
      <c r="H431" s="460"/>
      <c r="I431" s="460"/>
      <c r="J431" s="460"/>
      <c r="K431" s="460"/>
      <c r="L431" s="460"/>
      <c r="M431" s="460"/>
      <c r="N431" s="460"/>
      <c r="O431" s="460"/>
      <c r="P431" s="460"/>
      <c r="Q431" s="460"/>
      <c r="R431" s="460"/>
      <c r="S431" s="460"/>
      <c r="T431" s="460"/>
      <c r="U431" s="460"/>
      <c r="V431" s="460"/>
      <c r="W431" s="460"/>
      <c r="X431" s="460"/>
    </row>
    <row r="432" ht="27.75" customHeight="1">
      <c r="A432" s="18"/>
      <c r="B432" s="192" t="s">
        <v>53</v>
      </c>
      <c r="C432" s="155">
        <v>1.627E7</v>
      </c>
      <c r="D432" s="192"/>
      <c r="E432" s="18"/>
      <c r="F432" s="460"/>
      <c r="G432" s="460"/>
      <c r="H432" s="460"/>
      <c r="I432" s="460"/>
      <c r="J432" s="460"/>
      <c r="K432" s="460"/>
      <c r="L432" s="460"/>
      <c r="M432" s="460"/>
      <c r="N432" s="460"/>
      <c r="O432" s="460"/>
      <c r="P432" s="460"/>
      <c r="Q432" s="460"/>
      <c r="R432" s="460"/>
      <c r="S432" s="460"/>
      <c r="T432" s="460"/>
      <c r="U432" s="460"/>
      <c r="V432" s="460"/>
      <c r="W432" s="460"/>
      <c r="X432" s="460"/>
    </row>
    <row r="433" ht="27.75" customHeight="1">
      <c r="A433" s="18"/>
      <c r="B433" s="116" t="s">
        <v>55</v>
      </c>
      <c r="C433" s="155">
        <v>1.63534E7</v>
      </c>
      <c r="D433" s="192"/>
      <c r="E433" s="18"/>
      <c r="F433" s="460"/>
      <c r="G433" s="460"/>
      <c r="H433" s="460"/>
      <c r="I433" s="460"/>
      <c r="J433" s="460"/>
      <c r="K433" s="460"/>
      <c r="L433" s="460"/>
      <c r="M433" s="460"/>
      <c r="N433" s="460"/>
      <c r="O433" s="460"/>
      <c r="P433" s="460"/>
      <c r="Q433" s="460"/>
      <c r="R433" s="460"/>
      <c r="S433" s="460"/>
      <c r="T433" s="460"/>
      <c r="U433" s="460"/>
      <c r="V433" s="460"/>
      <c r="W433" s="460"/>
      <c r="X433" s="460"/>
    </row>
    <row r="434" ht="27.75" customHeight="1">
      <c r="A434" s="22"/>
      <c r="B434" s="354" t="s">
        <v>57</v>
      </c>
      <c r="C434" s="155">
        <v>2.4475E7</v>
      </c>
      <c r="D434" s="192"/>
      <c r="E434" s="22"/>
      <c r="F434" s="460"/>
      <c r="G434" s="460"/>
      <c r="H434" s="460"/>
      <c r="I434" s="460"/>
      <c r="J434" s="460"/>
      <c r="K434" s="460"/>
      <c r="L434" s="460"/>
      <c r="M434" s="460"/>
      <c r="N434" s="460"/>
      <c r="O434" s="460"/>
      <c r="P434" s="460"/>
      <c r="Q434" s="460"/>
      <c r="R434" s="460"/>
      <c r="S434" s="460"/>
      <c r="T434" s="460"/>
      <c r="U434" s="460"/>
      <c r="V434" s="460"/>
      <c r="W434" s="460"/>
      <c r="X434" s="460"/>
    </row>
    <row r="435" ht="27.75" customHeight="1">
      <c r="A435" s="492" t="s">
        <v>184</v>
      </c>
      <c r="B435" s="184" t="s">
        <v>71</v>
      </c>
      <c r="C435" s="155">
        <f>SUM(65183000-9336000)</f>
        <v>55847000</v>
      </c>
      <c r="D435" s="158"/>
      <c r="E435" s="417">
        <f>sum(C435:C439)</f>
        <v>104083500</v>
      </c>
      <c r="F435" s="460"/>
      <c r="G435" s="460"/>
      <c r="H435" s="460"/>
      <c r="I435" s="460"/>
      <c r="J435" s="460"/>
      <c r="K435" s="460"/>
      <c r="L435" s="460"/>
      <c r="M435" s="460"/>
      <c r="N435" s="460"/>
      <c r="O435" s="460"/>
      <c r="P435" s="460"/>
      <c r="Q435" s="460"/>
      <c r="R435" s="460"/>
      <c r="S435" s="460"/>
      <c r="T435" s="460"/>
      <c r="U435" s="460"/>
      <c r="V435" s="460"/>
      <c r="W435" s="460"/>
      <c r="X435" s="460"/>
    </row>
    <row r="436" ht="27.75" customHeight="1">
      <c r="A436" s="18"/>
      <c r="B436" s="129" t="s">
        <v>51</v>
      </c>
      <c r="C436" s="155">
        <v>0.0</v>
      </c>
      <c r="D436" s="192"/>
      <c r="E436" s="18"/>
      <c r="F436" s="460"/>
      <c r="G436" s="460"/>
      <c r="H436" s="460"/>
      <c r="I436" s="460"/>
      <c r="J436" s="460"/>
      <c r="K436" s="460"/>
      <c r="L436" s="460"/>
      <c r="M436" s="460"/>
      <c r="N436" s="460"/>
      <c r="O436" s="460"/>
      <c r="P436" s="460"/>
      <c r="Q436" s="460"/>
      <c r="R436" s="460"/>
      <c r="S436" s="460"/>
      <c r="T436" s="460"/>
      <c r="U436" s="460"/>
      <c r="V436" s="460"/>
      <c r="W436" s="460"/>
      <c r="X436" s="460"/>
    </row>
    <row r="437" ht="27.75" customHeight="1">
      <c r="A437" s="18"/>
      <c r="B437" s="451" t="s">
        <v>53</v>
      </c>
      <c r="C437" s="155">
        <v>2.87365E7</v>
      </c>
      <c r="D437" s="192"/>
      <c r="E437" s="18"/>
      <c r="F437" s="460"/>
      <c r="G437" s="460"/>
      <c r="H437" s="460"/>
      <c r="I437" s="460"/>
      <c r="J437" s="460"/>
      <c r="K437" s="460"/>
      <c r="L437" s="460"/>
      <c r="M437" s="460"/>
      <c r="N437" s="460"/>
      <c r="O437" s="460"/>
      <c r="P437" s="460"/>
      <c r="Q437" s="460"/>
      <c r="R437" s="460"/>
      <c r="S437" s="460"/>
      <c r="T437" s="460"/>
      <c r="U437" s="460"/>
      <c r="V437" s="460"/>
      <c r="W437" s="460"/>
      <c r="X437" s="460"/>
    </row>
    <row r="438" ht="27.75" customHeight="1">
      <c r="A438" s="18"/>
      <c r="B438" s="354" t="s">
        <v>55</v>
      </c>
      <c r="C438" s="155">
        <v>1.95E7</v>
      </c>
      <c r="D438" s="158"/>
      <c r="E438" s="18"/>
      <c r="F438" s="460"/>
      <c r="G438" s="460"/>
      <c r="H438" s="460"/>
      <c r="I438" s="460"/>
      <c r="J438" s="460"/>
      <c r="K438" s="460"/>
      <c r="L438" s="460"/>
      <c r="M438" s="460"/>
      <c r="N438" s="460"/>
      <c r="O438" s="460"/>
      <c r="P438" s="460"/>
      <c r="Q438" s="460"/>
      <c r="R438" s="460"/>
      <c r="S438" s="460"/>
      <c r="T438" s="460"/>
      <c r="U438" s="460"/>
      <c r="V438" s="460"/>
      <c r="W438" s="460"/>
      <c r="X438" s="460"/>
    </row>
    <row r="439" ht="27.75" customHeight="1">
      <c r="A439" s="18"/>
      <c r="B439" s="354" t="s">
        <v>57</v>
      </c>
      <c r="C439" s="155">
        <v>0.0</v>
      </c>
      <c r="D439" s="110"/>
      <c r="E439" s="18"/>
      <c r="F439" s="460"/>
      <c r="G439" s="460"/>
      <c r="H439" s="460"/>
      <c r="I439" s="460"/>
      <c r="J439" s="460"/>
      <c r="K439" s="460"/>
      <c r="L439" s="460"/>
      <c r="M439" s="460"/>
      <c r="N439" s="460"/>
      <c r="O439" s="460"/>
      <c r="P439" s="460"/>
      <c r="Q439" s="460"/>
      <c r="R439" s="460"/>
      <c r="S439" s="460"/>
      <c r="T439" s="460"/>
      <c r="U439" s="460"/>
      <c r="V439" s="460"/>
      <c r="W439" s="460"/>
      <c r="X439" s="460"/>
    </row>
    <row r="440" ht="27.75" customHeight="1">
      <c r="A440" s="22"/>
      <c r="B440" s="110"/>
      <c r="C440" s="158"/>
      <c r="D440" s="110"/>
      <c r="E440" s="22"/>
      <c r="F440" s="460"/>
      <c r="G440" s="460"/>
      <c r="H440" s="460"/>
      <c r="I440" s="460"/>
      <c r="J440" s="460"/>
      <c r="K440" s="460"/>
      <c r="L440" s="460"/>
      <c r="M440" s="460"/>
      <c r="N440" s="460"/>
      <c r="O440" s="460"/>
      <c r="P440" s="460"/>
      <c r="Q440" s="460"/>
      <c r="R440" s="460"/>
      <c r="S440" s="460"/>
      <c r="T440" s="460"/>
      <c r="U440" s="460"/>
      <c r="V440" s="460"/>
      <c r="W440" s="460"/>
      <c r="X440" s="460"/>
    </row>
    <row r="441" ht="27.75" customHeight="1">
      <c r="A441" s="492" t="s">
        <v>188</v>
      </c>
      <c r="B441" s="129" t="s">
        <v>51</v>
      </c>
      <c r="C441" s="110">
        <v>6.5505E7</v>
      </c>
      <c r="D441" s="115" t="s">
        <v>7</v>
      </c>
      <c r="E441" s="417">
        <f>SUM(C444)</f>
        <v>0</v>
      </c>
      <c r="F441" s="460"/>
      <c r="G441" s="460"/>
      <c r="H441" s="460"/>
      <c r="I441" s="460"/>
      <c r="J441" s="460"/>
      <c r="K441" s="460"/>
      <c r="L441" s="460"/>
      <c r="M441" s="460"/>
      <c r="N441" s="460"/>
      <c r="O441" s="460"/>
      <c r="P441" s="460"/>
      <c r="Q441" s="460"/>
      <c r="R441" s="460"/>
      <c r="S441" s="460"/>
      <c r="T441" s="460"/>
      <c r="U441" s="460"/>
      <c r="V441" s="460"/>
      <c r="W441" s="460"/>
      <c r="X441" s="460"/>
    </row>
    <row r="442" ht="27.75" customHeight="1">
      <c r="A442" s="18"/>
      <c r="B442" s="192" t="s">
        <v>53</v>
      </c>
      <c r="C442" s="110">
        <v>5.78735E7</v>
      </c>
      <c r="D442" s="115" t="s">
        <v>7</v>
      </c>
      <c r="E442" s="18"/>
      <c r="F442" s="460"/>
      <c r="G442" s="460"/>
      <c r="H442" s="460"/>
      <c r="I442" s="460"/>
      <c r="J442" s="460"/>
      <c r="K442" s="460"/>
      <c r="L442" s="460"/>
      <c r="M442" s="460"/>
      <c r="N442" s="460"/>
      <c r="O442" s="460"/>
      <c r="P442" s="460"/>
      <c r="Q442" s="460"/>
      <c r="R442" s="460"/>
      <c r="S442" s="460"/>
      <c r="T442" s="460"/>
      <c r="U442" s="460"/>
      <c r="V442" s="460"/>
      <c r="W442" s="460"/>
      <c r="X442" s="460"/>
    </row>
    <row r="443" ht="27.75" customHeight="1">
      <c r="A443" s="18"/>
      <c r="B443" s="116" t="s">
        <v>55</v>
      </c>
      <c r="C443" s="110">
        <v>4.35625E7</v>
      </c>
      <c r="D443" s="115" t="s">
        <v>7</v>
      </c>
      <c r="E443" s="18"/>
      <c r="F443" s="460"/>
      <c r="G443" s="460"/>
      <c r="H443" s="460"/>
      <c r="I443" s="460"/>
      <c r="J443" s="460"/>
      <c r="K443" s="460"/>
      <c r="L443" s="460"/>
      <c r="M443" s="460"/>
      <c r="N443" s="460"/>
      <c r="O443" s="460"/>
      <c r="P443" s="460"/>
      <c r="Q443" s="460"/>
      <c r="R443" s="460"/>
      <c r="S443" s="460"/>
      <c r="T443" s="460"/>
      <c r="U443" s="460"/>
      <c r="V443" s="460"/>
      <c r="W443" s="460"/>
      <c r="X443" s="460"/>
    </row>
    <row r="444" ht="27.75" customHeight="1">
      <c r="A444" s="22"/>
      <c r="B444" s="354" t="s">
        <v>57</v>
      </c>
      <c r="C444" s="155">
        <v>0.0</v>
      </c>
      <c r="D444" s="115"/>
      <c r="E444" s="22"/>
      <c r="F444" s="460"/>
      <c r="G444" s="460"/>
      <c r="H444" s="460"/>
      <c r="I444" s="460"/>
      <c r="J444" s="460"/>
      <c r="K444" s="460"/>
      <c r="L444" s="460"/>
      <c r="M444" s="460"/>
      <c r="N444" s="460"/>
      <c r="O444" s="460"/>
      <c r="P444" s="460"/>
      <c r="Q444" s="460"/>
      <c r="R444" s="460"/>
      <c r="S444" s="460"/>
      <c r="T444" s="460"/>
      <c r="U444" s="460"/>
      <c r="V444" s="460"/>
      <c r="W444" s="460"/>
      <c r="X444" s="460"/>
    </row>
    <row r="445" ht="27.75" customHeight="1">
      <c r="A445" s="492" t="s">
        <v>190</v>
      </c>
      <c r="B445" s="184" t="s">
        <v>537</v>
      </c>
      <c r="C445" s="115">
        <f>sum(197187500-142055000)</f>
        <v>55132500</v>
      </c>
      <c r="D445" s="115"/>
      <c r="E445" s="417">
        <f>SUM(C445:C450)</f>
        <v>374150000</v>
      </c>
      <c r="F445" s="460"/>
      <c r="G445" s="460"/>
      <c r="H445" s="460"/>
      <c r="I445" s="460"/>
      <c r="J445" s="460"/>
      <c r="K445" s="460"/>
      <c r="L445" s="460"/>
      <c r="M445" s="460"/>
      <c r="N445" s="460"/>
      <c r="O445" s="460"/>
      <c r="P445" s="460"/>
      <c r="Q445" s="460"/>
      <c r="R445" s="460"/>
      <c r="S445" s="460"/>
      <c r="T445" s="460"/>
      <c r="U445" s="460"/>
      <c r="V445" s="460"/>
      <c r="W445" s="460"/>
      <c r="X445" s="460"/>
    </row>
    <row r="446" ht="28.5" customHeight="1">
      <c r="A446" s="18"/>
      <c r="B446" s="184" t="s">
        <v>624</v>
      </c>
      <c r="C446" s="155">
        <v>1.448675E8</v>
      </c>
      <c r="D446" s="48"/>
      <c r="E446" s="18"/>
      <c r="F446" s="460"/>
      <c r="G446" s="460"/>
      <c r="H446" s="460"/>
      <c r="I446" s="460"/>
      <c r="J446" s="460"/>
      <c r="K446" s="460"/>
      <c r="L446" s="460"/>
      <c r="M446" s="460"/>
      <c r="N446" s="460"/>
      <c r="O446" s="460"/>
      <c r="P446" s="460"/>
      <c r="Q446" s="460"/>
      <c r="R446" s="460"/>
      <c r="S446" s="460"/>
      <c r="T446" s="460"/>
      <c r="U446" s="460"/>
      <c r="V446" s="460"/>
      <c r="W446" s="460"/>
      <c r="X446" s="460"/>
    </row>
    <row r="447" ht="28.5" customHeight="1">
      <c r="A447" s="18"/>
      <c r="B447" s="129" t="s">
        <v>51</v>
      </c>
      <c r="C447" s="155">
        <v>7.8859E7</v>
      </c>
      <c r="D447" s="48"/>
      <c r="E447" s="18"/>
      <c r="F447" s="460"/>
      <c r="G447" s="460"/>
      <c r="H447" s="460"/>
      <c r="I447" s="460"/>
      <c r="J447" s="460"/>
      <c r="K447" s="460"/>
      <c r="L447" s="460"/>
      <c r="M447" s="460"/>
      <c r="N447" s="460"/>
      <c r="O447" s="460"/>
      <c r="P447" s="460"/>
      <c r="Q447" s="460"/>
      <c r="R447" s="460"/>
      <c r="S447" s="460"/>
      <c r="T447" s="460"/>
      <c r="U447" s="460"/>
      <c r="V447" s="460"/>
      <c r="W447" s="460"/>
      <c r="X447" s="460"/>
    </row>
    <row r="448" ht="28.5" customHeight="1">
      <c r="A448" s="18"/>
      <c r="B448" s="192" t="s">
        <v>53</v>
      </c>
      <c r="C448" s="155">
        <v>4.36625E7</v>
      </c>
      <c r="D448" s="48"/>
      <c r="E448" s="18"/>
      <c r="F448" s="460"/>
      <c r="G448" s="460"/>
      <c r="H448" s="460"/>
      <c r="I448" s="460"/>
      <c r="J448" s="460"/>
      <c r="K448" s="460"/>
      <c r="L448" s="460"/>
      <c r="M448" s="460"/>
      <c r="N448" s="460"/>
      <c r="O448" s="460"/>
      <c r="P448" s="460"/>
      <c r="Q448" s="460"/>
      <c r="R448" s="460"/>
      <c r="S448" s="460"/>
      <c r="T448" s="460"/>
      <c r="U448" s="460"/>
      <c r="V448" s="460"/>
      <c r="W448" s="460"/>
      <c r="X448" s="460"/>
    </row>
    <row r="449" ht="28.5" customHeight="1">
      <c r="A449" s="18"/>
      <c r="B449" s="116" t="s">
        <v>55</v>
      </c>
      <c r="C449" s="155">
        <v>5.16285E7</v>
      </c>
      <c r="D449" s="115"/>
      <c r="E449" s="18"/>
      <c r="F449" s="460"/>
      <c r="G449" s="460"/>
      <c r="H449" s="460"/>
      <c r="I449" s="460"/>
      <c r="J449" s="460"/>
      <c r="K449" s="460"/>
      <c r="L449" s="460"/>
      <c r="M449" s="460"/>
      <c r="N449" s="460"/>
      <c r="O449" s="460"/>
      <c r="P449" s="460"/>
      <c r="Q449" s="460"/>
      <c r="R449" s="460"/>
      <c r="S449" s="460"/>
      <c r="T449" s="460"/>
      <c r="U449" s="460"/>
      <c r="V449" s="460"/>
      <c r="W449" s="460"/>
      <c r="X449" s="460"/>
    </row>
    <row r="450" ht="28.5" customHeight="1">
      <c r="A450" s="22"/>
      <c r="B450" s="354" t="s">
        <v>57</v>
      </c>
      <c r="C450" s="155">
        <v>0.0</v>
      </c>
      <c r="D450" s="158"/>
      <c r="E450" s="22"/>
      <c r="F450" s="460"/>
      <c r="G450" s="460"/>
      <c r="H450" s="460"/>
      <c r="I450" s="460"/>
      <c r="J450" s="460"/>
      <c r="K450" s="460"/>
      <c r="L450" s="460"/>
      <c r="M450" s="460"/>
      <c r="N450" s="460"/>
      <c r="O450" s="460"/>
      <c r="P450" s="460"/>
      <c r="Q450" s="460"/>
      <c r="R450" s="460"/>
      <c r="S450" s="460"/>
      <c r="T450" s="460"/>
      <c r="U450" s="460"/>
      <c r="V450" s="460"/>
      <c r="W450" s="460"/>
      <c r="X450" s="460"/>
    </row>
    <row r="451" ht="28.5" customHeight="1">
      <c r="A451" s="494" t="s">
        <v>192</v>
      </c>
      <c r="B451" s="129" t="s">
        <v>88</v>
      </c>
      <c r="C451" s="110">
        <v>1.1841E8</v>
      </c>
      <c r="D451" s="115" t="s">
        <v>7</v>
      </c>
      <c r="E451" s="417">
        <f>SUM(C453:C454)</f>
        <v>89595000</v>
      </c>
      <c r="F451" s="460"/>
      <c r="G451" s="460"/>
      <c r="H451" s="460"/>
      <c r="I451" s="460"/>
      <c r="J451" s="460"/>
      <c r="K451" s="460"/>
      <c r="L451" s="460"/>
      <c r="M451" s="460"/>
      <c r="N451" s="460"/>
      <c r="O451" s="460"/>
      <c r="P451" s="460"/>
      <c r="Q451" s="460"/>
      <c r="R451" s="460"/>
      <c r="S451" s="460"/>
      <c r="T451" s="460"/>
      <c r="U451" s="460"/>
      <c r="V451" s="460"/>
      <c r="W451" s="460"/>
      <c r="X451" s="460"/>
    </row>
    <row r="452" ht="28.5" customHeight="1">
      <c r="A452" s="18"/>
      <c r="B452" s="129" t="s">
        <v>219</v>
      </c>
      <c r="C452" s="110">
        <v>7.8228E7</v>
      </c>
      <c r="D452" s="115" t="s">
        <v>7</v>
      </c>
      <c r="E452" s="18"/>
      <c r="F452" s="460"/>
      <c r="G452" s="460"/>
      <c r="H452" s="460"/>
      <c r="I452" s="460"/>
      <c r="J452" s="460"/>
      <c r="K452" s="460"/>
      <c r="L452" s="460"/>
      <c r="M452" s="460"/>
      <c r="N452" s="460"/>
      <c r="O452" s="460"/>
      <c r="P452" s="460"/>
      <c r="Q452" s="460"/>
      <c r="R452" s="460"/>
      <c r="S452" s="460"/>
      <c r="T452" s="460"/>
      <c r="U452" s="460"/>
      <c r="V452" s="460"/>
      <c r="W452" s="460"/>
      <c r="X452" s="460"/>
    </row>
    <row r="453" ht="27.0" customHeight="1">
      <c r="A453" s="18"/>
      <c r="B453" s="129" t="s">
        <v>89</v>
      </c>
      <c r="C453" s="155">
        <v>8.2975E7</v>
      </c>
      <c r="D453" s="115"/>
      <c r="E453" s="18"/>
      <c r="F453" s="460"/>
      <c r="G453" s="460"/>
      <c r="H453" s="460"/>
      <c r="I453" s="460"/>
      <c r="J453" s="460"/>
      <c r="K453" s="460"/>
      <c r="L453" s="460"/>
      <c r="M453" s="460"/>
      <c r="N453" s="460"/>
      <c r="O453" s="460"/>
      <c r="P453" s="460"/>
      <c r="Q453" s="460"/>
      <c r="R453" s="460"/>
      <c r="S453" s="460"/>
      <c r="T453" s="460"/>
      <c r="U453" s="460"/>
      <c r="V453" s="460"/>
      <c r="W453" s="460"/>
      <c r="X453" s="460"/>
    </row>
    <row r="454" ht="27.0" customHeight="1">
      <c r="A454" s="22"/>
      <c r="B454" s="129" t="s">
        <v>220</v>
      </c>
      <c r="C454" s="192">
        <v>6620000.0</v>
      </c>
      <c r="D454" s="158"/>
      <c r="E454" s="22"/>
      <c r="F454" s="460"/>
      <c r="G454" s="460"/>
      <c r="H454" s="460"/>
      <c r="I454" s="460"/>
      <c r="J454" s="460"/>
      <c r="K454" s="460"/>
      <c r="L454" s="460"/>
      <c r="M454" s="460"/>
      <c r="N454" s="460"/>
      <c r="O454" s="460"/>
      <c r="P454" s="460"/>
      <c r="Q454" s="460"/>
      <c r="R454" s="460"/>
      <c r="S454" s="460"/>
      <c r="T454" s="460"/>
      <c r="U454" s="460"/>
      <c r="V454" s="460"/>
      <c r="W454" s="460"/>
      <c r="X454" s="460"/>
    </row>
    <row r="455" ht="27.0" customHeight="1">
      <c r="A455" s="492" t="s">
        <v>196</v>
      </c>
      <c r="B455" s="129" t="s">
        <v>88</v>
      </c>
      <c r="C455" s="110">
        <v>3.6432E7</v>
      </c>
      <c r="D455" s="115" t="s">
        <v>7</v>
      </c>
      <c r="E455" s="417">
        <f>SUM(C456:C458)</f>
        <v>60919000</v>
      </c>
      <c r="F455" s="460"/>
      <c r="G455" s="460"/>
      <c r="H455" s="460"/>
      <c r="I455" s="460"/>
      <c r="J455" s="460"/>
      <c r="K455" s="460"/>
      <c r="L455" s="460"/>
      <c r="M455" s="53">
        <f>69.5*30000</f>
        <v>2085000</v>
      </c>
      <c r="N455" s="460"/>
      <c r="O455" s="460"/>
      <c r="P455" s="460"/>
      <c r="Q455" s="460"/>
      <c r="R455" s="460"/>
      <c r="S455" s="460"/>
      <c r="T455" s="460"/>
      <c r="U455" s="460"/>
      <c r="V455" s="460"/>
      <c r="W455" s="460"/>
      <c r="X455" s="460"/>
    </row>
    <row r="456" ht="27.0" customHeight="1">
      <c r="A456" s="18"/>
      <c r="B456" s="129" t="s">
        <v>219</v>
      </c>
      <c r="C456" s="110">
        <v>2.33175E7</v>
      </c>
      <c r="D456" s="115"/>
      <c r="E456" s="18"/>
      <c r="F456" s="460"/>
      <c r="G456" s="460"/>
      <c r="H456" s="460"/>
      <c r="I456" s="460"/>
      <c r="J456" s="460"/>
      <c r="K456" s="460"/>
      <c r="L456" s="460"/>
      <c r="M456" s="460"/>
      <c r="N456" s="460"/>
      <c r="O456" s="460"/>
      <c r="P456" s="460"/>
      <c r="Q456" s="460"/>
      <c r="R456" s="460"/>
      <c r="S456" s="460"/>
      <c r="T456" s="460"/>
      <c r="U456" s="460"/>
      <c r="V456" s="460"/>
      <c r="W456" s="460"/>
      <c r="X456" s="460"/>
    </row>
    <row r="457" ht="27.0" customHeight="1">
      <c r="A457" s="18"/>
      <c r="B457" s="129" t="s">
        <v>89</v>
      </c>
      <c r="C457" s="110">
        <v>3.76015E7</v>
      </c>
      <c r="D457" s="48"/>
      <c r="E457" s="18"/>
      <c r="F457" s="460"/>
      <c r="G457" s="460"/>
      <c r="H457" s="460"/>
      <c r="I457" s="460"/>
      <c r="J457" s="460"/>
      <c r="K457" s="460"/>
      <c r="L457" s="460"/>
      <c r="M457" s="460"/>
      <c r="N457" s="460"/>
      <c r="O457" s="460"/>
      <c r="P457" s="460"/>
      <c r="Q457" s="460"/>
      <c r="R457" s="460"/>
      <c r="S457" s="460"/>
      <c r="T457" s="460"/>
      <c r="U457" s="460"/>
      <c r="V457" s="460"/>
      <c r="W457" s="460"/>
      <c r="X457" s="460"/>
    </row>
    <row r="458" ht="27.0" customHeight="1">
      <c r="A458" s="22"/>
      <c r="B458" s="129" t="s">
        <v>220</v>
      </c>
      <c r="C458" s="192">
        <v>0.0</v>
      </c>
      <c r="D458" s="48"/>
      <c r="E458" s="22"/>
      <c r="F458" s="460"/>
      <c r="G458" s="460"/>
      <c r="H458" s="460"/>
      <c r="I458" s="460"/>
      <c r="J458" s="460"/>
      <c r="K458" s="460"/>
      <c r="L458" s="460"/>
      <c r="M458" s="460"/>
      <c r="N458" s="460"/>
      <c r="O458" s="460"/>
      <c r="P458" s="460"/>
      <c r="Q458" s="460"/>
      <c r="R458" s="460"/>
      <c r="S458" s="460"/>
      <c r="T458" s="460"/>
      <c r="U458" s="460"/>
      <c r="V458" s="460"/>
      <c r="W458" s="460"/>
      <c r="X458" s="460"/>
    </row>
    <row r="459" ht="27.0" customHeight="1">
      <c r="A459" s="492" t="s">
        <v>200</v>
      </c>
      <c r="B459" s="129" t="s">
        <v>88</v>
      </c>
      <c r="C459" s="110">
        <v>6.8319E7</v>
      </c>
      <c r="D459" s="115"/>
      <c r="E459" s="414">
        <f>SUM(C459:C462)</f>
        <v>182516000</v>
      </c>
      <c r="F459" s="460"/>
      <c r="G459" s="460"/>
      <c r="H459" s="460"/>
      <c r="I459" s="460"/>
      <c r="J459" s="460"/>
      <c r="K459" s="460"/>
      <c r="L459" s="460"/>
      <c r="M459" s="460"/>
      <c r="N459" s="460"/>
      <c r="O459" s="460"/>
      <c r="P459" s="460"/>
      <c r="Q459" s="460"/>
      <c r="R459" s="460"/>
      <c r="S459" s="460"/>
      <c r="T459" s="460"/>
      <c r="U459" s="460"/>
      <c r="V459" s="460"/>
      <c r="W459" s="460"/>
      <c r="X459" s="460"/>
    </row>
    <row r="460" ht="27.0" customHeight="1">
      <c r="A460" s="18"/>
      <c r="B460" s="129" t="s">
        <v>219</v>
      </c>
      <c r="C460" s="110">
        <v>3.8433E7</v>
      </c>
      <c r="D460" s="192"/>
      <c r="E460" s="18"/>
      <c r="F460" s="460"/>
      <c r="G460" s="460"/>
      <c r="H460" s="460"/>
      <c r="I460" s="460"/>
      <c r="J460" s="460"/>
      <c r="K460" s="460"/>
      <c r="L460" s="460"/>
      <c r="M460" s="460"/>
      <c r="N460" s="460"/>
      <c r="O460" s="460"/>
      <c r="P460" s="460"/>
      <c r="Q460" s="460"/>
      <c r="R460" s="460"/>
      <c r="S460" s="460"/>
      <c r="T460" s="460"/>
      <c r="U460" s="460"/>
      <c r="V460" s="460"/>
      <c r="W460" s="460"/>
      <c r="X460" s="460"/>
    </row>
    <row r="461" ht="27.0" customHeight="1">
      <c r="A461" s="18"/>
      <c r="B461" s="129" t="s">
        <v>89</v>
      </c>
      <c r="C461" s="110">
        <v>4.008E7</v>
      </c>
      <c r="D461" s="158"/>
      <c r="E461" s="18"/>
      <c r="F461" s="460"/>
      <c r="G461" s="460"/>
      <c r="H461" s="460"/>
      <c r="I461" s="460"/>
      <c r="J461" s="460"/>
      <c r="K461" s="460"/>
      <c r="L461" s="429"/>
      <c r="M461" s="460"/>
      <c r="N461" s="460"/>
      <c r="O461" s="460"/>
      <c r="P461" s="460"/>
      <c r="Q461" s="460"/>
      <c r="R461" s="460"/>
      <c r="S461" s="460"/>
      <c r="T461" s="460"/>
      <c r="U461" s="460"/>
      <c r="V461" s="460"/>
      <c r="W461" s="460"/>
      <c r="X461" s="460"/>
    </row>
    <row r="462" ht="27.0" customHeight="1">
      <c r="A462" s="18"/>
      <c r="B462" s="129" t="s">
        <v>220</v>
      </c>
      <c r="C462" s="110">
        <v>3.5684E7</v>
      </c>
      <c r="D462" s="158"/>
      <c r="E462" s="18"/>
      <c r="F462" s="460"/>
      <c r="G462" s="460"/>
      <c r="H462" s="460"/>
      <c r="I462" s="460"/>
      <c r="J462" s="460"/>
      <c r="K462" s="460"/>
      <c r="L462" s="233">
        <v>7.91183E8</v>
      </c>
      <c r="M462" s="460"/>
      <c r="N462" s="460"/>
      <c r="O462" s="460"/>
      <c r="P462" s="460"/>
      <c r="Q462" s="460"/>
      <c r="R462" s="460"/>
      <c r="S462" s="460"/>
      <c r="T462" s="460"/>
      <c r="U462" s="460"/>
      <c r="V462" s="460"/>
      <c r="W462" s="460"/>
      <c r="X462" s="460"/>
    </row>
    <row r="463" ht="27.0" customHeight="1">
      <c r="A463" s="494" t="s">
        <v>367</v>
      </c>
      <c r="B463" s="129" t="s">
        <v>88</v>
      </c>
      <c r="C463" s="110">
        <v>7.6345E7</v>
      </c>
      <c r="D463" s="192"/>
      <c r="E463" s="414">
        <f>sum(C463:C466)</f>
        <v>292943100</v>
      </c>
      <c r="F463" s="460"/>
      <c r="G463" s="460"/>
      <c r="H463" s="460"/>
      <c r="I463" s="460"/>
      <c r="J463" s="460"/>
      <c r="K463" s="460"/>
      <c r="L463" s="122">
        <f>SUM(L462)</f>
        <v>791183000</v>
      </c>
      <c r="M463" s="460"/>
      <c r="N463" s="460"/>
      <c r="O463" s="460"/>
      <c r="P463" s="460"/>
      <c r="Q463" s="460"/>
      <c r="R463" s="460"/>
      <c r="S463" s="460"/>
      <c r="T463" s="460"/>
      <c r="U463" s="460"/>
      <c r="V463" s="460"/>
      <c r="W463" s="460"/>
      <c r="X463" s="460"/>
    </row>
    <row r="464" ht="27.0" customHeight="1">
      <c r="A464" s="18"/>
      <c r="B464" s="129" t="s">
        <v>219</v>
      </c>
      <c r="C464" s="110">
        <v>4.86675E7</v>
      </c>
      <c r="D464" s="460"/>
      <c r="E464" s="18"/>
      <c r="F464" s="460"/>
      <c r="G464" s="460"/>
      <c r="H464" s="460"/>
      <c r="I464" s="460"/>
      <c r="J464" s="460"/>
      <c r="K464" s="460"/>
      <c r="L464" s="460"/>
      <c r="M464" s="460"/>
      <c r="N464" s="460"/>
      <c r="O464" s="460"/>
      <c r="P464" s="460"/>
      <c r="Q464" s="460"/>
      <c r="R464" s="460"/>
      <c r="S464" s="460"/>
      <c r="T464" s="460"/>
      <c r="U464" s="460"/>
      <c r="V464" s="460"/>
      <c r="W464" s="460"/>
      <c r="X464" s="460"/>
    </row>
    <row r="465" ht="27.0" customHeight="1">
      <c r="A465" s="18"/>
      <c r="B465" s="129" t="s">
        <v>89</v>
      </c>
      <c r="C465" s="110">
        <v>7.34015E7</v>
      </c>
      <c r="D465" s="192"/>
      <c r="E465" s="18"/>
      <c r="F465" s="460"/>
      <c r="G465" s="460"/>
      <c r="H465" s="460"/>
      <c r="I465" s="460"/>
      <c r="J465" s="460"/>
      <c r="K465" s="460"/>
      <c r="L465" s="460"/>
      <c r="M465" s="460"/>
      <c r="N465" s="460"/>
      <c r="O465" s="460"/>
      <c r="P465" s="460"/>
      <c r="Q465" s="460"/>
      <c r="R465" s="460"/>
      <c r="S465" s="460"/>
      <c r="T465" s="460"/>
      <c r="U465" s="460"/>
      <c r="V465" s="460"/>
      <c r="W465" s="460"/>
      <c r="X465" s="460"/>
    </row>
    <row r="466" ht="27.0" customHeight="1">
      <c r="A466" s="18"/>
      <c r="B466" s="129" t="s">
        <v>220</v>
      </c>
      <c r="C466" s="110">
        <v>9.45291E7</v>
      </c>
      <c r="D466" s="158"/>
      <c r="E466" s="18"/>
      <c r="F466" s="460"/>
      <c r="G466" s="460"/>
      <c r="H466" s="460"/>
      <c r="I466" s="460"/>
      <c r="J466" s="460"/>
      <c r="K466" s="460"/>
      <c r="L466" s="460"/>
      <c r="M466" s="460"/>
      <c r="N466" s="460"/>
      <c r="O466" s="460"/>
      <c r="P466" s="460"/>
      <c r="Q466" s="460"/>
      <c r="R466" s="460"/>
      <c r="S466" s="460"/>
      <c r="T466" s="460"/>
      <c r="U466" s="460"/>
      <c r="V466" s="460"/>
      <c r="W466" s="460"/>
      <c r="X466" s="460"/>
    </row>
    <row r="467" ht="27.0" customHeight="1">
      <c r="A467" s="492" t="s">
        <v>202</v>
      </c>
      <c r="B467" s="129" t="s">
        <v>88</v>
      </c>
      <c r="C467" s="110">
        <f>SUM(113198500-31609000)</f>
        <v>81589500</v>
      </c>
      <c r="D467" s="192"/>
      <c r="E467" s="417">
        <f>SUM(C467:C470)</f>
        <v>253553500</v>
      </c>
      <c r="F467" s="460"/>
      <c r="G467" s="460"/>
      <c r="H467" s="460"/>
      <c r="I467" s="460"/>
      <c r="J467" s="460"/>
      <c r="K467" s="460"/>
      <c r="L467" s="460"/>
      <c r="M467" s="460"/>
      <c r="N467" s="460"/>
      <c r="O467" s="460"/>
      <c r="P467" s="460"/>
      <c r="Q467" s="460"/>
      <c r="R467" s="460"/>
      <c r="S467" s="460"/>
      <c r="T467" s="460"/>
      <c r="U467" s="460"/>
      <c r="V467" s="460"/>
      <c r="W467" s="460"/>
      <c r="X467" s="460"/>
    </row>
    <row r="468" ht="27.75" customHeight="1">
      <c r="A468" s="18"/>
      <c r="B468" s="129" t="s">
        <v>219</v>
      </c>
      <c r="C468" s="110">
        <v>3.85475E7</v>
      </c>
      <c r="D468" s="158"/>
      <c r="E468" s="18"/>
      <c r="F468" s="460"/>
      <c r="G468" s="460"/>
      <c r="H468" s="460"/>
      <c r="I468" s="460"/>
      <c r="J468" s="460"/>
      <c r="K468" s="460"/>
      <c r="L468" s="460"/>
      <c r="M468" s="460"/>
      <c r="N468" s="460"/>
      <c r="O468" s="460"/>
      <c r="P468" s="460"/>
      <c r="Q468" s="460"/>
      <c r="R468" s="460"/>
      <c r="S468" s="460"/>
      <c r="T468" s="460"/>
      <c r="U468" s="460"/>
      <c r="V468" s="460"/>
      <c r="W468" s="460"/>
      <c r="X468" s="460"/>
    </row>
    <row r="469" ht="28.5" customHeight="1">
      <c r="A469" s="18"/>
      <c r="B469" s="129" t="s">
        <v>89</v>
      </c>
      <c r="C469" s="110">
        <v>7.2652E7</v>
      </c>
      <c r="D469" s="501"/>
      <c r="E469" s="18"/>
      <c r="F469" s="460"/>
      <c r="G469" s="460"/>
      <c r="H469" s="460"/>
      <c r="I469" s="460"/>
      <c r="J469" s="460"/>
      <c r="K469" s="460"/>
      <c r="L469" s="460"/>
      <c r="M469" s="460"/>
      <c r="N469" s="460"/>
      <c r="O469" s="460"/>
      <c r="P469" s="460"/>
      <c r="Q469" s="460"/>
      <c r="R469" s="460"/>
      <c r="S469" s="460"/>
      <c r="T469" s="460"/>
      <c r="U469" s="460"/>
      <c r="V469" s="460"/>
      <c r="W469" s="460"/>
      <c r="X469" s="460"/>
    </row>
    <row r="470" ht="27.0" customHeight="1">
      <c r="A470" s="22"/>
      <c r="B470" s="129" t="s">
        <v>220</v>
      </c>
      <c r="C470" s="110">
        <v>6.07645E7</v>
      </c>
      <c r="D470" s="158"/>
      <c r="E470" s="22"/>
      <c r="F470" s="460"/>
      <c r="G470" s="190"/>
      <c r="H470" s="190"/>
      <c r="I470" s="190"/>
      <c r="J470" s="460"/>
      <c r="K470" s="460"/>
      <c r="L470" s="460"/>
      <c r="M470" s="460"/>
      <c r="N470" s="460"/>
      <c r="O470" s="460"/>
      <c r="P470" s="460"/>
      <c r="Q470" s="460"/>
      <c r="R470" s="460"/>
      <c r="S470" s="460"/>
      <c r="T470" s="460"/>
      <c r="U470" s="460"/>
      <c r="V470" s="460"/>
      <c r="W470" s="460"/>
      <c r="X470" s="460"/>
    </row>
    <row r="471" ht="27.0" customHeight="1">
      <c r="A471" s="492" t="s">
        <v>205</v>
      </c>
      <c r="B471" s="129" t="s">
        <v>627</v>
      </c>
      <c r="C471" s="110">
        <v>3000000.0</v>
      </c>
      <c r="D471" s="115" t="s">
        <v>7</v>
      </c>
      <c r="E471" s="414">
        <f>sum(C473)</f>
        <v>25591400</v>
      </c>
      <c r="F471" s="460"/>
      <c r="G471" s="190"/>
      <c r="H471" s="190"/>
      <c r="I471" s="190"/>
      <c r="J471" s="460"/>
      <c r="K471" s="460"/>
      <c r="L471" s="460"/>
      <c r="M471" s="460"/>
      <c r="N471" s="460"/>
      <c r="O471" s="460"/>
      <c r="P471" s="460"/>
      <c r="Q471" s="460"/>
      <c r="R471" s="460"/>
      <c r="S471" s="460"/>
      <c r="T471" s="460"/>
      <c r="U471" s="460"/>
      <c r="V471" s="460"/>
      <c r="W471" s="460"/>
      <c r="X471" s="460"/>
    </row>
    <row r="472" ht="25.5" customHeight="1">
      <c r="A472" s="18"/>
      <c r="B472" s="129" t="s">
        <v>89</v>
      </c>
      <c r="C472" s="110">
        <v>2.80785E7</v>
      </c>
      <c r="D472" s="192" t="s">
        <v>7</v>
      </c>
      <c r="E472" s="18"/>
      <c r="F472" s="460"/>
      <c r="G472" s="460"/>
      <c r="H472" s="460"/>
      <c r="I472" s="460"/>
      <c r="J472" s="460"/>
      <c r="K472" s="460"/>
      <c r="L472" s="460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</row>
    <row r="473" ht="25.5" customHeight="1">
      <c r="A473" s="22"/>
      <c r="B473" s="129" t="s">
        <v>220</v>
      </c>
      <c r="C473" s="155">
        <f>SUM(25801400-210000)</f>
        <v>25591400</v>
      </c>
      <c r="D473" s="192"/>
      <c r="E473" s="22"/>
      <c r="F473" s="460"/>
      <c r="G473" s="460"/>
      <c r="H473" s="460"/>
      <c r="I473" s="460"/>
      <c r="J473" s="460"/>
      <c r="K473" s="460"/>
      <c r="L473" s="460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</row>
    <row r="474" ht="25.5" customHeight="1">
      <c r="A474" s="494" t="s">
        <v>290</v>
      </c>
      <c r="B474" s="129" t="s">
        <v>71</v>
      </c>
      <c r="C474" s="110">
        <f>sum(145425500-120497500)</f>
        <v>24928000</v>
      </c>
      <c r="D474" s="190" t="s">
        <v>7</v>
      </c>
      <c r="E474" s="417">
        <f>sum(C476:C477)</f>
        <v>96359500</v>
      </c>
      <c r="F474" s="460"/>
      <c r="G474" s="460"/>
      <c r="H474" s="460"/>
      <c r="I474" s="460"/>
      <c r="J474" s="460"/>
      <c r="K474" s="460"/>
      <c r="L474" s="460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</row>
    <row r="475" ht="26.25" customHeight="1">
      <c r="A475" s="18"/>
      <c r="B475" s="129" t="s">
        <v>88</v>
      </c>
      <c r="C475" s="110">
        <v>5.2424E7</v>
      </c>
      <c r="D475" s="192" t="s">
        <v>7</v>
      </c>
      <c r="E475" s="18"/>
      <c r="F475" s="460"/>
      <c r="G475" s="460"/>
      <c r="H475" s="460"/>
      <c r="I475" s="460"/>
      <c r="J475" s="460"/>
      <c r="K475" s="460"/>
      <c r="L475" s="460"/>
      <c r="M475" s="460"/>
      <c r="N475" s="460"/>
      <c r="O475" s="460"/>
      <c r="P475" s="460"/>
      <c r="Q475" s="460"/>
      <c r="R475" s="460"/>
      <c r="S475" s="460"/>
      <c r="T475" s="460"/>
      <c r="U475" s="460"/>
      <c r="V475" s="460"/>
      <c r="W475" s="460"/>
      <c r="X475" s="460"/>
    </row>
    <row r="476" ht="26.25" customHeight="1">
      <c r="A476" s="18"/>
      <c r="B476" s="129" t="s">
        <v>219</v>
      </c>
      <c r="C476" s="110">
        <f>SUM(50842500-22648000)</f>
        <v>28194500</v>
      </c>
      <c r="D476" s="110"/>
      <c r="E476" s="18"/>
      <c r="F476" s="460"/>
      <c r="G476" s="460"/>
      <c r="H476" s="460"/>
      <c r="I476" s="460"/>
      <c r="J476" s="460"/>
      <c r="K476" s="460"/>
      <c r="L476" s="460"/>
      <c r="M476" s="460"/>
      <c r="N476" s="460"/>
      <c r="O476" s="460"/>
      <c r="P476" s="460"/>
      <c r="Q476" s="460"/>
      <c r="R476" s="460"/>
      <c r="S476" s="460"/>
      <c r="T476" s="460"/>
      <c r="U476" s="460"/>
      <c r="V476" s="460"/>
      <c r="W476" s="460"/>
      <c r="X476" s="460"/>
    </row>
    <row r="477" ht="26.25" customHeight="1">
      <c r="A477" s="18"/>
      <c r="B477" s="129" t="s">
        <v>89</v>
      </c>
      <c r="C477" s="110">
        <v>6.8165E7</v>
      </c>
      <c r="D477" s="158"/>
      <c r="E477" s="18"/>
      <c r="F477" s="190"/>
      <c r="G477" s="460"/>
      <c r="H477" s="190"/>
      <c r="I477" s="460"/>
      <c r="J477" s="460"/>
      <c r="K477" s="460"/>
      <c r="L477" s="460"/>
      <c r="M477" s="460"/>
      <c r="N477" s="460"/>
      <c r="O477" s="460"/>
      <c r="P477" s="460"/>
      <c r="Q477" s="460"/>
      <c r="R477" s="460"/>
      <c r="S477" s="460"/>
      <c r="T477" s="460"/>
      <c r="U477" s="460"/>
      <c r="V477" s="460"/>
      <c r="W477" s="460"/>
      <c r="X477" s="460"/>
    </row>
    <row r="478" ht="26.25" customHeight="1">
      <c r="A478" s="22"/>
      <c r="B478" s="129" t="s">
        <v>220</v>
      </c>
      <c r="C478" s="110">
        <v>0.0</v>
      </c>
      <c r="D478" s="115"/>
      <c r="E478" s="22"/>
      <c r="F478" s="190"/>
      <c r="G478" s="460"/>
      <c r="H478" s="190"/>
      <c r="I478" s="460"/>
      <c r="J478" s="460"/>
      <c r="K478" s="460"/>
      <c r="L478" s="460"/>
      <c r="M478" s="460"/>
      <c r="N478" s="460"/>
      <c r="O478" s="460"/>
      <c r="P478" s="460"/>
      <c r="Q478" s="460"/>
      <c r="R478" s="460"/>
      <c r="S478" s="460"/>
      <c r="T478" s="460"/>
      <c r="U478" s="460"/>
      <c r="V478" s="460"/>
      <c r="W478" s="460"/>
      <c r="X478" s="460"/>
    </row>
    <row r="479" ht="26.25" customHeight="1">
      <c r="A479" s="502" t="s">
        <v>292</v>
      </c>
      <c r="B479" s="129" t="s">
        <v>88</v>
      </c>
      <c r="C479" s="110">
        <v>4.7305E7</v>
      </c>
      <c r="D479" s="115" t="s">
        <v>7</v>
      </c>
      <c r="E479" s="503">
        <f>SUM(C481:C482)</f>
        <v>144845000</v>
      </c>
      <c r="F479" s="190"/>
      <c r="G479" s="460"/>
      <c r="H479" s="190">
        <v>221045.0</v>
      </c>
      <c r="I479" s="460"/>
      <c r="J479" s="460"/>
      <c r="K479" s="460"/>
      <c r="L479" s="460"/>
      <c r="M479" s="460"/>
      <c r="N479" s="460"/>
      <c r="O479" s="460"/>
      <c r="P479" s="460"/>
      <c r="Q479" s="460"/>
      <c r="R479" s="460"/>
      <c r="S479" s="460"/>
      <c r="T479" s="460"/>
      <c r="U479" s="460"/>
      <c r="V479" s="460"/>
      <c r="W479" s="460"/>
      <c r="X479" s="460"/>
    </row>
    <row r="480" ht="24.0" customHeight="1">
      <c r="A480" s="18"/>
      <c r="B480" s="129" t="s">
        <v>219</v>
      </c>
      <c r="C480" s="110">
        <v>4.5253E7</v>
      </c>
      <c r="D480" s="115" t="s">
        <v>7</v>
      </c>
      <c r="E480" s="18"/>
      <c r="F480" s="460"/>
      <c r="G480" s="460"/>
      <c r="H480" s="460"/>
      <c r="I480" s="460"/>
      <c r="J480" s="460"/>
      <c r="K480" s="460"/>
      <c r="L480" s="460"/>
      <c r="M480" s="460"/>
      <c r="N480" s="460"/>
      <c r="O480" s="460"/>
      <c r="P480" s="460"/>
      <c r="Q480" s="460"/>
      <c r="R480" s="460"/>
      <c r="S480" s="460"/>
      <c r="T480" s="460"/>
      <c r="U480" s="460"/>
      <c r="V480" s="460"/>
      <c r="W480" s="460"/>
      <c r="X480" s="460"/>
    </row>
    <row r="481" ht="24.0" customHeight="1">
      <c r="A481" s="18"/>
      <c r="B481" s="129" t="s">
        <v>89</v>
      </c>
      <c r="C481" s="110">
        <v>6.1617E7</v>
      </c>
      <c r="D481" s="115"/>
      <c r="E481" s="18"/>
      <c r="F481" s="460"/>
      <c r="G481" s="386"/>
      <c r="H481" s="460"/>
      <c r="I481" s="460"/>
      <c r="J481" s="460"/>
      <c r="K481" s="460"/>
      <c r="L481" s="460"/>
      <c r="M481" s="460"/>
      <c r="N481" s="460"/>
      <c r="O481" s="460"/>
      <c r="P481" s="460"/>
      <c r="Q481" s="460"/>
      <c r="R481" s="460"/>
      <c r="S481" s="460"/>
      <c r="T481" s="460"/>
      <c r="U481" s="460"/>
      <c r="V481" s="460"/>
      <c r="W481" s="460"/>
      <c r="X481" s="460"/>
    </row>
    <row r="482" ht="24.0" customHeight="1">
      <c r="A482" s="22"/>
      <c r="B482" s="129" t="s">
        <v>220</v>
      </c>
      <c r="C482" s="110">
        <v>8.3228E7</v>
      </c>
      <c r="D482" s="115"/>
      <c r="E482" s="22"/>
      <c r="F482" s="460"/>
      <c r="G482" s="386"/>
      <c r="H482" s="460"/>
      <c r="I482" s="460"/>
      <c r="J482" s="460"/>
      <c r="K482" s="460"/>
      <c r="L482" s="460"/>
      <c r="M482" s="460"/>
      <c r="N482" s="460"/>
      <c r="O482" s="460"/>
      <c r="P482" s="460"/>
      <c r="Q482" s="460"/>
      <c r="R482" s="460"/>
      <c r="S482" s="460"/>
      <c r="T482" s="460"/>
      <c r="U482" s="460"/>
      <c r="V482" s="460"/>
      <c r="W482" s="460"/>
      <c r="X482" s="460"/>
    </row>
    <row r="483" ht="24.0" customHeight="1">
      <c r="A483" s="502" t="s">
        <v>296</v>
      </c>
      <c r="B483" s="129" t="s">
        <v>88</v>
      </c>
      <c r="C483" s="110">
        <f>61195000-35*3000</f>
        <v>61090000</v>
      </c>
      <c r="D483" s="115" t="s">
        <v>7</v>
      </c>
      <c r="E483" s="503">
        <f>C485+C486</f>
        <v>82957000</v>
      </c>
      <c r="F483" s="460"/>
      <c r="G483" s="460"/>
      <c r="H483" s="460"/>
      <c r="I483" s="460"/>
      <c r="J483" s="460"/>
      <c r="K483" s="460"/>
      <c r="L483" s="460"/>
      <c r="M483" s="460"/>
      <c r="N483" s="460"/>
      <c r="O483" s="460"/>
      <c r="P483" s="460"/>
      <c r="Q483" s="460"/>
      <c r="R483" s="460"/>
      <c r="S483" s="460"/>
      <c r="T483" s="460"/>
      <c r="U483" s="460"/>
      <c r="V483" s="460"/>
      <c r="W483" s="460"/>
      <c r="X483" s="460"/>
    </row>
    <row r="484" ht="24.0" customHeight="1">
      <c r="A484" s="18"/>
      <c r="B484" s="129" t="s">
        <v>219</v>
      </c>
      <c r="C484" s="110">
        <f>36523000-1003000</f>
        <v>35520000</v>
      </c>
      <c r="D484" s="115" t="s">
        <v>7</v>
      </c>
      <c r="E484" s="18"/>
      <c r="F484" s="460"/>
      <c r="G484" s="460"/>
      <c r="H484" s="460"/>
      <c r="I484" s="460"/>
      <c r="J484" s="460"/>
      <c r="K484" s="460"/>
      <c r="L484" s="460"/>
      <c r="M484" s="460"/>
      <c r="N484" s="460"/>
      <c r="O484" s="460"/>
      <c r="P484" s="460"/>
      <c r="Q484" s="460"/>
      <c r="R484" s="460"/>
      <c r="S484" s="460"/>
      <c r="T484" s="460"/>
      <c r="U484" s="460"/>
      <c r="V484" s="460"/>
      <c r="W484" s="460"/>
      <c r="X484" s="460"/>
    </row>
    <row r="485" ht="24.0" customHeight="1">
      <c r="A485" s="18"/>
      <c r="B485" s="129" t="s">
        <v>89</v>
      </c>
      <c r="C485" s="110">
        <v>4.0856E7</v>
      </c>
      <c r="D485" s="115"/>
      <c r="E485" s="18"/>
      <c r="F485" s="460"/>
      <c r="G485" s="460"/>
      <c r="H485" s="460"/>
      <c r="I485" s="460"/>
      <c r="J485" s="460"/>
      <c r="K485" s="460"/>
      <c r="L485" s="460"/>
      <c r="M485" s="460"/>
      <c r="N485" s="460"/>
      <c r="O485" s="460"/>
      <c r="P485" s="460"/>
      <c r="Q485" s="460"/>
      <c r="R485" s="460"/>
      <c r="S485" s="460"/>
      <c r="T485" s="460"/>
      <c r="U485" s="460"/>
      <c r="V485" s="460"/>
      <c r="W485" s="460"/>
      <c r="X485" s="460"/>
    </row>
    <row r="486" ht="23.25" customHeight="1">
      <c r="A486" s="22"/>
      <c r="B486" s="129" t="s">
        <v>220</v>
      </c>
      <c r="C486" s="110">
        <f>42221000-120000</f>
        <v>42101000</v>
      </c>
      <c r="D486" s="115"/>
      <c r="E486" s="22"/>
      <c r="F486" s="460"/>
      <c r="G486" s="460"/>
      <c r="H486" s="460"/>
      <c r="I486" s="460"/>
      <c r="J486" s="460"/>
      <c r="K486" s="460"/>
      <c r="L486" s="460"/>
      <c r="M486" s="460"/>
      <c r="N486" s="460"/>
      <c r="O486" s="460"/>
      <c r="P486" s="460"/>
      <c r="Q486" s="460"/>
      <c r="R486" s="460"/>
      <c r="S486" s="460"/>
      <c r="T486" s="460"/>
      <c r="U486" s="460"/>
      <c r="V486" s="460"/>
      <c r="W486" s="460"/>
      <c r="X486" s="460"/>
    </row>
    <row r="487" ht="23.25" customHeight="1">
      <c r="A487" s="502" t="s">
        <v>293</v>
      </c>
      <c r="B487" s="129" t="s">
        <v>628</v>
      </c>
      <c r="C487" s="110">
        <v>3.354E7</v>
      </c>
      <c r="D487" s="115" t="s">
        <v>7</v>
      </c>
      <c r="E487" s="503">
        <f>C490</f>
        <v>41025500</v>
      </c>
      <c r="F487" s="460"/>
      <c r="G487" s="460"/>
      <c r="H487" s="460"/>
      <c r="I487" s="460"/>
      <c r="J487" s="460"/>
      <c r="K487" s="460"/>
      <c r="L487" s="460"/>
      <c r="M487" s="460"/>
      <c r="N487" s="460"/>
      <c r="O487" s="460"/>
      <c r="P487" s="460"/>
      <c r="Q487" s="460"/>
      <c r="R487" s="460"/>
      <c r="S487" s="460"/>
      <c r="T487" s="460"/>
      <c r="U487" s="460"/>
      <c r="V487" s="460"/>
      <c r="W487" s="460"/>
      <c r="X487" s="460"/>
    </row>
    <row r="488" ht="23.25" customHeight="1">
      <c r="A488" s="18"/>
      <c r="B488" s="129" t="s">
        <v>629</v>
      </c>
      <c r="C488" s="110">
        <v>4.54665E7</v>
      </c>
      <c r="D488" s="115" t="s">
        <v>7</v>
      </c>
      <c r="E488" s="18"/>
      <c r="F488" s="460"/>
      <c r="G488" s="460"/>
      <c r="H488" s="460"/>
      <c r="I488" s="460"/>
      <c r="J488" s="460"/>
      <c r="K488" s="460"/>
      <c r="L488" s="460"/>
      <c r="M488" s="460"/>
      <c r="N488" s="460"/>
      <c r="O488" s="460"/>
      <c r="P488" s="460"/>
      <c r="Q488" s="460"/>
      <c r="R488" s="460"/>
      <c r="S488" s="460"/>
      <c r="T488" s="460"/>
      <c r="U488" s="460"/>
      <c r="V488" s="460"/>
      <c r="W488" s="460"/>
      <c r="X488" s="460"/>
    </row>
    <row r="489" ht="23.25" customHeight="1">
      <c r="A489" s="18"/>
      <c r="B489" s="129" t="s">
        <v>630</v>
      </c>
      <c r="C489" s="110">
        <v>3.445E7</v>
      </c>
      <c r="D489" s="115" t="s">
        <v>7</v>
      </c>
      <c r="E489" s="18"/>
      <c r="F489" s="460"/>
      <c r="G489" s="8"/>
      <c r="H489" s="460"/>
      <c r="I489" s="460"/>
      <c r="J489" s="460"/>
      <c r="K489" s="460"/>
      <c r="L489" s="460"/>
      <c r="M489" s="460"/>
      <c r="N489" s="460"/>
      <c r="O489" s="460"/>
      <c r="P489" s="460"/>
      <c r="Q489" s="460"/>
      <c r="R489" s="460"/>
      <c r="S489" s="460"/>
      <c r="T489" s="460"/>
      <c r="U489" s="460"/>
      <c r="V489" s="460"/>
      <c r="W489" s="460"/>
      <c r="X489" s="460"/>
    </row>
    <row r="490" ht="23.25" customHeight="1">
      <c r="A490" s="18"/>
      <c r="B490" s="129" t="s">
        <v>616</v>
      </c>
      <c r="C490" s="110">
        <v>4.10255E7</v>
      </c>
      <c r="D490" s="115"/>
      <c r="E490" s="18"/>
      <c r="F490" s="460"/>
      <c r="G490" s="8"/>
      <c r="H490" s="460"/>
      <c r="I490" s="460"/>
      <c r="J490" s="460"/>
      <c r="K490" s="460"/>
      <c r="L490" s="460"/>
      <c r="M490" s="460"/>
      <c r="N490" s="460"/>
      <c r="O490" s="460"/>
      <c r="P490" s="460"/>
      <c r="Q490" s="460"/>
      <c r="R490" s="460"/>
      <c r="S490" s="460"/>
      <c r="T490" s="460"/>
      <c r="U490" s="460"/>
      <c r="V490" s="460"/>
      <c r="W490" s="460"/>
      <c r="X490" s="460"/>
    </row>
    <row r="491" ht="23.25" customHeight="1">
      <c r="A491" s="22"/>
      <c r="B491" s="129" t="s">
        <v>631</v>
      </c>
      <c r="C491" s="110">
        <v>2.3965E7</v>
      </c>
      <c r="D491" s="115"/>
      <c r="E491" s="22"/>
      <c r="F491" s="460"/>
      <c r="G491" s="8"/>
      <c r="H491" s="53"/>
      <c r="I491" s="273"/>
      <c r="J491" s="460"/>
      <c r="K491" s="460"/>
      <c r="L491" s="460"/>
      <c r="M491" s="460"/>
      <c r="N491" s="460"/>
      <c r="O491" s="460"/>
      <c r="P491" s="460"/>
      <c r="Q491" s="460"/>
      <c r="R491" s="460"/>
      <c r="S491" s="460"/>
      <c r="T491" s="460"/>
      <c r="U491" s="460"/>
      <c r="V491" s="460"/>
      <c r="W491" s="460"/>
      <c r="X491" s="460"/>
    </row>
    <row r="492" ht="23.25" customHeight="1">
      <c r="A492" s="504" t="s">
        <v>207</v>
      </c>
      <c r="B492" s="129" t="s">
        <v>88</v>
      </c>
      <c r="C492" s="110">
        <v>1.7295E7</v>
      </c>
      <c r="D492" s="115" t="s">
        <v>7</v>
      </c>
      <c r="E492" s="503">
        <f>C494</f>
        <v>20173000</v>
      </c>
      <c r="F492" s="460"/>
      <c r="G492" s="8"/>
      <c r="H492" s="53"/>
      <c r="I492" s="273"/>
      <c r="J492" s="460"/>
      <c r="K492" s="460"/>
      <c r="L492" s="460"/>
      <c r="M492" s="460"/>
      <c r="N492" s="460"/>
      <c r="O492" s="460"/>
      <c r="P492" s="460"/>
      <c r="Q492" s="460"/>
      <c r="R492" s="460"/>
      <c r="S492" s="460"/>
      <c r="T492" s="460"/>
      <c r="U492" s="460"/>
      <c r="V492" s="460"/>
      <c r="W492" s="460"/>
      <c r="X492" s="460"/>
    </row>
    <row r="493" ht="23.25" customHeight="1">
      <c r="A493" s="18"/>
      <c r="B493" s="129" t="s">
        <v>219</v>
      </c>
      <c r="C493" s="110">
        <v>1.6725E7</v>
      </c>
      <c r="D493" s="115" t="s">
        <v>7</v>
      </c>
      <c r="E493" s="18"/>
      <c r="F493" s="460"/>
      <c r="G493" s="8"/>
      <c r="H493" s="53"/>
      <c r="I493" s="273"/>
      <c r="J493" s="460"/>
      <c r="K493" s="460"/>
      <c r="L493" s="460"/>
      <c r="M493" s="460"/>
      <c r="N493" s="460"/>
      <c r="O493" s="460"/>
      <c r="P493" s="460"/>
      <c r="Q493" s="460"/>
      <c r="R493" s="460"/>
      <c r="S493" s="460"/>
      <c r="T493" s="460"/>
      <c r="U493" s="460"/>
      <c r="V493" s="460"/>
      <c r="W493" s="460"/>
      <c r="X493" s="460"/>
    </row>
    <row r="494" ht="23.25" customHeight="1">
      <c r="A494" s="18"/>
      <c r="B494" s="129" t="s">
        <v>89</v>
      </c>
      <c r="C494" s="110">
        <v>2.0173E7</v>
      </c>
      <c r="D494" s="115"/>
      <c r="E494" s="18"/>
      <c r="F494" s="460"/>
      <c r="G494" s="8"/>
      <c r="H494" s="53"/>
      <c r="I494" s="273"/>
      <c r="J494" s="460"/>
      <c r="K494" s="460"/>
      <c r="L494" s="460"/>
      <c r="M494" s="460"/>
      <c r="N494" s="460"/>
      <c r="O494" s="460"/>
      <c r="P494" s="460"/>
      <c r="Q494" s="460"/>
      <c r="R494" s="460"/>
      <c r="S494" s="460"/>
      <c r="T494" s="460"/>
      <c r="U494" s="460"/>
      <c r="V494" s="460"/>
      <c r="W494" s="460"/>
      <c r="X494" s="460"/>
    </row>
    <row r="495" ht="23.25" customHeight="1">
      <c r="A495" s="22"/>
      <c r="B495" s="129" t="s">
        <v>220</v>
      </c>
      <c r="C495" s="110"/>
      <c r="D495" s="192"/>
      <c r="E495" s="22"/>
      <c r="F495" s="460"/>
      <c r="G495" s="436"/>
      <c r="H495" s="53"/>
      <c r="I495" s="273"/>
      <c r="J495" s="460"/>
      <c r="K495" s="460"/>
      <c r="L495" s="460"/>
      <c r="M495" s="460"/>
      <c r="N495" s="460"/>
      <c r="O495" s="460"/>
      <c r="P495" s="460"/>
      <c r="Q495" s="460"/>
      <c r="R495" s="460"/>
      <c r="S495" s="460"/>
      <c r="T495" s="460"/>
      <c r="U495" s="460"/>
      <c r="V495" s="460"/>
      <c r="W495" s="460"/>
      <c r="X495" s="460"/>
    </row>
    <row r="496" ht="23.25" customHeight="1">
      <c r="A496" s="504" t="s">
        <v>211</v>
      </c>
      <c r="B496" s="129" t="s">
        <v>71</v>
      </c>
      <c r="C496" s="110">
        <f>182742800-50000000-30000000-60000000-40000000</f>
        <v>2742800</v>
      </c>
      <c r="D496" s="192"/>
      <c r="E496" s="503">
        <f>SUM(C496:C501)</f>
        <v>133833900</v>
      </c>
      <c r="F496" s="460"/>
      <c r="G496" s="261" t="s">
        <v>503</v>
      </c>
      <c r="H496" s="30" t="s">
        <v>151</v>
      </c>
      <c r="I496" s="115">
        <v>4.41409E8</v>
      </c>
      <c r="J496" s="460"/>
      <c r="K496" s="460"/>
      <c r="L496" s="460"/>
      <c r="M496" s="460"/>
      <c r="N496" s="460"/>
      <c r="O496" s="460"/>
      <c r="P496" s="460"/>
      <c r="Q496" s="460"/>
      <c r="R496" s="460"/>
      <c r="S496" s="460"/>
      <c r="T496" s="460"/>
      <c r="U496" s="460"/>
      <c r="V496" s="460"/>
      <c r="W496" s="460"/>
      <c r="X496" s="460"/>
    </row>
    <row r="497" ht="23.25" customHeight="1">
      <c r="A497" s="18"/>
      <c r="B497" s="129" t="s">
        <v>88</v>
      </c>
      <c r="C497" s="110">
        <v>6.48306E7</v>
      </c>
      <c r="D497" s="192"/>
      <c r="E497" s="18"/>
      <c r="F497" s="460"/>
      <c r="G497" s="18"/>
      <c r="H497" s="173" t="s">
        <v>504</v>
      </c>
      <c r="I497" s="115">
        <v>-4700000.0</v>
      </c>
      <c r="J497" s="460"/>
      <c r="K497" s="460"/>
      <c r="L497" s="460"/>
      <c r="M497" s="460"/>
      <c r="N497" s="460"/>
      <c r="O497" s="460"/>
      <c r="P497" s="460"/>
      <c r="Q497" s="460"/>
      <c r="R497" s="460"/>
      <c r="S497" s="460"/>
      <c r="T497" s="460"/>
      <c r="U497" s="460"/>
      <c r="V497" s="460"/>
      <c r="W497" s="460"/>
      <c r="X497" s="460"/>
    </row>
    <row r="498" ht="23.25" customHeight="1">
      <c r="A498" s="18"/>
      <c r="B498" s="129" t="s">
        <v>219</v>
      </c>
      <c r="C498" s="110">
        <f>16104000-84000</f>
        <v>16020000</v>
      </c>
      <c r="D498" s="192"/>
      <c r="E498" s="18"/>
      <c r="F498" s="460"/>
      <c r="G498" s="18"/>
      <c r="H498" s="173" t="s">
        <v>505</v>
      </c>
      <c r="I498" s="115">
        <v>-8.6709E7</v>
      </c>
      <c r="J498" s="460"/>
      <c r="K498" s="460"/>
      <c r="L498" s="460"/>
      <c r="M498" s="460"/>
      <c r="N498" s="460"/>
      <c r="O498" s="460"/>
      <c r="P498" s="460"/>
      <c r="Q498" s="460"/>
      <c r="R498" s="460"/>
      <c r="S498" s="460"/>
      <c r="T498" s="460"/>
      <c r="U498" s="460"/>
      <c r="V498" s="460"/>
      <c r="W498" s="460"/>
      <c r="X498" s="460"/>
    </row>
    <row r="499" ht="23.25" customHeight="1">
      <c r="A499" s="18"/>
      <c r="B499" s="129" t="s">
        <v>89</v>
      </c>
      <c r="C499" s="110">
        <v>3.99455E7</v>
      </c>
      <c r="D499" s="115"/>
      <c r="E499" s="18"/>
      <c r="F499" s="460"/>
      <c r="G499" s="18"/>
      <c r="H499" s="56"/>
      <c r="I499" s="122"/>
      <c r="J499" s="460"/>
      <c r="K499" s="460"/>
      <c r="L499" s="460"/>
      <c r="M499" s="460"/>
      <c r="N499" s="460"/>
      <c r="O499" s="460"/>
      <c r="P499" s="460"/>
      <c r="Q499" s="460"/>
      <c r="R499" s="460"/>
      <c r="S499" s="460"/>
      <c r="T499" s="460"/>
      <c r="U499" s="460"/>
      <c r="V499" s="460"/>
      <c r="W499" s="460"/>
      <c r="X499" s="460"/>
    </row>
    <row r="500" ht="23.25" customHeight="1">
      <c r="A500" s="18"/>
      <c r="B500" s="129" t="s">
        <v>632</v>
      </c>
      <c r="C500" s="110">
        <f>-600000-30000</f>
        <v>-630000</v>
      </c>
      <c r="D500" s="115"/>
      <c r="E500" s="18"/>
      <c r="F500" s="460"/>
      <c r="G500" s="18"/>
      <c r="H500" s="56"/>
      <c r="I500" s="122"/>
      <c r="J500" s="460"/>
      <c r="K500" s="460"/>
      <c r="L500" s="460"/>
      <c r="M500" s="460"/>
      <c r="N500" s="460"/>
      <c r="O500" s="460"/>
      <c r="P500" s="460"/>
      <c r="Q500" s="460"/>
      <c r="R500" s="460"/>
      <c r="S500" s="460"/>
      <c r="T500" s="460"/>
      <c r="U500" s="460"/>
      <c r="V500" s="460"/>
      <c r="W500" s="460"/>
      <c r="X500" s="460"/>
    </row>
    <row r="501" ht="23.25" customHeight="1">
      <c r="A501" s="22"/>
      <c r="B501" s="129" t="s">
        <v>220</v>
      </c>
      <c r="C501" s="110">
        <v>1.0925E7</v>
      </c>
      <c r="D501" s="115"/>
      <c r="E501" s="22"/>
      <c r="F501" s="460" t="str">
        <f>SUM( 50000000-#REF!-C497)</f>
        <v>#REF!</v>
      </c>
      <c r="G501" s="22"/>
      <c r="H501" s="56" t="s">
        <v>99</v>
      </c>
      <c r="I501" s="122">
        <f>SUM(I496:I498)</f>
        <v>350000000</v>
      </c>
      <c r="J501" s="460"/>
      <c r="K501" s="460"/>
      <c r="L501" s="460"/>
      <c r="M501" s="460"/>
      <c r="N501" s="460"/>
      <c r="O501" s="460"/>
      <c r="P501" s="460"/>
      <c r="Q501" s="460"/>
      <c r="R501" s="460"/>
      <c r="S501" s="460"/>
      <c r="T501" s="460"/>
      <c r="U501" s="460"/>
      <c r="V501" s="460"/>
      <c r="W501" s="460"/>
      <c r="X501" s="460"/>
    </row>
    <row r="502" ht="23.25" customHeight="1">
      <c r="A502" s="502" t="s">
        <v>302</v>
      </c>
      <c r="B502" s="129" t="s">
        <v>88</v>
      </c>
      <c r="C502" s="110">
        <v>4.6758E7</v>
      </c>
      <c r="D502" s="115"/>
      <c r="E502" s="503">
        <f>SUM(C502:C505)</f>
        <v>87727000</v>
      </c>
      <c r="F502" s="460"/>
      <c r="G502" s="261" t="s">
        <v>303</v>
      </c>
      <c r="H502" s="30" t="s">
        <v>151</v>
      </c>
      <c r="I502" s="115">
        <v>4.41409E8</v>
      </c>
      <c r="J502" s="460"/>
      <c r="K502" s="460"/>
      <c r="L502" s="460"/>
      <c r="M502" s="460"/>
      <c r="N502" s="460"/>
      <c r="O502" s="460"/>
      <c r="P502" s="460"/>
      <c r="Q502" s="460"/>
      <c r="R502" s="460"/>
      <c r="S502" s="460"/>
      <c r="T502" s="460"/>
      <c r="U502" s="460"/>
      <c r="V502" s="460"/>
      <c r="W502" s="460"/>
      <c r="X502" s="460"/>
    </row>
    <row r="503" ht="23.25" customHeight="1">
      <c r="A503" s="18"/>
      <c r="B503" s="129" t="s">
        <v>219</v>
      </c>
      <c r="C503" s="110">
        <v>0.0</v>
      </c>
      <c r="D503" s="115"/>
      <c r="E503" s="18"/>
      <c r="F503" s="460"/>
      <c r="G503" s="18"/>
      <c r="H503" s="173" t="s">
        <v>504</v>
      </c>
      <c r="I503" s="115">
        <v>-4700000.0</v>
      </c>
      <c r="J503" s="460"/>
      <c r="K503" s="460"/>
      <c r="L503" s="460"/>
      <c r="M503" s="460"/>
      <c r="N503" s="460"/>
      <c r="O503" s="460"/>
      <c r="P503" s="460"/>
      <c r="Q503" s="460"/>
      <c r="R503" s="460"/>
      <c r="S503" s="460"/>
      <c r="T503" s="460"/>
      <c r="U503" s="460"/>
      <c r="V503" s="460"/>
      <c r="W503" s="460"/>
      <c r="X503" s="460"/>
    </row>
    <row r="504" ht="23.25" customHeight="1">
      <c r="A504" s="18"/>
      <c r="B504" s="129" t="s">
        <v>89</v>
      </c>
      <c r="C504" s="110">
        <v>1.759E7</v>
      </c>
      <c r="D504" s="115"/>
      <c r="E504" s="18"/>
      <c r="F504" s="460"/>
      <c r="G504" s="18"/>
      <c r="H504" s="173" t="s">
        <v>505</v>
      </c>
      <c r="I504" s="115">
        <v>-8.6709E7</v>
      </c>
      <c r="J504" s="460"/>
      <c r="K504" s="460"/>
      <c r="L504" s="460"/>
      <c r="M504" s="460"/>
      <c r="N504" s="460"/>
      <c r="O504" s="460"/>
      <c r="P504" s="460"/>
      <c r="Q504" s="460"/>
      <c r="R504" s="460"/>
      <c r="S504" s="460"/>
      <c r="T504" s="460"/>
      <c r="U504" s="460"/>
      <c r="V504" s="460"/>
      <c r="W504" s="460"/>
      <c r="X504" s="460"/>
    </row>
    <row r="505" ht="24.0" customHeight="1">
      <c r="A505" s="22"/>
      <c r="B505" s="129" t="s">
        <v>220</v>
      </c>
      <c r="C505" s="110">
        <v>2.3379E7</v>
      </c>
      <c r="D505" s="48"/>
      <c r="E505" s="22"/>
      <c r="F505" s="460"/>
      <c r="G505" s="22"/>
      <c r="H505" s="56" t="s">
        <v>99</v>
      </c>
      <c r="I505" s="122">
        <f>SUM(I502:I504)</f>
        <v>350000000</v>
      </c>
      <c r="J505" s="460"/>
      <c r="K505" s="460"/>
      <c r="L505" s="460"/>
      <c r="M505" s="460"/>
      <c r="N505" s="460"/>
      <c r="O505" s="460"/>
      <c r="P505" s="460"/>
      <c r="Q505" s="460"/>
      <c r="R505" s="460"/>
      <c r="S505" s="460"/>
      <c r="T505" s="460"/>
      <c r="U505" s="460"/>
      <c r="V505" s="460"/>
      <c r="W505" s="460"/>
      <c r="X505" s="460"/>
    </row>
    <row r="506" ht="24.0" customHeight="1">
      <c r="A506" s="504" t="s">
        <v>215</v>
      </c>
      <c r="B506" s="129" t="s">
        <v>423</v>
      </c>
      <c r="C506" s="110">
        <v>1.0E7</v>
      </c>
      <c r="D506" s="192"/>
      <c r="E506" s="503">
        <f>SUM(C506:C510)</f>
        <v>21613400</v>
      </c>
      <c r="F506" s="110"/>
      <c r="G506" s="460"/>
      <c r="H506" s="460"/>
      <c r="I506" s="460"/>
      <c r="J506" s="460"/>
      <c r="K506" s="460"/>
      <c r="L506" s="460"/>
      <c r="M506" s="460"/>
      <c r="N506" s="460"/>
      <c r="O506" s="460"/>
      <c r="P506" s="460"/>
      <c r="Q506" s="460"/>
      <c r="R506" s="460"/>
      <c r="S506" s="460"/>
      <c r="T506" s="460"/>
      <c r="U506" s="460"/>
      <c r="V506" s="460"/>
      <c r="W506" s="460"/>
      <c r="X506" s="460"/>
    </row>
    <row r="507" ht="24.0" customHeight="1">
      <c r="A507" s="18"/>
      <c r="B507" s="129" t="s">
        <v>88</v>
      </c>
      <c r="C507" s="110">
        <v>4784400.0</v>
      </c>
      <c r="D507" s="192"/>
      <c r="E507" s="18"/>
      <c r="F507" s="460"/>
      <c r="G507" s="460"/>
      <c r="H507" s="460"/>
      <c r="I507" s="460"/>
      <c r="J507" s="460"/>
      <c r="K507" s="460"/>
      <c r="L507" s="460"/>
      <c r="M507" s="460"/>
      <c r="N507" s="460"/>
      <c r="O507" s="460"/>
      <c r="P507" s="460"/>
      <c r="Q507" s="460"/>
      <c r="R507" s="460"/>
      <c r="S507" s="460"/>
      <c r="T507" s="460"/>
      <c r="U507" s="460"/>
      <c r="V507" s="460"/>
      <c r="W507" s="460"/>
      <c r="X507" s="460"/>
    </row>
    <row r="508" ht="24.0" customHeight="1">
      <c r="A508" s="18"/>
      <c r="B508" s="129" t="s">
        <v>219</v>
      </c>
      <c r="C508" s="110">
        <v>1143000.0</v>
      </c>
      <c r="D508" s="115"/>
      <c r="E508" s="18"/>
      <c r="F508" s="273"/>
      <c r="G508" s="460"/>
      <c r="H508" s="460"/>
      <c r="I508" s="460"/>
      <c r="J508" s="460"/>
      <c r="K508" s="460"/>
      <c r="L508" s="460"/>
      <c r="M508" s="460"/>
      <c r="N508" s="460"/>
      <c r="O508" s="460"/>
      <c r="P508" s="460"/>
      <c r="Q508" s="460"/>
      <c r="R508" s="460"/>
      <c r="S508" s="460"/>
      <c r="T508" s="460"/>
      <c r="U508" s="460"/>
      <c r="V508" s="460"/>
      <c r="W508" s="460"/>
      <c r="X508" s="460"/>
    </row>
    <row r="509" ht="24.75" customHeight="1">
      <c r="A509" s="18"/>
      <c r="B509" s="129" t="s">
        <v>89</v>
      </c>
      <c r="C509" s="110">
        <v>4134000.0</v>
      </c>
      <c r="D509" s="115"/>
      <c r="E509" s="18"/>
      <c r="F509" s="190" t="s">
        <v>509</v>
      </c>
      <c r="G509" s="460"/>
      <c r="H509" s="460"/>
      <c r="I509" s="460"/>
      <c r="J509" s="460"/>
      <c r="K509" s="460"/>
      <c r="L509" s="460"/>
      <c r="M509" s="460"/>
      <c r="N509" s="460"/>
      <c r="O509" s="460"/>
      <c r="P509" s="460"/>
      <c r="Q509" s="460"/>
      <c r="R509" s="460"/>
      <c r="S509" s="460"/>
      <c r="T509" s="460"/>
      <c r="U509" s="460"/>
      <c r="V509" s="460"/>
      <c r="W509" s="460"/>
      <c r="X509" s="460"/>
    </row>
    <row r="510" ht="24.75" customHeight="1">
      <c r="A510" s="22"/>
      <c r="B510" s="129" t="s">
        <v>220</v>
      </c>
      <c r="C510" s="110">
        <v>1552000.0</v>
      </c>
      <c r="D510" s="192"/>
      <c r="E510" s="22"/>
      <c r="F510" s="460"/>
      <c r="G510" s="460"/>
      <c r="H510" s="460"/>
      <c r="I510" s="460"/>
      <c r="J510" s="460"/>
      <c r="K510" s="460"/>
      <c r="L510" s="460"/>
      <c r="M510" s="460"/>
      <c r="N510" s="460"/>
      <c r="O510" s="460"/>
      <c r="P510" s="460"/>
      <c r="Q510" s="460"/>
      <c r="R510" s="460"/>
      <c r="S510" s="460"/>
      <c r="T510" s="460"/>
      <c r="U510" s="460"/>
      <c r="V510" s="460"/>
      <c r="W510" s="460"/>
      <c r="X510" s="460"/>
    </row>
    <row r="511" ht="24.75" customHeight="1">
      <c r="A511" s="504" t="s">
        <v>216</v>
      </c>
      <c r="B511" s="129" t="s">
        <v>633</v>
      </c>
      <c r="C511" s="110">
        <f>45463500+35000</f>
        <v>45498500</v>
      </c>
      <c r="D511" s="192" t="s">
        <v>7</v>
      </c>
      <c r="E511" s="503">
        <f>C515</f>
        <v>74043000</v>
      </c>
      <c r="F511" s="460"/>
      <c r="G511" s="460"/>
      <c r="H511" s="460"/>
      <c r="I511" s="460"/>
      <c r="J511" s="460"/>
      <c r="K511" s="460"/>
      <c r="L511" s="460"/>
      <c r="M511" s="460"/>
      <c r="N511" s="460"/>
      <c r="O511" s="460"/>
      <c r="P511" s="460"/>
      <c r="Q511" s="460"/>
      <c r="R511" s="460"/>
      <c r="S511" s="460"/>
      <c r="T511" s="460"/>
      <c r="U511" s="460"/>
      <c r="V511" s="460"/>
      <c r="W511" s="460"/>
      <c r="X511" s="460"/>
    </row>
    <row r="512" ht="24.0" customHeight="1">
      <c r="A512" s="18"/>
      <c r="B512" s="129" t="s">
        <v>88</v>
      </c>
      <c r="C512" s="110">
        <v>7.27065E7</v>
      </c>
      <c r="D512" s="192" t="s">
        <v>7</v>
      </c>
      <c r="E512" s="18"/>
      <c r="F512" s="460"/>
      <c r="G512" s="460"/>
      <c r="H512" s="460">
        <f>273076-1599629</f>
        <v>-1326553</v>
      </c>
      <c r="I512" s="460"/>
      <c r="J512" s="460"/>
      <c r="K512" s="460"/>
      <c r="L512" s="460"/>
      <c r="M512" s="460"/>
      <c r="N512" s="460"/>
      <c r="O512" s="460"/>
      <c r="P512" s="460"/>
      <c r="Q512" s="460"/>
      <c r="R512" s="460"/>
      <c r="S512" s="460"/>
      <c r="T512" s="460"/>
      <c r="U512" s="460"/>
      <c r="V512" s="460"/>
      <c r="W512" s="460"/>
      <c r="X512" s="460"/>
    </row>
    <row r="513" ht="24.0" customHeight="1">
      <c r="A513" s="18"/>
      <c r="B513" s="129" t="s">
        <v>219</v>
      </c>
      <c r="C513" s="110">
        <v>6.0887E7</v>
      </c>
      <c r="D513" s="115" t="s">
        <v>7</v>
      </c>
      <c r="E513" s="18"/>
      <c r="F513" s="460"/>
      <c r="G513" s="460"/>
      <c r="H513" s="460"/>
      <c r="I513" s="460"/>
      <c r="J513" s="460"/>
      <c r="K513" s="460"/>
      <c r="L513" s="460"/>
      <c r="M513" s="460"/>
      <c r="N513" s="460"/>
      <c r="O513" s="460"/>
      <c r="P513" s="460"/>
      <c r="Q513" s="460"/>
      <c r="R513" s="460"/>
      <c r="S513" s="460"/>
      <c r="T513" s="460"/>
      <c r="U513" s="460"/>
      <c r="V513" s="460"/>
      <c r="W513" s="460"/>
      <c r="X513" s="460"/>
    </row>
    <row r="514" ht="21.75" customHeight="1">
      <c r="A514" s="18"/>
      <c r="B514" s="129" t="s">
        <v>89</v>
      </c>
      <c r="C514" s="110">
        <v>5.91275E7</v>
      </c>
      <c r="D514" s="115" t="s">
        <v>7</v>
      </c>
      <c r="E514" s="18"/>
      <c r="F514" s="460"/>
      <c r="G514" s="460"/>
      <c r="H514" s="460"/>
      <c r="I514" s="460"/>
      <c r="J514" s="460"/>
      <c r="K514" s="460"/>
      <c r="L514" s="460"/>
      <c r="M514" s="460"/>
      <c r="N514" s="460"/>
      <c r="O514" s="460"/>
      <c r="P514" s="460"/>
      <c r="Q514" s="460"/>
      <c r="R514" s="460"/>
      <c r="S514" s="460"/>
      <c r="T514" s="460"/>
      <c r="U514" s="460"/>
      <c r="V514" s="460"/>
      <c r="W514" s="460"/>
      <c r="X514" s="460"/>
    </row>
    <row r="515" ht="24.75" customHeight="1">
      <c r="A515" s="22"/>
      <c r="B515" s="129" t="s">
        <v>220</v>
      </c>
      <c r="C515" s="110">
        <v>7.4043E7</v>
      </c>
      <c r="D515" s="115"/>
      <c r="E515" s="22"/>
      <c r="F515" s="460"/>
      <c r="G515" s="460"/>
      <c r="H515" s="460"/>
      <c r="I515" s="460"/>
      <c r="J515" s="460"/>
      <c r="K515" s="460"/>
      <c r="L515" s="460"/>
      <c r="M515" s="460"/>
      <c r="N515" s="460"/>
      <c r="O515" s="460"/>
      <c r="P515" s="460"/>
      <c r="Q515" s="460"/>
      <c r="R515" s="460"/>
      <c r="S515" s="460"/>
      <c r="T515" s="460"/>
      <c r="U515" s="460"/>
      <c r="V515" s="460"/>
      <c r="W515" s="460"/>
      <c r="X515" s="460"/>
    </row>
    <row r="516" ht="24.75" customHeight="1">
      <c r="A516" s="502" t="s">
        <v>510</v>
      </c>
      <c r="B516" s="129" t="s">
        <v>88</v>
      </c>
      <c r="C516" s="110">
        <f>48604000-310000</f>
        <v>48294000</v>
      </c>
      <c r="D516" s="192"/>
      <c r="E516" s="505">
        <f>sum(C516:C519)</f>
        <v>118077500</v>
      </c>
      <c r="F516" s="460"/>
      <c r="G516" s="460"/>
      <c r="H516" s="460"/>
      <c r="I516" s="460"/>
      <c r="J516" s="460"/>
      <c r="K516" s="460"/>
      <c r="L516" s="460"/>
      <c r="M516" s="460"/>
      <c r="N516" s="460"/>
      <c r="O516" s="460"/>
      <c r="P516" s="460"/>
      <c r="Q516" s="460"/>
      <c r="R516" s="460"/>
      <c r="S516" s="460"/>
      <c r="T516" s="460"/>
      <c r="U516" s="460"/>
      <c r="V516" s="460"/>
      <c r="W516" s="460"/>
      <c r="X516" s="460"/>
    </row>
    <row r="517" ht="24.75" customHeight="1">
      <c r="A517" s="18"/>
      <c r="B517" s="129" t="s">
        <v>219</v>
      </c>
      <c r="C517" s="110">
        <v>6875000.0</v>
      </c>
      <c r="D517" s="190"/>
      <c r="E517" s="18"/>
      <c r="F517" s="460"/>
      <c r="G517" s="460"/>
      <c r="H517" s="460"/>
      <c r="I517" s="460"/>
      <c r="J517" s="460"/>
      <c r="K517" s="460"/>
      <c r="L517" s="460"/>
      <c r="M517" s="460"/>
      <c r="N517" s="460"/>
      <c r="O517" s="460"/>
      <c r="P517" s="460"/>
      <c r="Q517" s="460"/>
      <c r="R517" s="460"/>
      <c r="S517" s="460"/>
      <c r="T517" s="460"/>
      <c r="U517" s="460"/>
      <c r="V517" s="460"/>
      <c r="W517" s="460"/>
      <c r="X517" s="460"/>
    </row>
    <row r="518" ht="24.75" customHeight="1">
      <c r="A518" s="18"/>
      <c r="B518" s="129" t="s">
        <v>89</v>
      </c>
      <c r="C518" s="110">
        <f>29358000-75000-270000</f>
        <v>29013000</v>
      </c>
      <c r="D518" s="115"/>
      <c r="E518" s="18"/>
      <c r="F518" s="460"/>
      <c r="G518" s="460"/>
      <c r="H518" s="460"/>
      <c r="I518" s="460"/>
      <c r="J518" s="460"/>
      <c r="K518" s="460"/>
      <c r="L518" s="460"/>
      <c r="M518" s="460"/>
      <c r="N518" s="460"/>
      <c r="O518" s="460"/>
      <c r="P518" s="460"/>
      <c r="Q518" s="460"/>
      <c r="R518" s="460"/>
      <c r="S518" s="460"/>
      <c r="T518" s="460"/>
      <c r="U518" s="460"/>
      <c r="V518" s="460"/>
      <c r="W518" s="460"/>
      <c r="X518" s="460"/>
    </row>
    <row r="519" ht="22.5" customHeight="1">
      <c r="A519" s="22"/>
      <c r="B519" s="129" t="s">
        <v>220</v>
      </c>
      <c r="C519" s="110">
        <f>33940500-45000</f>
        <v>33895500</v>
      </c>
      <c r="D519" s="158"/>
      <c r="E519" s="22"/>
      <c r="F519" s="460"/>
      <c r="G519" s="460"/>
      <c r="H519" s="460"/>
      <c r="I519" s="460"/>
      <c r="J519" s="460"/>
      <c r="K519" s="460"/>
      <c r="L519" s="460"/>
      <c r="M519" s="460"/>
      <c r="N519" s="460"/>
      <c r="O519" s="460"/>
      <c r="P519" s="460"/>
      <c r="Q519" s="460"/>
      <c r="R519" s="460"/>
      <c r="S519" s="460"/>
      <c r="T519" s="460"/>
      <c r="U519" s="460"/>
      <c r="V519" s="460"/>
      <c r="W519" s="460"/>
      <c r="X519" s="460"/>
    </row>
    <row r="520" ht="22.5" customHeight="1">
      <c r="A520" s="502" t="s">
        <v>513</v>
      </c>
      <c r="B520" s="129" t="s">
        <v>88</v>
      </c>
      <c r="C520" s="110">
        <v>8.6661E7</v>
      </c>
      <c r="D520" s="158"/>
      <c r="E520" s="505">
        <f>SUM(C520:C523)</f>
        <v>296477200</v>
      </c>
      <c r="F520" s="460"/>
      <c r="G520" s="460"/>
      <c r="H520" s="460"/>
      <c r="I520" s="460"/>
      <c r="J520" s="460"/>
      <c r="K520" s="460"/>
      <c r="L520" s="460"/>
      <c r="M520" s="460"/>
      <c r="N520" s="460"/>
      <c r="O520" s="460"/>
      <c r="P520" s="460"/>
      <c r="Q520" s="460"/>
      <c r="R520" s="460"/>
      <c r="S520" s="460"/>
      <c r="T520" s="460"/>
      <c r="U520" s="460"/>
      <c r="V520" s="460"/>
      <c r="W520" s="460"/>
      <c r="X520" s="460"/>
    </row>
    <row r="521" ht="22.5" customHeight="1">
      <c r="A521" s="18"/>
      <c r="B521" s="129" t="s">
        <v>219</v>
      </c>
      <c r="C521" s="110">
        <v>7.08345E7</v>
      </c>
      <c r="D521" s="158"/>
      <c r="E521" s="18"/>
      <c r="F521" s="460"/>
      <c r="G521" s="460"/>
      <c r="H521" s="460"/>
      <c r="I521" s="460"/>
      <c r="J521" s="460"/>
      <c r="K521" s="460"/>
      <c r="L521" s="460"/>
      <c r="M521" s="460"/>
      <c r="N521" s="460"/>
      <c r="O521" s="460"/>
      <c r="P521" s="460"/>
      <c r="Q521" s="460"/>
      <c r="R521" s="460"/>
      <c r="S521" s="460"/>
      <c r="T521" s="460"/>
      <c r="U521" s="460"/>
      <c r="V521" s="460"/>
      <c r="W521" s="460"/>
      <c r="X521" s="460"/>
    </row>
    <row r="522" ht="22.5" customHeight="1">
      <c r="A522" s="18"/>
      <c r="B522" s="129" t="s">
        <v>89</v>
      </c>
      <c r="C522" s="110">
        <v>7.2594E7</v>
      </c>
      <c r="D522" s="158"/>
      <c r="E522" s="18"/>
      <c r="F522" s="460"/>
      <c r="G522" s="460"/>
      <c r="H522" s="460"/>
      <c r="I522" s="460"/>
      <c r="J522" s="460"/>
      <c r="K522" s="460"/>
      <c r="L522" s="460"/>
      <c r="M522" s="460"/>
      <c r="N522" s="460"/>
      <c r="O522" s="460"/>
      <c r="P522" s="460"/>
      <c r="Q522" s="460"/>
      <c r="R522" s="460"/>
      <c r="S522" s="460"/>
      <c r="T522" s="460"/>
      <c r="U522" s="460"/>
      <c r="V522" s="460"/>
      <c r="W522" s="460"/>
      <c r="X522" s="460"/>
    </row>
    <row r="523" ht="22.5" customHeight="1">
      <c r="A523" s="22"/>
      <c r="B523" s="129" t="s">
        <v>220</v>
      </c>
      <c r="C523" s="110">
        <v>6.63877E7</v>
      </c>
      <c r="D523" s="192"/>
      <c r="E523" s="22"/>
      <c r="F523" s="460"/>
      <c r="G523" s="460"/>
      <c r="H523" s="460"/>
      <c r="I523" s="460"/>
      <c r="J523" s="460"/>
      <c r="K523" s="460"/>
      <c r="L523" s="460"/>
      <c r="M523" s="460"/>
      <c r="N523" s="460"/>
      <c r="O523" s="460"/>
      <c r="P523" s="460"/>
      <c r="Q523" s="460"/>
      <c r="R523" s="460"/>
      <c r="S523" s="460"/>
      <c r="T523" s="460"/>
      <c r="U523" s="460"/>
      <c r="V523" s="460"/>
      <c r="W523" s="460"/>
      <c r="X523" s="460"/>
    </row>
    <row r="524" ht="27.0" customHeight="1">
      <c r="A524" s="502" t="s">
        <v>518</v>
      </c>
      <c r="B524" s="129" t="s">
        <v>88</v>
      </c>
      <c r="C524" s="110">
        <v>9.52275E7</v>
      </c>
      <c r="D524" s="115" t="s">
        <v>7</v>
      </c>
      <c r="E524" s="503">
        <f>SUM(C525:C526)</f>
        <v>176238000</v>
      </c>
      <c r="F524" s="460"/>
      <c r="G524" s="460"/>
      <c r="H524" s="460"/>
      <c r="I524" s="460"/>
      <c r="J524" s="460"/>
      <c r="K524" s="460"/>
      <c r="L524" s="460"/>
      <c r="M524" s="460"/>
      <c r="N524" s="460"/>
      <c r="O524" s="460"/>
      <c r="P524" s="460"/>
      <c r="Q524" s="460"/>
      <c r="R524" s="460"/>
      <c r="S524" s="460"/>
      <c r="T524" s="460"/>
      <c r="U524" s="460"/>
      <c r="V524" s="460"/>
      <c r="W524" s="460"/>
      <c r="X524" s="460"/>
    </row>
    <row r="525" ht="27.0" customHeight="1">
      <c r="A525" s="18"/>
      <c r="B525" s="129" t="s">
        <v>219</v>
      </c>
      <c r="C525" s="110">
        <v>9.15775E7</v>
      </c>
      <c r="D525" s="190"/>
      <c r="E525" s="18"/>
      <c r="F525" s="460"/>
      <c r="G525" s="460"/>
      <c r="H525" s="460"/>
      <c r="I525" s="460"/>
      <c r="J525" s="460"/>
      <c r="K525" s="460"/>
      <c r="L525" s="460"/>
      <c r="M525" s="460"/>
      <c r="N525" s="460"/>
      <c r="O525" s="460"/>
      <c r="P525" s="460"/>
      <c r="Q525" s="460"/>
      <c r="R525" s="460"/>
      <c r="S525" s="460"/>
      <c r="T525" s="460"/>
      <c r="U525" s="460"/>
      <c r="V525" s="460"/>
      <c r="W525" s="460"/>
      <c r="X525" s="460"/>
    </row>
    <row r="526" ht="27.0" customHeight="1">
      <c r="A526" s="22"/>
      <c r="B526" s="129" t="s">
        <v>89</v>
      </c>
      <c r="C526" s="110">
        <f>85330500-670000</f>
        <v>84660500</v>
      </c>
      <c r="D526" s="192"/>
      <c r="E526" s="22"/>
      <c r="F526" s="460"/>
      <c r="G526" s="460"/>
      <c r="H526" s="460"/>
      <c r="I526" s="460"/>
      <c r="J526" s="460"/>
      <c r="K526" s="460"/>
      <c r="L526" s="460"/>
      <c r="M526" s="460"/>
      <c r="N526" s="460"/>
      <c r="O526" s="460"/>
      <c r="P526" s="460"/>
      <c r="Q526" s="460"/>
      <c r="R526" s="460"/>
      <c r="S526" s="460"/>
      <c r="T526" s="460"/>
      <c r="U526" s="460"/>
      <c r="V526" s="460"/>
      <c r="W526" s="460"/>
      <c r="X526" s="460"/>
    </row>
    <row r="527" ht="27.0" customHeight="1">
      <c r="A527" s="502" t="s">
        <v>634</v>
      </c>
      <c r="B527" s="129" t="s">
        <v>88</v>
      </c>
      <c r="C527" s="110">
        <v>1.15629E8</v>
      </c>
      <c r="D527" s="115" t="s">
        <v>7</v>
      </c>
      <c r="E527" s="503">
        <f>C530</f>
        <v>35820000</v>
      </c>
      <c r="F527" s="460"/>
      <c r="G527" s="460"/>
      <c r="H527" s="460"/>
      <c r="I527" s="460"/>
      <c r="J527" s="460"/>
      <c r="K527" s="460"/>
      <c r="L527" s="460"/>
      <c r="M527" s="460"/>
      <c r="N527" s="460"/>
      <c r="O527" s="460"/>
      <c r="P527" s="460"/>
      <c r="Q527" s="460"/>
      <c r="R527" s="460"/>
      <c r="S527" s="460"/>
      <c r="T527" s="460"/>
      <c r="U527" s="460"/>
      <c r="V527" s="460"/>
      <c r="W527" s="460"/>
      <c r="X527" s="460"/>
    </row>
    <row r="528" ht="27.0" customHeight="1">
      <c r="A528" s="18"/>
      <c r="B528" s="129" t="s">
        <v>219</v>
      </c>
      <c r="C528" s="110">
        <v>4.4548E7</v>
      </c>
      <c r="D528" s="190" t="s">
        <v>7</v>
      </c>
      <c r="E528" s="18"/>
      <c r="F528" s="460"/>
      <c r="G528" s="460"/>
      <c r="H528" s="460"/>
      <c r="I528" s="460"/>
      <c r="J528" s="460"/>
      <c r="K528" s="460"/>
      <c r="L528" s="460"/>
      <c r="M528" s="460"/>
      <c r="N528" s="460"/>
      <c r="O528" s="460"/>
      <c r="P528" s="460"/>
      <c r="Q528" s="460"/>
      <c r="R528" s="460"/>
      <c r="S528" s="460"/>
      <c r="T528" s="460"/>
      <c r="U528" s="460"/>
      <c r="V528" s="460"/>
      <c r="W528" s="460"/>
      <c r="X528" s="460"/>
    </row>
    <row r="529" ht="27.0" customHeight="1">
      <c r="A529" s="18"/>
      <c r="B529" s="129" t="s">
        <v>89</v>
      </c>
      <c r="C529" s="110">
        <v>3.1516E7</v>
      </c>
      <c r="D529" s="192" t="s">
        <v>7</v>
      </c>
      <c r="E529" s="18"/>
      <c r="F529" s="460"/>
      <c r="G529" s="460"/>
      <c r="H529" s="460"/>
      <c r="I529" s="460"/>
      <c r="J529" s="460"/>
      <c r="K529" s="460"/>
      <c r="L529" s="460"/>
      <c r="M529" s="460"/>
      <c r="N529" s="460"/>
      <c r="O529" s="460"/>
      <c r="P529" s="460"/>
      <c r="Q529" s="460"/>
      <c r="R529" s="460"/>
      <c r="S529" s="460"/>
      <c r="T529" s="460"/>
      <c r="U529" s="460"/>
      <c r="V529" s="460"/>
      <c r="W529" s="460"/>
      <c r="X529" s="460"/>
    </row>
    <row r="530" ht="27.0" customHeight="1">
      <c r="A530" s="22"/>
      <c r="B530" s="129" t="s">
        <v>220</v>
      </c>
      <c r="C530" s="110">
        <v>3.582E7</v>
      </c>
      <c r="D530" s="192"/>
      <c r="E530" s="22"/>
      <c r="F530" s="460"/>
      <c r="G530" s="460"/>
      <c r="H530" s="460"/>
      <c r="I530" s="460"/>
      <c r="J530" s="460"/>
      <c r="K530" s="460"/>
      <c r="L530" s="460"/>
      <c r="M530" s="460"/>
      <c r="N530" s="460"/>
      <c r="O530" s="460"/>
      <c r="P530" s="460"/>
      <c r="Q530" s="460"/>
      <c r="R530" s="460"/>
      <c r="S530" s="460"/>
      <c r="T530" s="460"/>
      <c r="U530" s="460"/>
      <c r="V530" s="460"/>
      <c r="W530" s="460"/>
      <c r="X530" s="460"/>
    </row>
    <row r="531" ht="27.0" customHeight="1">
      <c r="A531" s="502" t="s">
        <v>635</v>
      </c>
      <c r="B531" s="129" t="s">
        <v>88</v>
      </c>
      <c r="C531" s="110">
        <v>2.6983E7</v>
      </c>
      <c r="D531" s="115"/>
      <c r="E531" s="503">
        <f>SUM(C531:C534)</f>
        <v>69628500</v>
      </c>
      <c r="F531" s="460"/>
      <c r="G531" s="460"/>
      <c r="H531" s="460"/>
      <c r="I531" s="460"/>
      <c r="J531" s="460"/>
      <c r="K531" s="460"/>
      <c r="L531" s="460"/>
      <c r="M531" s="460"/>
      <c r="N531" s="460"/>
      <c r="O531" s="460"/>
      <c r="P531" s="460"/>
      <c r="Q531" s="460"/>
      <c r="R531" s="460"/>
      <c r="S531" s="460"/>
      <c r="T531" s="460"/>
      <c r="U531" s="460"/>
      <c r="V531" s="460"/>
      <c r="W531" s="460"/>
      <c r="X531" s="460"/>
    </row>
    <row r="532" ht="27.0" customHeight="1">
      <c r="A532" s="18"/>
      <c r="B532" s="129" t="s">
        <v>219</v>
      </c>
      <c r="C532" s="110">
        <v>1.66105E7</v>
      </c>
      <c r="D532" s="190"/>
      <c r="E532" s="18"/>
      <c r="F532" s="460"/>
      <c r="G532" s="460"/>
      <c r="H532" s="460"/>
      <c r="I532" s="460"/>
      <c r="J532" s="460"/>
      <c r="K532" s="460"/>
      <c r="L532" s="460"/>
      <c r="M532" s="460"/>
      <c r="N532" s="460"/>
      <c r="O532" s="460"/>
      <c r="P532" s="460"/>
      <c r="Q532" s="460"/>
      <c r="R532" s="460"/>
      <c r="S532" s="460"/>
      <c r="T532" s="460"/>
      <c r="U532" s="460"/>
      <c r="V532" s="460"/>
      <c r="W532" s="460"/>
      <c r="X532" s="460"/>
    </row>
    <row r="533" ht="27.0" customHeight="1">
      <c r="A533" s="18"/>
      <c r="B533" s="129" t="s">
        <v>89</v>
      </c>
      <c r="C533" s="110">
        <v>2.6035E7</v>
      </c>
      <c r="D533" s="192"/>
      <c r="E533" s="18"/>
      <c r="F533" s="460"/>
      <c r="G533" s="460"/>
      <c r="H533" s="460"/>
      <c r="I533" s="460"/>
      <c r="J533" s="460"/>
      <c r="K533" s="460"/>
      <c r="L533" s="460"/>
      <c r="M533" s="460"/>
      <c r="N533" s="460"/>
      <c r="O533" s="460"/>
      <c r="P533" s="460"/>
      <c r="Q533" s="460"/>
      <c r="R533" s="460"/>
      <c r="S533" s="460"/>
      <c r="T533" s="460"/>
      <c r="U533" s="460"/>
      <c r="V533" s="460"/>
      <c r="W533" s="460"/>
      <c r="X533" s="460"/>
    </row>
    <row r="534" ht="27.0" customHeight="1">
      <c r="A534" s="22"/>
      <c r="B534" s="129" t="s">
        <v>220</v>
      </c>
      <c r="C534" s="110"/>
      <c r="D534" s="192"/>
      <c r="E534" s="22"/>
      <c r="F534" s="460"/>
      <c r="G534" s="460"/>
      <c r="H534" s="460"/>
      <c r="I534" s="460"/>
      <c r="J534" s="460"/>
      <c r="K534" s="460"/>
      <c r="L534" s="460"/>
      <c r="M534" s="460"/>
      <c r="N534" s="460"/>
      <c r="O534" s="460"/>
      <c r="P534" s="460"/>
      <c r="Q534" s="460"/>
      <c r="R534" s="460"/>
      <c r="S534" s="460"/>
      <c r="T534" s="460"/>
      <c r="U534" s="460"/>
      <c r="V534" s="460"/>
      <c r="W534" s="460"/>
      <c r="X534" s="460"/>
    </row>
    <row r="535" ht="27.0" customHeight="1">
      <c r="A535" s="502" t="s">
        <v>636</v>
      </c>
      <c r="B535" s="129" t="s">
        <v>637</v>
      </c>
      <c r="C535" s="110"/>
      <c r="D535" s="115"/>
      <c r="E535" s="503">
        <f>SUM(C535:C538)</f>
        <v>0</v>
      </c>
      <c r="F535" s="460"/>
      <c r="G535" s="460"/>
      <c r="H535" s="460"/>
      <c r="I535" s="460"/>
      <c r="J535" s="460"/>
      <c r="K535" s="460"/>
      <c r="L535" s="460"/>
      <c r="M535" s="460"/>
      <c r="N535" s="460"/>
      <c r="O535" s="460"/>
      <c r="P535" s="460"/>
      <c r="Q535" s="460"/>
      <c r="R535" s="460"/>
      <c r="S535" s="460"/>
      <c r="T535" s="460"/>
      <c r="U535" s="460"/>
      <c r="V535" s="460"/>
      <c r="W535" s="460"/>
      <c r="X535" s="460"/>
    </row>
    <row r="536" ht="27.0" customHeight="1">
      <c r="A536" s="18"/>
      <c r="B536" s="129" t="s">
        <v>638</v>
      </c>
      <c r="C536" s="110"/>
      <c r="D536" s="190"/>
      <c r="E536" s="18"/>
      <c r="F536" s="460"/>
      <c r="G536" s="460"/>
      <c r="H536" s="460"/>
      <c r="I536" s="460"/>
      <c r="J536" s="460"/>
      <c r="K536" s="460"/>
      <c r="L536" s="460"/>
      <c r="M536" s="460"/>
      <c r="N536" s="460"/>
      <c r="O536" s="460"/>
      <c r="P536" s="460"/>
      <c r="Q536" s="460"/>
      <c r="R536" s="460"/>
      <c r="S536" s="460"/>
      <c r="T536" s="460"/>
      <c r="U536" s="460"/>
      <c r="V536" s="460"/>
      <c r="W536" s="460"/>
      <c r="X536" s="460"/>
    </row>
    <row r="537" ht="27.0" customHeight="1">
      <c r="A537" s="18"/>
      <c r="B537" s="129" t="s">
        <v>639</v>
      </c>
      <c r="C537" s="110"/>
      <c r="D537" s="192"/>
      <c r="E537" s="18"/>
      <c r="F537" s="460"/>
      <c r="G537" s="460"/>
      <c r="H537" s="460"/>
      <c r="I537" s="460"/>
      <c r="J537" s="460"/>
      <c r="K537" s="460"/>
      <c r="L537" s="460"/>
      <c r="M537" s="460"/>
      <c r="N537" s="460"/>
      <c r="O537" s="460"/>
      <c r="P537" s="460"/>
      <c r="Q537" s="460"/>
      <c r="R537" s="460"/>
      <c r="S537" s="460"/>
      <c r="T537" s="460"/>
      <c r="U537" s="460"/>
      <c r="V537" s="460"/>
      <c r="W537" s="460"/>
      <c r="X537" s="460"/>
    </row>
    <row r="538" ht="27.0" customHeight="1">
      <c r="A538" s="22"/>
      <c r="B538" s="129" t="s">
        <v>633</v>
      </c>
      <c r="C538" s="110"/>
      <c r="D538" s="192"/>
      <c r="E538" s="22"/>
      <c r="F538" s="460"/>
      <c r="G538" s="460"/>
      <c r="H538" s="460"/>
      <c r="I538" s="460"/>
      <c r="J538" s="460"/>
      <c r="K538" s="460"/>
      <c r="L538" s="460"/>
      <c r="M538" s="460"/>
      <c r="N538" s="460"/>
      <c r="O538" s="460"/>
      <c r="P538" s="460"/>
      <c r="Q538" s="460"/>
      <c r="R538" s="460"/>
      <c r="S538" s="460"/>
      <c r="T538" s="460"/>
      <c r="U538" s="460"/>
      <c r="V538" s="460"/>
      <c r="W538" s="460"/>
      <c r="X538" s="460"/>
    </row>
    <row r="539" ht="27.0" customHeight="1">
      <c r="A539" s="502" t="s">
        <v>640</v>
      </c>
      <c r="B539" s="129" t="s">
        <v>88</v>
      </c>
      <c r="C539" s="110">
        <v>8.60185E7</v>
      </c>
      <c r="D539" s="115"/>
      <c r="E539" s="503">
        <f>SUM(C539:C543)</f>
        <v>272204500</v>
      </c>
      <c r="F539" s="460"/>
      <c r="G539" s="460"/>
      <c r="H539" s="460"/>
      <c r="I539" s="460"/>
      <c r="J539" s="460"/>
      <c r="K539" s="460"/>
      <c r="L539" s="460"/>
      <c r="M539" s="460"/>
      <c r="N539" s="460"/>
      <c r="O539" s="460"/>
      <c r="P539" s="460"/>
      <c r="Q539" s="460"/>
      <c r="R539" s="460"/>
      <c r="S539" s="460"/>
      <c r="T539" s="460"/>
      <c r="U539" s="460"/>
      <c r="V539" s="460"/>
      <c r="W539" s="460"/>
      <c r="X539" s="460"/>
    </row>
    <row r="540" ht="27.0" customHeight="1">
      <c r="A540" s="18"/>
      <c r="B540" s="129" t="s">
        <v>219</v>
      </c>
      <c r="C540" s="110">
        <v>9.68175E7</v>
      </c>
      <c r="D540" s="190"/>
      <c r="E540" s="18"/>
      <c r="F540" s="460"/>
      <c r="G540" s="460"/>
      <c r="H540" s="460"/>
      <c r="I540" s="460"/>
      <c r="J540" s="460"/>
      <c r="K540" s="460"/>
      <c r="L540" s="460"/>
      <c r="M540" s="460"/>
      <c r="N540" s="460"/>
      <c r="O540" s="460"/>
      <c r="P540" s="460"/>
      <c r="Q540" s="460"/>
      <c r="R540" s="460"/>
      <c r="S540" s="460"/>
      <c r="T540" s="460"/>
      <c r="U540" s="460"/>
      <c r="V540" s="460"/>
      <c r="W540" s="460"/>
      <c r="X540" s="460"/>
    </row>
    <row r="541" ht="27.0" customHeight="1">
      <c r="A541" s="18"/>
      <c r="B541" s="129" t="s">
        <v>89</v>
      </c>
      <c r="C541" s="110">
        <v>6.56685E7</v>
      </c>
      <c r="D541" s="192"/>
      <c r="E541" s="18"/>
      <c r="F541" s="460"/>
      <c r="G541" s="460"/>
      <c r="H541" s="460"/>
      <c r="I541" s="460"/>
      <c r="J541" s="460"/>
      <c r="K541" s="460"/>
      <c r="L541" s="460"/>
      <c r="M541" s="460"/>
      <c r="N541" s="460"/>
      <c r="O541" s="460"/>
      <c r="P541" s="460"/>
      <c r="Q541" s="460"/>
      <c r="R541" s="460"/>
      <c r="S541" s="460"/>
      <c r="T541" s="460"/>
      <c r="U541" s="460"/>
      <c r="V541" s="460"/>
      <c r="W541" s="460"/>
      <c r="X541" s="460"/>
    </row>
    <row r="542" ht="27.0" customHeight="1">
      <c r="A542" s="18"/>
      <c r="B542" s="129" t="s">
        <v>220</v>
      </c>
      <c r="C542" s="110">
        <v>2700000.0</v>
      </c>
      <c r="D542" s="192"/>
      <c r="E542" s="18"/>
      <c r="F542" s="460"/>
      <c r="G542" s="460"/>
      <c r="H542" s="460"/>
      <c r="I542" s="460"/>
      <c r="J542" s="460"/>
      <c r="K542" s="460"/>
      <c r="L542" s="460"/>
      <c r="M542" s="460"/>
      <c r="N542" s="460"/>
      <c r="O542" s="460"/>
      <c r="P542" s="460"/>
      <c r="Q542" s="460"/>
      <c r="R542" s="460"/>
      <c r="S542" s="460"/>
      <c r="T542" s="460"/>
      <c r="U542" s="460"/>
      <c r="V542" s="460"/>
      <c r="W542" s="460"/>
      <c r="X542" s="460"/>
    </row>
    <row r="543" ht="27.0" customHeight="1">
      <c r="A543" s="22"/>
      <c r="B543" s="129" t="s">
        <v>641</v>
      </c>
      <c r="C543" s="110">
        <v>2.1E7</v>
      </c>
      <c r="D543" s="192"/>
      <c r="E543" s="22"/>
      <c r="F543" s="460"/>
      <c r="G543" s="460"/>
      <c r="H543" s="460"/>
      <c r="I543" s="460"/>
      <c r="J543" s="460"/>
      <c r="K543" s="460"/>
      <c r="L543" s="460"/>
      <c r="M543" s="460"/>
      <c r="N543" s="460"/>
      <c r="O543" s="460"/>
      <c r="P543" s="460"/>
      <c r="Q543" s="460"/>
      <c r="R543" s="460"/>
      <c r="S543" s="460"/>
      <c r="T543" s="460"/>
      <c r="U543" s="460"/>
      <c r="V543" s="460"/>
      <c r="W543" s="460"/>
      <c r="X543" s="460"/>
    </row>
    <row r="544" ht="27.0" customHeight="1">
      <c r="A544" s="502" t="s">
        <v>642</v>
      </c>
      <c r="B544" s="129" t="s">
        <v>88</v>
      </c>
      <c r="C544" s="110">
        <v>7.03455E7</v>
      </c>
      <c r="D544" s="115"/>
      <c r="E544" s="503">
        <f>SUM(C544:C547)</f>
        <v>158996500</v>
      </c>
      <c r="F544" s="460"/>
      <c r="G544" s="460"/>
      <c r="H544" s="460"/>
      <c r="I544" s="460"/>
      <c r="J544" s="460"/>
      <c r="K544" s="460"/>
      <c r="L544" s="460"/>
      <c r="M544" s="460"/>
      <c r="N544" s="460"/>
      <c r="O544" s="460"/>
      <c r="P544" s="460"/>
      <c r="Q544" s="460"/>
      <c r="R544" s="460"/>
      <c r="S544" s="460"/>
      <c r="T544" s="460"/>
      <c r="U544" s="460"/>
      <c r="V544" s="460"/>
      <c r="W544" s="460"/>
      <c r="X544" s="460"/>
    </row>
    <row r="545" ht="27.0" customHeight="1">
      <c r="A545" s="18"/>
      <c r="B545" s="129" t="s">
        <v>219</v>
      </c>
      <c r="C545" s="110">
        <f>47835000-2490000</f>
        <v>45345000</v>
      </c>
      <c r="D545" s="190"/>
      <c r="E545" s="18"/>
      <c r="F545" s="460"/>
      <c r="G545" s="460"/>
      <c r="H545" s="460"/>
      <c r="I545" s="460"/>
      <c r="J545" s="460"/>
      <c r="K545" s="460"/>
      <c r="L545" s="460"/>
      <c r="M545" s="460"/>
      <c r="N545" s="460"/>
      <c r="O545" s="460"/>
      <c r="P545" s="460"/>
      <c r="Q545" s="460"/>
      <c r="R545" s="460"/>
      <c r="S545" s="460"/>
      <c r="T545" s="460"/>
      <c r="U545" s="460"/>
      <c r="V545" s="460"/>
      <c r="W545" s="460"/>
      <c r="X545" s="460"/>
    </row>
    <row r="546" ht="27.0" customHeight="1">
      <c r="A546" s="18"/>
      <c r="B546" s="129" t="s">
        <v>89</v>
      </c>
      <c r="C546" s="110">
        <v>3.8735E7</v>
      </c>
      <c r="D546" s="192"/>
      <c r="E546" s="18"/>
      <c r="F546" s="460"/>
      <c r="G546" s="460"/>
      <c r="H546" s="460"/>
      <c r="I546" s="460"/>
      <c r="J546" s="460"/>
      <c r="K546" s="460"/>
      <c r="L546" s="460"/>
      <c r="M546" s="460"/>
      <c r="N546" s="460"/>
      <c r="O546" s="460"/>
      <c r="P546" s="460"/>
      <c r="Q546" s="460"/>
      <c r="R546" s="460"/>
      <c r="S546" s="460"/>
      <c r="T546" s="460"/>
      <c r="U546" s="460"/>
      <c r="V546" s="460"/>
      <c r="W546" s="460"/>
      <c r="X546" s="460"/>
    </row>
    <row r="547" ht="27.0" customHeight="1">
      <c r="A547" s="22"/>
      <c r="B547" s="129" t="s">
        <v>220</v>
      </c>
      <c r="C547" s="110">
        <v>4571000.0</v>
      </c>
      <c r="D547" s="192"/>
      <c r="E547" s="22"/>
      <c r="F547" s="460"/>
      <c r="G547" s="460"/>
      <c r="H547" s="460"/>
      <c r="I547" s="460"/>
      <c r="J547" s="460"/>
      <c r="K547" s="460"/>
      <c r="L547" s="460"/>
      <c r="M547" s="460"/>
      <c r="N547" s="460"/>
      <c r="O547" s="460"/>
      <c r="P547" s="460"/>
      <c r="Q547" s="460"/>
      <c r="R547" s="460"/>
      <c r="S547" s="460"/>
      <c r="T547" s="460"/>
      <c r="U547" s="460"/>
      <c r="V547" s="460"/>
      <c r="W547" s="460"/>
      <c r="X547" s="460"/>
    </row>
    <row r="548" ht="27.0" customHeight="1">
      <c r="A548" s="502" t="s">
        <v>643</v>
      </c>
      <c r="B548" s="129" t="s">
        <v>89</v>
      </c>
      <c r="C548" s="110">
        <v>1.36289E8</v>
      </c>
      <c r="D548" s="192"/>
      <c r="E548" s="503">
        <f>SUM(C548:C550)</f>
        <v>225956000</v>
      </c>
      <c r="F548" s="460"/>
      <c r="G548" s="460"/>
      <c r="H548" s="460"/>
      <c r="I548" s="460"/>
      <c r="J548" s="460"/>
      <c r="K548" s="460"/>
      <c r="L548" s="460"/>
      <c r="M548" s="460"/>
      <c r="N548" s="460"/>
      <c r="O548" s="460"/>
      <c r="P548" s="460"/>
      <c r="Q548" s="460"/>
      <c r="R548" s="460"/>
      <c r="S548" s="460"/>
      <c r="T548" s="460"/>
      <c r="U548" s="460"/>
      <c r="V548" s="460"/>
      <c r="W548" s="460"/>
      <c r="X548" s="460"/>
    </row>
    <row r="549" ht="27.0" customHeight="1">
      <c r="A549" s="18"/>
      <c r="B549" s="129" t="s">
        <v>220</v>
      </c>
      <c r="C549" s="110">
        <v>9.1712E7</v>
      </c>
      <c r="D549" s="192"/>
      <c r="E549" s="18"/>
      <c r="F549" s="460"/>
      <c r="G549" s="460"/>
      <c r="H549" s="460"/>
      <c r="I549" s="460"/>
      <c r="J549" s="460"/>
      <c r="K549" s="460"/>
      <c r="L549" s="460"/>
      <c r="M549" s="460"/>
      <c r="N549" s="460"/>
      <c r="O549" s="460"/>
      <c r="P549" s="460"/>
      <c r="Q549" s="460"/>
      <c r="R549" s="460"/>
      <c r="S549" s="460"/>
      <c r="T549" s="460"/>
      <c r="U549" s="460"/>
      <c r="V549" s="460"/>
      <c r="W549" s="460"/>
      <c r="X549" s="460"/>
    </row>
    <row r="550" ht="60.75" customHeight="1">
      <c r="A550" s="22"/>
      <c r="B550" s="129" t="s">
        <v>644</v>
      </c>
      <c r="C550" s="115">
        <v>-2045000.0</v>
      </c>
      <c r="D550" s="192"/>
      <c r="E550" s="22"/>
      <c r="F550" s="460"/>
      <c r="G550" s="460"/>
      <c r="H550" s="460"/>
      <c r="I550" s="460"/>
      <c r="J550" s="460"/>
      <c r="K550" s="460"/>
      <c r="L550" s="460"/>
      <c r="M550" s="460"/>
      <c r="N550" s="460"/>
      <c r="O550" s="460"/>
      <c r="P550" s="460"/>
      <c r="Q550" s="460"/>
      <c r="R550" s="460"/>
      <c r="S550" s="460"/>
      <c r="T550" s="460"/>
      <c r="U550" s="460"/>
      <c r="V550" s="460"/>
      <c r="W550" s="460"/>
      <c r="X550" s="460"/>
    </row>
    <row r="551" ht="27.0" customHeight="1">
      <c r="A551" s="460"/>
      <c r="B551" s="460"/>
      <c r="C551" s="460"/>
      <c r="D551" s="460"/>
      <c r="E551" s="460"/>
      <c r="F551" s="460"/>
      <c r="G551" s="460"/>
      <c r="H551" s="460"/>
      <c r="I551" s="460"/>
      <c r="J551" s="460"/>
      <c r="K551" s="460"/>
      <c r="L551" s="460"/>
      <c r="M551" s="460"/>
      <c r="N551" s="460"/>
      <c r="O551" s="460"/>
      <c r="P551" s="460"/>
      <c r="Q551" s="460"/>
      <c r="R551" s="460"/>
      <c r="S551" s="460"/>
      <c r="T551" s="460"/>
      <c r="U551" s="460"/>
      <c r="V551" s="460"/>
      <c r="W551" s="460"/>
      <c r="X551" s="460"/>
    </row>
    <row r="552" ht="27.0" customHeight="1">
      <c r="A552" s="460"/>
      <c r="B552" s="460"/>
      <c r="C552" s="460"/>
      <c r="D552" s="460"/>
      <c r="E552" s="460"/>
      <c r="F552" s="460"/>
      <c r="G552" s="460"/>
      <c r="H552" s="460"/>
      <c r="I552" s="460"/>
      <c r="J552" s="460"/>
      <c r="K552" s="460"/>
      <c r="L552" s="460"/>
      <c r="M552" s="460"/>
      <c r="N552" s="460"/>
      <c r="O552" s="460"/>
      <c r="P552" s="460"/>
      <c r="Q552" s="460"/>
      <c r="R552" s="460"/>
      <c r="S552" s="460"/>
      <c r="T552" s="460"/>
      <c r="U552" s="460"/>
      <c r="V552" s="460"/>
      <c r="W552" s="460"/>
      <c r="X552" s="460"/>
    </row>
    <row r="553" ht="27.0" customHeight="1">
      <c r="A553" s="460"/>
      <c r="B553" s="460"/>
      <c r="C553" s="460"/>
      <c r="D553" s="460"/>
      <c r="E553" s="460"/>
      <c r="F553" s="460"/>
      <c r="G553" s="460"/>
      <c r="H553" s="460"/>
      <c r="I553" s="460"/>
      <c r="J553" s="460"/>
      <c r="K553" s="460"/>
      <c r="L553" s="460"/>
      <c r="M553" s="460"/>
      <c r="N553" s="460"/>
      <c r="O553" s="460"/>
      <c r="P553" s="460"/>
      <c r="Q553" s="460"/>
      <c r="R553" s="460"/>
      <c r="S553" s="460"/>
      <c r="T553" s="460"/>
      <c r="U553" s="460"/>
      <c r="V553" s="460"/>
      <c r="W553" s="460"/>
      <c r="X553" s="460"/>
    </row>
    <row r="554" ht="27.0" customHeight="1">
      <c r="A554" s="460"/>
      <c r="B554" s="460"/>
      <c r="C554" s="460"/>
      <c r="D554" s="460"/>
      <c r="E554" s="460"/>
      <c r="F554" s="460"/>
      <c r="G554" s="460"/>
      <c r="H554" s="460"/>
      <c r="I554" s="460"/>
      <c r="J554" s="460"/>
      <c r="K554" s="460"/>
      <c r="L554" s="460"/>
      <c r="M554" s="460"/>
      <c r="N554" s="460"/>
      <c r="O554" s="460"/>
      <c r="P554" s="460"/>
      <c r="Q554" s="460"/>
      <c r="R554" s="460"/>
      <c r="S554" s="460"/>
      <c r="T554" s="460"/>
      <c r="U554" s="460"/>
      <c r="V554" s="460"/>
      <c r="W554" s="460"/>
      <c r="X554" s="460"/>
    </row>
    <row r="555" ht="27.0" customHeight="1">
      <c r="A555" s="460"/>
      <c r="B555" s="460"/>
      <c r="C555" s="460"/>
      <c r="D555" s="460"/>
      <c r="E555" s="460"/>
      <c r="F555" s="460"/>
      <c r="G555" s="460"/>
      <c r="H555" s="460"/>
      <c r="I555" s="460"/>
      <c r="J555" s="460"/>
      <c r="K555" s="460"/>
      <c r="L555" s="460"/>
      <c r="M555" s="460"/>
      <c r="N555" s="460"/>
      <c r="O555" s="460"/>
      <c r="P555" s="460"/>
      <c r="Q555" s="460"/>
      <c r="R555" s="460"/>
      <c r="S555" s="460"/>
      <c r="T555" s="460"/>
      <c r="U555" s="460"/>
      <c r="V555" s="460"/>
      <c r="W555" s="460"/>
      <c r="X555" s="460"/>
    </row>
    <row r="556" ht="27.0" customHeight="1">
      <c r="A556" s="460"/>
      <c r="B556" s="460"/>
      <c r="C556" s="460"/>
      <c r="D556" s="460"/>
      <c r="E556" s="460"/>
      <c r="F556" s="460"/>
      <c r="G556" s="460"/>
      <c r="H556" s="460"/>
      <c r="I556" s="460"/>
      <c r="J556" s="460"/>
      <c r="K556" s="460"/>
      <c r="L556" s="460"/>
      <c r="M556" s="460"/>
      <c r="N556" s="460"/>
      <c r="O556" s="460"/>
      <c r="P556" s="460"/>
      <c r="Q556" s="460"/>
      <c r="R556" s="460"/>
      <c r="S556" s="460"/>
      <c r="T556" s="460"/>
      <c r="U556" s="460"/>
      <c r="V556" s="460"/>
      <c r="W556" s="460"/>
      <c r="X556" s="460"/>
    </row>
    <row r="557" ht="27.0" customHeight="1">
      <c r="A557" s="460"/>
      <c r="B557" s="460"/>
      <c r="C557" s="460"/>
      <c r="D557" s="460"/>
      <c r="E557" s="460"/>
      <c r="F557" s="460"/>
      <c r="G557" s="460"/>
      <c r="H557" s="460"/>
      <c r="I557" s="460"/>
      <c r="J557" s="460"/>
      <c r="K557" s="460"/>
      <c r="L557" s="460"/>
      <c r="M557" s="460"/>
      <c r="N557" s="460"/>
      <c r="O557" s="460"/>
      <c r="P557" s="460"/>
      <c r="Q557" s="460"/>
      <c r="R557" s="460"/>
      <c r="S557" s="460"/>
      <c r="T557" s="460"/>
      <c r="U557" s="460"/>
      <c r="V557" s="460"/>
      <c r="W557" s="460"/>
      <c r="X557" s="460"/>
    </row>
    <row r="558" ht="15.75" customHeight="1">
      <c r="A558" s="460"/>
      <c r="B558" s="460"/>
      <c r="C558" s="460"/>
      <c r="D558" s="460"/>
      <c r="E558" s="460"/>
      <c r="F558" s="460"/>
      <c r="G558" s="460"/>
      <c r="H558" s="460"/>
      <c r="I558" s="460"/>
      <c r="J558" s="460"/>
      <c r="K558" s="460"/>
      <c r="L558" s="460"/>
      <c r="M558" s="460"/>
      <c r="N558" s="460"/>
      <c r="O558" s="460"/>
      <c r="P558" s="460"/>
      <c r="Q558" s="460"/>
      <c r="R558" s="460"/>
      <c r="S558" s="460"/>
      <c r="T558" s="460"/>
      <c r="U558" s="460"/>
      <c r="V558" s="460"/>
      <c r="W558" s="460"/>
      <c r="X558" s="460"/>
    </row>
    <row r="559" ht="15.75" customHeight="1">
      <c r="A559" s="460"/>
      <c r="B559" s="460"/>
      <c r="C559" s="460"/>
      <c r="D559" s="460"/>
      <c r="E559" s="460"/>
      <c r="F559" s="460"/>
      <c r="G559" s="460"/>
      <c r="H559" s="460"/>
      <c r="I559" s="460"/>
      <c r="J559" s="460"/>
      <c r="K559" s="460"/>
      <c r="L559" s="460"/>
      <c r="M559" s="460"/>
      <c r="N559" s="460"/>
      <c r="O559" s="460"/>
      <c r="P559" s="460"/>
      <c r="Q559" s="460"/>
      <c r="R559" s="460"/>
      <c r="S559" s="460"/>
      <c r="T559" s="460"/>
      <c r="U559" s="460"/>
      <c r="V559" s="460"/>
      <c r="W559" s="460"/>
      <c r="X559" s="460"/>
    </row>
    <row r="560" ht="15.75" customHeight="1">
      <c r="A560" s="460"/>
      <c r="B560" s="460"/>
      <c r="C560" s="460"/>
      <c r="D560" s="460"/>
      <c r="E560" s="460"/>
      <c r="F560" s="460"/>
      <c r="G560" s="460"/>
      <c r="H560" s="460"/>
      <c r="I560" s="460"/>
      <c r="J560" s="460"/>
      <c r="K560" s="460"/>
      <c r="L560" s="460"/>
      <c r="M560" s="460"/>
      <c r="N560" s="460"/>
      <c r="O560" s="460"/>
      <c r="P560" s="460"/>
      <c r="Q560" s="460"/>
      <c r="R560" s="460"/>
      <c r="S560" s="460"/>
      <c r="T560" s="460"/>
      <c r="U560" s="460"/>
      <c r="V560" s="460"/>
      <c r="W560" s="460"/>
      <c r="X560" s="460"/>
    </row>
    <row r="561" ht="15.75" customHeight="1">
      <c r="A561" s="460"/>
      <c r="B561" s="460"/>
      <c r="C561" s="460"/>
      <c r="D561" s="460"/>
      <c r="E561" s="460"/>
      <c r="F561" s="460"/>
      <c r="G561" s="460"/>
      <c r="H561" s="460"/>
      <c r="I561" s="460"/>
      <c r="J561" s="460"/>
      <c r="K561" s="460"/>
      <c r="L561" s="460"/>
      <c r="M561" s="460"/>
      <c r="N561" s="460"/>
      <c r="O561" s="460"/>
      <c r="P561" s="460"/>
      <c r="Q561" s="460"/>
      <c r="R561" s="460"/>
      <c r="S561" s="460"/>
      <c r="T561" s="460"/>
      <c r="U561" s="460"/>
      <c r="V561" s="460"/>
      <c r="W561" s="460"/>
      <c r="X561" s="460"/>
    </row>
    <row r="562" ht="15.75" customHeight="1">
      <c r="A562" s="460"/>
      <c r="B562" s="460"/>
      <c r="C562" s="460"/>
      <c r="D562" s="460"/>
      <c r="E562" s="460"/>
      <c r="F562" s="460"/>
      <c r="G562" s="460"/>
      <c r="H562" s="460"/>
      <c r="I562" s="460"/>
      <c r="J562" s="460"/>
      <c r="K562" s="460"/>
      <c r="L562" s="460"/>
      <c r="M562" s="460"/>
      <c r="N562" s="460"/>
      <c r="O562" s="460"/>
      <c r="P562" s="460"/>
      <c r="Q562" s="460"/>
      <c r="R562" s="460"/>
      <c r="S562" s="460"/>
      <c r="T562" s="460"/>
      <c r="U562" s="460"/>
      <c r="V562" s="460"/>
      <c r="W562" s="460"/>
      <c r="X562" s="460"/>
    </row>
    <row r="563" ht="15.75" customHeight="1">
      <c r="A563" s="460"/>
      <c r="B563" s="460"/>
      <c r="C563" s="460"/>
      <c r="D563" s="460"/>
      <c r="E563" s="460"/>
      <c r="F563" s="460"/>
      <c r="G563" s="460"/>
      <c r="H563" s="460"/>
      <c r="I563" s="460"/>
      <c r="J563" s="460"/>
      <c r="K563" s="460"/>
      <c r="L563" s="460"/>
      <c r="M563" s="460"/>
      <c r="N563" s="460"/>
      <c r="O563" s="460"/>
      <c r="P563" s="460"/>
      <c r="Q563" s="460"/>
      <c r="R563" s="460"/>
      <c r="S563" s="460"/>
      <c r="T563" s="460"/>
      <c r="U563" s="460"/>
      <c r="V563" s="460"/>
      <c r="W563" s="460"/>
      <c r="X563" s="460"/>
    </row>
    <row r="564" ht="15.75" customHeight="1">
      <c r="A564" s="460"/>
      <c r="B564" s="460"/>
      <c r="C564" s="460"/>
      <c r="D564" s="460"/>
      <c r="E564" s="460"/>
      <c r="F564" s="460"/>
      <c r="G564" s="460"/>
      <c r="H564" s="460"/>
      <c r="I564" s="460"/>
      <c r="J564" s="460"/>
      <c r="K564" s="460"/>
      <c r="L564" s="460"/>
      <c r="M564" s="460"/>
      <c r="N564" s="460"/>
      <c r="O564" s="460"/>
      <c r="P564" s="460"/>
      <c r="Q564" s="460"/>
      <c r="R564" s="460"/>
      <c r="S564" s="460"/>
      <c r="T564" s="460"/>
      <c r="U564" s="460"/>
      <c r="V564" s="460"/>
      <c r="W564" s="460"/>
      <c r="X564" s="460"/>
    </row>
    <row r="565" ht="15.75" customHeight="1">
      <c r="A565" s="460"/>
      <c r="B565" s="460"/>
      <c r="C565" s="460"/>
      <c r="D565" s="460"/>
      <c r="E565" s="460"/>
      <c r="F565" s="460"/>
      <c r="G565" s="460"/>
      <c r="H565" s="460"/>
      <c r="I565" s="460"/>
      <c r="J565" s="460"/>
      <c r="K565" s="460"/>
      <c r="L565" s="460"/>
      <c r="M565" s="460"/>
      <c r="N565" s="460"/>
      <c r="O565" s="460"/>
      <c r="P565" s="460"/>
      <c r="Q565" s="460"/>
      <c r="R565" s="460"/>
      <c r="S565" s="460"/>
      <c r="T565" s="460"/>
      <c r="U565" s="460"/>
      <c r="V565" s="460"/>
      <c r="W565" s="460"/>
      <c r="X565" s="460"/>
    </row>
    <row r="566" ht="15.75" customHeight="1">
      <c r="A566" s="460"/>
      <c r="B566" s="460"/>
      <c r="C566" s="460"/>
      <c r="D566" s="460"/>
      <c r="E566" s="460"/>
      <c r="F566" s="460"/>
      <c r="G566" s="460"/>
      <c r="H566" s="460"/>
      <c r="I566" s="460"/>
      <c r="J566" s="460"/>
      <c r="K566" s="460"/>
      <c r="L566" s="460"/>
      <c r="M566" s="460"/>
      <c r="N566" s="460"/>
      <c r="O566" s="460"/>
      <c r="P566" s="460"/>
      <c r="Q566" s="460"/>
      <c r="R566" s="460"/>
      <c r="S566" s="460"/>
      <c r="T566" s="460"/>
      <c r="U566" s="460"/>
      <c r="V566" s="460"/>
      <c r="W566" s="460"/>
      <c r="X566" s="460"/>
    </row>
    <row r="567" ht="15.75" customHeight="1">
      <c r="A567" s="460"/>
      <c r="B567" s="460"/>
      <c r="C567" s="460"/>
      <c r="D567" s="460"/>
      <c r="E567" s="460"/>
      <c r="F567" s="460"/>
      <c r="G567" s="460"/>
      <c r="H567" s="460"/>
      <c r="I567" s="460"/>
      <c r="J567" s="460"/>
      <c r="K567" s="460"/>
      <c r="L567" s="460"/>
      <c r="M567" s="460"/>
      <c r="N567" s="460"/>
      <c r="O567" s="460"/>
      <c r="P567" s="460"/>
      <c r="Q567" s="460"/>
      <c r="R567" s="460"/>
      <c r="S567" s="460"/>
      <c r="T567" s="460"/>
      <c r="U567" s="460"/>
      <c r="V567" s="460"/>
      <c r="W567" s="460"/>
      <c r="X567" s="460"/>
    </row>
    <row r="568" ht="15.75" customHeight="1">
      <c r="A568" s="460"/>
      <c r="B568" s="460"/>
      <c r="C568" s="460"/>
      <c r="D568" s="460"/>
      <c r="E568" s="460"/>
      <c r="F568" s="460"/>
      <c r="G568" s="460"/>
      <c r="H568" s="460"/>
      <c r="I568" s="460"/>
      <c r="J568" s="460"/>
      <c r="K568" s="460"/>
      <c r="L568" s="460"/>
      <c r="M568" s="460"/>
      <c r="N568" s="460"/>
      <c r="O568" s="460"/>
      <c r="P568" s="460"/>
      <c r="Q568" s="460"/>
      <c r="R568" s="460"/>
      <c r="S568" s="460"/>
      <c r="T568" s="460"/>
      <c r="U568" s="460"/>
      <c r="V568" s="460"/>
      <c r="W568" s="460"/>
      <c r="X568" s="460"/>
    </row>
    <row r="569" ht="15.75" customHeight="1">
      <c r="A569" s="460"/>
      <c r="B569" s="460"/>
      <c r="C569" s="460"/>
      <c r="D569" s="460"/>
      <c r="E569" s="460"/>
      <c r="F569" s="460"/>
      <c r="G569" s="460"/>
      <c r="H569" s="460"/>
      <c r="I569" s="460"/>
      <c r="J569" s="460"/>
      <c r="K569" s="460"/>
      <c r="L569" s="460"/>
      <c r="M569" s="460"/>
      <c r="N569" s="460"/>
      <c r="O569" s="460"/>
      <c r="P569" s="460"/>
      <c r="Q569" s="460"/>
      <c r="R569" s="460"/>
      <c r="S569" s="460"/>
      <c r="T569" s="460"/>
      <c r="U569" s="460"/>
      <c r="V569" s="460"/>
      <c r="W569" s="460"/>
      <c r="X569" s="460"/>
    </row>
    <row r="570" ht="15.75" customHeight="1">
      <c r="A570" s="460"/>
      <c r="B570" s="460"/>
      <c r="C570" s="460"/>
      <c r="D570" s="460"/>
      <c r="E570" s="460"/>
      <c r="F570" s="460"/>
      <c r="G570" s="460"/>
      <c r="H570" s="460"/>
      <c r="I570" s="460"/>
      <c r="J570" s="460"/>
      <c r="K570" s="460"/>
      <c r="L570" s="460"/>
      <c r="M570" s="460"/>
      <c r="N570" s="460"/>
      <c r="O570" s="460"/>
      <c r="P570" s="460"/>
      <c r="Q570" s="460"/>
      <c r="R570" s="460"/>
      <c r="S570" s="460"/>
      <c r="T570" s="460"/>
      <c r="U570" s="460"/>
      <c r="V570" s="460"/>
      <c r="W570" s="460"/>
      <c r="X570" s="460"/>
    </row>
    <row r="571" ht="15.75" customHeight="1">
      <c r="A571" s="460"/>
      <c r="B571" s="460"/>
      <c r="C571" s="460"/>
      <c r="D571" s="460"/>
      <c r="E571" s="460"/>
      <c r="F571" s="460"/>
      <c r="G571" s="460"/>
      <c r="H571" s="460"/>
      <c r="I571" s="460"/>
      <c r="J571" s="460"/>
      <c r="K571" s="460"/>
      <c r="L571" s="460"/>
      <c r="M571" s="460"/>
      <c r="N571" s="460"/>
      <c r="O571" s="460"/>
      <c r="P571" s="460"/>
      <c r="Q571" s="460"/>
      <c r="R571" s="460"/>
      <c r="S571" s="460"/>
      <c r="T571" s="460"/>
      <c r="U571" s="460"/>
      <c r="V571" s="460"/>
      <c r="W571" s="460"/>
      <c r="X571" s="460"/>
    </row>
    <row r="572" ht="15.75" customHeight="1">
      <c r="A572" s="460"/>
      <c r="B572" s="460"/>
      <c r="C572" s="460"/>
      <c r="D572" s="460"/>
      <c r="E572" s="460"/>
      <c r="F572" s="460"/>
      <c r="G572" s="460"/>
      <c r="H572" s="460"/>
      <c r="I572" s="460"/>
      <c r="J572" s="460"/>
      <c r="K572" s="460"/>
      <c r="L572" s="460"/>
      <c r="M572" s="460"/>
      <c r="N572" s="460"/>
      <c r="O572" s="460"/>
      <c r="P572" s="460"/>
      <c r="Q572" s="460"/>
      <c r="R572" s="460"/>
      <c r="S572" s="460"/>
      <c r="T572" s="460"/>
      <c r="U572" s="460"/>
      <c r="V572" s="460"/>
      <c r="W572" s="460"/>
      <c r="X572" s="460"/>
    </row>
    <row r="573" ht="15.75" customHeight="1">
      <c r="A573" s="460"/>
      <c r="B573" s="460"/>
      <c r="C573" s="460"/>
      <c r="D573" s="460"/>
      <c r="E573" s="460"/>
      <c r="F573" s="460"/>
      <c r="G573" s="460"/>
      <c r="H573" s="460"/>
      <c r="I573" s="460"/>
      <c r="J573" s="460"/>
      <c r="K573" s="460"/>
      <c r="L573" s="460"/>
      <c r="M573" s="460"/>
      <c r="N573" s="460"/>
      <c r="O573" s="460"/>
      <c r="P573" s="460"/>
      <c r="Q573" s="460"/>
      <c r="R573" s="460"/>
      <c r="S573" s="460"/>
      <c r="T573" s="460"/>
      <c r="U573" s="460"/>
      <c r="V573" s="460"/>
      <c r="W573" s="460"/>
      <c r="X573" s="460"/>
    </row>
    <row r="574" ht="15.75" customHeight="1">
      <c r="A574" s="460"/>
      <c r="B574" s="460"/>
      <c r="C574" s="460"/>
      <c r="D574" s="460"/>
      <c r="E574" s="460"/>
      <c r="F574" s="460"/>
      <c r="G574" s="460"/>
      <c r="H574" s="460"/>
      <c r="I574" s="460"/>
      <c r="J574" s="460"/>
      <c r="K574" s="460"/>
      <c r="L574" s="460"/>
      <c r="M574" s="460"/>
      <c r="N574" s="460"/>
      <c r="O574" s="460"/>
      <c r="P574" s="460"/>
      <c r="Q574" s="460"/>
      <c r="R574" s="460"/>
      <c r="S574" s="460"/>
      <c r="T574" s="460"/>
      <c r="U574" s="460"/>
      <c r="V574" s="460"/>
      <c r="W574" s="460"/>
      <c r="X574" s="460"/>
    </row>
    <row r="575" ht="15.75" customHeight="1">
      <c r="A575" s="460"/>
      <c r="B575" s="460"/>
      <c r="C575" s="460"/>
      <c r="D575" s="460"/>
      <c r="E575" s="460"/>
      <c r="F575" s="460"/>
      <c r="G575" s="460"/>
      <c r="H575" s="460"/>
      <c r="I575" s="460"/>
      <c r="J575" s="460"/>
      <c r="K575" s="460"/>
      <c r="L575" s="460"/>
      <c r="M575" s="460"/>
      <c r="N575" s="460"/>
      <c r="O575" s="460"/>
      <c r="P575" s="460"/>
      <c r="Q575" s="460"/>
      <c r="R575" s="460"/>
      <c r="S575" s="460"/>
      <c r="T575" s="460"/>
      <c r="U575" s="460"/>
      <c r="V575" s="460"/>
      <c r="W575" s="460"/>
      <c r="X575" s="460"/>
    </row>
    <row r="576" ht="15.75" customHeight="1">
      <c r="A576" s="460"/>
      <c r="B576" s="460"/>
      <c r="C576" s="460"/>
      <c r="D576" s="460"/>
      <c r="E576" s="460"/>
      <c r="F576" s="460"/>
      <c r="G576" s="460"/>
      <c r="H576" s="460"/>
      <c r="I576" s="460"/>
      <c r="J576" s="460"/>
      <c r="K576" s="460"/>
      <c r="L576" s="460"/>
      <c r="M576" s="460"/>
      <c r="N576" s="460"/>
      <c r="O576" s="460"/>
      <c r="P576" s="460"/>
      <c r="Q576" s="460"/>
      <c r="R576" s="460"/>
      <c r="S576" s="460"/>
      <c r="T576" s="460"/>
      <c r="U576" s="460"/>
      <c r="V576" s="460"/>
      <c r="W576" s="460"/>
      <c r="X576" s="460"/>
    </row>
    <row r="577" ht="15.75" customHeight="1">
      <c r="A577" s="460"/>
      <c r="B577" s="460"/>
      <c r="C577" s="460"/>
      <c r="D577" s="17"/>
      <c r="E577" s="9"/>
      <c r="F577" s="460"/>
      <c r="G577" s="460"/>
      <c r="H577" s="460"/>
      <c r="I577" s="460"/>
      <c r="J577" s="460"/>
      <c r="K577" s="460"/>
      <c r="L577" s="460"/>
      <c r="M577" s="460"/>
      <c r="N577" s="460"/>
      <c r="O577" s="460"/>
      <c r="P577" s="460"/>
      <c r="Q577" s="460"/>
      <c r="R577" s="460"/>
      <c r="S577" s="460"/>
      <c r="T577" s="460"/>
      <c r="U577" s="460"/>
      <c r="V577" s="460"/>
      <c r="W577" s="460"/>
      <c r="X577" s="460"/>
    </row>
    <row r="578" ht="15.75" customHeight="1">
      <c r="A578" s="460"/>
      <c r="B578" s="460"/>
      <c r="C578" s="460"/>
      <c r="D578" s="17"/>
      <c r="E578" s="9"/>
      <c r="F578" s="460"/>
      <c r="G578" s="460"/>
      <c r="H578" s="460"/>
      <c r="I578" s="460"/>
      <c r="J578" s="460"/>
      <c r="K578" s="460"/>
      <c r="L578" s="460"/>
      <c r="M578" s="460"/>
      <c r="N578" s="460"/>
      <c r="O578" s="460"/>
      <c r="P578" s="460"/>
      <c r="Q578" s="460"/>
      <c r="R578" s="460"/>
      <c r="S578" s="460"/>
      <c r="T578" s="460"/>
      <c r="U578" s="460"/>
      <c r="V578" s="460"/>
      <c r="W578" s="460"/>
      <c r="X578" s="460"/>
    </row>
    <row r="579" ht="15.75" customHeight="1">
      <c r="A579" s="460"/>
      <c r="B579" s="460"/>
      <c r="C579" s="460"/>
      <c r="D579" s="17"/>
      <c r="E579" s="9"/>
      <c r="F579" s="460"/>
      <c r="G579" s="460"/>
      <c r="H579" s="460"/>
      <c r="I579" s="460"/>
      <c r="J579" s="460"/>
      <c r="K579" s="460"/>
      <c r="L579" s="460"/>
      <c r="M579" s="460"/>
      <c r="N579" s="460"/>
      <c r="O579" s="460"/>
      <c r="P579" s="460"/>
      <c r="Q579" s="460"/>
      <c r="R579" s="460"/>
      <c r="S579" s="460"/>
      <c r="T579" s="460"/>
      <c r="U579" s="460"/>
      <c r="V579" s="460"/>
      <c r="W579" s="460"/>
      <c r="X579" s="460"/>
    </row>
    <row r="580" ht="15.75" customHeight="1">
      <c r="A580" s="460"/>
      <c r="B580" s="460"/>
      <c r="C580" s="460"/>
      <c r="D580" s="17"/>
      <c r="E580" s="9"/>
      <c r="F580" s="460"/>
      <c r="G580" s="460"/>
      <c r="H580" s="460"/>
      <c r="I580" s="460"/>
      <c r="J580" s="460"/>
      <c r="K580" s="460"/>
      <c r="L580" s="460"/>
      <c r="M580" s="460"/>
      <c r="N580" s="460"/>
      <c r="O580" s="460"/>
      <c r="P580" s="460"/>
      <c r="Q580" s="460"/>
      <c r="R580" s="460"/>
      <c r="S580" s="460"/>
      <c r="T580" s="460"/>
      <c r="U580" s="460"/>
      <c r="V580" s="460"/>
      <c r="W580" s="460"/>
      <c r="X580" s="460"/>
    </row>
    <row r="581" ht="15.75" customHeight="1">
      <c r="A581" s="460"/>
      <c r="B581" s="460"/>
      <c r="C581" s="460"/>
      <c r="D581" s="17"/>
      <c r="E581" s="9"/>
      <c r="F581" s="460"/>
      <c r="G581" s="460"/>
      <c r="H581" s="460"/>
      <c r="I581" s="460"/>
      <c r="J581" s="460"/>
      <c r="K581" s="460"/>
      <c r="L581" s="460"/>
      <c r="M581" s="460"/>
      <c r="N581" s="460"/>
      <c r="O581" s="460"/>
      <c r="P581" s="460"/>
      <c r="Q581" s="460"/>
      <c r="R581" s="460"/>
      <c r="S581" s="460"/>
      <c r="T581" s="460"/>
      <c r="U581" s="460"/>
      <c r="V581" s="460"/>
      <c r="W581" s="460"/>
      <c r="X581" s="460"/>
    </row>
    <row r="582" ht="15.75" customHeight="1">
      <c r="A582" s="460"/>
      <c r="B582" s="460"/>
      <c r="C582" s="460"/>
      <c r="D582" s="17"/>
      <c r="E582" s="9"/>
      <c r="F582" s="460"/>
      <c r="G582" s="460"/>
      <c r="H582" s="460"/>
      <c r="I582" s="460"/>
      <c r="J582" s="460"/>
      <c r="K582" s="460"/>
      <c r="L582" s="460"/>
      <c r="M582" s="460"/>
      <c r="N582" s="460"/>
      <c r="O582" s="460"/>
      <c r="P582" s="460"/>
      <c r="Q582" s="460"/>
      <c r="R582" s="460"/>
      <c r="S582" s="460"/>
      <c r="T582" s="460"/>
      <c r="U582" s="460"/>
      <c r="V582" s="460"/>
      <c r="W582" s="460"/>
      <c r="X582" s="460"/>
    </row>
    <row r="583" ht="15.75" customHeight="1">
      <c r="A583" s="460"/>
      <c r="B583" s="460"/>
      <c r="C583" s="460"/>
      <c r="D583" s="17"/>
      <c r="E583" s="9"/>
      <c r="F583" s="460"/>
      <c r="G583" s="460"/>
      <c r="H583" s="460"/>
      <c r="I583" s="460"/>
      <c r="J583" s="460"/>
      <c r="K583" s="460"/>
      <c r="L583" s="460"/>
      <c r="M583" s="460"/>
      <c r="N583" s="460"/>
      <c r="O583" s="460"/>
      <c r="P583" s="460"/>
      <c r="Q583" s="460"/>
      <c r="R583" s="460"/>
      <c r="S583" s="460"/>
      <c r="T583" s="460"/>
      <c r="U583" s="460"/>
      <c r="V583" s="460"/>
      <c r="W583" s="460"/>
      <c r="X583" s="460"/>
    </row>
    <row r="584" ht="15.75" customHeight="1">
      <c r="A584" s="460"/>
      <c r="B584" s="460"/>
      <c r="C584" s="460"/>
      <c r="D584" s="17"/>
      <c r="E584" s="9"/>
      <c r="F584" s="460"/>
      <c r="G584" s="460"/>
      <c r="H584" s="460"/>
      <c r="I584" s="460"/>
      <c r="J584" s="460"/>
      <c r="K584" s="460"/>
      <c r="L584" s="460"/>
      <c r="M584" s="460"/>
      <c r="N584" s="460"/>
      <c r="O584" s="460"/>
      <c r="P584" s="460"/>
      <c r="Q584" s="460"/>
      <c r="R584" s="460"/>
      <c r="S584" s="460"/>
      <c r="T584" s="460"/>
      <c r="U584" s="460"/>
      <c r="V584" s="460"/>
      <c r="W584" s="460"/>
      <c r="X584" s="460"/>
    </row>
    <row r="585" ht="15.75" customHeight="1">
      <c r="A585" s="460"/>
      <c r="B585" s="460"/>
      <c r="C585" s="460"/>
      <c r="D585" s="17"/>
      <c r="E585" s="9"/>
      <c r="F585" s="460"/>
      <c r="G585" s="460"/>
      <c r="H585" s="460"/>
      <c r="I585" s="460"/>
      <c r="J585" s="460"/>
      <c r="K585" s="460"/>
      <c r="L585" s="460"/>
      <c r="M585" s="460"/>
      <c r="N585" s="460"/>
      <c r="O585" s="460"/>
      <c r="P585" s="460"/>
      <c r="Q585" s="460"/>
      <c r="R585" s="460"/>
      <c r="S585" s="460"/>
      <c r="T585" s="460"/>
      <c r="U585" s="460"/>
      <c r="V585" s="460"/>
      <c r="W585" s="460"/>
      <c r="X585" s="460"/>
    </row>
    <row r="586" ht="15.75" customHeight="1">
      <c r="A586" s="460"/>
      <c r="B586" s="460"/>
      <c r="C586" s="460"/>
      <c r="D586" s="17"/>
      <c r="E586" s="9"/>
      <c r="F586" s="460"/>
      <c r="G586" s="460"/>
      <c r="H586" s="460"/>
      <c r="I586" s="460"/>
      <c r="J586" s="460"/>
      <c r="K586" s="460"/>
      <c r="L586" s="460"/>
      <c r="M586" s="460"/>
      <c r="N586" s="460"/>
      <c r="O586" s="460"/>
      <c r="P586" s="460"/>
      <c r="Q586" s="460"/>
      <c r="R586" s="460"/>
      <c r="S586" s="460"/>
      <c r="T586" s="460"/>
      <c r="U586" s="460"/>
      <c r="V586" s="460"/>
      <c r="W586" s="460"/>
      <c r="X586" s="460"/>
    </row>
    <row r="587" ht="15.75" customHeight="1">
      <c r="A587" s="460"/>
      <c r="B587" s="460"/>
      <c r="C587" s="460"/>
      <c r="D587" s="17"/>
      <c r="E587" s="9"/>
      <c r="F587" s="460"/>
      <c r="G587" s="460"/>
      <c r="H587" s="460"/>
      <c r="I587" s="460"/>
      <c r="J587" s="460"/>
      <c r="K587" s="460"/>
      <c r="L587" s="460"/>
      <c r="M587" s="460"/>
      <c r="N587" s="460"/>
      <c r="O587" s="460"/>
      <c r="P587" s="460"/>
      <c r="Q587" s="460"/>
      <c r="R587" s="460"/>
      <c r="S587" s="460"/>
      <c r="T587" s="460"/>
      <c r="U587" s="460"/>
      <c r="V587" s="460"/>
      <c r="W587" s="460"/>
      <c r="X587" s="460"/>
    </row>
    <row r="588" ht="15.75" customHeight="1">
      <c r="A588" s="460"/>
      <c r="B588" s="460"/>
      <c r="C588" s="460"/>
      <c r="D588" s="17"/>
      <c r="E588" s="9"/>
      <c r="F588" s="460"/>
      <c r="G588" s="460"/>
      <c r="H588" s="460"/>
      <c r="I588" s="460"/>
      <c r="J588" s="460"/>
      <c r="K588" s="460"/>
      <c r="L588" s="460"/>
      <c r="M588" s="460"/>
      <c r="N588" s="460"/>
      <c r="O588" s="460"/>
      <c r="P588" s="460"/>
      <c r="Q588" s="460"/>
      <c r="R588" s="460"/>
      <c r="S588" s="460"/>
      <c r="T588" s="460"/>
      <c r="U588" s="460"/>
      <c r="V588" s="460"/>
      <c r="W588" s="460"/>
      <c r="X588" s="460"/>
    </row>
    <row r="589" ht="15.75" customHeight="1">
      <c r="A589" s="460"/>
      <c r="B589" s="460"/>
      <c r="C589" s="460"/>
      <c r="D589" s="17"/>
      <c r="E589" s="9"/>
      <c r="F589" s="460"/>
      <c r="G589" s="460"/>
      <c r="H589" s="460"/>
      <c r="I589" s="460"/>
      <c r="J589" s="460"/>
      <c r="K589" s="460"/>
      <c r="L589" s="460"/>
      <c r="M589" s="460"/>
      <c r="N589" s="460"/>
      <c r="O589" s="460"/>
      <c r="P589" s="460"/>
      <c r="Q589" s="460"/>
      <c r="R589" s="460"/>
      <c r="S589" s="460"/>
      <c r="T589" s="460"/>
      <c r="U589" s="460"/>
      <c r="V589" s="460"/>
      <c r="W589" s="460"/>
      <c r="X589" s="460"/>
    </row>
    <row r="590" ht="15.75" customHeight="1">
      <c r="A590" s="460"/>
      <c r="B590" s="460"/>
      <c r="C590" s="460"/>
      <c r="D590" s="17"/>
      <c r="E590" s="9"/>
      <c r="F590" s="460"/>
      <c r="G590" s="460"/>
      <c r="H590" s="460"/>
      <c r="I590" s="460"/>
      <c r="J590" s="460"/>
      <c r="K590" s="460"/>
      <c r="L590" s="460"/>
      <c r="M590" s="460"/>
      <c r="N590" s="460"/>
      <c r="O590" s="460"/>
      <c r="P590" s="460"/>
      <c r="Q590" s="460"/>
      <c r="R590" s="460"/>
      <c r="S590" s="460"/>
      <c r="T590" s="460"/>
      <c r="U590" s="460"/>
      <c r="V590" s="460"/>
      <c r="W590" s="460"/>
      <c r="X590" s="460"/>
    </row>
    <row r="591" ht="15.75" customHeight="1">
      <c r="A591" s="460"/>
      <c r="B591" s="460"/>
      <c r="C591" s="460"/>
      <c r="D591" s="17"/>
      <c r="E591" s="9"/>
      <c r="F591" s="460"/>
      <c r="G591" s="460"/>
      <c r="H591" s="460"/>
      <c r="I591" s="460"/>
      <c r="J591" s="460"/>
      <c r="K591" s="460"/>
      <c r="L591" s="460"/>
      <c r="M591" s="460"/>
      <c r="N591" s="460"/>
      <c r="O591" s="460"/>
      <c r="P591" s="460"/>
      <c r="Q591" s="460"/>
      <c r="R591" s="460"/>
      <c r="S591" s="460"/>
      <c r="T591" s="460"/>
      <c r="U591" s="460"/>
      <c r="V591" s="460"/>
      <c r="W591" s="460"/>
      <c r="X591" s="460"/>
    </row>
    <row r="592" ht="15.75" customHeight="1">
      <c r="A592" s="460"/>
      <c r="B592" s="460"/>
      <c r="C592" s="460"/>
      <c r="D592" s="17"/>
      <c r="E592" s="9"/>
      <c r="F592" s="460"/>
      <c r="G592" s="460"/>
      <c r="H592" s="460"/>
      <c r="I592" s="460"/>
      <c r="J592" s="460"/>
      <c r="K592" s="460"/>
      <c r="L592" s="460"/>
      <c r="M592" s="460"/>
      <c r="N592" s="460"/>
      <c r="O592" s="460"/>
      <c r="P592" s="460"/>
      <c r="Q592" s="460"/>
      <c r="R592" s="460"/>
      <c r="S592" s="460"/>
      <c r="T592" s="460"/>
      <c r="U592" s="460"/>
      <c r="V592" s="460"/>
      <c r="W592" s="460"/>
      <c r="X592" s="460"/>
    </row>
    <row r="593" ht="15.75" customHeight="1">
      <c r="A593" s="460"/>
      <c r="B593" s="460"/>
      <c r="C593" s="460"/>
      <c r="D593" s="17"/>
      <c r="E593" s="9"/>
      <c r="F593" s="460"/>
      <c r="G593" s="460"/>
      <c r="H593" s="460"/>
      <c r="I593" s="460"/>
      <c r="J593" s="460"/>
      <c r="K593" s="460"/>
      <c r="L593" s="460"/>
      <c r="M593" s="460"/>
      <c r="N593" s="460"/>
      <c r="O593" s="460"/>
      <c r="P593" s="460"/>
      <c r="Q593" s="460"/>
      <c r="R593" s="460"/>
      <c r="S593" s="460"/>
      <c r="T593" s="460"/>
      <c r="U593" s="460"/>
      <c r="V593" s="460"/>
      <c r="W593" s="460"/>
      <c r="X593" s="460"/>
    </row>
    <row r="594" ht="15.75" customHeight="1">
      <c r="A594" s="460"/>
      <c r="B594" s="460"/>
      <c r="C594" s="460"/>
      <c r="D594" s="17"/>
      <c r="E594" s="9"/>
      <c r="F594" s="460"/>
      <c r="G594" s="460"/>
      <c r="H594" s="460"/>
      <c r="I594" s="460"/>
      <c r="J594" s="460"/>
      <c r="K594" s="460"/>
      <c r="L594" s="460"/>
      <c r="M594" s="460"/>
      <c r="N594" s="460"/>
      <c r="O594" s="460"/>
      <c r="P594" s="460"/>
      <c r="Q594" s="460"/>
      <c r="R594" s="460"/>
      <c r="S594" s="460"/>
      <c r="T594" s="460"/>
      <c r="U594" s="460"/>
      <c r="V594" s="460"/>
      <c r="W594" s="460"/>
      <c r="X594" s="460"/>
    </row>
    <row r="595" ht="15.75" customHeight="1">
      <c r="A595" s="460"/>
      <c r="B595" s="460"/>
      <c r="C595" s="460"/>
      <c r="D595" s="17"/>
      <c r="E595" s="9"/>
      <c r="F595" s="460"/>
      <c r="G595" s="460"/>
      <c r="H595" s="460"/>
      <c r="I595" s="460"/>
      <c r="J595" s="460"/>
      <c r="K595" s="460"/>
      <c r="L595" s="460"/>
      <c r="M595" s="460"/>
      <c r="N595" s="460"/>
      <c r="O595" s="460"/>
      <c r="P595" s="460"/>
      <c r="Q595" s="460"/>
      <c r="R595" s="460"/>
      <c r="S595" s="460"/>
      <c r="T595" s="460"/>
      <c r="U595" s="460"/>
      <c r="V595" s="460"/>
      <c r="W595" s="460"/>
      <c r="X595" s="460"/>
    </row>
    <row r="596" ht="15.75" customHeight="1">
      <c r="A596" s="460"/>
      <c r="B596" s="460"/>
      <c r="C596" s="460"/>
      <c r="D596" s="17"/>
      <c r="E596" s="9"/>
      <c r="F596" s="460"/>
      <c r="G596" s="460"/>
      <c r="H596" s="460"/>
      <c r="I596" s="460"/>
      <c r="J596" s="460"/>
      <c r="K596" s="460"/>
      <c r="L596" s="460"/>
      <c r="M596" s="460"/>
      <c r="N596" s="460"/>
      <c r="O596" s="460"/>
      <c r="P596" s="460"/>
      <c r="Q596" s="460"/>
      <c r="R596" s="460"/>
      <c r="S596" s="460"/>
      <c r="T596" s="460"/>
      <c r="U596" s="460"/>
      <c r="V596" s="460"/>
      <c r="W596" s="460"/>
      <c r="X596" s="460"/>
    </row>
    <row r="597" ht="15.75" customHeight="1">
      <c r="A597" s="460"/>
      <c r="B597" s="460"/>
      <c r="C597" s="460"/>
      <c r="D597" s="17"/>
      <c r="E597" s="9"/>
      <c r="F597" s="460"/>
      <c r="G597" s="460"/>
      <c r="H597" s="460"/>
      <c r="I597" s="460"/>
      <c r="J597" s="460"/>
      <c r="K597" s="460"/>
      <c r="L597" s="460"/>
      <c r="M597" s="460"/>
      <c r="N597" s="460"/>
      <c r="O597" s="460"/>
      <c r="P597" s="460"/>
      <c r="Q597" s="460"/>
      <c r="R597" s="460"/>
      <c r="S597" s="460"/>
      <c r="T597" s="460"/>
      <c r="U597" s="460"/>
      <c r="V597" s="460"/>
      <c r="W597" s="460"/>
      <c r="X597" s="460"/>
    </row>
    <row r="598" ht="15.75" customHeight="1">
      <c r="A598" s="460"/>
      <c r="B598" s="460"/>
      <c r="C598" s="460"/>
      <c r="D598" s="17"/>
      <c r="E598" s="9"/>
      <c r="F598" s="460"/>
      <c r="G598" s="460"/>
      <c r="H598" s="460"/>
      <c r="I598" s="460"/>
      <c r="J598" s="460"/>
      <c r="K598" s="460"/>
      <c r="L598" s="460"/>
      <c r="M598" s="460"/>
      <c r="N598" s="460"/>
      <c r="O598" s="460"/>
      <c r="P598" s="460"/>
      <c r="Q598" s="460"/>
      <c r="R598" s="460"/>
      <c r="S598" s="460"/>
      <c r="T598" s="460"/>
      <c r="U598" s="460"/>
      <c r="V598" s="460"/>
      <c r="W598" s="460"/>
      <c r="X598" s="460"/>
    </row>
    <row r="599" ht="15.75" customHeight="1">
      <c r="A599" s="460"/>
      <c r="B599" s="460"/>
      <c r="C599" s="460"/>
      <c r="D599" s="17"/>
      <c r="E599" s="9"/>
      <c r="F599" s="460"/>
      <c r="G599" s="460"/>
      <c r="H599" s="460"/>
      <c r="I599" s="460"/>
      <c r="J599" s="460"/>
      <c r="K599" s="460"/>
      <c r="L599" s="460"/>
      <c r="M599" s="460"/>
      <c r="N599" s="460"/>
      <c r="O599" s="460"/>
      <c r="P599" s="460"/>
      <c r="Q599" s="460"/>
      <c r="R599" s="460"/>
      <c r="S599" s="460"/>
      <c r="T599" s="460"/>
      <c r="U599" s="460"/>
      <c r="V599" s="460"/>
      <c r="W599" s="460"/>
      <c r="X599" s="460"/>
    </row>
    <row r="600" ht="15.75" customHeight="1">
      <c r="A600" s="460"/>
      <c r="B600" s="460"/>
      <c r="C600" s="460"/>
      <c r="D600" s="17"/>
      <c r="E600" s="9"/>
      <c r="F600" s="460"/>
      <c r="G600" s="460"/>
      <c r="H600" s="460"/>
      <c r="I600" s="460"/>
      <c r="J600" s="460"/>
      <c r="K600" s="460"/>
      <c r="L600" s="460"/>
      <c r="M600" s="460"/>
      <c r="N600" s="460"/>
      <c r="O600" s="460"/>
      <c r="P600" s="460"/>
      <c r="Q600" s="460"/>
      <c r="R600" s="460"/>
      <c r="S600" s="460"/>
      <c r="T600" s="460"/>
      <c r="U600" s="460"/>
      <c r="V600" s="460"/>
      <c r="W600" s="460"/>
      <c r="X600" s="460"/>
    </row>
    <row r="601" ht="15.75" customHeight="1">
      <c r="A601" s="460"/>
      <c r="B601" s="460"/>
      <c r="C601" s="460"/>
      <c r="D601" s="17"/>
      <c r="E601" s="9"/>
      <c r="F601" s="460"/>
      <c r="G601" s="460"/>
      <c r="H601" s="460"/>
      <c r="I601" s="460"/>
      <c r="J601" s="460"/>
      <c r="K601" s="460"/>
      <c r="L601" s="460"/>
      <c r="M601" s="460"/>
      <c r="N601" s="460"/>
      <c r="O601" s="460"/>
      <c r="P601" s="460"/>
      <c r="Q601" s="460"/>
      <c r="R601" s="460"/>
      <c r="S601" s="460"/>
      <c r="T601" s="460"/>
      <c r="U601" s="460"/>
      <c r="V601" s="460"/>
      <c r="W601" s="460"/>
      <c r="X601" s="460"/>
    </row>
    <row r="602" ht="15.75" customHeight="1">
      <c r="A602" s="460"/>
      <c r="B602" s="460"/>
      <c r="C602" s="460"/>
      <c r="D602" s="17"/>
      <c r="E602" s="9"/>
      <c r="F602" s="460"/>
      <c r="G602" s="460"/>
      <c r="H602" s="460"/>
      <c r="I602" s="460"/>
      <c r="J602" s="460"/>
      <c r="K602" s="460"/>
      <c r="L602" s="460"/>
      <c r="M602" s="460"/>
      <c r="N602" s="460"/>
      <c r="O602" s="460"/>
      <c r="P602" s="460"/>
      <c r="Q602" s="460"/>
      <c r="R602" s="460"/>
      <c r="S602" s="460"/>
      <c r="T602" s="460"/>
      <c r="U602" s="460"/>
      <c r="V602" s="460"/>
      <c r="W602" s="460"/>
      <c r="X602" s="460"/>
    </row>
    <row r="603" ht="15.75" customHeight="1">
      <c r="A603" s="460"/>
      <c r="B603" s="460"/>
      <c r="C603" s="460"/>
      <c r="D603" s="17"/>
      <c r="E603" s="9"/>
      <c r="F603" s="460"/>
      <c r="G603" s="460"/>
      <c r="H603" s="460"/>
      <c r="I603" s="460"/>
      <c r="J603" s="460"/>
      <c r="K603" s="460"/>
      <c r="L603" s="460"/>
      <c r="M603" s="460"/>
      <c r="N603" s="460"/>
      <c r="O603" s="460"/>
      <c r="P603" s="460"/>
      <c r="Q603" s="460"/>
      <c r="R603" s="460"/>
      <c r="S603" s="460"/>
      <c r="T603" s="460"/>
      <c r="U603" s="460"/>
      <c r="V603" s="460"/>
      <c r="W603" s="460"/>
      <c r="X603" s="460"/>
    </row>
    <row r="604" ht="15.75" customHeight="1">
      <c r="A604" s="460"/>
      <c r="B604" s="460"/>
      <c r="C604" s="460"/>
      <c r="D604" s="17"/>
      <c r="E604" s="9"/>
      <c r="F604" s="460"/>
      <c r="G604" s="460"/>
      <c r="H604" s="460"/>
      <c r="I604" s="460"/>
      <c r="J604" s="460"/>
      <c r="K604" s="460"/>
      <c r="L604" s="460"/>
      <c r="M604" s="460"/>
      <c r="N604" s="460"/>
      <c r="O604" s="460"/>
      <c r="P604" s="460"/>
      <c r="Q604" s="460"/>
      <c r="R604" s="460"/>
      <c r="S604" s="460"/>
      <c r="T604" s="460"/>
      <c r="U604" s="460"/>
      <c r="V604" s="460"/>
      <c r="W604" s="460"/>
      <c r="X604" s="460"/>
    </row>
    <row r="605" ht="15.75" customHeight="1">
      <c r="A605" s="460"/>
      <c r="B605" s="460"/>
      <c r="C605" s="460"/>
      <c r="D605" s="17"/>
      <c r="E605" s="9"/>
      <c r="F605" s="460"/>
      <c r="G605" s="460"/>
      <c r="H605" s="460"/>
      <c r="I605" s="460"/>
      <c r="J605" s="460"/>
      <c r="K605" s="460"/>
      <c r="L605" s="460"/>
      <c r="M605" s="460"/>
      <c r="N605" s="460"/>
      <c r="O605" s="460"/>
      <c r="P605" s="460"/>
      <c r="Q605" s="460"/>
      <c r="R605" s="460"/>
      <c r="S605" s="460"/>
      <c r="T605" s="460"/>
      <c r="U605" s="460"/>
      <c r="V605" s="460"/>
      <c r="W605" s="460"/>
      <c r="X605" s="460"/>
    </row>
    <row r="606" ht="15.75" customHeight="1">
      <c r="A606" s="460"/>
      <c r="B606" s="460"/>
      <c r="C606" s="460"/>
      <c r="D606" s="17"/>
      <c r="E606" s="9"/>
      <c r="F606" s="460"/>
      <c r="G606" s="460"/>
      <c r="H606" s="460"/>
      <c r="I606" s="460"/>
      <c r="J606" s="460"/>
      <c r="K606" s="460"/>
      <c r="L606" s="460"/>
      <c r="M606" s="460"/>
      <c r="N606" s="460"/>
      <c r="O606" s="460"/>
      <c r="P606" s="460"/>
      <c r="Q606" s="460"/>
      <c r="R606" s="460"/>
      <c r="S606" s="460"/>
      <c r="T606" s="460"/>
      <c r="U606" s="460"/>
      <c r="V606" s="460"/>
      <c r="W606" s="460"/>
      <c r="X606" s="460"/>
    </row>
    <row r="607" ht="15.75" customHeight="1">
      <c r="A607" s="460"/>
      <c r="B607" s="460"/>
      <c r="C607" s="460"/>
      <c r="D607" s="17"/>
      <c r="E607" s="9"/>
      <c r="F607" s="460"/>
      <c r="G607" s="460"/>
      <c r="H607" s="460"/>
      <c r="I607" s="460"/>
      <c r="J607" s="460"/>
      <c r="K607" s="460"/>
      <c r="L607" s="460"/>
      <c r="M607" s="460"/>
      <c r="N607" s="460"/>
      <c r="O607" s="460"/>
      <c r="P607" s="460"/>
      <c r="Q607" s="460"/>
      <c r="R607" s="460"/>
      <c r="S607" s="460"/>
      <c r="T607" s="460"/>
      <c r="U607" s="460"/>
      <c r="V607" s="460"/>
      <c r="W607" s="460"/>
      <c r="X607" s="460"/>
    </row>
    <row r="608" ht="15.75" customHeight="1">
      <c r="A608" s="460"/>
      <c r="B608" s="460"/>
      <c r="C608" s="460"/>
      <c r="D608" s="17"/>
      <c r="E608" s="9"/>
      <c r="F608" s="460"/>
      <c r="G608" s="460"/>
      <c r="H608" s="460"/>
      <c r="I608" s="460"/>
      <c r="J608" s="460"/>
      <c r="K608" s="460"/>
      <c r="L608" s="460"/>
      <c r="M608" s="460"/>
      <c r="N608" s="460"/>
      <c r="O608" s="460"/>
      <c r="P608" s="460"/>
      <c r="Q608" s="460"/>
      <c r="R608" s="460"/>
      <c r="S608" s="460"/>
      <c r="T608" s="460"/>
      <c r="U608" s="460"/>
      <c r="V608" s="460"/>
      <c r="W608" s="460"/>
      <c r="X608" s="460"/>
    </row>
    <row r="609" ht="15.75" customHeight="1">
      <c r="A609" s="460"/>
      <c r="B609" s="460"/>
      <c r="C609" s="460"/>
      <c r="D609" s="17"/>
      <c r="E609" s="9"/>
      <c r="F609" s="460"/>
      <c r="G609" s="460"/>
      <c r="H609" s="460"/>
      <c r="I609" s="460"/>
      <c r="J609" s="460"/>
      <c r="K609" s="460"/>
      <c r="L609" s="460"/>
      <c r="M609" s="460"/>
      <c r="N609" s="460"/>
      <c r="O609" s="460"/>
      <c r="P609" s="460"/>
      <c r="Q609" s="460"/>
      <c r="R609" s="460"/>
      <c r="S609" s="460"/>
      <c r="T609" s="460"/>
      <c r="U609" s="460"/>
      <c r="V609" s="460"/>
      <c r="W609" s="460"/>
      <c r="X609" s="460"/>
    </row>
    <row r="610" ht="15.75" customHeight="1">
      <c r="A610" s="460"/>
      <c r="B610" s="460"/>
      <c r="C610" s="460"/>
      <c r="D610" s="17"/>
      <c r="E610" s="9"/>
      <c r="F610" s="460"/>
      <c r="G610" s="460"/>
      <c r="H610" s="460"/>
      <c r="I610" s="460"/>
      <c r="J610" s="460"/>
      <c r="K610" s="460"/>
      <c r="L610" s="460"/>
      <c r="M610" s="460"/>
      <c r="N610" s="460"/>
      <c r="O610" s="460"/>
      <c r="P610" s="460"/>
      <c r="Q610" s="460"/>
      <c r="R610" s="460"/>
      <c r="S610" s="460"/>
      <c r="T610" s="460"/>
      <c r="U610" s="460"/>
      <c r="V610" s="460"/>
      <c r="W610" s="460"/>
      <c r="X610" s="460"/>
    </row>
    <row r="611" ht="15.75" customHeight="1">
      <c r="A611" s="460"/>
      <c r="B611" s="460"/>
      <c r="C611" s="460"/>
      <c r="D611" s="17"/>
      <c r="E611" s="9"/>
      <c r="F611" s="460"/>
      <c r="G611" s="460"/>
      <c r="H611" s="460"/>
      <c r="I611" s="460"/>
      <c r="J611" s="460"/>
      <c r="K611" s="460"/>
      <c r="L611" s="460"/>
      <c r="M611" s="460"/>
      <c r="N611" s="460"/>
      <c r="O611" s="460"/>
      <c r="P611" s="460"/>
      <c r="Q611" s="460"/>
      <c r="R611" s="460"/>
      <c r="S611" s="460"/>
      <c r="T611" s="460"/>
      <c r="U611" s="460"/>
      <c r="V611" s="460"/>
      <c r="W611" s="460"/>
      <c r="X611" s="460"/>
    </row>
    <row r="612" ht="15.75" customHeight="1">
      <c r="A612" s="460"/>
      <c r="B612" s="460"/>
      <c r="C612" s="460"/>
      <c r="D612" s="17"/>
      <c r="E612" s="9"/>
      <c r="F612" s="460"/>
      <c r="G612" s="460"/>
      <c r="H612" s="460"/>
      <c r="I612" s="460"/>
      <c r="J612" s="460"/>
      <c r="K612" s="460"/>
      <c r="L612" s="460"/>
      <c r="M612" s="460"/>
      <c r="N612" s="460"/>
      <c r="O612" s="460"/>
      <c r="P612" s="460"/>
      <c r="Q612" s="460"/>
      <c r="R612" s="460"/>
      <c r="S612" s="460"/>
      <c r="T612" s="460"/>
      <c r="U612" s="460"/>
      <c r="V612" s="460"/>
      <c r="W612" s="460"/>
      <c r="X612" s="460"/>
    </row>
    <row r="613" ht="15.75" customHeight="1">
      <c r="A613" s="460"/>
      <c r="B613" s="460"/>
      <c r="C613" s="460"/>
      <c r="D613" s="17"/>
      <c r="E613" s="9"/>
      <c r="F613" s="460"/>
      <c r="G613" s="460"/>
      <c r="H613" s="460"/>
      <c r="I613" s="460"/>
      <c r="J613" s="460"/>
      <c r="K613" s="460"/>
      <c r="L613" s="460"/>
      <c r="M613" s="460"/>
      <c r="N613" s="460"/>
      <c r="O613" s="460"/>
      <c r="P613" s="460"/>
      <c r="Q613" s="460"/>
      <c r="R613" s="460"/>
      <c r="S613" s="460"/>
      <c r="T613" s="460"/>
      <c r="U613" s="460"/>
      <c r="V613" s="460"/>
      <c r="W613" s="460"/>
      <c r="X613" s="460"/>
    </row>
    <row r="614" ht="15.75" customHeight="1">
      <c r="A614" s="460"/>
      <c r="B614" s="460"/>
      <c r="C614" s="460"/>
      <c r="D614" s="17"/>
      <c r="E614" s="9"/>
      <c r="F614" s="460"/>
      <c r="G614" s="460"/>
      <c r="H614" s="460"/>
      <c r="I614" s="460"/>
      <c r="J614" s="460"/>
      <c r="K614" s="460"/>
      <c r="L614" s="460"/>
      <c r="M614" s="460"/>
      <c r="N614" s="460"/>
      <c r="O614" s="460"/>
      <c r="P614" s="460"/>
      <c r="Q614" s="460"/>
      <c r="R614" s="460"/>
      <c r="S614" s="460"/>
      <c r="T614" s="460"/>
      <c r="U614" s="460"/>
      <c r="V614" s="460"/>
      <c r="W614" s="460"/>
      <c r="X614" s="460"/>
    </row>
    <row r="615" ht="15.75" customHeight="1">
      <c r="A615" s="460"/>
      <c r="B615" s="460"/>
      <c r="C615" s="460"/>
      <c r="D615" s="17"/>
      <c r="E615" s="9"/>
      <c r="F615" s="460"/>
      <c r="G615" s="460"/>
      <c r="H615" s="460"/>
      <c r="I615" s="460"/>
      <c r="J615" s="460"/>
      <c r="K615" s="460"/>
      <c r="L615" s="460"/>
      <c r="M615" s="460"/>
      <c r="N615" s="460"/>
      <c r="O615" s="460"/>
      <c r="P615" s="460"/>
      <c r="Q615" s="460"/>
      <c r="R615" s="460"/>
      <c r="S615" s="460"/>
      <c r="T615" s="460"/>
      <c r="U615" s="460"/>
      <c r="V615" s="460"/>
      <c r="W615" s="460"/>
      <c r="X615" s="460"/>
    </row>
    <row r="616" ht="15.75" customHeight="1">
      <c r="A616" s="460"/>
      <c r="B616" s="460"/>
      <c r="C616" s="460"/>
      <c r="D616" s="17"/>
      <c r="E616" s="9"/>
      <c r="F616" s="460"/>
      <c r="G616" s="460"/>
      <c r="H616" s="460"/>
      <c r="I616" s="460"/>
      <c r="J616" s="460"/>
      <c r="K616" s="460"/>
      <c r="L616" s="460"/>
      <c r="M616" s="460"/>
      <c r="N616" s="460"/>
      <c r="O616" s="460"/>
      <c r="P616" s="460"/>
      <c r="Q616" s="460"/>
      <c r="R616" s="460"/>
      <c r="S616" s="460"/>
      <c r="T616" s="460"/>
      <c r="U616" s="460"/>
      <c r="V616" s="460"/>
      <c r="W616" s="460"/>
      <c r="X616" s="460"/>
    </row>
    <row r="617" ht="15.75" customHeight="1">
      <c r="A617" s="460"/>
      <c r="B617" s="460"/>
      <c r="C617" s="460"/>
      <c r="D617" s="17"/>
      <c r="E617" s="9"/>
      <c r="F617" s="460"/>
      <c r="G617" s="460"/>
      <c r="H617" s="460"/>
      <c r="I617" s="460"/>
      <c r="J617" s="460"/>
      <c r="K617" s="460"/>
      <c r="L617" s="460"/>
      <c r="M617" s="460"/>
      <c r="N617" s="460"/>
      <c r="O617" s="460"/>
      <c r="P617" s="460"/>
      <c r="Q617" s="460"/>
      <c r="R617" s="460"/>
      <c r="S617" s="460"/>
      <c r="T617" s="460"/>
      <c r="U617" s="460"/>
      <c r="V617" s="460"/>
      <c r="W617" s="460"/>
      <c r="X617" s="460"/>
    </row>
    <row r="618" ht="15.75" customHeight="1">
      <c r="A618" s="460"/>
      <c r="B618" s="460"/>
      <c r="C618" s="460"/>
      <c r="D618" s="17"/>
      <c r="E618" s="9"/>
      <c r="F618" s="460"/>
      <c r="G618" s="460"/>
      <c r="H618" s="460"/>
      <c r="I618" s="460"/>
      <c r="J618" s="460"/>
      <c r="K618" s="460"/>
      <c r="L618" s="460"/>
      <c r="M618" s="460"/>
      <c r="N618" s="460"/>
      <c r="O618" s="460"/>
      <c r="P618" s="460"/>
      <c r="Q618" s="460"/>
      <c r="R618" s="460"/>
      <c r="S618" s="460"/>
      <c r="T618" s="460"/>
      <c r="U618" s="460"/>
      <c r="V618" s="460"/>
      <c r="W618" s="460"/>
      <c r="X618" s="460"/>
    </row>
    <row r="619" ht="15.75" customHeight="1">
      <c r="A619" s="460"/>
      <c r="B619" s="460"/>
      <c r="C619" s="460"/>
      <c r="D619" s="17"/>
      <c r="E619" s="9"/>
      <c r="F619" s="460"/>
      <c r="G619" s="460"/>
      <c r="H619" s="460"/>
      <c r="I619" s="460"/>
      <c r="J619" s="460"/>
      <c r="K619" s="460"/>
      <c r="L619" s="460"/>
      <c r="M619" s="460"/>
      <c r="N619" s="460"/>
      <c r="O619" s="460"/>
      <c r="P619" s="460"/>
      <c r="Q619" s="460"/>
      <c r="R619" s="460"/>
      <c r="S619" s="460"/>
      <c r="T619" s="460"/>
      <c r="U619" s="460"/>
      <c r="V619" s="460"/>
      <c r="W619" s="460"/>
      <c r="X619" s="460"/>
    </row>
    <row r="620" ht="15.75" customHeight="1">
      <c r="A620" s="460"/>
      <c r="B620" s="460"/>
      <c r="C620" s="460"/>
      <c r="D620" s="17"/>
      <c r="E620" s="9"/>
      <c r="F620" s="460"/>
      <c r="G620" s="460"/>
      <c r="H620" s="460"/>
      <c r="I620" s="460"/>
      <c r="J620" s="460"/>
      <c r="K620" s="460"/>
      <c r="L620" s="460"/>
      <c r="M620" s="460"/>
      <c r="N620" s="460"/>
      <c r="O620" s="460"/>
      <c r="P620" s="460"/>
      <c r="Q620" s="460"/>
      <c r="R620" s="460"/>
      <c r="S620" s="460"/>
      <c r="T620" s="460"/>
      <c r="U620" s="460"/>
      <c r="V620" s="460"/>
      <c r="W620" s="460"/>
      <c r="X620" s="460"/>
    </row>
    <row r="621" ht="15.75" customHeight="1">
      <c r="A621" s="460"/>
      <c r="B621" s="460"/>
      <c r="C621" s="460"/>
      <c r="D621" s="17"/>
      <c r="E621" s="9"/>
      <c r="F621" s="460"/>
      <c r="G621" s="460"/>
      <c r="H621" s="460"/>
      <c r="I621" s="460"/>
      <c r="J621" s="460"/>
      <c r="K621" s="460"/>
      <c r="L621" s="460"/>
      <c r="M621" s="460"/>
      <c r="N621" s="460"/>
      <c r="O621" s="460"/>
      <c r="P621" s="460"/>
      <c r="Q621" s="460"/>
      <c r="R621" s="460"/>
      <c r="S621" s="460"/>
      <c r="T621" s="460"/>
      <c r="U621" s="460"/>
      <c r="V621" s="460"/>
      <c r="W621" s="460"/>
      <c r="X621" s="460"/>
    </row>
    <row r="622" ht="15.75" customHeight="1">
      <c r="A622" s="460"/>
      <c r="B622" s="460"/>
      <c r="C622" s="460"/>
      <c r="D622" s="17"/>
      <c r="E622" s="9"/>
      <c r="F622" s="460"/>
      <c r="G622" s="460"/>
      <c r="H622" s="460"/>
      <c r="I622" s="460"/>
      <c r="J622" s="460"/>
      <c r="K622" s="460"/>
      <c r="L622" s="460"/>
      <c r="M622" s="460"/>
      <c r="N622" s="460"/>
      <c r="O622" s="460"/>
      <c r="P622" s="460"/>
      <c r="Q622" s="460"/>
      <c r="R622" s="460"/>
      <c r="S622" s="460"/>
      <c r="T622" s="460"/>
      <c r="U622" s="460"/>
      <c r="V622" s="460"/>
      <c r="W622" s="460"/>
      <c r="X622" s="460"/>
    </row>
    <row r="623" ht="15.75" customHeight="1">
      <c r="A623" s="460"/>
      <c r="B623" s="460"/>
      <c r="C623" s="460"/>
      <c r="D623" s="17"/>
      <c r="E623" s="9"/>
      <c r="F623" s="460"/>
      <c r="G623" s="460"/>
      <c r="H623" s="460"/>
      <c r="I623" s="460"/>
      <c r="J623" s="460"/>
      <c r="K623" s="460"/>
      <c r="L623" s="460"/>
      <c r="M623" s="460"/>
      <c r="N623" s="460"/>
      <c r="O623" s="460"/>
      <c r="P623" s="460"/>
      <c r="Q623" s="460"/>
      <c r="R623" s="460"/>
      <c r="S623" s="460"/>
      <c r="T623" s="460"/>
      <c r="U623" s="460"/>
      <c r="V623" s="460"/>
      <c r="W623" s="460"/>
      <c r="X623" s="460"/>
    </row>
    <row r="624" ht="15.75" customHeight="1">
      <c r="A624" s="460"/>
      <c r="B624" s="460"/>
      <c r="C624" s="460"/>
      <c r="D624" s="17"/>
      <c r="E624" s="9"/>
      <c r="F624" s="460"/>
      <c r="G624" s="460"/>
      <c r="H624" s="460"/>
      <c r="I624" s="460"/>
      <c r="J624" s="460"/>
      <c r="K624" s="460"/>
      <c r="L624" s="460"/>
      <c r="M624" s="460"/>
      <c r="N624" s="460"/>
      <c r="O624" s="460"/>
      <c r="P624" s="460"/>
      <c r="Q624" s="460"/>
      <c r="R624" s="460"/>
      <c r="S624" s="460"/>
      <c r="T624" s="460"/>
      <c r="U624" s="460"/>
      <c r="V624" s="460"/>
      <c r="W624" s="460"/>
      <c r="X624" s="460"/>
    </row>
    <row r="625" ht="15.75" customHeight="1">
      <c r="A625" s="460"/>
      <c r="B625" s="460"/>
      <c r="C625" s="460"/>
      <c r="D625" s="17"/>
      <c r="E625" s="9"/>
      <c r="F625" s="460"/>
      <c r="G625" s="460"/>
      <c r="H625" s="460"/>
      <c r="I625" s="460"/>
      <c r="J625" s="460"/>
      <c r="K625" s="460"/>
      <c r="L625" s="460"/>
      <c r="M625" s="460"/>
      <c r="N625" s="460"/>
      <c r="O625" s="460"/>
      <c r="P625" s="460"/>
      <c r="Q625" s="460"/>
      <c r="R625" s="460"/>
      <c r="S625" s="460"/>
      <c r="T625" s="460"/>
      <c r="U625" s="460"/>
      <c r="V625" s="460"/>
      <c r="W625" s="460"/>
      <c r="X625" s="460"/>
    </row>
    <row r="626" ht="15.75" customHeight="1">
      <c r="A626" s="460"/>
      <c r="B626" s="460"/>
      <c r="C626" s="460"/>
      <c r="D626" s="17"/>
      <c r="E626" s="9"/>
      <c r="F626" s="460"/>
      <c r="G626" s="460"/>
      <c r="H626" s="460"/>
      <c r="I626" s="460"/>
      <c r="J626" s="460"/>
      <c r="K626" s="460"/>
      <c r="L626" s="460"/>
      <c r="M626" s="460"/>
      <c r="N626" s="460"/>
      <c r="O626" s="460"/>
      <c r="P626" s="460"/>
      <c r="Q626" s="460"/>
      <c r="R626" s="460"/>
      <c r="S626" s="460"/>
      <c r="T626" s="460"/>
      <c r="U626" s="460"/>
      <c r="V626" s="460"/>
      <c r="W626" s="460"/>
      <c r="X626" s="460"/>
    </row>
    <row r="627" ht="15.75" customHeight="1">
      <c r="A627" s="460"/>
      <c r="B627" s="460"/>
      <c r="C627" s="460"/>
      <c r="D627" s="17"/>
      <c r="E627" s="9"/>
      <c r="F627" s="460"/>
      <c r="G627" s="460"/>
      <c r="H627" s="460"/>
      <c r="I627" s="460"/>
      <c r="J627" s="460"/>
      <c r="K627" s="460"/>
      <c r="L627" s="460"/>
      <c r="M627" s="460"/>
      <c r="N627" s="460"/>
      <c r="O627" s="460"/>
      <c r="P627" s="460"/>
      <c r="Q627" s="460"/>
      <c r="R627" s="460"/>
      <c r="S627" s="460"/>
      <c r="T627" s="460"/>
      <c r="U627" s="460"/>
      <c r="V627" s="460"/>
      <c r="W627" s="460"/>
      <c r="X627" s="460"/>
    </row>
    <row r="628" ht="15.75" customHeight="1">
      <c r="A628" s="460"/>
      <c r="B628" s="460"/>
      <c r="C628" s="460"/>
      <c r="D628" s="17"/>
      <c r="E628" s="9"/>
      <c r="F628" s="460"/>
      <c r="G628" s="460"/>
      <c r="H628" s="460"/>
      <c r="I628" s="460"/>
      <c r="J628" s="460"/>
      <c r="K628" s="460"/>
      <c r="L628" s="460"/>
      <c r="M628" s="460"/>
      <c r="N628" s="460"/>
      <c r="O628" s="460"/>
      <c r="P628" s="460"/>
      <c r="Q628" s="460"/>
      <c r="R628" s="460"/>
      <c r="S628" s="460"/>
      <c r="T628" s="460"/>
      <c r="U628" s="460"/>
      <c r="V628" s="460"/>
      <c r="W628" s="460"/>
      <c r="X628" s="460"/>
    </row>
    <row r="629" ht="15.75" customHeight="1">
      <c r="A629" s="460"/>
      <c r="B629" s="460"/>
      <c r="C629" s="460"/>
      <c r="D629" s="17"/>
      <c r="E629" s="9"/>
      <c r="F629" s="460"/>
      <c r="G629" s="460"/>
      <c r="H629" s="460"/>
      <c r="I629" s="460"/>
      <c r="J629" s="460"/>
      <c r="K629" s="460"/>
      <c r="L629" s="460"/>
      <c r="M629" s="460"/>
      <c r="N629" s="460"/>
      <c r="O629" s="460"/>
      <c r="P629" s="460"/>
      <c r="Q629" s="460"/>
      <c r="R629" s="460"/>
      <c r="S629" s="460"/>
      <c r="T629" s="460"/>
      <c r="U629" s="460"/>
      <c r="V629" s="460"/>
      <c r="W629" s="460"/>
      <c r="X629" s="460"/>
    </row>
    <row r="630" ht="15.75" customHeight="1">
      <c r="A630" s="460"/>
      <c r="B630" s="460"/>
      <c r="C630" s="460"/>
      <c r="D630" s="17"/>
      <c r="E630" s="9"/>
      <c r="F630" s="460"/>
      <c r="G630" s="460"/>
      <c r="H630" s="460"/>
      <c r="I630" s="460"/>
      <c r="J630" s="460"/>
      <c r="K630" s="460"/>
      <c r="L630" s="460"/>
      <c r="M630" s="460"/>
      <c r="N630" s="460"/>
      <c r="O630" s="460"/>
      <c r="P630" s="460"/>
      <c r="Q630" s="460"/>
      <c r="R630" s="460"/>
      <c r="S630" s="460"/>
      <c r="T630" s="460"/>
      <c r="U630" s="460"/>
      <c r="V630" s="460"/>
      <c r="W630" s="460"/>
      <c r="X630" s="460"/>
    </row>
    <row r="631" ht="15.75" customHeight="1">
      <c r="A631" s="460"/>
      <c r="B631" s="460"/>
      <c r="C631" s="460"/>
      <c r="D631" s="17"/>
      <c r="E631" s="9"/>
      <c r="F631" s="460"/>
      <c r="G631" s="460"/>
      <c r="H631" s="460"/>
      <c r="I631" s="460"/>
      <c r="J631" s="460"/>
      <c r="K631" s="460"/>
      <c r="L631" s="460"/>
      <c r="M631" s="460"/>
      <c r="N631" s="460"/>
      <c r="O631" s="460"/>
      <c r="P631" s="460"/>
      <c r="Q631" s="460"/>
      <c r="R631" s="460"/>
      <c r="S631" s="460"/>
      <c r="T631" s="460"/>
      <c r="U631" s="460"/>
      <c r="V631" s="460"/>
      <c r="W631" s="460"/>
      <c r="X631" s="460"/>
    </row>
    <row r="632" ht="15.75" customHeight="1">
      <c r="A632" s="460"/>
      <c r="B632" s="460"/>
      <c r="C632" s="460"/>
      <c r="D632" s="17"/>
      <c r="E632" s="9"/>
      <c r="F632" s="460"/>
      <c r="G632" s="460"/>
      <c r="H632" s="460"/>
      <c r="I632" s="460"/>
      <c r="J632" s="460"/>
      <c r="K632" s="460"/>
      <c r="L632" s="460"/>
      <c r="M632" s="460"/>
      <c r="N632" s="460"/>
      <c r="O632" s="460"/>
      <c r="P632" s="460"/>
      <c r="Q632" s="460"/>
      <c r="R632" s="460"/>
      <c r="S632" s="460"/>
      <c r="T632" s="460"/>
      <c r="U632" s="460"/>
      <c r="V632" s="460"/>
      <c r="W632" s="460"/>
      <c r="X632" s="460"/>
    </row>
    <row r="633" ht="15.75" customHeight="1">
      <c r="A633" s="460"/>
      <c r="B633" s="460"/>
      <c r="C633" s="460"/>
      <c r="D633" s="17"/>
      <c r="E633" s="9"/>
      <c r="F633" s="460"/>
      <c r="G633" s="460"/>
      <c r="H633" s="460"/>
      <c r="I633" s="460"/>
      <c r="J633" s="460"/>
      <c r="K633" s="460"/>
      <c r="L633" s="460"/>
      <c r="M633" s="460"/>
      <c r="N633" s="460"/>
      <c r="O633" s="460"/>
      <c r="P633" s="460"/>
      <c r="Q633" s="460"/>
      <c r="R633" s="460"/>
      <c r="S633" s="460"/>
      <c r="T633" s="460"/>
      <c r="U633" s="460"/>
      <c r="V633" s="460"/>
      <c r="W633" s="460"/>
      <c r="X633" s="460"/>
    </row>
    <row r="634" ht="15.75" customHeight="1">
      <c r="A634" s="460"/>
      <c r="B634" s="460"/>
      <c r="C634" s="460"/>
      <c r="D634" s="17"/>
      <c r="E634" s="9"/>
      <c r="F634" s="460"/>
      <c r="G634" s="460"/>
      <c r="H634" s="460"/>
      <c r="I634" s="460"/>
      <c r="J634" s="460"/>
      <c r="K634" s="460"/>
      <c r="L634" s="460"/>
      <c r="M634" s="460"/>
      <c r="N634" s="460"/>
      <c r="O634" s="460"/>
      <c r="P634" s="460"/>
      <c r="Q634" s="460"/>
      <c r="R634" s="460"/>
      <c r="S634" s="460"/>
      <c r="T634" s="460"/>
      <c r="U634" s="460"/>
      <c r="V634" s="460"/>
      <c r="W634" s="460"/>
      <c r="X634" s="460"/>
    </row>
    <row r="635" ht="15.75" customHeight="1">
      <c r="A635" s="460"/>
      <c r="B635" s="460"/>
      <c r="C635" s="460"/>
      <c r="D635" s="17"/>
      <c r="E635" s="9"/>
      <c r="F635" s="460"/>
      <c r="G635" s="460"/>
      <c r="H635" s="460"/>
      <c r="I635" s="460"/>
      <c r="J635" s="460"/>
      <c r="K635" s="460"/>
      <c r="L635" s="460"/>
      <c r="M635" s="460"/>
      <c r="N635" s="460"/>
      <c r="O635" s="460"/>
      <c r="P635" s="460"/>
      <c r="Q635" s="460"/>
      <c r="R635" s="460"/>
      <c r="S635" s="460"/>
      <c r="T635" s="460"/>
      <c r="U635" s="460"/>
      <c r="V635" s="460"/>
      <c r="W635" s="460"/>
      <c r="X635" s="460"/>
    </row>
    <row r="636" ht="15.75" customHeight="1">
      <c r="A636" s="460"/>
      <c r="B636" s="460"/>
      <c r="C636" s="460"/>
      <c r="D636" s="17"/>
      <c r="E636" s="9"/>
      <c r="F636" s="460"/>
      <c r="G636" s="460"/>
      <c r="H636" s="460"/>
      <c r="I636" s="460"/>
      <c r="J636" s="460"/>
      <c r="K636" s="460"/>
      <c r="L636" s="460"/>
      <c r="M636" s="460"/>
      <c r="N636" s="460"/>
      <c r="O636" s="460"/>
      <c r="P636" s="460"/>
      <c r="Q636" s="460"/>
      <c r="R636" s="460"/>
      <c r="S636" s="460"/>
      <c r="T636" s="460"/>
      <c r="U636" s="460"/>
      <c r="V636" s="460"/>
      <c r="W636" s="460"/>
      <c r="X636" s="460"/>
    </row>
    <row r="637" ht="15.75" customHeight="1">
      <c r="A637" s="460"/>
      <c r="B637" s="460"/>
      <c r="C637" s="460"/>
      <c r="D637" s="17"/>
      <c r="E637" s="9"/>
      <c r="F637" s="460"/>
      <c r="G637" s="460"/>
      <c r="H637" s="460"/>
      <c r="I637" s="460"/>
      <c r="J637" s="460"/>
      <c r="K637" s="460"/>
      <c r="L637" s="460"/>
      <c r="M637" s="460"/>
      <c r="N637" s="460"/>
      <c r="O637" s="460"/>
      <c r="P637" s="460"/>
      <c r="Q637" s="460"/>
      <c r="R637" s="460"/>
      <c r="S637" s="460"/>
      <c r="T637" s="460"/>
      <c r="U637" s="460"/>
      <c r="V637" s="460"/>
      <c r="W637" s="460"/>
      <c r="X637" s="460"/>
    </row>
    <row r="638" ht="15.75" customHeight="1">
      <c r="A638" s="460"/>
      <c r="B638" s="460"/>
      <c r="C638" s="460"/>
      <c r="D638" s="17"/>
      <c r="E638" s="9"/>
      <c r="F638" s="460"/>
      <c r="G638" s="460"/>
      <c r="H638" s="460"/>
      <c r="I638" s="460"/>
      <c r="J638" s="460"/>
      <c r="K638" s="460"/>
      <c r="L638" s="460"/>
      <c r="M638" s="460"/>
      <c r="N638" s="460"/>
      <c r="O638" s="460"/>
      <c r="P638" s="460"/>
      <c r="Q638" s="460"/>
      <c r="R638" s="460"/>
      <c r="S638" s="460"/>
      <c r="T638" s="460"/>
      <c r="U638" s="460"/>
      <c r="V638" s="460"/>
      <c r="W638" s="460"/>
      <c r="X638" s="460"/>
    </row>
    <row r="639" ht="15.75" customHeight="1">
      <c r="A639" s="460"/>
      <c r="B639" s="460"/>
      <c r="C639" s="460"/>
      <c r="D639" s="17"/>
      <c r="E639" s="9"/>
      <c r="F639" s="460"/>
      <c r="G639" s="460"/>
      <c r="H639" s="460"/>
      <c r="I639" s="460"/>
      <c r="J639" s="460"/>
      <c r="K639" s="460"/>
      <c r="L639" s="460"/>
      <c r="M639" s="460"/>
      <c r="N639" s="460"/>
      <c r="O639" s="460"/>
      <c r="P639" s="460"/>
      <c r="Q639" s="460"/>
      <c r="R639" s="460"/>
      <c r="S639" s="460"/>
      <c r="T639" s="460"/>
      <c r="U639" s="460"/>
      <c r="V639" s="460"/>
      <c r="W639" s="460"/>
      <c r="X639" s="460"/>
    </row>
    <row r="640" ht="15.75" customHeight="1">
      <c r="A640" s="460"/>
      <c r="B640" s="460"/>
      <c r="C640" s="460"/>
      <c r="D640" s="17"/>
      <c r="E640" s="9"/>
      <c r="F640" s="460"/>
      <c r="G640" s="460"/>
      <c r="H640" s="460"/>
      <c r="I640" s="460"/>
      <c r="J640" s="460"/>
      <c r="K640" s="460"/>
      <c r="L640" s="460"/>
      <c r="M640" s="460"/>
      <c r="N640" s="460"/>
      <c r="O640" s="460"/>
      <c r="P640" s="460"/>
      <c r="Q640" s="460"/>
      <c r="R640" s="460"/>
      <c r="S640" s="460"/>
      <c r="T640" s="460"/>
      <c r="U640" s="460"/>
      <c r="V640" s="460"/>
      <c r="W640" s="460"/>
      <c r="X640" s="460"/>
    </row>
    <row r="641" ht="15.75" customHeight="1">
      <c r="A641" s="460"/>
      <c r="B641" s="460"/>
      <c r="C641" s="460"/>
      <c r="D641" s="17"/>
      <c r="E641" s="9"/>
      <c r="F641" s="460"/>
      <c r="G641" s="460"/>
      <c r="H641" s="460"/>
      <c r="I641" s="460"/>
      <c r="J641" s="460"/>
      <c r="K641" s="460"/>
      <c r="L641" s="460"/>
      <c r="M641" s="460"/>
      <c r="N641" s="460"/>
      <c r="O641" s="460"/>
      <c r="P641" s="460"/>
      <c r="Q641" s="460"/>
      <c r="R641" s="460"/>
      <c r="S641" s="460"/>
      <c r="T641" s="460"/>
      <c r="U641" s="460"/>
      <c r="V641" s="460"/>
      <c r="W641" s="460"/>
      <c r="X641" s="460"/>
    </row>
    <row r="642" ht="15.75" customHeight="1">
      <c r="A642" s="460"/>
      <c r="B642" s="460"/>
      <c r="C642" s="460"/>
      <c r="D642" s="17"/>
      <c r="E642" s="9"/>
      <c r="F642" s="460"/>
      <c r="G642" s="460"/>
      <c r="H642" s="460"/>
      <c r="I642" s="460"/>
      <c r="J642" s="460"/>
      <c r="K642" s="460"/>
      <c r="L642" s="460"/>
      <c r="M642" s="460"/>
      <c r="N642" s="460"/>
      <c r="O642" s="460"/>
      <c r="P642" s="460"/>
      <c r="Q642" s="460"/>
      <c r="R642" s="460"/>
      <c r="S642" s="460"/>
      <c r="T642" s="460"/>
      <c r="U642" s="460"/>
      <c r="V642" s="460"/>
      <c r="W642" s="460"/>
      <c r="X642" s="460"/>
    </row>
    <row r="643" ht="15.75" customHeight="1">
      <c r="A643" s="460"/>
      <c r="B643" s="460"/>
      <c r="C643" s="460"/>
      <c r="D643" s="17"/>
      <c r="E643" s="9"/>
      <c r="F643" s="460"/>
      <c r="G643" s="460"/>
      <c r="H643" s="460"/>
      <c r="I643" s="460"/>
      <c r="J643" s="460"/>
      <c r="K643" s="460"/>
      <c r="L643" s="460"/>
      <c r="M643" s="460"/>
      <c r="N643" s="460"/>
      <c r="O643" s="460"/>
      <c r="P643" s="460"/>
      <c r="Q643" s="460"/>
      <c r="R643" s="460"/>
      <c r="S643" s="460"/>
      <c r="T643" s="460"/>
      <c r="U643" s="460"/>
      <c r="V643" s="460"/>
      <c r="W643" s="460"/>
      <c r="X643" s="460"/>
    </row>
    <row r="644" ht="15.75" customHeight="1">
      <c r="A644" s="460"/>
      <c r="B644" s="460"/>
      <c r="C644" s="460"/>
      <c r="D644" s="17"/>
      <c r="E644" s="9"/>
      <c r="F644" s="460"/>
      <c r="G644" s="460"/>
      <c r="H644" s="460"/>
      <c r="I644" s="460"/>
      <c r="J644" s="460"/>
      <c r="K644" s="460"/>
      <c r="L644" s="460"/>
      <c r="M644" s="460"/>
      <c r="N644" s="460"/>
      <c r="O644" s="460"/>
      <c r="P644" s="460"/>
      <c r="Q644" s="460"/>
      <c r="R644" s="460"/>
      <c r="S644" s="460"/>
      <c r="T644" s="460"/>
      <c r="U644" s="460"/>
      <c r="V644" s="460"/>
      <c r="W644" s="460"/>
      <c r="X644" s="460"/>
    </row>
    <row r="645" ht="15.75" customHeight="1">
      <c r="A645" s="460"/>
      <c r="B645" s="460"/>
      <c r="C645" s="460"/>
      <c r="D645" s="17"/>
      <c r="E645" s="9"/>
      <c r="F645" s="460"/>
      <c r="G645" s="460"/>
      <c r="H645" s="460"/>
      <c r="I645" s="460"/>
      <c r="J645" s="460"/>
      <c r="K645" s="460"/>
      <c r="L645" s="460"/>
      <c r="M645" s="460"/>
      <c r="N645" s="460"/>
      <c r="O645" s="460"/>
      <c r="P645" s="460"/>
      <c r="Q645" s="460"/>
      <c r="R645" s="460"/>
      <c r="S645" s="460"/>
      <c r="T645" s="460"/>
      <c r="U645" s="460"/>
      <c r="V645" s="460"/>
      <c r="W645" s="460"/>
      <c r="X645" s="460"/>
    </row>
    <row r="646" ht="15.75" customHeight="1">
      <c r="A646" s="460"/>
      <c r="B646" s="460"/>
      <c r="C646" s="460"/>
      <c r="D646" s="17"/>
      <c r="E646" s="9"/>
      <c r="F646" s="460"/>
      <c r="G646" s="460"/>
      <c r="H646" s="460"/>
      <c r="I646" s="460"/>
      <c r="J646" s="460"/>
      <c r="K646" s="460"/>
      <c r="L646" s="460"/>
      <c r="M646" s="460"/>
      <c r="N646" s="460"/>
      <c r="O646" s="460"/>
      <c r="P646" s="460"/>
      <c r="Q646" s="460"/>
      <c r="R646" s="460"/>
      <c r="S646" s="460"/>
      <c r="T646" s="460"/>
      <c r="U646" s="460"/>
      <c r="V646" s="460"/>
      <c r="W646" s="460"/>
      <c r="X646" s="460"/>
    </row>
    <row r="647" ht="15.75" customHeight="1">
      <c r="A647" s="460"/>
      <c r="B647" s="460"/>
      <c r="C647" s="460"/>
      <c r="D647" s="17"/>
      <c r="E647" s="9"/>
      <c r="F647" s="460"/>
      <c r="G647" s="460"/>
      <c r="H647" s="460"/>
      <c r="I647" s="460"/>
      <c r="J647" s="460"/>
      <c r="K647" s="460"/>
      <c r="L647" s="460"/>
      <c r="M647" s="460"/>
      <c r="N647" s="460"/>
      <c r="O647" s="460"/>
      <c r="P647" s="460"/>
      <c r="Q647" s="460"/>
      <c r="R647" s="460"/>
      <c r="S647" s="460"/>
      <c r="T647" s="460"/>
      <c r="U647" s="460"/>
      <c r="V647" s="460"/>
      <c r="W647" s="460"/>
      <c r="X647" s="460"/>
    </row>
    <row r="648" ht="15.75" customHeight="1">
      <c r="A648" s="460"/>
      <c r="B648" s="460"/>
      <c r="C648" s="460"/>
      <c r="D648" s="17"/>
      <c r="E648" s="9"/>
      <c r="F648" s="460"/>
      <c r="G648" s="460"/>
      <c r="H648" s="460"/>
      <c r="I648" s="460"/>
      <c r="J648" s="460"/>
      <c r="K648" s="460"/>
      <c r="L648" s="460"/>
      <c r="M648" s="460"/>
      <c r="N648" s="460"/>
      <c r="O648" s="460"/>
      <c r="P648" s="460"/>
      <c r="Q648" s="460"/>
      <c r="R648" s="460"/>
      <c r="S648" s="460"/>
      <c r="T648" s="460"/>
      <c r="U648" s="460"/>
      <c r="V648" s="460"/>
      <c r="W648" s="460"/>
      <c r="X648" s="460"/>
    </row>
    <row r="649" ht="15.75" customHeight="1">
      <c r="A649" s="460"/>
      <c r="B649" s="460"/>
      <c r="C649" s="460"/>
      <c r="D649" s="17"/>
      <c r="E649" s="9"/>
      <c r="F649" s="460"/>
      <c r="G649" s="460"/>
      <c r="H649" s="460"/>
      <c r="I649" s="460"/>
      <c r="J649" s="460"/>
      <c r="K649" s="460"/>
      <c r="L649" s="460"/>
      <c r="M649" s="460"/>
      <c r="N649" s="460"/>
      <c r="O649" s="460"/>
      <c r="P649" s="460"/>
      <c r="Q649" s="460"/>
      <c r="R649" s="460"/>
      <c r="S649" s="460"/>
      <c r="T649" s="460"/>
      <c r="U649" s="460"/>
      <c r="V649" s="460"/>
      <c r="W649" s="460"/>
      <c r="X649" s="460"/>
    </row>
    <row r="650" ht="15.75" customHeight="1">
      <c r="A650" s="460"/>
      <c r="B650" s="460"/>
      <c r="C650" s="460"/>
      <c r="D650" s="17"/>
      <c r="E650" s="9"/>
      <c r="F650" s="460"/>
      <c r="G650" s="460"/>
      <c r="H650" s="460"/>
      <c r="I650" s="460"/>
      <c r="J650" s="460"/>
      <c r="K650" s="460"/>
      <c r="L650" s="460"/>
      <c r="M650" s="460"/>
      <c r="N650" s="460"/>
      <c r="O650" s="460"/>
      <c r="P650" s="460"/>
      <c r="Q650" s="460"/>
      <c r="R650" s="460"/>
      <c r="S650" s="460"/>
      <c r="T650" s="460"/>
      <c r="U650" s="460"/>
      <c r="V650" s="460"/>
      <c r="W650" s="460"/>
      <c r="X650" s="460"/>
    </row>
    <row r="651" ht="15.75" customHeight="1">
      <c r="A651" s="460"/>
      <c r="B651" s="460"/>
      <c r="C651" s="460"/>
      <c r="D651" s="17"/>
      <c r="E651" s="9"/>
      <c r="F651" s="460"/>
      <c r="G651" s="460"/>
      <c r="H651" s="460"/>
      <c r="I651" s="460"/>
      <c r="J651" s="460"/>
      <c r="K651" s="460"/>
      <c r="L651" s="460"/>
      <c r="M651" s="460"/>
      <c r="N651" s="460"/>
      <c r="O651" s="460"/>
      <c r="P651" s="460"/>
      <c r="Q651" s="460"/>
      <c r="R651" s="460"/>
      <c r="S651" s="460"/>
      <c r="T651" s="460"/>
      <c r="U651" s="460"/>
      <c r="V651" s="460"/>
      <c r="W651" s="460"/>
      <c r="X651" s="460"/>
    </row>
    <row r="652" ht="15.75" customHeight="1">
      <c r="A652" s="460"/>
      <c r="B652" s="460"/>
      <c r="C652" s="460"/>
      <c r="D652" s="17"/>
      <c r="E652" s="9"/>
      <c r="F652" s="460"/>
      <c r="G652" s="460"/>
      <c r="H652" s="460"/>
      <c r="I652" s="460"/>
      <c r="J652" s="460"/>
      <c r="K652" s="460"/>
      <c r="L652" s="460"/>
      <c r="M652" s="460"/>
      <c r="N652" s="460"/>
      <c r="O652" s="460"/>
      <c r="P652" s="460"/>
      <c r="Q652" s="460"/>
      <c r="R652" s="460"/>
      <c r="S652" s="460"/>
      <c r="T652" s="460"/>
      <c r="U652" s="460"/>
      <c r="V652" s="460"/>
      <c r="W652" s="460"/>
      <c r="X652" s="460"/>
    </row>
    <row r="653" ht="15.75" customHeight="1">
      <c r="A653" s="460"/>
      <c r="B653" s="460"/>
      <c r="C653" s="460"/>
      <c r="D653" s="17"/>
      <c r="E653" s="9"/>
      <c r="F653" s="460"/>
      <c r="G653" s="460"/>
      <c r="H653" s="460"/>
      <c r="I653" s="460"/>
      <c r="J653" s="460"/>
      <c r="K653" s="460"/>
      <c r="L653" s="460"/>
      <c r="M653" s="460"/>
      <c r="N653" s="460"/>
      <c r="O653" s="460"/>
      <c r="P653" s="460"/>
      <c r="Q653" s="460"/>
      <c r="R653" s="460"/>
      <c r="S653" s="460"/>
      <c r="T653" s="460"/>
      <c r="U653" s="460"/>
      <c r="V653" s="460"/>
      <c r="W653" s="460"/>
      <c r="X653" s="460"/>
    </row>
    <row r="654" ht="15.75" customHeight="1">
      <c r="A654" s="460"/>
      <c r="B654" s="460"/>
      <c r="C654" s="460"/>
      <c r="D654" s="17"/>
      <c r="E654" s="9"/>
      <c r="F654" s="460"/>
      <c r="G654" s="460"/>
      <c r="H654" s="460"/>
      <c r="I654" s="460"/>
      <c r="J654" s="460"/>
      <c r="K654" s="460"/>
      <c r="L654" s="460"/>
      <c r="M654" s="460"/>
      <c r="N654" s="460"/>
      <c r="O654" s="460"/>
      <c r="P654" s="460"/>
      <c r="Q654" s="460"/>
      <c r="R654" s="460"/>
      <c r="S654" s="460"/>
      <c r="T654" s="460"/>
      <c r="U654" s="460"/>
      <c r="V654" s="460"/>
      <c r="W654" s="460"/>
      <c r="X654" s="460"/>
    </row>
    <row r="655" ht="15.75" customHeight="1">
      <c r="A655" s="460"/>
      <c r="B655" s="460"/>
      <c r="C655" s="460"/>
      <c r="D655" s="17"/>
      <c r="E655" s="9"/>
      <c r="F655" s="460"/>
      <c r="G655" s="460"/>
      <c r="H655" s="460"/>
      <c r="I655" s="460"/>
      <c r="J655" s="460"/>
      <c r="K655" s="460"/>
      <c r="L655" s="460"/>
      <c r="M655" s="460"/>
      <c r="N655" s="460"/>
      <c r="O655" s="460"/>
      <c r="P655" s="460"/>
      <c r="Q655" s="460"/>
      <c r="R655" s="460"/>
      <c r="S655" s="460"/>
      <c r="T655" s="460"/>
      <c r="U655" s="460"/>
      <c r="V655" s="460"/>
      <c r="W655" s="460"/>
      <c r="X655" s="460"/>
    </row>
    <row r="656" ht="15.75" customHeight="1">
      <c r="A656" s="460"/>
      <c r="B656" s="460"/>
      <c r="C656" s="460"/>
      <c r="D656" s="17"/>
      <c r="E656" s="9"/>
      <c r="F656" s="460"/>
      <c r="G656" s="460"/>
      <c r="H656" s="460"/>
      <c r="I656" s="460"/>
      <c r="J656" s="460"/>
      <c r="K656" s="460"/>
      <c r="L656" s="460"/>
      <c r="M656" s="460"/>
      <c r="N656" s="460"/>
      <c r="O656" s="460"/>
      <c r="P656" s="460"/>
      <c r="Q656" s="460"/>
      <c r="R656" s="460"/>
      <c r="S656" s="460"/>
      <c r="T656" s="460"/>
      <c r="U656" s="460"/>
      <c r="V656" s="460"/>
      <c r="W656" s="460"/>
      <c r="X656" s="460"/>
    </row>
    <row r="657" ht="15.75" customHeight="1">
      <c r="A657" s="460"/>
      <c r="B657" s="460"/>
      <c r="C657" s="460"/>
      <c r="D657" s="17"/>
      <c r="E657" s="9"/>
      <c r="F657" s="460"/>
      <c r="G657" s="460"/>
      <c r="H657" s="460"/>
      <c r="I657" s="460"/>
      <c r="J657" s="460"/>
      <c r="K657" s="460"/>
      <c r="L657" s="460"/>
      <c r="M657" s="460"/>
      <c r="N657" s="460"/>
      <c r="O657" s="460"/>
      <c r="P657" s="460"/>
      <c r="Q657" s="460"/>
      <c r="R657" s="460"/>
      <c r="S657" s="460"/>
      <c r="T657" s="460"/>
      <c r="U657" s="460"/>
      <c r="V657" s="460"/>
      <c r="W657" s="460"/>
      <c r="X657" s="460"/>
    </row>
    <row r="658" ht="15.75" customHeight="1">
      <c r="A658" s="460"/>
      <c r="B658" s="460"/>
      <c r="C658" s="460"/>
      <c r="D658" s="17"/>
      <c r="E658" s="9"/>
      <c r="F658" s="460"/>
      <c r="G658" s="460"/>
      <c r="H658" s="460"/>
      <c r="I658" s="460"/>
      <c r="J658" s="460"/>
      <c r="K658" s="460"/>
      <c r="L658" s="460"/>
      <c r="M658" s="460"/>
      <c r="N658" s="460"/>
      <c r="O658" s="460"/>
      <c r="P658" s="460"/>
      <c r="Q658" s="460"/>
      <c r="R658" s="460"/>
      <c r="S658" s="460"/>
      <c r="T658" s="460"/>
      <c r="U658" s="460"/>
      <c r="V658" s="460"/>
      <c r="W658" s="460"/>
      <c r="X658" s="460"/>
    </row>
    <row r="659" ht="15.75" customHeight="1">
      <c r="A659" s="460"/>
      <c r="B659" s="460"/>
      <c r="C659" s="460"/>
      <c r="D659" s="17"/>
      <c r="E659" s="9"/>
      <c r="F659" s="460"/>
      <c r="G659" s="460"/>
      <c r="H659" s="460"/>
      <c r="I659" s="460"/>
      <c r="J659" s="460"/>
      <c r="K659" s="460"/>
      <c r="L659" s="460"/>
      <c r="M659" s="460"/>
      <c r="N659" s="460"/>
      <c r="O659" s="460"/>
      <c r="P659" s="460"/>
      <c r="Q659" s="460"/>
      <c r="R659" s="460"/>
      <c r="S659" s="460"/>
      <c r="T659" s="460"/>
      <c r="U659" s="460"/>
      <c r="V659" s="460"/>
      <c r="W659" s="460"/>
      <c r="X659" s="460"/>
    </row>
    <row r="660" ht="15.75" customHeight="1">
      <c r="A660" s="460"/>
      <c r="B660" s="460"/>
      <c r="C660" s="460"/>
      <c r="D660" s="17"/>
      <c r="E660" s="9"/>
      <c r="F660" s="460"/>
      <c r="G660" s="460"/>
      <c r="H660" s="460"/>
      <c r="I660" s="460"/>
      <c r="J660" s="460"/>
      <c r="K660" s="460"/>
      <c r="L660" s="460"/>
      <c r="M660" s="460"/>
      <c r="N660" s="460"/>
      <c r="O660" s="460"/>
      <c r="P660" s="460"/>
      <c r="Q660" s="460"/>
      <c r="R660" s="460"/>
      <c r="S660" s="460"/>
      <c r="T660" s="460"/>
      <c r="U660" s="460"/>
      <c r="V660" s="460"/>
      <c r="W660" s="460"/>
      <c r="X660" s="460"/>
    </row>
    <row r="661" ht="15.75" customHeight="1">
      <c r="A661" s="460"/>
      <c r="B661" s="460"/>
      <c r="C661" s="460"/>
      <c r="D661" s="17"/>
      <c r="E661" s="9"/>
      <c r="F661" s="460"/>
      <c r="G661" s="460"/>
      <c r="H661" s="460"/>
      <c r="I661" s="460"/>
      <c r="J661" s="460"/>
      <c r="K661" s="460"/>
      <c r="L661" s="460"/>
      <c r="M661" s="460"/>
      <c r="N661" s="460"/>
      <c r="O661" s="460"/>
      <c r="P661" s="460"/>
      <c r="Q661" s="460"/>
      <c r="R661" s="460"/>
      <c r="S661" s="460"/>
      <c r="T661" s="460"/>
      <c r="U661" s="460"/>
      <c r="V661" s="460"/>
      <c r="W661" s="460"/>
      <c r="X661" s="460"/>
    </row>
    <row r="662" ht="15.75" customHeight="1">
      <c r="A662" s="460"/>
      <c r="B662" s="460"/>
      <c r="C662" s="460"/>
      <c r="D662" s="17"/>
      <c r="E662" s="9"/>
      <c r="F662" s="460"/>
      <c r="G662" s="460"/>
      <c r="H662" s="460"/>
      <c r="I662" s="460"/>
      <c r="J662" s="460"/>
      <c r="K662" s="460"/>
      <c r="L662" s="460"/>
      <c r="M662" s="460"/>
      <c r="N662" s="460"/>
      <c r="O662" s="460"/>
      <c r="P662" s="460"/>
      <c r="Q662" s="460"/>
      <c r="R662" s="460"/>
      <c r="S662" s="460"/>
      <c r="T662" s="460"/>
      <c r="U662" s="460"/>
      <c r="V662" s="460"/>
      <c r="W662" s="460"/>
      <c r="X662" s="460"/>
    </row>
    <row r="663" ht="15.75" customHeight="1">
      <c r="A663" s="460"/>
      <c r="B663" s="460"/>
      <c r="C663" s="460"/>
      <c r="D663" s="17"/>
      <c r="E663" s="9"/>
      <c r="F663" s="460"/>
      <c r="G663" s="460"/>
      <c r="H663" s="460"/>
      <c r="I663" s="460"/>
      <c r="J663" s="460"/>
      <c r="K663" s="460"/>
      <c r="L663" s="460"/>
      <c r="M663" s="460"/>
      <c r="N663" s="460"/>
      <c r="O663" s="460"/>
      <c r="P663" s="460"/>
      <c r="Q663" s="460"/>
      <c r="R663" s="460"/>
      <c r="S663" s="460"/>
      <c r="T663" s="460"/>
      <c r="U663" s="460"/>
      <c r="V663" s="460"/>
      <c r="W663" s="460"/>
      <c r="X663" s="460"/>
    </row>
    <row r="664" ht="15.75" customHeight="1">
      <c r="A664" s="460"/>
      <c r="B664" s="460"/>
      <c r="C664" s="460"/>
      <c r="D664" s="17"/>
      <c r="E664" s="9"/>
      <c r="F664" s="460"/>
      <c r="G664" s="460"/>
      <c r="H664" s="460"/>
      <c r="I664" s="460"/>
      <c r="J664" s="460"/>
      <c r="K664" s="460"/>
      <c r="L664" s="460"/>
      <c r="M664" s="460"/>
      <c r="N664" s="460"/>
      <c r="O664" s="460"/>
      <c r="P664" s="460"/>
      <c r="Q664" s="460"/>
      <c r="R664" s="460"/>
      <c r="S664" s="460"/>
      <c r="T664" s="460"/>
      <c r="U664" s="460"/>
      <c r="V664" s="460"/>
      <c r="W664" s="460"/>
      <c r="X664" s="460"/>
    </row>
    <row r="665" ht="15.75" customHeight="1">
      <c r="A665" s="460"/>
      <c r="B665" s="460"/>
      <c r="C665" s="460"/>
      <c r="D665" s="17"/>
      <c r="E665" s="9"/>
      <c r="F665" s="460"/>
      <c r="G665" s="460"/>
      <c r="H665" s="460"/>
      <c r="I665" s="460"/>
      <c r="J665" s="460"/>
      <c r="K665" s="460"/>
      <c r="L665" s="460"/>
      <c r="M665" s="460"/>
      <c r="N665" s="460"/>
      <c r="O665" s="460"/>
      <c r="P665" s="460"/>
      <c r="Q665" s="460"/>
      <c r="R665" s="460"/>
      <c r="S665" s="460"/>
      <c r="T665" s="460"/>
      <c r="U665" s="460"/>
      <c r="V665" s="460"/>
      <c r="W665" s="460"/>
      <c r="X665" s="460"/>
    </row>
    <row r="666" ht="15.75" customHeight="1">
      <c r="A666" s="460"/>
      <c r="B666" s="460"/>
      <c r="C666" s="460"/>
      <c r="D666" s="17"/>
      <c r="E666" s="9"/>
      <c r="F666" s="460"/>
      <c r="G666" s="460"/>
      <c r="H666" s="460"/>
      <c r="I666" s="460"/>
      <c r="J666" s="460"/>
      <c r="K666" s="460"/>
      <c r="L666" s="460"/>
      <c r="M666" s="460"/>
      <c r="N666" s="460"/>
      <c r="O666" s="460"/>
      <c r="P666" s="460"/>
      <c r="Q666" s="460"/>
      <c r="R666" s="460"/>
      <c r="S666" s="460"/>
      <c r="T666" s="460"/>
      <c r="U666" s="460"/>
      <c r="V666" s="460"/>
      <c r="W666" s="460"/>
      <c r="X666" s="460"/>
    </row>
    <row r="667" ht="15.75" customHeight="1">
      <c r="A667" s="460"/>
      <c r="B667" s="460"/>
      <c r="C667" s="460"/>
      <c r="D667" s="17"/>
      <c r="E667" s="9"/>
      <c r="F667" s="460"/>
      <c r="G667" s="460"/>
      <c r="H667" s="460"/>
      <c r="I667" s="460"/>
      <c r="J667" s="460"/>
      <c r="K667" s="460"/>
      <c r="L667" s="460"/>
      <c r="M667" s="460"/>
      <c r="N667" s="460"/>
      <c r="O667" s="460"/>
      <c r="P667" s="460"/>
      <c r="Q667" s="460"/>
      <c r="R667" s="460"/>
      <c r="S667" s="460"/>
      <c r="T667" s="460"/>
      <c r="U667" s="460"/>
      <c r="V667" s="460"/>
      <c r="W667" s="460"/>
      <c r="X667" s="460"/>
    </row>
    <row r="668" ht="15.75" customHeight="1">
      <c r="A668" s="460"/>
      <c r="B668" s="460"/>
      <c r="C668" s="460"/>
      <c r="D668" s="17"/>
      <c r="E668" s="9"/>
      <c r="F668" s="460"/>
      <c r="G668" s="460"/>
      <c r="H668" s="460"/>
      <c r="I668" s="460"/>
      <c r="J668" s="460"/>
      <c r="K668" s="460"/>
      <c r="L668" s="460"/>
      <c r="M668" s="460"/>
      <c r="N668" s="460"/>
      <c r="O668" s="460"/>
      <c r="P668" s="460"/>
      <c r="Q668" s="460"/>
      <c r="R668" s="460"/>
      <c r="S668" s="460"/>
      <c r="T668" s="460"/>
      <c r="U668" s="460"/>
      <c r="V668" s="460"/>
      <c r="W668" s="460"/>
      <c r="X668" s="460"/>
    </row>
    <row r="669" ht="15.75" customHeight="1">
      <c r="A669" s="460"/>
      <c r="B669" s="460"/>
      <c r="C669" s="460"/>
      <c r="D669" s="17"/>
      <c r="E669" s="9"/>
      <c r="F669" s="460"/>
      <c r="G669" s="460"/>
      <c r="H669" s="460"/>
      <c r="I669" s="460"/>
      <c r="J669" s="460"/>
      <c r="K669" s="460"/>
      <c r="L669" s="460"/>
      <c r="M669" s="460"/>
      <c r="N669" s="460"/>
      <c r="O669" s="460"/>
      <c r="P669" s="460"/>
      <c r="Q669" s="460"/>
      <c r="R669" s="460"/>
      <c r="S669" s="460"/>
      <c r="T669" s="460"/>
      <c r="U669" s="460"/>
      <c r="V669" s="460"/>
      <c r="W669" s="460"/>
      <c r="X669" s="460"/>
    </row>
    <row r="670" ht="15.75" customHeight="1">
      <c r="A670" s="460"/>
      <c r="B670" s="460"/>
      <c r="C670" s="460"/>
      <c r="D670" s="17"/>
      <c r="E670" s="9"/>
      <c r="F670" s="460"/>
      <c r="G670" s="460"/>
      <c r="H670" s="460"/>
      <c r="I670" s="460"/>
      <c r="J670" s="460"/>
      <c r="K670" s="460"/>
      <c r="L670" s="460"/>
      <c r="M670" s="460"/>
      <c r="N670" s="460"/>
      <c r="O670" s="460"/>
      <c r="P670" s="460"/>
      <c r="Q670" s="460"/>
      <c r="R670" s="460"/>
      <c r="S670" s="460"/>
      <c r="T670" s="460"/>
      <c r="U670" s="460"/>
      <c r="V670" s="460"/>
      <c r="W670" s="460"/>
      <c r="X670" s="460"/>
    </row>
    <row r="671" ht="15.75" customHeight="1">
      <c r="A671" s="460"/>
      <c r="B671" s="460"/>
      <c r="C671" s="460"/>
      <c r="D671" s="17"/>
      <c r="E671" s="9"/>
      <c r="F671" s="460"/>
      <c r="G671" s="460"/>
      <c r="H671" s="460"/>
      <c r="I671" s="460"/>
      <c r="J671" s="460"/>
      <c r="K671" s="460"/>
      <c r="L671" s="460"/>
      <c r="M671" s="460"/>
      <c r="N671" s="460"/>
      <c r="O671" s="460"/>
      <c r="P671" s="460"/>
      <c r="Q671" s="460"/>
      <c r="R671" s="460"/>
      <c r="S671" s="460"/>
      <c r="T671" s="460"/>
      <c r="U671" s="460"/>
      <c r="V671" s="460"/>
      <c r="W671" s="460"/>
      <c r="X671" s="460"/>
    </row>
    <row r="672" ht="15.75" customHeight="1">
      <c r="A672" s="460"/>
      <c r="B672" s="460"/>
      <c r="C672" s="460"/>
      <c r="D672" s="17"/>
      <c r="E672" s="9"/>
      <c r="F672" s="460"/>
      <c r="G672" s="460"/>
      <c r="H672" s="460"/>
      <c r="I672" s="460"/>
      <c r="J672" s="460"/>
      <c r="K672" s="460"/>
      <c r="L672" s="460"/>
      <c r="M672" s="460"/>
      <c r="N672" s="460"/>
      <c r="O672" s="460"/>
      <c r="P672" s="460"/>
      <c r="Q672" s="460"/>
      <c r="R672" s="460"/>
      <c r="S672" s="460"/>
      <c r="T672" s="460"/>
      <c r="U672" s="460"/>
      <c r="V672" s="460"/>
      <c r="W672" s="460"/>
      <c r="X672" s="460"/>
    </row>
    <row r="673" ht="15.75" customHeight="1">
      <c r="A673" s="460"/>
      <c r="B673" s="460"/>
      <c r="C673" s="460"/>
      <c r="D673" s="17"/>
      <c r="E673" s="9"/>
      <c r="F673" s="460"/>
      <c r="G673" s="460"/>
      <c r="H673" s="460"/>
      <c r="I673" s="460"/>
      <c r="J673" s="460"/>
      <c r="K673" s="460"/>
      <c r="L673" s="460"/>
      <c r="M673" s="460"/>
      <c r="N673" s="460"/>
      <c r="O673" s="460"/>
      <c r="P673" s="460"/>
      <c r="Q673" s="460"/>
      <c r="R673" s="460"/>
      <c r="S673" s="460"/>
      <c r="T673" s="460"/>
      <c r="U673" s="460"/>
      <c r="V673" s="460"/>
      <c r="W673" s="460"/>
      <c r="X673" s="460"/>
    </row>
    <row r="674" ht="15.75" customHeight="1">
      <c r="A674" s="460"/>
      <c r="B674" s="460"/>
      <c r="C674" s="460"/>
      <c r="D674" s="17"/>
      <c r="E674" s="9"/>
      <c r="F674" s="460"/>
      <c r="G674" s="460"/>
      <c r="H674" s="460"/>
      <c r="I674" s="460"/>
      <c r="J674" s="460"/>
      <c r="K674" s="460"/>
      <c r="L674" s="460"/>
      <c r="M674" s="460"/>
      <c r="N674" s="460"/>
      <c r="O674" s="460"/>
      <c r="P674" s="460"/>
      <c r="Q674" s="460"/>
      <c r="R674" s="460"/>
      <c r="S674" s="460"/>
      <c r="T674" s="460"/>
      <c r="U674" s="460"/>
      <c r="V674" s="460"/>
      <c r="W674" s="460"/>
      <c r="X674" s="460"/>
    </row>
    <row r="675" ht="15.75" customHeight="1">
      <c r="A675" s="460"/>
      <c r="B675" s="460"/>
      <c r="C675" s="460"/>
      <c r="D675" s="17"/>
      <c r="E675" s="9"/>
      <c r="F675" s="460"/>
      <c r="G675" s="460"/>
      <c r="H675" s="460"/>
      <c r="I675" s="460"/>
      <c r="J675" s="460"/>
      <c r="K675" s="460"/>
      <c r="L675" s="460"/>
      <c r="M675" s="460"/>
      <c r="N675" s="460"/>
      <c r="O675" s="460"/>
      <c r="P675" s="460"/>
      <c r="Q675" s="460"/>
      <c r="R675" s="460"/>
      <c r="S675" s="460"/>
      <c r="T675" s="460"/>
      <c r="U675" s="460"/>
      <c r="V675" s="460"/>
      <c r="W675" s="460"/>
      <c r="X675" s="460"/>
    </row>
    <row r="676" ht="15.75" customHeight="1">
      <c r="A676" s="460"/>
      <c r="B676" s="460"/>
      <c r="C676" s="460"/>
      <c r="D676" s="17"/>
      <c r="E676" s="9"/>
      <c r="F676" s="460"/>
      <c r="G676" s="460"/>
      <c r="H676" s="460"/>
      <c r="I676" s="460"/>
      <c r="J676" s="460"/>
      <c r="K676" s="460"/>
      <c r="L676" s="460"/>
      <c r="M676" s="460"/>
      <c r="N676" s="460"/>
      <c r="O676" s="460"/>
      <c r="P676" s="460"/>
      <c r="Q676" s="460"/>
      <c r="R676" s="460"/>
      <c r="S676" s="460"/>
      <c r="T676" s="460"/>
      <c r="U676" s="460"/>
      <c r="V676" s="460"/>
      <c r="W676" s="460"/>
      <c r="X676" s="460"/>
    </row>
    <row r="677" ht="15.75" customHeight="1">
      <c r="A677" s="460"/>
      <c r="B677" s="460"/>
      <c r="C677" s="460"/>
      <c r="D677" s="17"/>
      <c r="E677" s="9"/>
      <c r="F677" s="460"/>
      <c r="G677" s="460"/>
      <c r="H677" s="460"/>
      <c r="I677" s="460"/>
      <c r="J677" s="460"/>
      <c r="K677" s="460"/>
      <c r="L677" s="460"/>
      <c r="M677" s="460"/>
      <c r="N677" s="460"/>
      <c r="O677" s="460"/>
      <c r="P677" s="460"/>
      <c r="Q677" s="460"/>
      <c r="R677" s="460"/>
      <c r="S677" s="460"/>
      <c r="T677" s="460"/>
      <c r="U677" s="460"/>
      <c r="V677" s="460"/>
      <c r="W677" s="460"/>
      <c r="X677" s="460"/>
    </row>
    <row r="678" ht="15.75" customHeight="1">
      <c r="A678" s="460"/>
      <c r="B678" s="460"/>
      <c r="C678" s="460"/>
      <c r="D678" s="17"/>
      <c r="E678" s="9"/>
      <c r="F678" s="460"/>
      <c r="G678" s="460"/>
      <c r="H678" s="460"/>
      <c r="I678" s="460"/>
      <c r="J678" s="460"/>
      <c r="K678" s="460"/>
      <c r="L678" s="460"/>
      <c r="M678" s="460"/>
      <c r="N678" s="460"/>
      <c r="O678" s="460"/>
      <c r="P678" s="460"/>
      <c r="Q678" s="460"/>
      <c r="R678" s="460"/>
      <c r="S678" s="460"/>
      <c r="T678" s="460"/>
      <c r="U678" s="460"/>
      <c r="V678" s="460"/>
      <c r="W678" s="460"/>
      <c r="X678" s="460"/>
    </row>
    <row r="679" ht="15.75" customHeight="1">
      <c r="A679" s="460"/>
      <c r="B679" s="460"/>
      <c r="C679" s="460"/>
      <c r="D679" s="17"/>
      <c r="E679" s="9"/>
      <c r="F679" s="460"/>
      <c r="G679" s="460"/>
      <c r="H679" s="460"/>
      <c r="I679" s="460"/>
      <c r="J679" s="460"/>
      <c r="K679" s="460"/>
      <c r="L679" s="460"/>
      <c r="M679" s="460"/>
      <c r="N679" s="460"/>
      <c r="O679" s="460"/>
      <c r="P679" s="460"/>
      <c r="Q679" s="460"/>
      <c r="R679" s="460"/>
      <c r="S679" s="460"/>
      <c r="T679" s="460"/>
      <c r="U679" s="460"/>
      <c r="V679" s="460"/>
      <c r="W679" s="460"/>
      <c r="X679" s="460"/>
    </row>
    <row r="680" ht="15.75" customHeight="1">
      <c r="A680" s="460"/>
      <c r="B680" s="460"/>
      <c r="C680" s="460"/>
      <c r="D680" s="17"/>
      <c r="E680" s="9"/>
      <c r="F680" s="460"/>
      <c r="G680" s="460"/>
      <c r="H680" s="460"/>
      <c r="I680" s="460"/>
      <c r="J680" s="460"/>
      <c r="K680" s="460"/>
      <c r="L680" s="460"/>
      <c r="M680" s="460"/>
      <c r="N680" s="460"/>
      <c r="O680" s="460"/>
      <c r="P680" s="460"/>
      <c r="Q680" s="460"/>
      <c r="R680" s="460"/>
      <c r="S680" s="460"/>
      <c r="T680" s="460"/>
      <c r="U680" s="460"/>
      <c r="V680" s="460"/>
      <c r="W680" s="460"/>
      <c r="X680" s="460"/>
    </row>
    <row r="681" ht="15.75" customHeight="1">
      <c r="A681" s="460"/>
      <c r="B681" s="460"/>
      <c r="C681" s="460"/>
      <c r="D681" s="17"/>
      <c r="E681" s="9"/>
      <c r="F681" s="460"/>
      <c r="G681" s="460"/>
      <c r="H681" s="460"/>
      <c r="I681" s="460"/>
      <c r="J681" s="460"/>
      <c r="K681" s="460"/>
      <c r="L681" s="460"/>
      <c r="M681" s="460"/>
      <c r="N681" s="460"/>
      <c r="O681" s="460"/>
      <c r="P681" s="460"/>
      <c r="Q681" s="460"/>
      <c r="R681" s="460"/>
      <c r="S681" s="460"/>
      <c r="T681" s="460"/>
      <c r="U681" s="460"/>
      <c r="V681" s="460"/>
      <c r="W681" s="460"/>
      <c r="X681" s="460"/>
    </row>
    <row r="682" ht="15.75" customHeight="1">
      <c r="A682" s="460"/>
      <c r="B682" s="460"/>
      <c r="C682" s="460"/>
      <c r="D682" s="17"/>
      <c r="E682" s="9"/>
      <c r="F682" s="460"/>
      <c r="G682" s="460"/>
      <c r="H682" s="460"/>
      <c r="I682" s="460"/>
      <c r="J682" s="460"/>
      <c r="K682" s="460"/>
      <c r="L682" s="460"/>
      <c r="M682" s="460"/>
      <c r="N682" s="460"/>
      <c r="O682" s="460"/>
      <c r="P682" s="460"/>
      <c r="Q682" s="460"/>
      <c r="R682" s="460"/>
      <c r="S682" s="460"/>
      <c r="T682" s="460"/>
      <c r="U682" s="460"/>
      <c r="V682" s="460"/>
      <c r="W682" s="460"/>
      <c r="X682" s="460"/>
    </row>
    <row r="683" ht="15.75" customHeight="1">
      <c r="A683" s="460"/>
      <c r="B683" s="460"/>
      <c r="C683" s="460"/>
      <c r="D683" s="17"/>
      <c r="E683" s="9"/>
      <c r="F683" s="460"/>
      <c r="G683" s="460"/>
      <c r="H683" s="460"/>
      <c r="I683" s="460"/>
      <c r="J683" s="460"/>
      <c r="K683" s="460"/>
      <c r="L683" s="460"/>
      <c r="M683" s="460"/>
      <c r="N683" s="460"/>
      <c r="O683" s="460"/>
      <c r="P683" s="460"/>
      <c r="Q683" s="460"/>
      <c r="R683" s="460"/>
      <c r="S683" s="460"/>
      <c r="T683" s="460"/>
      <c r="U683" s="460"/>
      <c r="V683" s="460"/>
      <c r="W683" s="460"/>
      <c r="X683" s="460"/>
    </row>
    <row r="684" ht="15.75" customHeight="1">
      <c r="A684" s="460"/>
      <c r="B684" s="460"/>
      <c r="C684" s="460"/>
      <c r="D684" s="17"/>
      <c r="E684" s="9"/>
      <c r="F684" s="460"/>
      <c r="G684" s="460"/>
      <c r="H684" s="460"/>
      <c r="I684" s="460"/>
      <c r="J684" s="460"/>
      <c r="K684" s="460"/>
      <c r="L684" s="460"/>
      <c r="M684" s="460"/>
      <c r="N684" s="460"/>
      <c r="O684" s="460"/>
      <c r="P684" s="460"/>
      <c r="Q684" s="460"/>
      <c r="R684" s="460"/>
      <c r="S684" s="460"/>
      <c r="T684" s="460"/>
      <c r="U684" s="460"/>
      <c r="V684" s="460"/>
      <c r="W684" s="460"/>
      <c r="X684" s="460"/>
    </row>
    <row r="685" ht="15.75" customHeight="1">
      <c r="A685" s="460"/>
      <c r="B685" s="460"/>
      <c r="C685" s="460"/>
      <c r="D685" s="17"/>
      <c r="E685" s="9"/>
      <c r="F685" s="460"/>
      <c r="G685" s="460"/>
      <c r="H685" s="460"/>
      <c r="I685" s="460"/>
      <c r="J685" s="460"/>
      <c r="K685" s="460"/>
      <c r="L685" s="460"/>
      <c r="M685" s="460"/>
      <c r="N685" s="460"/>
      <c r="O685" s="460"/>
      <c r="P685" s="460"/>
      <c r="Q685" s="460"/>
      <c r="R685" s="460"/>
      <c r="S685" s="460"/>
      <c r="T685" s="460"/>
      <c r="U685" s="460"/>
      <c r="V685" s="460"/>
      <c r="W685" s="460"/>
      <c r="X685" s="460"/>
    </row>
    <row r="686" ht="15.75" customHeight="1">
      <c r="A686" s="460"/>
      <c r="B686" s="460"/>
      <c r="C686" s="460"/>
      <c r="D686" s="17"/>
      <c r="E686" s="9"/>
      <c r="F686" s="460"/>
      <c r="G686" s="460"/>
      <c r="H686" s="460"/>
      <c r="I686" s="460"/>
      <c r="J686" s="460"/>
      <c r="K686" s="460"/>
      <c r="L686" s="460"/>
      <c r="M686" s="460"/>
      <c r="N686" s="460"/>
      <c r="O686" s="460"/>
      <c r="P686" s="460"/>
      <c r="Q686" s="460"/>
      <c r="R686" s="460"/>
      <c r="S686" s="460"/>
      <c r="T686" s="460"/>
      <c r="U686" s="460"/>
      <c r="V686" s="460"/>
      <c r="W686" s="460"/>
      <c r="X686" s="460"/>
    </row>
    <row r="687" ht="15.75" customHeight="1">
      <c r="A687" s="460"/>
      <c r="B687" s="460"/>
      <c r="C687" s="460"/>
      <c r="D687" s="17"/>
      <c r="E687" s="9"/>
      <c r="F687" s="460"/>
      <c r="G687" s="460"/>
      <c r="H687" s="460"/>
      <c r="I687" s="460"/>
      <c r="J687" s="460"/>
      <c r="K687" s="460"/>
      <c r="L687" s="460"/>
      <c r="M687" s="460"/>
      <c r="N687" s="460"/>
      <c r="O687" s="460"/>
      <c r="P687" s="460"/>
      <c r="Q687" s="460"/>
      <c r="R687" s="460"/>
      <c r="S687" s="460"/>
      <c r="T687" s="460"/>
      <c r="U687" s="460"/>
      <c r="V687" s="460"/>
      <c r="W687" s="460"/>
      <c r="X687" s="460"/>
    </row>
    <row r="688" ht="15.75" customHeight="1">
      <c r="A688" s="460"/>
      <c r="B688" s="460"/>
      <c r="C688" s="460"/>
      <c r="D688" s="17"/>
      <c r="E688" s="9"/>
      <c r="F688" s="460"/>
      <c r="G688" s="460"/>
      <c r="H688" s="460"/>
      <c r="I688" s="460"/>
      <c r="J688" s="460"/>
      <c r="K688" s="460"/>
      <c r="L688" s="460"/>
      <c r="M688" s="460"/>
      <c r="N688" s="460"/>
      <c r="O688" s="460"/>
      <c r="P688" s="460"/>
      <c r="Q688" s="460"/>
      <c r="R688" s="460"/>
      <c r="S688" s="460"/>
      <c r="T688" s="460"/>
      <c r="U688" s="460"/>
      <c r="V688" s="460"/>
      <c r="W688" s="460"/>
      <c r="X688" s="460"/>
    </row>
    <row r="689" ht="15.75" customHeight="1">
      <c r="A689" s="460"/>
      <c r="B689" s="460"/>
      <c r="C689" s="460"/>
      <c r="D689" s="17"/>
      <c r="E689" s="9"/>
      <c r="F689" s="460"/>
      <c r="G689" s="460"/>
      <c r="H689" s="460"/>
      <c r="I689" s="460"/>
      <c r="J689" s="460"/>
      <c r="K689" s="460"/>
      <c r="L689" s="460"/>
      <c r="M689" s="460"/>
      <c r="N689" s="460"/>
      <c r="O689" s="460"/>
      <c r="P689" s="460"/>
      <c r="Q689" s="460"/>
      <c r="R689" s="460"/>
      <c r="S689" s="460"/>
      <c r="T689" s="460"/>
      <c r="U689" s="460"/>
      <c r="V689" s="460"/>
      <c r="W689" s="460"/>
      <c r="X689" s="460"/>
    </row>
    <row r="690" ht="15.75" customHeight="1">
      <c r="A690" s="460"/>
      <c r="B690" s="460"/>
      <c r="C690" s="460"/>
      <c r="D690" s="17"/>
      <c r="E690" s="9"/>
      <c r="F690" s="460"/>
      <c r="G690" s="460"/>
      <c r="H690" s="460"/>
      <c r="I690" s="460"/>
      <c r="J690" s="460"/>
      <c r="K690" s="460"/>
      <c r="L690" s="460"/>
      <c r="M690" s="460"/>
      <c r="N690" s="460"/>
      <c r="O690" s="460"/>
      <c r="P690" s="460"/>
      <c r="Q690" s="460"/>
      <c r="R690" s="460"/>
      <c r="S690" s="460"/>
      <c r="T690" s="460"/>
      <c r="U690" s="460"/>
      <c r="V690" s="460"/>
      <c r="W690" s="460"/>
      <c r="X690" s="460"/>
    </row>
    <row r="691" ht="15.75" customHeight="1">
      <c r="A691" s="460"/>
      <c r="B691" s="460"/>
      <c r="C691" s="460"/>
      <c r="D691" s="17"/>
      <c r="E691" s="9"/>
      <c r="F691" s="460"/>
      <c r="G691" s="460"/>
      <c r="H691" s="460"/>
      <c r="I691" s="460"/>
      <c r="J691" s="460"/>
      <c r="K691" s="460"/>
      <c r="L691" s="460"/>
      <c r="M691" s="460"/>
      <c r="N691" s="460"/>
      <c r="O691" s="460"/>
      <c r="P691" s="460"/>
      <c r="Q691" s="460"/>
      <c r="R691" s="460"/>
      <c r="S691" s="460"/>
      <c r="T691" s="460"/>
      <c r="U691" s="460"/>
      <c r="V691" s="460"/>
      <c r="W691" s="460"/>
      <c r="X691" s="460"/>
    </row>
    <row r="692" ht="15.75" customHeight="1">
      <c r="A692" s="460"/>
      <c r="B692" s="460"/>
      <c r="C692" s="460"/>
      <c r="D692" s="17"/>
      <c r="E692" s="9"/>
      <c r="F692" s="460"/>
      <c r="G692" s="460"/>
      <c r="H692" s="460"/>
      <c r="I692" s="460"/>
      <c r="J692" s="460"/>
      <c r="K692" s="460"/>
      <c r="L692" s="460"/>
      <c r="M692" s="460"/>
      <c r="N692" s="460"/>
      <c r="O692" s="460"/>
      <c r="P692" s="460"/>
      <c r="Q692" s="460"/>
      <c r="R692" s="460"/>
      <c r="S692" s="460"/>
      <c r="T692" s="460"/>
      <c r="U692" s="460"/>
      <c r="V692" s="460"/>
      <c r="W692" s="460"/>
      <c r="X692" s="460"/>
    </row>
    <row r="693" ht="15.75" customHeight="1">
      <c r="A693" s="460"/>
      <c r="B693" s="460"/>
      <c r="C693" s="460"/>
      <c r="D693" s="17"/>
      <c r="E693" s="9"/>
      <c r="F693" s="460"/>
      <c r="G693" s="460"/>
      <c r="H693" s="460"/>
      <c r="I693" s="460"/>
      <c r="J693" s="460"/>
      <c r="K693" s="460"/>
      <c r="L693" s="460"/>
      <c r="M693" s="460"/>
      <c r="N693" s="460"/>
      <c r="O693" s="460"/>
      <c r="P693" s="460"/>
      <c r="Q693" s="460"/>
      <c r="R693" s="460"/>
      <c r="S693" s="460"/>
      <c r="T693" s="460"/>
      <c r="U693" s="460"/>
      <c r="V693" s="460"/>
      <c r="W693" s="460"/>
      <c r="X693" s="460"/>
    </row>
    <row r="694" ht="15.75" customHeight="1">
      <c r="A694" s="460"/>
      <c r="B694" s="460"/>
      <c r="C694" s="460"/>
      <c r="D694" s="17"/>
      <c r="E694" s="9"/>
      <c r="F694" s="460"/>
      <c r="G694" s="460"/>
      <c r="H694" s="460"/>
      <c r="I694" s="460"/>
      <c r="J694" s="460"/>
      <c r="K694" s="460"/>
      <c r="L694" s="460"/>
      <c r="M694" s="460"/>
      <c r="N694" s="460"/>
      <c r="O694" s="460"/>
      <c r="P694" s="460"/>
      <c r="Q694" s="460"/>
      <c r="R694" s="460"/>
      <c r="S694" s="460"/>
      <c r="T694" s="460"/>
      <c r="U694" s="460"/>
      <c r="V694" s="460"/>
      <c r="W694" s="460"/>
      <c r="X694" s="460"/>
    </row>
    <row r="695" ht="15.75" customHeight="1">
      <c r="A695" s="460"/>
      <c r="B695" s="460"/>
      <c r="C695" s="460"/>
      <c r="D695" s="17"/>
      <c r="E695" s="9"/>
      <c r="F695" s="460"/>
      <c r="G695" s="460"/>
      <c r="H695" s="460"/>
      <c r="I695" s="460"/>
      <c r="J695" s="460"/>
      <c r="K695" s="460"/>
      <c r="L695" s="460"/>
      <c r="M695" s="460"/>
      <c r="N695" s="460"/>
      <c r="O695" s="460"/>
      <c r="P695" s="460"/>
      <c r="Q695" s="460"/>
      <c r="R695" s="460"/>
      <c r="S695" s="460"/>
      <c r="T695" s="460"/>
      <c r="U695" s="460"/>
      <c r="V695" s="460"/>
      <c r="W695" s="460"/>
      <c r="X695" s="460"/>
    </row>
    <row r="696" ht="15.75" customHeight="1">
      <c r="A696" s="460"/>
      <c r="B696" s="460"/>
      <c r="C696" s="460"/>
      <c r="D696" s="17"/>
      <c r="E696" s="9"/>
      <c r="F696" s="460"/>
      <c r="G696" s="460"/>
      <c r="H696" s="460"/>
      <c r="I696" s="460"/>
      <c r="J696" s="460"/>
      <c r="K696" s="460"/>
      <c r="L696" s="460"/>
      <c r="M696" s="460"/>
      <c r="N696" s="460"/>
      <c r="O696" s="460"/>
      <c r="P696" s="460"/>
      <c r="Q696" s="460"/>
      <c r="R696" s="460"/>
      <c r="S696" s="460"/>
      <c r="T696" s="460"/>
      <c r="U696" s="460"/>
      <c r="V696" s="460"/>
      <c r="W696" s="460"/>
      <c r="X696" s="460"/>
    </row>
    <row r="697" ht="15.75" customHeight="1">
      <c r="A697" s="460"/>
      <c r="B697" s="460"/>
      <c r="C697" s="460"/>
      <c r="D697" s="17"/>
      <c r="E697" s="9"/>
      <c r="F697" s="460"/>
      <c r="G697" s="460"/>
      <c r="H697" s="460"/>
      <c r="I697" s="460"/>
      <c r="J697" s="460"/>
      <c r="K697" s="460"/>
      <c r="L697" s="460"/>
      <c r="M697" s="460"/>
      <c r="N697" s="460"/>
      <c r="O697" s="460"/>
      <c r="P697" s="460"/>
      <c r="Q697" s="460"/>
      <c r="R697" s="460"/>
      <c r="S697" s="460"/>
      <c r="T697" s="460"/>
      <c r="U697" s="460"/>
      <c r="V697" s="460"/>
      <c r="W697" s="460"/>
      <c r="X697" s="460"/>
    </row>
    <row r="698" ht="15.75" customHeight="1">
      <c r="A698" s="460"/>
      <c r="B698" s="460"/>
      <c r="C698" s="460"/>
      <c r="D698" s="17"/>
      <c r="E698" s="9"/>
      <c r="F698" s="460"/>
      <c r="G698" s="460"/>
      <c r="H698" s="460"/>
      <c r="I698" s="460"/>
      <c r="J698" s="460"/>
      <c r="K698" s="460"/>
      <c r="L698" s="460"/>
      <c r="M698" s="460"/>
      <c r="N698" s="460"/>
      <c r="O698" s="460"/>
      <c r="P698" s="460"/>
      <c r="Q698" s="460"/>
      <c r="R698" s="460"/>
      <c r="S698" s="460"/>
      <c r="T698" s="460"/>
      <c r="U698" s="460"/>
      <c r="V698" s="460"/>
      <c r="W698" s="460"/>
      <c r="X698" s="460"/>
    </row>
    <row r="699" ht="15.75" customHeight="1">
      <c r="A699" s="460"/>
      <c r="B699" s="460"/>
      <c r="C699" s="460"/>
      <c r="D699" s="17"/>
      <c r="E699" s="9"/>
      <c r="F699" s="460"/>
      <c r="G699" s="460"/>
      <c r="H699" s="460"/>
      <c r="I699" s="460"/>
      <c r="J699" s="460"/>
      <c r="K699" s="460"/>
      <c r="L699" s="460"/>
      <c r="M699" s="460"/>
      <c r="N699" s="460"/>
      <c r="O699" s="460"/>
      <c r="P699" s="460"/>
      <c r="Q699" s="460"/>
      <c r="R699" s="460"/>
      <c r="S699" s="460"/>
      <c r="T699" s="460"/>
      <c r="U699" s="460"/>
      <c r="V699" s="460"/>
      <c r="W699" s="460"/>
      <c r="X699" s="460"/>
    </row>
    <row r="700" ht="15.75" customHeight="1">
      <c r="A700" s="460"/>
      <c r="B700" s="460"/>
      <c r="C700" s="460"/>
      <c r="D700" s="17"/>
      <c r="E700" s="9"/>
      <c r="F700" s="460"/>
      <c r="G700" s="460"/>
      <c r="H700" s="460"/>
      <c r="I700" s="460"/>
      <c r="J700" s="460"/>
      <c r="K700" s="460"/>
      <c r="L700" s="460"/>
      <c r="M700" s="460"/>
      <c r="N700" s="460"/>
      <c r="O700" s="460"/>
      <c r="P700" s="460"/>
      <c r="Q700" s="460"/>
      <c r="R700" s="460"/>
      <c r="S700" s="460"/>
      <c r="T700" s="460"/>
      <c r="U700" s="460"/>
      <c r="V700" s="460"/>
      <c r="W700" s="460"/>
      <c r="X700" s="460"/>
    </row>
    <row r="701" ht="15.75" customHeight="1">
      <c r="A701" s="460"/>
      <c r="B701" s="460"/>
      <c r="C701" s="460"/>
      <c r="D701" s="17"/>
      <c r="E701" s="9"/>
      <c r="F701" s="460"/>
      <c r="G701" s="460"/>
      <c r="H701" s="460"/>
      <c r="I701" s="460"/>
      <c r="J701" s="460"/>
      <c r="K701" s="460"/>
      <c r="L701" s="460"/>
      <c r="M701" s="460"/>
      <c r="N701" s="460"/>
      <c r="O701" s="460"/>
      <c r="P701" s="460"/>
      <c r="Q701" s="460"/>
      <c r="R701" s="460"/>
      <c r="S701" s="460"/>
      <c r="T701" s="460"/>
      <c r="U701" s="460"/>
      <c r="V701" s="460"/>
      <c r="W701" s="460"/>
      <c r="X701" s="460"/>
    </row>
    <row r="702" ht="15.75" customHeight="1">
      <c r="A702" s="460"/>
      <c r="B702" s="460"/>
      <c r="C702" s="460"/>
      <c r="D702" s="17"/>
      <c r="E702" s="9"/>
      <c r="F702" s="460"/>
      <c r="G702" s="460"/>
      <c r="H702" s="460"/>
      <c r="I702" s="460"/>
      <c r="J702" s="460"/>
      <c r="K702" s="460"/>
      <c r="L702" s="460"/>
      <c r="M702" s="460"/>
      <c r="N702" s="460"/>
      <c r="O702" s="460"/>
      <c r="P702" s="460"/>
      <c r="Q702" s="460"/>
      <c r="R702" s="460"/>
      <c r="S702" s="460"/>
      <c r="T702" s="460"/>
      <c r="U702" s="460"/>
      <c r="V702" s="460"/>
      <c r="W702" s="460"/>
      <c r="X702" s="460"/>
    </row>
    <row r="703" ht="15.75" customHeight="1">
      <c r="A703" s="460"/>
      <c r="B703" s="460"/>
      <c r="C703" s="460"/>
      <c r="D703" s="17"/>
      <c r="E703" s="9"/>
      <c r="F703" s="460"/>
      <c r="G703" s="460"/>
      <c r="H703" s="460"/>
      <c r="I703" s="460"/>
      <c r="J703" s="460"/>
      <c r="K703" s="460"/>
      <c r="L703" s="460"/>
      <c r="M703" s="460"/>
      <c r="N703" s="460"/>
      <c r="O703" s="460"/>
      <c r="P703" s="460"/>
      <c r="Q703" s="460"/>
      <c r="R703" s="460"/>
      <c r="S703" s="460"/>
      <c r="T703" s="460"/>
      <c r="U703" s="460"/>
      <c r="V703" s="460"/>
      <c r="W703" s="460"/>
      <c r="X703" s="460"/>
    </row>
    <row r="704" ht="15.75" customHeight="1">
      <c r="A704" s="460"/>
      <c r="B704" s="460"/>
      <c r="C704" s="460"/>
      <c r="D704" s="17"/>
      <c r="E704" s="9"/>
      <c r="F704" s="460"/>
      <c r="G704" s="460"/>
      <c r="H704" s="460"/>
      <c r="I704" s="460"/>
      <c r="J704" s="460"/>
      <c r="K704" s="460"/>
      <c r="L704" s="460"/>
      <c r="M704" s="460"/>
      <c r="N704" s="460"/>
      <c r="O704" s="460"/>
      <c r="P704" s="460"/>
      <c r="Q704" s="460"/>
      <c r="R704" s="460"/>
      <c r="S704" s="460"/>
      <c r="T704" s="460"/>
      <c r="U704" s="460"/>
      <c r="V704" s="460"/>
      <c r="W704" s="460"/>
      <c r="X704" s="460"/>
    </row>
    <row r="705" ht="15.75" customHeight="1">
      <c r="A705" s="460"/>
      <c r="B705" s="460"/>
      <c r="C705" s="460"/>
      <c r="D705" s="17"/>
      <c r="E705" s="9"/>
      <c r="F705" s="460"/>
      <c r="G705" s="460"/>
      <c r="H705" s="460"/>
      <c r="I705" s="460"/>
      <c r="J705" s="460"/>
      <c r="K705" s="460"/>
      <c r="L705" s="460"/>
      <c r="M705" s="460"/>
      <c r="N705" s="460"/>
      <c r="O705" s="460"/>
      <c r="P705" s="460"/>
      <c r="Q705" s="460"/>
      <c r="R705" s="460"/>
      <c r="S705" s="460"/>
      <c r="T705" s="460"/>
      <c r="U705" s="460"/>
      <c r="V705" s="460"/>
      <c r="W705" s="460"/>
      <c r="X705" s="460"/>
    </row>
    <row r="706" ht="15.75" customHeight="1">
      <c r="A706" s="460"/>
      <c r="B706" s="460"/>
      <c r="C706" s="460"/>
      <c r="D706" s="17"/>
      <c r="E706" s="9"/>
      <c r="F706" s="460"/>
      <c r="G706" s="460"/>
      <c r="H706" s="460"/>
      <c r="I706" s="460"/>
      <c r="J706" s="460"/>
      <c r="K706" s="460"/>
      <c r="L706" s="460"/>
      <c r="M706" s="460"/>
      <c r="N706" s="460"/>
      <c r="O706" s="460"/>
      <c r="P706" s="460"/>
      <c r="Q706" s="460"/>
      <c r="R706" s="460"/>
      <c r="S706" s="460"/>
      <c r="T706" s="460"/>
      <c r="U706" s="460"/>
      <c r="V706" s="460"/>
      <c r="W706" s="460"/>
      <c r="X706" s="460"/>
    </row>
    <row r="707" ht="15.75" customHeight="1">
      <c r="A707" s="460"/>
      <c r="B707" s="460"/>
      <c r="C707" s="460"/>
      <c r="D707" s="17"/>
      <c r="E707" s="9"/>
      <c r="F707" s="460"/>
      <c r="G707" s="460"/>
      <c r="H707" s="460"/>
      <c r="I707" s="460"/>
      <c r="J707" s="460"/>
      <c r="K707" s="460"/>
      <c r="L707" s="460"/>
      <c r="M707" s="460"/>
      <c r="N707" s="460"/>
      <c r="O707" s="460"/>
      <c r="P707" s="460"/>
      <c r="Q707" s="460"/>
      <c r="R707" s="460"/>
      <c r="S707" s="460"/>
      <c r="T707" s="460"/>
      <c r="U707" s="460"/>
      <c r="V707" s="460"/>
      <c r="W707" s="460"/>
      <c r="X707" s="460"/>
    </row>
    <row r="708" ht="15.75" customHeight="1">
      <c r="A708" s="460"/>
      <c r="B708" s="460"/>
      <c r="C708" s="460"/>
      <c r="D708" s="17"/>
      <c r="E708" s="9"/>
      <c r="F708" s="460"/>
      <c r="G708" s="460"/>
      <c r="H708" s="460"/>
      <c r="I708" s="460"/>
      <c r="J708" s="460"/>
      <c r="K708" s="460"/>
      <c r="L708" s="460"/>
      <c r="M708" s="460"/>
      <c r="N708" s="460"/>
      <c r="O708" s="460"/>
      <c r="P708" s="460"/>
      <c r="Q708" s="460"/>
      <c r="R708" s="460"/>
      <c r="S708" s="460"/>
      <c r="T708" s="460"/>
      <c r="U708" s="460"/>
      <c r="V708" s="460"/>
      <c r="W708" s="460"/>
      <c r="X708" s="460"/>
    </row>
    <row r="709" ht="15.75" customHeight="1">
      <c r="A709" s="460"/>
      <c r="B709" s="460"/>
      <c r="C709" s="460"/>
      <c r="D709" s="17"/>
      <c r="E709" s="9"/>
      <c r="F709" s="460"/>
      <c r="G709" s="460"/>
      <c r="H709" s="460"/>
      <c r="I709" s="460"/>
      <c r="J709" s="460"/>
      <c r="K709" s="460"/>
      <c r="L709" s="460"/>
      <c r="M709" s="460"/>
      <c r="N709" s="460"/>
      <c r="O709" s="460"/>
      <c r="P709" s="460"/>
      <c r="Q709" s="460"/>
      <c r="R709" s="460"/>
      <c r="S709" s="460"/>
      <c r="T709" s="460"/>
      <c r="U709" s="460"/>
      <c r="V709" s="460"/>
      <c r="W709" s="460"/>
      <c r="X709" s="460"/>
    </row>
    <row r="710" ht="15.75" customHeight="1">
      <c r="A710" s="460"/>
      <c r="B710" s="460"/>
      <c r="C710" s="460"/>
      <c r="D710" s="17"/>
      <c r="E710" s="9"/>
      <c r="F710" s="460"/>
      <c r="G710" s="460"/>
      <c r="H710" s="460"/>
      <c r="I710" s="460"/>
      <c r="J710" s="460"/>
      <c r="K710" s="460"/>
      <c r="L710" s="460"/>
      <c r="M710" s="460"/>
      <c r="N710" s="460"/>
      <c r="O710" s="460"/>
      <c r="P710" s="460"/>
      <c r="Q710" s="460"/>
      <c r="R710" s="460"/>
      <c r="S710" s="460"/>
      <c r="T710" s="460"/>
      <c r="U710" s="460"/>
      <c r="V710" s="460"/>
      <c r="W710" s="460"/>
      <c r="X710" s="460"/>
    </row>
    <row r="711" ht="15.75" customHeight="1">
      <c r="A711" s="460"/>
      <c r="B711" s="460"/>
      <c r="C711" s="460"/>
      <c r="D711" s="17"/>
      <c r="E711" s="9"/>
      <c r="F711" s="460"/>
      <c r="G711" s="460"/>
      <c r="H711" s="460"/>
      <c r="I711" s="460"/>
      <c r="J711" s="460"/>
      <c r="K711" s="460"/>
      <c r="L711" s="460"/>
      <c r="M711" s="460"/>
      <c r="N711" s="460"/>
      <c r="O711" s="460"/>
      <c r="P711" s="460"/>
      <c r="Q711" s="460"/>
      <c r="R711" s="460"/>
      <c r="S711" s="460"/>
      <c r="T711" s="460"/>
      <c r="U711" s="460"/>
      <c r="V711" s="460"/>
      <c r="W711" s="460"/>
      <c r="X711" s="460"/>
    </row>
    <row r="712" ht="15.75" customHeight="1">
      <c r="A712" s="460"/>
      <c r="B712" s="460"/>
      <c r="C712" s="460"/>
      <c r="D712" s="17"/>
      <c r="E712" s="9"/>
      <c r="F712" s="460"/>
      <c r="G712" s="460"/>
      <c r="H712" s="460"/>
      <c r="I712" s="460"/>
      <c r="J712" s="460"/>
      <c r="K712" s="460"/>
      <c r="L712" s="460"/>
      <c r="M712" s="460"/>
      <c r="N712" s="460"/>
      <c r="O712" s="460"/>
      <c r="P712" s="460"/>
      <c r="Q712" s="460"/>
      <c r="R712" s="460"/>
      <c r="S712" s="460"/>
      <c r="T712" s="460"/>
      <c r="U712" s="460"/>
      <c r="V712" s="460"/>
      <c r="W712" s="460"/>
      <c r="X712" s="460"/>
    </row>
    <row r="713" ht="15.75" customHeight="1">
      <c r="A713" s="460"/>
      <c r="B713" s="460"/>
      <c r="C713" s="460"/>
      <c r="D713" s="17"/>
      <c r="E713" s="9"/>
      <c r="F713" s="460"/>
      <c r="G713" s="460"/>
      <c r="H713" s="460"/>
      <c r="I713" s="460"/>
      <c r="J713" s="460"/>
      <c r="K713" s="460"/>
      <c r="L713" s="460"/>
      <c r="M713" s="460"/>
      <c r="N713" s="460"/>
      <c r="O713" s="460"/>
      <c r="P713" s="460"/>
      <c r="Q713" s="460"/>
      <c r="R713" s="460"/>
      <c r="S713" s="460"/>
      <c r="T713" s="460"/>
      <c r="U713" s="460"/>
      <c r="V713" s="460"/>
      <c r="W713" s="460"/>
      <c r="X713" s="460"/>
    </row>
    <row r="714" ht="15.75" customHeight="1">
      <c r="A714" s="460"/>
      <c r="B714" s="460"/>
      <c r="C714" s="460"/>
      <c r="D714" s="17"/>
      <c r="E714" s="9"/>
      <c r="F714" s="460"/>
      <c r="G714" s="460"/>
      <c r="H714" s="460"/>
      <c r="I714" s="460"/>
      <c r="J714" s="460"/>
      <c r="K714" s="460"/>
      <c r="L714" s="460"/>
      <c r="M714" s="460"/>
      <c r="N714" s="460"/>
      <c r="O714" s="460"/>
      <c r="P714" s="460"/>
      <c r="Q714" s="460"/>
      <c r="R714" s="460"/>
      <c r="S714" s="460"/>
      <c r="T714" s="460"/>
      <c r="U714" s="460"/>
      <c r="V714" s="460"/>
      <c r="W714" s="460"/>
      <c r="X714" s="460"/>
    </row>
    <row r="715" ht="15.75" customHeight="1">
      <c r="A715" s="460"/>
      <c r="B715" s="460"/>
      <c r="C715" s="460"/>
      <c r="D715" s="17"/>
      <c r="E715" s="9"/>
      <c r="F715" s="460"/>
      <c r="G715" s="460"/>
      <c r="H715" s="460"/>
      <c r="I715" s="460"/>
      <c r="J715" s="460"/>
      <c r="K715" s="460"/>
      <c r="L715" s="460"/>
      <c r="M715" s="460"/>
      <c r="N715" s="460"/>
      <c r="O715" s="460"/>
      <c r="P715" s="460"/>
      <c r="Q715" s="460"/>
      <c r="R715" s="460"/>
      <c r="S715" s="460"/>
      <c r="T715" s="460"/>
      <c r="U715" s="460"/>
      <c r="V715" s="460"/>
      <c r="W715" s="460"/>
      <c r="X715" s="460"/>
    </row>
    <row r="716" ht="15.75" customHeight="1">
      <c r="A716" s="460"/>
      <c r="B716" s="460"/>
      <c r="C716" s="460"/>
      <c r="D716" s="17"/>
      <c r="E716" s="9"/>
      <c r="F716" s="460"/>
      <c r="G716" s="460"/>
      <c r="H716" s="460"/>
      <c r="I716" s="460"/>
      <c r="J716" s="460"/>
      <c r="K716" s="460"/>
      <c r="L716" s="460"/>
      <c r="M716" s="460"/>
      <c r="N716" s="460"/>
      <c r="O716" s="460"/>
      <c r="P716" s="460"/>
      <c r="Q716" s="460"/>
      <c r="R716" s="460"/>
      <c r="S716" s="460"/>
      <c r="T716" s="460"/>
      <c r="U716" s="460"/>
      <c r="V716" s="460"/>
      <c r="W716" s="460"/>
      <c r="X716" s="460"/>
    </row>
    <row r="717" ht="15.75" customHeight="1">
      <c r="A717" s="460"/>
      <c r="B717" s="460"/>
      <c r="C717" s="460"/>
      <c r="D717" s="17"/>
      <c r="E717" s="9"/>
      <c r="F717" s="460"/>
      <c r="G717" s="460"/>
      <c r="H717" s="460"/>
      <c r="I717" s="460"/>
      <c r="J717" s="460"/>
      <c r="K717" s="460"/>
      <c r="L717" s="460"/>
      <c r="M717" s="460"/>
      <c r="N717" s="460"/>
      <c r="O717" s="460"/>
      <c r="P717" s="460"/>
      <c r="Q717" s="460"/>
      <c r="R717" s="460"/>
      <c r="S717" s="460"/>
      <c r="T717" s="460"/>
      <c r="U717" s="460"/>
      <c r="V717" s="460"/>
      <c r="W717" s="460"/>
      <c r="X717" s="460"/>
    </row>
    <row r="718" ht="15.75" customHeight="1">
      <c r="A718" s="460"/>
      <c r="B718" s="460"/>
      <c r="C718" s="460"/>
      <c r="D718" s="17"/>
      <c r="E718" s="9"/>
      <c r="F718" s="460"/>
      <c r="G718" s="460"/>
      <c r="H718" s="460"/>
      <c r="I718" s="460"/>
      <c r="J718" s="460"/>
      <c r="K718" s="460"/>
      <c r="L718" s="460"/>
      <c r="M718" s="460"/>
      <c r="N718" s="460"/>
      <c r="O718" s="460"/>
      <c r="P718" s="460"/>
      <c r="Q718" s="460"/>
      <c r="R718" s="460"/>
      <c r="S718" s="460"/>
      <c r="T718" s="460"/>
      <c r="U718" s="460"/>
      <c r="V718" s="460"/>
      <c r="W718" s="460"/>
      <c r="X718" s="460"/>
    </row>
    <row r="719" ht="15.75" customHeight="1">
      <c r="A719" s="460"/>
      <c r="B719" s="460"/>
      <c r="C719" s="460"/>
      <c r="D719" s="17"/>
      <c r="E719" s="9"/>
      <c r="F719" s="460"/>
      <c r="G719" s="460"/>
      <c r="H719" s="460"/>
      <c r="I719" s="460"/>
      <c r="J719" s="460"/>
      <c r="K719" s="460"/>
      <c r="L719" s="460"/>
      <c r="M719" s="460"/>
      <c r="N719" s="460"/>
      <c r="O719" s="460"/>
      <c r="P719" s="460"/>
      <c r="Q719" s="460"/>
      <c r="R719" s="460"/>
      <c r="S719" s="460"/>
      <c r="T719" s="460"/>
      <c r="U719" s="460"/>
      <c r="V719" s="460"/>
      <c r="W719" s="460"/>
      <c r="X719" s="460"/>
    </row>
    <row r="720" ht="15.75" customHeight="1">
      <c r="A720" s="460"/>
      <c r="B720" s="460"/>
      <c r="C720" s="460"/>
      <c r="D720" s="17"/>
      <c r="E720" s="9"/>
      <c r="F720" s="460"/>
      <c r="G720" s="460"/>
      <c r="H720" s="460"/>
      <c r="I720" s="460"/>
      <c r="J720" s="460"/>
      <c r="K720" s="460"/>
      <c r="L720" s="460"/>
      <c r="M720" s="460"/>
      <c r="N720" s="460"/>
      <c r="O720" s="460"/>
      <c r="P720" s="460"/>
      <c r="Q720" s="460"/>
      <c r="R720" s="460"/>
      <c r="S720" s="460"/>
      <c r="T720" s="460"/>
      <c r="U720" s="460"/>
      <c r="V720" s="460"/>
      <c r="W720" s="460"/>
      <c r="X720" s="460"/>
    </row>
    <row r="721" ht="15.75" customHeight="1">
      <c r="A721" s="460"/>
      <c r="B721" s="460"/>
      <c r="C721" s="460"/>
      <c r="D721" s="17"/>
      <c r="E721" s="9"/>
      <c r="F721" s="460"/>
      <c r="G721" s="460"/>
      <c r="H721" s="460"/>
      <c r="I721" s="460"/>
      <c r="J721" s="460"/>
      <c r="K721" s="460"/>
      <c r="L721" s="460"/>
      <c r="M721" s="460"/>
      <c r="N721" s="460"/>
      <c r="O721" s="460"/>
      <c r="P721" s="460"/>
      <c r="Q721" s="460"/>
      <c r="R721" s="460"/>
      <c r="S721" s="460"/>
      <c r="T721" s="460"/>
      <c r="U721" s="460"/>
      <c r="V721" s="460"/>
      <c r="W721" s="460"/>
      <c r="X721" s="460"/>
    </row>
    <row r="722" ht="15.75" customHeight="1">
      <c r="A722" s="460"/>
      <c r="B722" s="460"/>
      <c r="C722" s="460"/>
      <c r="D722" s="17"/>
      <c r="E722" s="9"/>
      <c r="F722" s="460"/>
      <c r="G722" s="460"/>
      <c r="H722" s="460"/>
      <c r="I722" s="460"/>
      <c r="J722" s="460"/>
      <c r="K722" s="460"/>
      <c r="L722" s="460"/>
      <c r="M722" s="460"/>
      <c r="N722" s="460"/>
      <c r="O722" s="460"/>
      <c r="P722" s="460"/>
      <c r="Q722" s="460"/>
      <c r="R722" s="460"/>
      <c r="S722" s="460"/>
      <c r="T722" s="460"/>
      <c r="U722" s="460"/>
      <c r="V722" s="460"/>
      <c r="W722" s="460"/>
      <c r="X722" s="460"/>
    </row>
    <row r="723" ht="15.75" customHeight="1">
      <c r="A723" s="460"/>
      <c r="B723" s="460"/>
      <c r="C723" s="460"/>
      <c r="D723" s="17"/>
      <c r="E723" s="9"/>
      <c r="F723" s="460"/>
      <c r="G723" s="460"/>
      <c r="H723" s="460"/>
      <c r="I723" s="460"/>
      <c r="J723" s="460"/>
      <c r="K723" s="460"/>
      <c r="L723" s="460"/>
      <c r="M723" s="460"/>
      <c r="N723" s="460"/>
      <c r="O723" s="460"/>
      <c r="P723" s="460"/>
      <c r="Q723" s="460"/>
      <c r="R723" s="460"/>
      <c r="S723" s="460"/>
      <c r="T723" s="460"/>
      <c r="U723" s="460"/>
      <c r="V723" s="460"/>
      <c r="W723" s="460"/>
      <c r="X723" s="460"/>
    </row>
    <row r="724" ht="15.75" customHeight="1">
      <c r="A724" s="460"/>
      <c r="B724" s="460"/>
      <c r="C724" s="460"/>
      <c r="D724" s="17"/>
      <c r="E724" s="9"/>
      <c r="F724" s="460"/>
      <c r="G724" s="460"/>
      <c r="H724" s="460"/>
      <c r="I724" s="460"/>
      <c r="J724" s="460"/>
      <c r="K724" s="460"/>
      <c r="L724" s="460"/>
      <c r="M724" s="460"/>
      <c r="N724" s="460"/>
      <c r="O724" s="460"/>
      <c r="P724" s="460"/>
      <c r="Q724" s="460"/>
      <c r="R724" s="460"/>
      <c r="S724" s="460"/>
      <c r="T724" s="460"/>
      <c r="U724" s="460"/>
      <c r="V724" s="460"/>
      <c r="W724" s="460"/>
      <c r="X724" s="460"/>
    </row>
    <row r="725" ht="15.75" customHeight="1">
      <c r="A725" s="460"/>
      <c r="B725" s="460"/>
      <c r="C725" s="460"/>
      <c r="D725" s="17"/>
      <c r="E725" s="9"/>
      <c r="F725" s="460"/>
      <c r="G725" s="460"/>
      <c r="H725" s="460"/>
      <c r="I725" s="460"/>
      <c r="J725" s="460"/>
      <c r="K725" s="460"/>
      <c r="L725" s="460"/>
      <c r="M725" s="460"/>
      <c r="N725" s="460"/>
      <c r="O725" s="460"/>
      <c r="P725" s="460"/>
      <c r="Q725" s="460"/>
      <c r="R725" s="460"/>
      <c r="S725" s="460"/>
      <c r="T725" s="460"/>
      <c r="U725" s="460"/>
      <c r="V725" s="460"/>
      <c r="W725" s="460"/>
      <c r="X725" s="460"/>
    </row>
    <row r="726" ht="15.75" customHeight="1">
      <c r="A726" s="460"/>
      <c r="B726" s="460"/>
      <c r="C726" s="460"/>
      <c r="D726" s="17"/>
      <c r="E726" s="9"/>
      <c r="F726" s="460"/>
      <c r="G726" s="460"/>
      <c r="H726" s="460"/>
      <c r="I726" s="460"/>
      <c r="J726" s="460"/>
      <c r="K726" s="460"/>
      <c r="L726" s="460"/>
      <c r="M726" s="460"/>
      <c r="N726" s="460"/>
      <c r="O726" s="460"/>
      <c r="P726" s="460"/>
      <c r="Q726" s="460"/>
      <c r="R726" s="460"/>
      <c r="S726" s="460"/>
      <c r="T726" s="460"/>
      <c r="U726" s="460"/>
      <c r="V726" s="460"/>
      <c r="W726" s="460"/>
      <c r="X726" s="460"/>
    </row>
    <row r="727" ht="15.75" customHeight="1">
      <c r="A727" s="460"/>
      <c r="B727" s="460"/>
      <c r="C727" s="460"/>
      <c r="D727" s="17"/>
      <c r="E727" s="9"/>
      <c r="F727" s="460"/>
      <c r="G727" s="460"/>
      <c r="H727" s="460"/>
      <c r="I727" s="460"/>
      <c r="J727" s="460"/>
      <c r="K727" s="460"/>
      <c r="L727" s="460"/>
      <c r="M727" s="460"/>
      <c r="N727" s="460"/>
      <c r="O727" s="460"/>
      <c r="P727" s="460"/>
      <c r="Q727" s="460"/>
      <c r="R727" s="460"/>
      <c r="S727" s="460"/>
      <c r="T727" s="460"/>
      <c r="U727" s="460"/>
      <c r="V727" s="460"/>
      <c r="W727" s="460"/>
      <c r="X727" s="460"/>
    </row>
    <row r="728" ht="15.75" customHeight="1">
      <c r="A728" s="460"/>
      <c r="B728" s="460"/>
      <c r="C728" s="460"/>
      <c r="D728" s="17"/>
      <c r="E728" s="9"/>
      <c r="F728" s="460"/>
      <c r="G728" s="460"/>
      <c r="H728" s="460"/>
      <c r="I728" s="460"/>
      <c r="J728" s="460"/>
      <c r="K728" s="460"/>
      <c r="L728" s="460"/>
      <c r="M728" s="460"/>
      <c r="N728" s="460"/>
      <c r="O728" s="460"/>
      <c r="P728" s="460"/>
      <c r="Q728" s="460"/>
      <c r="R728" s="460"/>
      <c r="S728" s="460"/>
      <c r="T728" s="460"/>
      <c r="U728" s="460"/>
      <c r="V728" s="460"/>
      <c r="W728" s="460"/>
      <c r="X728" s="460"/>
    </row>
    <row r="729" ht="15.75" customHeight="1">
      <c r="A729" s="460"/>
      <c r="B729" s="460"/>
      <c r="C729" s="460"/>
      <c r="D729" s="17"/>
      <c r="E729" s="9"/>
      <c r="F729" s="460"/>
      <c r="G729" s="460"/>
      <c r="H729" s="460"/>
      <c r="I729" s="460"/>
      <c r="J729" s="460"/>
      <c r="K729" s="460"/>
      <c r="L729" s="460"/>
      <c r="M729" s="460"/>
      <c r="N729" s="460"/>
      <c r="O729" s="460"/>
      <c r="P729" s="460"/>
      <c r="Q729" s="460"/>
      <c r="R729" s="460"/>
      <c r="S729" s="460"/>
      <c r="T729" s="460"/>
      <c r="U729" s="460"/>
      <c r="V729" s="460"/>
      <c r="W729" s="460"/>
      <c r="X729" s="460"/>
    </row>
    <row r="730" ht="15.75" customHeight="1">
      <c r="A730" s="460"/>
      <c r="B730" s="460"/>
      <c r="C730" s="460"/>
      <c r="D730" s="17"/>
      <c r="E730" s="9"/>
      <c r="F730" s="460"/>
      <c r="G730" s="460"/>
      <c r="H730" s="460"/>
      <c r="I730" s="460"/>
      <c r="J730" s="460"/>
      <c r="K730" s="460"/>
      <c r="L730" s="460"/>
      <c r="M730" s="460"/>
      <c r="N730" s="460"/>
      <c r="O730" s="460"/>
      <c r="P730" s="460"/>
      <c r="Q730" s="460"/>
      <c r="R730" s="460"/>
      <c r="S730" s="460"/>
      <c r="T730" s="460"/>
      <c r="U730" s="460"/>
      <c r="V730" s="460"/>
      <c r="W730" s="460"/>
      <c r="X730" s="460"/>
    </row>
    <row r="731" ht="15.75" customHeight="1">
      <c r="A731" s="460"/>
      <c r="B731" s="460"/>
      <c r="C731" s="460"/>
      <c r="D731" s="17"/>
      <c r="E731" s="9"/>
      <c r="F731" s="460"/>
      <c r="G731" s="460"/>
      <c r="H731" s="460"/>
      <c r="I731" s="460"/>
      <c r="J731" s="460"/>
      <c r="K731" s="460"/>
      <c r="L731" s="460"/>
      <c r="M731" s="460"/>
      <c r="N731" s="460"/>
      <c r="O731" s="460"/>
      <c r="P731" s="460"/>
      <c r="Q731" s="460"/>
      <c r="R731" s="460"/>
      <c r="S731" s="460"/>
      <c r="T731" s="460"/>
      <c r="U731" s="460"/>
      <c r="V731" s="460"/>
      <c r="W731" s="460"/>
      <c r="X731" s="460"/>
    </row>
    <row r="732" ht="15.75" customHeight="1">
      <c r="A732" s="460"/>
      <c r="B732" s="460"/>
      <c r="C732" s="460"/>
      <c r="D732" s="17"/>
      <c r="E732" s="9"/>
      <c r="F732" s="460"/>
      <c r="G732" s="460"/>
      <c r="H732" s="460"/>
      <c r="I732" s="460"/>
      <c r="J732" s="460"/>
      <c r="K732" s="460"/>
      <c r="L732" s="460"/>
      <c r="M732" s="460"/>
      <c r="N732" s="460"/>
      <c r="O732" s="460"/>
      <c r="P732" s="460"/>
      <c r="Q732" s="460"/>
      <c r="R732" s="460"/>
      <c r="S732" s="460"/>
      <c r="T732" s="460"/>
      <c r="U732" s="460"/>
      <c r="V732" s="460"/>
      <c r="W732" s="460"/>
      <c r="X732" s="460"/>
    </row>
    <row r="733" ht="15.75" customHeight="1">
      <c r="A733" s="460"/>
      <c r="B733" s="460"/>
      <c r="C733" s="460"/>
      <c r="D733" s="17"/>
      <c r="E733" s="9"/>
      <c r="F733" s="460"/>
      <c r="G733" s="460"/>
      <c r="H733" s="460"/>
      <c r="I733" s="460"/>
      <c r="J733" s="460"/>
      <c r="K733" s="460"/>
      <c r="L733" s="460"/>
      <c r="M733" s="460"/>
      <c r="N733" s="460"/>
      <c r="O733" s="460"/>
      <c r="P733" s="460"/>
      <c r="Q733" s="460"/>
      <c r="R733" s="460"/>
      <c r="S733" s="460"/>
      <c r="T733" s="460"/>
      <c r="U733" s="460"/>
      <c r="V733" s="460"/>
      <c r="W733" s="460"/>
      <c r="X733" s="460"/>
    </row>
    <row r="734" ht="15.75" customHeight="1">
      <c r="A734" s="460"/>
      <c r="B734" s="460"/>
      <c r="C734" s="460"/>
      <c r="D734" s="17"/>
      <c r="E734" s="9"/>
      <c r="F734" s="460"/>
      <c r="G734" s="460"/>
      <c r="H734" s="460"/>
      <c r="I734" s="460"/>
      <c r="J734" s="460"/>
      <c r="K734" s="460"/>
      <c r="L734" s="460"/>
      <c r="M734" s="460"/>
      <c r="N734" s="460"/>
      <c r="O734" s="460"/>
      <c r="P734" s="460"/>
      <c r="Q734" s="460"/>
      <c r="R734" s="460"/>
      <c r="S734" s="460"/>
      <c r="T734" s="460"/>
      <c r="U734" s="460"/>
      <c r="V734" s="460"/>
      <c r="W734" s="460"/>
      <c r="X734" s="460"/>
    </row>
    <row r="735" ht="15.75" customHeight="1">
      <c r="A735" s="460"/>
      <c r="B735" s="460"/>
      <c r="C735" s="460"/>
      <c r="D735" s="17"/>
      <c r="E735" s="9"/>
      <c r="F735" s="460"/>
      <c r="G735" s="460"/>
      <c r="H735" s="460"/>
      <c r="I735" s="460"/>
      <c r="J735" s="460"/>
      <c r="K735" s="460"/>
      <c r="L735" s="460"/>
      <c r="M735" s="460"/>
      <c r="N735" s="460"/>
      <c r="O735" s="460"/>
      <c r="P735" s="460"/>
      <c r="Q735" s="460"/>
      <c r="R735" s="460"/>
      <c r="S735" s="460"/>
      <c r="T735" s="460"/>
      <c r="U735" s="460"/>
      <c r="V735" s="460"/>
      <c r="W735" s="460"/>
      <c r="X735" s="460"/>
    </row>
    <row r="736" ht="15.75" customHeight="1">
      <c r="A736" s="460"/>
      <c r="B736" s="460"/>
      <c r="C736" s="460"/>
      <c r="D736" s="17"/>
      <c r="E736" s="9"/>
      <c r="F736" s="460"/>
      <c r="G736" s="460"/>
      <c r="H736" s="460"/>
      <c r="I736" s="460"/>
      <c r="J736" s="460"/>
      <c r="K736" s="460"/>
      <c r="L736" s="460"/>
      <c r="M736" s="460"/>
      <c r="N736" s="460"/>
      <c r="O736" s="460"/>
      <c r="P736" s="460"/>
      <c r="Q736" s="460"/>
      <c r="R736" s="460"/>
      <c r="S736" s="460"/>
      <c r="T736" s="460"/>
      <c r="U736" s="460"/>
      <c r="V736" s="460"/>
      <c r="W736" s="460"/>
      <c r="X736" s="460"/>
    </row>
    <row r="737" ht="15.75" customHeight="1">
      <c r="A737" s="460"/>
      <c r="B737" s="460"/>
      <c r="C737" s="460"/>
      <c r="D737" s="17"/>
      <c r="E737" s="9"/>
      <c r="F737" s="460"/>
      <c r="G737" s="460"/>
      <c r="H737" s="460"/>
      <c r="I737" s="460"/>
      <c r="J737" s="460"/>
      <c r="K737" s="460"/>
      <c r="L737" s="460"/>
      <c r="M737" s="460"/>
      <c r="N737" s="460"/>
      <c r="O737" s="460"/>
      <c r="P737" s="460"/>
      <c r="Q737" s="460"/>
      <c r="R737" s="460"/>
      <c r="S737" s="460"/>
      <c r="T737" s="460"/>
      <c r="U737" s="460"/>
      <c r="V737" s="460"/>
      <c r="W737" s="460"/>
      <c r="X737" s="460"/>
    </row>
    <row r="738" ht="15.75" customHeight="1">
      <c r="A738" s="460"/>
      <c r="B738" s="460"/>
      <c r="C738" s="460"/>
      <c r="D738" s="17"/>
      <c r="E738" s="9"/>
      <c r="F738" s="460"/>
      <c r="G738" s="460"/>
      <c r="H738" s="460"/>
      <c r="I738" s="460"/>
      <c r="J738" s="460"/>
      <c r="K738" s="460"/>
      <c r="L738" s="460"/>
      <c r="M738" s="460"/>
      <c r="N738" s="460"/>
      <c r="O738" s="460"/>
      <c r="P738" s="460"/>
      <c r="Q738" s="460"/>
      <c r="R738" s="460"/>
      <c r="S738" s="460"/>
      <c r="T738" s="460"/>
      <c r="U738" s="460"/>
      <c r="V738" s="460"/>
      <c r="W738" s="460"/>
      <c r="X738" s="460"/>
    </row>
    <row r="739" ht="15.75" customHeight="1">
      <c r="A739" s="460"/>
      <c r="B739" s="460"/>
      <c r="C739" s="460"/>
      <c r="D739" s="17"/>
      <c r="E739" s="9"/>
      <c r="F739" s="460"/>
      <c r="G739" s="460"/>
      <c r="H739" s="460"/>
      <c r="I739" s="460"/>
      <c r="J739" s="460"/>
      <c r="K739" s="460"/>
      <c r="L739" s="460"/>
      <c r="M739" s="460"/>
      <c r="N739" s="460"/>
      <c r="O739" s="460"/>
      <c r="P739" s="460"/>
      <c r="Q739" s="460"/>
      <c r="R739" s="460"/>
      <c r="S739" s="460"/>
      <c r="T739" s="460"/>
      <c r="U739" s="460"/>
      <c r="V739" s="460"/>
      <c r="W739" s="460"/>
      <c r="X739" s="460"/>
    </row>
    <row r="740" ht="15.75" customHeight="1">
      <c r="A740" s="460"/>
      <c r="B740" s="460"/>
      <c r="C740" s="460"/>
      <c r="D740" s="17"/>
      <c r="E740" s="9"/>
      <c r="F740" s="460"/>
      <c r="G740" s="460"/>
      <c r="H740" s="460"/>
      <c r="I740" s="460"/>
      <c r="J740" s="460"/>
      <c r="K740" s="460"/>
      <c r="L740" s="460"/>
      <c r="M740" s="460"/>
      <c r="N740" s="460"/>
      <c r="O740" s="460"/>
      <c r="P740" s="460"/>
      <c r="Q740" s="460"/>
      <c r="R740" s="460"/>
      <c r="S740" s="460"/>
      <c r="T740" s="460"/>
      <c r="U740" s="460"/>
      <c r="V740" s="460"/>
      <c r="W740" s="460"/>
      <c r="X740" s="460"/>
    </row>
    <row r="741" ht="15.75" customHeight="1">
      <c r="A741" s="460"/>
      <c r="B741" s="460"/>
      <c r="C741" s="460"/>
      <c r="D741" s="17"/>
      <c r="E741" s="9"/>
      <c r="F741" s="460"/>
      <c r="G741" s="460"/>
      <c r="H741" s="460"/>
      <c r="I741" s="460"/>
      <c r="J741" s="460"/>
      <c r="K741" s="460"/>
      <c r="L741" s="460"/>
      <c r="M741" s="460"/>
      <c r="N741" s="460"/>
      <c r="O741" s="460"/>
      <c r="P741" s="460"/>
      <c r="Q741" s="460"/>
      <c r="R741" s="460"/>
      <c r="S741" s="460"/>
      <c r="T741" s="460"/>
      <c r="U741" s="460"/>
      <c r="V741" s="460"/>
      <c r="W741" s="460"/>
      <c r="X741" s="460"/>
    </row>
    <row r="742" ht="15.75" customHeight="1">
      <c r="A742" s="460"/>
      <c r="B742" s="460"/>
      <c r="C742" s="460"/>
      <c r="D742" s="17"/>
      <c r="E742" s="9"/>
      <c r="F742" s="460"/>
      <c r="G742" s="460"/>
      <c r="H742" s="460"/>
      <c r="I742" s="460"/>
      <c r="J742" s="460"/>
      <c r="K742" s="460"/>
      <c r="L742" s="460"/>
      <c r="M742" s="460"/>
      <c r="N742" s="460"/>
      <c r="O742" s="460"/>
      <c r="P742" s="460"/>
      <c r="Q742" s="460"/>
      <c r="R742" s="460"/>
      <c r="S742" s="460"/>
      <c r="T742" s="460"/>
      <c r="U742" s="460"/>
      <c r="V742" s="460"/>
      <c r="W742" s="460"/>
      <c r="X742" s="460"/>
    </row>
    <row r="743" ht="15.75" customHeight="1">
      <c r="A743" s="460"/>
      <c r="B743" s="460"/>
      <c r="C743" s="460"/>
      <c r="D743" s="17"/>
      <c r="E743" s="9"/>
      <c r="F743" s="460"/>
      <c r="G743" s="460"/>
      <c r="H743" s="460"/>
      <c r="I743" s="460"/>
      <c r="J743" s="460"/>
      <c r="K743" s="460"/>
      <c r="L743" s="460"/>
      <c r="M743" s="460"/>
      <c r="N743" s="460"/>
      <c r="O743" s="460"/>
      <c r="P743" s="460"/>
      <c r="Q743" s="460"/>
      <c r="R743" s="460"/>
      <c r="S743" s="460"/>
      <c r="T743" s="460"/>
      <c r="U743" s="460"/>
      <c r="V743" s="460"/>
      <c r="W743" s="460"/>
      <c r="X743" s="460"/>
    </row>
    <row r="744" ht="15.75" customHeight="1">
      <c r="A744" s="460"/>
      <c r="B744" s="460"/>
      <c r="C744" s="460"/>
      <c r="D744" s="17"/>
      <c r="E744" s="9"/>
      <c r="F744" s="460"/>
      <c r="G744" s="460"/>
      <c r="H744" s="460"/>
      <c r="I744" s="460"/>
      <c r="J744" s="460"/>
      <c r="K744" s="460"/>
      <c r="L744" s="460"/>
      <c r="M744" s="460"/>
      <c r="N744" s="460"/>
      <c r="O744" s="460"/>
      <c r="P744" s="460"/>
      <c r="Q744" s="460"/>
      <c r="R744" s="460"/>
      <c r="S744" s="460"/>
      <c r="T744" s="460"/>
      <c r="U744" s="460"/>
      <c r="V744" s="460"/>
      <c r="W744" s="460"/>
      <c r="X744" s="460"/>
    </row>
    <row r="745" ht="15.75" customHeight="1">
      <c r="A745" s="460"/>
      <c r="B745" s="460"/>
      <c r="C745" s="460"/>
      <c r="D745" s="17"/>
      <c r="E745" s="9"/>
      <c r="F745" s="460"/>
      <c r="G745" s="460"/>
      <c r="H745" s="460"/>
      <c r="I745" s="460"/>
      <c r="J745" s="460"/>
      <c r="K745" s="460"/>
      <c r="L745" s="460"/>
      <c r="M745" s="460"/>
      <c r="N745" s="460"/>
      <c r="O745" s="460"/>
      <c r="P745" s="460"/>
      <c r="Q745" s="460"/>
      <c r="R745" s="460"/>
      <c r="S745" s="460"/>
      <c r="T745" s="460"/>
      <c r="U745" s="460"/>
      <c r="V745" s="460"/>
      <c r="W745" s="460"/>
      <c r="X745" s="460"/>
    </row>
    <row r="746" ht="15.75" customHeight="1">
      <c r="A746" s="460"/>
      <c r="B746" s="460"/>
      <c r="C746" s="460"/>
      <c r="D746" s="17"/>
      <c r="E746" s="9"/>
      <c r="F746" s="460"/>
      <c r="G746" s="460"/>
      <c r="H746" s="460"/>
      <c r="I746" s="460"/>
      <c r="J746" s="460"/>
      <c r="K746" s="460"/>
      <c r="L746" s="460"/>
      <c r="M746" s="460"/>
      <c r="N746" s="460"/>
      <c r="O746" s="460"/>
      <c r="P746" s="460"/>
      <c r="Q746" s="460"/>
      <c r="R746" s="460"/>
      <c r="S746" s="460"/>
      <c r="T746" s="460"/>
      <c r="U746" s="460"/>
      <c r="V746" s="460"/>
      <c r="W746" s="460"/>
      <c r="X746" s="460"/>
    </row>
    <row r="747" ht="15.75" customHeight="1">
      <c r="A747" s="460"/>
      <c r="B747" s="460"/>
      <c r="C747" s="460"/>
      <c r="D747" s="17"/>
      <c r="E747" s="9"/>
      <c r="F747" s="460"/>
      <c r="G747" s="460"/>
      <c r="H747" s="460"/>
      <c r="I747" s="460"/>
      <c r="J747" s="460"/>
      <c r="K747" s="460"/>
      <c r="L747" s="460"/>
      <c r="M747" s="460"/>
      <c r="N747" s="460"/>
      <c r="O747" s="460"/>
      <c r="P747" s="460"/>
      <c r="Q747" s="460"/>
      <c r="R747" s="460"/>
      <c r="S747" s="460"/>
      <c r="T747" s="460"/>
      <c r="U747" s="460"/>
      <c r="V747" s="460"/>
      <c r="W747" s="460"/>
      <c r="X747" s="460"/>
    </row>
    <row r="748" ht="15.75" customHeight="1">
      <c r="A748" s="460"/>
      <c r="B748" s="460"/>
      <c r="C748" s="460"/>
      <c r="D748" s="17"/>
      <c r="E748" s="9"/>
      <c r="F748" s="460"/>
      <c r="G748" s="460"/>
      <c r="H748" s="460"/>
      <c r="I748" s="460"/>
      <c r="J748" s="460"/>
      <c r="K748" s="460"/>
      <c r="L748" s="460"/>
      <c r="M748" s="460"/>
      <c r="N748" s="460"/>
      <c r="O748" s="460"/>
      <c r="P748" s="460"/>
      <c r="Q748" s="460"/>
      <c r="R748" s="460"/>
      <c r="S748" s="460"/>
      <c r="T748" s="460"/>
      <c r="U748" s="460"/>
      <c r="V748" s="460"/>
      <c r="W748" s="460"/>
      <c r="X748" s="460"/>
    </row>
    <row r="749" ht="15.75" customHeight="1">
      <c r="A749" s="460"/>
      <c r="B749" s="460"/>
      <c r="C749" s="460"/>
      <c r="D749" s="17"/>
      <c r="E749" s="9"/>
      <c r="F749" s="460"/>
      <c r="G749" s="460"/>
      <c r="H749" s="460"/>
      <c r="I749" s="460"/>
      <c r="J749" s="460"/>
      <c r="K749" s="460"/>
      <c r="L749" s="460"/>
      <c r="M749" s="460"/>
      <c r="N749" s="460"/>
      <c r="O749" s="460"/>
      <c r="P749" s="460"/>
      <c r="Q749" s="460"/>
      <c r="R749" s="460"/>
      <c r="S749" s="460"/>
      <c r="T749" s="460"/>
      <c r="U749" s="460"/>
      <c r="V749" s="460"/>
      <c r="W749" s="460"/>
      <c r="X749" s="460"/>
    </row>
    <row r="750" ht="15.75" customHeight="1">
      <c r="A750" s="460"/>
      <c r="B750" s="460"/>
      <c r="C750" s="460"/>
      <c r="D750" s="17"/>
      <c r="E750" s="9"/>
      <c r="F750" s="460"/>
      <c r="G750" s="460"/>
      <c r="H750" s="460"/>
      <c r="I750" s="460"/>
      <c r="J750" s="460"/>
      <c r="K750" s="460"/>
      <c r="L750" s="460"/>
      <c r="M750" s="460"/>
      <c r="N750" s="460"/>
      <c r="O750" s="460"/>
      <c r="P750" s="460"/>
      <c r="Q750" s="460"/>
      <c r="R750" s="460"/>
      <c r="S750" s="460"/>
      <c r="T750" s="460"/>
      <c r="U750" s="460"/>
      <c r="V750" s="460"/>
      <c r="W750" s="460"/>
      <c r="X750" s="460"/>
    </row>
    <row r="751" ht="15.75" customHeight="1">
      <c r="A751" s="460"/>
      <c r="B751" s="460"/>
      <c r="C751" s="460"/>
      <c r="D751" s="17"/>
      <c r="E751" s="9"/>
      <c r="F751" s="460"/>
      <c r="G751" s="460"/>
      <c r="H751" s="460"/>
      <c r="I751" s="460"/>
      <c r="J751" s="460"/>
      <c r="K751" s="460"/>
      <c r="L751" s="460"/>
      <c r="M751" s="460"/>
      <c r="N751" s="460"/>
      <c r="O751" s="460"/>
      <c r="P751" s="460"/>
      <c r="Q751" s="460"/>
      <c r="R751" s="460"/>
      <c r="S751" s="460"/>
      <c r="T751" s="460"/>
      <c r="U751" s="460"/>
      <c r="V751" s="460"/>
      <c r="W751" s="460"/>
      <c r="X751" s="460"/>
    </row>
    <row r="752" ht="15.75" customHeight="1">
      <c r="A752" s="460"/>
      <c r="B752" s="460"/>
      <c r="C752" s="460"/>
      <c r="D752" s="17"/>
      <c r="E752" s="9"/>
      <c r="F752" s="460"/>
      <c r="G752" s="460"/>
      <c r="H752" s="460"/>
      <c r="I752" s="460"/>
      <c r="J752" s="460"/>
      <c r="K752" s="460"/>
      <c r="L752" s="460"/>
      <c r="M752" s="460"/>
      <c r="N752" s="460"/>
      <c r="O752" s="460"/>
      <c r="P752" s="460"/>
      <c r="Q752" s="460"/>
      <c r="R752" s="460"/>
      <c r="S752" s="460"/>
      <c r="T752" s="460"/>
      <c r="U752" s="460"/>
      <c r="V752" s="460"/>
      <c r="W752" s="460"/>
      <c r="X752" s="460"/>
    </row>
    <row r="753" ht="15.75" customHeight="1">
      <c r="A753" s="460"/>
      <c r="B753" s="460"/>
      <c r="C753" s="460"/>
      <c r="D753" s="17"/>
      <c r="E753" s="9"/>
      <c r="F753" s="460"/>
      <c r="G753" s="460"/>
      <c r="H753" s="460"/>
      <c r="I753" s="460"/>
      <c r="J753" s="460"/>
      <c r="K753" s="460"/>
      <c r="L753" s="460"/>
      <c r="M753" s="460"/>
      <c r="N753" s="460"/>
      <c r="O753" s="460"/>
      <c r="P753" s="460"/>
      <c r="Q753" s="460"/>
      <c r="R753" s="460"/>
      <c r="S753" s="460"/>
      <c r="T753" s="460"/>
      <c r="U753" s="460"/>
      <c r="V753" s="460"/>
      <c r="W753" s="460"/>
      <c r="X753" s="460"/>
    </row>
    <row r="754" ht="15.75" customHeight="1">
      <c r="A754" s="460"/>
      <c r="B754" s="460"/>
      <c r="C754" s="460"/>
      <c r="D754" s="17"/>
      <c r="E754" s="9"/>
      <c r="F754" s="460"/>
      <c r="G754" s="460"/>
      <c r="H754" s="460"/>
      <c r="I754" s="460"/>
      <c r="J754" s="460"/>
      <c r="K754" s="460"/>
      <c r="L754" s="460"/>
      <c r="M754" s="460"/>
      <c r="N754" s="460"/>
      <c r="O754" s="460"/>
      <c r="P754" s="460"/>
      <c r="Q754" s="460"/>
      <c r="R754" s="460"/>
      <c r="S754" s="460"/>
      <c r="T754" s="460"/>
      <c r="U754" s="460"/>
      <c r="V754" s="460"/>
      <c r="W754" s="460"/>
      <c r="X754" s="460"/>
    </row>
    <row r="755" ht="15.75" customHeight="1">
      <c r="A755" s="460"/>
      <c r="B755" s="460"/>
      <c r="C755" s="460"/>
      <c r="D755" s="17"/>
      <c r="E755" s="9"/>
      <c r="F755" s="460"/>
      <c r="G755" s="460"/>
      <c r="H755" s="460"/>
      <c r="I755" s="460"/>
      <c r="J755" s="460"/>
      <c r="K755" s="460"/>
      <c r="L755" s="460"/>
      <c r="M755" s="460"/>
      <c r="N755" s="460"/>
      <c r="O755" s="460"/>
      <c r="P755" s="460"/>
      <c r="Q755" s="460"/>
      <c r="R755" s="460"/>
      <c r="S755" s="460"/>
      <c r="T755" s="460"/>
      <c r="U755" s="460"/>
      <c r="V755" s="460"/>
      <c r="W755" s="460"/>
      <c r="X755" s="460"/>
    </row>
    <row r="756" ht="15.75" customHeight="1">
      <c r="A756" s="460"/>
      <c r="B756" s="460"/>
      <c r="C756" s="460"/>
      <c r="D756" s="17"/>
      <c r="E756" s="9"/>
      <c r="F756" s="460"/>
      <c r="G756" s="460"/>
      <c r="H756" s="460"/>
      <c r="I756" s="460"/>
      <c r="J756" s="460"/>
      <c r="K756" s="460"/>
      <c r="L756" s="460"/>
      <c r="M756" s="460"/>
      <c r="N756" s="460"/>
      <c r="O756" s="460"/>
      <c r="P756" s="460"/>
      <c r="Q756" s="460"/>
      <c r="R756" s="460"/>
      <c r="S756" s="460"/>
      <c r="T756" s="460"/>
      <c r="U756" s="460"/>
      <c r="V756" s="460"/>
      <c r="W756" s="460"/>
      <c r="X756" s="460"/>
    </row>
    <row r="757" ht="15.75" customHeight="1">
      <c r="A757" s="460"/>
      <c r="B757" s="460"/>
      <c r="C757" s="460"/>
      <c r="D757" s="17"/>
      <c r="E757" s="9"/>
      <c r="F757" s="460"/>
      <c r="G757" s="460"/>
      <c r="H757" s="460"/>
      <c r="I757" s="460"/>
      <c r="J757" s="460"/>
      <c r="K757" s="460"/>
      <c r="L757" s="460"/>
      <c r="M757" s="460"/>
      <c r="N757" s="460"/>
      <c r="O757" s="460"/>
      <c r="P757" s="460"/>
      <c r="Q757" s="460"/>
      <c r="R757" s="460"/>
      <c r="S757" s="460"/>
      <c r="T757" s="460"/>
      <c r="U757" s="460"/>
      <c r="V757" s="460"/>
      <c r="W757" s="460"/>
      <c r="X757" s="460"/>
    </row>
    <row r="758" ht="15.75" customHeight="1">
      <c r="A758" s="460"/>
      <c r="B758" s="460"/>
      <c r="C758" s="460"/>
      <c r="D758" s="17"/>
      <c r="E758" s="9"/>
      <c r="F758" s="460"/>
      <c r="G758" s="460"/>
      <c r="H758" s="460"/>
      <c r="I758" s="460"/>
      <c r="J758" s="460"/>
      <c r="K758" s="460"/>
      <c r="L758" s="460"/>
      <c r="M758" s="460"/>
      <c r="N758" s="460"/>
      <c r="O758" s="460"/>
      <c r="P758" s="460"/>
      <c r="Q758" s="460"/>
      <c r="R758" s="460"/>
      <c r="S758" s="460"/>
      <c r="T758" s="460"/>
      <c r="U758" s="460"/>
      <c r="V758" s="460"/>
      <c r="W758" s="460"/>
      <c r="X758" s="460"/>
    </row>
    <row r="759" ht="15.75" customHeight="1">
      <c r="A759" s="460"/>
      <c r="B759" s="460"/>
      <c r="C759" s="460"/>
      <c r="D759" s="17"/>
      <c r="E759" s="9"/>
      <c r="F759" s="460"/>
      <c r="G759" s="460"/>
      <c r="H759" s="460"/>
      <c r="I759" s="460"/>
      <c r="J759" s="460"/>
      <c r="K759" s="460"/>
      <c r="L759" s="460"/>
      <c r="M759" s="460"/>
      <c r="N759" s="460"/>
      <c r="O759" s="460"/>
      <c r="P759" s="460"/>
      <c r="Q759" s="460"/>
      <c r="R759" s="460"/>
      <c r="S759" s="460"/>
      <c r="T759" s="460"/>
      <c r="U759" s="460"/>
      <c r="V759" s="460"/>
      <c r="W759" s="460"/>
      <c r="X759" s="460"/>
    </row>
    <row r="760" ht="15.75" customHeight="1">
      <c r="A760" s="460"/>
      <c r="B760" s="460"/>
      <c r="C760" s="460"/>
      <c r="D760" s="17"/>
      <c r="E760" s="9"/>
      <c r="F760" s="460"/>
      <c r="G760" s="460"/>
      <c r="H760" s="460"/>
      <c r="I760" s="460"/>
      <c r="J760" s="460"/>
      <c r="K760" s="460"/>
      <c r="L760" s="460"/>
      <c r="M760" s="460"/>
      <c r="N760" s="460"/>
      <c r="O760" s="460"/>
      <c r="P760" s="460"/>
      <c r="Q760" s="460"/>
      <c r="R760" s="460"/>
      <c r="S760" s="460"/>
      <c r="T760" s="460"/>
      <c r="U760" s="460"/>
      <c r="V760" s="460"/>
      <c r="W760" s="460"/>
      <c r="X760" s="460"/>
    </row>
    <row r="761" ht="15.75" customHeight="1">
      <c r="A761" s="460"/>
      <c r="B761" s="460"/>
      <c r="C761" s="460"/>
      <c r="D761" s="17"/>
      <c r="E761" s="9"/>
      <c r="F761" s="460"/>
      <c r="G761" s="460"/>
      <c r="H761" s="460"/>
      <c r="I761" s="460"/>
      <c r="J761" s="460"/>
      <c r="K761" s="460"/>
      <c r="L761" s="460"/>
      <c r="M761" s="460"/>
      <c r="N761" s="460"/>
      <c r="O761" s="460"/>
      <c r="P761" s="460"/>
      <c r="Q761" s="460"/>
      <c r="R761" s="460"/>
      <c r="S761" s="460"/>
      <c r="T761" s="460"/>
      <c r="U761" s="460"/>
      <c r="V761" s="460"/>
      <c r="W761" s="460"/>
      <c r="X761" s="460"/>
    </row>
    <row r="762" ht="15.75" customHeight="1">
      <c r="A762" s="460"/>
      <c r="B762" s="460"/>
      <c r="C762" s="460"/>
      <c r="D762" s="17"/>
      <c r="E762" s="9"/>
      <c r="F762" s="460"/>
      <c r="G762" s="460"/>
      <c r="H762" s="460"/>
      <c r="I762" s="460"/>
      <c r="J762" s="460"/>
      <c r="K762" s="460"/>
      <c r="L762" s="460"/>
      <c r="M762" s="460"/>
      <c r="N762" s="460"/>
      <c r="O762" s="460"/>
      <c r="P762" s="460"/>
      <c r="Q762" s="460"/>
      <c r="R762" s="460"/>
      <c r="S762" s="460"/>
      <c r="T762" s="460"/>
      <c r="U762" s="460"/>
      <c r="V762" s="460"/>
      <c r="W762" s="460"/>
      <c r="X762" s="460"/>
    </row>
    <row r="763" ht="15.75" customHeight="1">
      <c r="A763" s="460"/>
      <c r="B763" s="460"/>
      <c r="C763" s="460"/>
      <c r="D763" s="17"/>
      <c r="E763" s="9"/>
      <c r="F763" s="460"/>
      <c r="G763" s="460"/>
      <c r="H763" s="460"/>
      <c r="I763" s="460"/>
      <c r="J763" s="460"/>
      <c r="K763" s="460"/>
      <c r="L763" s="460"/>
      <c r="M763" s="460"/>
      <c r="N763" s="460"/>
      <c r="O763" s="460"/>
      <c r="P763" s="460"/>
      <c r="Q763" s="460"/>
      <c r="R763" s="460"/>
      <c r="S763" s="460"/>
      <c r="T763" s="460"/>
      <c r="U763" s="460"/>
      <c r="V763" s="460"/>
      <c r="W763" s="460"/>
      <c r="X763" s="460"/>
    </row>
    <row r="764" ht="15.75" customHeight="1">
      <c r="A764" s="460"/>
      <c r="B764" s="460"/>
      <c r="C764" s="460"/>
      <c r="D764" s="17"/>
      <c r="E764" s="9"/>
      <c r="F764" s="460"/>
      <c r="G764" s="460"/>
      <c r="H764" s="460"/>
      <c r="I764" s="460"/>
      <c r="J764" s="460"/>
      <c r="K764" s="460"/>
      <c r="L764" s="460"/>
      <c r="M764" s="460"/>
      <c r="N764" s="460"/>
      <c r="O764" s="460"/>
      <c r="P764" s="460"/>
      <c r="Q764" s="460"/>
      <c r="R764" s="460"/>
      <c r="S764" s="460"/>
      <c r="T764" s="460"/>
      <c r="U764" s="460"/>
      <c r="V764" s="460"/>
      <c r="W764" s="460"/>
      <c r="X764" s="460"/>
    </row>
    <row r="765" ht="15.75" customHeight="1">
      <c r="A765" s="460"/>
      <c r="B765" s="460"/>
      <c r="C765" s="460"/>
      <c r="D765" s="17"/>
      <c r="E765" s="9"/>
      <c r="F765" s="460"/>
      <c r="G765" s="460"/>
      <c r="H765" s="460"/>
      <c r="I765" s="460"/>
      <c r="J765" s="460"/>
      <c r="K765" s="460"/>
      <c r="L765" s="460"/>
      <c r="M765" s="460"/>
      <c r="N765" s="460"/>
      <c r="O765" s="460"/>
      <c r="P765" s="460"/>
      <c r="Q765" s="460"/>
      <c r="R765" s="460"/>
      <c r="S765" s="460"/>
      <c r="T765" s="460"/>
      <c r="U765" s="460"/>
      <c r="V765" s="460"/>
      <c r="W765" s="460"/>
      <c r="X765" s="460"/>
    </row>
    <row r="766" ht="15.75" customHeight="1">
      <c r="A766" s="460"/>
      <c r="B766" s="460"/>
      <c r="C766" s="460"/>
      <c r="D766" s="17"/>
      <c r="E766" s="9"/>
      <c r="F766" s="460"/>
      <c r="G766" s="460"/>
      <c r="H766" s="460"/>
      <c r="I766" s="460"/>
      <c r="J766" s="460"/>
      <c r="K766" s="460"/>
      <c r="L766" s="460"/>
      <c r="M766" s="460"/>
      <c r="N766" s="460"/>
      <c r="O766" s="460"/>
      <c r="P766" s="460"/>
      <c r="Q766" s="460"/>
      <c r="R766" s="460"/>
      <c r="S766" s="460"/>
      <c r="T766" s="460"/>
      <c r="U766" s="460"/>
      <c r="V766" s="460"/>
      <c r="W766" s="460"/>
      <c r="X766" s="460"/>
    </row>
    <row r="767" ht="15.75" customHeight="1">
      <c r="A767" s="460"/>
      <c r="B767" s="460"/>
      <c r="C767" s="460"/>
      <c r="D767" s="17"/>
      <c r="E767" s="9"/>
      <c r="F767" s="460"/>
      <c r="G767" s="460"/>
      <c r="H767" s="460"/>
      <c r="I767" s="460"/>
      <c r="J767" s="460"/>
      <c r="K767" s="460"/>
      <c r="L767" s="460"/>
      <c r="M767" s="460"/>
      <c r="N767" s="460"/>
      <c r="O767" s="460"/>
      <c r="P767" s="460"/>
      <c r="Q767" s="460"/>
      <c r="R767" s="460"/>
      <c r="S767" s="460"/>
      <c r="T767" s="460"/>
      <c r="U767" s="460"/>
      <c r="V767" s="460"/>
      <c r="W767" s="460"/>
      <c r="X767" s="460"/>
    </row>
    <row r="768" ht="15.75" customHeight="1">
      <c r="A768" s="460"/>
      <c r="B768" s="460"/>
      <c r="C768" s="460"/>
      <c r="D768" s="17"/>
      <c r="E768" s="9"/>
      <c r="F768" s="460"/>
      <c r="G768" s="460"/>
      <c r="H768" s="460"/>
      <c r="I768" s="460"/>
      <c r="J768" s="460"/>
      <c r="K768" s="460"/>
      <c r="L768" s="460"/>
      <c r="M768" s="460"/>
      <c r="N768" s="460"/>
      <c r="O768" s="460"/>
      <c r="P768" s="460"/>
      <c r="Q768" s="460"/>
      <c r="R768" s="460"/>
      <c r="S768" s="460"/>
      <c r="T768" s="460"/>
      <c r="U768" s="460"/>
      <c r="V768" s="460"/>
      <c r="W768" s="460"/>
      <c r="X768" s="460"/>
    </row>
    <row r="769" ht="15.75" customHeight="1">
      <c r="A769" s="460"/>
      <c r="B769" s="460"/>
      <c r="C769" s="460"/>
      <c r="D769" s="17"/>
      <c r="E769" s="9"/>
      <c r="F769" s="460"/>
      <c r="G769" s="460"/>
      <c r="H769" s="460"/>
      <c r="I769" s="460"/>
      <c r="J769" s="460"/>
      <c r="K769" s="460"/>
      <c r="L769" s="460"/>
      <c r="M769" s="460"/>
      <c r="N769" s="460"/>
      <c r="O769" s="460"/>
      <c r="P769" s="460"/>
      <c r="Q769" s="460"/>
      <c r="R769" s="460"/>
      <c r="S769" s="460"/>
      <c r="T769" s="460"/>
      <c r="U769" s="460"/>
      <c r="V769" s="460"/>
      <c r="W769" s="460"/>
      <c r="X769" s="460"/>
    </row>
    <row r="770" ht="15.75" customHeight="1">
      <c r="A770" s="460"/>
      <c r="B770" s="460"/>
      <c r="C770" s="460"/>
      <c r="D770" s="17"/>
      <c r="E770" s="9"/>
      <c r="F770" s="460"/>
      <c r="G770" s="460"/>
      <c r="H770" s="460"/>
      <c r="I770" s="460"/>
      <c r="J770" s="460"/>
      <c r="K770" s="460"/>
      <c r="L770" s="460"/>
      <c r="M770" s="460"/>
      <c r="N770" s="460"/>
      <c r="O770" s="460"/>
      <c r="P770" s="460"/>
      <c r="Q770" s="460"/>
      <c r="R770" s="460"/>
      <c r="S770" s="460"/>
      <c r="T770" s="460"/>
      <c r="U770" s="460"/>
      <c r="V770" s="460"/>
      <c r="W770" s="460"/>
      <c r="X770" s="460"/>
    </row>
    <row r="771" ht="15.75" customHeight="1">
      <c r="A771" s="460"/>
      <c r="B771" s="460"/>
      <c r="C771" s="460"/>
      <c r="D771" s="17"/>
      <c r="E771" s="9"/>
      <c r="F771" s="460"/>
      <c r="G771" s="460"/>
      <c r="H771" s="460"/>
      <c r="I771" s="460"/>
      <c r="J771" s="460"/>
      <c r="K771" s="460"/>
      <c r="L771" s="460"/>
      <c r="M771" s="460"/>
      <c r="N771" s="460"/>
      <c r="O771" s="460"/>
      <c r="P771" s="460"/>
      <c r="Q771" s="460"/>
      <c r="R771" s="460"/>
      <c r="S771" s="460"/>
      <c r="T771" s="460"/>
      <c r="U771" s="460"/>
      <c r="V771" s="460"/>
      <c r="W771" s="460"/>
      <c r="X771" s="460"/>
    </row>
    <row r="772" ht="15.75" customHeight="1">
      <c r="A772" s="460"/>
      <c r="B772" s="460"/>
      <c r="C772" s="460"/>
      <c r="D772" s="17"/>
      <c r="E772" s="9"/>
      <c r="F772" s="460"/>
      <c r="G772" s="460"/>
      <c r="H772" s="460"/>
      <c r="I772" s="460"/>
      <c r="J772" s="460"/>
      <c r="K772" s="460"/>
      <c r="L772" s="460"/>
      <c r="M772" s="460"/>
      <c r="N772" s="460"/>
      <c r="O772" s="460"/>
      <c r="P772" s="460"/>
      <c r="Q772" s="460"/>
      <c r="R772" s="460"/>
      <c r="S772" s="460"/>
      <c r="T772" s="460"/>
      <c r="U772" s="460"/>
      <c r="V772" s="460"/>
      <c r="W772" s="460"/>
      <c r="X772" s="460"/>
    </row>
    <row r="773" ht="15.75" customHeight="1">
      <c r="A773" s="460"/>
      <c r="B773" s="460"/>
      <c r="C773" s="460"/>
      <c r="D773" s="17"/>
      <c r="E773" s="9"/>
      <c r="F773" s="460"/>
      <c r="G773" s="460"/>
      <c r="H773" s="460"/>
      <c r="I773" s="460"/>
      <c r="J773" s="460"/>
      <c r="K773" s="460"/>
      <c r="L773" s="460"/>
      <c r="M773" s="460"/>
      <c r="N773" s="460"/>
      <c r="O773" s="460"/>
      <c r="P773" s="460"/>
      <c r="Q773" s="460"/>
      <c r="R773" s="460"/>
      <c r="S773" s="460"/>
      <c r="T773" s="460"/>
      <c r="U773" s="460"/>
      <c r="V773" s="460"/>
      <c r="W773" s="460"/>
      <c r="X773" s="460"/>
    </row>
    <row r="774" ht="15.75" customHeight="1">
      <c r="A774" s="460"/>
      <c r="B774" s="460"/>
      <c r="C774" s="460"/>
      <c r="D774" s="17"/>
      <c r="E774" s="9"/>
      <c r="F774" s="460"/>
      <c r="G774" s="460"/>
      <c r="H774" s="460"/>
      <c r="I774" s="460"/>
      <c r="J774" s="460"/>
      <c r="K774" s="460"/>
      <c r="L774" s="460"/>
      <c r="M774" s="460"/>
      <c r="N774" s="460"/>
      <c r="O774" s="460"/>
      <c r="P774" s="460"/>
      <c r="Q774" s="460"/>
      <c r="R774" s="460"/>
      <c r="S774" s="460"/>
      <c r="T774" s="460"/>
      <c r="U774" s="460"/>
      <c r="V774" s="460"/>
      <c r="W774" s="460"/>
      <c r="X774" s="460"/>
    </row>
    <row r="775" ht="15.75" customHeight="1">
      <c r="A775" s="460"/>
      <c r="B775" s="460"/>
      <c r="C775" s="460"/>
      <c r="D775" s="17"/>
      <c r="E775" s="9"/>
      <c r="F775" s="460"/>
      <c r="G775" s="460"/>
      <c r="H775" s="460"/>
      <c r="I775" s="460"/>
      <c r="J775" s="460"/>
      <c r="K775" s="460"/>
      <c r="L775" s="460"/>
      <c r="M775" s="460"/>
      <c r="N775" s="460"/>
      <c r="O775" s="460"/>
      <c r="P775" s="460"/>
      <c r="Q775" s="460"/>
      <c r="R775" s="460"/>
      <c r="S775" s="460"/>
      <c r="T775" s="460"/>
      <c r="U775" s="460"/>
      <c r="V775" s="460"/>
      <c r="W775" s="460"/>
      <c r="X775" s="460"/>
    </row>
    <row r="776" ht="15.75" customHeight="1">
      <c r="A776" s="460"/>
      <c r="B776" s="460"/>
      <c r="C776" s="460"/>
      <c r="D776" s="17"/>
      <c r="E776" s="9"/>
      <c r="F776" s="460"/>
      <c r="G776" s="460"/>
      <c r="H776" s="460"/>
      <c r="I776" s="460"/>
      <c r="J776" s="460"/>
      <c r="K776" s="460"/>
      <c r="L776" s="460"/>
      <c r="M776" s="460"/>
      <c r="N776" s="460"/>
      <c r="O776" s="460"/>
      <c r="P776" s="460"/>
      <c r="Q776" s="460"/>
      <c r="R776" s="460"/>
      <c r="S776" s="460"/>
      <c r="T776" s="460"/>
      <c r="U776" s="460"/>
      <c r="V776" s="460"/>
      <c r="W776" s="460"/>
      <c r="X776" s="460"/>
    </row>
    <row r="777" ht="15.75" customHeight="1">
      <c r="A777" s="460"/>
      <c r="B777" s="460"/>
      <c r="C777" s="460"/>
      <c r="D777" s="17"/>
      <c r="E777" s="9"/>
      <c r="F777" s="460"/>
      <c r="G777" s="460"/>
      <c r="H777" s="460"/>
      <c r="I777" s="460"/>
      <c r="J777" s="460"/>
      <c r="K777" s="460"/>
      <c r="L777" s="460"/>
      <c r="M777" s="460"/>
      <c r="N777" s="460"/>
      <c r="O777" s="460"/>
      <c r="P777" s="460"/>
      <c r="Q777" s="460"/>
      <c r="R777" s="460"/>
      <c r="S777" s="460"/>
      <c r="T777" s="460"/>
      <c r="U777" s="460"/>
      <c r="V777" s="460"/>
      <c r="W777" s="460"/>
      <c r="X777" s="460"/>
    </row>
    <row r="778" ht="15.75" customHeight="1">
      <c r="A778" s="460"/>
      <c r="B778" s="460"/>
      <c r="C778" s="460"/>
      <c r="D778" s="17"/>
      <c r="E778" s="9"/>
      <c r="F778" s="460"/>
      <c r="G778" s="460"/>
      <c r="H778" s="460"/>
      <c r="I778" s="460"/>
      <c r="J778" s="460"/>
      <c r="K778" s="460"/>
      <c r="L778" s="460"/>
      <c r="M778" s="460"/>
      <c r="N778" s="460"/>
      <c r="O778" s="460"/>
      <c r="P778" s="460"/>
      <c r="Q778" s="460"/>
      <c r="R778" s="460"/>
      <c r="S778" s="460"/>
      <c r="T778" s="460"/>
      <c r="U778" s="460"/>
      <c r="V778" s="460"/>
      <c r="W778" s="460"/>
      <c r="X778" s="460"/>
    </row>
    <row r="779" ht="15.75" customHeight="1">
      <c r="A779" s="460"/>
      <c r="B779" s="460"/>
      <c r="C779" s="460"/>
      <c r="D779" s="17"/>
      <c r="E779" s="9"/>
      <c r="F779" s="460"/>
      <c r="G779" s="460"/>
      <c r="H779" s="460"/>
      <c r="I779" s="460"/>
      <c r="J779" s="460"/>
      <c r="K779" s="460"/>
      <c r="L779" s="460"/>
      <c r="M779" s="460"/>
      <c r="N779" s="460"/>
      <c r="O779" s="460"/>
      <c r="P779" s="460"/>
      <c r="Q779" s="460"/>
      <c r="R779" s="460"/>
      <c r="S779" s="460"/>
      <c r="T779" s="460"/>
      <c r="U779" s="460"/>
      <c r="V779" s="460"/>
      <c r="W779" s="460"/>
      <c r="X779" s="460"/>
    </row>
    <row r="780" ht="15.75" customHeight="1">
      <c r="A780" s="460"/>
      <c r="B780" s="460"/>
      <c r="C780" s="460"/>
      <c r="D780" s="17"/>
      <c r="E780" s="9"/>
      <c r="F780" s="460"/>
      <c r="G780" s="460"/>
      <c r="H780" s="460"/>
      <c r="I780" s="460"/>
      <c r="J780" s="460"/>
      <c r="K780" s="460"/>
      <c r="L780" s="460"/>
      <c r="M780" s="460"/>
      <c r="N780" s="460"/>
      <c r="O780" s="460"/>
      <c r="P780" s="460"/>
      <c r="Q780" s="460"/>
      <c r="R780" s="460"/>
      <c r="S780" s="460"/>
      <c r="T780" s="460"/>
      <c r="U780" s="460"/>
      <c r="V780" s="460"/>
      <c r="W780" s="460"/>
      <c r="X780" s="460"/>
    </row>
    <row r="781" ht="15.75" customHeight="1">
      <c r="A781" s="460"/>
      <c r="B781" s="460"/>
      <c r="C781" s="460"/>
      <c r="D781" s="17"/>
      <c r="E781" s="9"/>
      <c r="F781" s="460"/>
      <c r="G781" s="460"/>
      <c r="H781" s="460"/>
      <c r="I781" s="460"/>
      <c r="J781" s="460"/>
      <c r="K781" s="460"/>
      <c r="L781" s="460"/>
      <c r="M781" s="460"/>
      <c r="N781" s="460"/>
      <c r="O781" s="460"/>
      <c r="P781" s="460"/>
      <c r="Q781" s="460"/>
      <c r="R781" s="460"/>
      <c r="S781" s="460"/>
      <c r="T781" s="460"/>
      <c r="U781" s="460"/>
      <c r="V781" s="460"/>
      <c r="W781" s="460"/>
      <c r="X781" s="460"/>
    </row>
    <row r="782" ht="15.75" customHeight="1">
      <c r="A782" s="460"/>
      <c r="B782" s="460"/>
      <c r="C782" s="460"/>
      <c r="D782" s="17"/>
      <c r="E782" s="9"/>
      <c r="F782" s="460"/>
      <c r="G782" s="460"/>
      <c r="H782" s="460"/>
      <c r="I782" s="460"/>
      <c r="J782" s="460"/>
      <c r="K782" s="460"/>
      <c r="L782" s="460"/>
      <c r="M782" s="460"/>
      <c r="N782" s="460"/>
      <c r="O782" s="460"/>
      <c r="P782" s="460"/>
      <c r="Q782" s="460"/>
      <c r="R782" s="460"/>
      <c r="S782" s="460"/>
      <c r="T782" s="460"/>
      <c r="U782" s="460"/>
      <c r="V782" s="460"/>
      <c r="W782" s="460"/>
      <c r="X782" s="460"/>
    </row>
    <row r="783" ht="15.75" customHeight="1">
      <c r="A783" s="460"/>
      <c r="B783" s="460"/>
      <c r="C783" s="460"/>
      <c r="D783" s="17"/>
      <c r="E783" s="9"/>
      <c r="F783" s="460"/>
      <c r="G783" s="460"/>
      <c r="H783" s="460"/>
      <c r="I783" s="460"/>
      <c r="J783" s="460"/>
      <c r="K783" s="460"/>
      <c r="L783" s="460"/>
      <c r="M783" s="460"/>
      <c r="N783" s="460"/>
      <c r="O783" s="460"/>
      <c r="P783" s="460"/>
      <c r="Q783" s="460"/>
      <c r="R783" s="460"/>
      <c r="S783" s="460"/>
      <c r="T783" s="460"/>
      <c r="U783" s="460"/>
      <c r="V783" s="460"/>
      <c r="W783" s="460"/>
      <c r="X783" s="460"/>
    </row>
    <row r="784" ht="15.75" customHeight="1">
      <c r="A784" s="460"/>
      <c r="B784" s="460"/>
      <c r="C784" s="460"/>
      <c r="D784" s="17"/>
      <c r="E784" s="9"/>
      <c r="F784" s="460"/>
      <c r="G784" s="460"/>
      <c r="H784" s="460"/>
      <c r="I784" s="460"/>
      <c r="J784" s="460"/>
      <c r="K784" s="460"/>
      <c r="L784" s="460"/>
      <c r="M784" s="460"/>
      <c r="N784" s="460"/>
      <c r="O784" s="460"/>
      <c r="P784" s="460"/>
      <c r="Q784" s="460"/>
      <c r="R784" s="460"/>
      <c r="S784" s="460"/>
      <c r="T784" s="460"/>
      <c r="U784" s="460"/>
      <c r="V784" s="460"/>
      <c r="W784" s="460"/>
      <c r="X784" s="460"/>
    </row>
    <row r="785" ht="15.75" customHeight="1">
      <c r="A785" s="460"/>
      <c r="B785" s="460"/>
      <c r="C785" s="460"/>
      <c r="D785" s="17"/>
      <c r="E785" s="9"/>
      <c r="F785" s="460"/>
      <c r="G785" s="460"/>
      <c r="H785" s="460"/>
      <c r="I785" s="460"/>
      <c r="J785" s="460"/>
      <c r="K785" s="460"/>
      <c r="L785" s="460"/>
      <c r="M785" s="460"/>
      <c r="N785" s="460"/>
      <c r="O785" s="460"/>
      <c r="P785" s="460"/>
      <c r="Q785" s="460"/>
      <c r="R785" s="460"/>
      <c r="S785" s="460"/>
      <c r="T785" s="460"/>
      <c r="U785" s="460"/>
      <c r="V785" s="460"/>
      <c r="W785" s="460"/>
      <c r="X785" s="460"/>
    </row>
    <row r="786" ht="15.75" customHeight="1">
      <c r="A786" s="460"/>
      <c r="B786" s="460"/>
      <c r="C786" s="460"/>
      <c r="D786" s="17"/>
      <c r="E786" s="9"/>
      <c r="F786" s="460"/>
      <c r="G786" s="460"/>
      <c r="H786" s="460"/>
      <c r="I786" s="460"/>
      <c r="J786" s="460"/>
      <c r="K786" s="460"/>
      <c r="L786" s="460"/>
      <c r="M786" s="460"/>
      <c r="N786" s="460"/>
      <c r="O786" s="460"/>
      <c r="P786" s="460"/>
      <c r="Q786" s="460"/>
      <c r="R786" s="460"/>
      <c r="S786" s="460"/>
      <c r="T786" s="460"/>
      <c r="U786" s="460"/>
      <c r="V786" s="460"/>
      <c r="W786" s="460"/>
      <c r="X786" s="460"/>
    </row>
    <row r="787" ht="15.75" customHeight="1">
      <c r="A787" s="460"/>
      <c r="B787" s="460"/>
      <c r="C787" s="460"/>
      <c r="D787" s="17"/>
      <c r="E787" s="9"/>
      <c r="F787" s="460"/>
      <c r="G787" s="460"/>
      <c r="H787" s="460"/>
      <c r="I787" s="460"/>
      <c r="J787" s="460"/>
      <c r="K787" s="460"/>
      <c r="L787" s="460"/>
      <c r="M787" s="460"/>
      <c r="N787" s="460"/>
      <c r="O787" s="460"/>
      <c r="P787" s="460"/>
      <c r="Q787" s="460"/>
      <c r="R787" s="460"/>
      <c r="S787" s="460"/>
      <c r="T787" s="460"/>
      <c r="U787" s="460"/>
      <c r="V787" s="460"/>
      <c r="W787" s="460"/>
      <c r="X787" s="460"/>
    </row>
    <row r="788" ht="15.75" customHeight="1">
      <c r="A788" s="460"/>
      <c r="B788" s="460"/>
      <c r="C788" s="460"/>
      <c r="D788" s="17"/>
      <c r="E788" s="9"/>
      <c r="F788" s="460"/>
      <c r="G788" s="460"/>
      <c r="H788" s="460"/>
      <c r="I788" s="460"/>
      <c r="J788" s="460"/>
      <c r="K788" s="460"/>
      <c r="L788" s="460"/>
      <c r="M788" s="460"/>
      <c r="N788" s="460"/>
      <c r="O788" s="460"/>
      <c r="P788" s="460"/>
      <c r="Q788" s="460"/>
      <c r="R788" s="460"/>
      <c r="S788" s="460"/>
      <c r="T788" s="460"/>
      <c r="U788" s="460"/>
      <c r="V788" s="460"/>
      <c r="W788" s="460"/>
      <c r="X788" s="460"/>
    </row>
    <row r="789" ht="15.75" customHeight="1">
      <c r="A789" s="460"/>
      <c r="B789" s="460"/>
      <c r="C789" s="460"/>
      <c r="D789" s="17"/>
      <c r="E789" s="9"/>
      <c r="F789" s="460"/>
      <c r="G789" s="460"/>
      <c r="H789" s="460"/>
      <c r="I789" s="460"/>
      <c r="J789" s="460"/>
      <c r="K789" s="460"/>
      <c r="L789" s="460"/>
      <c r="M789" s="460"/>
      <c r="N789" s="460"/>
      <c r="O789" s="460"/>
      <c r="P789" s="460"/>
      <c r="Q789" s="460"/>
      <c r="R789" s="460"/>
      <c r="S789" s="460"/>
      <c r="T789" s="460"/>
      <c r="U789" s="460"/>
      <c r="V789" s="460"/>
      <c r="W789" s="460"/>
      <c r="X789" s="460"/>
    </row>
    <row r="790" ht="15.75" customHeight="1">
      <c r="A790" s="460"/>
      <c r="B790" s="460"/>
      <c r="C790" s="460"/>
      <c r="D790" s="17"/>
      <c r="E790" s="9"/>
      <c r="F790" s="460"/>
      <c r="G790" s="460"/>
      <c r="H790" s="460"/>
      <c r="I790" s="460"/>
      <c r="J790" s="460"/>
      <c r="K790" s="460"/>
      <c r="L790" s="460"/>
      <c r="M790" s="460"/>
      <c r="N790" s="460"/>
      <c r="O790" s="460"/>
      <c r="P790" s="460"/>
      <c r="Q790" s="460"/>
      <c r="R790" s="460"/>
      <c r="S790" s="460"/>
      <c r="T790" s="460"/>
      <c r="U790" s="460"/>
      <c r="V790" s="460"/>
      <c r="W790" s="460"/>
      <c r="X790" s="460"/>
    </row>
    <row r="791" ht="15.75" customHeight="1">
      <c r="A791" s="460"/>
      <c r="B791" s="460"/>
      <c r="C791" s="460"/>
      <c r="D791" s="17"/>
      <c r="E791" s="9"/>
      <c r="F791" s="460"/>
      <c r="G791" s="460"/>
      <c r="H791" s="460"/>
      <c r="I791" s="460"/>
      <c r="J791" s="460"/>
      <c r="K791" s="460"/>
      <c r="L791" s="460"/>
      <c r="M791" s="460"/>
      <c r="N791" s="460"/>
      <c r="O791" s="460"/>
      <c r="P791" s="460"/>
      <c r="Q791" s="460"/>
      <c r="R791" s="460"/>
      <c r="S791" s="460"/>
      <c r="T791" s="460"/>
      <c r="U791" s="460"/>
      <c r="V791" s="460"/>
      <c r="W791" s="460"/>
      <c r="X791" s="460"/>
    </row>
    <row r="792" ht="15.75" customHeight="1">
      <c r="A792" s="460"/>
      <c r="B792" s="460"/>
      <c r="C792" s="460"/>
      <c r="D792" s="17"/>
      <c r="E792" s="9"/>
      <c r="F792" s="460"/>
      <c r="G792" s="460"/>
      <c r="H792" s="460"/>
      <c r="I792" s="460"/>
      <c r="J792" s="460"/>
      <c r="K792" s="460"/>
      <c r="L792" s="460"/>
      <c r="M792" s="460"/>
      <c r="N792" s="460"/>
      <c r="O792" s="460"/>
      <c r="P792" s="460"/>
      <c r="Q792" s="460"/>
      <c r="R792" s="460"/>
      <c r="S792" s="460"/>
      <c r="T792" s="460"/>
      <c r="U792" s="460"/>
      <c r="V792" s="460"/>
      <c r="W792" s="460"/>
      <c r="X792" s="460"/>
    </row>
    <row r="793" ht="15.75" customHeight="1">
      <c r="A793" s="460"/>
      <c r="B793" s="460"/>
      <c r="C793" s="460"/>
      <c r="D793" s="17"/>
      <c r="E793" s="9"/>
      <c r="F793" s="460"/>
      <c r="G793" s="460"/>
      <c r="H793" s="460"/>
      <c r="I793" s="460"/>
      <c r="J793" s="460"/>
      <c r="K793" s="460"/>
      <c r="L793" s="460"/>
      <c r="M793" s="460"/>
      <c r="N793" s="460"/>
      <c r="O793" s="460"/>
      <c r="P793" s="460"/>
      <c r="Q793" s="460"/>
      <c r="R793" s="460"/>
      <c r="S793" s="460"/>
      <c r="T793" s="460"/>
      <c r="U793" s="460"/>
      <c r="V793" s="460"/>
      <c r="W793" s="460"/>
      <c r="X793" s="460"/>
    </row>
    <row r="794" ht="15.75" customHeight="1">
      <c r="A794" s="460"/>
      <c r="B794" s="460"/>
      <c r="C794" s="460"/>
      <c r="D794" s="17"/>
      <c r="E794" s="9"/>
      <c r="F794" s="460"/>
      <c r="G794" s="460"/>
      <c r="H794" s="460"/>
      <c r="I794" s="460"/>
      <c r="J794" s="460"/>
      <c r="K794" s="460"/>
      <c r="L794" s="460"/>
      <c r="M794" s="460"/>
      <c r="N794" s="460"/>
      <c r="O794" s="460"/>
      <c r="P794" s="460"/>
      <c r="Q794" s="460"/>
      <c r="R794" s="460"/>
      <c r="S794" s="460"/>
      <c r="T794" s="460"/>
      <c r="U794" s="460"/>
      <c r="V794" s="460"/>
      <c r="W794" s="460"/>
      <c r="X794" s="460"/>
    </row>
    <row r="795" ht="15.75" customHeight="1">
      <c r="A795" s="460"/>
      <c r="B795" s="460"/>
      <c r="C795" s="460"/>
      <c r="D795" s="17"/>
      <c r="E795" s="9"/>
      <c r="F795" s="460"/>
      <c r="G795" s="460"/>
      <c r="H795" s="460"/>
      <c r="I795" s="460"/>
      <c r="J795" s="460"/>
      <c r="K795" s="460"/>
      <c r="L795" s="460"/>
      <c r="M795" s="460"/>
      <c r="N795" s="460"/>
      <c r="O795" s="460"/>
      <c r="P795" s="460"/>
      <c r="Q795" s="460"/>
      <c r="R795" s="460"/>
      <c r="S795" s="460"/>
      <c r="T795" s="460"/>
      <c r="U795" s="460"/>
      <c r="V795" s="460"/>
      <c r="W795" s="460"/>
      <c r="X795" s="460"/>
    </row>
    <row r="796" ht="15.75" customHeight="1">
      <c r="A796" s="460"/>
      <c r="B796" s="460"/>
      <c r="C796" s="460"/>
      <c r="D796" s="17"/>
      <c r="E796" s="9"/>
      <c r="F796" s="460"/>
      <c r="G796" s="460"/>
      <c r="H796" s="460"/>
      <c r="I796" s="460"/>
      <c r="J796" s="460"/>
      <c r="K796" s="460"/>
      <c r="L796" s="460"/>
      <c r="M796" s="460"/>
      <c r="N796" s="460"/>
      <c r="O796" s="460"/>
      <c r="P796" s="460"/>
      <c r="Q796" s="460"/>
      <c r="R796" s="460"/>
      <c r="S796" s="460"/>
      <c r="T796" s="460"/>
      <c r="U796" s="460"/>
      <c r="V796" s="460"/>
      <c r="W796" s="460"/>
      <c r="X796" s="460"/>
    </row>
    <row r="797" ht="15.75" customHeight="1">
      <c r="A797" s="460"/>
      <c r="B797" s="460"/>
      <c r="C797" s="460"/>
      <c r="D797" s="17"/>
      <c r="E797" s="9"/>
      <c r="F797" s="460"/>
      <c r="G797" s="460"/>
      <c r="H797" s="460"/>
      <c r="I797" s="460"/>
      <c r="J797" s="460"/>
      <c r="K797" s="460"/>
      <c r="L797" s="460"/>
      <c r="M797" s="460"/>
      <c r="N797" s="460"/>
      <c r="O797" s="460"/>
      <c r="P797" s="460"/>
      <c r="Q797" s="460"/>
      <c r="R797" s="460"/>
      <c r="S797" s="460"/>
      <c r="T797" s="460"/>
      <c r="U797" s="460"/>
      <c r="V797" s="460"/>
      <c r="W797" s="460"/>
      <c r="X797" s="460"/>
    </row>
    <row r="798" ht="15.75" customHeight="1">
      <c r="A798" s="460"/>
      <c r="B798" s="460"/>
      <c r="C798" s="460"/>
      <c r="D798" s="17"/>
      <c r="E798" s="9"/>
      <c r="F798" s="460"/>
      <c r="G798" s="460"/>
      <c r="H798" s="460"/>
      <c r="I798" s="460"/>
      <c r="J798" s="460"/>
      <c r="K798" s="460"/>
      <c r="L798" s="460"/>
      <c r="M798" s="460"/>
      <c r="N798" s="460"/>
      <c r="O798" s="460"/>
      <c r="P798" s="460"/>
      <c r="Q798" s="460"/>
      <c r="R798" s="460"/>
      <c r="S798" s="460"/>
      <c r="T798" s="460"/>
      <c r="U798" s="460"/>
      <c r="V798" s="460"/>
      <c r="W798" s="460"/>
      <c r="X798" s="460"/>
    </row>
    <row r="799" ht="15.75" customHeight="1">
      <c r="A799" s="460"/>
      <c r="B799" s="460"/>
      <c r="C799" s="460"/>
      <c r="D799" s="17"/>
      <c r="E799" s="9"/>
      <c r="F799" s="460"/>
      <c r="G799" s="460"/>
      <c r="H799" s="460"/>
      <c r="I799" s="460"/>
      <c r="J799" s="460"/>
      <c r="K799" s="460"/>
      <c r="L799" s="460"/>
      <c r="M799" s="460"/>
      <c r="N799" s="460"/>
      <c r="O799" s="460"/>
      <c r="P799" s="460"/>
      <c r="Q799" s="460"/>
      <c r="R799" s="460"/>
      <c r="S799" s="460"/>
      <c r="T799" s="460"/>
      <c r="U799" s="460"/>
      <c r="V799" s="460"/>
      <c r="W799" s="460"/>
      <c r="X799" s="460"/>
    </row>
    <row r="800" ht="15.75" customHeight="1">
      <c r="A800" s="460"/>
      <c r="B800" s="460"/>
      <c r="C800" s="460"/>
      <c r="D800" s="17"/>
      <c r="E800" s="9"/>
      <c r="F800" s="460"/>
      <c r="G800" s="460"/>
      <c r="H800" s="460"/>
      <c r="I800" s="460"/>
      <c r="J800" s="460"/>
      <c r="K800" s="460"/>
      <c r="L800" s="460"/>
      <c r="M800" s="460"/>
      <c r="N800" s="460"/>
      <c r="O800" s="460"/>
      <c r="P800" s="460"/>
      <c r="Q800" s="460"/>
      <c r="R800" s="460"/>
      <c r="S800" s="460"/>
      <c r="T800" s="460"/>
      <c r="U800" s="460"/>
      <c r="V800" s="460"/>
      <c r="W800" s="460"/>
      <c r="X800" s="460"/>
    </row>
    <row r="801" ht="15.75" customHeight="1">
      <c r="A801" s="460"/>
      <c r="B801" s="460"/>
      <c r="C801" s="460"/>
      <c r="D801" s="17"/>
      <c r="E801" s="9"/>
      <c r="F801" s="460"/>
      <c r="G801" s="460"/>
      <c r="H801" s="460"/>
      <c r="I801" s="460"/>
      <c r="J801" s="460"/>
      <c r="K801" s="460"/>
      <c r="L801" s="460"/>
      <c r="M801" s="460"/>
      <c r="N801" s="460"/>
      <c r="O801" s="460"/>
      <c r="P801" s="460"/>
      <c r="Q801" s="460"/>
      <c r="R801" s="460"/>
      <c r="S801" s="460"/>
      <c r="T801" s="460"/>
      <c r="U801" s="460"/>
      <c r="V801" s="460"/>
      <c r="W801" s="460"/>
      <c r="X801" s="460"/>
    </row>
    <row r="802" ht="15.75" customHeight="1">
      <c r="A802" s="460"/>
      <c r="B802" s="460"/>
      <c r="C802" s="460"/>
      <c r="D802" s="17"/>
      <c r="E802" s="9"/>
      <c r="F802" s="460"/>
      <c r="G802" s="460"/>
      <c r="H802" s="460"/>
      <c r="I802" s="460"/>
      <c r="J802" s="460"/>
      <c r="K802" s="460"/>
      <c r="L802" s="460"/>
      <c r="M802" s="460"/>
      <c r="N802" s="460"/>
      <c r="O802" s="460"/>
      <c r="P802" s="460"/>
      <c r="Q802" s="460"/>
      <c r="R802" s="460"/>
      <c r="S802" s="460"/>
      <c r="T802" s="460"/>
      <c r="U802" s="460"/>
      <c r="V802" s="460"/>
      <c r="W802" s="460"/>
      <c r="X802" s="460"/>
    </row>
    <row r="803" ht="15.75" customHeight="1">
      <c r="A803" s="460"/>
      <c r="B803" s="460"/>
      <c r="C803" s="460"/>
      <c r="D803" s="17"/>
      <c r="E803" s="9"/>
      <c r="F803" s="460"/>
      <c r="G803" s="460"/>
      <c r="H803" s="460"/>
      <c r="I803" s="460"/>
      <c r="J803" s="460"/>
      <c r="K803" s="460"/>
      <c r="L803" s="460"/>
      <c r="M803" s="460"/>
      <c r="N803" s="460"/>
      <c r="O803" s="460"/>
      <c r="P803" s="460"/>
      <c r="Q803" s="460"/>
      <c r="R803" s="460"/>
      <c r="S803" s="460"/>
      <c r="T803" s="460"/>
      <c r="U803" s="460"/>
      <c r="V803" s="460"/>
      <c r="W803" s="460"/>
      <c r="X803" s="460"/>
    </row>
    <row r="804" ht="15.75" customHeight="1">
      <c r="A804" s="460"/>
      <c r="B804" s="460"/>
      <c r="C804" s="460"/>
      <c r="D804" s="17"/>
      <c r="E804" s="9"/>
      <c r="F804" s="460"/>
      <c r="G804" s="460"/>
      <c r="H804" s="460"/>
      <c r="I804" s="460"/>
      <c r="J804" s="460"/>
      <c r="K804" s="460"/>
      <c r="L804" s="460"/>
      <c r="M804" s="460"/>
      <c r="N804" s="460"/>
      <c r="O804" s="460"/>
      <c r="P804" s="460"/>
      <c r="Q804" s="460"/>
      <c r="R804" s="460"/>
      <c r="S804" s="460"/>
      <c r="T804" s="460"/>
      <c r="U804" s="460"/>
      <c r="V804" s="460"/>
      <c r="W804" s="460"/>
      <c r="X804" s="460"/>
    </row>
    <row r="805" ht="15.75" customHeight="1">
      <c r="A805" s="460"/>
      <c r="B805" s="460"/>
      <c r="C805" s="460"/>
      <c r="D805" s="17"/>
      <c r="E805" s="9"/>
      <c r="F805" s="460"/>
      <c r="G805" s="460"/>
      <c r="H805" s="460"/>
      <c r="I805" s="460"/>
      <c r="J805" s="460"/>
      <c r="K805" s="460"/>
      <c r="L805" s="460"/>
      <c r="M805" s="460"/>
      <c r="N805" s="460"/>
      <c r="O805" s="460"/>
      <c r="P805" s="460"/>
      <c r="Q805" s="460"/>
      <c r="R805" s="460"/>
      <c r="S805" s="460"/>
      <c r="T805" s="460"/>
      <c r="U805" s="460"/>
      <c r="V805" s="460"/>
      <c r="W805" s="460"/>
      <c r="X805" s="460"/>
    </row>
    <row r="806" ht="15.75" customHeight="1">
      <c r="A806" s="460"/>
      <c r="B806" s="460"/>
      <c r="C806" s="460"/>
      <c r="D806" s="17"/>
      <c r="E806" s="9"/>
      <c r="F806" s="460"/>
      <c r="G806" s="460"/>
      <c r="H806" s="460"/>
      <c r="I806" s="460"/>
      <c r="J806" s="460"/>
      <c r="K806" s="460"/>
      <c r="L806" s="460"/>
      <c r="M806" s="460"/>
      <c r="N806" s="460"/>
      <c r="O806" s="460"/>
      <c r="P806" s="460"/>
      <c r="Q806" s="460"/>
      <c r="R806" s="460"/>
      <c r="S806" s="460"/>
      <c r="T806" s="460"/>
      <c r="U806" s="460"/>
      <c r="V806" s="460"/>
      <c r="W806" s="460"/>
      <c r="X806" s="460"/>
    </row>
    <row r="807" ht="15.75" customHeight="1">
      <c r="A807" s="460"/>
      <c r="B807" s="460"/>
      <c r="C807" s="460"/>
      <c r="D807" s="17"/>
      <c r="E807" s="9"/>
      <c r="F807" s="460"/>
      <c r="G807" s="460"/>
      <c r="H807" s="460"/>
      <c r="I807" s="460"/>
      <c r="J807" s="460"/>
      <c r="K807" s="460"/>
      <c r="L807" s="460"/>
      <c r="M807" s="460"/>
      <c r="N807" s="460"/>
      <c r="O807" s="460"/>
      <c r="P807" s="460"/>
      <c r="Q807" s="460"/>
      <c r="R807" s="460"/>
      <c r="S807" s="460"/>
      <c r="T807" s="460"/>
      <c r="U807" s="460"/>
      <c r="V807" s="460"/>
      <c r="W807" s="460"/>
      <c r="X807" s="460"/>
    </row>
    <row r="808" ht="15.75" customHeight="1">
      <c r="A808" s="460"/>
      <c r="B808" s="460"/>
      <c r="C808" s="460"/>
      <c r="D808" s="17"/>
      <c r="E808" s="9"/>
      <c r="F808" s="460"/>
      <c r="G808" s="460"/>
      <c r="H808" s="460"/>
      <c r="I808" s="460"/>
      <c r="J808" s="460"/>
      <c r="K808" s="460"/>
      <c r="L808" s="460"/>
      <c r="M808" s="460"/>
      <c r="N808" s="460"/>
      <c r="O808" s="460"/>
      <c r="P808" s="460"/>
      <c r="Q808" s="460"/>
      <c r="R808" s="460"/>
      <c r="S808" s="460"/>
      <c r="T808" s="460"/>
      <c r="U808" s="460"/>
      <c r="V808" s="460"/>
      <c r="W808" s="460"/>
      <c r="X808" s="460"/>
    </row>
    <row r="809" ht="15.75" customHeight="1">
      <c r="A809" s="460"/>
      <c r="B809" s="460"/>
      <c r="C809" s="460"/>
      <c r="D809" s="17"/>
      <c r="E809" s="9"/>
      <c r="F809" s="460"/>
      <c r="G809" s="460"/>
      <c r="H809" s="460"/>
      <c r="I809" s="460"/>
      <c r="J809" s="460"/>
      <c r="K809" s="460"/>
      <c r="L809" s="460"/>
      <c r="M809" s="460"/>
      <c r="N809" s="460"/>
      <c r="O809" s="460"/>
      <c r="P809" s="460"/>
      <c r="Q809" s="460"/>
      <c r="R809" s="460"/>
      <c r="S809" s="460"/>
      <c r="T809" s="460"/>
      <c r="U809" s="460"/>
      <c r="V809" s="460"/>
      <c r="W809" s="460"/>
      <c r="X809" s="460"/>
    </row>
    <row r="810" ht="15.75" customHeight="1">
      <c r="A810" s="460"/>
      <c r="B810" s="460"/>
      <c r="C810" s="460"/>
      <c r="D810" s="17"/>
      <c r="E810" s="9"/>
      <c r="F810" s="460"/>
      <c r="G810" s="460"/>
      <c r="H810" s="460"/>
      <c r="I810" s="460"/>
      <c r="J810" s="460"/>
      <c r="K810" s="460"/>
      <c r="L810" s="460"/>
      <c r="M810" s="460"/>
      <c r="N810" s="460"/>
      <c r="O810" s="460"/>
      <c r="P810" s="460"/>
      <c r="Q810" s="460"/>
      <c r="R810" s="460"/>
      <c r="S810" s="460"/>
      <c r="T810" s="460"/>
      <c r="U810" s="460"/>
      <c r="V810" s="460"/>
      <c r="W810" s="460"/>
      <c r="X810" s="460"/>
    </row>
    <row r="811" ht="15.75" customHeight="1">
      <c r="A811" s="460"/>
      <c r="B811" s="460"/>
      <c r="C811" s="460"/>
      <c r="D811" s="17"/>
      <c r="E811" s="9"/>
      <c r="F811" s="460"/>
      <c r="G811" s="460"/>
      <c r="H811" s="460"/>
      <c r="I811" s="460"/>
      <c r="J811" s="460"/>
      <c r="K811" s="460"/>
      <c r="L811" s="460"/>
      <c r="M811" s="460"/>
      <c r="N811" s="460"/>
      <c r="O811" s="460"/>
      <c r="P811" s="460"/>
      <c r="Q811" s="460"/>
      <c r="R811" s="460"/>
      <c r="S811" s="460"/>
      <c r="T811" s="460"/>
      <c r="U811" s="460"/>
      <c r="V811" s="460"/>
      <c r="W811" s="460"/>
      <c r="X811" s="460"/>
    </row>
    <row r="812" ht="15.75" customHeight="1">
      <c r="A812" s="460"/>
      <c r="B812" s="460"/>
      <c r="C812" s="460"/>
      <c r="D812" s="17"/>
      <c r="E812" s="9"/>
      <c r="F812" s="460"/>
      <c r="G812" s="460"/>
      <c r="H812" s="460"/>
      <c r="I812" s="460"/>
      <c r="J812" s="460"/>
      <c r="K812" s="460"/>
      <c r="L812" s="460"/>
      <c r="M812" s="460"/>
      <c r="N812" s="460"/>
      <c r="O812" s="460"/>
      <c r="P812" s="460"/>
      <c r="Q812" s="460"/>
      <c r="R812" s="460"/>
      <c r="S812" s="460"/>
      <c r="T812" s="460"/>
      <c r="U812" s="460"/>
      <c r="V812" s="460"/>
      <c r="W812" s="460"/>
      <c r="X812" s="460"/>
    </row>
    <row r="813" ht="15.75" customHeight="1">
      <c r="A813" s="460"/>
      <c r="B813" s="460"/>
      <c r="C813" s="460"/>
      <c r="D813" s="17"/>
      <c r="E813" s="9"/>
      <c r="F813" s="460"/>
      <c r="G813" s="460"/>
      <c r="H813" s="460"/>
      <c r="I813" s="460"/>
      <c r="J813" s="460"/>
      <c r="K813" s="460"/>
      <c r="L813" s="460"/>
      <c r="M813" s="460"/>
      <c r="N813" s="460"/>
      <c r="O813" s="460"/>
      <c r="P813" s="460"/>
      <c r="Q813" s="460"/>
      <c r="R813" s="460"/>
      <c r="S813" s="460"/>
      <c r="T813" s="460"/>
      <c r="U813" s="460"/>
      <c r="V813" s="460"/>
      <c r="W813" s="460"/>
      <c r="X813" s="460"/>
    </row>
    <row r="814" ht="15.75" customHeight="1">
      <c r="A814" s="460"/>
      <c r="B814" s="460"/>
      <c r="C814" s="460"/>
      <c r="D814" s="17"/>
      <c r="E814" s="9"/>
      <c r="F814" s="460"/>
      <c r="G814" s="460"/>
      <c r="H814" s="460"/>
      <c r="I814" s="460"/>
      <c r="J814" s="460"/>
      <c r="K814" s="460"/>
      <c r="L814" s="460"/>
      <c r="M814" s="460"/>
      <c r="N814" s="460"/>
      <c r="O814" s="460"/>
      <c r="P814" s="460"/>
      <c r="Q814" s="460"/>
      <c r="R814" s="460"/>
      <c r="S814" s="460"/>
      <c r="T814" s="460"/>
      <c r="U814" s="460"/>
      <c r="V814" s="460"/>
      <c r="W814" s="460"/>
      <c r="X814" s="460"/>
    </row>
    <row r="815" ht="15.75" customHeight="1">
      <c r="A815" s="460"/>
      <c r="B815" s="460"/>
      <c r="C815" s="460"/>
      <c r="D815" s="17"/>
      <c r="E815" s="9"/>
      <c r="F815" s="460"/>
      <c r="G815" s="460"/>
      <c r="H815" s="460"/>
      <c r="I815" s="460"/>
      <c r="J815" s="460"/>
      <c r="K815" s="460"/>
      <c r="L815" s="460"/>
      <c r="M815" s="460"/>
      <c r="N815" s="460"/>
      <c r="O815" s="460"/>
      <c r="P815" s="460"/>
      <c r="Q815" s="460"/>
      <c r="R815" s="460"/>
      <c r="S815" s="460"/>
      <c r="T815" s="460"/>
      <c r="U815" s="460"/>
      <c r="V815" s="460"/>
      <c r="W815" s="460"/>
      <c r="X815" s="460"/>
    </row>
    <row r="816" ht="15.75" customHeight="1">
      <c r="A816" s="460"/>
      <c r="B816" s="460"/>
      <c r="C816" s="460"/>
      <c r="D816" s="17"/>
      <c r="E816" s="9"/>
      <c r="F816" s="460"/>
      <c r="G816" s="460"/>
      <c r="H816" s="460"/>
      <c r="I816" s="460"/>
      <c r="J816" s="460"/>
      <c r="K816" s="460"/>
      <c r="L816" s="460"/>
      <c r="M816" s="460"/>
      <c r="N816" s="460"/>
      <c r="O816" s="460"/>
      <c r="P816" s="460"/>
      <c r="Q816" s="460"/>
      <c r="R816" s="460"/>
      <c r="S816" s="460"/>
      <c r="T816" s="460"/>
      <c r="U816" s="460"/>
      <c r="V816" s="460"/>
      <c r="W816" s="460"/>
      <c r="X816" s="460"/>
    </row>
    <row r="817" ht="15.75" customHeight="1">
      <c r="A817" s="460"/>
      <c r="B817" s="460"/>
      <c r="C817" s="460"/>
      <c r="D817" s="17"/>
      <c r="E817" s="9"/>
      <c r="F817" s="460"/>
      <c r="G817" s="460"/>
      <c r="H817" s="460"/>
      <c r="I817" s="460"/>
      <c r="J817" s="460"/>
      <c r="K817" s="460"/>
      <c r="L817" s="460"/>
      <c r="M817" s="460"/>
      <c r="N817" s="460"/>
      <c r="O817" s="460"/>
      <c r="P817" s="460"/>
      <c r="Q817" s="460"/>
      <c r="R817" s="460"/>
      <c r="S817" s="460"/>
      <c r="T817" s="460"/>
      <c r="U817" s="460"/>
      <c r="V817" s="460"/>
      <c r="W817" s="460"/>
      <c r="X817" s="460"/>
    </row>
    <row r="818" ht="15.75" customHeight="1">
      <c r="A818" s="460"/>
      <c r="B818" s="460"/>
      <c r="C818" s="460"/>
      <c r="D818" s="17"/>
      <c r="E818" s="9"/>
      <c r="F818" s="460"/>
      <c r="G818" s="460"/>
      <c r="H818" s="460"/>
      <c r="I818" s="460"/>
      <c r="J818" s="460"/>
      <c r="K818" s="460"/>
      <c r="L818" s="460"/>
      <c r="M818" s="460"/>
      <c r="N818" s="460"/>
      <c r="O818" s="460"/>
      <c r="P818" s="460"/>
      <c r="Q818" s="460"/>
      <c r="R818" s="460"/>
      <c r="S818" s="460"/>
      <c r="T818" s="460"/>
      <c r="U818" s="460"/>
      <c r="V818" s="460"/>
      <c r="W818" s="460"/>
      <c r="X818" s="460"/>
    </row>
    <row r="819" ht="15.75" customHeight="1">
      <c r="A819" s="460"/>
      <c r="B819" s="460"/>
      <c r="C819" s="460"/>
      <c r="D819" s="17"/>
      <c r="E819" s="9"/>
      <c r="F819" s="460"/>
      <c r="G819" s="460"/>
      <c r="H819" s="460"/>
      <c r="I819" s="460"/>
      <c r="J819" s="460"/>
      <c r="K819" s="460"/>
      <c r="L819" s="460"/>
      <c r="M819" s="460"/>
      <c r="N819" s="460"/>
      <c r="O819" s="460"/>
      <c r="P819" s="460"/>
      <c r="Q819" s="460"/>
      <c r="R819" s="460"/>
      <c r="S819" s="460"/>
      <c r="T819" s="460"/>
      <c r="U819" s="460"/>
      <c r="V819" s="460"/>
      <c r="W819" s="460"/>
      <c r="X819" s="460"/>
    </row>
    <row r="820" ht="15.75" customHeight="1">
      <c r="A820" s="460"/>
      <c r="B820" s="460"/>
      <c r="C820" s="460"/>
      <c r="D820" s="17"/>
      <c r="E820" s="9"/>
      <c r="F820" s="460"/>
      <c r="G820" s="460"/>
      <c r="H820" s="460"/>
      <c r="I820" s="460"/>
      <c r="J820" s="460"/>
      <c r="K820" s="460"/>
      <c r="L820" s="460"/>
      <c r="M820" s="460"/>
      <c r="N820" s="460"/>
      <c r="O820" s="460"/>
      <c r="P820" s="460"/>
      <c r="Q820" s="460"/>
      <c r="R820" s="460"/>
      <c r="S820" s="460"/>
      <c r="T820" s="460"/>
      <c r="U820" s="460"/>
      <c r="V820" s="460"/>
      <c r="W820" s="460"/>
      <c r="X820" s="460"/>
    </row>
    <row r="821" ht="15.75" customHeight="1">
      <c r="A821" s="460"/>
      <c r="B821" s="460"/>
      <c r="C821" s="460"/>
      <c r="D821" s="17"/>
      <c r="E821" s="9"/>
      <c r="F821" s="460"/>
      <c r="G821" s="460"/>
      <c r="H821" s="460"/>
      <c r="I821" s="460"/>
      <c r="J821" s="460"/>
      <c r="K821" s="460"/>
      <c r="L821" s="460"/>
      <c r="M821" s="460"/>
      <c r="N821" s="460"/>
      <c r="O821" s="460"/>
      <c r="P821" s="460"/>
      <c r="Q821" s="460"/>
      <c r="R821" s="460"/>
      <c r="S821" s="460"/>
      <c r="T821" s="460"/>
      <c r="U821" s="460"/>
      <c r="V821" s="460"/>
      <c r="W821" s="460"/>
      <c r="X821" s="460"/>
    </row>
    <row r="822" ht="15.75" customHeight="1">
      <c r="A822" s="460"/>
      <c r="B822" s="460"/>
      <c r="C822" s="460"/>
      <c r="D822" s="17"/>
      <c r="E822" s="9"/>
      <c r="F822" s="460"/>
      <c r="G822" s="460"/>
      <c r="H822" s="460"/>
      <c r="I822" s="460"/>
      <c r="J822" s="460"/>
      <c r="K822" s="460"/>
      <c r="L822" s="460"/>
      <c r="M822" s="460"/>
      <c r="N822" s="460"/>
      <c r="O822" s="460"/>
      <c r="P822" s="460"/>
      <c r="Q822" s="460"/>
      <c r="R822" s="460"/>
      <c r="S822" s="460"/>
      <c r="T822" s="460"/>
      <c r="U822" s="460"/>
      <c r="V822" s="460"/>
      <c r="W822" s="460"/>
      <c r="X822" s="460"/>
    </row>
    <row r="823" ht="15.75" customHeight="1">
      <c r="A823" s="460"/>
      <c r="B823" s="460"/>
      <c r="C823" s="460"/>
      <c r="D823" s="17"/>
      <c r="E823" s="9"/>
      <c r="F823" s="460"/>
      <c r="G823" s="460"/>
      <c r="H823" s="460"/>
      <c r="I823" s="460"/>
      <c r="J823" s="460"/>
      <c r="K823" s="460"/>
      <c r="L823" s="460"/>
      <c r="M823" s="460"/>
      <c r="N823" s="460"/>
      <c r="O823" s="460"/>
      <c r="P823" s="460"/>
      <c r="Q823" s="460"/>
      <c r="R823" s="460"/>
      <c r="S823" s="460"/>
      <c r="T823" s="460"/>
      <c r="U823" s="460"/>
      <c r="V823" s="460"/>
      <c r="W823" s="460"/>
      <c r="X823" s="460"/>
    </row>
    <row r="824" ht="15.75" customHeight="1">
      <c r="A824" s="460"/>
      <c r="B824" s="460"/>
      <c r="C824" s="460"/>
      <c r="D824" s="17"/>
      <c r="E824" s="9"/>
      <c r="F824" s="460"/>
      <c r="G824" s="460"/>
      <c r="H824" s="460"/>
      <c r="I824" s="460"/>
      <c r="J824" s="460"/>
      <c r="K824" s="460"/>
      <c r="L824" s="460"/>
      <c r="M824" s="460"/>
      <c r="N824" s="460"/>
      <c r="O824" s="460"/>
      <c r="P824" s="460"/>
      <c r="Q824" s="460"/>
      <c r="R824" s="460"/>
      <c r="S824" s="460"/>
      <c r="T824" s="460"/>
      <c r="U824" s="460"/>
      <c r="V824" s="460"/>
      <c r="W824" s="460"/>
      <c r="X824" s="460"/>
    </row>
    <row r="825" ht="15.75" customHeight="1">
      <c r="A825" s="460"/>
      <c r="B825" s="460"/>
      <c r="C825" s="460"/>
      <c r="D825" s="17"/>
      <c r="E825" s="9"/>
      <c r="F825" s="460"/>
      <c r="G825" s="460"/>
      <c r="H825" s="460"/>
      <c r="I825" s="460"/>
      <c r="J825" s="460"/>
      <c r="K825" s="460"/>
      <c r="L825" s="460"/>
      <c r="M825" s="460"/>
      <c r="N825" s="460"/>
      <c r="O825" s="460"/>
      <c r="P825" s="460"/>
      <c r="Q825" s="460"/>
      <c r="R825" s="460"/>
      <c r="S825" s="460"/>
      <c r="T825" s="460"/>
      <c r="U825" s="460"/>
      <c r="V825" s="460"/>
      <c r="W825" s="460"/>
      <c r="X825" s="460"/>
    </row>
    <row r="826" ht="15.75" customHeight="1">
      <c r="A826" s="460"/>
      <c r="B826" s="460"/>
      <c r="C826" s="460"/>
      <c r="D826" s="17"/>
      <c r="E826" s="9"/>
      <c r="F826" s="460"/>
      <c r="G826" s="460"/>
      <c r="H826" s="460"/>
      <c r="I826" s="460"/>
      <c r="J826" s="460"/>
      <c r="K826" s="460"/>
      <c r="L826" s="460"/>
      <c r="M826" s="460"/>
      <c r="N826" s="460"/>
      <c r="O826" s="460"/>
      <c r="P826" s="460"/>
      <c r="Q826" s="460"/>
      <c r="R826" s="460"/>
      <c r="S826" s="460"/>
      <c r="T826" s="460"/>
      <c r="U826" s="460"/>
      <c r="V826" s="460"/>
      <c r="W826" s="460"/>
      <c r="X826" s="460"/>
    </row>
    <row r="827" ht="15.75" customHeight="1">
      <c r="A827" s="460"/>
      <c r="B827" s="460"/>
      <c r="C827" s="460"/>
      <c r="D827" s="17"/>
      <c r="E827" s="9"/>
      <c r="F827" s="460"/>
      <c r="G827" s="460"/>
      <c r="H827" s="460"/>
      <c r="I827" s="460"/>
      <c r="J827" s="460"/>
      <c r="K827" s="460"/>
      <c r="L827" s="460"/>
      <c r="M827" s="460"/>
      <c r="N827" s="460"/>
      <c r="O827" s="460"/>
      <c r="P827" s="460"/>
      <c r="Q827" s="460"/>
      <c r="R827" s="460"/>
      <c r="S827" s="460"/>
      <c r="T827" s="460"/>
      <c r="U827" s="460"/>
      <c r="V827" s="460"/>
      <c r="W827" s="460"/>
      <c r="X827" s="460"/>
    </row>
    <row r="828" ht="15.75" customHeight="1">
      <c r="A828" s="460"/>
      <c r="B828" s="460"/>
      <c r="C828" s="460"/>
      <c r="D828" s="17"/>
      <c r="E828" s="9"/>
      <c r="F828" s="460"/>
      <c r="G828" s="460"/>
      <c r="H828" s="460"/>
      <c r="I828" s="460"/>
      <c r="J828" s="460"/>
      <c r="K828" s="460"/>
      <c r="L828" s="460"/>
      <c r="M828" s="460"/>
      <c r="N828" s="460"/>
      <c r="O828" s="460"/>
      <c r="P828" s="460"/>
      <c r="Q828" s="460"/>
      <c r="R828" s="460"/>
      <c r="S828" s="460"/>
      <c r="T828" s="460"/>
      <c r="U828" s="460"/>
      <c r="V828" s="460"/>
      <c r="W828" s="460"/>
      <c r="X828" s="460"/>
    </row>
    <row r="829" ht="15.75" customHeight="1">
      <c r="A829" s="460"/>
      <c r="B829" s="460"/>
      <c r="C829" s="460"/>
      <c r="D829" s="17"/>
      <c r="E829" s="9"/>
      <c r="F829" s="460"/>
      <c r="G829" s="460"/>
      <c r="H829" s="460"/>
      <c r="I829" s="460"/>
      <c r="J829" s="460"/>
      <c r="K829" s="460"/>
      <c r="L829" s="460"/>
      <c r="M829" s="460"/>
      <c r="N829" s="460"/>
      <c r="O829" s="460"/>
      <c r="P829" s="460"/>
      <c r="Q829" s="460"/>
      <c r="R829" s="460"/>
      <c r="S829" s="460"/>
      <c r="T829" s="460"/>
      <c r="U829" s="460"/>
      <c r="V829" s="460"/>
      <c r="W829" s="460"/>
      <c r="X829" s="460"/>
    </row>
    <row r="830" ht="15.75" customHeight="1">
      <c r="A830" s="460"/>
      <c r="B830" s="460"/>
      <c r="C830" s="460"/>
      <c r="D830" s="17"/>
      <c r="E830" s="9"/>
      <c r="F830" s="460"/>
      <c r="G830" s="460"/>
      <c r="H830" s="460"/>
      <c r="I830" s="460"/>
      <c r="J830" s="460"/>
      <c r="K830" s="460"/>
      <c r="L830" s="460"/>
      <c r="M830" s="460"/>
      <c r="N830" s="460"/>
      <c r="O830" s="460"/>
      <c r="P830" s="460"/>
      <c r="Q830" s="460"/>
      <c r="R830" s="460"/>
      <c r="S830" s="460"/>
      <c r="T830" s="460"/>
      <c r="U830" s="460"/>
      <c r="V830" s="460"/>
      <c r="W830" s="460"/>
      <c r="X830" s="460"/>
    </row>
    <row r="831" ht="15.75" customHeight="1">
      <c r="A831" s="460"/>
      <c r="B831" s="460"/>
      <c r="C831" s="460"/>
      <c r="D831" s="17"/>
      <c r="E831" s="9"/>
      <c r="F831" s="460"/>
      <c r="G831" s="460"/>
      <c r="H831" s="460"/>
      <c r="I831" s="460"/>
      <c r="J831" s="460"/>
      <c r="K831" s="460"/>
      <c r="L831" s="460"/>
      <c r="M831" s="460"/>
      <c r="N831" s="460"/>
      <c r="O831" s="460"/>
      <c r="P831" s="460"/>
      <c r="Q831" s="460"/>
      <c r="R831" s="460"/>
      <c r="S831" s="460"/>
      <c r="T831" s="460"/>
      <c r="U831" s="460"/>
      <c r="V831" s="460"/>
      <c r="W831" s="460"/>
      <c r="X831" s="460"/>
    </row>
    <row r="832" ht="15.75" customHeight="1">
      <c r="A832" s="460"/>
      <c r="B832" s="460"/>
      <c r="C832" s="460"/>
      <c r="D832" s="17"/>
      <c r="E832" s="9"/>
      <c r="F832" s="460"/>
      <c r="G832" s="460"/>
      <c r="H832" s="460"/>
      <c r="I832" s="460"/>
      <c r="J832" s="460"/>
      <c r="K832" s="460"/>
      <c r="L832" s="460"/>
      <c r="M832" s="460"/>
      <c r="N832" s="460"/>
      <c r="O832" s="460"/>
      <c r="P832" s="460"/>
      <c r="Q832" s="460"/>
      <c r="R832" s="460"/>
      <c r="S832" s="460"/>
      <c r="T832" s="460"/>
      <c r="U832" s="460"/>
      <c r="V832" s="460"/>
      <c r="W832" s="460"/>
      <c r="X832" s="460"/>
    </row>
    <row r="833" ht="15.75" customHeight="1">
      <c r="A833" s="460"/>
      <c r="B833" s="460"/>
      <c r="C833" s="460"/>
      <c r="D833" s="17"/>
      <c r="E833" s="9"/>
      <c r="F833" s="460"/>
      <c r="G833" s="460"/>
      <c r="H833" s="460"/>
      <c r="I833" s="460"/>
      <c r="J833" s="460"/>
      <c r="K833" s="460"/>
      <c r="L833" s="460"/>
      <c r="M833" s="460"/>
      <c r="N833" s="460"/>
      <c r="O833" s="460"/>
      <c r="P833" s="460"/>
      <c r="Q833" s="460"/>
      <c r="R833" s="460"/>
      <c r="S833" s="460"/>
      <c r="T833" s="460"/>
      <c r="U833" s="460"/>
      <c r="V833" s="460"/>
      <c r="W833" s="460"/>
      <c r="X833" s="460"/>
    </row>
    <row r="834" ht="15.75" customHeight="1">
      <c r="A834" s="460"/>
      <c r="B834" s="460"/>
      <c r="C834" s="460"/>
      <c r="D834" s="17"/>
      <c r="E834" s="9"/>
      <c r="F834" s="460"/>
      <c r="G834" s="460"/>
      <c r="H834" s="460"/>
      <c r="I834" s="460"/>
      <c r="J834" s="460"/>
      <c r="K834" s="460"/>
      <c r="L834" s="460"/>
      <c r="M834" s="460"/>
      <c r="N834" s="460"/>
      <c r="O834" s="460"/>
      <c r="P834" s="460"/>
      <c r="Q834" s="460"/>
      <c r="R834" s="460"/>
      <c r="S834" s="460"/>
      <c r="T834" s="460"/>
      <c r="U834" s="460"/>
      <c r="V834" s="460"/>
      <c r="W834" s="460"/>
      <c r="X834" s="460"/>
    </row>
    <row r="835" ht="15.75" customHeight="1">
      <c r="A835" s="460"/>
      <c r="B835" s="460"/>
      <c r="C835" s="460"/>
      <c r="D835" s="17"/>
      <c r="E835" s="9"/>
      <c r="F835" s="460"/>
      <c r="G835" s="460"/>
      <c r="H835" s="460"/>
      <c r="I835" s="460"/>
      <c r="J835" s="460"/>
      <c r="K835" s="460"/>
      <c r="L835" s="460"/>
      <c r="M835" s="460"/>
      <c r="N835" s="460"/>
      <c r="O835" s="460"/>
      <c r="P835" s="460"/>
      <c r="Q835" s="460"/>
      <c r="R835" s="460"/>
      <c r="S835" s="460"/>
      <c r="T835" s="460"/>
      <c r="U835" s="460"/>
      <c r="V835" s="460"/>
      <c r="W835" s="460"/>
      <c r="X835" s="460"/>
    </row>
    <row r="836" ht="15.75" customHeight="1">
      <c r="A836" s="460"/>
      <c r="B836" s="460"/>
      <c r="C836" s="460"/>
      <c r="D836" s="17"/>
      <c r="E836" s="9"/>
      <c r="F836" s="460"/>
      <c r="G836" s="460"/>
      <c r="H836" s="460"/>
      <c r="I836" s="460"/>
      <c r="J836" s="460"/>
      <c r="K836" s="460"/>
      <c r="L836" s="460"/>
      <c r="M836" s="460"/>
      <c r="N836" s="460"/>
      <c r="O836" s="460"/>
      <c r="P836" s="460"/>
      <c r="Q836" s="460"/>
      <c r="R836" s="460"/>
      <c r="S836" s="460"/>
      <c r="T836" s="460"/>
      <c r="U836" s="460"/>
      <c r="V836" s="460"/>
      <c r="W836" s="460"/>
      <c r="X836" s="460"/>
    </row>
    <row r="837" ht="15.75" customHeight="1">
      <c r="A837" s="460"/>
      <c r="B837" s="460"/>
      <c r="C837" s="460"/>
      <c r="D837" s="17"/>
      <c r="E837" s="9"/>
      <c r="F837" s="460"/>
      <c r="G837" s="460"/>
      <c r="H837" s="460"/>
      <c r="I837" s="460"/>
      <c r="J837" s="460"/>
      <c r="K837" s="460"/>
      <c r="L837" s="460"/>
      <c r="M837" s="460"/>
      <c r="N837" s="460"/>
      <c r="O837" s="460"/>
      <c r="P837" s="460"/>
      <c r="Q837" s="460"/>
      <c r="R837" s="460"/>
      <c r="S837" s="460"/>
      <c r="T837" s="460"/>
      <c r="U837" s="460"/>
      <c r="V837" s="460"/>
      <c r="W837" s="460"/>
      <c r="X837" s="460"/>
    </row>
    <row r="838" ht="15.75" customHeight="1">
      <c r="A838" s="460"/>
      <c r="B838" s="460"/>
      <c r="C838" s="460"/>
      <c r="D838" s="17"/>
      <c r="E838" s="9"/>
      <c r="F838" s="460"/>
      <c r="G838" s="460"/>
      <c r="H838" s="460"/>
      <c r="I838" s="460"/>
      <c r="J838" s="460"/>
      <c r="K838" s="460"/>
      <c r="L838" s="460"/>
      <c r="M838" s="460"/>
      <c r="N838" s="460"/>
      <c r="O838" s="460"/>
      <c r="P838" s="460"/>
      <c r="Q838" s="460"/>
      <c r="R838" s="460"/>
      <c r="S838" s="460"/>
      <c r="T838" s="460"/>
      <c r="U838" s="460"/>
      <c r="V838" s="460"/>
      <c r="W838" s="460"/>
      <c r="X838" s="460"/>
    </row>
    <row r="839" ht="15.75" customHeight="1">
      <c r="A839" s="460"/>
      <c r="B839" s="460"/>
      <c r="C839" s="460"/>
      <c r="D839" s="17"/>
      <c r="E839" s="9"/>
      <c r="F839" s="460"/>
      <c r="G839" s="460"/>
      <c r="H839" s="460"/>
      <c r="I839" s="460"/>
      <c r="J839" s="460"/>
      <c r="K839" s="460"/>
      <c r="L839" s="460"/>
      <c r="M839" s="460"/>
      <c r="N839" s="460"/>
      <c r="O839" s="460"/>
      <c r="P839" s="460"/>
      <c r="Q839" s="460"/>
      <c r="R839" s="460"/>
      <c r="S839" s="460"/>
      <c r="T839" s="460"/>
      <c r="U839" s="460"/>
      <c r="V839" s="460"/>
      <c r="W839" s="460"/>
      <c r="X839" s="460"/>
    </row>
    <row r="840" ht="15.75" customHeight="1">
      <c r="A840" s="460"/>
      <c r="B840" s="460"/>
      <c r="C840" s="460"/>
      <c r="D840" s="17"/>
      <c r="E840" s="9"/>
      <c r="F840" s="460"/>
      <c r="G840" s="460"/>
      <c r="H840" s="460"/>
      <c r="I840" s="460"/>
      <c r="J840" s="460"/>
      <c r="K840" s="460"/>
      <c r="L840" s="460"/>
      <c r="M840" s="460"/>
      <c r="N840" s="460"/>
      <c r="O840" s="460"/>
      <c r="P840" s="460"/>
      <c r="Q840" s="460"/>
      <c r="R840" s="460"/>
      <c r="S840" s="460"/>
      <c r="T840" s="460"/>
      <c r="U840" s="460"/>
      <c r="V840" s="460"/>
      <c r="W840" s="460"/>
      <c r="X840" s="460"/>
    </row>
    <row r="841" ht="15.75" customHeight="1">
      <c r="A841" s="460"/>
      <c r="B841" s="460"/>
      <c r="C841" s="460"/>
      <c r="D841" s="17"/>
      <c r="E841" s="9"/>
      <c r="F841" s="460"/>
      <c r="G841" s="460"/>
      <c r="H841" s="460"/>
      <c r="I841" s="460"/>
      <c r="J841" s="460"/>
      <c r="K841" s="460"/>
      <c r="L841" s="460"/>
      <c r="M841" s="460"/>
      <c r="N841" s="460"/>
      <c r="O841" s="460"/>
      <c r="P841" s="460"/>
      <c r="Q841" s="460"/>
      <c r="R841" s="460"/>
      <c r="S841" s="460"/>
      <c r="T841" s="460"/>
      <c r="U841" s="460"/>
      <c r="V841" s="460"/>
      <c r="W841" s="460"/>
      <c r="X841" s="460"/>
    </row>
    <row r="842" ht="15.75" customHeight="1">
      <c r="A842" s="460"/>
      <c r="B842" s="460"/>
      <c r="C842" s="460"/>
      <c r="D842" s="17"/>
      <c r="E842" s="9"/>
      <c r="F842" s="460"/>
      <c r="G842" s="460"/>
      <c r="H842" s="460"/>
      <c r="I842" s="460"/>
      <c r="J842" s="460"/>
      <c r="K842" s="460"/>
      <c r="L842" s="460"/>
      <c r="M842" s="460"/>
      <c r="N842" s="460"/>
      <c r="O842" s="460"/>
      <c r="P842" s="460"/>
      <c r="Q842" s="460"/>
      <c r="R842" s="460"/>
      <c r="S842" s="460"/>
      <c r="T842" s="460"/>
      <c r="U842" s="460"/>
      <c r="V842" s="460"/>
      <c r="W842" s="460"/>
      <c r="X842" s="460"/>
    </row>
    <row r="843" ht="15.75" customHeight="1">
      <c r="A843" s="460"/>
      <c r="B843" s="460"/>
      <c r="C843" s="460"/>
      <c r="D843" s="17"/>
      <c r="E843" s="9"/>
      <c r="F843" s="460"/>
      <c r="G843" s="460"/>
      <c r="H843" s="460"/>
      <c r="I843" s="460"/>
      <c r="J843" s="460"/>
      <c r="K843" s="460"/>
      <c r="L843" s="460"/>
      <c r="M843" s="460"/>
      <c r="N843" s="460"/>
      <c r="O843" s="460"/>
      <c r="P843" s="460"/>
      <c r="Q843" s="460"/>
      <c r="R843" s="460"/>
      <c r="S843" s="460"/>
      <c r="T843" s="460"/>
      <c r="U843" s="460"/>
      <c r="V843" s="460"/>
      <c r="W843" s="460"/>
      <c r="X843" s="460"/>
    </row>
    <row r="844" ht="15.75" customHeight="1">
      <c r="A844" s="460"/>
      <c r="B844" s="460"/>
      <c r="C844" s="460"/>
      <c r="D844" s="17"/>
      <c r="E844" s="9"/>
      <c r="F844" s="460"/>
      <c r="G844" s="460"/>
      <c r="H844" s="460"/>
      <c r="I844" s="460"/>
      <c r="J844" s="460"/>
      <c r="K844" s="460"/>
      <c r="L844" s="460"/>
      <c r="M844" s="460"/>
      <c r="N844" s="460"/>
      <c r="O844" s="460"/>
      <c r="P844" s="460"/>
      <c r="Q844" s="460"/>
      <c r="R844" s="460"/>
      <c r="S844" s="460"/>
      <c r="T844" s="460"/>
      <c r="U844" s="460"/>
      <c r="V844" s="460"/>
      <c r="W844" s="460"/>
      <c r="X844" s="460"/>
    </row>
    <row r="845" ht="15.75" customHeight="1">
      <c r="A845" s="460"/>
      <c r="B845" s="460"/>
      <c r="C845" s="460"/>
      <c r="D845" s="17"/>
      <c r="E845" s="9"/>
      <c r="F845" s="460"/>
      <c r="G845" s="460"/>
      <c r="H845" s="460"/>
      <c r="I845" s="460"/>
      <c r="J845" s="460"/>
      <c r="K845" s="460"/>
      <c r="L845" s="460"/>
      <c r="M845" s="460"/>
      <c r="N845" s="460"/>
      <c r="O845" s="460"/>
      <c r="P845" s="460"/>
      <c r="Q845" s="460"/>
      <c r="R845" s="460"/>
      <c r="S845" s="460"/>
      <c r="T845" s="460"/>
      <c r="U845" s="460"/>
      <c r="V845" s="460"/>
      <c r="W845" s="460"/>
      <c r="X845" s="460"/>
    </row>
    <row r="846" ht="15.75" customHeight="1">
      <c r="A846" s="460"/>
      <c r="B846" s="460"/>
      <c r="C846" s="460"/>
      <c r="D846" s="17"/>
      <c r="E846" s="9"/>
      <c r="F846" s="460"/>
      <c r="G846" s="460"/>
      <c r="H846" s="460"/>
      <c r="I846" s="460"/>
      <c r="J846" s="460"/>
      <c r="K846" s="460"/>
      <c r="L846" s="460"/>
      <c r="M846" s="460"/>
      <c r="N846" s="460"/>
      <c r="O846" s="460"/>
      <c r="P846" s="460"/>
      <c r="Q846" s="460"/>
      <c r="R846" s="460"/>
      <c r="S846" s="460"/>
      <c r="T846" s="460"/>
      <c r="U846" s="460"/>
      <c r="V846" s="460"/>
      <c r="W846" s="460"/>
      <c r="X846" s="460"/>
    </row>
    <row r="847" ht="15.75" customHeight="1">
      <c r="A847" s="460"/>
      <c r="B847" s="460"/>
      <c r="C847" s="460"/>
      <c r="D847" s="17"/>
      <c r="E847" s="9"/>
      <c r="F847" s="460"/>
      <c r="G847" s="460"/>
      <c r="H847" s="460"/>
      <c r="I847" s="460"/>
      <c r="J847" s="460"/>
      <c r="K847" s="460"/>
      <c r="L847" s="460"/>
      <c r="M847" s="460"/>
      <c r="N847" s="460"/>
      <c r="O847" s="460"/>
      <c r="P847" s="460"/>
      <c r="Q847" s="460"/>
      <c r="R847" s="460"/>
      <c r="S847" s="460"/>
      <c r="T847" s="460"/>
      <c r="U847" s="460"/>
      <c r="V847" s="460"/>
      <c r="W847" s="460"/>
      <c r="X847" s="460"/>
    </row>
    <row r="848" ht="15.75" customHeight="1">
      <c r="A848" s="460"/>
      <c r="B848" s="460"/>
      <c r="C848" s="460"/>
      <c r="D848" s="17"/>
      <c r="E848" s="9"/>
      <c r="F848" s="460"/>
      <c r="G848" s="460"/>
      <c r="H848" s="460"/>
      <c r="I848" s="460"/>
      <c r="J848" s="460"/>
      <c r="K848" s="460"/>
      <c r="L848" s="460"/>
      <c r="M848" s="460"/>
      <c r="N848" s="460"/>
      <c r="O848" s="460"/>
      <c r="P848" s="460"/>
      <c r="Q848" s="460"/>
      <c r="R848" s="460"/>
      <c r="S848" s="460"/>
      <c r="T848" s="460"/>
      <c r="U848" s="460"/>
      <c r="V848" s="460"/>
      <c r="W848" s="460"/>
      <c r="X848" s="460"/>
    </row>
    <row r="849" ht="15.75" customHeight="1">
      <c r="A849" s="460"/>
      <c r="B849" s="460"/>
      <c r="C849" s="460"/>
      <c r="D849" s="17"/>
      <c r="E849" s="9"/>
      <c r="F849" s="460"/>
      <c r="G849" s="460"/>
      <c r="H849" s="460"/>
      <c r="I849" s="460"/>
      <c r="J849" s="460"/>
      <c r="K849" s="460"/>
      <c r="L849" s="460"/>
      <c r="M849" s="460"/>
      <c r="N849" s="460"/>
      <c r="O849" s="460"/>
      <c r="P849" s="460"/>
      <c r="Q849" s="460"/>
      <c r="R849" s="460"/>
      <c r="S849" s="460"/>
      <c r="T849" s="460"/>
      <c r="U849" s="460"/>
      <c r="V849" s="460"/>
      <c r="W849" s="460"/>
      <c r="X849" s="460"/>
    </row>
    <row r="850" ht="15.75" customHeight="1">
      <c r="A850" s="460"/>
      <c r="B850" s="460"/>
      <c r="C850" s="460"/>
      <c r="D850" s="17"/>
      <c r="E850" s="9"/>
      <c r="F850" s="460"/>
      <c r="G850" s="460"/>
      <c r="H850" s="460"/>
      <c r="I850" s="460"/>
      <c r="J850" s="460"/>
      <c r="K850" s="460"/>
      <c r="L850" s="460"/>
      <c r="M850" s="460"/>
      <c r="N850" s="460"/>
      <c r="O850" s="460"/>
      <c r="P850" s="460"/>
      <c r="Q850" s="460"/>
      <c r="R850" s="460"/>
      <c r="S850" s="460"/>
      <c r="T850" s="460"/>
      <c r="U850" s="460"/>
      <c r="V850" s="460"/>
      <c r="W850" s="460"/>
      <c r="X850" s="460"/>
    </row>
    <row r="851" ht="15.75" customHeight="1">
      <c r="A851" s="460"/>
      <c r="B851" s="460"/>
      <c r="C851" s="460"/>
      <c r="D851" s="17"/>
      <c r="E851" s="9"/>
      <c r="F851" s="460"/>
      <c r="G851" s="460"/>
      <c r="H851" s="460"/>
      <c r="I851" s="460"/>
      <c r="J851" s="460"/>
      <c r="K851" s="460"/>
      <c r="L851" s="460"/>
      <c r="M851" s="460"/>
      <c r="N851" s="460"/>
      <c r="O851" s="460"/>
      <c r="P851" s="460"/>
      <c r="Q851" s="460"/>
      <c r="R851" s="460"/>
      <c r="S851" s="460"/>
      <c r="T851" s="460"/>
      <c r="U851" s="460"/>
      <c r="V851" s="460"/>
      <c r="W851" s="460"/>
      <c r="X851" s="460"/>
    </row>
    <row r="852" ht="15.75" customHeight="1">
      <c r="A852" s="460"/>
      <c r="B852" s="460"/>
      <c r="C852" s="460"/>
      <c r="D852" s="17"/>
      <c r="E852" s="9"/>
      <c r="F852" s="460"/>
      <c r="G852" s="460"/>
      <c r="H852" s="460"/>
      <c r="I852" s="460"/>
      <c r="J852" s="460"/>
      <c r="K852" s="460"/>
      <c r="L852" s="460"/>
      <c r="M852" s="460"/>
      <c r="N852" s="460"/>
      <c r="O852" s="460"/>
      <c r="P852" s="460"/>
      <c r="Q852" s="460"/>
      <c r="R852" s="460"/>
      <c r="S852" s="460"/>
      <c r="T852" s="460"/>
      <c r="U852" s="460"/>
      <c r="V852" s="460"/>
      <c r="W852" s="460"/>
      <c r="X852" s="460"/>
    </row>
    <row r="853" ht="15.75" customHeight="1">
      <c r="A853" s="460"/>
      <c r="B853" s="460"/>
      <c r="C853" s="460"/>
      <c r="D853" s="17"/>
      <c r="E853" s="9"/>
      <c r="F853" s="460"/>
      <c r="G853" s="460"/>
      <c r="H853" s="460"/>
      <c r="I853" s="460"/>
      <c r="J853" s="460"/>
      <c r="K853" s="460"/>
      <c r="L853" s="460"/>
      <c r="M853" s="460"/>
      <c r="N853" s="460"/>
      <c r="O853" s="460"/>
      <c r="P853" s="460"/>
      <c r="Q853" s="460"/>
      <c r="R853" s="460"/>
      <c r="S853" s="460"/>
      <c r="T853" s="460"/>
      <c r="U853" s="460"/>
      <c r="V853" s="460"/>
      <c r="W853" s="460"/>
      <c r="X853" s="460"/>
    </row>
    <row r="854" ht="15.75" customHeight="1">
      <c r="A854" s="460"/>
      <c r="B854" s="460"/>
      <c r="C854" s="460"/>
      <c r="D854" s="17"/>
      <c r="E854" s="9"/>
      <c r="F854" s="460"/>
      <c r="G854" s="460"/>
      <c r="H854" s="460"/>
      <c r="I854" s="460"/>
      <c r="J854" s="460"/>
      <c r="K854" s="460"/>
      <c r="L854" s="460"/>
      <c r="M854" s="460"/>
      <c r="N854" s="460"/>
      <c r="O854" s="460"/>
      <c r="P854" s="460"/>
      <c r="Q854" s="460"/>
      <c r="R854" s="460"/>
      <c r="S854" s="460"/>
      <c r="T854" s="460"/>
      <c r="U854" s="460"/>
      <c r="V854" s="460"/>
      <c r="W854" s="460"/>
      <c r="X854" s="460"/>
    </row>
    <row r="855" ht="15.75" customHeight="1">
      <c r="A855" s="460"/>
      <c r="B855" s="460"/>
      <c r="C855" s="460"/>
      <c r="D855" s="17"/>
      <c r="E855" s="9"/>
      <c r="F855" s="460"/>
      <c r="G855" s="460"/>
      <c r="H855" s="460"/>
      <c r="I855" s="460"/>
      <c r="J855" s="460"/>
      <c r="K855" s="460"/>
      <c r="L855" s="460"/>
      <c r="M855" s="460"/>
      <c r="N855" s="460"/>
      <c r="O855" s="460"/>
      <c r="P855" s="460"/>
      <c r="Q855" s="460"/>
      <c r="R855" s="460"/>
      <c r="S855" s="460"/>
      <c r="T855" s="460"/>
      <c r="U855" s="460"/>
      <c r="V855" s="460"/>
      <c r="W855" s="460"/>
      <c r="X855" s="460"/>
    </row>
    <row r="856" ht="15.75" customHeight="1">
      <c r="A856" s="460"/>
      <c r="B856" s="460"/>
      <c r="C856" s="460"/>
      <c r="D856" s="17"/>
      <c r="E856" s="9"/>
      <c r="F856" s="460"/>
      <c r="G856" s="460"/>
      <c r="H856" s="460"/>
      <c r="I856" s="460"/>
      <c r="J856" s="460"/>
      <c r="K856" s="460"/>
      <c r="L856" s="460"/>
      <c r="M856" s="460"/>
      <c r="N856" s="460"/>
      <c r="O856" s="460"/>
      <c r="P856" s="460"/>
      <c r="Q856" s="460"/>
      <c r="R856" s="460"/>
      <c r="S856" s="460"/>
      <c r="T856" s="460"/>
      <c r="U856" s="460"/>
      <c r="V856" s="460"/>
      <c r="W856" s="460"/>
      <c r="X856" s="460"/>
    </row>
    <row r="857" ht="15.75" customHeight="1">
      <c r="A857" s="460"/>
      <c r="B857" s="460"/>
      <c r="C857" s="460"/>
      <c r="D857" s="17"/>
      <c r="E857" s="9"/>
      <c r="F857" s="460"/>
      <c r="G857" s="460"/>
      <c r="H857" s="460"/>
      <c r="I857" s="460"/>
      <c r="J857" s="460"/>
      <c r="K857" s="460"/>
      <c r="L857" s="460"/>
      <c r="M857" s="460"/>
      <c r="N857" s="460"/>
      <c r="O857" s="460"/>
      <c r="P857" s="460"/>
      <c r="Q857" s="460"/>
      <c r="R857" s="460"/>
      <c r="S857" s="460"/>
      <c r="T857" s="460"/>
      <c r="U857" s="460"/>
      <c r="V857" s="460"/>
      <c r="W857" s="460"/>
      <c r="X857" s="460"/>
    </row>
    <row r="858" ht="15.75" customHeight="1">
      <c r="A858" s="460"/>
      <c r="B858" s="460"/>
      <c r="C858" s="460"/>
      <c r="D858" s="17"/>
      <c r="E858" s="9"/>
      <c r="F858" s="460"/>
      <c r="G858" s="460"/>
      <c r="H858" s="460"/>
      <c r="I858" s="460"/>
      <c r="J858" s="460"/>
      <c r="K858" s="460"/>
      <c r="L858" s="460"/>
      <c r="M858" s="460"/>
      <c r="N858" s="460"/>
      <c r="O858" s="460"/>
      <c r="P858" s="460"/>
      <c r="Q858" s="460"/>
      <c r="R858" s="460"/>
      <c r="S858" s="460"/>
      <c r="T858" s="460"/>
      <c r="U858" s="460"/>
      <c r="V858" s="460"/>
      <c r="W858" s="460"/>
      <c r="X858" s="460"/>
    </row>
    <row r="859" ht="15.75" customHeight="1">
      <c r="A859" s="460"/>
      <c r="B859" s="460"/>
      <c r="C859" s="460"/>
      <c r="D859" s="17"/>
      <c r="E859" s="9"/>
      <c r="F859" s="460"/>
      <c r="G859" s="460"/>
      <c r="H859" s="460"/>
      <c r="I859" s="460"/>
      <c r="J859" s="460"/>
      <c r="K859" s="460"/>
      <c r="L859" s="460"/>
      <c r="M859" s="460"/>
      <c r="N859" s="460"/>
      <c r="O859" s="460"/>
      <c r="P859" s="460"/>
      <c r="Q859" s="460"/>
      <c r="R859" s="460"/>
      <c r="S859" s="460"/>
      <c r="T859" s="460"/>
      <c r="U859" s="460"/>
      <c r="V859" s="460"/>
      <c r="W859" s="460"/>
      <c r="X859" s="460"/>
    </row>
    <row r="860" ht="15.75" customHeight="1">
      <c r="A860" s="460"/>
      <c r="B860" s="460"/>
      <c r="C860" s="460"/>
      <c r="D860" s="17"/>
      <c r="E860" s="9"/>
      <c r="F860" s="460"/>
      <c r="G860" s="460"/>
      <c r="H860" s="460"/>
      <c r="I860" s="460"/>
      <c r="J860" s="460"/>
      <c r="K860" s="460"/>
      <c r="L860" s="460"/>
      <c r="M860" s="460"/>
      <c r="N860" s="460"/>
      <c r="O860" s="460"/>
      <c r="P860" s="460"/>
      <c r="Q860" s="460"/>
      <c r="R860" s="460"/>
      <c r="S860" s="460"/>
      <c r="T860" s="460"/>
      <c r="U860" s="460"/>
      <c r="V860" s="460"/>
      <c r="W860" s="460"/>
      <c r="X860" s="460"/>
    </row>
    <row r="861" ht="15.75" customHeight="1">
      <c r="A861" s="460"/>
      <c r="B861" s="460"/>
      <c r="C861" s="460"/>
      <c r="D861" s="17"/>
      <c r="E861" s="9"/>
      <c r="F861" s="460"/>
      <c r="G861" s="460"/>
      <c r="H861" s="460"/>
      <c r="I861" s="460"/>
      <c r="J861" s="460"/>
      <c r="K861" s="460"/>
      <c r="L861" s="460"/>
      <c r="M861" s="460"/>
      <c r="N861" s="460"/>
      <c r="O861" s="460"/>
      <c r="P861" s="460"/>
      <c r="Q861" s="460"/>
      <c r="R861" s="460"/>
      <c r="S861" s="460"/>
      <c r="T861" s="460"/>
      <c r="U861" s="460"/>
      <c r="V861" s="460"/>
      <c r="W861" s="460"/>
      <c r="X861" s="460"/>
    </row>
    <row r="862" ht="15.75" customHeight="1">
      <c r="A862" s="460"/>
      <c r="B862" s="460"/>
      <c r="C862" s="460"/>
      <c r="D862" s="17"/>
      <c r="E862" s="9"/>
      <c r="F862" s="460"/>
      <c r="G862" s="460"/>
      <c r="H862" s="460"/>
      <c r="I862" s="460"/>
      <c r="J862" s="460"/>
      <c r="K862" s="460"/>
      <c r="L862" s="460"/>
      <c r="M862" s="460"/>
      <c r="N862" s="460"/>
      <c r="O862" s="460"/>
      <c r="P862" s="460"/>
      <c r="Q862" s="460"/>
      <c r="R862" s="460"/>
      <c r="S862" s="460"/>
      <c r="T862" s="460"/>
      <c r="U862" s="460"/>
      <c r="V862" s="460"/>
      <c r="W862" s="460"/>
      <c r="X862" s="460"/>
    </row>
    <row r="863" ht="15.75" customHeight="1">
      <c r="A863" s="460"/>
      <c r="B863" s="460"/>
      <c r="C863" s="460"/>
      <c r="D863" s="17"/>
      <c r="E863" s="9"/>
      <c r="F863" s="460"/>
      <c r="G863" s="460"/>
      <c r="H863" s="460"/>
      <c r="I863" s="460"/>
      <c r="J863" s="460"/>
      <c r="K863" s="460"/>
      <c r="L863" s="460"/>
      <c r="M863" s="460"/>
      <c r="N863" s="460"/>
      <c r="O863" s="460"/>
      <c r="P863" s="460"/>
      <c r="Q863" s="460"/>
      <c r="R863" s="460"/>
      <c r="S863" s="460"/>
      <c r="T863" s="460"/>
      <c r="U863" s="460"/>
      <c r="V863" s="460"/>
      <c r="W863" s="460"/>
      <c r="X863" s="460"/>
    </row>
    <row r="864" ht="15.75" customHeight="1">
      <c r="A864" s="460"/>
      <c r="B864" s="460"/>
      <c r="C864" s="460"/>
      <c r="D864" s="17"/>
      <c r="E864" s="9"/>
      <c r="F864" s="460"/>
      <c r="G864" s="460"/>
      <c r="H864" s="460"/>
      <c r="I864" s="460"/>
      <c r="J864" s="460"/>
      <c r="K864" s="460"/>
      <c r="L864" s="460"/>
      <c r="M864" s="460"/>
      <c r="N864" s="460"/>
      <c r="O864" s="460"/>
      <c r="P864" s="460"/>
      <c r="Q864" s="460"/>
      <c r="R864" s="460"/>
      <c r="S864" s="460"/>
      <c r="T864" s="460"/>
      <c r="U864" s="460"/>
      <c r="V864" s="460"/>
      <c r="W864" s="460"/>
      <c r="X864" s="460"/>
    </row>
    <row r="865" ht="15.75" customHeight="1">
      <c r="A865" s="460"/>
      <c r="B865" s="460"/>
      <c r="C865" s="460"/>
      <c r="D865" s="17"/>
      <c r="E865" s="9"/>
      <c r="F865" s="460"/>
      <c r="G865" s="460"/>
      <c r="H865" s="460"/>
      <c r="I865" s="460"/>
      <c r="J865" s="460"/>
      <c r="K865" s="460"/>
      <c r="L865" s="460"/>
      <c r="M865" s="460"/>
      <c r="N865" s="460"/>
      <c r="O865" s="460"/>
      <c r="P865" s="460"/>
      <c r="Q865" s="460"/>
      <c r="R865" s="460"/>
      <c r="S865" s="460"/>
      <c r="T865" s="460"/>
      <c r="U865" s="460"/>
      <c r="V865" s="460"/>
      <c r="W865" s="460"/>
      <c r="X865" s="460"/>
    </row>
    <row r="866" ht="15.75" customHeight="1">
      <c r="A866" s="460"/>
      <c r="B866" s="460"/>
      <c r="C866" s="460"/>
      <c r="D866" s="17"/>
      <c r="E866" s="9"/>
      <c r="F866" s="460"/>
      <c r="G866" s="460"/>
      <c r="H866" s="460"/>
      <c r="I866" s="460"/>
      <c r="J866" s="460"/>
      <c r="K866" s="460"/>
      <c r="L866" s="460"/>
      <c r="M866" s="460"/>
      <c r="N866" s="460"/>
      <c r="O866" s="460"/>
      <c r="P866" s="460"/>
      <c r="Q866" s="460"/>
      <c r="R866" s="460"/>
      <c r="S866" s="460"/>
      <c r="T866" s="460"/>
      <c r="U866" s="460"/>
      <c r="V866" s="460"/>
      <c r="W866" s="460"/>
      <c r="X866" s="460"/>
    </row>
    <row r="867" ht="15.75" customHeight="1">
      <c r="A867" s="460"/>
      <c r="B867" s="460"/>
      <c r="C867" s="460"/>
      <c r="D867" s="17"/>
      <c r="E867" s="9"/>
      <c r="F867" s="460"/>
      <c r="G867" s="460"/>
      <c r="H867" s="460"/>
      <c r="I867" s="460"/>
      <c r="J867" s="460"/>
      <c r="K867" s="460"/>
      <c r="L867" s="460"/>
      <c r="M867" s="460"/>
      <c r="N867" s="460"/>
      <c r="O867" s="460"/>
      <c r="P867" s="460"/>
      <c r="Q867" s="460"/>
      <c r="R867" s="460"/>
      <c r="S867" s="460"/>
      <c r="T867" s="460"/>
      <c r="U867" s="460"/>
      <c r="V867" s="460"/>
      <c r="W867" s="460"/>
      <c r="X867" s="460"/>
    </row>
    <row r="868" ht="15.75" customHeight="1">
      <c r="A868" s="460"/>
      <c r="B868" s="460"/>
      <c r="C868" s="460"/>
      <c r="D868" s="17"/>
      <c r="E868" s="9"/>
      <c r="F868" s="460"/>
      <c r="G868" s="460"/>
      <c r="H868" s="460"/>
      <c r="I868" s="460"/>
      <c r="J868" s="460"/>
      <c r="K868" s="460"/>
      <c r="L868" s="460"/>
      <c r="M868" s="460"/>
      <c r="N868" s="460"/>
      <c r="O868" s="460"/>
      <c r="P868" s="460"/>
      <c r="Q868" s="460"/>
      <c r="R868" s="460"/>
      <c r="S868" s="460"/>
      <c r="T868" s="460"/>
      <c r="U868" s="460"/>
      <c r="V868" s="460"/>
      <c r="W868" s="460"/>
      <c r="X868" s="460"/>
    </row>
    <row r="869" ht="15.75" customHeight="1">
      <c r="A869" s="460"/>
      <c r="B869" s="460"/>
      <c r="C869" s="460"/>
      <c r="D869" s="17"/>
      <c r="E869" s="9"/>
      <c r="F869" s="460"/>
      <c r="G869" s="460"/>
      <c r="H869" s="460"/>
      <c r="I869" s="460"/>
      <c r="J869" s="460"/>
      <c r="K869" s="460"/>
      <c r="L869" s="460"/>
      <c r="M869" s="460"/>
      <c r="N869" s="460"/>
      <c r="O869" s="460"/>
      <c r="P869" s="460"/>
      <c r="Q869" s="460"/>
      <c r="R869" s="460"/>
      <c r="S869" s="460"/>
      <c r="T869" s="460"/>
      <c r="U869" s="460"/>
      <c r="V869" s="460"/>
      <c r="W869" s="460"/>
      <c r="X869" s="460"/>
    </row>
    <row r="870" ht="15.75" customHeight="1">
      <c r="A870" s="460"/>
      <c r="B870" s="460"/>
      <c r="C870" s="460"/>
      <c r="D870" s="17"/>
      <c r="E870" s="9"/>
      <c r="F870" s="460"/>
      <c r="G870" s="460"/>
      <c r="H870" s="460"/>
      <c r="I870" s="460"/>
      <c r="J870" s="460"/>
      <c r="K870" s="460"/>
      <c r="L870" s="460"/>
      <c r="M870" s="460"/>
      <c r="N870" s="460"/>
      <c r="O870" s="460"/>
      <c r="P870" s="460"/>
      <c r="Q870" s="460"/>
      <c r="R870" s="460"/>
      <c r="S870" s="460"/>
      <c r="T870" s="460"/>
      <c r="U870" s="460"/>
      <c r="V870" s="460"/>
      <c r="W870" s="460"/>
      <c r="X870" s="460"/>
    </row>
    <row r="871" ht="15.75" customHeight="1">
      <c r="A871" s="460"/>
      <c r="B871" s="460"/>
      <c r="C871" s="460"/>
      <c r="D871" s="17"/>
      <c r="E871" s="9"/>
      <c r="F871" s="460"/>
      <c r="G871" s="460"/>
      <c r="H871" s="460"/>
      <c r="I871" s="460"/>
      <c r="J871" s="460"/>
      <c r="K871" s="460"/>
      <c r="L871" s="460"/>
      <c r="M871" s="460"/>
      <c r="N871" s="460"/>
      <c r="O871" s="460"/>
      <c r="P871" s="460"/>
      <c r="Q871" s="460"/>
      <c r="R871" s="460"/>
      <c r="S871" s="460"/>
      <c r="T871" s="460"/>
      <c r="U871" s="460"/>
      <c r="V871" s="460"/>
      <c r="W871" s="460"/>
      <c r="X871" s="460"/>
    </row>
    <row r="872" ht="15.75" customHeight="1">
      <c r="A872" s="460"/>
      <c r="B872" s="460"/>
      <c r="C872" s="460"/>
      <c r="D872" s="17"/>
      <c r="E872" s="9"/>
      <c r="F872" s="460"/>
      <c r="G872" s="460"/>
      <c r="H872" s="460"/>
      <c r="I872" s="460"/>
      <c r="J872" s="460"/>
      <c r="K872" s="460"/>
      <c r="L872" s="460"/>
      <c r="M872" s="460"/>
      <c r="N872" s="460"/>
      <c r="O872" s="460"/>
      <c r="P872" s="460"/>
      <c r="Q872" s="460"/>
      <c r="R872" s="460"/>
      <c r="S872" s="460"/>
      <c r="T872" s="460"/>
      <c r="U872" s="460"/>
      <c r="V872" s="460"/>
      <c r="W872" s="460"/>
      <c r="X872" s="460"/>
    </row>
    <row r="873" ht="15.75" customHeight="1">
      <c r="A873" s="460"/>
      <c r="B873" s="460"/>
      <c r="C873" s="460"/>
      <c r="D873" s="17"/>
      <c r="E873" s="9"/>
      <c r="F873" s="460"/>
      <c r="G873" s="460"/>
      <c r="H873" s="460"/>
      <c r="I873" s="460"/>
      <c r="J873" s="460"/>
      <c r="K873" s="460"/>
      <c r="L873" s="460"/>
      <c r="M873" s="460"/>
      <c r="N873" s="460"/>
      <c r="O873" s="460"/>
      <c r="P873" s="460"/>
      <c r="Q873" s="460"/>
      <c r="R873" s="460"/>
      <c r="S873" s="460"/>
      <c r="T873" s="460"/>
      <c r="U873" s="460"/>
      <c r="V873" s="460"/>
      <c r="W873" s="460"/>
      <c r="X873" s="460"/>
    </row>
    <row r="874" ht="15.75" customHeight="1">
      <c r="A874" s="460"/>
      <c r="B874" s="460"/>
      <c r="C874" s="460"/>
      <c r="D874" s="17"/>
      <c r="E874" s="9"/>
      <c r="F874" s="460"/>
      <c r="G874" s="460"/>
      <c r="H874" s="460"/>
      <c r="I874" s="460"/>
      <c r="J874" s="460"/>
      <c r="K874" s="460"/>
      <c r="L874" s="460"/>
      <c r="M874" s="460"/>
      <c r="N874" s="460"/>
      <c r="O874" s="460"/>
      <c r="P874" s="460"/>
      <c r="Q874" s="460"/>
      <c r="R874" s="460"/>
      <c r="S874" s="460"/>
      <c r="T874" s="460"/>
      <c r="U874" s="460"/>
      <c r="V874" s="460"/>
      <c r="W874" s="460"/>
      <c r="X874" s="460"/>
    </row>
    <row r="875" ht="15.75" customHeight="1">
      <c r="A875" s="460"/>
      <c r="B875" s="460"/>
      <c r="C875" s="460"/>
      <c r="D875" s="17"/>
      <c r="E875" s="9"/>
      <c r="F875" s="460"/>
      <c r="G875" s="460"/>
      <c r="H875" s="460"/>
      <c r="I875" s="460"/>
      <c r="J875" s="460"/>
      <c r="K875" s="460"/>
      <c r="L875" s="460"/>
      <c r="M875" s="460"/>
      <c r="N875" s="460"/>
      <c r="O875" s="460"/>
      <c r="P875" s="460"/>
      <c r="Q875" s="460"/>
      <c r="R875" s="460"/>
      <c r="S875" s="460"/>
      <c r="T875" s="460"/>
      <c r="U875" s="460"/>
      <c r="V875" s="460"/>
      <c r="W875" s="460"/>
      <c r="X875" s="460"/>
    </row>
    <row r="876" ht="15.75" customHeight="1">
      <c r="A876" s="460"/>
      <c r="B876" s="460"/>
      <c r="C876" s="460"/>
      <c r="D876" s="17"/>
      <c r="E876" s="9"/>
      <c r="F876" s="460"/>
      <c r="G876" s="460"/>
      <c r="H876" s="460"/>
      <c r="I876" s="460"/>
      <c r="J876" s="460"/>
      <c r="K876" s="460"/>
      <c r="L876" s="460"/>
      <c r="M876" s="460"/>
      <c r="N876" s="460"/>
      <c r="O876" s="460"/>
      <c r="P876" s="460"/>
      <c r="Q876" s="460"/>
      <c r="R876" s="460"/>
      <c r="S876" s="460"/>
      <c r="T876" s="460"/>
      <c r="U876" s="460"/>
      <c r="V876" s="460"/>
      <c r="W876" s="460"/>
      <c r="X876" s="460"/>
    </row>
    <row r="877" ht="15.75" customHeight="1">
      <c r="A877" s="460"/>
      <c r="B877" s="460"/>
      <c r="C877" s="460"/>
      <c r="D877" s="17"/>
      <c r="E877" s="9"/>
      <c r="F877" s="460"/>
      <c r="G877" s="460"/>
      <c r="H877" s="460"/>
      <c r="I877" s="460"/>
      <c r="J877" s="460"/>
      <c r="K877" s="460"/>
      <c r="L877" s="460"/>
      <c r="M877" s="460"/>
      <c r="N877" s="460"/>
      <c r="O877" s="460"/>
      <c r="P877" s="460"/>
      <c r="Q877" s="460"/>
      <c r="R877" s="460"/>
      <c r="S877" s="460"/>
      <c r="T877" s="460"/>
      <c r="U877" s="460"/>
      <c r="V877" s="460"/>
      <c r="W877" s="460"/>
      <c r="X877" s="460"/>
    </row>
    <row r="878" ht="15.75" customHeight="1">
      <c r="A878" s="460"/>
      <c r="B878" s="460"/>
      <c r="C878" s="460"/>
      <c r="D878" s="17"/>
      <c r="E878" s="9"/>
      <c r="F878" s="460"/>
      <c r="G878" s="460"/>
      <c r="H878" s="460"/>
      <c r="I878" s="460"/>
      <c r="J878" s="460"/>
      <c r="K878" s="460"/>
      <c r="L878" s="460"/>
      <c r="M878" s="460"/>
      <c r="N878" s="460"/>
      <c r="O878" s="460"/>
      <c r="P878" s="460"/>
      <c r="Q878" s="460"/>
      <c r="R878" s="460"/>
      <c r="S878" s="460"/>
      <c r="T878" s="460"/>
      <c r="U878" s="460"/>
      <c r="V878" s="460"/>
      <c r="W878" s="460"/>
      <c r="X878" s="460"/>
    </row>
    <row r="879" ht="15.75" customHeight="1">
      <c r="A879" s="460"/>
      <c r="B879" s="460"/>
      <c r="C879" s="460"/>
      <c r="D879" s="17"/>
      <c r="E879" s="9"/>
      <c r="F879" s="460"/>
      <c r="G879" s="460"/>
      <c r="H879" s="460"/>
      <c r="I879" s="460"/>
      <c r="J879" s="460"/>
      <c r="K879" s="460"/>
      <c r="L879" s="460"/>
      <c r="M879" s="460"/>
      <c r="N879" s="460"/>
      <c r="O879" s="460"/>
      <c r="P879" s="460"/>
      <c r="Q879" s="460"/>
      <c r="R879" s="460"/>
      <c r="S879" s="460"/>
      <c r="T879" s="460"/>
      <c r="U879" s="460"/>
      <c r="V879" s="460"/>
      <c r="W879" s="460"/>
      <c r="X879" s="460"/>
    </row>
    <row r="880" ht="15.75" customHeight="1">
      <c r="A880" s="460"/>
      <c r="B880" s="460"/>
      <c r="C880" s="460"/>
      <c r="D880" s="17"/>
      <c r="E880" s="9"/>
      <c r="F880" s="460"/>
      <c r="G880" s="460"/>
      <c r="H880" s="460"/>
      <c r="I880" s="460"/>
      <c r="J880" s="460"/>
      <c r="K880" s="460"/>
      <c r="L880" s="460"/>
      <c r="M880" s="460"/>
      <c r="N880" s="460"/>
      <c r="O880" s="460"/>
      <c r="P880" s="460"/>
      <c r="Q880" s="460"/>
      <c r="R880" s="460"/>
      <c r="S880" s="460"/>
      <c r="T880" s="460"/>
      <c r="U880" s="460"/>
      <c r="V880" s="460"/>
      <c r="W880" s="460"/>
      <c r="X880" s="460"/>
    </row>
    <row r="881" ht="15.75" customHeight="1">
      <c r="A881" s="460"/>
      <c r="B881" s="460"/>
      <c r="C881" s="460"/>
      <c r="D881" s="17"/>
      <c r="E881" s="9"/>
      <c r="F881" s="460"/>
      <c r="G881" s="460"/>
      <c r="H881" s="460"/>
      <c r="I881" s="460"/>
      <c r="J881" s="460"/>
      <c r="K881" s="460"/>
      <c r="L881" s="460"/>
      <c r="M881" s="460"/>
      <c r="N881" s="460"/>
      <c r="O881" s="460"/>
      <c r="P881" s="460"/>
      <c r="Q881" s="460"/>
      <c r="R881" s="460"/>
      <c r="S881" s="460"/>
      <c r="T881" s="460"/>
      <c r="U881" s="460"/>
      <c r="V881" s="460"/>
      <c r="W881" s="460"/>
      <c r="X881" s="460"/>
    </row>
    <row r="882" ht="15.75" customHeight="1">
      <c r="A882" s="460"/>
      <c r="B882" s="460"/>
      <c r="C882" s="460"/>
      <c r="D882" s="17"/>
      <c r="E882" s="9"/>
      <c r="F882" s="460"/>
      <c r="G882" s="460"/>
      <c r="H882" s="460"/>
      <c r="I882" s="460"/>
      <c r="J882" s="460"/>
      <c r="K882" s="460"/>
      <c r="L882" s="460"/>
      <c r="M882" s="460"/>
      <c r="N882" s="460"/>
      <c r="O882" s="460"/>
      <c r="P882" s="460"/>
      <c r="Q882" s="460"/>
      <c r="R882" s="460"/>
      <c r="S882" s="460"/>
      <c r="T882" s="460"/>
      <c r="U882" s="460"/>
      <c r="V882" s="460"/>
      <c r="W882" s="460"/>
      <c r="X882" s="460"/>
    </row>
    <row r="883" ht="15.75" customHeight="1">
      <c r="A883" s="460"/>
      <c r="B883" s="460"/>
      <c r="C883" s="460"/>
      <c r="D883" s="17"/>
      <c r="E883" s="9"/>
      <c r="F883" s="460"/>
      <c r="G883" s="460"/>
      <c r="H883" s="460"/>
      <c r="I883" s="460"/>
      <c r="J883" s="460"/>
      <c r="K883" s="460"/>
      <c r="L883" s="460"/>
      <c r="M883" s="460"/>
      <c r="N883" s="460"/>
      <c r="O883" s="460"/>
      <c r="P883" s="460"/>
      <c r="Q883" s="460"/>
      <c r="R883" s="460"/>
      <c r="S883" s="460"/>
      <c r="T883" s="460"/>
      <c r="U883" s="460"/>
      <c r="V883" s="460"/>
      <c r="W883" s="460"/>
      <c r="X883" s="460"/>
    </row>
    <row r="884" ht="15.75" customHeight="1">
      <c r="A884" s="460"/>
      <c r="B884" s="460"/>
      <c r="C884" s="460"/>
      <c r="D884" s="17"/>
      <c r="E884" s="9"/>
      <c r="F884" s="460"/>
      <c r="G884" s="460"/>
      <c r="H884" s="460"/>
      <c r="I884" s="460"/>
      <c r="J884" s="460"/>
      <c r="K884" s="460"/>
      <c r="L884" s="460"/>
      <c r="M884" s="460"/>
      <c r="N884" s="460"/>
      <c r="O884" s="460"/>
      <c r="P884" s="460"/>
      <c r="Q884" s="460"/>
      <c r="R884" s="460"/>
      <c r="S884" s="460"/>
      <c r="T884" s="460"/>
      <c r="U884" s="460"/>
      <c r="V884" s="460"/>
      <c r="W884" s="460"/>
      <c r="X884" s="460"/>
    </row>
    <row r="885" ht="15.75" customHeight="1">
      <c r="A885" s="460"/>
      <c r="B885" s="460"/>
      <c r="C885" s="460"/>
      <c r="D885" s="17"/>
      <c r="E885" s="9"/>
      <c r="F885" s="460"/>
      <c r="G885" s="460"/>
      <c r="H885" s="460"/>
      <c r="I885" s="460"/>
      <c r="J885" s="460"/>
      <c r="K885" s="460"/>
      <c r="L885" s="460"/>
      <c r="M885" s="460"/>
      <c r="N885" s="460"/>
      <c r="O885" s="460"/>
      <c r="P885" s="460"/>
      <c r="Q885" s="460"/>
      <c r="R885" s="460"/>
      <c r="S885" s="460"/>
      <c r="T885" s="460"/>
      <c r="U885" s="460"/>
      <c r="V885" s="460"/>
      <c r="W885" s="460"/>
      <c r="X885" s="460"/>
    </row>
    <row r="886" ht="15.75" customHeight="1">
      <c r="A886" s="460"/>
      <c r="B886" s="460"/>
      <c r="C886" s="460"/>
      <c r="D886" s="17"/>
      <c r="E886" s="9"/>
      <c r="F886" s="460"/>
      <c r="G886" s="460"/>
      <c r="H886" s="460"/>
      <c r="I886" s="460"/>
      <c r="J886" s="460"/>
      <c r="K886" s="460"/>
      <c r="L886" s="460"/>
      <c r="M886" s="460"/>
      <c r="N886" s="460"/>
      <c r="O886" s="460"/>
      <c r="P886" s="460"/>
      <c r="Q886" s="460"/>
      <c r="R886" s="460"/>
      <c r="S886" s="460"/>
      <c r="T886" s="460"/>
      <c r="U886" s="460"/>
      <c r="V886" s="460"/>
      <c r="W886" s="460"/>
      <c r="X886" s="460"/>
    </row>
    <row r="887" ht="15.75" customHeight="1">
      <c r="A887" s="460"/>
      <c r="B887" s="460"/>
      <c r="C887" s="460"/>
      <c r="D887" s="17"/>
      <c r="E887" s="9"/>
      <c r="F887" s="460"/>
      <c r="G887" s="460"/>
      <c r="H887" s="460"/>
      <c r="I887" s="460"/>
      <c r="J887" s="460"/>
      <c r="K887" s="460"/>
      <c r="L887" s="460"/>
      <c r="M887" s="460"/>
      <c r="N887" s="460"/>
      <c r="O887" s="460"/>
      <c r="P887" s="460"/>
      <c r="Q887" s="460"/>
      <c r="R887" s="460"/>
      <c r="S887" s="460"/>
      <c r="T887" s="460"/>
      <c r="U887" s="460"/>
      <c r="V887" s="460"/>
      <c r="W887" s="460"/>
      <c r="X887" s="460"/>
    </row>
    <row r="888" ht="15.75" customHeight="1">
      <c r="A888" s="460"/>
      <c r="B888" s="460"/>
      <c r="C888" s="460"/>
      <c r="D888" s="17"/>
      <c r="E888" s="9"/>
      <c r="F888" s="460"/>
      <c r="G888" s="460"/>
      <c r="H888" s="460"/>
      <c r="I888" s="460"/>
      <c r="J888" s="460"/>
      <c r="K888" s="460"/>
      <c r="L888" s="460"/>
      <c r="M888" s="460"/>
      <c r="N888" s="460"/>
      <c r="O888" s="460"/>
      <c r="P888" s="460"/>
      <c r="Q888" s="460"/>
      <c r="R888" s="460"/>
      <c r="S888" s="460"/>
      <c r="T888" s="460"/>
      <c r="U888" s="460"/>
      <c r="V888" s="460"/>
      <c r="W888" s="460"/>
      <c r="X888" s="460"/>
    </row>
    <row r="889" ht="15.75" customHeight="1">
      <c r="A889" s="460"/>
      <c r="B889" s="460"/>
      <c r="C889" s="460"/>
      <c r="D889" s="17"/>
      <c r="E889" s="9"/>
      <c r="F889" s="460"/>
      <c r="G889" s="460"/>
      <c r="H889" s="460"/>
      <c r="I889" s="460"/>
      <c r="J889" s="460"/>
      <c r="K889" s="460"/>
      <c r="L889" s="460"/>
      <c r="M889" s="460"/>
      <c r="N889" s="460"/>
      <c r="O889" s="460"/>
      <c r="P889" s="460"/>
      <c r="Q889" s="460"/>
      <c r="R889" s="460"/>
      <c r="S889" s="460"/>
      <c r="T889" s="460"/>
      <c r="U889" s="460"/>
      <c r="V889" s="460"/>
      <c r="W889" s="460"/>
      <c r="X889" s="460"/>
    </row>
    <row r="890" ht="15.75" customHeight="1">
      <c r="A890" s="460"/>
      <c r="B890" s="460"/>
      <c r="C890" s="460"/>
      <c r="D890" s="17"/>
      <c r="E890" s="9"/>
      <c r="F890" s="460"/>
      <c r="G890" s="460"/>
      <c r="H890" s="460"/>
      <c r="I890" s="460"/>
      <c r="J890" s="460"/>
      <c r="K890" s="460"/>
      <c r="L890" s="460"/>
      <c r="M890" s="460"/>
      <c r="N890" s="460"/>
      <c r="O890" s="460"/>
      <c r="P890" s="460"/>
      <c r="Q890" s="460"/>
      <c r="R890" s="460"/>
      <c r="S890" s="460"/>
      <c r="T890" s="460"/>
      <c r="U890" s="460"/>
      <c r="V890" s="460"/>
      <c r="W890" s="460"/>
      <c r="X890" s="460"/>
    </row>
    <row r="891" ht="15.75" customHeight="1">
      <c r="A891" s="460"/>
      <c r="B891" s="460"/>
      <c r="C891" s="460"/>
      <c r="D891" s="17"/>
      <c r="E891" s="9"/>
      <c r="F891" s="460"/>
      <c r="G891" s="460"/>
      <c r="H891" s="460"/>
      <c r="I891" s="460"/>
      <c r="J891" s="460"/>
      <c r="K891" s="460"/>
      <c r="L891" s="460"/>
      <c r="M891" s="460"/>
      <c r="N891" s="460"/>
      <c r="O891" s="460"/>
      <c r="P891" s="460"/>
      <c r="Q891" s="460"/>
      <c r="R891" s="460"/>
      <c r="S891" s="460"/>
      <c r="T891" s="460"/>
      <c r="U891" s="460"/>
      <c r="V891" s="460"/>
      <c r="W891" s="460"/>
      <c r="X891" s="460"/>
    </row>
    <row r="892" ht="15.75" customHeight="1">
      <c r="A892" s="460"/>
      <c r="B892" s="460"/>
      <c r="C892" s="460"/>
      <c r="D892" s="17"/>
      <c r="E892" s="9"/>
      <c r="F892" s="460"/>
      <c r="G892" s="460"/>
      <c r="H892" s="460"/>
      <c r="I892" s="460"/>
      <c r="J892" s="460"/>
      <c r="K892" s="460"/>
      <c r="L892" s="460"/>
      <c r="M892" s="460"/>
      <c r="N892" s="460"/>
      <c r="O892" s="460"/>
      <c r="P892" s="460"/>
      <c r="Q892" s="460"/>
      <c r="R892" s="460"/>
      <c r="S892" s="460"/>
      <c r="T892" s="460"/>
      <c r="U892" s="460"/>
      <c r="V892" s="460"/>
      <c r="W892" s="460"/>
      <c r="X892" s="460"/>
    </row>
    <row r="893" ht="15.75" customHeight="1">
      <c r="A893" s="460"/>
      <c r="B893" s="460"/>
      <c r="C893" s="460"/>
      <c r="D893" s="17"/>
      <c r="E893" s="9"/>
      <c r="F893" s="460"/>
      <c r="G893" s="460"/>
      <c r="H893" s="460"/>
      <c r="I893" s="460"/>
      <c r="J893" s="460"/>
      <c r="K893" s="460"/>
      <c r="L893" s="460"/>
      <c r="M893" s="460"/>
      <c r="N893" s="460"/>
      <c r="O893" s="460"/>
      <c r="P893" s="460"/>
      <c r="Q893" s="460"/>
      <c r="R893" s="460"/>
      <c r="S893" s="460"/>
      <c r="T893" s="460"/>
      <c r="U893" s="460"/>
      <c r="V893" s="460"/>
      <c r="W893" s="460"/>
      <c r="X893" s="460"/>
    </row>
    <row r="894" ht="15.75" customHeight="1">
      <c r="A894" s="460"/>
      <c r="B894" s="460"/>
      <c r="C894" s="460"/>
      <c r="D894" s="17"/>
      <c r="E894" s="9"/>
      <c r="F894" s="460"/>
      <c r="G894" s="460"/>
      <c r="H894" s="460"/>
      <c r="I894" s="460"/>
      <c r="J894" s="460"/>
      <c r="K894" s="460"/>
      <c r="L894" s="460"/>
      <c r="M894" s="460"/>
      <c r="N894" s="460"/>
      <c r="O894" s="460"/>
      <c r="P894" s="460"/>
      <c r="Q894" s="460"/>
      <c r="R894" s="460"/>
      <c r="S894" s="460"/>
      <c r="T894" s="460"/>
      <c r="U894" s="460"/>
      <c r="V894" s="460"/>
      <c r="W894" s="460"/>
      <c r="X894" s="460"/>
    </row>
    <row r="895" ht="15.75" customHeight="1">
      <c r="A895" s="460"/>
      <c r="B895" s="460"/>
      <c r="C895" s="460"/>
      <c r="D895" s="17"/>
      <c r="E895" s="9"/>
      <c r="F895" s="460"/>
      <c r="G895" s="460"/>
      <c r="H895" s="460"/>
      <c r="I895" s="460"/>
      <c r="J895" s="460"/>
      <c r="K895" s="460"/>
      <c r="L895" s="460"/>
      <c r="M895" s="460"/>
      <c r="N895" s="460"/>
      <c r="O895" s="460"/>
      <c r="P895" s="460"/>
      <c r="Q895" s="460"/>
      <c r="R895" s="460"/>
      <c r="S895" s="460"/>
      <c r="T895" s="460"/>
      <c r="U895" s="460"/>
      <c r="V895" s="460"/>
      <c r="W895" s="460"/>
      <c r="X895" s="460"/>
    </row>
    <row r="896" ht="15.75" customHeight="1">
      <c r="A896" s="460"/>
      <c r="B896" s="460"/>
      <c r="C896" s="460"/>
      <c r="D896" s="17"/>
      <c r="E896" s="9"/>
      <c r="F896" s="460"/>
      <c r="G896" s="460"/>
      <c r="H896" s="460"/>
      <c r="I896" s="460"/>
      <c r="J896" s="460"/>
      <c r="K896" s="460"/>
      <c r="L896" s="460"/>
      <c r="M896" s="460"/>
      <c r="N896" s="460"/>
      <c r="O896" s="460"/>
      <c r="P896" s="460"/>
      <c r="Q896" s="460"/>
      <c r="R896" s="460"/>
      <c r="S896" s="460"/>
      <c r="T896" s="460"/>
      <c r="U896" s="460"/>
      <c r="V896" s="460"/>
      <c r="W896" s="460"/>
      <c r="X896" s="460"/>
    </row>
    <row r="897" ht="15.75" customHeight="1">
      <c r="A897" s="460"/>
      <c r="B897" s="460"/>
      <c r="C897" s="460"/>
      <c r="D897" s="17"/>
      <c r="E897" s="9"/>
      <c r="F897" s="460"/>
      <c r="G897" s="460"/>
      <c r="H897" s="460"/>
      <c r="I897" s="460"/>
      <c r="J897" s="460"/>
      <c r="K897" s="460"/>
      <c r="L897" s="460"/>
      <c r="M897" s="460"/>
      <c r="N897" s="460"/>
      <c r="O897" s="460"/>
      <c r="P897" s="460"/>
      <c r="Q897" s="460"/>
      <c r="R897" s="460"/>
      <c r="S897" s="460"/>
      <c r="T897" s="460"/>
      <c r="U897" s="460"/>
      <c r="V897" s="460"/>
      <c r="W897" s="460"/>
      <c r="X897" s="460"/>
    </row>
    <row r="898" ht="15.75" customHeight="1">
      <c r="A898" s="460"/>
      <c r="B898" s="460"/>
      <c r="C898" s="460"/>
      <c r="D898" s="17"/>
      <c r="E898" s="9"/>
      <c r="F898" s="460"/>
      <c r="G898" s="460"/>
      <c r="H898" s="460"/>
      <c r="I898" s="460"/>
      <c r="J898" s="460"/>
      <c r="K898" s="460"/>
      <c r="L898" s="460"/>
      <c r="M898" s="460"/>
      <c r="N898" s="460"/>
      <c r="O898" s="460"/>
      <c r="P898" s="460"/>
      <c r="Q898" s="460"/>
      <c r="R898" s="460"/>
      <c r="S898" s="460"/>
      <c r="T898" s="460"/>
      <c r="U898" s="460"/>
      <c r="V898" s="460"/>
      <c r="W898" s="460"/>
      <c r="X898" s="460"/>
    </row>
    <row r="899" ht="15.75" customHeight="1">
      <c r="A899" s="460"/>
      <c r="B899" s="460"/>
      <c r="C899" s="460"/>
      <c r="D899" s="17"/>
      <c r="E899" s="9"/>
      <c r="F899" s="460"/>
      <c r="G899" s="460"/>
      <c r="H899" s="460"/>
      <c r="I899" s="460"/>
      <c r="J899" s="460"/>
      <c r="K899" s="460"/>
      <c r="L899" s="460"/>
      <c r="M899" s="460"/>
      <c r="N899" s="460"/>
      <c r="O899" s="460"/>
      <c r="P899" s="460"/>
      <c r="Q899" s="460"/>
      <c r="R899" s="460"/>
      <c r="S899" s="460"/>
      <c r="T899" s="460"/>
      <c r="U899" s="460"/>
      <c r="V899" s="460"/>
      <c r="W899" s="460"/>
      <c r="X899" s="460"/>
    </row>
    <row r="900" ht="15.75" customHeight="1">
      <c r="A900" s="460"/>
      <c r="B900" s="460"/>
      <c r="C900" s="460"/>
      <c r="D900" s="17"/>
      <c r="E900" s="9"/>
      <c r="F900" s="460"/>
      <c r="G900" s="460"/>
      <c r="H900" s="460"/>
      <c r="I900" s="460"/>
      <c r="J900" s="460"/>
      <c r="K900" s="460"/>
      <c r="L900" s="460"/>
      <c r="M900" s="460"/>
      <c r="N900" s="460"/>
      <c r="O900" s="460"/>
      <c r="P900" s="460"/>
      <c r="Q900" s="460"/>
      <c r="R900" s="460"/>
      <c r="S900" s="460"/>
      <c r="T900" s="460"/>
      <c r="U900" s="460"/>
      <c r="V900" s="460"/>
      <c r="W900" s="460"/>
      <c r="X900" s="460"/>
    </row>
    <row r="901" ht="15.75" customHeight="1">
      <c r="A901" s="460"/>
      <c r="B901" s="460"/>
      <c r="C901" s="460"/>
      <c r="D901" s="17"/>
      <c r="E901" s="9"/>
      <c r="F901" s="460"/>
      <c r="G901" s="460"/>
      <c r="H901" s="460"/>
      <c r="I901" s="460"/>
      <c r="J901" s="460"/>
      <c r="K901" s="460"/>
      <c r="L901" s="460"/>
      <c r="M901" s="460"/>
      <c r="N901" s="460"/>
      <c r="O901" s="460"/>
      <c r="P901" s="460"/>
      <c r="Q901" s="460"/>
      <c r="R901" s="460"/>
      <c r="S901" s="460"/>
      <c r="T901" s="460"/>
      <c r="U901" s="460"/>
      <c r="V901" s="460"/>
      <c r="W901" s="460"/>
      <c r="X901" s="460"/>
    </row>
    <row r="902" ht="15.75" customHeight="1">
      <c r="A902" s="460"/>
      <c r="B902" s="460"/>
      <c r="C902" s="460"/>
      <c r="D902" s="17"/>
      <c r="E902" s="9"/>
      <c r="F902" s="460"/>
      <c r="G902" s="460"/>
      <c r="H902" s="460"/>
      <c r="I902" s="460"/>
      <c r="J902" s="460"/>
      <c r="K902" s="460"/>
      <c r="L902" s="460"/>
      <c r="M902" s="460"/>
      <c r="N902" s="460"/>
      <c r="O902" s="460"/>
      <c r="P902" s="460"/>
      <c r="Q902" s="460"/>
      <c r="R902" s="460"/>
      <c r="S902" s="460"/>
      <c r="T902" s="460"/>
      <c r="U902" s="460"/>
      <c r="V902" s="460"/>
      <c r="W902" s="460"/>
      <c r="X902" s="460"/>
    </row>
    <row r="903" ht="15.75" customHeight="1">
      <c r="A903" s="460"/>
      <c r="B903" s="460"/>
      <c r="C903" s="460"/>
      <c r="D903" s="17"/>
      <c r="E903" s="9"/>
      <c r="F903" s="460"/>
      <c r="G903" s="460"/>
      <c r="H903" s="460"/>
      <c r="I903" s="460"/>
      <c r="J903" s="460"/>
      <c r="K903" s="460"/>
      <c r="L903" s="460"/>
      <c r="M903" s="460"/>
      <c r="N903" s="460"/>
      <c r="O903" s="460"/>
      <c r="P903" s="460"/>
      <c r="Q903" s="460"/>
      <c r="R903" s="460"/>
      <c r="S903" s="460"/>
      <c r="T903" s="460"/>
      <c r="U903" s="460"/>
      <c r="V903" s="460"/>
      <c r="W903" s="460"/>
      <c r="X903" s="460"/>
    </row>
    <row r="904" ht="15.75" customHeight="1">
      <c r="A904" s="460"/>
      <c r="B904" s="460"/>
      <c r="C904" s="460"/>
      <c r="D904" s="17"/>
      <c r="E904" s="9"/>
      <c r="F904" s="460"/>
      <c r="G904" s="460"/>
      <c r="H904" s="460"/>
      <c r="I904" s="460"/>
      <c r="J904" s="460"/>
      <c r="K904" s="460"/>
      <c r="L904" s="460"/>
      <c r="M904" s="460"/>
      <c r="N904" s="460"/>
      <c r="O904" s="460"/>
      <c r="P904" s="460"/>
      <c r="Q904" s="460"/>
      <c r="R904" s="460"/>
      <c r="S904" s="460"/>
      <c r="T904" s="460"/>
      <c r="U904" s="460"/>
      <c r="V904" s="460"/>
      <c r="W904" s="460"/>
      <c r="X904" s="460"/>
    </row>
    <row r="905" ht="15.75" customHeight="1">
      <c r="A905" s="460"/>
      <c r="B905" s="460"/>
      <c r="C905" s="460"/>
      <c r="D905" s="17"/>
      <c r="E905" s="9"/>
      <c r="F905" s="460"/>
      <c r="G905" s="460"/>
      <c r="H905" s="460"/>
      <c r="I905" s="460"/>
      <c r="J905" s="460"/>
      <c r="K905" s="460"/>
      <c r="L905" s="460"/>
      <c r="M905" s="460"/>
      <c r="N905" s="460"/>
      <c r="O905" s="460"/>
      <c r="P905" s="460"/>
      <c r="Q905" s="460"/>
      <c r="R905" s="460"/>
      <c r="S905" s="460"/>
      <c r="T905" s="460"/>
      <c r="U905" s="460"/>
      <c r="V905" s="460"/>
      <c r="W905" s="460"/>
      <c r="X905" s="460"/>
    </row>
    <row r="906" ht="15.75" customHeight="1">
      <c r="A906" s="460"/>
      <c r="B906" s="460"/>
      <c r="C906" s="460"/>
      <c r="D906" s="17"/>
      <c r="E906" s="9"/>
      <c r="F906" s="460"/>
      <c r="G906" s="460"/>
      <c r="H906" s="460"/>
      <c r="I906" s="460"/>
      <c r="J906" s="460"/>
      <c r="K906" s="460"/>
      <c r="L906" s="460"/>
      <c r="M906" s="460"/>
      <c r="N906" s="460"/>
      <c r="O906" s="460"/>
      <c r="P906" s="460"/>
      <c r="Q906" s="460"/>
      <c r="R906" s="460"/>
      <c r="S906" s="460"/>
      <c r="T906" s="460"/>
      <c r="U906" s="460"/>
      <c r="V906" s="460"/>
      <c r="W906" s="460"/>
      <c r="X906" s="460"/>
    </row>
    <row r="907" ht="15.75" customHeight="1">
      <c r="A907" s="460"/>
      <c r="B907" s="460"/>
      <c r="C907" s="460"/>
      <c r="D907" s="17"/>
      <c r="E907" s="9"/>
      <c r="F907" s="460"/>
      <c r="G907" s="460"/>
      <c r="H907" s="460"/>
      <c r="I907" s="460"/>
      <c r="J907" s="460"/>
      <c r="K907" s="460"/>
      <c r="L907" s="460"/>
      <c r="M907" s="460"/>
      <c r="N907" s="460"/>
      <c r="O907" s="460"/>
      <c r="P907" s="460"/>
      <c r="Q907" s="460"/>
      <c r="R907" s="460"/>
      <c r="S907" s="460"/>
      <c r="T907" s="460"/>
      <c r="U907" s="460"/>
      <c r="V907" s="460"/>
      <c r="W907" s="460"/>
      <c r="X907" s="460"/>
    </row>
    <row r="908" ht="15.75" customHeight="1">
      <c r="A908" s="460"/>
      <c r="B908" s="460"/>
      <c r="C908" s="460"/>
      <c r="D908" s="17"/>
      <c r="E908" s="9"/>
      <c r="F908" s="460"/>
      <c r="G908" s="460"/>
      <c r="H908" s="460"/>
      <c r="I908" s="460"/>
      <c r="J908" s="460"/>
      <c r="K908" s="460"/>
      <c r="L908" s="460"/>
      <c r="M908" s="460"/>
      <c r="N908" s="460"/>
      <c r="O908" s="460"/>
      <c r="P908" s="460"/>
      <c r="Q908" s="460"/>
      <c r="R908" s="460"/>
      <c r="S908" s="460"/>
      <c r="T908" s="460"/>
      <c r="U908" s="460"/>
      <c r="V908" s="460"/>
      <c r="W908" s="460"/>
      <c r="X908" s="460"/>
    </row>
    <row r="909" ht="15.75" customHeight="1">
      <c r="A909" s="460"/>
      <c r="B909" s="460"/>
      <c r="C909" s="460"/>
      <c r="D909" s="17"/>
      <c r="E909" s="9"/>
      <c r="F909" s="460"/>
      <c r="G909" s="460"/>
      <c r="H909" s="460"/>
      <c r="I909" s="460"/>
      <c r="J909" s="460"/>
      <c r="K909" s="460"/>
      <c r="L909" s="460"/>
      <c r="M909" s="460"/>
      <c r="N909" s="460"/>
      <c r="O909" s="460"/>
      <c r="P909" s="460"/>
      <c r="Q909" s="460"/>
      <c r="R909" s="460"/>
      <c r="S909" s="460"/>
      <c r="T909" s="460"/>
      <c r="U909" s="460"/>
      <c r="V909" s="460"/>
      <c r="W909" s="460"/>
      <c r="X909" s="460"/>
    </row>
    <row r="910" ht="15.75" customHeight="1">
      <c r="A910" s="460"/>
      <c r="B910" s="460"/>
      <c r="C910" s="460"/>
      <c r="D910" s="17"/>
      <c r="E910" s="9"/>
      <c r="F910" s="460"/>
      <c r="G910" s="460"/>
      <c r="H910" s="460"/>
      <c r="I910" s="460"/>
      <c r="J910" s="460"/>
      <c r="K910" s="460"/>
      <c r="L910" s="460"/>
      <c r="M910" s="460"/>
      <c r="N910" s="460"/>
      <c r="O910" s="460"/>
      <c r="P910" s="460"/>
      <c r="Q910" s="460"/>
      <c r="R910" s="460"/>
      <c r="S910" s="460"/>
      <c r="T910" s="460"/>
      <c r="U910" s="460"/>
      <c r="V910" s="460"/>
      <c r="W910" s="460"/>
      <c r="X910" s="460"/>
    </row>
    <row r="911" ht="15.75" customHeight="1">
      <c r="A911" s="460"/>
      <c r="B911" s="460"/>
      <c r="C911" s="460"/>
      <c r="D911" s="17"/>
      <c r="E911" s="9"/>
      <c r="F911" s="460"/>
      <c r="G911" s="460"/>
      <c r="H911" s="460"/>
      <c r="I911" s="460"/>
      <c r="J911" s="460"/>
      <c r="K911" s="460"/>
      <c r="L911" s="460"/>
      <c r="M911" s="460"/>
      <c r="N911" s="460"/>
      <c r="O911" s="460"/>
      <c r="P911" s="460"/>
      <c r="Q911" s="460"/>
      <c r="R911" s="460"/>
      <c r="S911" s="460"/>
      <c r="T911" s="460"/>
      <c r="U911" s="460"/>
      <c r="V911" s="460"/>
      <c r="W911" s="460"/>
      <c r="X911" s="460"/>
    </row>
    <row r="912" ht="15.75" customHeight="1">
      <c r="A912" s="460"/>
      <c r="B912" s="460"/>
      <c r="C912" s="460"/>
      <c r="D912" s="17"/>
      <c r="E912" s="9"/>
      <c r="F912" s="460"/>
      <c r="G912" s="460"/>
      <c r="H912" s="460"/>
      <c r="I912" s="460"/>
      <c r="J912" s="460"/>
      <c r="K912" s="460"/>
      <c r="L912" s="460"/>
      <c r="M912" s="460"/>
      <c r="N912" s="460"/>
      <c r="O912" s="460"/>
      <c r="P912" s="460"/>
      <c r="Q912" s="460"/>
      <c r="R912" s="460"/>
      <c r="S912" s="460"/>
      <c r="T912" s="460"/>
      <c r="U912" s="460"/>
      <c r="V912" s="460"/>
      <c r="W912" s="460"/>
      <c r="X912" s="460"/>
    </row>
    <row r="913" ht="15.75" customHeight="1">
      <c r="A913" s="460"/>
      <c r="B913" s="460"/>
      <c r="C913" s="460"/>
      <c r="D913" s="17"/>
      <c r="E913" s="9"/>
      <c r="F913" s="460"/>
      <c r="G913" s="460"/>
      <c r="H913" s="460"/>
      <c r="I913" s="460"/>
      <c r="J913" s="460"/>
      <c r="K913" s="460"/>
      <c r="L913" s="460"/>
      <c r="M913" s="460"/>
      <c r="N913" s="460"/>
      <c r="O913" s="460"/>
      <c r="P913" s="460"/>
      <c r="Q913" s="460"/>
      <c r="R913" s="460"/>
      <c r="S913" s="460"/>
      <c r="T913" s="460"/>
      <c r="U913" s="460"/>
      <c r="V913" s="460"/>
      <c r="W913" s="460"/>
      <c r="X913" s="460"/>
    </row>
    <row r="914" ht="15.75" customHeight="1">
      <c r="A914" s="460"/>
      <c r="B914" s="460"/>
      <c r="C914" s="460"/>
      <c r="D914" s="17"/>
      <c r="E914" s="9"/>
      <c r="F914" s="460"/>
      <c r="G914" s="460"/>
      <c r="H914" s="460"/>
      <c r="I914" s="460"/>
      <c r="J914" s="460"/>
      <c r="K914" s="460"/>
      <c r="L914" s="460"/>
      <c r="M914" s="460"/>
      <c r="N914" s="460"/>
      <c r="O914" s="460"/>
      <c r="P914" s="460"/>
      <c r="Q914" s="460"/>
      <c r="R914" s="460"/>
      <c r="S914" s="460"/>
      <c r="T914" s="460"/>
      <c r="U914" s="460"/>
      <c r="V914" s="460"/>
      <c r="W914" s="460"/>
      <c r="X914" s="460"/>
    </row>
    <row r="915" ht="15.75" customHeight="1">
      <c r="A915" s="460"/>
      <c r="B915" s="460"/>
      <c r="C915" s="460"/>
      <c r="D915" s="17"/>
      <c r="E915" s="9"/>
      <c r="F915" s="460"/>
      <c r="G915" s="460"/>
      <c r="H915" s="460"/>
      <c r="I915" s="460"/>
      <c r="J915" s="460"/>
      <c r="K915" s="460"/>
      <c r="L915" s="460"/>
      <c r="M915" s="460"/>
      <c r="N915" s="460"/>
      <c r="O915" s="460"/>
      <c r="P915" s="460"/>
      <c r="Q915" s="460"/>
      <c r="R915" s="460"/>
      <c r="S915" s="460"/>
      <c r="T915" s="460"/>
      <c r="U915" s="460"/>
      <c r="V915" s="460"/>
      <c r="W915" s="460"/>
      <c r="X915" s="460"/>
    </row>
    <row r="916" ht="15.75" customHeight="1">
      <c r="A916" s="460"/>
      <c r="B916" s="460"/>
      <c r="C916" s="460"/>
      <c r="D916" s="17"/>
      <c r="E916" s="9"/>
      <c r="F916" s="460"/>
      <c r="G916" s="460"/>
      <c r="H916" s="460"/>
      <c r="I916" s="460"/>
      <c r="J916" s="460"/>
      <c r="K916" s="460"/>
      <c r="L916" s="460"/>
      <c r="M916" s="460"/>
      <c r="N916" s="460"/>
      <c r="O916" s="460"/>
      <c r="P916" s="460"/>
      <c r="Q916" s="460"/>
      <c r="R916" s="460"/>
      <c r="S916" s="460"/>
      <c r="T916" s="460"/>
      <c r="U916" s="460"/>
      <c r="V916" s="460"/>
      <c r="W916" s="460"/>
      <c r="X916" s="460"/>
    </row>
    <row r="917" ht="15.75" customHeight="1">
      <c r="A917" s="460"/>
      <c r="B917" s="460"/>
      <c r="C917" s="460"/>
      <c r="D917" s="17"/>
      <c r="E917" s="9"/>
      <c r="F917" s="460"/>
      <c r="G917" s="460"/>
      <c r="H917" s="460"/>
      <c r="I917" s="460"/>
      <c r="J917" s="460"/>
      <c r="K917" s="460"/>
      <c r="L917" s="460"/>
      <c r="M917" s="460"/>
      <c r="N917" s="460"/>
      <c r="O917" s="460"/>
      <c r="P917" s="460"/>
      <c r="Q917" s="460"/>
      <c r="R917" s="460"/>
      <c r="S917" s="460"/>
      <c r="T917" s="460"/>
      <c r="U917" s="460"/>
      <c r="V917" s="460"/>
      <c r="W917" s="460"/>
      <c r="X917" s="460"/>
    </row>
    <row r="918" ht="15.75" customHeight="1">
      <c r="A918" s="460"/>
      <c r="B918" s="460"/>
      <c r="C918" s="460"/>
      <c r="D918" s="17"/>
      <c r="E918" s="9"/>
      <c r="F918" s="460"/>
      <c r="G918" s="460"/>
      <c r="H918" s="460"/>
      <c r="I918" s="460"/>
      <c r="J918" s="460"/>
      <c r="K918" s="460"/>
      <c r="L918" s="460"/>
      <c r="M918" s="460"/>
      <c r="N918" s="460"/>
      <c r="O918" s="460"/>
      <c r="P918" s="460"/>
      <c r="Q918" s="460"/>
      <c r="R918" s="460"/>
      <c r="S918" s="460"/>
      <c r="T918" s="460"/>
      <c r="U918" s="460"/>
      <c r="V918" s="460"/>
      <c r="W918" s="460"/>
      <c r="X918" s="460"/>
    </row>
    <row r="919" ht="15.75" customHeight="1">
      <c r="A919" s="460"/>
      <c r="B919" s="460"/>
      <c r="C919" s="460"/>
      <c r="D919" s="17"/>
      <c r="E919" s="9"/>
      <c r="F919" s="460"/>
      <c r="G919" s="460"/>
      <c r="H919" s="460"/>
      <c r="I919" s="460"/>
      <c r="J919" s="460"/>
      <c r="K919" s="460"/>
      <c r="L919" s="460"/>
      <c r="M919" s="460"/>
      <c r="N919" s="460"/>
      <c r="O919" s="460"/>
      <c r="P919" s="460"/>
      <c r="Q919" s="460"/>
      <c r="R919" s="460"/>
      <c r="S919" s="460"/>
      <c r="T919" s="460"/>
      <c r="U919" s="460"/>
      <c r="V919" s="460"/>
      <c r="W919" s="460"/>
      <c r="X919" s="460"/>
    </row>
    <row r="920" ht="15.75" customHeight="1">
      <c r="A920" s="460"/>
      <c r="B920" s="460"/>
      <c r="C920" s="460"/>
      <c r="D920" s="17"/>
      <c r="E920" s="9"/>
      <c r="F920" s="460"/>
      <c r="G920" s="460"/>
      <c r="H920" s="460"/>
      <c r="I920" s="460"/>
      <c r="J920" s="460"/>
      <c r="K920" s="460"/>
      <c r="L920" s="460"/>
      <c r="M920" s="460"/>
      <c r="N920" s="460"/>
      <c r="O920" s="460"/>
      <c r="P920" s="460"/>
      <c r="Q920" s="460"/>
      <c r="R920" s="460"/>
      <c r="S920" s="460"/>
      <c r="T920" s="460"/>
      <c r="U920" s="460"/>
      <c r="V920" s="460"/>
      <c r="W920" s="460"/>
      <c r="X920" s="460"/>
    </row>
    <row r="921" ht="15.75" customHeight="1">
      <c r="A921" s="460"/>
      <c r="B921" s="460"/>
      <c r="C921" s="460"/>
      <c r="D921" s="17"/>
      <c r="E921" s="9"/>
      <c r="F921" s="460"/>
      <c r="G921" s="460"/>
      <c r="H921" s="460"/>
      <c r="I921" s="460"/>
      <c r="J921" s="460"/>
      <c r="K921" s="460"/>
      <c r="L921" s="460"/>
      <c r="M921" s="460"/>
      <c r="N921" s="460"/>
      <c r="O921" s="460"/>
      <c r="P921" s="460"/>
      <c r="Q921" s="460"/>
      <c r="R921" s="460"/>
      <c r="S921" s="460"/>
      <c r="T921" s="460"/>
      <c r="U921" s="460"/>
      <c r="V921" s="460"/>
      <c r="W921" s="460"/>
      <c r="X921" s="460"/>
    </row>
    <row r="922" ht="15.75" customHeight="1">
      <c r="A922" s="460"/>
      <c r="B922" s="460"/>
      <c r="C922" s="460"/>
      <c r="D922" s="17"/>
      <c r="E922" s="9"/>
      <c r="F922" s="460"/>
      <c r="G922" s="460"/>
      <c r="H922" s="460"/>
      <c r="I922" s="460"/>
      <c r="J922" s="460"/>
      <c r="K922" s="460"/>
      <c r="L922" s="460"/>
      <c r="M922" s="460"/>
      <c r="N922" s="460"/>
      <c r="O922" s="460"/>
      <c r="P922" s="460"/>
      <c r="Q922" s="460"/>
      <c r="R922" s="460"/>
      <c r="S922" s="460"/>
      <c r="T922" s="460"/>
      <c r="U922" s="460"/>
      <c r="V922" s="460"/>
      <c r="W922" s="460"/>
      <c r="X922" s="460"/>
    </row>
    <row r="923" ht="15.75" customHeight="1">
      <c r="A923" s="460"/>
      <c r="B923" s="460"/>
      <c r="C923" s="460"/>
      <c r="D923" s="17"/>
      <c r="E923" s="9"/>
      <c r="F923" s="460"/>
      <c r="G923" s="460"/>
      <c r="H923" s="460"/>
      <c r="I923" s="460"/>
      <c r="J923" s="460"/>
      <c r="K923" s="460"/>
      <c r="L923" s="460"/>
      <c r="M923" s="460"/>
      <c r="N923" s="460"/>
      <c r="O923" s="460"/>
      <c r="P923" s="460"/>
      <c r="Q923" s="460"/>
      <c r="R923" s="460"/>
      <c r="S923" s="460"/>
      <c r="T923" s="460"/>
      <c r="U923" s="460"/>
      <c r="V923" s="460"/>
      <c r="W923" s="460"/>
      <c r="X923" s="460"/>
    </row>
    <row r="924" ht="15.75" customHeight="1">
      <c r="A924" s="460"/>
      <c r="B924" s="460"/>
      <c r="C924" s="460"/>
      <c r="D924" s="17"/>
      <c r="E924" s="9"/>
      <c r="F924" s="460"/>
      <c r="G924" s="460"/>
      <c r="H924" s="460"/>
      <c r="I924" s="460"/>
      <c r="J924" s="460"/>
      <c r="K924" s="460"/>
      <c r="L924" s="460"/>
      <c r="M924" s="460"/>
      <c r="N924" s="460"/>
      <c r="O924" s="460"/>
      <c r="P924" s="460"/>
      <c r="Q924" s="460"/>
      <c r="R924" s="460"/>
      <c r="S924" s="460"/>
      <c r="T924" s="460"/>
      <c r="U924" s="460"/>
      <c r="V924" s="460"/>
      <c r="W924" s="460"/>
      <c r="X924" s="460"/>
    </row>
    <row r="925" ht="15.75" customHeight="1">
      <c r="A925" s="460"/>
      <c r="B925" s="460"/>
      <c r="C925" s="460"/>
      <c r="D925" s="17"/>
      <c r="E925" s="9"/>
      <c r="F925" s="460"/>
      <c r="G925" s="460"/>
      <c r="H925" s="460"/>
      <c r="I925" s="460"/>
      <c r="J925" s="460"/>
      <c r="K925" s="460"/>
      <c r="L925" s="460"/>
      <c r="M925" s="460"/>
      <c r="N925" s="460"/>
      <c r="O925" s="460"/>
      <c r="P925" s="460"/>
      <c r="Q925" s="460"/>
      <c r="R925" s="460"/>
      <c r="S925" s="460"/>
      <c r="T925" s="460"/>
      <c r="U925" s="460"/>
      <c r="V925" s="460"/>
      <c r="W925" s="460"/>
      <c r="X925" s="460"/>
    </row>
    <row r="926" ht="15.75" customHeight="1">
      <c r="A926" s="460"/>
      <c r="B926" s="460"/>
      <c r="C926" s="460"/>
      <c r="D926" s="17"/>
      <c r="E926" s="9"/>
      <c r="F926" s="460"/>
      <c r="G926" s="460"/>
      <c r="H926" s="460"/>
      <c r="I926" s="460"/>
      <c r="J926" s="460"/>
      <c r="K926" s="460"/>
      <c r="L926" s="460"/>
      <c r="M926" s="460"/>
      <c r="N926" s="460"/>
      <c r="O926" s="460"/>
      <c r="P926" s="460"/>
      <c r="Q926" s="460"/>
      <c r="R926" s="460"/>
      <c r="S926" s="460"/>
      <c r="T926" s="460"/>
      <c r="U926" s="460"/>
      <c r="V926" s="460"/>
      <c r="W926" s="460"/>
      <c r="X926" s="460"/>
    </row>
    <row r="927" ht="15.75" customHeight="1">
      <c r="A927" s="460"/>
      <c r="B927" s="460"/>
      <c r="C927" s="460"/>
      <c r="D927" s="17"/>
      <c r="E927" s="9"/>
      <c r="F927" s="460"/>
      <c r="G927" s="460"/>
      <c r="H927" s="460"/>
      <c r="I927" s="460"/>
      <c r="J927" s="460"/>
      <c r="K927" s="460"/>
      <c r="L927" s="460"/>
      <c r="M927" s="460"/>
      <c r="N927" s="460"/>
      <c r="O927" s="460"/>
      <c r="P927" s="460"/>
      <c r="Q927" s="460"/>
      <c r="R927" s="460"/>
      <c r="S927" s="460"/>
      <c r="T927" s="460"/>
      <c r="U927" s="460"/>
      <c r="V927" s="460"/>
      <c r="W927" s="460"/>
      <c r="X927" s="460"/>
    </row>
    <row r="928" ht="15.75" customHeight="1">
      <c r="A928" s="460"/>
      <c r="B928" s="460"/>
      <c r="C928" s="460"/>
      <c r="D928" s="17"/>
      <c r="E928" s="9"/>
      <c r="F928" s="460"/>
      <c r="G928" s="460"/>
      <c r="H928" s="460"/>
      <c r="I928" s="460"/>
      <c r="J928" s="460"/>
      <c r="K928" s="460"/>
      <c r="L928" s="460"/>
      <c r="M928" s="460"/>
      <c r="N928" s="460"/>
      <c r="O928" s="460"/>
      <c r="P928" s="460"/>
      <c r="Q928" s="460"/>
      <c r="R928" s="460"/>
      <c r="S928" s="460"/>
      <c r="T928" s="460"/>
      <c r="U928" s="460"/>
      <c r="V928" s="460"/>
      <c r="W928" s="460"/>
      <c r="X928" s="460"/>
    </row>
    <row r="929" ht="15.75" customHeight="1">
      <c r="A929" s="460"/>
      <c r="B929" s="460"/>
      <c r="C929" s="460"/>
      <c r="D929" s="17"/>
      <c r="E929" s="9"/>
      <c r="F929" s="460"/>
      <c r="G929" s="460"/>
      <c r="H929" s="460"/>
      <c r="I929" s="460"/>
      <c r="J929" s="460"/>
      <c r="K929" s="460"/>
      <c r="L929" s="460"/>
      <c r="M929" s="460"/>
      <c r="N929" s="460"/>
      <c r="O929" s="460"/>
      <c r="P929" s="460"/>
      <c r="Q929" s="460"/>
      <c r="R929" s="460"/>
      <c r="S929" s="460"/>
      <c r="T929" s="460"/>
      <c r="U929" s="460"/>
      <c r="V929" s="460"/>
      <c r="W929" s="460"/>
      <c r="X929" s="460"/>
    </row>
    <row r="930" ht="15.75" customHeight="1">
      <c r="A930" s="460"/>
      <c r="B930" s="460"/>
      <c r="C930" s="460"/>
      <c r="D930" s="17"/>
      <c r="E930" s="9"/>
      <c r="F930" s="460"/>
      <c r="G930" s="460"/>
      <c r="H930" s="460"/>
      <c r="I930" s="460"/>
      <c r="J930" s="460"/>
      <c r="K930" s="460"/>
      <c r="L930" s="460"/>
      <c r="M930" s="460"/>
      <c r="N930" s="460"/>
      <c r="O930" s="460"/>
      <c r="P930" s="460"/>
      <c r="Q930" s="460"/>
      <c r="R930" s="460"/>
      <c r="S930" s="460"/>
      <c r="T930" s="460"/>
      <c r="U930" s="460"/>
      <c r="V930" s="460"/>
      <c r="W930" s="460"/>
      <c r="X930" s="460"/>
    </row>
    <row r="931" ht="15.75" customHeight="1">
      <c r="A931" s="460"/>
      <c r="B931" s="460"/>
      <c r="C931" s="460"/>
      <c r="D931" s="17"/>
      <c r="E931" s="9"/>
      <c r="F931" s="460"/>
      <c r="G931" s="460"/>
      <c r="H931" s="460"/>
      <c r="I931" s="460"/>
      <c r="J931" s="460"/>
      <c r="K931" s="460"/>
      <c r="L931" s="460"/>
      <c r="M931" s="460"/>
      <c r="N931" s="460"/>
      <c r="O931" s="460"/>
      <c r="P931" s="460"/>
      <c r="Q931" s="460"/>
      <c r="R931" s="460"/>
      <c r="S931" s="460"/>
      <c r="T931" s="460"/>
      <c r="U931" s="460"/>
      <c r="V931" s="460"/>
      <c r="W931" s="460"/>
      <c r="X931" s="460"/>
    </row>
    <row r="932" ht="15.75" customHeight="1">
      <c r="A932" s="460"/>
      <c r="B932" s="460"/>
      <c r="C932" s="460"/>
      <c r="D932" s="17"/>
      <c r="E932" s="9"/>
      <c r="F932" s="460"/>
      <c r="G932" s="460"/>
      <c r="H932" s="460"/>
      <c r="I932" s="460"/>
      <c r="J932" s="460"/>
      <c r="K932" s="460"/>
      <c r="L932" s="460"/>
      <c r="M932" s="460"/>
      <c r="N932" s="460"/>
      <c r="O932" s="460"/>
      <c r="P932" s="460"/>
      <c r="Q932" s="460"/>
      <c r="R932" s="460"/>
      <c r="S932" s="460"/>
      <c r="T932" s="460"/>
      <c r="U932" s="460"/>
      <c r="V932" s="460"/>
      <c r="W932" s="460"/>
      <c r="X932" s="460"/>
    </row>
    <row r="933" ht="15.75" customHeight="1">
      <c r="A933" s="460"/>
      <c r="B933" s="460"/>
      <c r="C933" s="460"/>
      <c r="D933" s="17"/>
      <c r="E933" s="9"/>
      <c r="F933" s="460"/>
      <c r="G933" s="460"/>
      <c r="H933" s="460"/>
      <c r="I933" s="460"/>
      <c r="J933" s="460"/>
      <c r="K933" s="460"/>
      <c r="L933" s="460"/>
      <c r="M933" s="460"/>
      <c r="N933" s="460"/>
      <c r="O933" s="460"/>
      <c r="P933" s="460"/>
      <c r="Q933" s="460"/>
      <c r="R933" s="460"/>
      <c r="S933" s="460"/>
      <c r="T933" s="460"/>
      <c r="U933" s="460"/>
      <c r="V933" s="460"/>
      <c r="W933" s="460"/>
      <c r="X933" s="460"/>
    </row>
    <row r="934" ht="15.75" customHeight="1">
      <c r="A934" s="460"/>
      <c r="B934" s="460"/>
      <c r="C934" s="460"/>
      <c r="D934" s="17"/>
      <c r="E934" s="9"/>
      <c r="F934" s="460"/>
      <c r="G934" s="460"/>
      <c r="H934" s="460"/>
      <c r="I934" s="460"/>
      <c r="J934" s="460"/>
      <c r="K934" s="460"/>
      <c r="L934" s="460"/>
      <c r="M934" s="460"/>
      <c r="N934" s="460"/>
      <c r="O934" s="460"/>
      <c r="P934" s="460"/>
      <c r="Q934" s="460"/>
      <c r="R934" s="460"/>
      <c r="S934" s="460"/>
      <c r="T934" s="460"/>
      <c r="U934" s="460"/>
      <c r="V934" s="460"/>
      <c r="W934" s="460"/>
      <c r="X934" s="460"/>
    </row>
    <row r="935" ht="15.75" customHeight="1">
      <c r="A935" s="460"/>
      <c r="B935" s="460"/>
      <c r="C935" s="460"/>
      <c r="D935" s="17"/>
      <c r="E935" s="9"/>
      <c r="F935" s="460"/>
      <c r="G935" s="460"/>
      <c r="H935" s="460"/>
      <c r="I935" s="460"/>
      <c r="J935" s="460"/>
      <c r="K935" s="460"/>
      <c r="L935" s="460"/>
      <c r="M935" s="460"/>
      <c r="N935" s="460"/>
      <c r="O935" s="460"/>
      <c r="P935" s="460"/>
      <c r="Q935" s="460"/>
      <c r="R935" s="460"/>
      <c r="S935" s="460"/>
      <c r="T935" s="460"/>
      <c r="U935" s="460"/>
      <c r="V935" s="460"/>
      <c r="W935" s="460"/>
      <c r="X935" s="460"/>
    </row>
    <row r="936" ht="15.75" customHeight="1">
      <c r="A936" s="460"/>
      <c r="B936" s="460"/>
      <c r="C936" s="460"/>
      <c r="D936" s="17"/>
      <c r="E936" s="9"/>
      <c r="F936" s="460"/>
      <c r="G936" s="460"/>
      <c r="H936" s="460"/>
      <c r="I936" s="460"/>
      <c r="J936" s="460"/>
      <c r="K936" s="460"/>
      <c r="L936" s="460"/>
      <c r="M936" s="460"/>
      <c r="N936" s="460"/>
      <c r="O936" s="460"/>
      <c r="P936" s="460"/>
      <c r="Q936" s="460"/>
      <c r="R936" s="460"/>
      <c r="S936" s="460"/>
      <c r="T936" s="460"/>
      <c r="U936" s="460"/>
      <c r="V936" s="460"/>
      <c r="W936" s="460"/>
      <c r="X936" s="460"/>
    </row>
    <row r="937" ht="15.75" customHeight="1">
      <c r="A937" s="460"/>
      <c r="B937" s="460"/>
      <c r="C937" s="460"/>
      <c r="D937" s="17"/>
      <c r="E937" s="9"/>
      <c r="F937" s="460"/>
      <c r="G937" s="460"/>
      <c r="H937" s="460"/>
      <c r="I937" s="460"/>
      <c r="J937" s="460"/>
      <c r="K937" s="460"/>
      <c r="L937" s="460"/>
      <c r="M937" s="460"/>
      <c r="N937" s="460"/>
      <c r="O937" s="460"/>
      <c r="P937" s="460"/>
      <c r="Q937" s="460"/>
      <c r="R937" s="460"/>
      <c r="S937" s="460"/>
      <c r="T937" s="460"/>
      <c r="U937" s="460"/>
      <c r="V937" s="460"/>
      <c r="W937" s="460"/>
      <c r="X937" s="460"/>
    </row>
    <row r="938" ht="15.75" customHeight="1">
      <c r="A938" s="460"/>
      <c r="B938" s="460"/>
      <c r="C938" s="460"/>
      <c r="D938" s="17"/>
      <c r="E938" s="9"/>
      <c r="F938" s="460"/>
      <c r="G938" s="460"/>
      <c r="H938" s="460"/>
      <c r="I938" s="460"/>
      <c r="J938" s="460"/>
      <c r="K938" s="460"/>
      <c r="L938" s="460"/>
      <c r="M938" s="460"/>
      <c r="N938" s="460"/>
      <c r="O938" s="460"/>
      <c r="P938" s="460"/>
      <c r="Q938" s="460"/>
      <c r="R938" s="460"/>
      <c r="S938" s="460"/>
      <c r="T938" s="460"/>
      <c r="U938" s="460"/>
      <c r="V938" s="460"/>
      <c r="W938" s="460"/>
      <c r="X938" s="460"/>
    </row>
    <row r="939" ht="15.75" customHeight="1">
      <c r="A939" s="460"/>
      <c r="B939" s="460"/>
      <c r="C939" s="460"/>
      <c r="D939" s="17"/>
      <c r="E939" s="9"/>
      <c r="F939" s="460"/>
      <c r="G939" s="460"/>
      <c r="H939" s="460"/>
      <c r="I939" s="460"/>
      <c r="J939" s="460"/>
      <c r="K939" s="460"/>
      <c r="L939" s="460"/>
      <c r="M939" s="460"/>
      <c r="N939" s="460"/>
      <c r="O939" s="460"/>
      <c r="P939" s="460"/>
      <c r="Q939" s="460"/>
      <c r="R939" s="460"/>
      <c r="S939" s="460"/>
      <c r="T939" s="460"/>
      <c r="U939" s="460"/>
      <c r="V939" s="460"/>
      <c r="W939" s="460"/>
      <c r="X939" s="460"/>
    </row>
    <row r="940" ht="15.75" customHeight="1">
      <c r="A940" s="460"/>
      <c r="B940" s="460"/>
      <c r="C940" s="460"/>
      <c r="D940" s="17"/>
      <c r="E940" s="9"/>
      <c r="F940" s="460"/>
      <c r="G940" s="460"/>
      <c r="H940" s="460"/>
      <c r="I940" s="460"/>
      <c r="J940" s="460"/>
      <c r="K940" s="460"/>
      <c r="L940" s="460"/>
      <c r="M940" s="460"/>
      <c r="N940" s="460"/>
      <c r="O940" s="460"/>
      <c r="P940" s="460"/>
      <c r="Q940" s="460"/>
      <c r="R940" s="460"/>
      <c r="S940" s="460"/>
      <c r="T940" s="460"/>
      <c r="U940" s="460"/>
      <c r="V940" s="460"/>
      <c r="W940" s="460"/>
      <c r="X940" s="460"/>
    </row>
    <row r="941" ht="15.75" customHeight="1">
      <c r="A941" s="460"/>
      <c r="B941" s="460"/>
      <c r="C941" s="460"/>
      <c r="D941" s="17"/>
      <c r="E941" s="9"/>
      <c r="F941" s="460"/>
      <c r="G941" s="460"/>
      <c r="H941" s="460"/>
      <c r="I941" s="460"/>
      <c r="J941" s="460"/>
      <c r="K941" s="460"/>
      <c r="L941" s="460"/>
      <c r="M941" s="460"/>
      <c r="N941" s="460"/>
      <c r="O941" s="460"/>
      <c r="P941" s="460"/>
      <c r="Q941" s="460"/>
      <c r="R941" s="460"/>
      <c r="S941" s="460"/>
      <c r="T941" s="460"/>
      <c r="U941" s="460"/>
      <c r="V941" s="460"/>
      <c r="W941" s="460"/>
      <c r="X941" s="460"/>
    </row>
    <row r="942" ht="15.75" customHeight="1">
      <c r="A942" s="460"/>
      <c r="B942" s="460"/>
      <c r="C942" s="460"/>
      <c r="D942" s="17"/>
      <c r="E942" s="9"/>
      <c r="F942" s="460"/>
      <c r="G942" s="460"/>
      <c r="H942" s="460"/>
      <c r="I942" s="460"/>
      <c r="J942" s="460"/>
      <c r="K942" s="460"/>
      <c r="L942" s="460"/>
      <c r="M942" s="460"/>
      <c r="N942" s="460"/>
      <c r="O942" s="460"/>
      <c r="P942" s="460"/>
      <c r="Q942" s="460"/>
      <c r="R942" s="460"/>
      <c r="S942" s="460"/>
      <c r="T942" s="460"/>
      <c r="U942" s="460"/>
      <c r="V942" s="460"/>
      <c r="W942" s="460"/>
      <c r="X942" s="460"/>
    </row>
    <row r="943" ht="15.75" customHeight="1">
      <c r="A943" s="460"/>
      <c r="B943" s="460"/>
      <c r="C943" s="460"/>
      <c r="D943" s="17"/>
      <c r="E943" s="9"/>
      <c r="F943" s="460"/>
      <c r="G943" s="460"/>
      <c r="H943" s="460"/>
      <c r="I943" s="460"/>
      <c r="J943" s="460"/>
      <c r="K943" s="460"/>
      <c r="L943" s="460"/>
      <c r="M943" s="460"/>
      <c r="N943" s="460"/>
      <c r="O943" s="460"/>
      <c r="P943" s="460"/>
      <c r="Q943" s="460"/>
      <c r="R943" s="460"/>
      <c r="S943" s="460"/>
      <c r="T943" s="460"/>
      <c r="U943" s="460"/>
      <c r="V943" s="460"/>
      <c r="W943" s="460"/>
      <c r="X943" s="460"/>
    </row>
    <row r="944" ht="15.75" customHeight="1">
      <c r="A944" s="460"/>
      <c r="B944" s="460"/>
      <c r="C944" s="460"/>
      <c r="D944" s="17"/>
      <c r="E944" s="9"/>
      <c r="F944" s="460"/>
      <c r="G944" s="460"/>
      <c r="H944" s="460"/>
      <c r="I944" s="460"/>
      <c r="J944" s="460"/>
      <c r="K944" s="460"/>
      <c r="L944" s="460"/>
      <c r="M944" s="460"/>
      <c r="N944" s="460"/>
      <c r="O944" s="460"/>
      <c r="P944" s="460"/>
      <c r="Q944" s="460"/>
      <c r="R944" s="460"/>
      <c r="S944" s="460"/>
      <c r="T944" s="460"/>
      <c r="U944" s="460"/>
      <c r="V944" s="460"/>
      <c r="W944" s="460"/>
      <c r="X944" s="460"/>
    </row>
    <row r="945" ht="15.75" customHeight="1">
      <c r="A945" s="460"/>
      <c r="B945" s="460"/>
      <c r="C945" s="460"/>
      <c r="D945" s="17"/>
      <c r="E945" s="9"/>
      <c r="F945" s="460"/>
      <c r="G945" s="460"/>
      <c r="H945" s="460"/>
      <c r="I945" s="460"/>
      <c r="J945" s="460"/>
      <c r="K945" s="460"/>
      <c r="L945" s="460"/>
      <c r="M945" s="460"/>
      <c r="N945" s="460"/>
      <c r="O945" s="460"/>
      <c r="P945" s="460"/>
      <c r="Q945" s="460"/>
      <c r="R945" s="460"/>
      <c r="S945" s="460"/>
      <c r="T945" s="460"/>
      <c r="U945" s="460"/>
      <c r="V945" s="460"/>
      <c r="W945" s="460"/>
      <c r="X945" s="460"/>
    </row>
    <row r="946" ht="15.75" customHeight="1">
      <c r="A946" s="460"/>
      <c r="B946" s="460"/>
      <c r="C946" s="460"/>
      <c r="D946" s="17"/>
      <c r="E946" s="9"/>
      <c r="F946" s="460"/>
      <c r="G946" s="460"/>
      <c r="H946" s="460"/>
      <c r="I946" s="460"/>
      <c r="J946" s="460"/>
      <c r="K946" s="460"/>
      <c r="L946" s="460"/>
      <c r="M946" s="460"/>
      <c r="N946" s="460"/>
      <c r="O946" s="460"/>
      <c r="P946" s="460"/>
      <c r="Q946" s="460"/>
      <c r="R946" s="460"/>
      <c r="S946" s="460"/>
      <c r="T946" s="460"/>
      <c r="U946" s="460"/>
      <c r="V946" s="460"/>
      <c r="W946" s="460"/>
      <c r="X946" s="460"/>
    </row>
    <row r="947" ht="15.75" customHeight="1">
      <c r="A947" s="460"/>
      <c r="B947" s="460"/>
      <c r="C947" s="460"/>
      <c r="D947" s="17"/>
      <c r="E947" s="9"/>
      <c r="F947" s="460"/>
      <c r="G947" s="460"/>
      <c r="H947" s="460"/>
      <c r="I947" s="460"/>
      <c r="J947" s="460"/>
      <c r="K947" s="460"/>
      <c r="L947" s="460"/>
      <c r="M947" s="460"/>
      <c r="N947" s="460"/>
      <c r="O947" s="460"/>
      <c r="P947" s="460"/>
      <c r="Q947" s="460"/>
      <c r="R947" s="460"/>
      <c r="S947" s="460"/>
      <c r="T947" s="460"/>
      <c r="U947" s="460"/>
      <c r="V947" s="460"/>
      <c r="W947" s="460"/>
      <c r="X947" s="460"/>
    </row>
    <row r="948" ht="15.75" customHeight="1">
      <c r="A948" s="460"/>
      <c r="B948" s="460"/>
      <c r="C948" s="460"/>
      <c r="D948" s="17"/>
      <c r="E948" s="9"/>
      <c r="F948" s="460"/>
      <c r="G948" s="460"/>
      <c r="H948" s="460"/>
      <c r="I948" s="460"/>
      <c r="J948" s="460"/>
      <c r="K948" s="460"/>
      <c r="L948" s="460"/>
      <c r="M948" s="460"/>
      <c r="N948" s="460"/>
      <c r="O948" s="460"/>
      <c r="P948" s="460"/>
      <c r="Q948" s="460"/>
      <c r="R948" s="460"/>
      <c r="S948" s="460"/>
      <c r="T948" s="460"/>
      <c r="U948" s="460"/>
      <c r="V948" s="460"/>
      <c r="W948" s="460"/>
      <c r="X948" s="460"/>
    </row>
    <row r="949" ht="15.75" customHeight="1">
      <c r="A949" s="460"/>
      <c r="B949" s="460"/>
      <c r="C949" s="460"/>
      <c r="D949" s="17"/>
      <c r="E949" s="9"/>
      <c r="F949" s="460"/>
      <c r="G949" s="460"/>
      <c r="H949" s="460"/>
      <c r="I949" s="460"/>
      <c r="J949" s="460"/>
      <c r="K949" s="460"/>
      <c r="L949" s="460"/>
      <c r="M949" s="460"/>
      <c r="N949" s="460"/>
      <c r="O949" s="460"/>
      <c r="P949" s="460"/>
      <c r="Q949" s="460"/>
      <c r="R949" s="460"/>
      <c r="S949" s="460"/>
      <c r="T949" s="460"/>
      <c r="U949" s="460"/>
      <c r="V949" s="460"/>
      <c r="W949" s="460"/>
      <c r="X949" s="460"/>
    </row>
    <row r="950" ht="15.75" customHeight="1">
      <c r="A950" s="460"/>
      <c r="B950" s="460"/>
      <c r="C950" s="460"/>
      <c r="D950" s="17"/>
      <c r="E950" s="9"/>
      <c r="F950" s="460"/>
      <c r="G950" s="460"/>
      <c r="H950" s="460"/>
      <c r="I950" s="460"/>
      <c r="J950" s="460"/>
      <c r="K950" s="460"/>
      <c r="L950" s="460"/>
      <c r="M950" s="460"/>
      <c r="N950" s="460"/>
      <c r="O950" s="460"/>
      <c r="P950" s="460"/>
      <c r="Q950" s="460"/>
      <c r="R950" s="460"/>
      <c r="S950" s="460"/>
      <c r="T950" s="460"/>
      <c r="U950" s="460"/>
      <c r="V950" s="460"/>
      <c r="W950" s="460"/>
      <c r="X950" s="460"/>
    </row>
    <row r="951" ht="15.75" customHeight="1">
      <c r="A951" s="460"/>
      <c r="B951" s="460"/>
      <c r="C951" s="460"/>
      <c r="D951" s="17"/>
      <c r="E951" s="9"/>
      <c r="F951" s="460"/>
      <c r="G951" s="460"/>
      <c r="H951" s="460"/>
      <c r="I951" s="460"/>
      <c r="J951" s="460"/>
      <c r="K951" s="460"/>
      <c r="L951" s="460"/>
      <c r="M951" s="460"/>
      <c r="N951" s="460"/>
      <c r="O951" s="460"/>
      <c r="P951" s="460"/>
      <c r="Q951" s="460"/>
      <c r="R951" s="460"/>
      <c r="S951" s="460"/>
      <c r="T951" s="460"/>
      <c r="U951" s="460"/>
      <c r="V951" s="460"/>
      <c r="W951" s="460"/>
      <c r="X951" s="460"/>
    </row>
    <row r="952" ht="15.75" customHeight="1">
      <c r="A952" s="460"/>
      <c r="B952" s="460"/>
      <c r="C952" s="460"/>
      <c r="D952" s="17"/>
      <c r="E952" s="9"/>
      <c r="F952" s="460"/>
      <c r="G952" s="460"/>
      <c r="H952" s="460"/>
      <c r="I952" s="460"/>
      <c r="J952" s="460"/>
      <c r="K952" s="460"/>
      <c r="L952" s="460"/>
      <c r="M952" s="460"/>
      <c r="N952" s="460"/>
      <c r="O952" s="460"/>
      <c r="P952" s="460"/>
      <c r="Q952" s="460"/>
      <c r="R952" s="460"/>
      <c r="S952" s="460"/>
      <c r="T952" s="460"/>
      <c r="U952" s="460"/>
      <c r="V952" s="460"/>
      <c r="W952" s="460"/>
      <c r="X952" s="460"/>
    </row>
    <row r="953" ht="15.75" customHeight="1">
      <c r="A953" s="460"/>
      <c r="B953" s="460"/>
      <c r="C953" s="460"/>
      <c r="D953" s="17"/>
      <c r="E953" s="9"/>
      <c r="F953" s="460"/>
      <c r="G953" s="460"/>
      <c r="H953" s="460"/>
      <c r="I953" s="460"/>
      <c r="J953" s="460"/>
      <c r="K953" s="460"/>
      <c r="L953" s="460"/>
      <c r="M953" s="460"/>
      <c r="N953" s="460"/>
      <c r="O953" s="460"/>
      <c r="P953" s="460"/>
      <c r="Q953" s="460"/>
      <c r="R953" s="460"/>
      <c r="S953" s="460"/>
      <c r="T953" s="460"/>
      <c r="U953" s="460"/>
      <c r="V953" s="460"/>
      <c r="W953" s="460"/>
      <c r="X953" s="460"/>
    </row>
    <row r="954" ht="15.75" customHeight="1">
      <c r="A954" s="460"/>
      <c r="B954" s="460"/>
      <c r="C954" s="460"/>
      <c r="D954" s="17"/>
      <c r="E954" s="9"/>
      <c r="F954" s="460"/>
      <c r="G954" s="460"/>
      <c r="H954" s="460"/>
      <c r="I954" s="460"/>
      <c r="J954" s="460"/>
      <c r="K954" s="460"/>
      <c r="L954" s="460"/>
      <c r="M954" s="460"/>
      <c r="N954" s="460"/>
      <c r="O954" s="460"/>
      <c r="P954" s="460"/>
      <c r="Q954" s="460"/>
      <c r="R954" s="460"/>
      <c r="S954" s="460"/>
      <c r="T954" s="460"/>
      <c r="U954" s="460"/>
      <c r="V954" s="460"/>
      <c r="W954" s="460"/>
      <c r="X954" s="460"/>
    </row>
    <row r="955" ht="15.75" customHeight="1">
      <c r="A955" s="460"/>
      <c r="B955" s="460"/>
      <c r="C955" s="460"/>
      <c r="D955" s="17"/>
      <c r="E955" s="9"/>
      <c r="F955" s="460"/>
      <c r="G955" s="460"/>
      <c r="H955" s="460"/>
      <c r="I955" s="460"/>
      <c r="J955" s="460"/>
      <c r="K955" s="460"/>
      <c r="L955" s="460"/>
      <c r="M955" s="460"/>
      <c r="N955" s="460"/>
      <c r="O955" s="460"/>
      <c r="P955" s="460"/>
      <c r="Q955" s="460"/>
      <c r="R955" s="460"/>
      <c r="S955" s="460"/>
      <c r="T955" s="460"/>
      <c r="U955" s="460"/>
      <c r="V955" s="460"/>
      <c r="W955" s="460"/>
      <c r="X955" s="460"/>
    </row>
    <row r="956" ht="15.75" customHeight="1">
      <c r="A956" s="460"/>
      <c r="B956" s="460"/>
      <c r="C956" s="460"/>
      <c r="D956" s="17"/>
      <c r="E956" s="9"/>
      <c r="F956" s="460"/>
      <c r="G956" s="460"/>
      <c r="H956" s="460"/>
      <c r="I956" s="460"/>
      <c r="J956" s="460"/>
      <c r="K956" s="460"/>
      <c r="L956" s="460"/>
      <c r="M956" s="460"/>
      <c r="N956" s="460"/>
      <c r="O956" s="460"/>
      <c r="P956" s="460"/>
      <c r="Q956" s="460"/>
      <c r="R956" s="460"/>
      <c r="S956" s="460"/>
      <c r="T956" s="460"/>
      <c r="U956" s="460"/>
      <c r="V956" s="460"/>
      <c r="W956" s="460"/>
      <c r="X956" s="460"/>
    </row>
    <row r="957" ht="15.75" customHeight="1">
      <c r="A957" s="460"/>
      <c r="B957" s="460"/>
      <c r="C957" s="460"/>
      <c r="D957" s="17"/>
      <c r="E957" s="9"/>
      <c r="F957" s="460"/>
      <c r="G957" s="460"/>
      <c r="H957" s="460"/>
      <c r="I957" s="460"/>
      <c r="J957" s="460"/>
      <c r="K957" s="460"/>
      <c r="L957" s="460"/>
      <c r="M957" s="460"/>
      <c r="N957" s="460"/>
      <c r="O957" s="460"/>
      <c r="P957" s="460"/>
      <c r="Q957" s="460"/>
      <c r="R957" s="460"/>
      <c r="S957" s="460"/>
      <c r="T957" s="460"/>
      <c r="U957" s="460"/>
      <c r="V957" s="460"/>
      <c r="W957" s="460"/>
      <c r="X957" s="460"/>
    </row>
    <row r="958" ht="15.75" customHeight="1">
      <c r="A958" s="460"/>
      <c r="B958" s="460"/>
      <c r="C958" s="460"/>
      <c r="D958" s="17"/>
      <c r="E958" s="9"/>
      <c r="F958" s="460"/>
      <c r="G958" s="460"/>
      <c r="H958" s="460"/>
      <c r="I958" s="460"/>
      <c r="J958" s="460"/>
      <c r="K958" s="460"/>
      <c r="L958" s="460"/>
      <c r="M958" s="460"/>
      <c r="N958" s="460"/>
      <c r="O958" s="460"/>
      <c r="P958" s="460"/>
      <c r="Q958" s="460"/>
      <c r="R958" s="460"/>
      <c r="S958" s="460"/>
      <c r="T958" s="460"/>
      <c r="U958" s="460"/>
      <c r="V958" s="460"/>
      <c r="W958" s="460"/>
      <c r="X958" s="460"/>
    </row>
    <row r="959" ht="15.75" customHeight="1">
      <c r="A959" s="460"/>
      <c r="B959" s="460"/>
      <c r="C959" s="460"/>
      <c r="D959" s="17"/>
      <c r="E959" s="9"/>
      <c r="F959" s="460"/>
      <c r="G959" s="460"/>
      <c r="H959" s="460"/>
      <c r="I959" s="460"/>
      <c r="J959" s="460"/>
      <c r="K959" s="460"/>
      <c r="L959" s="460"/>
      <c r="M959" s="460"/>
      <c r="N959" s="460"/>
      <c r="O959" s="460"/>
      <c r="P959" s="460"/>
      <c r="Q959" s="460"/>
      <c r="R959" s="460"/>
      <c r="S959" s="460"/>
      <c r="T959" s="460"/>
      <c r="U959" s="460"/>
      <c r="V959" s="460"/>
      <c r="W959" s="460"/>
      <c r="X959" s="460"/>
    </row>
    <row r="960" ht="15.75" customHeight="1">
      <c r="A960" s="460"/>
      <c r="B960" s="460"/>
      <c r="C960" s="460"/>
      <c r="D960" s="17"/>
      <c r="E960" s="9"/>
      <c r="F960" s="460"/>
      <c r="G960" s="460"/>
      <c r="H960" s="460"/>
      <c r="I960" s="460"/>
      <c r="J960" s="460"/>
      <c r="K960" s="460"/>
      <c r="L960" s="460"/>
      <c r="M960" s="460"/>
      <c r="N960" s="460"/>
      <c r="O960" s="460"/>
      <c r="P960" s="460"/>
      <c r="Q960" s="460"/>
      <c r="R960" s="460"/>
      <c r="S960" s="460"/>
      <c r="T960" s="460"/>
      <c r="U960" s="460"/>
      <c r="V960" s="460"/>
      <c r="W960" s="460"/>
      <c r="X960" s="460"/>
    </row>
    <row r="961" ht="15.75" customHeight="1">
      <c r="A961" s="460"/>
      <c r="B961" s="460"/>
      <c r="C961" s="460"/>
      <c r="D961" s="17"/>
      <c r="E961" s="9"/>
      <c r="F961" s="460"/>
      <c r="G961" s="460"/>
      <c r="H961" s="460"/>
      <c r="I961" s="460"/>
      <c r="J961" s="460"/>
      <c r="K961" s="460"/>
      <c r="L961" s="460"/>
      <c r="M961" s="460"/>
      <c r="N961" s="460"/>
      <c r="O961" s="460"/>
      <c r="P961" s="460"/>
      <c r="Q961" s="460"/>
      <c r="R961" s="460"/>
      <c r="S961" s="460"/>
      <c r="T961" s="460"/>
      <c r="U961" s="460"/>
      <c r="V961" s="460"/>
      <c r="W961" s="460"/>
      <c r="X961" s="460"/>
    </row>
    <row r="962" ht="15.75" customHeight="1">
      <c r="A962" s="460"/>
      <c r="B962" s="460"/>
      <c r="C962" s="460"/>
      <c r="D962" s="17"/>
      <c r="E962" s="9"/>
      <c r="F962" s="460"/>
      <c r="G962" s="460"/>
      <c r="H962" s="460"/>
      <c r="I962" s="460"/>
      <c r="J962" s="460"/>
      <c r="K962" s="460"/>
      <c r="L962" s="460"/>
      <c r="M962" s="460"/>
      <c r="N962" s="460"/>
      <c r="O962" s="460"/>
      <c r="P962" s="460"/>
      <c r="Q962" s="460"/>
      <c r="R962" s="460"/>
      <c r="S962" s="460"/>
      <c r="T962" s="460"/>
      <c r="U962" s="460"/>
      <c r="V962" s="460"/>
      <c r="W962" s="460"/>
      <c r="X962" s="460"/>
    </row>
    <row r="963" ht="15.75" customHeight="1">
      <c r="A963" s="460"/>
      <c r="B963" s="460"/>
      <c r="C963" s="460"/>
      <c r="D963" s="17"/>
      <c r="E963" s="9"/>
      <c r="F963" s="460"/>
      <c r="G963" s="460"/>
      <c r="H963" s="460"/>
      <c r="I963" s="460"/>
      <c r="J963" s="460"/>
      <c r="K963" s="460"/>
      <c r="L963" s="460"/>
      <c r="M963" s="460"/>
      <c r="N963" s="460"/>
      <c r="O963" s="460"/>
      <c r="P963" s="460"/>
      <c r="Q963" s="460"/>
      <c r="R963" s="460"/>
      <c r="S963" s="460"/>
      <c r="T963" s="460"/>
      <c r="U963" s="460"/>
      <c r="V963" s="460"/>
      <c r="W963" s="460"/>
      <c r="X963" s="460"/>
    </row>
    <row r="964" ht="15.75" customHeight="1">
      <c r="A964" s="460"/>
      <c r="B964" s="460"/>
      <c r="C964" s="460"/>
      <c r="D964" s="17"/>
      <c r="E964" s="9"/>
      <c r="F964" s="460"/>
      <c r="G964" s="460"/>
      <c r="H964" s="460"/>
      <c r="I964" s="460"/>
      <c r="J964" s="460"/>
      <c r="K964" s="460"/>
      <c r="L964" s="460"/>
      <c r="M964" s="460"/>
      <c r="N964" s="460"/>
      <c r="O964" s="460"/>
      <c r="P964" s="460"/>
      <c r="Q964" s="460"/>
      <c r="R964" s="460"/>
      <c r="S964" s="460"/>
      <c r="T964" s="460"/>
      <c r="U964" s="460"/>
      <c r="V964" s="460"/>
      <c r="W964" s="460"/>
      <c r="X964" s="460"/>
    </row>
    <row r="965" ht="15.75" customHeight="1">
      <c r="A965" s="460"/>
      <c r="B965" s="460"/>
      <c r="C965" s="460"/>
      <c r="D965" s="17"/>
      <c r="E965" s="9"/>
      <c r="F965" s="460"/>
      <c r="G965" s="460"/>
      <c r="H965" s="460"/>
      <c r="I965" s="460"/>
      <c r="J965" s="460"/>
      <c r="K965" s="460"/>
      <c r="L965" s="460"/>
      <c r="M965" s="460"/>
      <c r="N965" s="460"/>
      <c r="O965" s="460"/>
      <c r="P965" s="460"/>
      <c r="Q965" s="460"/>
      <c r="R965" s="460"/>
      <c r="S965" s="460"/>
      <c r="T965" s="460"/>
      <c r="U965" s="460"/>
      <c r="V965" s="460"/>
      <c r="W965" s="460"/>
      <c r="X965" s="460"/>
    </row>
    <row r="966" ht="15.75" customHeight="1">
      <c r="A966" s="460"/>
      <c r="B966" s="460"/>
      <c r="C966" s="460"/>
      <c r="D966" s="17"/>
      <c r="E966" s="9"/>
      <c r="F966" s="460"/>
      <c r="G966" s="460"/>
      <c r="H966" s="460"/>
      <c r="I966" s="460"/>
      <c r="J966" s="460"/>
      <c r="K966" s="460"/>
      <c r="L966" s="460"/>
      <c r="M966" s="460"/>
      <c r="N966" s="460"/>
      <c r="O966" s="460"/>
      <c r="P966" s="460"/>
      <c r="Q966" s="460"/>
      <c r="R966" s="460"/>
      <c r="S966" s="460"/>
      <c r="T966" s="460"/>
      <c r="U966" s="460"/>
      <c r="V966" s="460"/>
      <c r="W966" s="460"/>
      <c r="X966" s="460"/>
    </row>
    <row r="967" ht="15.75" customHeight="1">
      <c r="A967" s="460"/>
      <c r="B967" s="460"/>
      <c r="C967" s="460"/>
      <c r="D967" s="17"/>
      <c r="E967" s="9"/>
      <c r="F967" s="460"/>
      <c r="G967" s="460"/>
      <c r="H967" s="460"/>
      <c r="I967" s="460"/>
      <c r="J967" s="460"/>
      <c r="K967" s="460"/>
      <c r="L967" s="460"/>
      <c r="M967" s="460"/>
      <c r="N967" s="460"/>
      <c r="O967" s="460"/>
      <c r="P967" s="460"/>
      <c r="Q967" s="460"/>
      <c r="R967" s="460"/>
      <c r="S967" s="460"/>
      <c r="T967" s="460"/>
      <c r="U967" s="460"/>
      <c r="V967" s="460"/>
      <c r="W967" s="460"/>
      <c r="X967" s="460"/>
    </row>
    <row r="968" ht="15.75" customHeight="1">
      <c r="A968" s="460"/>
      <c r="B968" s="460"/>
      <c r="C968" s="460"/>
      <c r="D968" s="17"/>
      <c r="E968" s="9"/>
      <c r="F968" s="460"/>
      <c r="G968" s="460"/>
      <c r="H968" s="460"/>
      <c r="I968" s="460"/>
      <c r="J968" s="460"/>
      <c r="K968" s="460"/>
      <c r="L968" s="460"/>
      <c r="M968" s="460"/>
      <c r="N968" s="460"/>
      <c r="O968" s="460"/>
      <c r="P968" s="460"/>
      <c r="Q968" s="460"/>
      <c r="R968" s="460"/>
      <c r="S968" s="460"/>
      <c r="T968" s="460"/>
      <c r="U968" s="460"/>
      <c r="V968" s="460"/>
      <c r="W968" s="460"/>
      <c r="X968" s="460"/>
    </row>
    <row r="969" ht="15.75" customHeight="1">
      <c r="A969" s="460"/>
      <c r="B969" s="460"/>
      <c r="C969" s="460"/>
      <c r="D969" s="17"/>
      <c r="E969" s="9"/>
      <c r="F969" s="460"/>
      <c r="G969" s="460"/>
      <c r="H969" s="460"/>
      <c r="I969" s="460"/>
      <c r="J969" s="460"/>
      <c r="K969" s="460"/>
      <c r="L969" s="460"/>
      <c r="M969" s="460"/>
      <c r="N969" s="460"/>
      <c r="O969" s="460"/>
      <c r="P969" s="460"/>
      <c r="Q969" s="460"/>
      <c r="R969" s="460"/>
      <c r="S969" s="460"/>
      <c r="T969" s="460"/>
      <c r="U969" s="460"/>
      <c r="V969" s="460"/>
      <c r="W969" s="460"/>
      <c r="X969" s="460"/>
    </row>
    <row r="970" ht="15.75" customHeight="1">
      <c r="A970" s="460"/>
      <c r="B970" s="460"/>
      <c r="C970" s="460"/>
      <c r="D970" s="17"/>
      <c r="E970" s="9"/>
      <c r="F970" s="460"/>
      <c r="G970" s="460"/>
      <c r="H970" s="460"/>
      <c r="I970" s="460"/>
      <c r="J970" s="460"/>
      <c r="K970" s="460"/>
      <c r="L970" s="460"/>
      <c r="M970" s="460"/>
      <c r="N970" s="460"/>
      <c r="O970" s="460"/>
      <c r="P970" s="460"/>
      <c r="Q970" s="460"/>
      <c r="R970" s="460"/>
      <c r="S970" s="460"/>
      <c r="T970" s="460"/>
      <c r="U970" s="460"/>
      <c r="V970" s="460"/>
      <c r="W970" s="460"/>
      <c r="X970" s="460"/>
    </row>
    <row r="971" ht="15.75" customHeight="1">
      <c r="A971" s="460"/>
      <c r="B971" s="460"/>
      <c r="C971" s="460"/>
      <c r="D971" s="17"/>
      <c r="E971" s="9"/>
      <c r="F971" s="460"/>
      <c r="G971" s="460"/>
      <c r="H971" s="460"/>
      <c r="I971" s="460"/>
      <c r="J971" s="460"/>
      <c r="K971" s="460"/>
      <c r="L971" s="460"/>
      <c r="M971" s="460"/>
      <c r="N971" s="460"/>
      <c r="O971" s="460"/>
      <c r="P971" s="460"/>
      <c r="Q971" s="460"/>
      <c r="R971" s="460"/>
      <c r="S971" s="460"/>
      <c r="T971" s="460"/>
      <c r="U971" s="460"/>
      <c r="V971" s="460"/>
      <c r="W971" s="460"/>
      <c r="X971" s="460"/>
    </row>
    <row r="972" ht="15.75" customHeight="1">
      <c r="A972" s="460"/>
      <c r="B972" s="460"/>
      <c r="C972" s="460"/>
      <c r="D972" s="17"/>
      <c r="E972" s="9"/>
      <c r="F972" s="460"/>
      <c r="G972" s="460"/>
      <c r="H972" s="460"/>
      <c r="I972" s="460"/>
      <c r="J972" s="460"/>
      <c r="K972" s="460"/>
      <c r="L972" s="460"/>
      <c r="M972" s="460"/>
      <c r="N972" s="460"/>
      <c r="O972" s="460"/>
      <c r="P972" s="460"/>
      <c r="Q972" s="460"/>
      <c r="R972" s="460"/>
      <c r="S972" s="460"/>
      <c r="T972" s="460"/>
      <c r="U972" s="460"/>
      <c r="V972" s="460"/>
      <c r="W972" s="460"/>
      <c r="X972" s="460"/>
    </row>
    <row r="973" ht="15.75" customHeight="1">
      <c r="A973" s="460"/>
      <c r="B973" s="460"/>
      <c r="C973" s="460"/>
      <c r="D973" s="17"/>
      <c r="E973" s="9"/>
      <c r="F973" s="460"/>
      <c r="G973" s="460"/>
      <c r="H973" s="460"/>
      <c r="I973" s="460"/>
      <c r="J973" s="460"/>
      <c r="K973" s="460"/>
      <c r="L973" s="460"/>
      <c r="M973" s="460"/>
      <c r="N973" s="460"/>
      <c r="O973" s="460"/>
      <c r="P973" s="460"/>
      <c r="Q973" s="460"/>
      <c r="R973" s="460"/>
      <c r="S973" s="460"/>
      <c r="T973" s="460"/>
      <c r="U973" s="460"/>
      <c r="V973" s="460"/>
      <c r="W973" s="460"/>
      <c r="X973" s="460"/>
    </row>
    <row r="974" ht="15.75" customHeight="1">
      <c r="A974" s="460"/>
      <c r="B974" s="460"/>
      <c r="C974" s="460"/>
      <c r="D974" s="17"/>
      <c r="E974" s="9"/>
      <c r="F974" s="460"/>
      <c r="G974" s="460"/>
      <c r="H974" s="460"/>
      <c r="I974" s="460"/>
      <c r="J974" s="460"/>
      <c r="K974" s="460"/>
      <c r="L974" s="460"/>
      <c r="M974" s="460"/>
      <c r="N974" s="460"/>
      <c r="O974" s="460"/>
      <c r="P974" s="460"/>
      <c r="Q974" s="460"/>
      <c r="R974" s="460"/>
      <c r="S974" s="460"/>
      <c r="T974" s="460"/>
      <c r="U974" s="460"/>
      <c r="V974" s="460"/>
      <c r="W974" s="460"/>
      <c r="X974" s="460"/>
    </row>
    <row r="975" ht="15.75" customHeight="1">
      <c r="A975" s="460"/>
      <c r="B975" s="460"/>
      <c r="C975" s="460"/>
      <c r="D975" s="17"/>
      <c r="E975" s="9"/>
      <c r="F975" s="460"/>
      <c r="G975" s="460"/>
      <c r="H975" s="460"/>
      <c r="I975" s="460"/>
      <c r="J975" s="460"/>
      <c r="K975" s="460"/>
      <c r="L975" s="460"/>
      <c r="M975" s="460"/>
      <c r="N975" s="460"/>
      <c r="O975" s="460"/>
      <c r="P975" s="460"/>
      <c r="Q975" s="460"/>
      <c r="R975" s="460"/>
      <c r="S975" s="460"/>
      <c r="T975" s="460"/>
      <c r="U975" s="460"/>
      <c r="V975" s="460"/>
      <c r="W975" s="460"/>
      <c r="X975" s="460"/>
    </row>
    <row r="976" ht="15.75" customHeight="1">
      <c r="A976" s="460"/>
      <c r="B976" s="460"/>
      <c r="C976" s="460"/>
      <c r="D976" s="17"/>
      <c r="E976" s="9"/>
      <c r="F976" s="460"/>
      <c r="G976" s="460"/>
      <c r="H976" s="460"/>
      <c r="I976" s="460"/>
      <c r="J976" s="460"/>
      <c r="K976" s="460"/>
      <c r="L976" s="460"/>
      <c r="M976" s="460"/>
      <c r="N976" s="460"/>
      <c r="O976" s="460"/>
      <c r="P976" s="460"/>
      <c r="Q976" s="460"/>
      <c r="R976" s="460"/>
      <c r="S976" s="460"/>
      <c r="T976" s="460"/>
      <c r="U976" s="460"/>
      <c r="V976" s="460"/>
      <c r="W976" s="460"/>
      <c r="X976" s="460"/>
    </row>
    <row r="977" ht="15.75" customHeight="1">
      <c r="A977" s="460"/>
      <c r="B977" s="460"/>
      <c r="C977" s="460"/>
      <c r="D977" s="17"/>
      <c r="E977" s="9"/>
      <c r="F977" s="460"/>
      <c r="G977" s="460"/>
      <c r="H977" s="460"/>
      <c r="I977" s="460"/>
      <c r="J977" s="460"/>
      <c r="K977" s="460"/>
      <c r="L977" s="460"/>
      <c r="M977" s="460"/>
      <c r="N977" s="460"/>
      <c r="O977" s="460"/>
      <c r="P977" s="460"/>
      <c r="Q977" s="460"/>
      <c r="R977" s="460"/>
      <c r="S977" s="460"/>
      <c r="T977" s="460"/>
      <c r="U977" s="460"/>
      <c r="V977" s="460"/>
      <c r="W977" s="460"/>
      <c r="X977" s="460"/>
    </row>
    <row r="978" ht="15.75" customHeight="1">
      <c r="A978" s="460"/>
      <c r="B978" s="460"/>
      <c r="C978" s="460"/>
      <c r="D978" s="17"/>
      <c r="E978" s="9"/>
      <c r="F978" s="460"/>
      <c r="G978" s="460"/>
      <c r="H978" s="460"/>
      <c r="I978" s="460"/>
      <c r="J978" s="460"/>
      <c r="K978" s="460"/>
      <c r="L978" s="460"/>
      <c r="M978" s="460"/>
      <c r="N978" s="460"/>
      <c r="O978" s="460"/>
      <c r="P978" s="460"/>
      <c r="Q978" s="460"/>
      <c r="R978" s="460"/>
      <c r="S978" s="460"/>
      <c r="T978" s="460"/>
      <c r="U978" s="460"/>
      <c r="V978" s="460"/>
      <c r="W978" s="460"/>
      <c r="X978" s="460"/>
    </row>
    <row r="979" ht="15.75" customHeight="1">
      <c r="A979" s="460"/>
      <c r="B979" s="460"/>
      <c r="C979" s="460"/>
      <c r="D979" s="17"/>
      <c r="E979" s="9"/>
      <c r="F979" s="460"/>
      <c r="G979" s="460"/>
      <c r="H979" s="460"/>
      <c r="I979" s="460"/>
      <c r="J979" s="460"/>
      <c r="K979" s="460"/>
      <c r="L979" s="460"/>
      <c r="M979" s="460"/>
      <c r="N979" s="460"/>
      <c r="O979" s="460"/>
      <c r="P979" s="460"/>
      <c r="Q979" s="460"/>
      <c r="R979" s="460"/>
      <c r="S979" s="460"/>
      <c r="T979" s="460"/>
      <c r="U979" s="460"/>
      <c r="V979" s="460"/>
      <c r="W979" s="460"/>
      <c r="X979" s="460"/>
    </row>
    <row r="980" ht="15.75" customHeight="1">
      <c r="A980" s="460"/>
      <c r="B980" s="460"/>
      <c r="C980" s="460"/>
      <c r="D980" s="17"/>
      <c r="E980" s="9"/>
      <c r="F980" s="460"/>
      <c r="G980" s="460"/>
      <c r="H980" s="460"/>
      <c r="I980" s="460"/>
      <c r="J980" s="460"/>
      <c r="K980" s="460"/>
      <c r="L980" s="460"/>
      <c r="M980" s="460"/>
      <c r="N980" s="460"/>
      <c r="O980" s="460"/>
      <c r="P980" s="460"/>
      <c r="Q980" s="460"/>
      <c r="R980" s="460"/>
      <c r="S980" s="460"/>
      <c r="T980" s="460"/>
      <c r="U980" s="460"/>
      <c r="V980" s="460"/>
      <c r="W980" s="460"/>
      <c r="X980" s="460"/>
    </row>
    <row r="981" ht="15.75" customHeight="1">
      <c r="A981" s="460"/>
      <c r="B981" s="460"/>
      <c r="C981" s="460"/>
      <c r="D981" s="17"/>
      <c r="E981" s="9"/>
      <c r="F981" s="460"/>
      <c r="G981" s="460"/>
      <c r="H981" s="460"/>
      <c r="I981" s="460"/>
      <c r="J981" s="460"/>
      <c r="K981" s="460"/>
      <c r="L981" s="460"/>
      <c r="M981" s="460"/>
      <c r="N981" s="460"/>
      <c r="O981" s="460"/>
      <c r="P981" s="460"/>
      <c r="Q981" s="460"/>
      <c r="R981" s="460"/>
      <c r="S981" s="460"/>
      <c r="T981" s="460"/>
      <c r="U981" s="460"/>
      <c r="V981" s="460"/>
      <c r="W981" s="460"/>
      <c r="X981" s="460"/>
    </row>
    <row r="982" ht="15.75" customHeight="1">
      <c r="A982" s="460"/>
      <c r="B982" s="460"/>
      <c r="C982" s="460"/>
      <c r="D982" s="17"/>
      <c r="E982" s="9"/>
      <c r="F982" s="460"/>
      <c r="G982" s="460"/>
      <c r="H982" s="460"/>
      <c r="I982" s="460"/>
      <c r="J982" s="460"/>
      <c r="K982" s="460"/>
      <c r="L982" s="460"/>
      <c r="M982" s="460"/>
      <c r="N982" s="460"/>
      <c r="O982" s="460"/>
      <c r="P982" s="460"/>
      <c r="Q982" s="460"/>
      <c r="R982" s="460"/>
      <c r="S982" s="460"/>
      <c r="T982" s="460"/>
      <c r="U982" s="460"/>
      <c r="V982" s="460"/>
      <c r="W982" s="460"/>
      <c r="X982" s="460"/>
    </row>
    <row r="983" ht="15.75" customHeight="1">
      <c r="A983" s="460"/>
      <c r="B983" s="460"/>
      <c r="C983" s="460"/>
      <c r="D983" s="17"/>
      <c r="E983" s="9"/>
      <c r="F983" s="460"/>
      <c r="G983" s="460"/>
      <c r="H983" s="460"/>
      <c r="I983" s="460"/>
      <c r="J983" s="460"/>
      <c r="K983" s="460"/>
      <c r="L983" s="460"/>
      <c r="M983" s="460"/>
      <c r="N983" s="460"/>
      <c r="O983" s="460"/>
      <c r="P983" s="460"/>
      <c r="Q983" s="460"/>
      <c r="R983" s="460"/>
      <c r="S983" s="460"/>
      <c r="T983" s="460"/>
      <c r="U983" s="460"/>
      <c r="V983" s="460"/>
      <c r="W983" s="460"/>
      <c r="X983" s="460"/>
    </row>
    <row r="984" ht="15.75" customHeight="1">
      <c r="A984" s="460"/>
      <c r="B984" s="460"/>
      <c r="C984" s="460"/>
      <c r="D984" s="17"/>
      <c r="E984" s="9"/>
      <c r="F984" s="460"/>
      <c r="G984" s="460"/>
      <c r="H984" s="460"/>
      <c r="I984" s="460"/>
      <c r="J984" s="460"/>
      <c r="K984" s="460"/>
      <c r="L984" s="460"/>
      <c r="M984" s="460"/>
      <c r="N984" s="460"/>
      <c r="O984" s="460"/>
      <c r="P984" s="460"/>
      <c r="Q984" s="460"/>
      <c r="R984" s="460"/>
      <c r="S984" s="460"/>
      <c r="T984" s="460"/>
      <c r="U984" s="460"/>
      <c r="V984" s="460"/>
      <c r="W984" s="460"/>
      <c r="X984" s="460"/>
    </row>
    <row r="985" ht="15.75" customHeight="1">
      <c r="A985" s="460"/>
      <c r="B985" s="460"/>
      <c r="C985" s="460"/>
      <c r="D985" s="17"/>
      <c r="E985" s="9"/>
      <c r="F985" s="460"/>
      <c r="G985" s="460"/>
      <c r="H985" s="460"/>
      <c r="I985" s="460"/>
      <c r="J985" s="460"/>
      <c r="K985" s="460"/>
      <c r="L985" s="460"/>
      <c r="M985" s="460"/>
      <c r="N985" s="460"/>
      <c r="O985" s="460"/>
      <c r="P985" s="460"/>
      <c r="Q985" s="460"/>
      <c r="R985" s="460"/>
      <c r="S985" s="460"/>
      <c r="T985" s="460"/>
      <c r="U985" s="460"/>
      <c r="V985" s="460"/>
      <c r="W985" s="460"/>
      <c r="X985" s="460"/>
    </row>
    <row r="986" ht="15.75" customHeight="1">
      <c r="A986" s="460"/>
      <c r="B986" s="460"/>
      <c r="C986" s="460"/>
      <c r="D986" s="17"/>
      <c r="E986" s="9"/>
      <c r="F986" s="460"/>
      <c r="G986" s="460"/>
      <c r="H986" s="460"/>
      <c r="I986" s="460"/>
      <c r="J986" s="460"/>
      <c r="K986" s="460"/>
      <c r="L986" s="460"/>
      <c r="M986" s="460"/>
      <c r="N986" s="460"/>
      <c r="O986" s="460"/>
      <c r="P986" s="460"/>
      <c r="Q986" s="460"/>
      <c r="R986" s="460"/>
      <c r="S986" s="460"/>
      <c r="T986" s="460"/>
      <c r="U986" s="460"/>
      <c r="V986" s="460"/>
      <c r="W986" s="460"/>
      <c r="X986" s="460"/>
    </row>
    <row r="987" ht="15.75" customHeight="1">
      <c r="A987" s="460"/>
      <c r="B987" s="460"/>
      <c r="C987" s="460"/>
      <c r="D987" s="17"/>
      <c r="E987" s="9"/>
      <c r="F987" s="460"/>
      <c r="G987" s="460"/>
      <c r="H987" s="460"/>
      <c r="I987" s="460"/>
      <c r="J987" s="460"/>
      <c r="K987" s="460"/>
      <c r="L987" s="460"/>
      <c r="M987" s="460"/>
      <c r="N987" s="460"/>
      <c r="O987" s="460"/>
      <c r="P987" s="460"/>
      <c r="Q987" s="460"/>
      <c r="R987" s="460"/>
      <c r="S987" s="460"/>
      <c r="T987" s="460"/>
      <c r="U987" s="460"/>
      <c r="V987" s="460"/>
      <c r="W987" s="460"/>
      <c r="X987" s="460"/>
    </row>
    <row r="988" ht="15.75" customHeight="1">
      <c r="A988" s="460"/>
      <c r="B988" s="460"/>
      <c r="C988" s="460"/>
      <c r="D988" s="17"/>
      <c r="E988" s="9"/>
      <c r="F988" s="460"/>
      <c r="G988" s="460"/>
      <c r="H988" s="460"/>
      <c r="I988" s="460"/>
      <c r="J988" s="460"/>
      <c r="K988" s="460"/>
      <c r="L988" s="460"/>
      <c r="M988" s="460"/>
      <c r="N988" s="460"/>
      <c r="O988" s="460"/>
      <c r="P988" s="460"/>
      <c r="Q988" s="460"/>
      <c r="R988" s="460"/>
      <c r="S988" s="460"/>
      <c r="T988" s="460"/>
      <c r="U988" s="460"/>
      <c r="V988" s="460"/>
      <c r="W988" s="460"/>
      <c r="X988" s="460"/>
    </row>
    <row r="989" ht="15.75" customHeight="1">
      <c r="A989" s="460"/>
      <c r="B989" s="460"/>
      <c r="C989" s="460"/>
      <c r="D989" s="17"/>
      <c r="E989" s="9"/>
      <c r="F989" s="460"/>
      <c r="G989" s="460"/>
      <c r="H989" s="460"/>
      <c r="I989" s="460"/>
      <c r="J989" s="460"/>
      <c r="K989" s="460"/>
      <c r="L989" s="460"/>
      <c r="M989" s="460"/>
      <c r="N989" s="460"/>
      <c r="O989" s="460"/>
      <c r="P989" s="460"/>
      <c r="Q989" s="460"/>
      <c r="R989" s="460"/>
      <c r="S989" s="460"/>
      <c r="T989" s="460"/>
      <c r="U989" s="460"/>
      <c r="V989" s="460"/>
      <c r="W989" s="460"/>
      <c r="X989" s="460"/>
    </row>
    <row r="990" ht="15.75" customHeight="1">
      <c r="A990" s="460"/>
      <c r="B990" s="460"/>
      <c r="C990" s="460"/>
      <c r="D990" s="17"/>
      <c r="E990" s="9"/>
      <c r="F990" s="460"/>
      <c r="G990" s="460"/>
      <c r="H990" s="460"/>
      <c r="I990" s="460"/>
      <c r="J990" s="460"/>
      <c r="K990" s="460"/>
      <c r="L990" s="460"/>
      <c r="M990" s="460"/>
      <c r="N990" s="460"/>
      <c r="O990" s="460"/>
      <c r="P990" s="460"/>
      <c r="Q990" s="460"/>
      <c r="R990" s="460"/>
      <c r="S990" s="460"/>
      <c r="T990" s="460"/>
      <c r="U990" s="460"/>
      <c r="V990" s="460"/>
      <c r="W990" s="460"/>
      <c r="X990" s="460"/>
    </row>
    <row r="991" ht="15.75" customHeight="1">
      <c r="A991" s="460"/>
      <c r="B991" s="460"/>
      <c r="C991" s="460"/>
      <c r="D991" s="17"/>
      <c r="E991" s="9"/>
      <c r="F991" s="460"/>
      <c r="G991" s="460"/>
      <c r="H991" s="460"/>
      <c r="I991" s="460"/>
      <c r="J991" s="460"/>
      <c r="K991" s="460"/>
      <c r="L991" s="460"/>
      <c r="M991" s="460"/>
      <c r="N991" s="460"/>
      <c r="O991" s="460"/>
      <c r="P991" s="460"/>
      <c r="Q991" s="460"/>
      <c r="R991" s="460"/>
      <c r="S991" s="460"/>
      <c r="T991" s="460"/>
      <c r="U991" s="460"/>
      <c r="V991" s="460"/>
      <c r="W991" s="460"/>
      <c r="X991" s="460"/>
    </row>
    <row r="992" ht="15.75" customHeight="1">
      <c r="A992" s="460"/>
      <c r="B992" s="460"/>
      <c r="C992" s="460"/>
      <c r="D992" s="17"/>
      <c r="E992" s="9"/>
      <c r="F992" s="460"/>
      <c r="G992" s="460"/>
      <c r="H992" s="460"/>
      <c r="I992" s="460"/>
      <c r="J992" s="460"/>
      <c r="K992" s="460"/>
      <c r="L992" s="460"/>
      <c r="M992" s="460"/>
      <c r="N992" s="460"/>
      <c r="O992" s="460"/>
      <c r="P992" s="460"/>
      <c r="Q992" s="460"/>
      <c r="R992" s="460"/>
      <c r="S992" s="460"/>
      <c r="T992" s="460"/>
      <c r="U992" s="460"/>
      <c r="V992" s="460"/>
      <c r="W992" s="460"/>
      <c r="X992" s="460"/>
    </row>
    <row r="993" ht="15.75" customHeight="1">
      <c r="A993" s="460"/>
      <c r="B993" s="460"/>
      <c r="C993" s="460"/>
      <c r="D993" s="17"/>
      <c r="E993" s="9"/>
      <c r="F993" s="460"/>
      <c r="G993" s="460"/>
      <c r="H993" s="460"/>
      <c r="I993" s="460"/>
      <c r="J993" s="460"/>
      <c r="K993" s="460"/>
      <c r="L993" s="460"/>
      <c r="M993" s="460"/>
      <c r="N993" s="460"/>
      <c r="O993" s="460"/>
      <c r="P993" s="460"/>
      <c r="Q993" s="460"/>
      <c r="R993" s="460"/>
      <c r="S993" s="460"/>
      <c r="T993" s="460"/>
      <c r="U993" s="460"/>
      <c r="V993" s="460"/>
      <c r="W993" s="460"/>
      <c r="X993" s="460"/>
    </row>
    <row r="994" ht="15.75" customHeight="1">
      <c r="A994" s="460"/>
      <c r="B994" s="460"/>
      <c r="C994" s="460"/>
      <c r="D994" s="17"/>
      <c r="E994" s="9"/>
      <c r="F994" s="460"/>
      <c r="G994" s="460"/>
      <c r="H994" s="460"/>
      <c r="I994" s="460"/>
      <c r="J994" s="460"/>
      <c r="K994" s="460"/>
      <c r="L994" s="460"/>
      <c r="M994" s="460"/>
      <c r="N994" s="460"/>
      <c r="O994" s="460"/>
      <c r="P994" s="460"/>
      <c r="Q994" s="460"/>
      <c r="R994" s="460"/>
      <c r="S994" s="460"/>
      <c r="T994" s="460"/>
      <c r="U994" s="460"/>
      <c r="V994" s="460"/>
      <c r="W994" s="460"/>
      <c r="X994" s="460"/>
    </row>
    <row r="995" ht="15.75" customHeight="1">
      <c r="A995" s="460"/>
      <c r="B995" s="460"/>
      <c r="C995" s="460"/>
      <c r="D995" s="17"/>
      <c r="E995" s="9"/>
      <c r="F995" s="460"/>
      <c r="G995" s="460"/>
      <c r="H995" s="460"/>
      <c r="I995" s="460"/>
      <c r="J995" s="460"/>
      <c r="K995" s="460"/>
      <c r="L995" s="460"/>
      <c r="M995" s="460"/>
      <c r="N995" s="460"/>
      <c r="O995" s="460"/>
      <c r="P995" s="460"/>
      <c r="Q995" s="460"/>
      <c r="R995" s="460"/>
      <c r="S995" s="460"/>
      <c r="T995" s="460"/>
      <c r="U995" s="460"/>
      <c r="V995" s="460"/>
      <c r="W995" s="460"/>
      <c r="X995" s="460"/>
    </row>
    <row r="996" ht="15.75" customHeight="1">
      <c r="A996" s="460"/>
      <c r="B996" s="460"/>
      <c r="C996" s="460"/>
      <c r="D996" s="17"/>
      <c r="E996" s="9"/>
      <c r="F996" s="460"/>
      <c r="G996" s="460"/>
      <c r="H996" s="460"/>
      <c r="I996" s="460"/>
      <c r="J996" s="460"/>
      <c r="K996" s="460"/>
      <c r="L996" s="460"/>
      <c r="M996" s="460"/>
      <c r="N996" s="460"/>
      <c r="O996" s="460"/>
      <c r="P996" s="460"/>
      <c r="Q996" s="460"/>
      <c r="R996" s="460"/>
      <c r="S996" s="460"/>
      <c r="T996" s="460"/>
      <c r="U996" s="460"/>
      <c r="V996" s="460"/>
      <c r="W996" s="460"/>
      <c r="X996" s="460"/>
    </row>
    <row r="997" ht="15.75" customHeight="1">
      <c r="A997" s="460"/>
      <c r="B997" s="460"/>
      <c r="C997" s="460"/>
      <c r="D997" s="17"/>
      <c r="E997" s="9"/>
      <c r="F997" s="460"/>
      <c r="G997" s="460"/>
      <c r="H997" s="460"/>
      <c r="I997" s="460"/>
      <c r="J997" s="460"/>
      <c r="K997" s="460"/>
      <c r="L997" s="460"/>
      <c r="M997" s="460"/>
      <c r="N997" s="460"/>
      <c r="O997" s="460"/>
      <c r="P997" s="460"/>
      <c r="Q997" s="460"/>
      <c r="R997" s="460"/>
      <c r="S997" s="460"/>
      <c r="T997" s="460"/>
      <c r="U997" s="460"/>
      <c r="V997" s="460"/>
      <c r="W997" s="460"/>
      <c r="X997" s="460"/>
    </row>
    <row r="998" ht="15.75" customHeight="1">
      <c r="A998" s="460"/>
      <c r="B998" s="460"/>
      <c r="C998" s="460"/>
      <c r="D998" s="17"/>
      <c r="E998" s="9"/>
      <c r="F998" s="460"/>
      <c r="G998" s="460"/>
      <c r="H998" s="460"/>
      <c r="I998" s="460"/>
      <c r="J998" s="460"/>
      <c r="K998" s="460"/>
      <c r="L998" s="460"/>
      <c r="M998" s="460"/>
      <c r="N998" s="460"/>
      <c r="O998" s="460"/>
      <c r="P998" s="460"/>
      <c r="Q998" s="460"/>
      <c r="R998" s="460"/>
      <c r="S998" s="460"/>
      <c r="T998" s="460"/>
      <c r="U998" s="460"/>
      <c r="V998" s="460"/>
      <c r="W998" s="460"/>
      <c r="X998" s="460"/>
    </row>
    <row r="999" ht="15.75" customHeight="1">
      <c r="A999" s="460"/>
      <c r="B999" s="460"/>
      <c r="C999" s="460"/>
      <c r="D999" s="17"/>
      <c r="E999" s="9"/>
      <c r="F999" s="460"/>
      <c r="G999" s="460"/>
      <c r="H999" s="460"/>
      <c r="I999" s="460"/>
      <c r="J999" s="460"/>
      <c r="K999" s="460"/>
      <c r="L999" s="460"/>
      <c r="M999" s="460"/>
      <c r="N999" s="460"/>
      <c r="O999" s="460"/>
      <c r="P999" s="460"/>
      <c r="Q999" s="460"/>
      <c r="R999" s="460"/>
      <c r="S999" s="460"/>
      <c r="T999" s="460"/>
      <c r="U999" s="460"/>
      <c r="V999" s="460"/>
      <c r="W999" s="460"/>
      <c r="X999" s="460"/>
    </row>
    <row r="1000" ht="15.75" customHeight="1">
      <c r="A1000" s="460"/>
      <c r="B1000" s="460"/>
      <c r="C1000" s="460"/>
      <c r="D1000" s="17"/>
      <c r="E1000" s="9"/>
      <c r="F1000" s="460"/>
      <c r="G1000" s="460"/>
      <c r="H1000" s="460"/>
      <c r="I1000" s="460"/>
      <c r="J1000" s="460"/>
      <c r="K1000" s="460"/>
      <c r="L1000" s="460"/>
      <c r="M1000" s="460"/>
      <c r="N1000" s="460"/>
      <c r="O1000" s="460"/>
      <c r="P1000" s="460"/>
      <c r="Q1000" s="460"/>
      <c r="R1000" s="460"/>
      <c r="S1000" s="460"/>
      <c r="T1000" s="460"/>
      <c r="U1000" s="460"/>
      <c r="V1000" s="460"/>
      <c r="W1000" s="460"/>
      <c r="X1000" s="460"/>
    </row>
    <row r="1001" ht="15.75" customHeight="1">
      <c r="A1001" s="460"/>
      <c r="B1001" s="460"/>
      <c r="C1001" s="460"/>
      <c r="D1001" s="17"/>
      <c r="E1001" s="9"/>
      <c r="F1001" s="460"/>
      <c r="G1001" s="460"/>
      <c r="H1001" s="460"/>
      <c r="I1001" s="460"/>
      <c r="J1001" s="460"/>
      <c r="K1001" s="460"/>
      <c r="L1001" s="460"/>
      <c r="M1001" s="460"/>
      <c r="N1001" s="460"/>
      <c r="O1001" s="460"/>
      <c r="P1001" s="460"/>
      <c r="Q1001" s="460"/>
      <c r="R1001" s="460"/>
      <c r="S1001" s="460"/>
      <c r="T1001" s="460"/>
      <c r="U1001" s="460"/>
      <c r="V1001" s="460"/>
      <c r="W1001" s="460"/>
      <c r="X1001" s="460"/>
    </row>
    <row r="1002" ht="15.75" customHeight="1">
      <c r="A1002" s="460"/>
      <c r="B1002" s="460"/>
      <c r="C1002" s="460"/>
      <c r="D1002" s="17"/>
      <c r="E1002" s="9"/>
      <c r="F1002" s="460"/>
      <c r="G1002" s="460"/>
      <c r="H1002" s="460"/>
      <c r="I1002" s="460"/>
      <c r="J1002" s="460"/>
      <c r="K1002" s="460"/>
      <c r="L1002" s="460"/>
      <c r="M1002" s="460"/>
      <c r="N1002" s="460"/>
      <c r="O1002" s="460"/>
      <c r="P1002" s="460"/>
      <c r="Q1002" s="460"/>
      <c r="R1002" s="460"/>
      <c r="S1002" s="460"/>
      <c r="T1002" s="460"/>
      <c r="U1002" s="460"/>
      <c r="V1002" s="460"/>
      <c r="W1002" s="460"/>
      <c r="X1002" s="460"/>
    </row>
    <row r="1003" ht="15.75" customHeight="1">
      <c r="A1003" s="460"/>
      <c r="B1003" s="460"/>
      <c r="C1003" s="460"/>
      <c r="D1003" s="17"/>
      <c r="E1003" s="9"/>
      <c r="F1003" s="460"/>
      <c r="G1003" s="460"/>
      <c r="H1003" s="460"/>
      <c r="I1003" s="460"/>
      <c r="J1003" s="460"/>
      <c r="K1003" s="460"/>
      <c r="L1003" s="460"/>
      <c r="M1003" s="460"/>
      <c r="N1003" s="460"/>
      <c r="O1003" s="460"/>
      <c r="P1003" s="460"/>
      <c r="Q1003" s="460"/>
      <c r="R1003" s="460"/>
      <c r="S1003" s="460"/>
      <c r="T1003" s="460"/>
      <c r="U1003" s="460"/>
      <c r="V1003" s="460"/>
      <c r="W1003" s="460"/>
      <c r="X1003" s="460"/>
    </row>
    <row r="1004" ht="15.75" customHeight="1">
      <c r="A1004" s="460"/>
      <c r="B1004" s="460"/>
      <c r="C1004" s="460"/>
      <c r="D1004" s="17"/>
      <c r="E1004" s="9"/>
      <c r="F1004" s="460"/>
      <c r="G1004" s="460"/>
      <c r="H1004" s="460"/>
      <c r="I1004" s="460"/>
      <c r="J1004" s="460"/>
      <c r="K1004" s="460"/>
      <c r="L1004" s="460"/>
      <c r="M1004" s="460"/>
      <c r="N1004" s="460"/>
      <c r="O1004" s="460"/>
      <c r="P1004" s="460"/>
      <c r="Q1004" s="460"/>
      <c r="R1004" s="460"/>
      <c r="S1004" s="460"/>
      <c r="T1004" s="460"/>
      <c r="U1004" s="460"/>
      <c r="V1004" s="460"/>
      <c r="W1004" s="460"/>
      <c r="X1004" s="460"/>
    </row>
    <row r="1005" ht="15.75" customHeight="1">
      <c r="A1005" s="460"/>
      <c r="B1005" s="460"/>
      <c r="C1005" s="460"/>
      <c r="D1005" s="17"/>
      <c r="E1005" s="9"/>
      <c r="F1005" s="460"/>
      <c r="G1005" s="460"/>
      <c r="H1005" s="460"/>
      <c r="I1005" s="460"/>
      <c r="J1005" s="460"/>
      <c r="K1005" s="460"/>
      <c r="L1005" s="460"/>
      <c r="M1005" s="460"/>
      <c r="N1005" s="460"/>
      <c r="O1005" s="460"/>
      <c r="P1005" s="460"/>
      <c r="Q1005" s="460"/>
      <c r="R1005" s="460"/>
      <c r="S1005" s="460"/>
      <c r="T1005" s="460"/>
      <c r="U1005" s="460"/>
      <c r="V1005" s="460"/>
      <c r="W1005" s="460"/>
      <c r="X1005" s="460"/>
    </row>
    <row r="1006" ht="15.75" customHeight="1">
      <c r="A1006" s="460"/>
      <c r="B1006" s="460"/>
      <c r="C1006" s="460"/>
      <c r="D1006" s="17"/>
      <c r="E1006" s="9"/>
      <c r="F1006" s="460"/>
      <c r="G1006" s="460"/>
      <c r="H1006" s="460"/>
      <c r="I1006" s="460"/>
      <c r="J1006" s="460"/>
      <c r="K1006" s="460"/>
      <c r="L1006" s="460"/>
      <c r="M1006" s="460"/>
      <c r="N1006" s="460"/>
      <c r="O1006" s="460"/>
      <c r="P1006" s="460"/>
      <c r="Q1006" s="460"/>
      <c r="R1006" s="460"/>
      <c r="S1006" s="460"/>
      <c r="T1006" s="460"/>
      <c r="U1006" s="460"/>
      <c r="V1006" s="460"/>
      <c r="W1006" s="460"/>
      <c r="X1006" s="460"/>
    </row>
    <row r="1007" ht="15.75" customHeight="1">
      <c r="A1007" s="460"/>
      <c r="B1007" s="460"/>
      <c r="C1007" s="460"/>
      <c r="D1007" s="17"/>
      <c r="E1007" s="9"/>
      <c r="F1007" s="460"/>
      <c r="G1007" s="460"/>
      <c r="H1007" s="460"/>
      <c r="I1007" s="460"/>
      <c r="J1007" s="460"/>
      <c r="K1007" s="460"/>
      <c r="L1007" s="460"/>
      <c r="M1007" s="460"/>
      <c r="N1007" s="460"/>
      <c r="O1007" s="460"/>
      <c r="P1007" s="460"/>
      <c r="Q1007" s="460"/>
      <c r="R1007" s="460"/>
      <c r="S1007" s="460"/>
      <c r="T1007" s="460"/>
      <c r="U1007" s="460"/>
      <c r="V1007" s="460"/>
      <c r="W1007" s="460"/>
      <c r="X1007" s="460"/>
    </row>
    <row r="1008" ht="15.75" customHeight="1">
      <c r="A1008" s="460"/>
      <c r="B1008" s="460"/>
      <c r="C1008" s="460"/>
      <c r="D1008" s="17"/>
      <c r="E1008" s="9"/>
      <c r="F1008" s="460"/>
      <c r="G1008" s="460"/>
      <c r="H1008" s="460"/>
      <c r="I1008" s="460"/>
      <c r="J1008" s="460"/>
      <c r="K1008" s="460"/>
      <c r="L1008" s="460"/>
      <c r="M1008" s="460"/>
      <c r="N1008" s="460"/>
      <c r="O1008" s="460"/>
      <c r="P1008" s="460"/>
      <c r="Q1008" s="460"/>
      <c r="R1008" s="460"/>
      <c r="S1008" s="460"/>
      <c r="T1008" s="460"/>
      <c r="U1008" s="460"/>
      <c r="V1008" s="460"/>
      <c r="W1008" s="460"/>
      <c r="X1008" s="460"/>
    </row>
    <row r="1009" ht="15.75" customHeight="1">
      <c r="A1009" s="460"/>
      <c r="B1009" s="460"/>
      <c r="C1009" s="460"/>
      <c r="D1009" s="17"/>
      <c r="E1009" s="9"/>
      <c r="F1009" s="460"/>
      <c r="G1009" s="460"/>
      <c r="H1009" s="460"/>
      <c r="I1009" s="460"/>
      <c r="J1009" s="460"/>
      <c r="K1009" s="460"/>
      <c r="L1009" s="460"/>
      <c r="M1009" s="460"/>
      <c r="N1009" s="460"/>
      <c r="O1009" s="460"/>
      <c r="P1009" s="460"/>
      <c r="Q1009" s="460"/>
      <c r="R1009" s="460"/>
      <c r="S1009" s="460"/>
      <c r="T1009" s="460"/>
      <c r="U1009" s="460"/>
      <c r="V1009" s="460"/>
      <c r="W1009" s="460"/>
      <c r="X1009" s="460"/>
    </row>
    <row r="1010" ht="15.75" customHeight="1">
      <c r="A1010" s="460"/>
      <c r="B1010" s="460"/>
      <c r="C1010" s="460"/>
      <c r="D1010" s="17"/>
      <c r="E1010" s="9"/>
      <c r="F1010" s="460"/>
      <c r="G1010" s="460"/>
      <c r="H1010" s="460"/>
      <c r="I1010" s="460"/>
      <c r="J1010" s="460"/>
      <c r="K1010" s="460"/>
      <c r="L1010" s="460"/>
      <c r="M1010" s="460"/>
      <c r="N1010" s="460"/>
      <c r="O1010" s="460"/>
      <c r="P1010" s="460"/>
      <c r="Q1010" s="460"/>
      <c r="R1010" s="460"/>
      <c r="S1010" s="460"/>
      <c r="T1010" s="460"/>
      <c r="U1010" s="460"/>
      <c r="V1010" s="460"/>
      <c r="W1010" s="460"/>
      <c r="X1010" s="460"/>
    </row>
    <row r="1011" ht="15.75" customHeight="1">
      <c r="A1011" s="460"/>
      <c r="B1011" s="460"/>
      <c r="C1011" s="460"/>
      <c r="D1011" s="17"/>
      <c r="E1011" s="9"/>
      <c r="F1011" s="460"/>
      <c r="G1011" s="460"/>
      <c r="H1011" s="460"/>
      <c r="I1011" s="460"/>
      <c r="J1011" s="460"/>
      <c r="K1011" s="460"/>
      <c r="L1011" s="460"/>
      <c r="M1011" s="460"/>
      <c r="N1011" s="460"/>
      <c r="O1011" s="460"/>
      <c r="P1011" s="460"/>
      <c r="Q1011" s="460"/>
      <c r="R1011" s="460"/>
      <c r="S1011" s="460"/>
      <c r="T1011" s="460"/>
      <c r="U1011" s="460"/>
      <c r="V1011" s="460"/>
      <c r="W1011" s="460"/>
      <c r="X1011" s="460"/>
    </row>
    <row r="1012" ht="15.75" customHeight="1">
      <c r="A1012" s="460"/>
      <c r="B1012" s="460"/>
      <c r="C1012" s="460"/>
      <c r="D1012" s="17"/>
      <c r="E1012" s="9"/>
      <c r="F1012" s="460"/>
      <c r="G1012" s="460"/>
      <c r="H1012" s="460"/>
      <c r="I1012" s="460"/>
      <c r="J1012" s="460"/>
      <c r="K1012" s="460"/>
      <c r="L1012" s="460"/>
      <c r="M1012" s="460"/>
      <c r="N1012" s="460"/>
      <c r="O1012" s="460"/>
      <c r="P1012" s="460"/>
      <c r="Q1012" s="460"/>
      <c r="R1012" s="460"/>
      <c r="S1012" s="460"/>
      <c r="T1012" s="460"/>
      <c r="U1012" s="460"/>
      <c r="V1012" s="460"/>
      <c r="W1012" s="460"/>
      <c r="X1012" s="460"/>
    </row>
    <row r="1013" ht="15.75" customHeight="1">
      <c r="A1013" s="460"/>
      <c r="B1013" s="460"/>
      <c r="C1013" s="460"/>
      <c r="D1013" s="17"/>
      <c r="E1013" s="9"/>
      <c r="F1013" s="460"/>
      <c r="G1013" s="460"/>
      <c r="H1013" s="460"/>
      <c r="I1013" s="460"/>
      <c r="J1013" s="460"/>
      <c r="K1013" s="460"/>
      <c r="L1013" s="460"/>
      <c r="M1013" s="460"/>
      <c r="N1013" s="460"/>
      <c r="O1013" s="460"/>
      <c r="P1013" s="460"/>
      <c r="Q1013" s="460"/>
      <c r="R1013" s="460"/>
      <c r="S1013" s="460"/>
      <c r="T1013" s="460"/>
      <c r="U1013" s="460"/>
      <c r="V1013" s="460"/>
      <c r="W1013" s="460"/>
      <c r="X1013" s="460"/>
    </row>
    <row r="1014" ht="15.75" customHeight="1">
      <c r="A1014" s="460"/>
      <c r="B1014" s="460"/>
      <c r="C1014" s="460"/>
      <c r="D1014" s="17"/>
      <c r="E1014" s="9"/>
      <c r="F1014" s="460"/>
      <c r="G1014" s="460"/>
      <c r="H1014" s="460"/>
      <c r="I1014" s="460"/>
      <c r="J1014" s="460"/>
      <c r="K1014" s="460"/>
      <c r="L1014" s="460"/>
      <c r="M1014" s="460"/>
      <c r="N1014" s="460"/>
      <c r="O1014" s="460"/>
      <c r="P1014" s="460"/>
      <c r="Q1014" s="460"/>
      <c r="R1014" s="460"/>
      <c r="S1014" s="460"/>
      <c r="T1014" s="460"/>
      <c r="U1014" s="460"/>
      <c r="V1014" s="460"/>
      <c r="W1014" s="460"/>
      <c r="X1014" s="460"/>
    </row>
    <row r="1015" ht="15.75" customHeight="1">
      <c r="A1015" s="460"/>
      <c r="B1015" s="460"/>
      <c r="C1015" s="460"/>
      <c r="D1015" s="17"/>
      <c r="E1015" s="9"/>
      <c r="F1015" s="460"/>
      <c r="G1015" s="460"/>
      <c r="H1015" s="460"/>
      <c r="I1015" s="460"/>
      <c r="J1015" s="460"/>
      <c r="K1015" s="460"/>
      <c r="L1015" s="460"/>
      <c r="M1015" s="460"/>
      <c r="N1015" s="460"/>
      <c r="O1015" s="460"/>
      <c r="P1015" s="460"/>
      <c r="Q1015" s="460"/>
      <c r="R1015" s="460"/>
      <c r="S1015" s="460"/>
      <c r="T1015" s="460"/>
      <c r="U1015" s="460"/>
      <c r="V1015" s="460"/>
      <c r="W1015" s="460"/>
      <c r="X1015" s="460"/>
    </row>
    <row r="1016" ht="15.75" customHeight="1">
      <c r="A1016" s="460"/>
      <c r="B1016" s="460"/>
      <c r="C1016" s="460"/>
      <c r="D1016" s="17"/>
      <c r="E1016" s="9"/>
      <c r="F1016" s="460"/>
      <c r="G1016" s="460"/>
      <c r="H1016" s="460"/>
      <c r="I1016" s="460"/>
      <c r="J1016" s="460"/>
      <c r="K1016" s="460"/>
      <c r="L1016" s="460"/>
      <c r="M1016" s="460"/>
      <c r="N1016" s="460"/>
      <c r="O1016" s="460"/>
      <c r="P1016" s="460"/>
      <c r="Q1016" s="460"/>
      <c r="R1016" s="460"/>
      <c r="S1016" s="460"/>
      <c r="T1016" s="460"/>
      <c r="U1016" s="460"/>
      <c r="V1016" s="460"/>
      <c r="W1016" s="460"/>
      <c r="X1016" s="460"/>
    </row>
    <row r="1017" ht="15.75" customHeight="1">
      <c r="A1017" s="460"/>
      <c r="B1017" s="460"/>
      <c r="C1017" s="460"/>
      <c r="D1017" s="17"/>
      <c r="E1017" s="9"/>
      <c r="F1017" s="460"/>
      <c r="G1017" s="460"/>
      <c r="H1017" s="460"/>
      <c r="I1017" s="460"/>
      <c r="J1017" s="460"/>
      <c r="K1017" s="460"/>
      <c r="L1017" s="460"/>
      <c r="M1017" s="460"/>
      <c r="N1017" s="460"/>
      <c r="O1017" s="460"/>
      <c r="P1017" s="460"/>
      <c r="Q1017" s="460"/>
      <c r="R1017" s="460"/>
      <c r="S1017" s="460"/>
      <c r="T1017" s="460"/>
      <c r="U1017" s="460"/>
      <c r="V1017" s="460"/>
      <c r="W1017" s="460"/>
      <c r="X1017" s="460"/>
    </row>
    <row r="1018" ht="15.75" customHeight="1">
      <c r="A1018" s="460"/>
      <c r="B1018" s="460"/>
      <c r="C1018" s="460"/>
      <c r="D1018" s="17"/>
      <c r="E1018" s="9"/>
      <c r="F1018" s="460"/>
      <c r="G1018" s="460"/>
      <c r="H1018" s="460"/>
      <c r="I1018" s="460"/>
      <c r="J1018" s="460"/>
      <c r="K1018" s="460"/>
      <c r="L1018" s="460"/>
      <c r="M1018" s="460"/>
      <c r="N1018" s="460"/>
      <c r="O1018" s="460"/>
      <c r="P1018" s="460"/>
      <c r="Q1018" s="460"/>
      <c r="R1018" s="460"/>
      <c r="S1018" s="460"/>
      <c r="T1018" s="460"/>
      <c r="U1018" s="460"/>
      <c r="V1018" s="460"/>
      <c r="W1018" s="460"/>
      <c r="X1018" s="460"/>
    </row>
    <row r="1019" ht="15.75" customHeight="1">
      <c r="A1019" s="460"/>
      <c r="B1019" s="460"/>
      <c r="C1019" s="460"/>
      <c r="D1019" s="17"/>
      <c r="E1019" s="9"/>
      <c r="F1019" s="460"/>
      <c r="G1019" s="460"/>
      <c r="H1019" s="460"/>
      <c r="I1019" s="460"/>
      <c r="J1019" s="460"/>
      <c r="K1019" s="460"/>
      <c r="L1019" s="460"/>
      <c r="M1019" s="460"/>
      <c r="N1019" s="460"/>
      <c r="O1019" s="460"/>
      <c r="P1019" s="460"/>
      <c r="Q1019" s="460"/>
      <c r="R1019" s="460"/>
      <c r="S1019" s="460"/>
      <c r="T1019" s="460"/>
      <c r="U1019" s="460"/>
      <c r="V1019" s="460"/>
      <c r="W1019" s="460"/>
      <c r="X1019" s="460"/>
    </row>
    <row r="1020" ht="15.75" customHeight="1">
      <c r="A1020" s="460"/>
      <c r="B1020" s="460"/>
      <c r="C1020" s="460"/>
      <c r="D1020" s="17"/>
      <c r="E1020" s="9"/>
      <c r="F1020" s="460"/>
      <c r="G1020" s="460"/>
      <c r="H1020" s="460"/>
      <c r="I1020" s="460"/>
      <c r="J1020" s="460"/>
      <c r="K1020" s="460"/>
      <c r="L1020" s="460"/>
      <c r="M1020" s="460"/>
      <c r="N1020" s="460"/>
      <c r="O1020" s="460"/>
      <c r="P1020" s="460"/>
      <c r="Q1020" s="460"/>
      <c r="R1020" s="460"/>
      <c r="S1020" s="460"/>
      <c r="T1020" s="460"/>
      <c r="U1020" s="460"/>
      <c r="V1020" s="460"/>
      <c r="W1020" s="460"/>
      <c r="X1020" s="460"/>
    </row>
    <row r="1021" ht="15.75" customHeight="1">
      <c r="A1021" s="460"/>
      <c r="B1021" s="460"/>
      <c r="C1021" s="460"/>
      <c r="D1021" s="17"/>
      <c r="E1021" s="9"/>
      <c r="F1021" s="460"/>
      <c r="G1021" s="460"/>
      <c r="H1021" s="460"/>
      <c r="I1021" s="460"/>
      <c r="J1021" s="460"/>
      <c r="K1021" s="460"/>
      <c r="L1021" s="460"/>
      <c r="M1021" s="460"/>
      <c r="N1021" s="460"/>
      <c r="O1021" s="460"/>
      <c r="P1021" s="460"/>
      <c r="Q1021" s="460"/>
      <c r="R1021" s="460"/>
      <c r="S1021" s="460"/>
      <c r="T1021" s="460"/>
      <c r="U1021" s="460"/>
      <c r="V1021" s="460"/>
      <c r="W1021" s="460"/>
      <c r="X1021" s="460"/>
    </row>
    <row r="1022" ht="15.75" customHeight="1">
      <c r="A1022" s="460"/>
      <c r="B1022" s="460"/>
      <c r="C1022" s="460"/>
      <c r="D1022" s="17"/>
      <c r="E1022" s="9"/>
      <c r="F1022" s="460"/>
      <c r="G1022" s="460"/>
      <c r="H1022" s="460"/>
      <c r="I1022" s="460"/>
      <c r="J1022" s="460"/>
      <c r="K1022" s="460"/>
      <c r="L1022" s="460"/>
      <c r="M1022" s="460"/>
      <c r="N1022" s="460"/>
      <c r="O1022" s="460"/>
      <c r="P1022" s="460"/>
      <c r="Q1022" s="460"/>
      <c r="R1022" s="460"/>
      <c r="S1022" s="460"/>
      <c r="T1022" s="460"/>
      <c r="U1022" s="460"/>
      <c r="V1022" s="460"/>
      <c r="W1022" s="460"/>
      <c r="X1022" s="460"/>
    </row>
    <row r="1023" ht="15.75" customHeight="1">
      <c r="A1023" s="460"/>
      <c r="B1023" s="460"/>
      <c r="C1023" s="460"/>
      <c r="D1023" s="17"/>
      <c r="E1023" s="9"/>
      <c r="F1023" s="460"/>
      <c r="G1023" s="460"/>
      <c r="H1023" s="460"/>
      <c r="I1023" s="460"/>
      <c r="J1023" s="460"/>
      <c r="K1023" s="460"/>
      <c r="L1023" s="460"/>
      <c r="M1023" s="460"/>
      <c r="N1023" s="460"/>
      <c r="O1023" s="460"/>
      <c r="P1023" s="460"/>
      <c r="Q1023" s="460"/>
      <c r="R1023" s="460"/>
      <c r="S1023" s="460"/>
      <c r="T1023" s="460"/>
      <c r="U1023" s="460"/>
      <c r="V1023" s="460"/>
      <c r="W1023" s="460"/>
      <c r="X1023" s="460"/>
    </row>
    <row r="1024" ht="15.75" customHeight="1">
      <c r="A1024" s="460"/>
      <c r="B1024" s="460"/>
      <c r="C1024" s="460"/>
      <c r="D1024" s="17"/>
      <c r="E1024" s="9"/>
      <c r="F1024" s="460"/>
      <c r="G1024" s="460"/>
      <c r="H1024" s="460"/>
      <c r="I1024" s="460"/>
      <c r="J1024" s="460"/>
      <c r="K1024" s="460"/>
      <c r="L1024" s="460"/>
      <c r="M1024" s="460"/>
      <c r="N1024" s="460"/>
      <c r="O1024" s="460"/>
      <c r="P1024" s="460"/>
      <c r="Q1024" s="460"/>
      <c r="R1024" s="460"/>
      <c r="S1024" s="460"/>
      <c r="T1024" s="460"/>
      <c r="U1024" s="460"/>
      <c r="V1024" s="460"/>
      <c r="W1024" s="460"/>
      <c r="X1024" s="460"/>
    </row>
    <row r="1025" ht="15.75" customHeight="1">
      <c r="A1025" s="460"/>
      <c r="B1025" s="460"/>
      <c r="C1025" s="460"/>
      <c r="D1025" s="17"/>
      <c r="E1025" s="9"/>
      <c r="F1025" s="460"/>
      <c r="G1025" s="460"/>
      <c r="H1025" s="460"/>
      <c r="I1025" s="460"/>
      <c r="J1025" s="460"/>
      <c r="K1025" s="460"/>
      <c r="L1025" s="460"/>
      <c r="M1025" s="460"/>
      <c r="N1025" s="460"/>
      <c r="O1025" s="460"/>
      <c r="P1025" s="460"/>
      <c r="Q1025" s="460"/>
      <c r="R1025" s="460"/>
      <c r="S1025" s="460"/>
      <c r="T1025" s="460"/>
      <c r="U1025" s="460"/>
      <c r="V1025" s="460"/>
      <c r="W1025" s="460"/>
      <c r="X1025" s="460"/>
    </row>
    <row r="1026" ht="15.75" customHeight="1">
      <c r="A1026" s="460"/>
      <c r="B1026" s="460"/>
      <c r="C1026" s="460"/>
      <c r="D1026" s="17"/>
      <c r="E1026" s="9"/>
      <c r="F1026" s="460"/>
      <c r="G1026" s="460"/>
      <c r="H1026" s="460"/>
      <c r="I1026" s="460"/>
      <c r="J1026" s="460"/>
      <c r="K1026" s="460"/>
      <c r="L1026" s="460"/>
      <c r="M1026" s="460"/>
      <c r="N1026" s="460"/>
      <c r="O1026" s="460"/>
      <c r="P1026" s="460"/>
      <c r="Q1026" s="460"/>
      <c r="R1026" s="460"/>
      <c r="S1026" s="460"/>
      <c r="T1026" s="460"/>
      <c r="U1026" s="460"/>
      <c r="V1026" s="460"/>
      <c r="W1026" s="460"/>
      <c r="X1026" s="460"/>
    </row>
    <row r="1027" ht="15.75" customHeight="1">
      <c r="A1027" s="460"/>
      <c r="B1027" s="460"/>
      <c r="C1027" s="460"/>
      <c r="D1027" s="17"/>
      <c r="E1027" s="9"/>
      <c r="F1027" s="460"/>
      <c r="G1027" s="460"/>
      <c r="H1027" s="460"/>
      <c r="I1027" s="460"/>
      <c r="J1027" s="460"/>
      <c r="K1027" s="460"/>
      <c r="L1027" s="460"/>
      <c r="M1027" s="460"/>
      <c r="N1027" s="460"/>
      <c r="O1027" s="460"/>
      <c r="P1027" s="460"/>
      <c r="Q1027" s="460"/>
      <c r="R1027" s="460"/>
      <c r="S1027" s="460"/>
      <c r="T1027" s="460"/>
      <c r="U1027" s="460"/>
      <c r="V1027" s="460"/>
      <c r="W1027" s="460"/>
      <c r="X1027" s="460"/>
    </row>
    <row r="1028" ht="15.75" customHeight="1">
      <c r="A1028" s="460"/>
      <c r="B1028" s="460"/>
      <c r="C1028" s="460"/>
      <c r="D1028" s="17"/>
      <c r="E1028" s="9"/>
      <c r="F1028" s="460"/>
      <c r="G1028" s="460"/>
      <c r="H1028" s="460"/>
      <c r="I1028" s="460"/>
      <c r="J1028" s="460"/>
      <c r="K1028" s="460"/>
      <c r="L1028" s="460"/>
      <c r="M1028" s="460"/>
      <c r="N1028" s="460"/>
      <c r="O1028" s="460"/>
      <c r="P1028" s="460"/>
      <c r="Q1028" s="460"/>
      <c r="R1028" s="460"/>
      <c r="S1028" s="460"/>
      <c r="T1028" s="460"/>
      <c r="U1028" s="460"/>
      <c r="V1028" s="460"/>
      <c r="W1028" s="460"/>
      <c r="X1028" s="460"/>
    </row>
    <row r="1029" ht="15.75" customHeight="1">
      <c r="A1029" s="460"/>
      <c r="B1029" s="460"/>
      <c r="C1029" s="460"/>
      <c r="D1029" s="17"/>
      <c r="E1029" s="9"/>
      <c r="F1029" s="460"/>
      <c r="G1029" s="460"/>
      <c r="H1029" s="460"/>
      <c r="I1029" s="460"/>
      <c r="J1029" s="460"/>
      <c r="K1029" s="460"/>
      <c r="L1029" s="460"/>
      <c r="M1029" s="460"/>
      <c r="N1029" s="460"/>
      <c r="O1029" s="460"/>
      <c r="P1029" s="460"/>
      <c r="Q1029" s="460"/>
      <c r="R1029" s="460"/>
      <c r="S1029" s="460"/>
      <c r="T1029" s="460"/>
      <c r="U1029" s="460"/>
      <c r="V1029" s="460"/>
      <c r="W1029" s="460"/>
      <c r="X1029" s="460"/>
    </row>
    <row r="1030" ht="15.75" customHeight="1">
      <c r="A1030" s="460"/>
      <c r="B1030" s="460"/>
      <c r="C1030" s="460"/>
      <c r="D1030" s="17"/>
      <c r="E1030" s="9"/>
      <c r="F1030" s="460"/>
      <c r="G1030" s="460"/>
      <c r="H1030" s="460"/>
      <c r="I1030" s="460"/>
      <c r="J1030" s="460"/>
      <c r="K1030" s="460"/>
      <c r="L1030" s="460"/>
      <c r="M1030" s="460"/>
      <c r="N1030" s="460"/>
      <c r="O1030" s="460"/>
      <c r="P1030" s="460"/>
      <c r="Q1030" s="460"/>
      <c r="R1030" s="460"/>
      <c r="S1030" s="460"/>
      <c r="T1030" s="460"/>
      <c r="U1030" s="460"/>
      <c r="V1030" s="460"/>
      <c r="W1030" s="460"/>
      <c r="X1030" s="460"/>
    </row>
    <row r="1031" ht="15.75" customHeight="1">
      <c r="A1031" s="460"/>
      <c r="B1031" s="460"/>
      <c r="C1031" s="460"/>
      <c r="D1031" s="17"/>
      <c r="E1031" s="9"/>
      <c r="F1031" s="460"/>
      <c r="G1031" s="460"/>
      <c r="H1031" s="460"/>
      <c r="I1031" s="460"/>
      <c r="J1031" s="460"/>
      <c r="K1031" s="460"/>
      <c r="L1031" s="460"/>
      <c r="M1031" s="460"/>
      <c r="N1031" s="460"/>
      <c r="O1031" s="460"/>
      <c r="P1031" s="460"/>
      <c r="Q1031" s="460"/>
      <c r="R1031" s="460"/>
      <c r="S1031" s="460"/>
      <c r="T1031" s="460"/>
      <c r="U1031" s="460"/>
      <c r="V1031" s="460"/>
      <c r="W1031" s="460"/>
      <c r="X1031" s="460"/>
    </row>
    <row r="1032" ht="15.75" customHeight="1">
      <c r="A1032" s="460"/>
      <c r="B1032" s="460"/>
      <c r="C1032" s="460"/>
      <c r="D1032" s="17"/>
      <c r="E1032" s="9"/>
      <c r="F1032" s="460"/>
      <c r="G1032" s="460"/>
      <c r="H1032" s="460"/>
      <c r="I1032" s="460"/>
      <c r="J1032" s="460"/>
      <c r="K1032" s="460"/>
      <c r="L1032" s="460"/>
      <c r="M1032" s="460"/>
      <c r="N1032" s="460"/>
      <c r="O1032" s="460"/>
      <c r="P1032" s="460"/>
      <c r="Q1032" s="460"/>
      <c r="R1032" s="460"/>
      <c r="S1032" s="460"/>
      <c r="T1032" s="460"/>
      <c r="U1032" s="460"/>
      <c r="V1032" s="460"/>
      <c r="W1032" s="460"/>
      <c r="X1032" s="460"/>
    </row>
    <row r="1033" ht="15.75" customHeight="1">
      <c r="A1033" s="460"/>
      <c r="B1033" s="460"/>
      <c r="C1033" s="460"/>
      <c r="D1033" s="17"/>
      <c r="E1033" s="9"/>
      <c r="F1033" s="460"/>
      <c r="G1033" s="460"/>
      <c r="H1033" s="460"/>
      <c r="I1033" s="460"/>
      <c r="J1033" s="460"/>
      <c r="K1033" s="460"/>
      <c r="L1033" s="460"/>
      <c r="M1033" s="460"/>
      <c r="N1033" s="460"/>
      <c r="O1033" s="460"/>
      <c r="P1033" s="460"/>
      <c r="Q1033" s="460"/>
      <c r="R1033" s="460"/>
      <c r="S1033" s="460"/>
      <c r="T1033" s="460"/>
      <c r="U1033" s="460"/>
      <c r="V1033" s="460"/>
      <c r="W1033" s="460"/>
      <c r="X1033" s="460"/>
    </row>
    <row r="1034" ht="15.75" customHeight="1">
      <c r="A1034" s="460"/>
      <c r="B1034" s="460"/>
      <c r="C1034" s="460"/>
      <c r="D1034" s="17"/>
      <c r="E1034" s="9"/>
      <c r="F1034" s="460"/>
      <c r="G1034" s="460"/>
      <c r="H1034" s="460"/>
      <c r="I1034" s="460"/>
      <c r="J1034" s="460"/>
      <c r="K1034" s="460"/>
      <c r="L1034" s="460"/>
      <c r="M1034" s="460"/>
      <c r="N1034" s="460"/>
      <c r="O1034" s="460"/>
      <c r="P1034" s="460"/>
      <c r="Q1034" s="460"/>
      <c r="R1034" s="460"/>
      <c r="S1034" s="460"/>
      <c r="T1034" s="460"/>
      <c r="U1034" s="460"/>
      <c r="V1034" s="460"/>
      <c r="W1034" s="460"/>
      <c r="X1034" s="460"/>
    </row>
    <row r="1035" ht="15.75" customHeight="1">
      <c r="A1035" s="460"/>
      <c r="B1035" s="460"/>
      <c r="C1035" s="460"/>
      <c r="D1035" s="17"/>
      <c r="E1035" s="9"/>
      <c r="F1035" s="460"/>
      <c r="G1035" s="460"/>
      <c r="H1035" s="460"/>
      <c r="I1035" s="460"/>
      <c r="J1035" s="460"/>
      <c r="K1035" s="460"/>
      <c r="L1035" s="460"/>
      <c r="M1035" s="460"/>
      <c r="N1035" s="460"/>
      <c r="O1035" s="460"/>
      <c r="P1035" s="460"/>
      <c r="Q1035" s="460"/>
      <c r="R1035" s="460"/>
      <c r="S1035" s="460"/>
      <c r="T1035" s="460"/>
      <c r="U1035" s="460"/>
      <c r="V1035" s="460"/>
      <c r="W1035" s="460"/>
      <c r="X1035" s="460"/>
    </row>
    <row r="1036" ht="15.75" customHeight="1">
      <c r="A1036" s="460"/>
      <c r="B1036" s="460"/>
      <c r="C1036" s="460"/>
      <c r="D1036" s="17"/>
      <c r="E1036" s="9"/>
      <c r="F1036" s="460"/>
      <c r="G1036" s="460"/>
      <c r="H1036" s="460"/>
      <c r="I1036" s="460"/>
      <c r="J1036" s="460"/>
      <c r="K1036" s="460"/>
      <c r="L1036" s="460"/>
      <c r="M1036" s="460"/>
      <c r="N1036" s="460"/>
      <c r="O1036" s="460"/>
      <c r="P1036" s="460"/>
      <c r="Q1036" s="460"/>
      <c r="R1036" s="460"/>
      <c r="S1036" s="460"/>
      <c r="T1036" s="460"/>
      <c r="U1036" s="460"/>
      <c r="V1036" s="460"/>
      <c r="W1036" s="460"/>
      <c r="X1036" s="460"/>
    </row>
    <row r="1037" ht="15.75" customHeight="1">
      <c r="A1037" s="460"/>
      <c r="B1037" s="460"/>
      <c r="C1037" s="460"/>
      <c r="D1037" s="17"/>
      <c r="E1037" s="9"/>
      <c r="F1037" s="460"/>
      <c r="G1037" s="460"/>
      <c r="H1037" s="460"/>
      <c r="I1037" s="460"/>
      <c r="J1037" s="460"/>
      <c r="K1037" s="460"/>
      <c r="L1037" s="460"/>
      <c r="M1037" s="460"/>
      <c r="N1037" s="460"/>
      <c r="O1037" s="460"/>
      <c r="P1037" s="460"/>
      <c r="Q1037" s="460"/>
      <c r="R1037" s="460"/>
      <c r="S1037" s="460"/>
      <c r="T1037" s="460"/>
      <c r="U1037" s="460"/>
      <c r="V1037" s="460"/>
      <c r="W1037" s="460"/>
      <c r="X1037" s="460"/>
    </row>
    <row r="1038" ht="15.75" customHeight="1">
      <c r="A1038" s="460"/>
      <c r="B1038" s="460"/>
      <c r="C1038" s="460"/>
      <c r="D1038" s="17"/>
      <c r="E1038" s="9"/>
      <c r="F1038" s="460"/>
      <c r="G1038" s="460"/>
      <c r="H1038" s="460"/>
      <c r="I1038" s="460"/>
      <c r="J1038" s="460"/>
      <c r="K1038" s="460"/>
      <c r="L1038" s="460"/>
      <c r="M1038" s="460"/>
      <c r="N1038" s="460"/>
      <c r="O1038" s="460"/>
      <c r="P1038" s="460"/>
      <c r="Q1038" s="460"/>
      <c r="R1038" s="460"/>
      <c r="S1038" s="460"/>
      <c r="T1038" s="460"/>
      <c r="U1038" s="460"/>
      <c r="V1038" s="460"/>
      <c r="W1038" s="460"/>
      <c r="X1038" s="460"/>
    </row>
    <row r="1039" ht="15.75" customHeight="1">
      <c r="A1039" s="460"/>
      <c r="B1039" s="460"/>
      <c r="C1039" s="460"/>
      <c r="D1039" s="17"/>
      <c r="E1039" s="9"/>
      <c r="F1039" s="460"/>
      <c r="G1039" s="460"/>
      <c r="H1039" s="460"/>
      <c r="I1039" s="460"/>
      <c r="J1039" s="460"/>
      <c r="K1039" s="460"/>
      <c r="L1039" s="460"/>
      <c r="M1039" s="460"/>
      <c r="N1039" s="460"/>
      <c r="O1039" s="460"/>
      <c r="P1039" s="460"/>
      <c r="Q1039" s="460"/>
      <c r="R1039" s="460"/>
      <c r="S1039" s="460"/>
      <c r="T1039" s="460"/>
      <c r="U1039" s="460"/>
      <c r="V1039" s="460"/>
      <c r="W1039" s="460"/>
      <c r="X1039" s="460"/>
    </row>
    <row r="1040" ht="15.75" customHeight="1">
      <c r="A1040" s="460"/>
      <c r="B1040" s="460"/>
      <c r="C1040" s="460"/>
      <c r="D1040" s="17"/>
      <c r="E1040" s="9"/>
      <c r="F1040" s="460"/>
      <c r="G1040" s="460"/>
      <c r="H1040" s="460"/>
      <c r="I1040" s="460"/>
      <c r="J1040" s="460"/>
      <c r="K1040" s="460"/>
      <c r="L1040" s="460"/>
      <c r="M1040" s="460"/>
      <c r="N1040" s="460"/>
      <c r="O1040" s="460"/>
      <c r="P1040" s="460"/>
      <c r="Q1040" s="460"/>
      <c r="R1040" s="460"/>
      <c r="S1040" s="460"/>
      <c r="T1040" s="460"/>
      <c r="U1040" s="460"/>
      <c r="V1040" s="460"/>
      <c r="W1040" s="460"/>
      <c r="X1040" s="460"/>
    </row>
    <row r="1041" ht="15.75" customHeight="1">
      <c r="A1041" s="460"/>
      <c r="B1041" s="460"/>
      <c r="C1041" s="460"/>
      <c r="D1041" s="17"/>
      <c r="E1041" s="9"/>
      <c r="F1041" s="460"/>
      <c r="G1041" s="460"/>
      <c r="H1041" s="460"/>
      <c r="I1041" s="460"/>
      <c r="J1041" s="460"/>
      <c r="K1041" s="460"/>
      <c r="L1041" s="460"/>
      <c r="M1041" s="460"/>
      <c r="N1041" s="460"/>
      <c r="O1041" s="460"/>
      <c r="P1041" s="460"/>
      <c r="Q1041" s="460"/>
      <c r="R1041" s="460"/>
      <c r="S1041" s="460"/>
      <c r="T1041" s="460"/>
      <c r="U1041" s="460"/>
      <c r="V1041" s="460"/>
      <c r="W1041" s="460"/>
      <c r="X1041" s="460"/>
    </row>
    <row r="1042" ht="15.75" customHeight="1">
      <c r="A1042" s="460"/>
      <c r="B1042" s="460"/>
      <c r="C1042" s="460"/>
      <c r="D1042" s="17"/>
      <c r="E1042" s="9"/>
      <c r="F1042" s="460"/>
      <c r="G1042" s="460"/>
      <c r="H1042" s="460"/>
      <c r="I1042" s="460"/>
      <c r="J1042" s="460"/>
      <c r="K1042" s="460"/>
      <c r="L1042" s="460"/>
      <c r="M1042" s="460"/>
      <c r="N1042" s="460"/>
      <c r="O1042" s="460"/>
      <c r="P1042" s="460"/>
      <c r="Q1042" s="460"/>
      <c r="R1042" s="460"/>
      <c r="S1042" s="460"/>
      <c r="T1042" s="460"/>
      <c r="U1042" s="460"/>
      <c r="V1042" s="460"/>
      <c r="W1042" s="460"/>
      <c r="X1042" s="460"/>
    </row>
    <row r="1043" ht="15.75" customHeight="1">
      <c r="A1043" s="460"/>
      <c r="B1043" s="460"/>
      <c r="C1043" s="460"/>
      <c r="D1043" s="17"/>
      <c r="E1043" s="9"/>
      <c r="F1043" s="460"/>
      <c r="G1043" s="460"/>
      <c r="H1043" s="460"/>
      <c r="I1043" s="460"/>
      <c r="J1043" s="460"/>
      <c r="K1043" s="460"/>
      <c r="L1043" s="460"/>
      <c r="M1043" s="460"/>
      <c r="N1043" s="460"/>
      <c r="O1043" s="460"/>
      <c r="P1043" s="460"/>
      <c r="Q1043" s="460"/>
      <c r="R1043" s="460"/>
      <c r="S1043" s="460"/>
      <c r="T1043" s="460"/>
      <c r="U1043" s="460"/>
      <c r="V1043" s="460"/>
      <c r="W1043" s="460"/>
      <c r="X1043" s="460"/>
    </row>
    <row r="1044" ht="15.75" customHeight="1">
      <c r="A1044" s="460"/>
      <c r="B1044" s="460"/>
      <c r="C1044" s="460"/>
      <c r="D1044" s="17"/>
      <c r="E1044" s="9"/>
      <c r="F1044" s="460"/>
      <c r="G1044" s="460"/>
      <c r="H1044" s="460"/>
      <c r="I1044" s="460"/>
      <c r="J1044" s="460"/>
      <c r="K1044" s="460"/>
      <c r="L1044" s="460"/>
      <c r="M1044" s="460"/>
      <c r="N1044" s="460"/>
      <c r="O1044" s="460"/>
      <c r="P1044" s="460"/>
      <c r="Q1044" s="460"/>
      <c r="R1044" s="460"/>
      <c r="S1044" s="460"/>
      <c r="T1044" s="460"/>
      <c r="U1044" s="460"/>
      <c r="V1044" s="460"/>
      <c r="W1044" s="460"/>
      <c r="X1044" s="460"/>
    </row>
    <row r="1045" ht="15.75" customHeight="1">
      <c r="A1045" s="460"/>
      <c r="B1045" s="460"/>
      <c r="C1045" s="460"/>
      <c r="D1045" s="17"/>
      <c r="E1045" s="9"/>
      <c r="F1045" s="460"/>
      <c r="G1045" s="460"/>
      <c r="H1045" s="460"/>
      <c r="I1045" s="460"/>
      <c r="J1045" s="460"/>
      <c r="K1045" s="460"/>
      <c r="L1045" s="460"/>
      <c r="M1045" s="460"/>
      <c r="N1045" s="460"/>
      <c r="O1045" s="460"/>
      <c r="P1045" s="460"/>
      <c r="Q1045" s="460"/>
      <c r="R1045" s="460"/>
      <c r="S1045" s="460"/>
      <c r="T1045" s="460"/>
      <c r="U1045" s="460"/>
      <c r="V1045" s="460"/>
      <c r="W1045" s="460"/>
      <c r="X1045" s="460"/>
    </row>
    <row r="1046" ht="15.75" customHeight="1">
      <c r="A1046" s="460"/>
      <c r="B1046" s="460"/>
      <c r="C1046" s="460"/>
      <c r="D1046" s="17"/>
      <c r="E1046" s="9"/>
      <c r="F1046" s="460"/>
      <c r="G1046" s="460"/>
      <c r="H1046" s="460"/>
      <c r="I1046" s="460"/>
      <c r="J1046" s="460"/>
      <c r="K1046" s="460"/>
      <c r="L1046" s="460"/>
      <c r="M1046" s="460"/>
      <c r="N1046" s="460"/>
      <c r="O1046" s="460"/>
      <c r="P1046" s="460"/>
      <c r="Q1046" s="460"/>
      <c r="R1046" s="460"/>
      <c r="S1046" s="460"/>
      <c r="T1046" s="460"/>
      <c r="U1046" s="460"/>
      <c r="V1046" s="460"/>
      <c r="W1046" s="460"/>
      <c r="X1046" s="460"/>
    </row>
    <row r="1047" ht="15.75" customHeight="1">
      <c r="A1047" s="460"/>
      <c r="B1047" s="460"/>
      <c r="C1047" s="460"/>
      <c r="D1047" s="17"/>
      <c r="E1047" s="9"/>
      <c r="F1047" s="460"/>
      <c r="G1047" s="460"/>
      <c r="H1047" s="460"/>
      <c r="I1047" s="460"/>
      <c r="J1047" s="460"/>
      <c r="K1047" s="460"/>
      <c r="L1047" s="460"/>
      <c r="M1047" s="460"/>
      <c r="N1047" s="460"/>
      <c r="O1047" s="460"/>
      <c r="P1047" s="460"/>
      <c r="Q1047" s="460"/>
      <c r="R1047" s="460"/>
      <c r="S1047" s="460"/>
      <c r="T1047" s="460"/>
      <c r="U1047" s="460"/>
      <c r="V1047" s="460"/>
      <c r="W1047" s="460"/>
      <c r="X1047" s="460"/>
    </row>
    <row r="1048" ht="15.75" customHeight="1">
      <c r="A1048" s="460"/>
      <c r="B1048" s="460"/>
      <c r="C1048" s="460"/>
      <c r="D1048" s="17"/>
      <c r="E1048" s="9"/>
      <c r="F1048" s="460"/>
      <c r="G1048" s="460"/>
      <c r="H1048" s="460"/>
      <c r="I1048" s="460"/>
      <c r="J1048" s="460"/>
      <c r="K1048" s="460"/>
      <c r="L1048" s="460"/>
      <c r="M1048" s="460"/>
      <c r="N1048" s="460"/>
      <c r="O1048" s="460"/>
      <c r="P1048" s="460"/>
      <c r="Q1048" s="460"/>
      <c r="R1048" s="460"/>
      <c r="S1048" s="460"/>
      <c r="T1048" s="460"/>
      <c r="U1048" s="460"/>
      <c r="V1048" s="460"/>
      <c r="W1048" s="460"/>
      <c r="X1048" s="460"/>
    </row>
    <row r="1049" ht="15.75" customHeight="1">
      <c r="A1049" s="460"/>
      <c r="B1049" s="460"/>
      <c r="C1049" s="460"/>
      <c r="D1049" s="17"/>
      <c r="E1049" s="9"/>
      <c r="F1049" s="460"/>
      <c r="G1049" s="460"/>
      <c r="H1049" s="460"/>
      <c r="I1049" s="460"/>
      <c r="J1049" s="460"/>
      <c r="K1049" s="460"/>
      <c r="L1049" s="460"/>
      <c r="M1049" s="460"/>
      <c r="N1049" s="460"/>
      <c r="O1049" s="460"/>
      <c r="P1049" s="460"/>
      <c r="Q1049" s="460"/>
      <c r="R1049" s="460"/>
      <c r="S1049" s="460"/>
      <c r="T1049" s="460"/>
      <c r="U1049" s="460"/>
      <c r="V1049" s="460"/>
      <c r="W1049" s="460"/>
      <c r="X1049" s="460"/>
    </row>
    <row r="1050" ht="15.75" customHeight="1">
      <c r="A1050" s="460"/>
      <c r="B1050" s="460"/>
      <c r="C1050" s="460"/>
      <c r="D1050" s="17"/>
      <c r="E1050" s="9"/>
      <c r="F1050" s="460"/>
      <c r="G1050" s="460"/>
      <c r="H1050" s="460"/>
      <c r="I1050" s="460"/>
      <c r="J1050" s="460"/>
      <c r="K1050" s="460"/>
      <c r="L1050" s="460"/>
      <c r="M1050" s="460"/>
      <c r="N1050" s="460"/>
      <c r="O1050" s="460"/>
      <c r="P1050" s="460"/>
      <c r="Q1050" s="460"/>
      <c r="R1050" s="460"/>
      <c r="S1050" s="460"/>
      <c r="T1050" s="460"/>
      <c r="U1050" s="460"/>
      <c r="V1050" s="460"/>
      <c r="W1050" s="460"/>
      <c r="X1050" s="460"/>
    </row>
    <row r="1051" ht="15.75" customHeight="1">
      <c r="A1051" s="460"/>
      <c r="B1051" s="460"/>
      <c r="C1051" s="460"/>
      <c r="D1051" s="17"/>
      <c r="E1051" s="9"/>
      <c r="F1051" s="460"/>
      <c r="G1051" s="460"/>
      <c r="H1051" s="460"/>
      <c r="I1051" s="460"/>
      <c r="J1051" s="460"/>
      <c r="K1051" s="460"/>
      <c r="L1051" s="460"/>
      <c r="M1051" s="460"/>
      <c r="N1051" s="460"/>
      <c r="O1051" s="460"/>
      <c r="P1051" s="460"/>
      <c r="Q1051" s="460"/>
      <c r="R1051" s="460"/>
      <c r="S1051" s="460"/>
      <c r="T1051" s="460"/>
      <c r="U1051" s="460"/>
      <c r="V1051" s="460"/>
      <c r="W1051" s="460"/>
      <c r="X1051" s="460"/>
    </row>
    <row r="1052" ht="15.75" customHeight="1">
      <c r="A1052" s="460"/>
      <c r="B1052" s="460"/>
      <c r="C1052" s="460"/>
      <c r="D1052" s="17"/>
      <c r="E1052" s="9"/>
      <c r="F1052" s="460"/>
      <c r="G1052" s="460"/>
      <c r="H1052" s="460"/>
      <c r="I1052" s="460"/>
      <c r="J1052" s="460"/>
      <c r="K1052" s="460"/>
      <c r="L1052" s="460"/>
      <c r="M1052" s="460"/>
      <c r="N1052" s="460"/>
      <c r="O1052" s="460"/>
      <c r="P1052" s="460"/>
      <c r="Q1052" s="460"/>
      <c r="R1052" s="460"/>
      <c r="S1052" s="460"/>
      <c r="T1052" s="460"/>
      <c r="U1052" s="460"/>
      <c r="V1052" s="460"/>
      <c r="W1052" s="460"/>
      <c r="X1052" s="460"/>
    </row>
    <row r="1053" ht="15.75" customHeight="1">
      <c r="A1053" s="460"/>
      <c r="B1053" s="460"/>
      <c r="C1053" s="460"/>
      <c r="D1053" s="17"/>
      <c r="E1053" s="9"/>
      <c r="F1053" s="460"/>
      <c r="G1053" s="460"/>
      <c r="H1053" s="460"/>
      <c r="I1053" s="460"/>
      <c r="J1053" s="460"/>
      <c r="K1053" s="460"/>
      <c r="L1053" s="460"/>
      <c r="M1053" s="460"/>
      <c r="N1053" s="460"/>
      <c r="O1053" s="460"/>
      <c r="P1053" s="460"/>
      <c r="Q1053" s="460"/>
      <c r="R1053" s="460"/>
      <c r="S1053" s="460"/>
      <c r="T1053" s="460"/>
      <c r="U1053" s="460"/>
      <c r="V1053" s="460"/>
      <c r="W1053" s="460"/>
      <c r="X1053" s="460"/>
    </row>
    <row r="1054" ht="15.75" customHeight="1">
      <c r="A1054" s="460"/>
      <c r="B1054" s="460"/>
      <c r="C1054" s="460"/>
      <c r="D1054" s="17"/>
      <c r="E1054" s="9"/>
      <c r="F1054" s="460"/>
      <c r="G1054" s="460"/>
      <c r="H1054" s="460"/>
      <c r="I1054" s="460"/>
      <c r="J1054" s="460"/>
      <c r="K1054" s="460"/>
      <c r="L1054" s="460"/>
      <c r="M1054" s="460"/>
      <c r="N1054" s="460"/>
      <c r="O1054" s="460"/>
      <c r="P1054" s="460"/>
      <c r="Q1054" s="460"/>
      <c r="R1054" s="460"/>
      <c r="S1054" s="460"/>
      <c r="T1054" s="460"/>
      <c r="U1054" s="460"/>
      <c r="V1054" s="460"/>
      <c r="W1054" s="460"/>
      <c r="X1054" s="460"/>
    </row>
    <row r="1055" ht="15.75" customHeight="1">
      <c r="A1055" s="460"/>
      <c r="B1055" s="460"/>
      <c r="C1055" s="460"/>
      <c r="D1055" s="17"/>
      <c r="E1055" s="9"/>
      <c r="F1055" s="460"/>
      <c r="G1055" s="460"/>
      <c r="H1055" s="460"/>
      <c r="I1055" s="460"/>
      <c r="J1055" s="460"/>
      <c r="K1055" s="460"/>
      <c r="L1055" s="460"/>
      <c r="M1055" s="460"/>
      <c r="N1055" s="460"/>
      <c r="O1055" s="460"/>
      <c r="P1055" s="460"/>
      <c r="Q1055" s="460"/>
      <c r="R1055" s="460"/>
      <c r="S1055" s="460"/>
      <c r="T1055" s="460"/>
      <c r="U1055" s="460"/>
      <c r="V1055" s="460"/>
      <c r="W1055" s="460"/>
      <c r="X1055" s="460"/>
    </row>
    <row r="1056" ht="15.75" customHeight="1">
      <c r="A1056" s="460"/>
      <c r="B1056" s="460"/>
      <c r="C1056" s="460"/>
      <c r="D1056" s="17"/>
      <c r="E1056" s="9"/>
      <c r="F1056" s="460"/>
      <c r="G1056" s="460"/>
      <c r="H1056" s="460"/>
      <c r="I1056" s="460"/>
      <c r="J1056" s="460"/>
      <c r="K1056" s="460"/>
      <c r="L1056" s="460"/>
      <c r="M1056" s="460"/>
      <c r="N1056" s="460"/>
      <c r="O1056" s="460"/>
      <c r="P1056" s="460"/>
      <c r="Q1056" s="460"/>
      <c r="R1056" s="460"/>
      <c r="S1056" s="460"/>
      <c r="T1056" s="460"/>
      <c r="U1056" s="460"/>
      <c r="V1056" s="460"/>
      <c r="W1056" s="460"/>
      <c r="X1056" s="460"/>
    </row>
    <row r="1057" ht="15.75" customHeight="1">
      <c r="A1057" s="460"/>
      <c r="B1057" s="460"/>
      <c r="C1057" s="460"/>
      <c r="D1057" s="17"/>
      <c r="E1057" s="9"/>
      <c r="F1057" s="460"/>
      <c r="G1057" s="460"/>
      <c r="H1057" s="460"/>
      <c r="I1057" s="460"/>
      <c r="J1057" s="460"/>
      <c r="K1057" s="460"/>
      <c r="L1057" s="460"/>
      <c r="M1057" s="460"/>
      <c r="N1057" s="460"/>
      <c r="O1057" s="460"/>
      <c r="P1057" s="460"/>
      <c r="Q1057" s="460"/>
      <c r="R1057" s="460"/>
      <c r="S1057" s="460"/>
      <c r="T1057" s="460"/>
      <c r="U1057" s="460"/>
      <c r="V1057" s="460"/>
      <c r="W1057" s="460"/>
      <c r="X1057" s="460"/>
    </row>
    <row r="1058" ht="15.75" customHeight="1">
      <c r="A1058" s="460"/>
      <c r="B1058" s="460"/>
      <c r="C1058" s="460"/>
      <c r="D1058" s="17"/>
      <c r="E1058" s="9"/>
      <c r="F1058" s="460"/>
      <c r="G1058" s="460"/>
      <c r="H1058" s="460"/>
      <c r="I1058" s="460"/>
      <c r="J1058" s="460"/>
      <c r="K1058" s="460"/>
      <c r="L1058" s="460"/>
      <c r="M1058" s="460"/>
      <c r="N1058" s="460"/>
      <c r="O1058" s="460"/>
      <c r="P1058" s="460"/>
      <c r="Q1058" s="460"/>
      <c r="R1058" s="460"/>
      <c r="S1058" s="460"/>
      <c r="T1058" s="460"/>
      <c r="U1058" s="460"/>
      <c r="V1058" s="460"/>
      <c r="W1058" s="460"/>
      <c r="X1058" s="460"/>
    </row>
    <row r="1059" ht="15.75" customHeight="1">
      <c r="A1059" s="460"/>
      <c r="B1059" s="460"/>
      <c r="C1059" s="460"/>
      <c r="D1059" s="17"/>
      <c r="E1059" s="9"/>
      <c r="F1059" s="460"/>
      <c r="G1059" s="460"/>
      <c r="H1059" s="460"/>
      <c r="I1059" s="460"/>
      <c r="J1059" s="460"/>
      <c r="K1059" s="460"/>
      <c r="L1059" s="460"/>
      <c r="M1059" s="460"/>
      <c r="N1059" s="460"/>
      <c r="O1059" s="460"/>
      <c r="P1059" s="460"/>
      <c r="Q1059" s="460"/>
      <c r="R1059" s="460"/>
      <c r="S1059" s="460"/>
      <c r="T1059" s="460"/>
      <c r="U1059" s="460"/>
      <c r="V1059" s="460"/>
      <c r="W1059" s="460"/>
      <c r="X1059" s="460"/>
    </row>
    <row r="1060" ht="15.75" customHeight="1">
      <c r="A1060" s="460"/>
      <c r="B1060" s="460"/>
      <c r="C1060" s="460"/>
      <c r="D1060" s="17"/>
      <c r="E1060" s="9"/>
      <c r="F1060" s="460"/>
      <c r="G1060" s="460"/>
      <c r="H1060" s="460"/>
      <c r="I1060" s="460"/>
      <c r="J1060" s="460"/>
      <c r="K1060" s="460"/>
      <c r="L1060" s="460"/>
      <c r="M1060" s="460"/>
      <c r="N1060" s="460"/>
      <c r="O1060" s="460"/>
      <c r="P1060" s="460"/>
      <c r="Q1060" s="460"/>
      <c r="R1060" s="460"/>
      <c r="S1060" s="460"/>
      <c r="T1060" s="460"/>
      <c r="U1060" s="460"/>
      <c r="V1060" s="460"/>
      <c r="W1060" s="460"/>
      <c r="X1060" s="460"/>
    </row>
    <row r="1061" ht="15.75" customHeight="1">
      <c r="A1061" s="460"/>
      <c r="B1061" s="460"/>
      <c r="C1061" s="460"/>
      <c r="D1061" s="17"/>
      <c r="E1061" s="9"/>
      <c r="F1061" s="460"/>
      <c r="G1061" s="460"/>
      <c r="H1061" s="460"/>
      <c r="I1061" s="460"/>
      <c r="J1061" s="460"/>
      <c r="K1061" s="460"/>
      <c r="L1061" s="460"/>
      <c r="M1061" s="460"/>
      <c r="N1061" s="460"/>
      <c r="O1061" s="460"/>
      <c r="P1061" s="460"/>
      <c r="Q1061" s="460"/>
      <c r="R1061" s="460"/>
      <c r="S1061" s="460"/>
      <c r="T1061" s="460"/>
      <c r="U1061" s="460"/>
      <c r="V1061" s="460"/>
      <c r="W1061" s="460"/>
      <c r="X1061" s="460"/>
    </row>
    <row r="1062" ht="15.75" customHeight="1">
      <c r="A1062" s="460"/>
      <c r="B1062" s="460"/>
      <c r="C1062" s="460"/>
      <c r="D1062" s="17"/>
      <c r="E1062" s="9"/>
      <c r="F1062" s="460"/>
      <c r="G1062" s="460"/>
      <c r="H1062" s="460"/>
      <c r="I1062" s="460"/>
      <c r="J1062" s="460"/>
      <c r="K1062" s="460"/>
      <c r="L1062" s="460"/>
      <c r="M1062" s="460"/>
      <c r="N1062" s="460"/>
      <c r="O1062" s="460"/>
      <c r="P1062" s="460"/>
      <c r="Q1062" s="460"/>
      <c r="R1062" s="460"/>
      <c r="S1062" s="460"/>
      <c r="T1062" s="460"/>
      <c r="U1062" s="460"/>
      <c r="V1062" s="460"/>
      <c r="W1062" s="460"/>
      <c r="X1062" s="460"/>
    </row>
    <row r="1063" ht="15.75" customHeight="1">
      <c r="A1063" s="460"/>
      <c r="B1063" s="460"/>
      <c r="C1063" s="460"/>
      <c r="D1063" s="17"/>
      <c r="E1063" s="9"/>
      <c r="F1063" s="460"/>
      <c r="G1063" s="460"/>
      <c r="H1063" s="460"/>
      <c r="I1063" s="460"/>
      <c r="J1063" s="460"/>
      <c r="K1063" s="460"/>
      <c r="L1063" s="460"/>
      <c r="M1063" s="460"/>
      <c r="N1063" s="460"/>
      <c r="O1063" s="460"/>
      <c r="P1063" s="460"/>
      <c r="Q1063" s="460"/>
      <c r="R1063" s="460"/>
      <c r="S1063" s="460"/>
      <c r="T1063" s="460"/>
      <c r="U1063" s="460"/>
      <c r="V1063" s="460"/>
      <c r="W1063" s="460"/>
      <c r="X1063" s="460"/>
    </row>
    <row r="1064">
      <c r="A1064" s="460"/>
      <c r="B1064" s="460"/>
      <c r="C1064" s="460"/>
      <c r="D1064" s="17"/>
      <c r="E1064" s="9"/>
      <c r="F1064" s="460"/>
      <c r="G1064" s="460"/>
      <c r="H1064" s="460"/>
      <c r="I1064" s="460"/>
      <c r="J1064" s="460"/>
      <c r="K1064" s="460"/>
      <c r="L1064" s="460"/>
      <c r="M1064" s="460"/>
      <c r="N1064" s="460"/>
      <c r="O1064" s="460"/>
      <c r="P1064" s="460"/>
      <c r="Q1064" s="460"/>
      <c r="R1064" s="460"/>
      <c r="S1064" s="460"/>
      <c r="T1064" s="460"/>
      <c r="U1064" s="460"/>
      <c r="V1064" s="460"/>
      <c r="W1064" s="460"/>
      <c r="X1064" s="460"/>
    </row>
    <row r="1065">
      <c r="A1065" s="460"/>
      <c r="B1065" s="460"/>
      <c r="C1065" s="460"/>
      <c r="D1065" s="17"/>
      <c r="E1065" s="9"/>
      <c r="F1065" s="460"/>
      <c r="G1065" s="460"/>
      <c r="H1065" s="460"/>
      <c r="I1065" s="460"/>
      <c r="J1065" s="460"/>
      <c r="K1065" s="460"/>
      <c r="L1065" s="460"/>
      <c r="M1065" s="460"/>
      <c r="N1065" s="460"/>
      <c r="O1065" s="460"/>
      <c r="P1065" s="460"/>
      <c r="Q1065" s="460"/>
      <c r="R1065" s="460"/>
      <c r="S1065" s="460"/>
      <c r="T1065" s="460"/>
      <c r="U1065" s="460"/>
      <c r="V1065" s="460"/>
      <c r="W1065" s="460"/>
      <c r="X1065" s="460"/>
    </row>
    <row r="1066">
      <c r="A1066" s="460"/>
      <c r="B1066" s="460"/>
      <c r="C1066" s="460"/>
      <c r="D1066" s="17"/>
      <c r="E1066" s="9"/>
      <c r="F1066" s="460"/>
      <c r="G1066" s="460"/>
      <c r="H1066" s="460"/>
      <c r="I1066" s="460"/>
      <c r="J1066" s="460"/>
      <c r="K1066" s="460"/>
      <c r="L1066" s="460"/>
      <c r="M1066" s="460"/>
      <c r="N1066" s="460"/>
      <c r="O1066" s="460"/>
      <c r="P1066" s="460"/>
      <c r="Q1066" s="460"/>
      <c r="R1066" s="460"/>
      <c r="S1066" s="460"/>
      <c r="T1066" s="460"/>
      <c r="U1066" s="460"/>
      <c r="V1066" s="460"/>
      <c r="W1066" s="460"/>
      <c r="X1066" s="460"/>
    </row>
    <row r="1067">
      <c r="A1067" s="460"/>
      <c r="B1067" s="460"/>
      <c r="C1067" s="460"/>
      <c r="D1067" s="17"/>
      <c r="E1067" s="9"/>
      <c r="F1067" s="460"/>
      <c r="G1067" s="460"/>
      <c r="H1067" s="460"/>
      <c r="I1067" s="460"/>
      <c r="J1067" s="460"/>
      <c r="K1067" s="460"/>
      <c r="L1067" s="460"/>
      <c r="M1067" s="460"/>
      <c r="N1067" s="460"/>
      <c r="O1067" s="460"/>
      <c r="P1067" s="460"/>
      <c r="Q1067" s="460"/>
      <c r="R1067" s="460"/>
      <c r="S1067" s="460"/>
      <c r="T1067" s="460"/>
      <c r="U1067" s="460"/>
      <c r="V1067" s="460"/>
      <c r="W1067" s="460"/>
      <c r="X1067" s="460"/>
    </row>
    <row r="1068">
      <c r="A1068" s="460"/>
      <c r="B1068" s="460"/>
      <c r="C1068" s="460"/>
      <c r="D1068" s="17"/>
      <c r="E1068" s="9"/>
      <c r="F1068" s="460"/>
      <c r="G1068" s="460"/>
      <c r="H1068" s="460"/>
      <c r="I1068" s="460"/>
      <c r="J1068" s="460"/>
      <c r="K1068" s="460"/>
      <c r="L1068" s="460"/>
      <c r="M1068" s="460"/>
      <c r="N1068" s="460"/>
      <c r="O1068" s="460"/>
      <c r="P1068" s="460"/>
      <c r="Q1068" s="460"/>
      <c r="R1068" s="460"/>
      <c r="S1068" s="460"/>
      <c r="T1068" s="460"/>
      <c r="U1068" s="460"/>
      <c r="V1068" s="460"/>
      <c r="W1068" s="460"/>
      <c r="X1068" s="460"/>
    </row>
    <row r="1069">
      <c r="A1069" s="460"/>
      <c r="B1069" s="460"/>
      <c r="C1069" s="460"/>
      <c r="D1069" s="17"/>
      <c r="E1069" s="9"/>
      <c r="F1069" s="460"/>
      <c r="G1069" s="460"/>
      <c r="H1069" s="460"/>
      <c r="I1069" s="460"/>
      <c r="J1069" s="460"/>
      <c r="K1069" s="460"/>
      <c r="L1069" s="460"/>
      <c r="M1069" s="460"/>
      <c r="N1069" s="460"/>
      <c r="O1069" s="460"/>
      <c r="P1069" s="460"/>
      <c r="Q1069" s="460"/>
      <c r="R1069" s="460"/>
      <c r="S1069" s="460"/>
      <c r="T1069" s="460"/>
      <c r="U1069" s="460"/>
      <c r="V1069" s="460"/>
      <c r="W1069" s="460"/>
      <c r="X1069" s="460"/>
    </row>
    <row r="1070">
      <c r="A1070" s="460"/>
      <c r="B1070" s="460"/>
      <c r="C1070" s="460"/>
      <c r="D1070" s="17"/>
      <c r="E1070" s="9"/>
      <c r="F1070" s="460"/>
      <c r="G1070" s="460"/>
      <c r="H1070" s="460"/>
      <c r="I1070" s="460"/>
      <c r="J1070" s="460"/>
      <c r="K1070" s="460"/>
      <c r="L1070" s="460"/>
      <c r="M1070" s="460"/>
      <c r="N1070" s="460"/>
      <c r="O1070" s="460"/>
      <c r="P1070" s="460"/>
      <c r="Q1070" s="460"/>
      <c r="R1070" s="460"/>
      <c r="S1070" s="460"/>
      <c r="T1070" s="460"/>
      <c r="U1070" s="460"/>
      <c r="V1070" s="460"/>
      <c r="W1070" s="460"/>
      <c r="X1070" s="460"/>
    </row>
    <row r="1071">
      <c r="A1071" s="460"/>
      <c r="B1071" s="460"/>
      <c r="C1071" s="460"/>
      <c r="D1071" s="17"/>
      <c r="E1071" s="9"/>
      <c r="F1071" s="460"/>
      <c r="G1071" s="460"/>
      <c r="H1071" s="460"/>
      <c r="I1071" s="460"/>
      <c r="J1071" s="460"/>
      <c r="K1071" s="460"/>
      <c r="L1071" s="460"/>
      <c r="M1071" s="460"/>
      <c r="N1071" s="460"/>
      <c r="O1071" s="460"/>
      <c r="P1071" s="460"/>
      <c r="Q1071" s="460"/>
      <c r="R1071" s="460"/>
      <c r="S1071" s="460"/>
      <c r="T1071" s="460"/>
      <c r="U1071" s="460"/>
      <c r="V1071" s="460"/>
      <c r="W1071" s="460"/>
      <c r="X1071" s="460"/>
    </row>
    <row r="1072">
      <c r="A1072" s="460"/>
      <c r="B1072" s="460"/>
      <c r="C1072" s="460"/>
      <c r="D1072" s="17"/>
      <c r="E1072" s="9"/>
      <c r="F1072" s="460"/>
      <c r="G1072" s="460"/>
      <c r="H1072" s="460"/>
      <c r="I1072" s="460"/>
      <c r="J1072" s="460"/>
      <c r="K1072" s="460"/>
      <c r="L1072" s="460"/>
      <c r="M1072" s="460"/>
      <c r="N1072" s="460"/>
      <c r="O1072" s="460"/>
      <c r="P1072" s="460"/>
      <c r="Q1072" s="460"/>
      <c r="R1072" s="460"/>
      <c r="S1072" s="460"/>
      <c r="T1072" s="460"/>
      <c r="U1072" s="460"/>
      <c r="V1072" s="460"/>
      <c r="W1072" s="460"/>
      <c r="X1072" s="460"/>
    </row>
    <row r="1073">
      <c r="A1073" s="460"/>
      <c r="B1073" s="460"/>
      <c r="C1073" s="460"/>
      <c r="D1073" s="17"/>
      <c r="E1073" s="460"/>
      <c r="F1073" s="460"/>
      <c r="G1073" s="460"/>
      <c r="H1073" s="460"/>
      <c r="I1073" s="460"/>
      <c r="J1073" s="460"/>
      <c r="K1073" s="460"/>
      <c r="L1073" s="460"/>
      <c r="M1073" s="460"/>
      <c r="N1073" s="460"/>
      <c r="O1073" s="460"/>
      <c r="P1073" s="460"/>
      <c r="Q1073" s="460"/>
      <c r="R1073" s="460"/>
      <c r="S1073" s="460"/>
      <c r="T1073" s="460"/>
      <c r="U1073" s="460"/>
      <c r="V1073" s="460"/>
      <c r="W1073" s="460"/>
      <c r="X1073" s="460"/>
    </row>
    <row r="1074">
      <c r="A1074" s="460"/>
      <c r="B1074" s="460"/>
      <c r="C1074" s="460"/>
      <c r="D1074" s="460"/>
      <c r="E1074" s="460"/>
      <c r="F1074" s="460"/>
      <c r="G1074" s="460"/>
      <c r="H1074" s="460"/>
      <c r="I1074" s="460"/>
      <c r="J1074" s="460"/>
      <c r="K1074" s="460"/>
      <c r="L1074" s="460"/>
      <c r="M1074" s="460"/>
      <c r="N1074" s="460"/>
      <c r="O1074" s="460"/>
      <c r="P1074" s="460"/>
      <c r="Q1074" s="460"/>
      <c r="R1074" s="460"/>
      <c r="S1074" s="460"/>
      <c r="T1074" s="460"/>
      <c r="U1074" s="460"/>
      <c r="V1074" s="460"/>
      <c r="W1074" s="460"/>
      <c r="X1074" s="460"/>
    </row>
    <row r="1075">
      <c r="A1075" s="460"/>
      <c r="B1075" s="460"/>
      <c r="C1075" s="460"/>
      <c r="D1075" s="460"/>
      <c r="E1075" s="460"/>
      <c r="F1075" s="460"/>
      <c r="G1075" s="460"/>
      <c r="H1075" s="460"/>
      <c r="I1075" s="460"/>
      <c r="J1075" s="460"/>
      <c r="K1075" s="460"/>
      <c r="L1075" s="460"/>
      <c r="M1075" s="460"/>
      <c r="N1075" s="460"/>
      <c r="O1075" s="460"/>
      <c r="P1075" s="460"/>
      <c r="Q1075" s="460"/>
      <c r="R1075" s="460"/>
      <c r="S1075" s="460"/>
      <c r="T1075" s="460"/>
      <c r="U1075" s="460"/>
      <c r="V1075" s="460"/>
      <c r="W1075" s="460"/>
      <c r="X1075" s="460"/>
    </row>
    <row r="1076">
      <c r="A1076" s="460"/>
      <c r="B1076" s="460"/>
      <c r="C1076" s="460"/>
      <c r="D1076" s="460"/>
      <c r="E1076" s="460"/>
      <c r="F1076" s="460"/>
      <c r="G1076" s="460"/>
      <c r="H1076" s="460"/>
      <c r="I1076" s="460"/>
      <c r="J1076" s="460"/>
      <c r="K1076" s="460"/>
      <c r="L1076" s="460"/>
      <c r="M1076" s="460"/>
      <c r="N1076" s="460"/>
      <c r="O1076" s="460"/>
      <c r="P1076" s="460"/>
      <c r="Q1076" s="460"/>
      <c r="R1076" s="460"/>
      <c r="S1076" s="460"/>
      <c r="T1076" s="460"/>
      <c r="U1076" s="460"/>
      <c r="V1076" s="460"/>
      <c r="W1076" s="460"/>
      <c r="X1076" s="460"/>
    </row>
  </sheetData>
  <mergeCells count="261">
    <mergeCell ref="A2:E2"/>
    <mergeCell ref="A4:A10"/>
    <mergeCell ref="E4:E10"/>
    <mergeCell ref="A11:A18"/>
    <mergeCell ref="E11:E18"/>
    <mergeCell ref="G12:G21"/>
    <mergeCell ref="E19:E26"/>
    <mergeCell ref="E27:E30"/>
    <mergeCell ref="G29:H34"/>
    <mergeCell ref="E31:E34"/>
    <mergeCell ref="J32:J35"/>
    <mergeCell ref="E35:E38"/>
    <mergeCell ref="J37:J40"/>
    <mergeCell ref="G38:G42"/>
    <mergeCell ref="A19:A26"/>
    <mergeCell ref="A27:A30"/>
    <mergeCell ref="A31:A34"/>
    <mergeCell ref="A35:A38"/>
    <mergeCell ref="A39:A44"/>
    <mergeCell ref="A45:A49"/>
    <mergeCell ref="A50:A53"/>
    <mergeCell ref="G55:G62"/>
    <mergeCell ref="G66:G68"/>
    <mergeCell ref="G73:G76"/>
    <mergeCell ref="G82:G84"/>
    <mergeCell ref="G87:G92"/>
    <mergeCell ref="E39:E44"/>
    <mergeCell ref="E45:E49"/>
    <mergeCell ref="G46:G53"/>
    <mergeCell ref="E50:E53"/>
    <mergeCell ref="E54:E58"/>
    <mergeCell ref="E59:E64"/>
    <mergeCell ref="E65:E68"/>
    <mergeCell ref="A54:A58"/>
    <mergeCell ref="A59:A64"/>
    <mergeCell ref="A65:A68"/>
    <mergeCell ref="A69:A72"/>
    <mergeCell ref="A73:A79"/>
    <mergeCell ref="A80:A83"/>
    <mergeCell ref="A84:A88"/>
    <mergeCell ref="E114:E118"/>
    <mergeCell ref="E119:E123"/>
    <mergeCell ref="G120:I120"/>
    <mergeCell ref="G121:I121"/>
    <mergeCell ref="G122:I122"/>
    <mergeCell ref="E124:E128"/>
    <mergeCell ref="E69:E72"/>
    <mergeCell ref="E73:E79"/>
    <mergeCell ref="E80:E83"/>
    <mergeCell ref="E84:E88"/>
    <mergeCell ref="E89:E92"/>
    <mergeCell ref="E93:E98"/>
    <mergeCell ref="E99:E103"/>
    <mergeCell ref="G140:G144"/>
    <mergeCell ref="G147:G156"/>
    <mergeCell ref="G170:G177"/>
    <mergeCell ref="J177:J182"/>
    <mergeCell ref="I178:I180"/>
    <mergeCell ref="G179:G180"/>
    <mergeCell ref="G187:G191"/>
    <mergeCell ref="J189:J202"/>
    <mergeCell ref="E104:E108"/>
    <mergeCell ref="E109:E113"/>
    <mergeCell ref="E129:E132"/>
    <mergeCell ref="E133:E136"/>
    <mergeCell ref="E137:E140"/>
    <mergeCell ref="E141:E144"/>
    <mergeCell ref="E145:E150"/>
    <mergeCell ref="E151:E154"/>
    <mergeCell ref="E155:E159"/>
    <mergeCell ref="E160:E164"/>
    <mergeCell ref="E165:E169"/>
    <mergeCell ref="E170:E175"/>
    <mergeCell ref="E176:E179"/>
    <mergeCell ref="E180:E184"/>
    <mergeCell ref="E185:E188"/>
    <mergeCell ref="E189:E193"/>
    <mergeCell ref="E194:E198"/>
    <mergeCell ref="E199:E203"/>
    <mergeCell ref="E204:E208"/>
    <mergeCell ref="E209:E213"/>
    <mergeCell ref="E214:E218"/>
    <mergeCell ref="E219:E222"/>
    <mergeCell ref="E223:E232"/>
    <mergeCell ref="E233:E236"/>
    <mergeCell ref="E237:E240"/>
    <mergeCell ref="E241:E245"/>
    <mergeCell ref="E246:E250"/>
    <mergeCell ref="E251:E254"/>
    <mergeCell ref="E255:E259"/>
    <mergeCell ref="E260:E263"/>
    <mergeCell ref="E264:E267"/>
    <mergeCell ref="E268:E271"/>
    <mergeCell ref="E272:E275"/>
    <mergeCell ref="E276:E279"/>
    <mergeCell ref="E280:E283"/>
    <mergeCell ref="A318:A321"/>
    <mergeCell ref="A322:A325"/>
    <mergeCell ref="A326:A330"/>
    <mergeCell ref="A331:A334"/>
    <mergeCell ref="A335:A338"/>
    <mergeCell ref="A339:A342"/>
    <mergeCell ref="A343:A347"/>
    <mergeCell ref="A348:A351"/>
    <mergeCell ref="A352:A355"/>
    <mergeCell ref="A356:A359"/>
    <mergeCell ref="A360:A364"/>
    <mergeCell ref="A365:A368"/>
    <mergeCell ref="A369:A374"/>
    <mergeCell ref="A375:A378"/>
    <mergeCell ref="A379:A382"/>
    <mergeCell ref="A383:A388"/>
    <mergeCell ref="A389:A392"/>
    <mergeCell ref="A393:A397"/>
    <mergeCell ref="A398:A402"/>
    <mergeCell ref="A403:A406"/>
    <mergeCell ref="A407:A410"/>
    <mergeCell ref="A411:A414"/>
    <mergeCell ref="A415:A418"/>
    <mergeCell ref="A419:A425"/>
    <mergeCell ref="A426:A429"/>
    <mergeCell ref="A430:A434"/>
    <mergeCell ref="A435:A440"/>
    <mergeCell ref="A441:A444"/>
    <mergeCell ref="A445:A450"/>
    <mergeCell ref="A451:A454"/>
    <mergeCell ref="A455:A458"/>
    <mergeCell ref="A459:A462"/>
    <mergeCell ref="A463:A466"/>
    <mergeCell ref="A467:A470"/>
    <mergeCell ref="A471:A473"/>
    <mergeCell ref="A474:A478"/>
    <mergeCell ref="A479:A482"/>
    <mergeCell ref="A483:A486"/>
    <mergeCell ref="A487:A491"/>
    <mergeCell ref="A492:A495"/>
    <mergeCell ref="A496:A501"/>
    <mergeCell ref="A502:A505"/>
    <mergeCell ref="A535:A538"/>
    <mergeCell ref="A539:A543"/>
    <mergeCell ref="A544:A547"/>
    <mergeCell ref="A548:A550"/>
    <mergeCell ref="A506:A510"/>
    <mergeCell ref="A511:A515"/>
    <mergeCell ref="A516:A519"/>
    <mergeCell ref="A520:A523"/>
    <mergeCell ref="A524:A526"/>
    <mergeCell ref="A527:A530"/>
    <mergeCell ref="A531:A534"/>
    <mergeCell ref="A89:A92"/>
    <mergeCell ref="A93:A98"/>
    <mergeCell ref="A99:A103"/>
    <mergeCell ref="A104:A108"/>
    <mergeCell ref="A109:A113"/>
    <mergeCell ref="A114:A118"/>
    <mergeCell ref="A119:A123"/>
    <mergeCell ref="A124:A128"/>
    <mergeCell ref="A129:A132"/>
    <mergeCell ref="A133:A136"/>
    <mergeCell ref="A137:A140"/>
    <mergeCell ref="A141:A144"/>
    <mergeCell ref="A145:A150"/>
    <mergeCell ref="A151:A154"/>
    <mergeCell ref="A155:A159"/>
    <mergeCell ref="A160:A164"/>
    <mergeCell ref="A165:A169"/>
    <mergeCell ref="A170:A175"/>
    <mergeCell ref="A176:A179"/>
    <mergeCell ref="A180:A184"/>
    <mergeCell ref="A185:A188"/>
    <mergeCell ref="A189:A193"/>
    <mergeCell ref="A194:A198"/>
    <mergeCell ref="A199:A203"/>
    <mergeCell ref="A204:A208"/>
    <mergeCell ref="A209:A213"/>
    <mergeCell ref="A214:A218"/>
    <mergeCell ref="A219:A222"/>
    <mergeCell ref="A223:A232"/>
    <mergeCell ref="A233:A236"/>
    <mergeCell ref="A237:A240"/>
    <mergeCell ref="A241:A245"/>
    <mergeCell ref="A246:A250"/>
    <mergeCell ref="A251:A254"/>
    <mergeCell ref="A255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6"/>
    <mergeCell ref="A297:A300"/>
    <mergeCell ref="A301:A304"/>
    <mergeCell ref="A305:A309"/>
    <mergeCell ref="A310:A313"/>
    <mergeCell ref="A314:A317"/>
    <mergeCell ref="E527:E530"/>
    <mergeCell ref="E531:E534"/>
    <mergeCell ref="E535:E538"/>
    <mergeCell ref="E539:E543"/>
    <mergeCell ref="E544:E547"/>
    <mergeCell ref="E548:E550"/>
    <mergeCell ref="E496:E501"/>
    <mergeCell ref="E502:E505"/>
    <mergeCell ref="E506:E510"/>
    <mergeCell ref="E511:E515"/>
    <mergeCell ref="E516:E519"/>
    <mergeCell ref="E520:E523"/>
    <mergeCell ref="E524:E526"/>
    <mergeCell ref="E284:E287"/>
    <mergeCell ref="E288:E291"/>
    <mergeCell ref="E292:E296"/>
    <mergeCell ref="E297:E300"/>
    <mergeCell ref="E301:E304"/>
    <mergeCell ref="E305:E309"/>
    <mergeCell ref="E310:E313"/>
    <mergeCell ref="E314:E317"/>
    <mergeCell ref="E318:E321"/>
    <mergeCell ref="E322:E325"/>
    <mergeCell ref="E326:E330"/>
    <mergeCell ref="E331:E334"/>
    <mergeCell ref="E335:E338"/>
    <mergeCell ref="E339:E342"/>
    <mergeCell ref="E343:E347"/>
    <mergeCell ref="E348:E351"/>
    <mergeCell ref="E352:E355"/>
    <mergeCell ref="E356:E359"/>
    <mergeCell ref="E360:E364"/>
    <mergeCell ref="E365:E368"/>
    <mergeCell ref="E369:E374"/>
    <mergeCell ref="E375:E378"/>
    <mergeCell ref="E379:E382"/>
    <mergeCell ref="E383:E388"/>
    <mergeCell ref="E389:E392"/>
    <mergeCell ref="E393:E397"/>
    <mergeCell ref="E398:E402"/>
    <mergeCell ref="E403:E406"/>
    <mergeCell ref="E407:E410"/>
    <mergeCell ref="E411:E414"/>
    <mergeCell ref="E415:E418"/>
    <mergeCell ref="E419:E425"/>
    <mergeCell ref="E426:E429"/>
    <mergeCell ref="E430:E434"/>
    <mergeCell ref="E435:E440"/>
    <mergeCell ref="E441:E444"/>
    <mergeCell ref="E445:E450"/>
    <mergeCell ref="E451:E454"/>
    <mergeCell ref="E455:E458"/>
    <mergeCell ref="E459:E462"/>
    <mergeCell ref="E463:E466"/>
    <mergeCell ref="E467:E470"/>
    <mergeCell ref="E471:E473"/>
    <mergeCell ref="E474:E478"/>
    <mergeCell ref="E479:E482"/>
    <mergeCell ref="E483:E486"/>
    <mergeCell ref="E487:E491"/>
    <mergeCell ref="E492:E495"/>
    <mergeCell ref="G496:G501"/>
    <mergeCell ref="G502:G50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49.0"/>
    <col customWidth="1" min="3" max="3" width="25.57"/>
    <col customWidth="1" min="4" max="4" width="34.29"/>
    <col customWidth="1" min="5" max="5" width="23.86"/>
    <col customWidth="1" min="6" max="6" width="20.14"/>
    <col customWidth="1" min="7" max="7" width="22.43"/>
    <col customWidth="1" min="8" max="8" width="18.57"/>
    <col customWidth="1" min="9" max="9" width="27.86"/>
    <col customWidth="1" min="10" max="10" width="39.0"/>
    <col customWidth="1" min="11" max="11" width="26.0"/>
    <col customWidth="1" min="12" max="12" width="30.14"/>
    <col customWidth="1" min="13" max="23" width="8.71"/>
  </cols>
  <sheetData>
    <row r="1" ht="35.25" customHeight="1">
      <c r="A1" s="506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</row>
    <row r="2" ht="35.25" customHeight="1">
      <c r="A2" s="509" t="s">
        <v>645</v>
      </c>
      <c r="B2" s="4"/>
      <c r="C2" s="4"/>
      <c r="D2" s="5"/>
      <c r="E2" s="507"/>
      <c r="F2" s="510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</row>
    <row r="3" ht="35.25" customHeight="1">
      <c r="A3" s="511" t="s">
        <v>1</v>
      </c>
      <c r="B3" s="511"/>
      <c r="C3" s="511" t="s">
        <v>2</v>
      </c>
      <c r="D3" s="511" t="s">
        <v>4</v>
      </c>
      <c r="E3" s="507"/>
      <c r="F3" s="507"/>
      <c r="G3" s="508"/>
      <c r="H3" s="512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</row>
    <row r="4" ht="35.25" customHeight="1">
      <c r="A4" s="513" t="s">
        <v>646</v>
      </c>
      <c r="B4" s="514" t="s">
        <v>647</v>
      </c>
      <c r="C4" s="515">
        <v>3955500.0</v>
      </c>
      <c r="D4" s="516">
        <f>sum(C4:C6)</f>
        <v>15610500</v>
      </c>
      <c r="E4" s="506"/>
      <c r="F4" s="507"/>
      <c r="G4" s="508"/>
      <c r="H4" s="512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</row>
    <row r="5" ht="35.25" customHeight="1">
      <c r="A5" s="18"/>
      <c r="B5" s="514" t="s">
        <v>648</v>
      </c>
      <c r="C5" s="515">
        <v>4860000.0</v>
      </c>
      <c r="D5" s="18"/>
      <c r="F5" s="507"/>
      <c r="G5" s="508"/>
      <c r="H5" s="512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</row>
    <row r="6" ht="35.25" customHeight="1">
      <c r="A6" s="18"/>
      <c r="B6" s="514" t="s">
        <v>649</v>
      </c>
      <c r="C6" s="515">
        <v>6795000.0</v>
      </c>
      <c r="D6" s="18"/>
      <c r="E6" s="507"/>
      <c r="F6" s="507"/>
      <c r="G6" s="508"/>
      <c r="H6" s="512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</row>
    <row r="7" ht="35.25" customHeight="1">
      <c r="A7" s="18"/>
      <c r="B7" s="514"/>
      <c r="C7" s="515"/>
      <c r="D7" s="18"/>
      <c r="E7" s="517"/>
      <c r="F7" s="507"/>
      <c r="G7" s="517"/>
      <c r="H7" s="518"/>
      <c r="I7" s="50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7"/>
      <c r="W7" s="517"/>
    </row>
    <row r="8" ht="35.25" customHeight="1">
      <c r="A8" s="18"/>
      <c r="B8" s="519"/>
      <c r="C8" s="515"/>
      <c r="D8" s="18"/>
      <c r="E8" s="517"/>
      <c r="F8" s="507"/>
      <c r="G8" s="517"/>
      <c r="H8" s="518"/>
      <c r="I8" s="507"/>
      <c r="J8" s="517"/>
      <c r="K8" s="517"/>
      <c r="L8" s="517"/>
      <c r="M8" s="517"/>
      <c r="N8" s="517"/>
      <c r="O8" s="517"/>
      <c r="P8" s="517"/>
      <c r="Q8" s="517"/>
      <c r="R8" s="517"/>
      <c r="S8" s="517"/>
      <c r="T8" s="517"/>
      <c r="U8" s="517"/>
      <c r="V8" s="517"/>
      <c r="W8" s="517"/>
    </row>
    <row r="9" ht="35.25" customHeight="1">
      <c r="A9" s="22"/>
      <c r="B9" s="520"/>
      <c r="C9" s="515"/>
      <c r="D9" s="22"/>
      <c r="E9" s="517"/>
      <c r="F9" s="507"/>
      <c r="G9" s="517"/>
      <c r="H9" s="518"/>
      <c r="I9" s="50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</row>
    <row r="10" ht="35.25" customHeight="1">
      <c r="A10" s="513" t="s">
        <v>650</v>
      </c>
      <c r="B10" s="514" t="s">
        <v>651</v>
      </c>
      <c r="C10" s="514">
        <v>4.4661E7</v>
      </c>
      <c r="D10" s="521">
        <f>sum(C10:C15)</f>
        <v>98240600</v>
      </c>
      <c r="E10" s="507"/>
      <c r="F10" s="522"/>
      <c r="G10" s="508"/>
      <c r="H10" s="512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</row>
    <row r="11" ht="35.25" customHeight="1">
      <c r="A11" s="18"/>
      <c r="B11" s="514" t="s">
        <v>652</v>
      </c>
      <c r="C11" s="515">
        <v>1.15232E7</v>
      </c>
      <c r="D11" s="18"/>
      <c r="E11" s="507"/>
      <c r="G11" s="508"/>
      <c r="H11" s="512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</row>
    <row r="12" ht="35.25" customHeight="1">
      <c r="A12" s="18"/>
      <c r="B12" s="514" t="s">
        <v>653</v>
      </c>
      <c r="C12" s="514">
        <v>1.0295E7</v>
      </c>
      <c r="D12" s="18"/>
      <c r="E12" s="523"/>
      <c r="G12" s="508"/>
      <c r="H12" s="512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</row>
    <row r="13" ht="35.25" customHeight="1">
      <c r="A13" s="18"/>
      <c r="B13" s="514" t="s">
        <v>647</v>
      </c>
      <c r="C13" s="514">
        <v>9416400.0</v>
      </c>
      <c r="D13" s="18"/>
      <c r="E13" s="523"/>
      <c r="G13" s="508"/>
      <c r="H13" s="512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</row>
    <row r="14" ht="35.25" customHeight="1">
      <c r="A14" s="18"/>
      <c r="B14" s="514" t="s">
        <v>648</v>
      </c>
      <c r="C14" s="514">
        <v>1.1525E7</v>
      </c>
      <c r="D14" s="18"/>
      <c r="E14" s="523"/>
      <c r="G14" s="508"/>
      <c r="H14" s="512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7"/>
      <c r="V14" s="507"/>
      <c r="W14" s="507"/>
    </row>
    <row r="15" ht="35.25" customHeight="1">
      <c r="A15" s="22"/>
      <c r="B15" s="514" t="s">
        <v>649</v>
      </c>
      <c r="C15" s="514">
        <v>1.082E7</v>
      </c>
      <c r="D15" s="22"/>
      <c r="E15" s="523"/>
      <c r="G15" s="508"/>
      <c r="H15" s="512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  <c r="T15" s="507"/>
      <c r="U15" s="507"/>
      <c r="V15" s="507"/>
      <c r="W15" s="507"/>
    </row>
    <row r="16" ht="35.25" customHeight="1">
      <c r="A16" s="513" t="s">
        <v>654</v>
      </c>
      <c r="B16" s="514" t="s">
        <v>600</v>
      </c>
      <c r="C16" s="514">
        <v>1.685E7</v>
      </c>
      <c r="D16" s="521">
        <f>sum(C16:C20)</f>
        <v>64100000</v>
      </c>
      <c r="E16" s="507"/>
      <c r="G16" s="508"/>
      <c r="H16" s="512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</row>
    <row r="17" ht="35.25" customHeight="1">
      <c r="A17" s="18"/>
      <c r="B17" s="524" t="s">
        <v>655</v>
      </c>
      <c r="C17" s="514">
        <v>1.685E7</v>
      </c>
      <c r="D17" s="18"/>
      <c r="E17" s="507"/>
      <c r="F17" s="525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</row>
    <row r="18" ht="35.25" customHeight="1">
      <c r="A18" s="18"/>
      <c r="B18" s="514" t="s">
        <v>651</v>
      </c>
      <c r="C18" s="514">
        <v>1.52E7</v>
      </c>
      <c r="D18" s="18"/>
      <c r="E18" s="507"/>
      <c r="F18" s="525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</row>
    <row r="19" ht="35.25" customHeight="1">
      <c r="A19" s="18"/>
      <c r="B19" s="514" t="s">
        <v>653</v>
      </c>
      <c r="C19" s="514">
        <v>7600000.0</v>
      </c>
      <c r="D19" s="18"/>
      <c r="E19" s="507"/>
      <c r="F19" s="525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</row>
    <row r="20" ht="35.25" customHeight="1">
      <c r="A20" s="18"/>
      <c r="B20" s="514" t="s">
        <v>648</v>
      </c>
      <c r="C20" s="514">
        <v>7600000.0</v>
      </c>
      <c r="D20" s="18"/>
      <c r="E20" s="507"/>
      <c r="F20" s="525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</row>
    <row r="21" ht="35.25" customHeight="1">
      <c r="A21" s="22"/>
      <c r="B21" s="514"/>
      <c r="C21" s="514"/>
      <c r="D21" s="22"/>
      <c r="E21" s="507"/>
      <c r="F21" s="525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</row>
    <row r="22" ht="35.25" customHeight="1">
      <c r="A22" s="513" t="s">
        <v>18</v>
      </c>
      <c r="B22" s="514"/>
      <c r="C22" s="515"/>
      <c r="D22" s="516">
        <v>690000.0</v>
      </c>
      <c r="E22" s="525"/>
      <c r="F22" s="507"/>
      <c r="G22" s="507"/>
      <c r="H22" s="507"/>
      <c r="I22" s="507"/>
      <c r="J22" s="507"/>
      <c r="K22" s="507"/>
      <c r="L22" s="507"/>
      <c r="M22" s="507"/>
      <c r="N22" s="507"/>
      <c r="O22" s="507"/>
      <c r="P22" s="507"/>
      <c r="Q22" s="507"/>
      <c r="R22" s="507"/>
      <c r="S22" s="507"/>
      <c r="T22" s="507"/>
      <c r="U22" s="507"/>
      <c r="V22" s="507"/>
      <c r="W22" s="507"/>
    </row>
    <row r="23" ht="35.25" customHeight="1">
      <c r="A23" s="18"/>
      <c r="B23" s="514"/>
      <c r="C23" s="515"/>
      <c r="D23" s="18"/>
      <c r="E23" s="507"/>
      <c r="F23" s="526"/>
      <c r="H23" s="518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</row>
    <row r="24" ht="35.25" customHeight="1">
      <c r="A24" s="18"/>
      <c r="B24" s="514" t="s">
        <v>649</v>
      </c>
      <c r="C24" s="515">
        <v>690000.0</v>
      </c>
      <c r="D24" s="18"/>
      <c r="E24" s="507"/>
      <c r="H24" s="518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</row>
    <row r="25" ht="35.25" customHeight="1">
      <c r="A25" s="22"/>
      <c r="B25" s="514"/>
      <c r="C25" s="515"/>
      <c r="D25" s="22"/>
      <c r="E25" s="507"/>
      <c r="H25" s="518"/>
      <c r="I25" s="507"/>
      <c r="J25" s="507"/>
      <c r="K25" s="507"/>
      <c r="L25" s="507"/>
      <c r="M25" s="507"/>
      <c r="N25" s="507"/>
      <c r="O25" s="507"/>
      <c r="P25" s="507"/>
      <c r="Q25" s="507"/>
      <c r="R25" s="507"/>
      <c r="S25" s="507"/>
      <c r="T25" s="507"/>
      <c r="U25" s="507"/>
      <c r="V25" s="507"/>
      <c r="W25" s="507"/>
    </row>
    <row r="26" ht="35.25" customHeight="1">
      <c r="A26" s="527" t="s">
        <v>19</v>
      </c>
      <c r="B26" s="514"/>
      <c r="C26" s="514"/>
      <c r="D26" s="516">
        <v>0.0</v>
      </c>
      <c r="E26" s="507"/>
      <c r="H26" s="518"/>
      <c r="I26" s="507"/>
      <c r="J26" s="507"/>
      <c r="K26" s="507"/>
      <c r="L26" s="507"/>
      <c r="M26" s="507"/>
      <c r="N26" s="507"/>
      <c r="O26" s="507"/>
      <c r="P26" s="507"/>
      <c r="Q26" s="507"/>
      <c r="R26" s="507"/>
      <c r="S26" s="507"/>
      <c r="T26" s="507"/>
      <c r="U26" s="507"/>
      <c r="V26" s="507"/>
      <c r="W26" s="507"/>
    </row>
    <row r="27" ht="35.25" customHeight="1">
      <c r="A27" s="18"/>
      <c r="B27" s="514"/>
      <c r="C27" s="515"/>
      <c r="D27" s="18"/>
      <c r="E27" s="507"/>
      <c r="H27" s="518"/>
      <c r="I27" s="528" t="str">
        <f>#REF!</f>
        <v>#REF!</v>
      </c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507"/>
      <c r="W27" s="507"/>
    </row>
    <row r="28" ht="35.25" customHeight="1">
      <c r="A28" s="18"/>
      <c r="B28" s="514"/>
      <c r="C28" s="514"/>
      <c r="D28" s="18"/>
      <c r="E28" s="525"/>
      <c r="H28" s="518"/>
      <c r="J28" s="507"/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507"/>
      <c r="V28" s="507"/>
      <c r="W28" s="507"/>
    </row>
    <row r="29" ht="35.25" customHeight="1">
      <c r="A29" s="22"/>
      <c r="B29" s="519"/>
      <c r="C29" s="515"/>
      <c r="D29" s="22"/>
      <c r="E29" s="507"/>
      <c r="H29" s="518"/>
      <c r="J29" s="507"/>
      <c r="K29" s="507"/>
      <c r="L29" s="507"/>
      <c r="M29" s="507"/>
      <c r="N29" s="507"/>
      <c r="O29" s="507"/>
      <c r="P29" s="507"/>
      <c r="Q29" s="507"/>
      <c r="R29" s="507"/>
      <c r="S29" s="507"/>
      <c r="T29" s="507"/>
      <c r="U29" s="507"/>
      <c r="V29" s="507"/>
      <c r="W29" s="507"/>
    </row>
    <row r="30" ht="35.25" customHeight="1">
      <c r="A30" s="513" t="s">
        <v>20</v>
      </c>
      <c r="B30" s="514"/>
      <c r="C30" s="529"/>
      <c r="D30" s="516">
        <f>sum(C31:C32)</f>
        <v>62576000</v>
      </c>
      <c r="E30" s="525"/>
      <c r="F30" s="507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</row>
    <row r="31" ht="35.25" customHeight="1">
      <c r="A31" s="18"/>
      <c r="B31" s="514" t="s">
        <v>648</v>
      </c>
      <c r="C31" s="515">
        <v>2.93225E7</v>
      </c>
      <c r="D31" s="18"/>
      <c r="E31" s="507"/>
      <c r="F31" s="507"/>
      <c r="G31" s="507"/>
      <c r="H31" s="507"/>
      <c r="I31" s="528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</row>
    <row r="32" ht="35.25" customHeight="1">
      <c r="A32" s="18"/>
      <c r="B32" s="514" t="s">
        <v>649</v>
      </c>
      <c r="C32" s="529">
        <v>3.32535E7</v>
      </c>
      <c r="D32" s="18"/>
      <c r="E32" s="507"/>
      <c r="F32" s="530"/>
      <c r="G32" s="508"/>
      <c r="H32" s="531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</row>
    <row r="33" ht="35.25" customHeight="1">
      <c r="A33" s="22"/>
      <c r="B33" s="514"/>
      <c r="C33" s="529"/>
      <c r="D33" s="22"/>
      <c r="E33" s="507"/>
      <c r="G33" s="508"/>
      <c r="H33" s="531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</row>
    <row r="34" ht="35.25" customHeight="1">
      <c r="A34" s="527" t="s">
        <v>22</v>
      </c>
      <c r="B34" s="514" t="s">
        <v>653</v>
      </c>
      <c r="C34" s="529">
        <v>3905000.0</v>
      </c>
      <c r="D34" s="516">
        <f>sum(C34:C36)</f>
        <v>14084500</v>
      </c>
      <c r="E34" s="507"/>
      <c r="G34" s="508"/>
      <c r="H34" s="531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7"/>
      <c r="V34" s="507"/>
      <c r="W34" s="507"/>
    </row>
    <row r="35" ht="35.25" customHeight="1">
      <c r="A35" s="18"/>
      <c r="B35" s="514" t="s">
        <v>648</v>
      </c>
      <c r="C35" s="515">
        <v>6412000.0</v>
      </c>
      <c r="D35" s="18"/>
      <c r="E35" s="507"/>
      <c r="G35" s="532"/>
      <c r="H35" s="531"/>
      <c r="J35" s="507"/>
      <c r="K35" s="507"/>
      <c r="L35" s="507"/>
      <c r="M35" s="507"/>
      <c r="N35" s="507"/>
      <c r="O35" s="507"/>
      <c r="P35" s="507"/>
      <c r="Q35" s="507"/>
      <c r="R35" s="507"/>
      <c r="S35" s="507"/>
      <c r="T35" s="507"/>
      <c r="U35" s="507"/>
      <c r="V35" s="507"/>
      <c r="W35" s="507"/>
    </row>
    <row r="36" ht="35.25" customHeight="1">
      <c r="A36" s="18"/>
      <c r="B36" s="514" t="s">
        <v>649</v>
      </c>
      <c r="C36" s="529">
        <v>3767500.0</v>
      </c>
      <c r="D36" s="18"/>
      <c r="E36" s="507"/>
      <c r="G36" s="508"/>
      <c r="H36" s="512"/>
      <c r="I36" s="533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</row>
    <row r="37" ht="35.25" customHeight="1">
      <c r="A37" s="18"/>
      <c r="B37" s="514"/>
      <c r="C37" s="529"/>
      <c r="D37" s="18"/>
      <c r="E37" s="507"/>
      <c r="G37" s="508"/>
      <c r="H37" s="508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7"/>
      <c r="W37" s="507"/>
    </row>
    <row r="38" ht="35.25" customHeight="1">
      <c r="A38" s="18"/>
      <c r="B38" s="514"/>
      <c r="C38" s="529"/>
      <c r="D38" s="18"/>
      <c r="E38" s="507"/>
      <c r="F38" s="530"/>
      <c r="G38" s="508"/>
      <c r="H38" s="508"/>
      <c r="I38" s="507"/>
      <c r="J38" s="507"/>
      <c r="K38" s="507"/>
      <c r="L38" s="507"/>
      <c r="M38" s="507"/>
      <c r="N38" s="507"/>
      <c r="O38" s="507"/>
      <c r="P38" s="507"/>
      <c r="Q38" s="507"/>
      <c r="R38" s="507"/>
      <c r="S38" s="507"/>
      <c r="T38" s="507"/>
      <c r="U38" s="507"/>
      <c r="V38" s="507"/>
      <c r="W38" s="507"/>
    </row>
    <row r="39" ht="35.25" customHeight="1">
      <c r="A39" s="22"/>
      <c r="B39" s="524"/>
      <c r="C39" s="529"/>
      <c r="D39" s="22"/>
      <c r="E39" s="507"/>
      <c r="F39" s="530"/>
      <c r="G39" s="508"/>
      <c r="H39" s="508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</row>
    <row r="40" ht="35.25" customHeight="1">
      <c r="A40" s="527" t="s">
        <v>23</v>
      </c>
      <c r="B40" s="514"/>
      <c r="C40" s="514"/>
      <c r="D40" s="516">
        <f>sum(C42:C43)</f>
        <v>41563400</v>
      </c>
      <c r="E40" s="507"/>
      <c r="F40" s="507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</row>
    <row r="41" ht="35.25" customHeight="1">
      <c r="A41" s="18"/>
      <c r="B41" s="514"/>
      <c r="C41" s="514"/>
      <c r="D41" s="18"/>
      <c r="E41" s="507"/>
      <c r="F41" s="526"/>
      <c r="G41" s="534"/>
      <c r="H41" s="535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</row>
    <row r="42" ht="35.25" customHeight="1">
      <c r="A42" s="18"/>
      <c r="B42" s="514" t="s">
        <v>648</v>
      </c>
      <c r="C42" s="514">
        <v>2.98056E7</v>
      </c>
      <c r="D42" s="18"/>
      <c r="E42" s="507"/>
      <c r="G42" s="534"/>
      <c r="H42" s="535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  <c r="T42" s="507"/>
      <c r="U42" s="507"/>
      <c r="V42" s="507"/>
      <c r="W42" s="507"/>
    </row>
    <row r="43" ht="35.25" customHeight="1">
      <c r="A43" s="18"/>
      <c r="B43" s="514" t="s">
        <v>649</v>
      </c>
      <c r="C43" s="514">
        <v>1.17578E7</v>
      </c>
      <c r="D43" s="18"/>
      <c r="E43" s="507"/>
      <c r="G43" s="534"/>
      <c r="H43" s="535"/>
      <c r="I43" s="507"/>
      <c r="J43" s="507"/>
      <c r="K43" s="507"/>
      <c r="L43" s="507"/>
      <c r="M43" s="507"/>
      <c r="N43" s="507"/>
      <c r="O43" s="507"/>
      <c r="P43" s="507"/>
      <c r="Q43" s="507"/>
      <c r="R43" s="507"/>
      <c r="S43" s="507"/>
      <c r="T43" s="507"/>
      <c r="U43" s="507"/>
      <c r="V43" s="507"/>
      <c r="W43" s="507"/>
    </row>
    <row r="44" ht="35.25" customHeight="1">
      <c r="A44" s="22"/>
      <c r="B44" s="514"/>
      <c r="C44" s="514"/>
      <c r="D44" s="22"/>
      <c r="E44" s="507"/>
      <c r="G44" s="534"/>
      <c r="H44" s="535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</row>
    <row r="45" ht="35.25" hidden="1" customHeight="1">
      <c r="A45" s="536" t="s">
        <v>26</v>
      </c>
      <c r="B45" s="514" t="s">
        <v>656</v>
      </c>
      <c r="C45" s="515" t="s">
        <v>657</v>
      </c>
      <c r="D45" s="514">
        <v>7.96643E7</v>
      </c>
      <c r="E45" s="507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</row>
    <row r="46" ht="35.25" customHeight="1">
      <c r="A46" s="18"/>
      <c r="B46" s="514" t="s">
        <v>648</v>
      </c>
      <c r="C46" s="514">
        <v>7.96643E7</v>
      </c>
      <c r="D46" s="516">
        <f>sum(C46:C47)</f>
        <v>145978100</v>
      </c>
      <c r="E46" s="525"/>
      <c r="F46" s="537"/>
      <c r="G46" s="538"/>
      <c r="H46" s="539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</row>
    <row r="47" ht="35.25" customHeight="1">
      <c r="A47" s="18"/>
      <c r="B47" s="514" t="s">
        <v>649</v>
      </c>
      <c r="C47" s="514">
        <v>6.63138E7</v>
      </c>
      <c r="D47" s="18"/>
      <c r="E47" s="507"/>
      <c r="F47" s="18"/>
      <c r="G47" s="540"/>
      <c r="H47" s="541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</row>
    <row r="48" ht="35.25" customHeight="1">
      <c r="A48" s="18"/>
      <c r="B48" s="514" t="s">
        <v>658</v>
      </c>
      <c r="C48" s="514"/>
      <c r="D48" s="18"/>
      <c r="E48" s="507"/>
      <c r="F48" s="18"/>
      <c r="G48" s="542"/>
      <c r="H48" s="539"/>
      <c r="I48" s="507"/>
      <c r="J48" s="507"/>
      <c r="K48" s="507"/>
      <c r="L48" s="507"/>
      <c r="M48" s="507"/>
      <c r="N48" s="507"/>
      <c r="O48" s="507"/>
      <c r="P48" s="507"/>
      <c r="Q48" s="507"/>
      <c r="R48" s="507"/>
      <c r="S48" s="507"/>
      <c r="T48" s="507"/>
      <c r="U48" s="507"/>
      <c r="V48" s="507"/>
      <c r="W48" s="507"/>
    </row>
    <row r="49" ht="35.25" customHeight="1">
      <c r="A49" s="22"/>
      <c r="B49" s="514"/>
      <c r="C49" s="514"/>
      <c r="D49" s="22"/>
      <c r="E49" s="507"/>
      <c r="F49" s="22"/>
      <c r="G49" s="542"/>
      <c r="H49" s="539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</row>
    <row r="50" ht="35.25" customHeight="1">
      <c r="A50" s="513" t="s">
        <v>659</v>
      </c>
      <c r="B50" s="514" t="s">
        <v>651</v>
      </c>
      <c r="C50" s="514">
        <v>8.13335E7</v>
      </c>
      <c r="D50" s="516">
        <f>sum(C50:C54)</f>
        <v>221691900</v>
      </c>
      <c r="E50" s="507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</row>
    <row r="51" ht="35.25" customHeight="1">
      <c r="A51" s="18"/>
      <c r="B51" s="514" t="s">
        <v>653</v>
      </c>
      <c r="C51" s="514">
        <v>3.46734E7</v>
      </c>
      <c r="D51" s="18"/>
      <c r="E51" s="507"/>
      <c r="F51" s="507"/>
      <c r="G51" s="507"/>
      <c r="H51" s="507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</row>
    <row r="52" ht="35.25" customHeight="1">
      <c r="A52" s="18"/>
      <c r="B52" s="514" t="s">
        <v>647</v>
      </c>
      <c r="C52" s="514">
        <v>3.8797E7</v>
      </c>
      <c r="D52" s="18"/>
      <c r="E52" s="507"/>
      <c r="F52" s="507"/>
      <c r="G52" s="507"/>
      <c r="H52" s="507"/>
      <c r="I52" s="507"/>
      <c r="J52" s="507"/>
      <c r="K52" s="507"/>
      <c r="L52" s="507"/>
      <c r="M52" s="507"/>
      <c r="N52" s="507"/>
      <c r="O52" s="507"/>
      <c r="P52" s="507"/>
      <c r="Q52" s="507"/>
      <c r="R52" s="507"/>
      <c r="S52" s="507"/>
      <c r="T52" s="507"/>
      <c r="U52" s="507"/>
      <c r="V52" s="507"/>
      <c r="W52" s="507"/>
    </row>
    <row r="53" ht="35.25" customHeight="1">
      <c r="A53" s="18"/>
      <c r="B53" s="514" t="s">
        <v>648</v>
      </c>
      <c r="C53" s="514">
        <v>3.53859E7</v>
      </c>
      <c r="D53" s="18"/>
      <c r="E53" s="507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  <c r="T53" s="507"/>
      <c r="U53" s="507"/>
      <c r="V53" s="507"/>
      <c r="W53" s="507"/>
    </row>
    <row r="54" ht="35.25" customHeight="1">
      <c r="A54" s="22"/>
      <c r="B54" s="514" t="s">
        <v>649</v>
      </c>
      <c r="C54" s="514">
        <v>3.15021E7</v>
      </c>
      <c r="D54" s="22"/>
      <c r="E54" s="507"/>
      <c r="F54" s="507"/>
      <c r="G54" s="507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</row>
    <row r="55" ht="35.25" customHeight="1">
      <c r="A55" s="513" t="s">
        <v>30</v>
      </c>
      <c r="B55" s="514" t="s">
        <v>648</v>
      </c>
      <c r="C55" s="529">
        <v>3.04556E7</v>
      </c>
      <c r="D55" s="516">
        <f>sum(C55:C56)</f>
        <v>61632600</v>
      </c>
      <c r="E55" s="507"/>
      <c r="F55" s="530"/>
      <c r="G55" s="508"/>
      <c r="H55" s="531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</row>
    <row r="56" ht="35.25" customHeight="1">
      <c r="A56" s="18"/>
      <c r="B56" s="514" t="s">
        <v>649</v>
      </c>
      <c r="C56" s="515">
        <v>3.1177E7</v>
      </c>
      <c r="D56" s="18"/>
      <c r="E56" s="507"/>
      <c r="G56" s="508"/>
      <c r="H56" s="531"/>
      <c r="I56" s="507"/>
      <c r="J56" s="507"/>
      <c r="K56" s="507"/>
      <c r="L56" s="507"/>
      <c r="M56" s="507"/>
      <c r="N56" s="507"/>
      <c r="O56" s="507"/>
      <c r="P56" s="507"/>
      <c r="Q56" s="507"/>
      <c r="R56" s="507"/>
      <c r="S56" s="507"/>
      <c r="T56" s="507"/>
      <c r="U56" s="507"/>
      <c r="V56" s="507"/>
      <c r="W56" s="507"/>
    </row>
    <row r="57" ht="35.25" customHeight="1">
      <c r="A57" s="18"/>
      <c r="B57" s="514"/>
      <c r="C57" s="529"/>
      <c r="D57" s="18"/>
      <c r="E57" s="507"/>
      <c r="G57" s="532"/>
      <c r="H57" s="531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</row>
    <row r="58" ht="35.25" customHeight="1">
      <c r="A58" s="18"/>
      <c r="B58" s="514"/>
      <c r="C58" s="529"/>
      <c r="D58" s="18"/>
      <c r="E58" s="507"/>
      <c r="F58" s="530"/>
      <c r="G58" s="532"/>
      <c r="H58" s="531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</row>
    <row r="59" ht="35.25" customHeight="1">
      <c r="A59" s="18"/>
      <c r="B59" s="514"/>
      <c r="C59" s="529"/>
      <c r="D59" s="18"/>
      <c r="E59" s="507"/>
      <c r="F59" s="530"/>
      <c r="G59" s="532"/>
      <c r="H59" s="531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</row>
    <row r="60" ht="35.25" customHeight="1">
      <c r="A60" s="22"/>
      <c r="B60" s="514"/>
      <c r="C60" s="529"/>
      <c r="D60" s="22"/>
      <c r="E60" s="507"/>
      <c r="F60" s="530"/>
      <c r="G60" s="532"/>
      <c r="H60" s="531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</row>
    <row r="61" ht="35.25" customHeight="1">
      <c r="A61" s="513" t="s">
        <v>660</v>
      </c>
      <c r="B61" s="524" t="s">
        <v>655</v>
      </c>
      <c r="C61" s="515">
        <v>4.2734E7</v>
      </c>
      <c r="D61" s="521">
        <f>sum(C61:C64)</f>
        <v>132866000</v>
      </c>
      <c r="E61" s="525"/>
      <c r="F61" s="507"/>
      <c r="G61" s="507"/>
      <c r="H61" s="507"/>
      <c r="I61" s="507"/>
      <c r="J61" s="543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</row>
    <row r="62" ht="35.25" customHeight="1">
      <c r="A62" s="18"/>
      <c r="B62" s="514" t="s">
        <v>651</v>
      </c>
      <c r="C62" s="544">
        <v>5.2924E7</v>
      </c>
      <c r="D62" s="18"/>
      <c r="E62" s="525"/>
      <c r="F62" s="507"/>
      <c r="G62" s="507"/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</row>
    <row r="63" ht="35.25" customHeight="1">
      <c r="A63" s="18"/>
      <c r="B63" s="514" t="s">
        <v>653</v>
      </c>
      <c r="C63" s="544">
        <v>2.1857E7</v>
      </c>
      <c r="D63" s="18"/>
      <c r="E63" s="525"/>
      <c r="F63" s="507"/>
      <c r="G63" s="507"/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</row>
    <row r="64" ht="35.25" customHeight="1">
      <c r="A64" s="18"/>
      <c r="B64" s="514" t="s">
        <v>647</v>
      </c>
      <c r="C64" s="544">
        <v>1.5351E7</v>
      </c>
      <c r="D64" s="18"/>
      <c r="E64" s="525"/>
      <c r="F64" s="507"/>
      <c r="G64" s="507"/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</row>
    <row r="65" ht="35.25" customHeight="1">
      <c r="A65" s="22"/>
      <c r="B65" s="514"/>
      <c r="C65" s="544"/>
      <c r="D65" s="22"/>
      <c r="E65" s="525"/>
      <c r="F65" s="507"/>
      <c r="G65" s="507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</row>
    <row r="66" ht="35.25" customHeight="1">
      <c r="A66" s="513" t="s">
        <v>661</v>
      </c>
      <c r="B66" s="545"/>
      <c r="C66" s="546"/>
      <c r="D66" s="521">
        <f>sum(C67:C73)</f>
        <v>387977000</v>
      </c>
      <c r="E66" s="507"/>
      <c r="F66" s="530"/>
      <c r="G66" s="508"/>
      <c r="H66" s="508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</row>
    <row r="67" ht="35.25" customHeight="1">
      <c r="A67" s="18"/>
      <c r="B67" s="524" t="s">
        <v>600</v>
      </c>
      <c r="C67" s="529">
        <v>3.2622E7</v>
      </c>
      <c r="D67" s="18"/>
      <c r="E67" s="507"/>
      <c r="F67" s="530"/>
      <c r="G67" s="508"/>
      <c r="H67" s="508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</row>
    <row r="68" ht="35.25" customHeight="1">
      <c r="A68" s="18"/>
      <c r="B68" s="524" t="s">
        <v>655</v>
      </c>
      <c r="C68" s="529">
        <v>1.47419E8</v>
      </c>
      <c r="D68" s="18"/>
      <c r="E68" s="507"/>
      <c r="F68" s="530"/>
      <c r="G68" s="508"/>
      <c r="H68" s="508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</row>
    <row r="69" ht="35.25" customHeight="1">
      <c r="A69" s="18"/>
      <c r="B69" s="514" t="s">
        <v>651</v>
      </c>
      <c r="C69" s="529">
        <v>9.9423E7</v>
      </c>
      <c r="D69" s="18"/>
      <c r="E69" s="507"/>
      <c r="F69" s="530"/>
      <c r="G69" s="508"/>
      <c r="H69" s="508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</row>
    <row r="70" ht="35.25" customHeight="1">
      <c r="A70" s="18"/>
      <c r="B70" s="514" t="s">
        <v>652</v>
      </c>
      <c r="C70" s="529">
        <v>3.2127E7</v>
      </c>
      <c r="D70" s="18"/>
      <c r="E70" s="507"/>
      <c r="F70" s="530"/>
      <c r="G70" s="508"/>
      <c r="H70" s="508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</row>
    <row r="71" ht="35.25" customHeight="1">
      <c r="A71" s="18"/>
      <c r="B71" s="514" t="s">
        <v>653</v>
      </c>
      <c r="C71" s="529">
        <v>2.0902E7</v>
      </c>
      <c r="D71" s="18"/>
      <c r="E71" s="507"/>
      <c r="F71" s="530"/>
      <c r="G71" s="508"/>
      <c r="H71" s="508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</row>
    <row r="72" ht="35.25" customHeight="1">
      <c r="A72" s="18"/>
      <c r="B72" s="514" t="s">
        <v>647</v>
      </c>
      <c r="C72" s="529">
        <v>3.00425E7</v>
      </c>
      <c r="D72" s="18"/>
      <c r="E72" s="507"/>
      <c r="F72" s="530"/>
      <c r="G72" s="508"/>
      <c r="H72" s="508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</row>
    <row r="73" ht="35.25" customHeight="1">
      <c r="A73" s="18"/>
      <c r="B73" s="514" t="s">
        <v>648</v>
      </c>
      <c r="C73" s="529">
        <v>2.54415E7</v>
      </c>
      <c r="D73" s="18"/>
      <c r="E73" s="507"/>
      <c r="F73" s="530"/>
      <c r="G73" s="508"/>
      <c r="H73" s="508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</row>
    <row r="74" ht="35.25" customHeight="1">
      <c r="A74" s="22"/>
      <c r="B74" s="514"/>
      <c r="C74" s="529"/>
      <c r="D74" s="22"/>
      <c r="E74" s="507"/>
      <c r="F74" s="530"/>
      <c r="G74" s="508"/>
      <c r="H74" s="508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</row>
    <row r="75" ht="35.25" customHeight="1">
      <c r="A75" s="513" t="s">
        <v>33</v>
      </c>
      <c r="B75" s="514"/>
      <c r="C75" s="529"/>
      <c r="D75" s="516">
        <v>2.65595E7</v>
      </c>
      <c r="E75" s="507"/>
      <c r="F75" s="530"/>
      <c r="G75" s="547"/>
      <c r="H75" s="546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</row>
    <row r="76" ht="35.25" customHeight="1">
      <c r="A76" s="18"/>
      <c r="B76" s="514" t="s">
        <v>649</v>
      </c>
      <c r="C76" s="529">
        <v>2.65595E7</v>
      </c>
      <c r="D76" s="18"/>
      <c r="E76" s="507"/>
      <c r="F76" s="530"/>
      <c r="G76" s="547"/>
      <c r="H76" s="546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</row>
    <row r="77" ht="35.25" customHeight="1">
      <c r="A77" s="18"/>
      <c r="B77" s="514" t="s">
        <v>662</v>
      </c>
      <c r="C77" s="529"/>
      <c r="D77" s="18"/>
      <c r="E77" s="507"/>
      <c r="G77" s="547"/>
      <c r="H77" s="546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</row>
    <row r="78" ht="35.25" customHeight="1">
      <c r="A78" s="22"/>
      <c r="B78" s="514"/>
      <c r="C78" s="529"/>
      <c r="D78" s="22"/>
      <c r="E78" s="507"/>
      <c r="G78" s="547"/>
      <c r="H78" s="546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  <c r="T78" s="507"/>
      <c r="U78" s="507"/>
      <c r="V78" s="507"/>
      <c r="W78" s="507"/>
    </row>
    <row r="79" ht="35.25" customHeight="1">
      <c r="A79" s="527" t="s">
        <v>35</v>
      </c>
      <c r="B79" s="514"/>
      <c r="C79" s="514"/>
      <c r="D79" s="516">
        <v>5897500.0</v>
      </c>
      <c r="E79" s="507"/>
      <c r="G79" s="547"/>
      <c r="H79" s="546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/>
      <c r="V79" s="507"/>
      <c r="W79" s="507"/>
    </row>
    <row r="80" ht="35.25" customHeight="1">
      <c r="A80" s="18"/>
      <c r="B80" s="514"/>
      <c r="C80" s="514"/>
      <c r="D80" s="18"/>
      <c r="E80" s="507"/>
      <c r="F80" s="530"/>
      <c r="G80" s="547"/>
      <c r="H80" s="546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</row>
    <row r="81" ht="35.25" customHeight="1">
      <c r="A81" s="18"/>
      <c r="B81" s="514" t="s">
        <v>649</v>
      </c>
      <c r="C81" s="514">
        <v>5897500.0</v>
      </c>
      <c r="D81" s="18"/>
      <c r="E81" s="525"/>
      <c r="F81" s="507"/>
      <c r="G81" s="524"/>
      <c r="H81" s="546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</row>
    <row r="82" ht="35.25" customHeight="1">
      <c r="A82" s="18"/>
      <c r="B82" s="514"/>
      <c r="C82" s="514"/>
      <c r="D82" s="18"/>
      <c r="E82" s="507"/>
      <c r="F82" s="548"/>
      <c r="G82" s="549"/>
      <c r="H82" s="546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  <c r="T82" s="507"/>
      <c r="U82" s="507"/>
      <c r="V82" s="507"/>
      <c r="W82" s="507"/>
    </row>
    <row r="83" ht="35.25" customHeight="1">
      <c r="A83" s="22"/>
      <c r="B83" s="524"/>
      <c r="C83" s="514"/>
      <c r="D83" s="22"/>
      <c r="E83" s="507"/>
      <c r="G83" s="550"/>
      <c r="H83" s="546"/>
      <c r="I83" s="507"/>
      <c r="J83" s="507"/>
      <c r="K83" s="507"/>
      <c r="L83" s="507"/>
      <c r="M83" s="507"/>
      <c r="N83" s="507"/>
      <c r="O83" s="507"/>
      <c r="P83" s="507"/>
      <c r="Q83" s="507"/>
      <c r="R83" s="507"/>
      <c r="S83" s="507"/>
      <c r="T83" s="507"/>
      <c r="U83" s="507"/>
      <c r="V83" s="507"/>
      <c r="W83" s="507"/>
    </row>
    <row r="84" ht="35.25" customHeight="1">
      <c r="A84" s="527" t="s">
        <v>36</v>
      </c>
      <c r="B84" s="514"/>
      <c r="C84" s="529"/>
      <c r="D84" s="516">
        <f>sum(C85:C86)</f>
        <v>36442700</v>
      </c>
      <c r="E84" s="507"/>
      <c r="G84" s="550"/>
      <c r="H84" s="546"/>
      <c r="I84" s="507"/>
      <c r="J84" s="507"/>
      <c r="K84" s="507"/>
      <c r="L84" s="507"/>
      <c r="M84" s="507"/>
      <c r="N84" s="507"/>
      <c r="O84" s="507"/>
      <c r="P84" s="507"/>
      <c r="Q84" s="507"/>
      <c r="R84" s="507"/>
      <c r="S84" s="507"/>
      <c r="T84" s="507"/>
      <c r="U84" s="507"/>
      <c r="V84" s="507"/>
      <c r="W84" s="507"/>
    </row>
    <row r="85" ht="35.25" customHeight="1">
      <c r="A85" s="18"/>
      <c r="B85" s="514" t="s">
        <v>648</v>
      </c>
      <c r="C85" s="529">
        <v>2.46351E7</v>
      </c>
      <c r="D85" s="18"/>
      <c r="E85" s="507"/>
      <c r="G85" s="551"/>
      <c r="H85" s="531"/>
      <c r="I85" s="507"/>
      <c r="J85" s="507"/>
      <c r="K85" s="507"/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507"/>
      <c r="W85" s="507"/>
    </row>
    <row r="86" ht="35.25" customHeight="1">
      <c r="A86" s="18"/>
      <c r="B86" s="514" t="s">
        <v>649</v>
      </c>
      <c r="C86" s="529">
        <v>1.18076E7</v>
      </c>
      <c r="D86" s="18"/>
      <c r="E86" s="525"/>
      <c r="G86" s="532"/>
      <c r="H86" s="531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507"/>
      <c r="W86" s="507"/>
    </row>
    <row r="87" ht="35.25" customHeight="1">
      <c r="A87" s="22"/>
      <c r="B87" s="514"/>
      <c r="C87" s="529"/>
      <c r="D87" s="22"/>
      <c r="E87" s="507"/>
      <c r="G87" s="551"/>
      <c r="H87" s="531"/>
      <c r="I87" s="507"/>
      <c r="J87" s="507"/>
      <c r="K87" s="5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507"/>
      <c r="W87" s="507"/>
    </row>
    <row r="88" ht="35.25" customHeight="1">
      <c r="A88" s="513" t="s">
        <v>37</v>
      </c>
      <c r="B88" s="514"/>
      <c r="C88" s="552"/>
      <c r="D88" s="521">
        <f>sum(C89:C93)</f>
        <v>200931500</v>
      </c>
      <c r="E88" s="507"/>
      <c r="F88" s="530"/>
      <c r="G88" s="508"/>
      <c r="H88" s="531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  <c r="V88" s="507"/>
      <c r="W88" s="507"/>
    </row>
    <row r="89" ht="35.25" customHeight="1">
      <c r="A89" s="18"/>
      <c r="B89" s="514" t="s">
        <v>652</v>
      </c>
      <c r="C89" s="552">
        <v>4.66765E7</v>
      </c>
      <c r="D89" s="18"/>
      <c r="E89" s="507"/>
      <c r="F89" s="530"/>
      <c r="G89" s="508"/>
      <c r="H89" s="531"/>
      <c r="I89" s="507"/>
      <c r="J89" s="507"/>
      <c r="K89" s="507"/>
      <c r="L89" s="507"/>
      <c r="M89" s="507"/>
      <c r="N89" s="507"/>
      <c r="O89" s="507"/>
      <c r="P89" s="507"/>
      <c r="Q89" s="507"/>
      <c r="R89" s="507"/>
      <c r="S89" s="507"/>
      <c r="T89" s="507"/>
      <c r="U89" s="507"/>
      <c r="V89" s="507"/>
      <c r="W89" s="507"/>
    </row>
    <row r="90" ht="35.25" customHeight="1">
      <c r="A90" s="18"/>
      <c r="B90" s="514" t="s">
        <v>653</v>
      </c>
      <c r="C90" s="552">
        <v>4.41045E7</v>
      </c>
      <c r="D90" s="18"/>
      <c r="E90" s="507"/>
      <c r="F90" s="530"/>
      <c r="G90" s="508"/>
      <c r="H90" s="531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  <c r="V90" s="507"/>
      <c r="W90" s="507"/>
    </row>
    <row r="91" ht="35.25" customHeight="1">
      <c r="A91" s="18"/>
      <c r="B91" s="514" t="s">
        <v>647</v>
      </c>
      <c r="C91" s="552">
        <v>3.9378E7</v>
      </c>
      <c r="D91" s="18"/>
      <c r="E91" s="507"/>
      <c r="F91" s="530"/>
      <c r="G91" s="508"/>
      <c r="H91" s="531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  <c r="T91" s="507"/>
      <c r="U91" s="507"/>
      <c r="V91" s="507"/>
      <c r="W91" s="507"/>
    </row>
    <row r="92" ht="35.25" customHeight="1">
      <c r="A92" s="18"/>
      <c r="B92" s="514" t="s">
        <v>648</v>
      </c>
      <c r="C92" s="552">
        <v>3.2364E7</v>
      </c>
      <c r="D92" s="18"/>
      <c r="E92" s="507"/>
      <c r="F92" s="530"/>
      <c r="G92" s="508"/>
      <c r="H92" s="531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  <c r="T92" s="507"/>
      <c r="U92" s="507"/>
      <c r="V92" s="507"/>
      <c r="W92" s="507"/>
    </row>
    <row r="93" ht="35.25" customHeight="1">
      <c r="A93" s="22"/>
      <c r="B93" s="514" t="s">
        <v>649</v>
      </c>
      <c r="C93" s="552">
        <v>3.84085E7</v>
      </c>
      <c r="D93" s="22"/>
      <c r="E93" s="507"/>
      <c r="F93" s="530"/>
      <c r="G93" s="508"/>
      <c r="H93" s="531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  <c r="T93" s="507"/>
      <c r="U93" s="507"/>
      <c r="V93" s="507"/>
      <c r="W93" s="507"/>
    </row>
    <row r="94" ht="35.25" customHeight="1">
      <c r="A94" s="553" t="s">
        <v>663</v>
      </c>
      <c r="B94" s="554" t="s">
        <v>604</v>
      </c>
      <c r="C94" s="555">
        <v>-1.35E7</v>
      </c>
      <c r="D94" s="521">
        <f>sum(C94:C100)</f>
        <v>170892000</v>
      </c>
      <c r="E94" s="507"/>
      <c r="F94" s="530"/>
      <c r="G94" s="508"/>
      <c r="H94" s="531"/>
      <c r="I94" s="507"/>
      <c r="J94" s="507"/>
      <c r="K94" s="507"/>
      <c r="L94" s="507"/>
      <c r="M94" s="507"/>
      <c r="N94" s="507"/>
      <c r="O94" s="507"/>
      <c r="P94" s="507"/>
      <c r="Q94" s="507"/>
      <c r="R94" s="507"/>
      <c r="S94" s="507"/>
      <c r="T94" s="507"/>
      <c r="U94" s="507"/>
      <c r="V94" s="507"/>
      <c r="W94" s="507"/>
    </row>
    <row r="95" ht="35.25" customHeight="1">
      <c r="A95" s="18"/>
      <c r="B95" s="514" t="s">
        <v>651</v>
      </c>
      <c r="C95" s="552">
        <v>9.3662E7</v>
      </c>
      <c r="D95" s="18"/>
      <c r="E95" s="507"/>
      <c r="F95" s="530"/>
      <c r="G95" s="508"/>
      <c r="H95" s="531"/>
      <c r="I95" s="507"/>
      <c r="J95" s="507"/>
      <c r="K95" s="507"/>
      <c r="L95" s="507"/>
      <c r="M95" s="507"/>
      <c r="N95" s="507"/>
      <c r="O95" s="507"/>
      <c r="P95" s="507"/>
      <c r="Q95" s="507"/>
      <c r="R95" s="507"/>
      <c r="S95" s="507"/>
      <c r="T95" s="507"/>
      <c r="U95" s="507"/>
      <c r="V95" s="507"/>
      <c r="W95" s="507"/>
    </row>
    <row r="96" ht="35.25" customHeight="1">
      <c r="A96" s="18"/>
      <c r="B96" s="514" t="s">
        <v>652</v>
      </c>
      <c r="C96" s="552">
        <v>5.418E7</v>
      </c>
      <c r="D96" s="18"/>
      <c r="E96" s="507"/>
      <c r="F96" s="530"/>
      <c r="G96" s="508"/>
      <c r="H96" s="531"/>
      <c r="I96" s="507"/>
      <c r="J96" s="507"/>
      <c r="K96" s="507"/>
      <c r="L96" s="507"/>
      <c r="M96" s="507"/>
      <c r="N96" s="507"/>
      <c r="O96" s="507"/>
      <c r="P96" s="507"/>
      <c r="Q96" s="507"/>
      <c r="R96" s="507"/>
      <c r="S96" s="507"/>
      <c r="T96" s="507"/>
      <c r="U96" s="507"/>
      <c r="V96" s="507"/>
      <c r="W96" s="507"/>
    </row>
    <row r="97" ht="35.25" customHeight="1">
      <c r="A97" s="18"/>
      <c r="B97" s="514" t="s">
        <v>647</v>
      </c>
      <c r="C97" s="552">
        <v>2.8695E7</v>
      </c>
      <c r="D97" s="18"/>
      <c r="E97" s="507"/>
      <c r="F97" s="530"/>
      <c r="G97" s="508"/>
      <c r="H97" s="531"/>
      <c r="I97" s="507"/>
      <c r="J97" s="507"/>
      <c r="K97" s="507"/>
      <c r="L97" s="507"/>
      <c r="M97" s="507"/>
      <c r="N97" s="507"/>
      <c r="O97" s="507"/>
      <c r="P97" s="507"/>
      <c r="Q97" s="507"/>
      <c r="R97" s="507"/>
      <c r="S97" s="507"/>
      <c r="T97" s="507"/>
      <c r="U97" s="507"/>
      <c r="V97" s="507"/>
      <c r="W97" s="507"/>
    </row>
    <row r="98" ht="35.25" customHeight="1">
      <c r="A98" s="18"/>
      <c r="B98" s="514" t="s">
        <v>648</v>
      </c>
      <c r="C98" s="552">
        <v>315000.0</v>
      </c>
      <c r="D98" s="18"/>
      <c r="E98" s="507"/>
      <c r="F98" s="530"/>
      <c r="G98" s="508"/>
      <c r="H98" s="531"/>
      <c r="I98" s="507"/>
      <c r="J98" s="507"/>
      <c r="K98" s="507"/>
      <c r="L98" s="507"/>
      <c r="M98" s="507"/>
      <c r="N98" s="507"/>
      <c r="O98" s="507"/>
      <c r="P98" s="507"/>
      <c r="Q98" s="507"/>
      <c r="R98" s="507"/>
      <c r="S98" s="507"/>
      <c r="T98" s="507"/>
      <c r="U98" s="507"/>
      <c r="V98" s="507"/>
      <c r="W98" s="507"/>
    </row>
    <row r="99" ht="35.25" customHeight="1">
      <c r="A99" s="18"/>
      <c r="B99" s="514" t="s">
        <v>664</v>
      </c>
      <c r="C99" s="552">
        <v>5424000.0</v>
      </c>
      <c r="D99" s="18"/>
      <c r="E99" s="507"/>
      <c r="F99" s="530"/>
      <c r="G99" s="508"/>
      <c r="H99" s="531"/>
      <c r="I99" s="507"/>
      <c r="J99" s="507"/>
      <c r="K99" s="507"/>
      <c r="L99" s="507"/>
      <c r="M99" s="507"/>
      <c r="N99" s="507"/>
      <c r="O99" s="507"/>
      <c r="P99" s="507"/>
      <c r="Q99" s="507"/>
      <c r="R99" s="507"/>
      <c r="S99" s="507"/>
      <c r="T99" s="507"/>
      <c r="U99" s="507"/>
      <c r="V99" s="507"/>
      <c r="W99" s="507"/>
    </row>
    <row r="100" ht="35.25" customHeight="1">
      <c r="A100" s="22"/>
      <c r="B100" s="514" t="s">
        <v>649</v>
      </c>
      <c r="C100" s="552">
        <v>2116000.0</v>
      </c>
      <c r="D100" s="22"/>
      <c r="E100" s="507"/>
      <c r="F100" s="530"/>
      <c r="G100" s="508"/>
      <c r="H100" s="531"/>
      <c r="I100" s="507"/>
      <c r="J100" s="507"/>
      <c r="K100" s="507"/>
      <c r="L100" s="507"/>
      <c r="M100" s="507"/>
      <c r="N100" s="507"/>
      <c r="O100" s="507"/>
      <c r="P100" s="507"/>
      <c r="Q100" s="507"/>
      <c r="R100" s="507"/>
      <c r="S100" s="507"/>
      <c r="T100" s="507"/>
      <c r="U100" s="507"/>
      <c r="V100" s="507"/>
      <c r="W100" s="507"/>
    </row>
    <row r="101" ht="35.25" customHeight="1">
      <c r="A101" s="527" t="s">
        <v>40</v>
      </c>
      <c r="B101" s="514" t="s">
        <v>648</v>
      </c>
      <c r="C101" s="529">
        <v>4.0392E7</v>
      </c>
      <c r="D101" s="516">
        <f>sum(C101:C102)</f>
        <v>42957500</v>
      </c>
      <c r="E101" s="507"/>
      <c r="F101" s="530"/>
      <c r="G101" s="512"/>
      <c r="H101" s="512"/>
      <c r="I101" s="507"/>
      <c r="J101" s="507"/>
      <c r="K101" s="507"/>
      <c r="L101" s="507"/>
      <c r="M101" s="507"/>
      <c r="N101" s="507"/>
      <c r="O101" s="507"/>
      <c r="P101" s="507"/>
      <c r="Q101" s="507"/>
      <c r="R101" s="507"/>
      <c r="S101" s="507"/>
      <c r="T101" s="507"/>
      <c r="U101" s="507"/>
      <c r="V101" s="507"/>
      <c r="W101" s="507"/>
    </row>
    <row r="102" ht="35.25" customHeight="1">
      <c r="A102" s="18"/>
      <c r="B102" s="514" t="s">
        <v>649</v>
      </c>
      <c r="C102" s="529">
        <v>2565500.0</v>
      </c>
      <c r="D102" s="18"/>
      <c r="E102" s="507"/>
      <c r="F102" s="530"/>
      <c r="G102" s="508"/>
      <c r="H102" s="512"/>
      <c r="I102" s="507"/>
      <c r="J102" s="507"/>
      <c r="K102" s="507"/>
      <c r="L102" s="507"/>
      <c r="M102" s="507"/>
      <c r="N102" s="507"/>
      <c r="O102" s="507"/>
      <c r="P102" s="507"/>
      <c r="Q102" s="507"/>
      <c r="R102" s="507"/>
      <c r="S102" s="507"/>
      <c r="T102" s="507"/>
      <c r="U102" s="507"/>
      <c r="V102" s="507"/>
      <c r="W102" s="507"/>
    </row>
    <row r="103" ht="35.25" customHeight="1">
      <c r="A103" s="18"/>
      <c r="B103" s="514" t="s">
        <v>658</v>
      </c>
      <c r="C103" s="529"/>
      <c r="D103" s="18"/>
      <c r="E103" s="507"/>
      <c r="F103" s="530"/>
      <c r="G103" s="508"/>
      <c r="H103" s="512"/>
      <c r="I103" s="507"/>
      <c r="J103" s="507"/>
      <c r="K103" s="507"/>
      <c r="L103" s="507"/>
      <c r="M103" s="507"/>
      <c r="N103" s="507"/>
      <c r="O103" s="507"/>
      <c r="P103" s="507"/>
      <c r="Q103" s="507"/>
      <c r="R103" s="507"/>
      <c r="S103" s="507"/>
      <c r="T103" s="507"/>
      <c r="U103" s="507"/>
      <c r="V103" s="507"/>
      <c r="W103" s="507"/>
    </row>
    <row r="104" ht="35.25" customHeight="1">
      <c r="A104" s="22"/>
      <c r="B104" s="514"/>
      <c r="C104" s="529"/>
      <c r="D104" s="22"/>
      <c r="E104" s="507"/>
      <c r="F104" s="530"/>
      <c r="G104" s="508"/>
      <c r="H104" s="512"/>
      <c r="I104" s="507"/>
      <c r="J104" s="507"/>
      <c r="K104" s="507"/>
      <c r="L104" s="507"/>
      <c r="M104" s="507"/>
      <c r="N104" s="507"/>
      <c r="O104" s="507"/>
      <c r="P104" s="507"/>
      <c r="Q104" s="507"/>
      <c r="R104" s="507"/>
      <c r="S104" s="507"/>
      <c r="T104" s="507"/>
      <c r="U104" s="507"/>
      <c r="V104" s="507"/>
      <c r="W104" s="507"/>
    </row>
    <row r="105" ht="35.25" customHeight="1">
      <c r="A105" s="513" t="s">
        <v>665</v>
      </c>
      <c r="B105" s="514"/>
      <c r="C105" s="529"/>
      <c r="D105" s="521">
        <f>sum(C106:C110)</f>
        <v>123705500</v>
      </c>
      <c r="E105" s="507"/>
      <c r="F105" s="556"/>
      <c r="G105" s="508"/>
      <c r="H105" s="531"/>
      <c r="I105" s="507"/>
      <c r="J105" s="507"/>
      <c r="K105" s="507"/>
      <c r="L105" s="507"/>
      <c r="M105" s="507"/>
      <c r="N105" s="507"/>
      <c r="O105" s="507"/>
      <c r="P105" s="507"/>
      <c r="Q105" s="507"/>
      <c r="R105" s="507"/>
      <c r="S105" s="507"/>
      <c r="T105" s="507"/>
      <c r="U105" s="507"/>
      <c r="V105" s="507"/>
      <c r="W105" s="507"/>
    </row>
    <row r="106" ht="35.25" customHeight="1">
      <c r="A106" s="18"/>
      <c r="B106" s="514" t="s">
        <v>652</v>
      </c>
      <c r="C106" s="529">
        <v>2.8244E7</v>
      </c>
      <c r="D106" s="18"/>
      <c r="E106" s="507"/>
      <c r="F106" s="556"/>
      <c r="G106" s="508"/>
      <c r="H106" s="531"/>
      <c r="I106" s="507"/>
      <c r="J106" s="507"/>
      <c r="K106" s="507"/>
      <c r="L106" s="507"/>
      <c r="M106" s="507"/>
      <c r="N106" s="507"/>
      <c r="O106" s="507"/>
      <c r="P106" s="507"/>
      <c r="Q106" s="507"/>
      <c r="R106" s="507"/>
      <c r="S106" s="507"/>
      <c r="T106" s="507"/>
      <c r="U106" s="507"/>
      <c r="V106" s="507"/>
      <c r="W106" s="507"/>
    </row>
    <row r="107" ht="35.25" customHeight="1">
      <c r="A107" s="18"/>
      <c r="B107" s="514" t="s">
        <v>653</v>
      </c>
      <c r="C107" s="529">
        <v>3.4796E7</v>
      </c>
      <c r="D107" s="18"/>
      <c r="E107" s="507"/>
      <c r="F107" s="556"/>
      <c r="G107" s="508"/>
      <c r="H107" s="531"/>
      <c r="I107" s="507"/>
      <c r="J107" s="507"/>
      <c r="K107" s="507"/>
      <c r="L107" s="507"/>
      <c r="M107" s="507"/>
      <c r="N107" s="507"/>
      <c r="O107" s="507"/>
      <c r="P107" s="507"/>
      <c r="Q107" s="507"/>
      <c r="R107" s="507"/>
      <c r="S107" s="507"/>
      <c r="T107" s="507"/>
      <c r="U107" s="507"/>
      <c r="V107" s="507"/>
      <c r="W107" s="507"/>
    </row>
    <row r="108" ht="35.25" customHeight="1">
      <c r="A108" s="18"/>
      <c r="B108" s="514" t="s">
        <v>647</v>
      </c>
      <c r="C108" s="529">
        <v>2.7755E7</v>
      </c>
      <c r="D108" s="18"/>
      <c r="E108" s="507"/>
      <c r="F108" s="507"/>
      <c r="G108" s="508"/>
      <c r="H108" s="531"/>
      <c r="I108" s="507"/>
      <c r="J108" s="507"/>
      <c r="K108" s="507"/>
      <c r="L108" s="507"/>
      <c r="M108" s="507"/>
      <c r="N108" s="507"/>
      <c r="O108" s="507"/>
      <c r="P108" s="507"/>
      <c r="Q108" s="507"/>
      <c r="R108" s="507"/>
      <c r="S108" s="507"/>
      <c r="T108" s="507"/>
      <c r="U108" s="507"/>
      <c r="V108" s="507"/>
      <c r="W108" s="507"/>
    </row>
    <row r="109" ht="35.25" customHeight="1">
      <c r="A109" s="18"/>
      <c r="B109" s="514" t="s">
        <v>648</v>
      </c>
      <c r="C109" s="529">
        <v>1.91365E7</v>
      </c>
      <c r="D109" s="18"/>
      <c r="E109" s="507"/>
      <c r="F109" s="507"/>
      <c r="G109" s="508"/>
      <c r="H109" s="531"/>
      <c r="I109" s="507"/>
      <c r="J109" s="507"/>
      <c r="K109" s="507"/>
      <c r="L109" s="507"/>
      <c r="M109" s="507"/>
      <c r="N109" s="507"/>
      <c r="O109" s="507"/>
      <c r="P109" s="507"/>
      <c r="Q109" s="507"/>
      <c r="R109" s="507"/>
      <c r="S109" s="507"/>
      <c r="T109" s="507"/>
      <c r="U109" s="507"/>
      <c r="V109" s="507"/>
      <c r="W109" s="507"/>
    </row>
    <row r="110" ht="35.25" customHeight="1">
      <c r="A110" s="22"/>
      <c r="B110" s="514" t="s">
        <v>649</v>
      </c>
      <c r="C110" s="529">
        <v>1.3774E7</v>
      </c>
      <c r="D110" s="22"/>
      <c r="E110" s="507"/>
      <c r="F110" s="507"/>
      <c r="G110" s="508"/>
      <c r="H110" s="531"/>
      <c r="I110" s="507"/>
      <c r="J110" s="507"/>
      <c r="K110" s="507"/>
      <c r="L110" s="507"/>
      <c r="M110" s="507"/>
      <c r="N110" s="507"/>
      <c r="O110" s="507"/>
      <c r="P110" s="507"/>
      <c r="Q110" s="507"/>
      <c r="R110" s="507"/>
      <c r="S110" s="507"/>
      <c r="T110" s="507"/>
      <c r="U110" s="507"/>
      <c r="V110" s="507"/>
      <c r="W110" s="507"/>
    </row>
    <row r="111" ht="35.25" customHeight="1">
      <c r="A111" s="527" t="s">
        <v>42</v>
      </c>
      <c r="B111" s="514"/>
      <c r="C111" s="515"/>
      <c r="D111" s="516">
        <f>sum(C111:C114)</f>
        <v>34586000</v>
      </c>
      <c r="E111" s="557"/>
      <c r="F111" s="507"/>
      <c r="G111" s="508"/>
      <c r="H111" s="531"/>
      <c r="I111" s="507"/>
      <c r="J111" s="507"/>
      <c r="K111" s="507"/>
      <c r="L111" s="507"/>
      <c r="M111" s="507"/>
      <c r="N111" s="507"/>
      <c r="O111" s="507"/>
      <c r="P111" s="507"/>
      <c r="Q111" s="507"/>
      <c r="R111" s="507"/>
      <c r="S111" s="507"/>
      <c r="T111" s="507"/>
      <c r="U111" s="507"/>
      <c r="V111" s="507"/>
      <c r="W111" s="507"/>
    </row>
    <row r="112" ht="35.25" customHeight="1">
      <c r="A112" s="18"/>
      <c r="B112" s="514" t="s">
        <v>649</v>
      </c>
      <c r="C112" s="514">
        <v>3.4586E7</v>
      </c>
      <c r="D112" s="18"/>
      <c r="E112" s="507"/>
      <c r="F112" s="507"/>
      <c r="G112" s="508"/>
      <c r="H112" s="531"/>
      <c r="I112" s="507"/>
      <c r="J112" s="507"/>
      <c r="K112" s="507"/>
      <c r="L112" s="507"/>
      <c r="M112" s="507"/>
      <c r="N112" s="507"/>
      <c r="O112" s="507"/>
      <c r="P112" s="507"/>
      <c r="Q112" s="507"/>
      <c r="R112" s="507"/>
      <c r="S112" s="507"/>
      <c r="T112" s="507"/>
      <c r="U112" s="507"/>
      <c r="V112" s="507"/>
      <c r="W112" s="507"/>
    </row>
    <row r="113" ht="35.25" customHeight="1">
      <c r="A113" s="18"/>
      <c r="B113" s="514"/>
      <c r="C113" s="514"/>
      <c r="D113" s="18"/>
      <c r="E113" s="507"/>
      <c r="F113" s="507"/>
      <c r="G113" s="508"/>
      <c r="H113" s="531"/>
      <c r="I113" s="507"/>
      <c r="J113" s="507"/>
      <c r="K113" s="507"/>
      <c r="L113" s="507"/>
      <c r="M113" s="507"/>
      <c r="N113" s="507"/>
      <c r="O113" s="507"/>
      <c r="P113" s="507"/>
      <c r="Q113" s="507"/>
      <c r="R113" s="507"/>
      <c r="S113" s="507"/>
      <c r="T113" s="507"/>
      <c r="U113" s="507"/>
      <c r="V113" s="507"/>
      <c r="W113" s="507"/>
    </row>
    <row r="114" ht="35.25" customHeight="1">
      <c r="A114" s="18"/>
      <c r="B114" s="514"/>
      <c r="C114" s="515"/>
      <c r="D114" s="18"/>
      <c r="E114" s="556"/>
      <c r="F114" s="507"/>
      <c r="G114" s="508"/>
      <c r="H114" s="512"/>
      <c r="I114" s="507"/>
      <c r="J114" s="507"/>
      <c r="K114" s="507"/>
      <c r="L114" s="507"/>
      <c r="M114" s="507"/>
      <c r="N114" s="507"/>
      <c r="O114" s="507"/>
      <c r="P114" s="507"/>
      <c r="Q114" s="507"/>
      <c r="R114" s="507"/>
      <c r="S114" s="507"/>
      <c r="T114" s="507"/>
      <c r="U114" s="507"/>
      <c r="V114" s="507"/>
      <c r="W114" s="507"/>
    </row>
    <row r="115" ht="35.25" customHeight="1">
      <c r="A115" s="22"/>
      <c r="B115" s="514"/>
      <c r="C115" s="515"/>
      <c r="D115" s="22"/>
      <c r="E115" s="556"/>
      <c r="F115" s="507"/>
      <c r="G115" s="508"/>
      <c r="H115" s="512"/>
      <c r="I115" s="507"/>
      <c r="J115" s="507"/>
      <c r="K115" s="507"/>
      <c r="L115" s="507"/>
      <c r="M115" s="507"/>
      <c r="N115" s="507"/>
      <c r="O115" s="507"/>
      <c r="P115" s="507"/>
      <c r="Q115" s="507"/>
      <c r="R115" s="507"/>
      <c r="S115" s="507"/>
      <c r="T115" s="507"/>
      <c r="U115" s="507"/>
      <c r="V115" s="507"/>
      <c r="W115" s="507"/>
    </row>
    <row r="116" ht="35.25" customHeight="1">
      <c r="A116" s="527" t="s">
        <v>43</v>
      </c>
      <c r="B116" s="514" t="s">
        <v>652</v>
      </c>
      <c r="C116" s="515">
        <v>1.0675E7</v>
      </c>
      <c r="D116" s="558">
        <f>sum(C116:C118)</f>
        <v>46750000</v>
      </c>
      <c r="E116" s="559"/>
      <c r="F116" s="507"/>
      <c r="G116" s="560"/>
      <c r="H116" s="561"/>
      <c r="I116" s="561"/>
      <c r="J116" s="561"/>
      <c r="K116" s="561"/>
      <c r="L116" s="562"/>
      <c r="M116" s="563"/>
      <c r="N116" s="507"/>
      <c r="O116" s="507"/>
      <c r="P116" s="507"/>
      <c r="Q116" s="507"/>
      <c r="R116" s="507"/>
      <c r="S116" s="507"/>
      <c r="T116" s="507"/>
      <c r="U116" s="507"/>
      <c r="V116" s="507"/>
      <c r="W116" s="507"/>
    </row>
    <row r="117" ht="35.25" customHeight="1">
      <c r="A117" s="18"/>
      <c r="B117" s="514" t="s">
        <v>653</v>
      </c>
      <c r="C117" s="564">
        <v>2600000.0</v>
      </c>
      <c r="D117" s="86"/>
      <c r="E117" s="565"/>
      <c r="F117" s="566"/>
      <c r="I117" s="567"/>
      <c r="J117" s="568"/>
      <c r="K117" s="568"/>
      <c r="L117" s="569"/>
      <c r="M117" s="568"/>
      <c r="N117" s="507"/>
      <c r="O117" s="507"/>
      <c r="P117" s="507"/>
      <c r="Q117" s="507"/>
      <c r="R117" s="507"/>
      <c r="S117" s="507"/>
      <c r="T117" s="507"/>
      <c r="U117" s="507"/>
      <c r="V117" s="507"/>
      <c r="W117" s="507"/>
    </row>
    <row r="118" ht="35.25" customHeight="1">
      <c r="A118" s="18"/>
      <c r="B118" s="514" t="s">
        <v>648</v>
      </c>
      <c r="C118" s="564">
        <v>3.3475E7</v>
      </c>
      <c r="D118" s="86"/>
      <c r="E118" s="570"/>
      <c r="F118" s="571"/>
      <c r="I118" s="569"/>
      <c r="J118" s="569"/>
      <c r="K118" s="569"/>
      <c r="L118" s="569"/>
      <c r="M118" s="569"/>
      <c r="N118" s="507"/>
      <c r="O118" s="507"/>
      <c r="P118" s="507"/>
      <c r="Q118" s="507"/>
      <c r="R118" s="507"/>
      <c r="S118" s="507"/>
      <c r="T118" s="507"/>
      <c r="U118" s="507"/>
      <c r="V118" s="507"/>
      <c r="W118" s="507"/>
    </row>
    <row r="119" ht="35.25" customHeight="1">
      <c r="A119" s="22"/>
      <c r="B119" s="514"/>
      <c r="C119" s="564"/>
      <c r="D119" s="89"/>
      <c r="E119" s="570"/>
      <c r="F119" s="572"/>
      <c r="I119" s="573"/>
      <c r="J119" s="573"/>
      <c r="K119" s="574"/>
      <c r="L119" s="574"/>
      <c r="M119" s="575"/>
      <c r="N119" s="507"/>
      <c r="O119" s="507"/>
      <c r="P119" s="507"/>
      <c r="Q119" s="507"/>
      <c r="R119" s="507"/>
      <c r="S119" s="507"/>
      <c r="T119" s="507"/>
      <c r="U119" s="507"/>
      <c r="V119" s="507"/>
      <c r="W119" s="507"/>
    </row>
    <row r="120" ht="35.25" customHeight="1">
      <c r="A120" s="527" t="s">
        <v>44</v>
      </c>
      <c r="B120" s="514" t="s">
        <v>648</v>
      </c>
      <c r="C120" s="529">
        <v>4.12173E7</v>
      </c>
      <c r="D120" s="516">
        <v>4.12173E7</v>
      </c>
      <c r="E120" s="576"/>
      <c r="F120" s="577"/>
      <c r="G120" s="577"/>
      <c r="H120" s="577"/>
      <c r="I120" s="578"/>
      <c r="J120" s="578"/>
      <c r="K120" s="578"/>
      <c r="L120" s="579"/>
      <c r="M120" s="580"/>
      <c r="N120" s="507"/>
      <c r="O120" s="507"/>
      <c r="P120" s="507"/>
      <c r="Q120" s="507"/>
      <c r="R120" s="507"/>
      <c r="S120" s="507"/>
      <c r="T120" s="507"/>
      <c r="U120" s="507"/>
      <c r="V120" s="507"/>
      <c r="W120" s="507"/>
    </row>
    <row r="121" ht="35.25" customHeight="1">
      <c r="A121" s="18"/>
      <c r="B121" s="514"/>
      <c r="C121" s="581"/>
      <c r="D121" s="18"/>
      <c r="E121" s="576"/>
      <c r="F121" s="577"/>
      <c r="G121" s="577"/>
      <c r="H121" s="577"/>
      <c r="I121" s="578"/>
      <c r="J121" s="578"/>
      <c r="K121" s="578"/>
      <c r="L121" s="579"/>
      <c r="M121" s="580"/>
      <c r="N121" s="507"/>
      <c r="O121" s="507"/>
      <c r="P121" s="507"/>
      <c r="Q121" s="507"/>
      <c r="R121" s="507"/>
      <c r="S121" s="507"/>
      <c r="T121" s="507"/>
      <c r="U121" s="507"/>
      <c r="V121" s="507"/>
      <c r="W121" s="507"/>
    </row>
    <row r="122" ht="35.25" customHeight="1">
      <c r="A122" s="18"/>
      <c r="B122" s="514"/>
      <c r="C122" s="529"/>
      <c r="D122" s="18"/>
      <c r="E122" s="582"/>
      <c r="F122" s="577"/>
      <c r="G122" s="577"/>
      <c r="H122" s="583"/>
      <c r="I122" s="578"/>
      <c r="J122" s="578"/>
      <c r="K122" s="578"/>
      <c r="L122" s="579"/>
      <c r="M122" s="580"/>
      <c r="N122" s="507"/>
      <c r="O122" s="507"/>
      <c r="P122" s="507"/>
      <c r="Q122" s="507"/>
      <c r="R122" s="507"/>
      <c r="S122" s="507"/>
      <c r="T122" s="507"/>
      <c r="U122" s="507"/>
      <c r="V122" s="507"/>
      <c r="W122" s="507"/>
    </row>
    <row r="123" ht="35.25" customHeight="1">
      <c r="A123" s="22"/>
      <c r="B123" s="514"/>
      <c r="C123" s="529"/>
      <c r="D123" s="22"/>
      <c r="E123" s="584"/>
      <c r="F123" s="577"/>
      <c r="G123" s="577"/>
      <c r="H123" s="583"/>
      <c r="I123" s="578"/>
      <c r="J123" s="578"/>
      <c r="K123" s="578"/>
      <c r="L123" s="579"/>
      <c r="M123" s="585"/>
      <c r="N123" s="507"/>
      <c r="O123" s="507"/>
      <c r="P123" s="507"/>
      <c r="Q123" s="507"/>
      <c r="R123" s="507"/>
      <c r="S123" s="507"/>
      <c r="T123" s="507"/>
      <c r="U123" s="507"/>
      <c r="V123" s="507"/>
      <c r="W123" s="507"/>
    </row>
    <row r="124" ht="35.25" customHeight="1">
      <c r="A124" s="527" t="s">
        <v>45</v>
      </c>
      <c r="B124" s="514" t="s">
        <v>653</v>
      </c>
      <c r="C124" s="529">
        <v>1.1188E7</v>
      </c>
      <c r="D124" s="516">
        <f>sum(C124:C126)</f>
        <v>71841500</v>
      </c>
      <c r="E124" s="507"/>
      <c r="F124" s="586"/>
      <c r="G124" s="507"/>
      <c r="H124" s="507"/>
      <c r="I124" s="507"/>
      <c r="J124" s="507"/>
      <c r="K124" s="507"/>
      <c r="L124" s="507"/>
      <c r="M124" s="507"/>
      <c r="N124" s="507"/>
      <c r="O124" s="507"/>
      <c r="P124" s="507"/>
      <c r="Q124" s="507"/>
      <c r="R124" s="507"/>
      <c r="S124" s="507"/>
      <c r="T124" s="507"/>
      <c r="U124" s="507"/>
      <c r="V124" s="507"/>
      <c r="W124" s="507"/>
    </row>
    <row r="125" ht="35.25" customHeight="1">
      <c r="A125" s="18"/>
      <c r="B125" s="514" t="s">
        <v>647</v>
      </c>
      <c r="C125" s="587">
        <v>1.40535E7</v>
      </c>
      <c r="D125" s="18"/>
      <c r="E125" s="507"/>
      <c r="F125" s="507"/>
      <c r="G125" s="507"/>
      <c r="H125" s="507"/>
      <c r="I125" s="507"/>
      <c r="J125" s="507"/>
      <c r="K125" s="507"/>
      <c r="L125" s="507"/>
      <c r="M125" s="507"/>
      <c r="N125" s="507"/>
      <c r="O125" s="507"/>
      <c r="P125" s="507"/>
      <c r="Q125" s="507"/>
      <c r="R125" s="507"/>
      <c r="S125" s="507"/>
      <c r="T125" s="507"/>
      <c r="U125" s="507"/>
      <c r="V125" s="507"/>
      <c r="W125" s="507"/>
    </row>
    <row r="126" ht="35.25" customHeight="1">
      <c r="A126" s="18"/>
      <c r="B126" s="514" t="s">
        <v>648</v>
      </c>
      <c r="C126" s="514">
        <v>4.66E7</v>
      </c>
      <c r="D126" s="18"/>
      <c r="E126" s="507"/>
      <c r="F126" s="586"/>
      <c r="G126" s="586"/>
      <c r="H126" s="586"/>
      <c r="I126" s="507"/>
      <c r="J126" s="507"/>
      <c r="K126" s="507"/>
      <c r="L126" s="507"/>
      <c r="M126" s="507"/>
      <c r="N126" s="507"/>
      <c r="O126" s="507"/>
      <c r="P126" s="507"/>
      <c r="Q126" s="507"/>
      <c r="R126" s="507"/>
      <c r="S126" s="507"/>
      <c r="T126" s="507"/>
      <c r="U126" s="507"/>
      <c r="V126" s="507"/>
      <c r="W126" s="507"/>
    </row>
    <row r="127" ht="35.25" customHeight="1">
      <c r="A127" s="22"/>
      <c r="B127" s="514"/>
      <c r="C127" s="546"/>
      <c r="D127" s="22"/>
      <c r="E127" s="507"/>
      <c r="F127" s="586"/>
      <c r="G127" s="586"/>
      <c r="H127" s="586"/>
      <c r="I127" s="507"/>
      <c r="J127" s="507"/>
      <c r="K127" s="507"/>
      <c r="L127" s="507"/>
      <c r="M127" s="507"/>
      <c r="N127" s="507"/>
      <c r="O127" s="507"/>
      <c r="P127" s="507"/>
      <c r="Q127" s="507"/>
      <c r="R127" s="507"/>
      <c r="S127" s="507"/>
      <c r="T127" s="507"/>
      <c r="U127" s="507"/>
      <c r="V127" s="507"/>
      <c r="W127" s="507"/>
    </row>
    <row r="128" ht="35.25" customHeight="1">
      <c r="A128" s="513" t="s">
        <v>666</v>
      </c>
      <c r="B128" s="514" t="s">
        <v>651</v>
      </c>
      <c r="C128" s="514">
        <v>4.142E7</v>
      </c>
      <c r="D128" s="516">
        <f>sum(C128:C132)</f>
        <v>125671000</v>
      </c>
      <c r="E128" s="507"/>
      <c r="F128" s="507"/>
      <c r="G128" s="507"/>
      <c r="H128" s="507"/>
      <c r="I128" s="507"/>
      <c r="J128" s="507"/>
      <c r="K128" s="507"/>
      <c r="L128" s="507"/>
      <c r="M128" s="507"/>
      <c r="N128" s="507"/>
      <c r="O128" s="507"/>
      <c r="P128" s="507"/>
      <c r="Q128" s="507"/>
      <c r="R128" s="507"/>
      <c r="S128" s="507"/>
      <c r="T128" s="507"/>
      <c r="U128" s="507"/>
      <c r="V128" s="507"/>
      <c r="W128" s="507"/>
    </row>
    <row r="129" ht="35.25" customHeight="1">
      <c r="A129" s="18"/>
      <c r="B129" s="514" t="s">
        <v>652</v>
      </c>
      <c r="C129" s="514">
        <v>1.68E7</v>
      </c>
      <c r="D129" s="18"/>
      <c r="E129" s="507"/>
      <c r="F129" s="507"/>
      <c r="G129" s="507"/>
      <c r="H129" s="507"/>
      <c r="I129" s="507"/>
      <c r="J129" s="507"/>
      <c r="K129" s="507"/>
      <c r="L129" s="507"/>
      <c r="M129" s="507"/>
      <c r="N129" s="507"/>
      <c r="O129" s="507"/>
      <c r="P129" s="507"/>
      <c r="Q129" s="507"/>
      <c r="R129" s="507"/>
      <c r="S129" s="507"/>
      <c r="T129" s="507"/>
      <c r="U129" s="507"/>
      <c r="V129" s="507"/>
      <c r="W129" s="507"/>
    </row>
    <row r="130" ht="35.25" customHeight="1">
      <c r="A130" s="18"/>
      <c r="B130" s="514" t="s">
        <v>653</v>
      </c>
      <c r="C130" s="514">
        <v>1.704E7</v>
      </c>
      <c r="D130" s="18"/>
      <c r="E130" s="507"/>
      <c r="F130" s="507"/>
      <c r="G130" s="507"/>
      <c r="H130" s="507"/>
      <c r="I130" s="507"/>
      <c r="J130" s="507"/>
      <c r="K130" s="507"/>
      <c r="L130" s="507"/>
      <c r="M130" s="507"/>
      <c r="N130" s="507"/>
      <c r="O130" s="507"/>
      <c r="P130" s="507"/>
      <c r="Q130" s="507"/>
      <c r="R130" s="507"/>
      <c r="S130" s="507"/>
      <c r="T130" s="507"/>
      <c r="U130" s="507"/>
      <c r="V130" s="507"/>
      <c r="W130" s="507"/>
    </row>
    <row r="131" ht="35.25" customHeight="1">
      <c r="A131" s="18"/>
      <c r="B131" s="514" t="s">
        <v>647</v>
      </c>
      <c r="C131" s="514">
        <v>3.0725E7</v>
      </c>
      <c r="D131" s="18"/>
      <c r="E131" s="507"/>
      <c r="F131" s="507"/>
      <c r="G131" s="507"/>
      <c r="H131" s="507"/>
      <c r="I131" s="507"/>
      <c r="J131" s="507"/>
      <c r="K131" s="507"/>
      <c r="L131" s="507"/>
      <c r="M131" s="507"/>
      <c r="N131" s="507"/>
      <c r="O131" s="507"/>
      <c r="P131" s="507"/>
      <c r="Q131" s="507"/>
      <c r="R131" s="507"/>
      <c r="S131" s="507"/>
      <c r="T131" s="507"/>
      <c r="U131" s="507"/>
      <c r="V131" s="507"/>
      <c r="W131" s="507"/>
    </row>
    <row r="132" ht="35.25" customHeight="1">
      <c r="A132" s="22"/>
      <c r="B132" s="514" t="s">
        <v>649</v>
      </c>
      <c r="C132" s="514">
        <v>1.9686E7</v>
      </c>
      <c r="D132" s="22"/>
      <c r="E132" s="507"/>
      <c r="F132" s="507"/>
      <c r="G132" s="507"/>
      <c r="H132" s="507"/>
      <c r="I132" s="507"/>
      <c r="J132" s="507"/>
      <c r="K132" s="507"/>
      <c r="L132" s="507"/>
      <c r="M132" s="507"/>
      <c r="N132" s="507"/>
      <c r="O132" s="507"/>
      <c r="P132" s="507"/>
      <c r="Q132" s="507"/>
      <c r="R132" s="507"/>
      <c r="S132" s="507"/>
      <c r="T132" s="507"/>
      <c r="U132" s="507"/>
      <c r="V132" s="507"/>
      <c r="W132" s="507"/>
    </row>
    <row r="133" ht="35.25" customHeight="1">
      <c r="A133" s="527" t="s">
        <v>47</v>
      </c>
      <c r="B133" s="588" t="s">
        <v>605</v>
      </c>
      <c r="C133" s="515">
        <v>4.0E7</v>
      </c>
      <c r="D133" s="516">
        <f>sum(C133:C137)</f>
        <v>103638500</v>
      </c>
      <c r="E133" s="507"/>
      <c r="F133" s="507"/>
      <c r="G133" s="507"/>
      <c r="H133" s="507"/>
      <c r="I133" s="507"/>
      <c r="J133" s="507"/>
      <c r="K133" s="507"/>
      <c r="L133" s="507"/>
      <c r="M133" s="507"/>
      <c r="N133" s="507"/>
      <c r="O133" s="507"/>
      <c r="P133" s="507"/>
      <c r="Q133" s="507"/>
      <c r="R133" s="507"/>
      <c r="S133" s="507"/>
      <c r="T133" s="507"/>
      <c r="U133" s="507"/>
      <c r="V133" s="507"/>
      <c r="W133" s="507"/>
    </row>
    <row r="134" ht="35.25" customHeight="1">
      <c r="A134" s="18"/>
      <c r="B134" s="524" t="s">
        <v>608</v>
      </c>
      <c r="C134" s="515">
        <v>1.2761E7</v>
      </c>
      <c r="D134" s="18"/>
      <c r="E134" s="507"/>
      <c r="F134" s="507"/>
      <c r="G134" s="507"/>
      <c r="H134" s="507"/>
      <c r="I134" s="507"/>
      <c r="J134" s="507"/>
      <c r="K134" s="507"/>
      <c r="L134" s="507"/>
      <c r="M134" s="507"/>
      <c r="N134" s="507"/>
      <c r="O134" s="507"/>
      <c r="P134" s="507"/>
      <c r="Q134" s="507"/>
      <c r="R134" s="507"/>
      <c r="S134" s="507"/>
      <c r="T134" s="507"/>
      <c r="U134" s="507"/>
      <c r="V134" s="507"/>
      <c r="W134" s="507"/>
    </row>
    <row r="135" ht="35.25" customHeight="1">
      <c r="A135" s="18"/>
      <c r="B135" s="514" t="s">
        <v>667</v>
      </c>
      <c r="C135" s="515">
        <v>1.52925E7</v>
      </c>
      <c r="D135" s="18"/>
      <c r="E135" s="507"/>
      <c r="F135" s="507"/>
      <c r="G135" s="507"/>
      <c r="H135" s="507"/>
      <c r="I135" s="507"/>
      <c r="J135" s="507"/>
      <c r="K135" s="507"/>
      <c r="L135" s="507"/>
      <c r="M135" s="507"/>
      <c r="N135" s="507"/>
      <c r="O135" s="507"/>
      <c r="P135" s="507"/>
      <c r="Q135" s="507"/>
      <c r="R135" s="507"/>
      <c r="S135" s="507"/>
      <c r="T135" s="507"/>
      <c r="U135" s="507"/>
      <c r="V135" s="507"/>
      <c r="W135" s="507"/>
    </row>
    <row r="136" ht="35.25" customHeight="1">
      <c r="A136" s="18"/>
      <c r="B136" s="524" t="s">
        <v>668</v>
      </c>
      <c r="C136" s="515">
        <v>2.0165E7</v>
      </c>
      <c r="D136" s="18"/>
      <c r="E136" s="507"/>
      <c r="F136" s="589" t="s">
        <v>50</v>
      </c>
      <c r="G136" s="538" t="s">
        <v>51</v>
      </c>
      <c r="H136" s="540">
        <v>3.58355E7</v>
      </c>
      <c r="I136" s="507"/>
      <c r="J136" s="507"/>
      <c r="K136" s="507"/>
      <c r="L136" s="507"/>
      <c r="M136" s="507"/>
      <c r="N136" s="507"/>
      <c r="O136" s="507"/>
      <c r="P136" s="507"/>
      <c r="Q136" s="507"/>
      <c r="R136" s="507"/>
      <c r="S136" s="507"/>
      <c r="T136" s="507"/>
      <c r="U136" s="507"/>
      <c r="V136" s="507"/>
      <c r="W136" s="507"/>
    </row>
    <row r="137" ht="35.25" customHeight="1">
      <c r="A137" s="22"/>
      <c r="B137" s="524" t="s">
        <v>669</v>
      </c>
      <c r="C137" s="515">
        <v>1.542E7</v>
      </c>
      <c r="D137" s="22"/>
      <c r="E137" s="507"/>
      <c r="F137" s="18"/>
      <c r="G137" s="538"/>
      <c r="H137" s="540"/>
      <c r="I137" s="507"/>
      <c r="J137" s="507"/>
      <c r="K137" s="507"/>
      <c r="L137" s="507"/>
      <c r="M137" s="507"/>
      <c r="N137" s="507"/>
      <c r="O137" s="507"/>
      <c r="P137" s="507"/>
      <c r="Q137" s="507"/>
      <c r="R137" s="507"/>
      <c r="S137" s="507"/>
      <c r="T137" s="507"/>
      <c r="U137" s="507"/>
      <c r="V137" s="507"/>
      <c r="W137" s="507"/>
    </row>
    <row r="138" ht="35.25" customHeight="1">
      <c r="A138" s="527" t="s">
        <v>56</v>
      </c>
      <c r="B138" s="514" t="s">
        <v>652</v>
      </c>
      <c r="C138" s="587">
        <v>5.0565E7</v>
      </c>
      <c r="D138" s="516">
        <f>sum(C138:C142)</f>
        <v>205955500</v>
      </c>
      <c r="E138" s="590"/>
      <c r="F138" s="18"/>
      <c r="G138" s="538"/>
      <c r="H138" s="540"/>
      <c r="I138" s="507"/>
      <c r="J138" s="507"/>
      <c r="K138" s="507"/>
      <c r="L138" s="507"/>
      <c r="M138" s="507"/>
      <c r="N138" s="507"/>
      <c r="O138" s="507"/>
      <c r="P138" s="507"/>
      <c r="Q138" s="507"/>
      <c r="R138" s="507"/>
      <c r="S138" s="507"/>
      <c r="T138" s="507"/>
      <c r="U138" s="507"/>
      <c r="V138" s="507"/>
      <c r="W138" s="507"/>
    </row>
    <row r="139" ht="35.25" customHeight="1">
      <c r="A139" s="18"/>
      <c r="B139" s="514" t="s">
        <v>653</v>
      </c>
      <c r="C139" s="587">
        <v>3.6736E7</v>
      </c>
      <c r="D139" s="18"/>
      <c r="E139" s="590"/>
      <c r="F139" s="18"/>
      <c r="G139" s="538" t="s">
        <v>57</v>
      </c>
      <c r="H139" s="540">
        <v>6.7791E7</v>
      </c>
      <c r="I139" s="507"/>
      <c r="J139" s="507"/>
      <c r="K139" s="507"/>
      <c r="L139" s="507"/>
      <c r="M139" s="507"/>
      <c r="N139" s="507"/>
      <c r="O139" s="507"/>
      <c r="P139" s="507"/>
      <c r="Q139" s="507"/>
      <c r="R139" s="507"/>
      <c r="S139" s="507"/>
      <c r="T139" s="507"/>
      <c r="U139" s="507"/>
      <c r="V139" s="507"/>
      <c r="W139" s="507"/>
    </row>
    <row r="140" ht="35.25" customHeight="1">
      <c r="A140" s="18"/>
      <c r="B140" s="514" t="s">
        <v>647</v>
      </c>
      <c r="C140" s="514">
        <v>4.00685E7</v>
      </c>
      <c r="D140" s="18"/>
      <c r="E140" s="590"/>
      <c r="F140" s="18"/>
      <c r="G140" s="507"/>
      <c r="H140" s="507"/>
      <c r="I140" s="507"/>
      <c r="J140" s="507"/>
      <c r="K140" s="507"/>
      <c r="L140" s="507"/>
      <c r="M140" s="507"/>
      <c r="N140" s="507"/>
      <c r="O140" s="507"/>
      <c r="P140" s="507"/>
      <c r="Q140" s="507"/>
      <c r="R140" s="507"/>
      <c r="S140" s="507"/>
      <c r="T140" s="507"/>
      <c r="U140" s="507"/>
      <c r="V140" s="507"/>
      <c r="W140" s="507"/>
    </row>
    <row r="141" ht="35.25" customHeight="1">
      <c r="A141" s="18"/>
      <c r="B141" s="514" t="s">
        <v>648</v>
      </c>
      <c r="C141" s="587">
        <v>4.2495E7</v>
      </c>
      <c r="D141" s="18"/>
      <c r="E141" s="507"/>
      <c r="F141" s="18"/>
      <c r="G141" s="507"/>
      <c r="H141" s="557">
        <f>SUM(H151:H152)</f>
        <v>146720000</v>
      </c>
      <c r="I141" s="507"/>
      <c r="J141" s="507"/>
      <c r="K141" s="507"/>
      <c r="L141" s="507"/>
      <c r="M141" s="507"/>
      <c r="N141" s="507"/>
      <c r="O141" s="507"/>
      <c r="P141" s="507"/>
      <c r="Q141" s="507"/>
      <c r="R141" s="507"/>
      <c r="S141" s="507"/>
      <c r="T141" s="507"/>
      <c r="U141" s="507"/>
      <c r="V141" s="507"/>
      <c r="W141" s="507"/>
    </row>
    <row r="142" ht="35.25" customHeight="1">
      <c r="A142" s="22"/>
      <c r="B142" s="514" t="s">
        <v>649</v>
      </c>
      <c r="C142" s="587">
        <v>3.6091E7</v>
      </c>
      <c r="D142" s="22"/>
      <c r="E142" s="507"/>
      <c r="F142" s="589"/>
      <c r="G142" s="507"/>
      <c r="H142" s="557"/>
      <c r="I142" s="507"/>
      <c r="J142" s="507"/>
      <c r="K142" s="507"/>
      <c r="L142" s="507"/>
      <c r="M142" s="507"/>
      <c r="N142" s="507"/>
      <c r="O142" s="507"/>
      <c r="P142" s="507"/>
      <c r="Q142" s="507"/>
      <c r="R142" s="507"/>
      <c r="S142" s="507"/>
      <c r="T142" s="507"/>
      <c r="U142" s="507"/>
      <c r="V142" s="507"/>
      <c r="W142" s="507"/>
    </row>
    <row r="143" ht="35.25" customHeight="1">
      <c r="A143" s="553" t="s">
        <v>670</v>
      </c>
      <c r="B143" s="514"/>
      <c r="C143" s="591"/>
      <c r="D143" s="516">
        <f>sum(C143:C147)</f>
        <v>203506500</v>
      </c>
      <c r="E143" s="507"/>
      <c r="F143" s="592"/>
      <c r="G143" s="538"/>
      <c r="H143" s="539"/>
      <c r="I143" s="507"/>
      <c r="J143" s="507"/>
      <c r="K143" s="507"/>
      <c r="L143" s="507"/>
      <c r="M143" s="507"/>
      <c r="N143" s="507"/>
      <c r="O143" s="507"/>
      <c r="P143" s="507"/>
      <c r="Q143" s="507"/>
      <c r="R143" s="507"/>
      <c r="S143" s="507"/>
      <c r="T143" s="507"/>
      <c r="U143" s="507"/>
      <c r="V143" s="507"/>
      <c r="W143" s="507"/>
    </row>
    <row r="144" ht="35.25" customHeight="1">
      <c r="A144" s="18"/>
      <c r="B144" s="514"/>
      <c r="C144" s="591"/>
      <c r="D144" s="18"/>
      <c r="E144" s="507"/>
      <c r="F144" s="18"/>
      <c r="G144" s="538"/>
      <c r="H144" s="539"/>
      <c r="I144" s="507"/>
      <c r="J144" s="507"/>
      <c r="K144" s="507"/>
      <c r="L144" s="507"/>
      <c r="M144" s="507"/>
      <c r="N144" s="507"/>
      <c r="O144" s="507"/>
      <c r="P144" s="507"/>
      <c r="Q144" s="507"/>
      <c r="R144" s="507"/>
      <c r="S144" s="507"/>
      <c r="T144" s="507"/>
      <c r="U144" s="507"/>
      <c r="V144" s="507"/>
      <c r="W144" s="507"/>
    </row>
    <row r="145" ht="35.25" customHeight="1">
      <c r="A145" s="18"/>
      <c r="B145" s="514" t="s">
        <v>653</v>
      </c>
      <c r="C145" s="591">
        <v>6.2506E7</v>
      </c>
      <c r="D145" s="18"/>
      <c r="E145" s="507"/>
      <c r="F145" s="18"/>
      <c r="G145" s="538"/>
      <c r="H145" s="539"/>
      <c r="I145" s="507"/>
      <c r="J145" s="507"/>
      <c r="K145" s="507"/>
      <c r="L145" s="507"/>
      <c r="M145" s="507"/>
      <c r="N145" s="507"/>
      <c r="O145" s="507"/>
      <c r="P145" s="507"/>
      <c r="Q145" s="507"/>
      <c r="R145" s="507"/>
      <c r="S145" s="507"/>
      <c r="T145" s="507"/>
      <c r="U145" s="507"/>
      <c r="V145" s="507"/>
      <c r="W145" s="507"/>
    </row>
    <row r="146" ht="35.25" customHeight="1">
      <c r="A146" s="18"/>
      <c r="B146" s="514" t="s">
        <v>647</v>
      </c>
      <c r="C146" s="591">
        <v>6.74455E7</v>
      </c>
      <c r="D146" s="18"/>
      <c r="E146" s="507"/>
      <c r="F146" s="18"/>
      <c r="G146" s="538"/>
      <c r="H146" s="539"/>
      <c r="I146" s="507"/>
      <c r="J146" s="507"/>
      <c r="K146" s="507"/>
      <c r="L146" s="507"/>
      <c r="M146" s="507"/>
      <c r="N146" s="507"/>
      <c r="O146" s="507"/>
      <c r="P146" s="507"/>
      <c r="Q146" s="507"/>
      <c r="R146" s="507"/>
      <c r="S146" s="507"/>
      <c r="T146" s="507"/>
      <c r="U146" s="507"/>
      <c r="V146" s="507"/>
      <c r="W146" s="507"/>
    </row>
    <row r="147" ht="35.25" customHeight="1">
      <c r="A147" s="18"/>
      <c r="B147" s="514" t="s">
        <v>648</v>
      </c>
      <c r="C147" s="591">
        <v>7.3555E7</v>
      </c>
      <c r="D147" s="18"/>
      <c r="E147" s="507"/>
      <c r="F147" s="18"/>
      <c r="G147" s="538"/>
      <c r="H147" s="539"/>
      <c r="I147" s="507"/>
      <c r="J147" s="507"/>
      <c r="K147" s="507"/>
      <c r="L147" s="507"/>
      <c r="M147" s="507"/>
      <c r="N147" s="507"/>
      <c r="O147" s="507"/>
      <c r="P147" s="507"/>
      <c r="Q147" s="507"/>
      <c r="R147" s="507"/>
      <c r="S147" s="507"/>
      <c r="T147" s="507"/>
      <c r="U147" s="507"/>
      <c r="V147" s="507"/>
      <c r="W147" s="507"/>
    </row>
    <row r="148" ht="35.25" customHeight="1">
      <c r="A148" s="22"/>
      <c r="B148" s="514"/>
      <c r="C148" s="591"/>
      <c r="D148" s="22"/>
      <c r="E148" s="507"/>
      <c r="F148" s="18"/>
      <c r="G148" s="538"/>
      <c r="H148" s="539"/>
      <c r="I148" s="507"/>
      <c r="J148" s="507"/>
      <c r="K148" s="507"/>
      <c r="L148" s="507"/>
      <c r="M148" s="507"/>
      <c r="N148" s="507"/>
      <c r="O148" s="507"/>
      <c r="P148" s="507"/>
      <c r="Q148" s="507"/>
      <c r="R148" s="507"/>
      <c r="S148" s="507"/>
      <c r="T148" s="507"/>
      <c r="U148" s="507"/>
      <c r="V148" s="507"/>
      <c r="W148" s="507"/>
    </row>
    <row r="149" ht="35.25" customHeight="1">
      <c r="A149" s="553" t="s">
        <v>671</v>
      </c>
      <c r="B149" s="588"/>
      <c r="C149" s="591"/>
      <c r="D149" s="516"/>
      <c r="E149" s="507"/>
      <c r="F149" s="18"/>
      <c r="G149" s="538"/>
      <c r="H149" s="539"/>
      <c r="I149" s="507"/>
      <c r="J149" s="507"/>
      <c r="K149" s="507"/>
      <c r="L149" s="507"/>
      <c r="M149" s="507"/>
      <c r="N149" s="507"/>
      <c r="O149" s="507"/>
      <c r="P149" s="507"/>
      <c r="Q149" s="507"/>
      <c r="R149" s="507"/>
      <c r="S149" s="507"/>
      <c r="T149" s="507"/>
      <c r="U149" s="507"/>
      <c r="V149" s="507"/>
      <c r="W149" s="507"/>
    </row>
    <row r="150" ht="35.25" customHeight="1">
      <c r="A150" s="18"/>
      <c r="B150" s="588"/>
      <c r="C150" s="546"/>
      <c r="D150" s="18"/>
      <c r="E150" s="507"/>
      <c r="F150" s="18"/>
      <c r="G150" s="538"/>
      <c r="H150" s="539"/>
      <c r="I150" s="507"/>
      <c r="J150" s="507"/>
      <c r="K150" s="507"/>
      <c r="L150" s="507"/>
      <c r="M150" s="507"/>
      <c r="N150" s="507"/>
      <c r="O150" s="507"/>
      <c r="P150" s="507"/>
      <c r="Q150" s="507"/>
      <c r="R150" s="507"/>
      <c r="S150" s="507"/>
      <c r="T150" s="507"/>
      <c r="U150" s="507"/>
      <c r="V150" s="507"/>
      <c r="W150" s="507"/>
    </row>
    <row r="151" ht="35.25" customHeight="1">
      <c r="A151" s="18"/>
      <c r="B151" s="514"/>
      <c r="C151" s="591"/>
      <c r="D151" s="18"/>
      <c r="E151" s="507"/>
      <c r="F151" s="18"/>
      <c r="G151" s="538"/>
      <c r="H151" s="539">
        <v>9.8639E7</v>
      </c>
      <c r="I151" s="507"/>
      <c r="J151" s="507"/>
      <c r="K151" s="507"/>
      <c r="L151" s="507"/>
      <c r="M151" s="507"/>
      <c r="N151" s="507"/>
      <c r="O151" s="507"/>
      <c r="P151" s="507"/>
      <c r="Q151" s="507"/>
      <c r="R151" s="507"/>
      <c r="S151" s="507"/>
      <c r="T151" s="507"/>
      <c r="U151" s="507"/>
      <c r="V151" s="507"/>
      <c r="W151" s="507"/>
    </row>
    <row r="152" ht="35.25" customHeight="1">
      <c r="A152" s="22"/>
      <c r="B152" s="588"/>
      <c r="C152" s="587"/>
      <c r="D152" s="22"/>
      <c r="E152" s="507"/>
      <c r="F152" s="18"/>
      <c r="G152" s="538"/>
      <c r="H152" s="539">
        <v>4.8081E7</v>
      </c>
      <c r="I152" s="507"/>
      <c r="J152" s="507"/>
      <c r="K152" s="507"/>
      <c r="L152" s="507"/>
      <c r="M152" s="507"/>
      <c r="N152" s="507"/>
      <c r="O152" s="507"/>
      <c r="P152" s="507"/>
      <c r="Q152" s="507"/>
      <c r="R152" s="507"/>
      <c r="S152" s="507"/>
      <c r="T152" s="507"/>
      <c r="U152" s="507"/>
      <c r="V152" s="507"/>
      <c r="W152" s="507"/>
    </row>
    <row r="153" ht="35.25" customHeight="1">
      <c r="A153" s="513" t="s">
        <v>61</v>
      </c>
      <c r="B153" s="514"/>
      <c r="C153" s="593"/>
      <c r="D153" s="516">
        <f>sum(C155:C156)</f>
        <v>14797000</v>
      </c>
      <c r="E153" s="507"/>
      <c r="F153" s="18"/>
      <c r="G153" s="538"/>
      <c r="H153" s="594">
        <f>SUM(H143:H152)</f>
        <v>146720000</v>
      </c>
      <c r="I153" s="507"/>
      <c r="J153" s="507"/>
      <c r="K153" s="507"/>
      <c r="L153" s="507"/>
      <c r="M153" s="507"/>
      <c r="N153" s="507"/>
      <c r="O153" s="507"/>
      <c r="P153" s="507"/>
      <c r="Q153" s="507"/>
      <c r="R153" s="507"/>
      <c r="S153" s="507"/>
      <c r="T153" s="507"/>
      <c r="U153" s="507"/>
      <c r="V153" s="507"/>
      <c r="W153" s="507"/>
    </row>
    <row r="154" ht="35.25" customHeight="1">
      <c r="A154" s="18"/>
      <c r="B154" s="514"/>
      <c r="C154" s="593"/>
      <c r="D154" s="18"/>
      <c r="E154" s="507"/>
      <c r="F154" s="586"/>
      <c r="G154" s="508"/>
      <c r="H154" s="595"/>
      <c r="I154" s="507"/>
      <c r="J154" s="507"/>
      <c r="K154" s="507"/>
      <c r="L154" s="507"/>
      <c r="M154" s="507"/>
      <c r="N154" s="507"/>
      <c r="O154" s="507"/>
      <c r="P154" s="507"/>
      <c r="Q154" s="507"/>
      <c r="R154" s="507"/>
      <c r="S154" s="507"/>
      <c r="T154" s="507"/>
      <c r="U154" s="507"/>
      <c r="V154" s="507"/>
      <c r="W154" s="507"/>
    </row>
    <row r="155" ht="35.25" customHeight="1">
      <c r="A155" s="18"/>
      <c r="B155" s="514" t="s">
        <v>647</v>
      </c>
      <c r="C155" s="593">
        <v>9077000.0</v>
      </c>
      <c r="D155" s="18"/>
      <c r="E155" s="507"/>
      <c r="F155" s="507"/>
      <c r="G155" s="507"/>
      <c r="H155" s="507"/>
      <c r="I155" s="507"/>
      <c r="J155" s="507"/>
      <c r="K155" s="507"/>
      <c r="L155" s="507"/>
      <c r="M155" s="507"/>
      <c r="N155" s="507"/>
      <c r="O155" s="507"/>
      <c r="P155" s="507"/>
      <c r="Q155" s="507"/>
      <c r="R155" s="507"/>
      <c r="S155" s="507"/>
      <c r="T155" s="507"/>
      <c r="U155" s="507"/>
      <c r="V155" s="507"/>
      <c r="W155" s="507"/>
    </row>
    <row r="156" ht="35.25" customHeight="1">
      <c r="A156" s="22"/>
      <c r="B156" s="514" t="s">
        <v>649</v>
      </c>
      <c r="C156" s="593">
        <v>5720000.0</v>
      </c>
      <c r="D156" s="22"/>
      <c r="E156" s="507"/>
      <c r="F156" s="507"/>
      <c r="G156" s="507"/>
      <c r="H156" s="507"/>
      <c r="I156" s="507"/>
      <c r="J156" s="507"/>
      <c r="K156" s="507"/>
      <c r="L156" s="507"/>
      <c r="M156" s="507"/>
      <c r="N156" s="507"/>
      <c r="O156" s="507"/>
      <c r="P156" s="507"/>
      <c r="Q156" s="507"/>
      <c r="R156" s="507"/>
      <c r="S156" s="507"/>
      <c r="T156" s="507"/>
      <c r="U156" s="507"/>
      <c r="V156" s="507"/>
      <c r="W156" s="507"/>
    </row>
    <row r="157" ht="35.25" customHeight="1">
      <c r="A157" s="536" t="s">
        <v>63</v>
      </c>
      <c r="B157" s="514"/>
      <c r="C157" s="593"/>
      <c r="D157" s="516">
        <f>sum(C157:C159)</f>
        <v>42531500</v>
      </c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  <c r="O157" s="507"/>
      <c r="P157" s="507"/>
      <c r="Q157" s="507"/>
      <c r="R157" s="507"/>
      <c r="S157" s="507"/>
      <c r="T157" s="507"/>
      <c r="U157" s="507"/>
      <c r="V157" s="507"/>
      <c r="W157" s="507"/>
    </row>
    <row r="158" ht="35.25" customHeight="1">
      <c r="A158" s="18"/>
      <c r="B158" s="514" t="s">
        <v>648</v>
      </c>
      <c r="C158" s="596">
        <v>4.25315E7</v>
      </c>
      <c r="D158" s="18"/>
      <c r="E158" s="507"/>
      <c r="F158" s="507"/>
      <c r="G158" s="507"/>
      <c r="H158" s="507"/>
      <c r="I158" s="507"/>
      <c r="J158" s="507"/>
      <c r="K158" s="507"/>
      <c r="L158" s="507"/>
      <c r="M158" s="507"/>
      <c r="N158" s="507"/>
      <c r="O158" s="507"/>
      <c r="P158" s="507"/>
      <c r="Q158" s="507"/>
      <c r="R158" s="507"/>
      <c r="S158" s="507"/>
      <c r="T158" s="507"/>
      <c r="U158" s="507"/>
      <c r="V158" s="507"/>
      <c r="W158" s="507"/>
    </row>
    <row r="159" ht="35.25" customHeight="1">
      <c r="A159" s="18"/>
      <c r="B159" s="514"/>
      <c r="C159" s="593"/>
      <c r="D159" s="18"/>
      <c r="E159" s="507"/>
      <c r="F159" s="507"/>
      <c r="G159" s="507"/>
      <c r="H159" s="507"/>
      <c r="I159" s="507"/>
      <c r="J159" s="507"/>
      <c r="K159" s="507"/>
      <c r="L159" s="507"/>
      <c r="M159" s="507"/>
      <c r="N159" s="507"/>
      <c r="O159" s="507"/>
      <c r="P159" s="507"/>
      <c r="Q159" s="507"/>
      <c r="R159" s="507"/>
      <c r="S159" s="507"/>
      <c r="T159" s="507"/>
      <c r="U159" s="507"/>
      <c r="V159" s="507"/>
      <c r="W159" s="507"/>
    </row>
    <row r="160" ht="35.25" customHeight="1">
      <c r="A160" s="22"/>
      <c r="B160" s="514"/>
      <c r="C160" s="593"/>
      <c r="D160" s="22"/>
      <c r="E160" s="507"/>
      <c r="F160" s="507"/>
      <c r="G160" s="507"/>
      <c r="H160" s="507"/>
      <c r="I160" s="507"/>
      <c r="J160" s="507"/>
      <c r="K160" s="507"/>
      <c r="L160" s="507"/>
      <c r="M160" s="507"/>
      <c r="N160" s="507"/>
      <c r="O160" s="507"/>
      <c r="P160" s="507"/>
      <c r="Q160" s="507"/>
      <c r="R160" s="507"/>
      <c r="S160" s="507"/>
      <c r="T160" s="507"/>
      <c r="U160" s="507"/>
      <c r="V160" s="507"/>
      <c r="W160" s="507"/>
    </row>
    <row r="161" ht="35.25" customHeight="1">
      <c r="A161" s="597" t="s">
        <v>64</v>
      </c>
      <c r="B161" s="514" t="s">
        <v>648</v>
      </c>
      <c r="C161" s="596">
        <v>5.54395E7</v>
      </c>
      <c r="D161" s="516">
        <f>sum(C161:C162)</f>
        <v>108341500</v>
      </c>
      <c r="E161" s="507"/>
      <c r="F161" s="507"/>
      <c r="G161" s="507"/>
      <c r="H161" s="507"/>
      <c r="I161" s="507"/>
      <c r="J161" s="507"/>
      <c r="K161" s="507"/>
      <c r="L161" s="507"/>
      <c r="M161" s="507"/>
      <c r="N161" s="507"/>
      <c r="O161" s="507"/>
      <c r="P161" s="507"/>
      <c r="Q161" s="507"/>
      <c r="R161" s="507"/>
      <c r="S161" s="507"/>
      <c r="T161" s="507"/>
      <c r="U161" s="507"/>
      <c r="V161" s="507"/>
      <c r="W161" s="507"/>
    </row>
    <row r="162" ht="35.25" customHeight="1">
      <c r="A162" s="18"/>
      <c r="B162" s="514" t="s">
        <v>672</v>
      </c>
      <c r="C162" s="596">
        <v>5.2902E7</v>
      </c>
      <c r="D162" s="18"/>
      <c r="E162" s="507"/>
      <c r="F162" s="507"/>
      <c r="G162" s="507"/>
      <c r="H162" s="507"/>
      <c r="I162" s="507"/>
      <c r="J162" s="507"/>
      <c r="K162" s="507"/>
      <c r="L162" s="507"/>
      <c r="M162" s="507"/>
      <c r="N162" s="507"/>
      <c r="O162" s="507"/>
      <c r="P162" s="507"/>
      <c r="Q162" s="507"/>
      <c r="R162" s="507"/>
      <c r="S162" s="507"/>
      <c r="T162" s="507"/>
      <c r="U162" s="507"/>
      <c r="V162" s="507"/>
      <c r="W162" s="507"/>
    </row>
    <row r="163" ht="35.25" customHeight="1">
      <c r="A163" s="18"/>
      <c r="B163" s="514"/>
      <c r="C163" s="596"/>
      <c r="D163" s="18"/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  <c r="O163" s="507"/>
      <c r="P163" s="507"/>
      <c r="Q163" s="507"/>
      <c r="R163" s="507"/>
      <c r="S163" s="507"/>
      <c r="T163" s="507"/>
      <c r="U163" s="507"/>
      <c r="V163" s="507"/>
      <c r="W163" s="507"/>
    </row>
    <row r="164" ht="35.25" customHeight="1">
      <c r="A164" s="22"/>
      <c r="B164" s="514"/>
      <c r="C164" s="596"/>
      <c r="D164" s="22"/>
      <c r="E164" s="507"/>
      <c r="F164" s="507"/>
      <c r="G164" s="507"/>
      <c r="H164" s="507"/>
      <c r="I164" s="507"/>
      <c r="J164" s="507"/>
      <c r="K164" s="525">
        <f>SUM(H164)</f>
        <v>0</v>
      </c>
      <c r="L164" s="507"/>
      <c r="M164" s="507"/>
      <c r="N164" s="507"/>
      <c r="O164" s="507"/>
      <c r="P164" s="507"/>
      <c r="Q164" s="507"/>
      <c r="R164" s="507"/>
      <c r="S164" s="507"/>
      <c r="T164" s="507"/>
      <c r="U164" s="507"/>
      <c r="V164" s="507"/>
      <c r="W164" s="507"/>
    </row>
    <row r="165" ht="35.25" customHeight="1">
      <c r="A165" s="553" t="s">
        <v>673</v>
      </c>
      <c r="B165" s="529"/>
      <c r="C165" s="598"/>
      <c r="D165" s="516">
        <f>sum(C166:C171)</f>
        <v>103734500</v>
      </c>
      <c r="E165" s="507"/>
      <c r="F165" s="599"/>
      <c r="G165" s="538"/>
      <c r="H165" s="600"/>
      <c r="I165" s="507"/>
      <c r="J165" s="507"/>
      <c r="K165" s="507"/>
      <c r="L165" s="507"/>
      <c r="M165" s="507"/>
      <c r="N165" s="507"/>
      <c r="O165" s="507"/>
      <c r="P165" s="507"/>
      <c r="Q165" s="507"/>
      <c r="R165" s="507"/>
      <c r="S165" s="507"/>
      <c r="T165" s="507"/>
      <c r="U165" s="507"/>
      <c r="V165" s="507"/>
      <c r="W165" s="507"/>
    </row>
    <row r="166" ht="35.25" customHeight="1">
      <c r="A166" s="18"/>
      <c r="B166" s="514" t="s">
        <v>651</v>
      </c>
      <c r="C166" s="598">
        <v>2.027E7</v>
      </c>
      <c r="D166" s="18"/>
      <c r="E166" s="507"/>
      <c r="F166" s="18"/>
      <c r="G166" s="538"/>
      <c r="H166" s="600"/>
      <c r="I166" s="507"/>
      <c r="J166" s="507"/>
      <c r="K166" s="507"/>
      <c r="L166" s="507"/>
      <c r="M166" s="507"/>
      <c r="N166" s="507"/>
      <c r="O166" s="507"/>
      <c r="P166" s="507"/>
      <c r="Q166" s="507"/>
      <c r="R166" s="507"/>
      <c r="S166" s="507"/>
      <c r="T166" s="507"/>
      <c r="U166" s="507"/>
      <c r="V166" s="507"/>
      <c r="W166" s="507"/>
    </row>
    <row r="167" ht="35.25" customHeight="1">
      <c r="A167" s="18"/>
      <c r="B167" s="514" t="s">
        <v>652</v>
      </c>
      <c r="C167" s="598">
        <v>3.69085E7</v>
      </c>
      <c r="D167" s="18"/>
      <c r="E167" s="507"/>
      <c r="F167" s="18"/>
      <c r="G167" s="538"/>
      <c r="H167" s="600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507"/>
      <c r="U167" s="507"/>
      <c r="V167" s="507"/>
      <c r="W167" s="507"/>
    </row>
    <row r="168" ht="35.25" customHeight="1">
      <c r="A168" s="18"/>
      <c r="B168" s="514" t="s">
        <v>653</v>
      </c>
      <c r="C168" s="598">
        <v>1.091E7</v>
      </c>
      <c r="D168" s="18"/>
      <c r="E168" s="507"/>
      <c r="F168" s="18"/>
      <c r="G168" s="538"/>
      <c r="H168" s="600"/>
      <c r="I168" s="507"/>
      <c r="J168" s="507"/>
      <c r="K168" s="507"/>
      <c r="L168" s="507"/>
      <c r="M168" s="507"/>
      <c r="N168" s="507"/>
      <c r="O168" s="507"/>
      <c r="P168" s="507"/>
      <c r="Q168" s="507"/>
      <c r="R168" s="507"/>
      <c r="S168" s="507"/>
      <c r="T168" s="507"/>
      <c r="U168" s="507"/>
      <c r="V168" s="507"/>
      <c r="W168" s="507"/>
    </row>
    <row r="169" ht="35.25" customHeight="1">
      <c r="A169" s="18"/>
      <c r="B169" s="514" t="s">
        <v>647</v>
      </c>
      <c r="C169" s="598">
        <v>1.7845E7</v>
      </c>
      <c r="D169" s="18"/>
      <c r="E169" s="507"/>
      <c r="F169" s="18"/>
      <c r="G169" s="538"/>
      <c r="H169" s="600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507"/>
      <c r="W169" s="507"/>
    </row>
    <row r="170" ht="35.25" customHeight="1">
      <c r="A170" s="18"/>
      <c r="B170" s="514" t="s">
        <v>648</v>
      </c>
      <c r="C170" s="598">
        <v>1.4066E7</v>
      </c>
      <c r="D170" s="18"/>
      <c r="E170" s="507"/>
      <c r="F170" s="18"/>
      <c r="G170" s="538"/>
      <c r="H170" s="600"/>
      <c r="I170" s="507"/>
      <c r="J170" s="507"/>
      <c r="K170" s="507"/>
      <c r="L170" s="507"/>
      <c r="M170" s="507"/>
      <c r="N170" s="507"/>
      <c r="O170" s="507"/>
      <c r="P170" s="507"/>
      <c r="Q170" s="507"/>
      <c r="R170" s="507"/>
      <c r="S170" s="507"/>
      <c r="T170" s="507"/>
      <c r="U170" s="507"/>
      <c r="V170" s="507"/>
      <c r="W170" s="507"/>
    </row>
    <row r="171" ht="35.25" customHeight="1">
      <c r="A171" s="22"/>
      <c r="B171" s="514" t="s">
        <v>649</v>
      </c>
      <c r="C171" s="598">
        <v>3735000.0</v>
      </c>
      <c r="D171" s="22"/>
      <c r="E171" s="507"/>
      <c r="F171" s="18"/>
      <c r="G171" s="538"/>
      <c r="H171" s="600"/>
      <c r="I171" s="507"/>
      <c r="J171" s="507"/>
      <c r="K171" s="507"/>
      <c r="L171" s="507"/>
      <c r="M171" s="507"/>
      <c r="N171" s="507"/>
      <c r="O171" s="507"/>
      <c r="P171" s="507"/>
      <c r="Q171" s="507"/>
      <c r="R171" s="507"/>
      <c r="S171" s="507"/>
      <c r="T171" s="507"/>
      <c r="U171" s="507"/>
      <c r="V171" s="507"/>
      <c r="W171" s="507"/>
    </row>
    <row r="172" ht="35.25" customHeight="1">
      <c r="A172" s="536" t="s">
        <v>68</v>
      </c>
      <c r="B172" s="514" t="s">
        <v>648</v>
      </c>
      <c r="C172" s="598">
        <v>2.58795E7</v>
      </c>
      <c r="D172" s="516">
        <f>sum(C172:C173)</f>
        <v>66376500</v>
      </c>
      <c r="E172" s="507"/>
      <c r="F172" s="18"/>
      <c r="G172" s="538"/>
      <c r="H172" s="594"/>
      <c r="I172" s="601"/>
      <c r="J172" s="602"/>
      <c r="K172" s="603"/>
      <c r="L172" s="507"/>
      <c r="M172" s="507"/>
      <c r="N172" s="507"/>
      <c r="O172" s="507"/>
      <c r="P172" s="507"/>
      <c r="Q172" s="507"/>
      <c r="R172" s="507"/>
      <c r="S172" s="507"/>
      <c r="T172" s="507"/>
      <c r="U172" s="507"/>
      <c r="V172" s="507"/>
      <c r="W172" s="507"/>
    </row>
    <row r="173" ht="35.25" customHeight="1">
      <c r="A173" s="18"/>
      <c r="B173" s="514" t="s">
        <v>674</v>
      </c>
      <c r="C173" s="598">
        <v>4.0497E7</v>
      </c>
      <c r="D173" s="18"/>
      <c r="E173" s="507"/>
      <c r="F173" s="22"/>
      <c r="G173" s="538"/>
      <c r="H173" s="594"/>
      <c r="I173" s="604"/>
      <c r="J173" s="605"/>
      <c r="K173" s="606"/>
      <c r="L173" s="507"/>
      <c r="M173" s="507"/>
      <c r="N173" s="507"/>
      <c r="O173" s="507"/>
      <c r="P173" s="507"/>
      <c r="Q173" s="507"/>
      <c r="R173" s="507"/>
      <c r="S173" s="507"/>
      <c r="T173" s="507"/>
      <c r="U173" s="507"/>
      <c r="V173" s="507"/>
      <c r="W173" s="507"/>
    </row>
    <row r="174" ht="35.25" customHeight="1">
      <c r="A174" s="18"/>
      <c r="B174" s="514"/>
      <c r="C174" s="598"/>
      <c r="D174" s="18"/>
      <c r="E174" s="507"/>
      <c r="F174" s="507"/>
      <c r="G174" s="507"/>
      <c r="H174" s="507"/>
      <c r="I174" s="18"/>
      <c r="J174" s="607"/>
      <c r="K174" s="608"/>
      <c r="L174" s="507"/>
      <c r="M174" s="507"/>
      <c r="N174" s="507"/>
      <c r="O174" s="507"/>
      <c r="P174" s="507"/>
      <c r="Q174" s="507"/>
      <c r="R174" s="507"/>
      <c r="S174" s="507"/>
      <c r="T174" s="507"/>
      <c r="U174" s="507"/>
      <c r="V174" s="507"/>
      <c r="W174" s="507"/>
    </row>
    <row r="175" ht="35.25" customHeight="1">
      <c r="A175" s="22"/>
      <c r="B175" s="514"/>
      <c r="C175" s="598"/>
      <c r="D175" s="22"/>
      <c r="E175" s="507"/>
      <c r="F175" s="609"/>
      <c r="G175" s="538"/>
      <c r="I175" s="18"/>
      <c r="J175" s="607"/>
      <c r="K175" s="608"/>
      <c r="L175" s="507"/>
      <c r="M175" s="507"/>
      <c r="N175" s="507"/>
      <c r="O175" s="507"/>
      <c r="P175" s="507"/>
      <c r="Q175" s="507"/>
      <c r="R175" s="507"/>
      <c r="S175" s="507"/>
      <c r="T175" s="507"/>
      <c r="U175" s="507"/>
      <c r="V175" s="507"/>
      <c r="W175" s="507"/>
    </row>
    <row r="176" ht="35.25" customHeight="1">
      <c r="A176" s="536" t="s">
        <v>75</v>
      </c>
      <c r="B176" s="514" t="s">
        <v>648</v>
      </c>
      <c r="C176" s="598">
        <v>2.7096E7</v>
      </c>
      <c r="D176" s="516">
        <f>sum(C176:C177)</f>
        <v>60958000</v>
      </c>
      <c r="E176" s="507"/>
      <c r="F176" s="22"/>
      <c r="G176" s="538"/>
      <c r="I176" s="18"/>
      <c r="J176" s="607"/>
      <c r="K176" s="610"/>
      <c r="L176" s="507"/>
      <c r="M176" s="507"/>
      <c r="N176" s="507"/>
      <c r="O176" s="507"/>
      <c r="P176" s="507"/>
      <c r="Q176" s="507"/>
      <c r="R176" s="507"/>
      <c r="S176" s="507"/>
      <c r="T176" s="507"/>
      <c r="U176" s="507"/>
      <c r="V176" s="507"/>
      <c r="W176" s="507"/>
    </row>
    <row r="177" ht="35.25" customHeight="1">
      <c r="A177" s="18"/>
      <c r="B177" s="514" t="s">
        <v>649</v>
      </c>
      <c r="C177" s="598">
        <v>3.3862E7</v>
      </c>
      <c r="D177" s="18"/>
      <c r="E177" s="507"/>
      <c r="F177" s="507"/>
      <c r="G177" s="507"/>
      <c r="H177" s="507"/>
      <c r="I177" s="18"/>
      <c r="J177" s="607"/>
      <c r="K177" s="610"/>
      <c r="L177" s="507"/>
      <c r="M177" s="507"/>
      <c r="N177" s="507"/>
      <c r="O177" s="507"/>
      <c r="P177" s="507"/>
      <c r="Q177" s="507"/>
      <c r="R177" s="507"/>
      <c r="S177" s="507"/>
      <c r="T177" s="507"/>
      <c r="U177" s="507"/>
      <c r="V177" s="507"/>
      <c r="W177" s="507"/>
    </row>
    <row r="178" ht="35.25" customHeight="1">
      <c r="A178" s="18"/>
      <c r="B178" s="514"/>
      <c r="C178" s="598"/>
      <c r="D178" s="18"/>
      <c r="E178" s="507"/>
      <c r="F178" s="507"/>
      <c r="G178" s="507"/>
      <c r="H178" s="507"/>
      <c r="I178" s="22"/>
      <c r="J178" s="607"/>
      <c r="K178" s="611"/>
      <c r="L178" s="507"/>
      <c r="M178" s="507"/>
      <c r="N178" s="507"/>
      <c r="O178" s="507"/>
      <c r="P178" s="507"/>
      <c r="Q178" s="507"/>
      <c r="R178" s="507"/>
      <c r="S178" s="507"/>
      <c r="T178" s="507"/>
      <c r="U178" s="507"/>
      <c r="V178" s="507"/>
      <c r="W178" s="507"/>
    </row>
    <row r="179" ht="35.25" customHeight="1">
      <c r="A179" s="22"/>
      <c r="B179" s="514"/>
      <c r="C179" s="598"/>
      <c r="D179" s="22"/>
      <c r="E179" s="507"/>
      <c r="F179" s="507"/>
      <c r="G179" s="525"/>
      <c r="H179" s="507"/>
      <c r="I179" s="507"/>
      <c r="J179" s="507"/>
      <c r="K179" s="507"/>
      <c r="L179" s="507"/>
      <c r="M179" s="507"/>
      <c r="N179" s="507"/>
      <c r="O179" s="507"/>
      <c r="P179" s="507"/>
      <c r="Q179" s="507"/>
      <c r="R179" s="507"/>
      <c r="S179" s="507"/>
      <c r="T179" s="507"/>
      <c r="U179" s="507"/>
      <c r="V179" s="507"/>
      <c r="W179" s="507"/>
    </row>
    <row r="180" ht="35.25" customHeight="1">
      <c r="A180" s="536" t="s">
        <v>79</v>
      </c>
      <c r="B180" s="514"/>
      <c r="C180" s="598"/>
      <c r="D180" s="516">
        <f>sum(C181:C182)</f>
        <v>114174000</v>
      </c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  <c r="O180" s="507"/>
      <c r="P180" s="507"/>
      <c r="Q180" s="507"/>
      <c r="R180" s="507"/>
      <c r="S180" s="507"/>
      <c r="T180" s="507"/>
      <c r="U180" s="507"/>
      <c r="V180" s="507"/>
      <c r="W180" s="507"/>
    </row>
    <row r="181" ht="35.25" customHeight="1">
      <c r="A181" s="18"/>
      <c r="B181" s="514" t="s">
        <v>648</v>
      </c>
      <c r="C181" s="612">
        <v>4.9761E7</v>
      </c>
      <c r="D181" s="18"/>
      <c r="E181" s="507"/>
      <c r="F181" s="507"/>
      <c r="G181" s="507"/>
      <c r="H181" s="507"/>
      <c r="I181" s="507"/>
      <c r="J181" s="507"/>
      <c r="K181" s="507"/>
      <c r="L181" s="507"/>
      <c r="M181" s="507"/>
      <c r="N181" s="507"/>
      <c r="O181" s="507"/>
      <c r="P181" s="507"/>
      <c r="Q181" s="507"/>
      <c r="R181" s="507"/>
      <c r="S181" s="507"/>
      <c r="T181" s="507"/>
      <c r="U181" s="507"/>
      <c r="V181" s="507"/>
      <c r="W181" s="507"/>
    </row>
    <row r="182" ht="35.25" customHeight="1">
      <c r="A182" s="18"/>
      <c r="B182" s="514" t="s">
        <v>649</v>
      </c>
      <c r="C182" s="598">
        <v>6.4413E7</v>
      </c>
      <c r="D182" s="18"/>
      <c r="E182" s="507"/>
      <c r="F182" s="613"/>
      <c r="G182" s="614"/>
      <c r="H182" s="615"/>
      <c r="I182" s="507"/>
      <c r="J182" s="507"/>
      <c r="K182" s="507"/>
      <c r="L182" s="507"/>
      <c r="M182" s="507"/>
      <c r="N182" s="507"/>
      <c r="O182" s="507"/>
      <c r="P182" s="507"/>
      <c r="Q182" s="507"/>
      <c r="R182" s="507"/>
      <c r="S182" s="507"/>
      <c r="T182" s="507"/>
      <c r="U182" s="507"/>
      <c r="V182" s="507"/>
      <c r="W182" s="507"/>
    </row>
    <row r="183" ht="35.25" customHeight="1">
      <c r="A183" s="22"/>
      <c r="B183" s="514"/>
      <c r="C183" s="612"/>
      <c r="D183" s="22"/>
      <c r="E183" s="507"/>
      <c r="F183" s="18"/>
      <c r="G183" s="614"/>
      <c r="H183" s="615"/>
      <c r="I183" s="507"/>
      <c r="J183" s="507"/>
      <c r="K183" s="507"/>
      <c r="L183" s="507"/>
      <c r="M183" s="507"/>
      <c r="N183" s="507"/>
      <c r="O183" s="507"/>
      <c r="P183" s="507"/>
      <c r="Q183" s="507"/>
      <c r="R183" s="507"/>
      <c r="S183" s="507"/>
      <c r="T183" s="507"/>
      <c r="U183" s="507"/>
      <c r="V183" s="507"/>
      <c r="W183" s="507"/>
    </row>
    <row r="184" ht="35.25" customHeight="1">
      <c r="A184" s="553" t="s">
        <v>675</v>
      </c>
      <c r="B184" s="514"/>
      <c r="C184" s="616"/>
      <c r="D184" s="516">
        <f>sum(C185:C187)</f>
        <v>103576000</v>
      </c>
      <c r="E184" s="507"/>
      <c r="F184" s="507"/>
      <c r="G184" s="507"/>
      <c r="H184" s="507"/>
      <c r="I184" s="599"/>
      <c r="J184" s="538"/>
      <c r="K184" s="600"/>
      <c r="L184" s="507"/>
      <c r="M184" s="507"/>
      <c r="N184" s="507"/>
      <c r="O184" s="507"/>
      <c r="P184" s="507"/>
      <c r="Q184" s="507"/>
      <c r="R184" s="507"/>
      <c r="S184" s="507"/>
      <c r="T184" s="507"/>
      <c r="U184" s="507"/>
      <c r="V184" s="507"/>
      <c r="W184" s="507"/>
    </row>
    <row r="185" ht="35.25" customHeight="1">
      <c r="A185" s="18"/>
      <c r="B185" s="514" t="s">
        <v>652</v>
      </c>
      <c r="C185" s="616">
        <v>3.81955E7</v>
      </c>
      <c r="D185" s="18"/>
      <c r="E185" s="507"/>
      <c r="F185" s="507"/>
      <c r="G185" s="507"/>
      <c r="H185" s="507"/>
      <c r="I185" s="18"/>
      <c r="J185" s="538"/>
      <c r="K185" s="600"/>
      <c r="L185" s="507"/>
      <c r="M185" s="507"/>
      <c r="N185" s="507"/>
      <c r="O185" s="507"/>
      <c r="P185" s="507"/>
      <c r="Q185" s="507"/>
      <c r="R185" s="507"/>
      <c r="S185" s="507"/>
      <c r="T185" s="507"/>
      <c r="U185" s="507"/>
      <c r="V185" s="507"/>
      <c r="W185" s="507"/>
    </row>
    <row r="186" ht="35.25" customHeight="1">
      <c r="A186" s="18"/>
      <c r="B186" s="514" t="s">
        <v>653</v>
      </c>
      <c r="C186" s="616">
        <v>2.27895E7</v>
      </c>
      <c r="D186" s="18"/>
      <c r="E186" s="507"/>
      <c r="F186" s="507"/>
      <c r="G186" s="507"/>
      <c r="H186" s="507"/>
      <c r="I186" s="18"/>
      <c r="J186" s="538"/>
      <c r="K186" s="600"/>
      <c r="L186" s="507"/>
      <c r="M186" s="507"/>
      <c r="N186" s="507"/>
      <c r="O186" s="507"/>
      <c r="P186" s="507"/>
      <c r="Q186" s="507"/>
      <c r="R186" s="507"/>
      <c r="S186" s="507"/>
      <c r="T186" s="507"/>
      <c r="U186" s="507"/>
      <c r="V186" s="507"/>
      <c r="W186" s="507"/>
    </row>
    <row r="187" ht="35.25" customHeight="1">
      <c r="A187" s="18"/>
      <c r="B187" s="514" t="s">
        <v>647</v>
      </c>
      <c r="C187" s="616">
        <v>4.2591E7</v>
      </c>
      <c r="D187" s="18"/>
      <c r="E187" s="507"/>
      <c r="F187" s="507"/>
      <c r="G187" s="507"/>
      <c r="H187" s="507"/>
      <c r="I187" s="18"/>
      <c r="J187" s="538"/>
      <c r="K187" s="600"/>
      <c r="L187" s="507"/>
      <c r="M187" s="507"/>
      <c r="N187" s="507"/>
      <c r="O187" s="507"/>
      <c r="P187" s="507"/>
      <c r="Q187" s="507"/>
      <c r="R187" s="507"/>
      <c r="S187" s="507"/>
      <c r="T187" s="507"/>
      <c r="U187" s="507"/>
      <c r="V187" s="507"/>
      <c r="W187" s="507"/>
    </row>
    <row r="188" ht="35.25" customHeight="1">
      <c r="A188" s="22"/>
      <c r="B188" s="514"/>
      <c r="C188" s="616"/>
      <c r="D188" s="22"/>
      <c r="E188" s="507"/>
      <c r="F188" s="507"/>
      <c r="G188" s="507"/>
      <c r="H188" s="507"/>
      <c r="I188" s="18"/>
      <c r="J188" s="538"/>
      <c r="K188" s="600"/>
      <c r="L188" s="507"/>
      <c r="M188" s="507"/>
      <c r="N188" s="507"/>
      <c r="O188" s="507"/>
      <c r="P188" s="507"/>
      <c r="Q188" s="507"/>
      <c r="R188" s="507"/>
      <c r="S188" s="507"/>
      <c r="T188" s="507"/>
      <c r="U188" s="507"/>
      <c r="V188" s="507"/>
      <c r="W188" s="507"/>
    </row>
    <row r="189" ht="35.25" customHeight="1">
      <c r="A189" s="609" t="s">
        <v>86</v>
      </c>
      <c r="B189" s="514" t="s">
        <v>676</v>
      </c>
      <c r="C189" s="617">
        <v>4.0578E7</v>
      </c>
      <c r="D189" s="618">
        <f>sum(C189:C192)</f>
        <v>180136500</v>
      </c>
      <c r="E189" s="507"/>
      <c r="F189" s="507"/>
      <c r="G189" s="507"/>
      <c r="H189" s="507"/>
      <c r="I189" s="18"/>
      <c r="J189" s="542"/>
      <c r="K189" s="539"/>
      <c r="L189" s="507"/>
      <c r="M189" s="507"/>
      <c r="N189" s="507"/>
      <c r="O189" s="507"/>
      <c r="P189" s="507"/>
      <c r="Q189" s="507"/>
      <c r="R189" s="507"/>
      <c r="S189" s="507"/>
      <c r="T189" s="507"/>
      <c r="U189" s="507"/>
      <c r="V189" s="507"/>
      <c r="W189" s="507"/>
    </row>
    <row r="190" ht="35.25" customHeight="1">
      <c r="A190" s="18"/>
      <c r="B190" s="514" t="s">
        <v>677</v>
      </c>
      <c r="C190" s="617">
        <v>3.5915E7</v>
      </c>
      <c r="D190" s="18"/>
      <c r="E190" s="507"/>
      <c r="F190" s="507"/>
      <c r="G190" s="507"/>
      <c r="H190" s="507"/>
      <c r="I190" s="18"/>
      <c r="J190" s="542"/>
      <c r="K190" s="539"/>
      <c r="L190" s="507"/>
      <c r="M190" s="507"/>
      <c r="N190" s="507"/>
      <c r="O190" s="507"/>
      <c r="P190" s="507"/>
      <c r="Q190" s="507"/>
      <c r="R190" s="507"/>
      <c r="S190" s="507"/>
      <c r="T190" s="507"/>
      <c r="U190" s="507"/>
      <c r="V190" s="507"/>
      <c r="W190" s="507"/>
    </row>
    <row r="191" ht="35.25" customHeight="1">
      <c r="A191" s="18"/>
      <c r="B191" s="514" t="s">
        <v>678</v>
      </c>
      <c r="C191" s="619">
        <v>5.77835E7</v>
      </c>
      <c r="D191" s="18"/>
      <c r="E191" s="507"/>
      <c r="F191" s="507"/>
      <c r="G191" s="507"/>
      <c r="H191" s="507"/>
      <c r="I191" s="18"/>
      <c r="J191" s="538"/>
      <c r="K191" s="600"/>
      <c r="L191" s="507"/>
      <c r="M191" s="507"/>
      <c r="N191" s="507"/>
      <c r="O191" s="507"/>
      <c r="P191" s="507"/>
      <c r="Q191" s="507"/>
      <c r="R191" s="507"/>
      <c r="S191" s="507"/>
      <c r="T191" s="507"/>
      <c r="U191" s="507"/>
      <c r="V191" s="507"/>
      <c r="W191" s="507"/>
    </row>
    <row r="192" ht="35.25" customHeight="1">
      <c r="A192" s="18"/>
      <c r="B192" s="524" t="s">
        <v>679</v>
      </c>
      <c r="C192" s="620">
        <v>4.586E7</v>
      </c>
      <c r="D192" s="18"/>
      <c r="E192" s="507"/>
      <c r="F192" s="507"/>
      <c r="G192" s="507"/>
      <c r="H192" s="507"/>
      <c r="I192" s="18"/>
      <c r="J192" s="538"/>
      <c r="K192" s="600"/>
      <c r="L192" s="507"/>
      <c r="M192" s="507"/>
      <c r="N192" s="507"/>
      <c r="O192" s="507"/>
      <c r="P192" s="507"/>
      <c r="Q192" s="507"/>
      <c r="R192" s="507"/>
      <c r="S192" s="507"/>
      <c r="T192" s="507"/>
      <c r="U192" s="507"/>
      <c r="V192" s="507"/>
      <c r="W192" s="507"/>
    </row>
    <row r="193" ht="35.25" customHeight="1">
      <c r="A193" s="22"/>
      <c r="B193" s="524"/>
      <c r="C193" s="620"/>
      <c r="D193" s="22"/>
      <c r="E193" s="507"/>
      <c r="F193" s="507"/>
      <c r="G193" s="507"/>
      <c r="H193" s="507"/>
      <c r="I193" s="18"/>
      <c r="J193" s="538"/>
      <c r="K193" s="600"/>
      <c r="L193" s="507"/>
      <c r="M193" s="507"/>
      <c r="N193" s="507"/>
      <c r="O193" s="507"/>
      <c r="P193" s="507"/>
      <c r="Q193" s="507"/>
      <c r="R193" s="507"/>
      <c r="S193" s="507"/>
      <c r="T193" s="507"/>
      <c r="U193" s="507"/>
      <c r="V193" s="507"/>
      <c r="W193" s="507"/>
    </row>
    <row r="194" ht="35.25" customHeight="1">
      <c r="A194" s="599" t="s">
        <v>87</v>
      </c>
      <c r="B194" s="547" t="s">
        <v>676</v>
      </c>
      <c r="C194" s="621">
        <v>5.529E7</v>
      </c>
      <c r="D194" s="618">
        <f>sum(C194:C197)</f>
        <v>150692250</v>
      </c>
      <c r="E194" s="507"/>
      <c r="F194" s="507"/>
      <c r="G194" s="507"/>
      <c r="H194" s="507"/>
      <c r="I194" s="18"/>
      <c r="J194" s="542"/>
      <c r="K194" s="539"/>
      <c r="L194" s="507"/>
      <c r="M194" s="507"/>
      <c r="N194" s="507"/>
      <c r="O194" s="507"/>
      <c r="P194" s="507"/>
      <c r="Q194" s="507"/>
      <c r="R194" s="507"/>
      <c r="S194" s="507"/>
      <c r="T194" s="507"/>
      <c r="U194" s="507"/>
      <c r="V194" s="507"/>
      <c r="W194" s="507"/>
    </row>
    <row r="195" ht="35.25" customHeight="1">
      <c r="A195" s="18"/>
      <c r="B195" s="514" t="s">
        <v>677</v>
      </c>
      <c r="C195" s="622">
        <v>2.97135E7</v>
      </c>
      <c r="D195" s="18"/>
      <c r="E195" s="507"/>
      <c r="F195" s="507"/>
      <c r="G195" s="507"/>
      <c r="H195" s="507"/>
      <c r="I195" s="18"/>
      <c r="J195" s="542"/>
      <c r="K195" s="539"/>
      <c r="L195" s="507"/>
      <c r="M195" s="507"/>
      <c r="N195" s="507"/>
      <c r="O195" s="507"/>
      <c r="P195" s="507"/>
      <c r="Q195" s="507"/>
      <c r="R195" s="507"/>
      <c r="S195" s="507"/>
      <c r="T195" s="507"/>
      <c r="U195" s="507"/>
      <c r="V195" s="507"/>
      <c r="W195" s="507"/>
    </row>
    <row r="196" ht="35.25" customHeight="1">
      <c r="A196" s="18"/>
      <c r="B196" s="514" t="s">
        <v>680</v>
      </c>
      <c r="C196" s="622">
        <v>2.4697E7</v>
      </c>
      <c r="D196" s="18"/>
      <c r="E196" s="507"/>
      <c r="F196" s="507"/>
      <c r="G196" s="507"/>
      <c r="H196" s="507"/>
      <c r="I196" s="18"/>
      <c r="J196" s="542"/>
      <c r="K196" s="539"/>
      <c r="L196" s="507"/>
      <c r="M196" s="507"/>
      <c r="N196" s="507"/>
      <c r="O196" s="507"/>
      <c r="P196" s="507"/>
      <c r="Q196" s="507"/>
      <c r="R196" s="507"/>
      <c r="S196" s="507"/>
      <c r="T196" s="507"/>
      <c r="U196" s="507"/>
      <c r="V196" s="507"/>
      <c r="W196" s="507"/>
    </row>
    <row r="197" ht="35.25" customHeight="1">
      <c r="A197" s="18"/>
      <c r="B197" s="588" t="s">
        <v>679</v>
      </c>
      <c r="C197" s="622">
        <v>4.099175E7</v>
      </c>
      <c r="D197" s="18"/>
      <c r="E197" s="507"/>
      <c r="F197" s="507"/>
      <c r="G197" s="507"/>
      <c r="H197" s="507"/>
      <c r="I197" s="22"/>
      <c r="J197" s="542"/>
      <c r="K197" s="594"/>
      <c r="L197" s="507"/>
      <c r="M197" s="507"/>
      <c r="N197" s="507"/>
      <c r="O197" s="507"/>
      <c r="P197" s="507"/>
      <c r="Q197" s="507"/>
      <c r="R197" s="507"/>
      <c r="S197" s="507"/>
      <c r="T197" s="507"/>
      <c r="U197" s="507"/>
      <c r="V197" s="507"/>
      <c r="W197" s="507"/>
    </row>
    <row r="198" ht="35.25" customHeight="1">
      <c r="A198" s="22"/>
      <c r="B198" s="588"/>
      <c r="C198" s="622"/>
      <c r="D198" s="22"/>
      <c r="E198" s="507"/>
      <c r="F198" s="507"/>
      <c r="G198" s="507"/>
      <c r="H198" s="507"/>
      <c r="I198" s="623"/>
      <c r="J198" s="525"/>
      <c r="K198" s="595"/>
      <c r="L198" s="507"/>
      <c r="M198" s="507"/>
      <c r="N198" s="507"/>
      <c r="O198" s="507"/>
      <c r="P198" s="507"/>
      <c r="Q198" s="507"/>
      <c r="R198" s="507"/>
      <c r="S198" s="507"/>
      <c r="T198" s="507"/>
      <c r="U198" s="507"/>
      <c r="V198" s="507"/>
      <c r="W198" s="507"/>
    </row>
    <row r="199" ht="35.25" customHeight="1">
      <c r="A199" s="599" t="s">
        <v>90</v>
      </c>
      <c r="B199" s="514" t="s">
        <v>676</v>
      </c>
      <c r="C199" s="624" t="s">
        <v>681</v>
      </c>
      <c r="D199" s="618">
        <f>sum(C202)</f>
        <v>39335500</v>
      </c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  <c r="O199" s="507"/>
      <c r="P199" s="507"/>
      <c r="Q199" s="507"/>
      <c r="R199" s="507"/>
      <c r="S199" s="507"/>
      <c r="T199" s="507"/>
      <c r="U199" s="507"/>
      <c r="V199" s="507"/>
      <c r="W199" s="507"/>
    </row>
    <row r="200" ht="35.25" customHeight="1">
      <c r="A200" s="18"/>
      <c r="B200" s="514" t="s">
        <v>677</v>
      </c>
      <c r="C200" s="625" t="s">
        <v>681</v>
      </c>
      <c r="D200" s="18"/>
      <c r="E200" s="507"/>
      <c r="F200" s="507"/>
      <c r="G200" s="507"/>
      <c r="H200" s="507"/>
      <c r="I200" s="507"/>
      <c r="J200" s="507"/>
      <c r="K200" s="507"/>
      <c r="L200" s="507"/>
      <c r="M200" s="507"/>
      <c r="N200" s="507"/>
      <c r="O200" s="507"/>
      <c r="P200" s="507"/>
      <c r="Q200" s="507"/>
      <c r="R200" s="507"/>
      <c r="S200" s="507"/>
      <c r="T200" s="507"/>
      <c r="U200" s="507"/>
      <c r="V200" s="507"/>
      <c r="W200" s="507"/>
    </row>
    <row r="201" ht="35.25" customHeight="1">
      <c r="A201" s="18"/>
      <c r="B201" s="514" t="s">
        <v>682</v>
      </c>
      <c r="C201" s="625" t="s">
        <v>681</v>
      </c>
      <c r="D201" s="18"/>
      <c r="E201" s="626"/>
      <c r="F201" s="507"/>
      <c r="G201" s="507"/>
      <c r="H201" s="507"/>
      <c r="I201" s="507"/>
      <c r="J201" s="507"/>
      <c r="K201" s="507"/>
      <c r="L201" s="507"/>
      <c r="M201" s="507"/>
      <c r="N201" s="507"/>
      <c r="O201" s="507"/>
      <c r="P201" s="507"/>
      <c r="Q201" s="507"/>
      <c r="R201" s="507"/>
      <c r="S201" s="507"/>
      <c r="T201" s="507"/>
      <c r="U201" s="507"/>
      <c r="V201" s="507"/>
      <c r="W201" s="507"/>
    </row>
    <row r="202" ht="35.25" customHeight="1">
      <c r="A202" s="18"/>
      <c r="B202" s="514" t="s">
        <v>679</v>
      </c>
      <c r="C202" s="622">
        <v>3.93355E7</v>
      </c>
      <c r="D202" s="18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  <c r="O202" s="507"/>
      <c r="P202" s="507"/>
      <c r="Q202" s="507"/>
      <c r="R202" s="507"/>
      <c r="S202" s="507"/>
      <c r="T202" s="507"/>
      <c r="U202" s="507"/>
      <c r="V202" s="507"/>
      <c r="W202" s="507"/>
    </row>
    <row r="203" ht="35.25" customHeight="1">
      <c r="A203" s="22"/>
      <c r="B203" s="514"/>
      <c r="C203" s="622"/>
      <c r="D203" s="22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  <c r="O203" s="507"/>
      <c r="P203" s="507"/>
      <c r="Q203" s="507"/>
      <c r="R203" s="507"/>
      <c r="S203" s="507"/>
      <c r="T203" s="507"/>
      <c r="U203" s="507"/>
      <c r="V203" s="507"/>
      <c r="W203" s="507"/>
    </row>
    <row r="204" ht="35.25" customHeight="1">
      <c r="A204" s="609" t="s">
        <v>610</v>
      </c>
      <c r="B204" s="514" t="s">
        <v>683</v>
      </c>
      <c r="C204" s="627" t="s">
        <v>684</v>
      </c>
      <c r="D204" s="618">
        <f>sum(C208)</f>
        <v>45115500</v>
      </c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  <c r="O204" s="507"/>
      <c r="P204" s="507"/>
      <c r="Q204" s="507"/>
      <c r="R204" s="507"/>
      <c r="S204" s="507"/>
      <c r="T204" s="507"/>
      <c r="U204" s="507"/>
      <c r="V204" s="507"/>
      <c r="W204" s="507"/>
    </row>
    <row r="205" ht="35.25" customHeight="1">
      <c r="A205" s="18"/>
      <c r="B205" s="514" t="s">
        <v>676</v>
      </c>
      <c r="C205" s="627" t="s">
        <v>684</v>
      </c>
      <c r="D205" s="18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R205" s="507"/>
      <c r="S205" s="507"/>
      <c r="T205" s="507"/>
      <c r="U205" s="507"/>
      <c r="V205" s="507"/>
      <c r="W205" s="507"/>
    </row>
    <row r="206" ht="35.25" customHeight="1">
      <c r="A206" s="18"/>
      <c r="B206" s="514" t="s">
        <v>677</v>
      </c>
      <c r="C206" s="627" t="s">
        <v>684</v>
      </c>
      <c r="D206" s="18"/>
      <c r="E206" s="507"/>
      <c r="F206" s="507"/>
      <c r="G206" s="507"/>
      <c r="H206" s="507"/>
      <c r="I206" s="507"/>
      <c r="J206" s="507"/>
      <c r="K206" s="507"/>
      <c r="L206" s="507"/>
      <c r="M206" s="507"/>
      <c r="N206" s="507"/>
      <c r="O206" s="507"/>
      <c r="P206" s="507"/>
      <c r="Q206" s="507"/>
      <c r="R206" s="507"/>
      <c r="S206" s="507"/>
      <c r="T206" s="507"/>
      <c r="U206" s="507"/>
      <c r="V206" s="507"/>
      <c r="W206" s="507"/>
    </row>
    <row r="207" ht="35.25" customHeight="1">
      <c r="A207" s="18"/>
      <c r="B207" s="514" t="s">
        <v>678</v>
      </c>
      <c r="C207" s="627" t="s">
        <v>684</v>
      </c>
      <c r="D207" s="18"/>
      <c r="E207" s="628"/>
      <c r="F207" s="628"/>
      <c r="G207" s="507"/>
      <c r="H207" s="507"/>
      <c r="I207" s="507"/>
      <c r="J207" s="507"/>
      <c r="K207" s="507"/>
      <c r="L207" s="507"/>
      <c r="M207" s="507"/>
      <c r="N207" s="507"/>
      <c r="O207" s="507"/>
      <c r="P207" s="507"/>
      <c r="Q207" s="507"/>
      <c r="R207" s="507"/>
      <c r="S207" s="507"/>
      <c r="T207" s="507"/>
      <c r="U207" s="507"/>
      <c r="V207" s="507"/>
      <c r="W207" s="507"/>
    </row>
    <row r="208" ht="35.25" customHeight="1">
      <c r="A208" s="22"/>
      <c r="B208" s="629" t="s">
        <v>679</v>
      </c>
      <c r="C208" s="630">
        <v>4.51155E7</v>
      </c>
      <c r="D208" s="22"/>
      <c r="E208" s="628"/>
      <c r="F208" s="628"/>
      <c r="G208" s="507"/>
      <c r="H208" s="507"/>
      <c r="I208" s="507"/>
      <c r="J208" s="507"/>
      <c r="K208" s="507"/>
      <c r="L208" s="507"/>
      <c r="M208" s="507"/>
      <c r="N208" s="507"/>
      <c r="O208" s="507"/>
      <c r="P208" s="507"/>
      <c r="Q208" s="507"/>
      <c r="R208" s="507"/>
      <c r="S208" s="507"/>
      <c r="T208" s="507"/>
      <c r="U208" s="507"/>
      <c r="V208" s="507"/>
      <c r="W208" s="507"/>
    </row>
    <row r="209" ht="35.25" customHeight="1">
      <c r="A209" s="599" t="s">
        <v>93</v>
      </c>
      <c r="B209" s="524" t="s">
        <v>73</v>
      </c>
      <c r="C209" s="631" t="s">
        <v>684</v>
      </c>
      <c r="D209" s="632">
        <f>sum(C210:C213)</f>
        <v>178600500</v>
      </c>
      <c r="E209" s="628"/>
      <c r="F209" s="628"/>
      <c r="G209" s="507"/>
      <c r="H209" s="507"/>
      <c r="I209" s="507"/>
      <c r="J209" s="507"/>
      <c r="K209" s="507"/>
      <c r="L209" s="507"/>
      <c r="M209" s="507"/>
      <c r="N209" s="507"/>
      <c r="O209" s="507"/>
      <c r="P209" s="507"/>
      <c r="Q209" s="507"/>
      <c r="R209" s="507"/>
      <c r="S209" s="507"/>
      <c r="T209" s="507"/>
      <c r="U209" s="507"/>
      <c r="V209" s="507"/>
      <c r="W209" s="507"/>
    </row>
    <row r="210" ht="35.25" customHeight="1">
      <c r="A210" s="18"/>
      <c r="B210" s="524" t="s">
        <v>74</v>
      </c>
      <c r="C210" s="598">
        <v>4.7798E7</v>
      </c>
      <c r="D210" s="18"/>
      <c r="E210" s="628"/>
      <c r="F210" s="628"/>
      <c r="G210" s="507"/>
      <c r="H210" s="507"/>
      <c r="I210" s="507"/>
      <c r="J210" s="507"/>
      <c r="K210" s="507"/>
      <c r="L210" s="507"/>
      <c r="M210" s="507"/>
      <c r="N210" s="507"/>
      <c r="O210" s="507"/>
      <c r="P210" s="507"/>
      <c r="Q210" s="507"/>
      <c r="R210" s="507"/>
      <c r="S210" s="507"/>
      <c r="T210" s="507"/>
      <c r="U210" s="507"/>
      <c r="V210" s="507"/>
      <c r="W210" s="507"/>
    </row>
    <row r="211" ht="35.25" customHeight="1">
      <c r="A211" s="18"/>
      <c r="B211" s="524" t="s">
        <v>676</v>
      </c>
      <c r="C211" s="593">
        <v>2.9197E7</v>
      </c>
      <c r="D211" s="18"/>
      <c r="E211" s="628"/>
      <c r="F211" s="628"/>
      <c r="G211" s="507"/>
      <c r="H211" s="507"/>
      <c r="I211" s="507"/>
      <c r="J211" s="507"/>
      <c r="K211" s="507"/>
      <c r="L211" s="507"/>
      <c r="M211" s="507"/>
      <c r="N211" s="507"/>
      <c r="O211" s="507"/>
      <c r="P211" s="507"/>
      <c r="Q211" s="507"/>
      <c r="R211" s="507"/>
      <c r="S211" s="507"/>
      <c r="T211" s="507"/>
      <c r="U211" s="507"/>
      <c r="V211" s="507"/>
      <c r="W211" s="507"/>
    </row>
    <row r="212" ht="35.25" customHeight="1">
      <c r="A212" s="18"/>
      <c r="B212" s="524" t="s">
        <v>677</v>
      </c>
      <c r="C212" s="620">
        <v>5.2822E7</v>
      </c>
      <c r="D212" s="18"/>
      <c r="E212" s="633"/>
      <c r="F212" s="628"/>
      <c r="G212" s="507"/>
      <c r="H212" s="507"/>
      <c r="I212" s="507"/>
      <c r="J212" s="507"/>
      <c r="K212" s="507"/>
      <c r="L212" s="507"/>
      <c r="M212" s="507"/>
      <c r="N212" s="507"/>
      <c r="O212" s="507"/>
      <c r="P212" s="507"/>
      <c r="Q212" s="507"/>
      <c r="R212" s="507"/>
      <c r="S212" s="507"/>
      <c r="T212" s="507"/>
      <c r="U212" s="507"/>
      <c r="V212" s="507"/>
      <c r="W212" s="507"/>
    </row>
    <row r="213" ht="35.25" customHeight="1">
      <c r="A213" s="18"/>
      <c r="B213" s="524" t="s">
        <v>679</v>
      </c>
      <c r="C213" s="620">
        <v>4.87835E7</v>
      </c>
      <c r="D213" s="18"/>
      <c r="E213" s="628"/>
      <c r="F213" s="628"/>
      <c r="G213" s="507"/>
      <c r="H213" s="507"/>
      <c r="I213" s="507"/>
      <c r="J213" s="507"/>
      <c r="K213" s="507"/>
      <c r="L213" s="507"/>
      <c r="M213" s="507"/>
      <c r="N213" s="507"/>
      <c r="O213" s="507"/>
      <c r="P213" s="507"/>
      <c r="Q213" s="507"/>
      <c r="R213" s="507"/>
      <c r="S213" s="507"/>
      <c r="T213" s="507"/>
      <c r="U213" s="507"/>
      <c r="V213" s="507"/>
      <c r="W213" s="507"/>
    </row>
    <row r="214" ht="35.25" customHeight="1">
      <c r="A214" s="618" t="s">
        <v>96</v>
      </c>
      <c r="B214" s="634" t="s">
        <v>74</v>
      </c>
      <c r="C214" s="631" t="s">
        <v>684</v>
      </c>
      <c r="D214" s="618">
        <f>sum(C215:C218)</f>
        <v>138919000</v>
      </c>
      <c r="E214" s="635"/>
      <c r="F214" s="507"/>
      <c r="G214" s="507"/>
      <c r="H214" s="507"/>
      <c r="I214" s="507"/>
      <c r="J214" s="507"/>
      <c r="K214" s="507"/>
      <c r="L214" s="507"/>
      <c r="M214" s="507"/>
      <c r="N214" s="507"/>
      <c r="O214" s="507"/>
      <c r="P214" s="507"/>
      <c r="Q214" s="507"/>
      <c r="R214" s="507"/>
      <c r="S214" s="507"/>
      <c r="T214" s="507"/>
      <c r="U214" s="507"/>
      <c r="V214" s="507"/>
      <c r="W214" s="507"/>
    </row>
    <row r="215" ht="35.25" customHeight="1">
      <c r="A215" s="18"/>
      <c r="B215" s="634" t="s">
        <v>676</v>
      </c>
      <c r="C215" s="598">
        <v>5.47035E7</v>
      </c>
      <c r="D215" s="18"/>
      <c r="E215" s="507"/>
      <c r="F215" s="507"/>
      <c r="G215" s="507"/>
      <c r="H215" s="507"/>
      <c r="I215" s="507"/>
      <c r="J215" s="507"/>
      <c r="K215" s="507"/>
      <c r="L215" s="507"/>
      <c r="M215" s="507"/>
      <c r="N215" s="507"/>
      <c r="O215" s="507"/>
      <c r="P215" s="507"/>
      <c r="Q215" s="507"/>
      <c r="R215" s="507"/>
      <c r="S215" s="507"/>
      <c r="T215" s="507"/>
      <c r="U215" s="507"/>
      <c r="V215" s="507"/>
      <c r="W215" s="507"/>
    </row>
    <row r="216" ht="35.25" customHeight="1">
      <c r="A216" s="18"/>
      <c r="B216" s="547" t="s">
        <v>677</v>
      </c>
      <c r="C216" s="598">
        <v>2.0562E7</v>
      </c>
      <c r="D216" s="18"/>
      <c r="E216" s="507"/>
      <c r="F216" s="507"/>
      <c r="G216" s="507"/>
      <c r="H216" s="507"/>
      <c r="I216" s="507"/>
      <c r="J216" s="507"/>
      <c r="K216" s="507"/>
      <c r="L216" s="507"/>
      <c r="M216" s="507"/>
      <c r="N216" s="507"/>
      <c r="O216" s="507"/>
      <c r="P216" s="507"/>
      <c r="Q216" s="507"/>
      <c r="R216" s="507"/>
      <c r="S216" s="507"/>
      <c r="T216" s="507"/>
      <c r="U216" s="507"/>
      <c r="V216" s="507"/>
      <c r="W216" s="507"/>
    </row>
    <row r="217" ht="35.25" customHeight="1">
      <c r="A217" s="18"/>
      <c r="B217" s="524" t="s">
        <v>678</v>
      </c>
      <c r="C217" s="593">
        <v>2.74775E7</v>
      </c>
      <c r="D217" s="18"/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  <c r="O217" s="507"/>
      <c r="P217" s="507"/>
      <c r="Q217" s="507"/>
      <c r="R217" s="507"/>
      <c r="S217" s="507"/>
      <c r="T217" s="507"/>
      <c r="U217" s="507"/>
      <c r="V217" s="507"/>
      <c r="W217" s="507"/>
    </row>
    <row r="218" ht="35.25" customHeight="1">
      <c r="A218" s="18"/>
      <c r="B218" s="634" t="s">
        <v>679</v>
      </c>
      <c r="C218" s="593">
        <v>3.6176E7</v>
      </c>
      <c r="D218" s="18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  <c r="O218" s="507"/>
      <c r="P218" s="507"/>
      <c r="Q218" s="507"/>
      <c r="R218" s="507"/>
      <c r="S218" s="507"/>
      <c r="T218" s="507"/>
      <c r="U218" s="507"/>
      <c r="V218" s="507"/>
      <c r="W218" s="507"/>
    </row>
    <row r="219" ht="35.25" customHeight="1">
      <c r="A219" s="618" t="s">
        <v>100</v>
      </c>
      <c r="B219" s="636" t="s">
        <v>685</v>
      </c>
      <c r="C219" s="637">
        <v>1.286849E8</v>
      </c>
      <c r="D219" s="618"/>
      <c r="E219" s="507"/>
      <c r="F219" s="507"/>
      <c r="G219" s="507"/>
      <c r="H219" s="507"/>
      <c r="I219" s="507"/>
      <c r="J219" s="507"/>
      <c r="K219" s="507"/>
      <c r="L219" s="507"/>
      <c r="M219" s="507"/>
      <c r="N219" s="507"/>
      <c r="O219" s="507"/>
      <c r="P219" s="507"/>
      <c r="Q219" s="507"/>
      <c r="R219" s="507"/>
      <c r="S219" s="507"/>
      <c r="T219" s="507"/>
      <c r="U219" s="507"/>
      <c r="V219" s="507"/>
      <c r="W219" s="507"/>
    </row>
    <row r="220" ht="35.25" customHeight="1">
      <c r="A220" s="18"/>
      <c r="B220" s="636" t="s">
        <v>686</v>
      </c>
      <c r="C220" s="637">
        <v>1.712749E8</v>
      </c>
      <c r="D220" s="18"/>
      <c r="E220" s="507"/>
      <c r="F220" s="507"/>
      <c r="G220" s="507"/>
      <c r="H220" s="507"/>
      <c r="I220" s="507"/>
      <c r="J220" s="507"/>
      <c r="K220" s="507"/>
      <c r="L220" s="507"/>
      <c r="M220" s="507"/>
      <c r="N220" s="507"/>
      <c r="O220" s="507"/>
      <c r="P220" s="507"/>
      <c r="Q220" s="507"/>
      <c r="R220" s="507"/>
      <c r="S220" s="507"/>
      <c r="T220" s="507"/>
      <c r="U220" s="507"/>
      <c r="V220" s="507"/>
      <c r="W220" s="507"/>
    </row>
    <row r="221" ht="35.25" customHeight="1">
      <c r="A221" s="18"/>
      <c r="B221" s="636" t="s">
        <v>687</v>
      </c>
      <c r="C221" s="637">
        <v>1.70816E8</v>
      </c>
      <c r="D221" s="18"/>
      <c r="E221" s="507"/>
      <c r="F221" s="507"/>
      <c r="G221" s="507"/>
      <c r="H221" s="507"/>
      <c r="I221" s="507"/>
      <c r="J221" s="507"/>
      <c r="K221" s="507"/>
      <c r="L221" s="507"/>
      <c r="M221" s="507"/>
      <c r="N221" s="507"/>
      <c r="O221" s="507"/>
      <c r="P221" s="507"/>
      <c r="Q221" s="507"/>
      <c r="R221" s="507"/>
      <c r="S221" s="507"/>
      <c r="T221" s="507"/>
      <c r="U221" s="507"/>
      <c r="V221" s="507"/>
      <c r="W221" s="507"/>
    </row>
    <row r="222" ht="35.25" customHeight="1">
      <c r="A222" s="18"/>
      <c r="B222" s="629" t="s">
        <v>688</v>
      </c>
      <c r="C222" s="637">
        <v>2.651854E8</v>
      </c>
      <c r="D222" s="18"/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  <c r="O222" s="507"/>
      <c r="P222" s="507"/>
      <c r="Q222" s="507"/>
      <c r="R222" s="507"/>
      <c r="S222" s="507"/>
      <c r="T222" s="507"/>
      <c r="U222" s="507"/>
      <c r="V222" s="507"/>
      <c r="W222" s="507"/>
    </row>
    <row r="223" ht="35.25" customHeight="1">
      <c r="A223" s="18"/>
      <c r="B223" s="636" t="s">
        <v>99</v>
      </c>
      <c r="C223" s="638">
        <f>sum(C219:C222)</f>
        <v>735961200</v>
      </c>
      <c r="D223" s="18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  <c r="O223" s="507"/>
      <c r="P223" s="507"/>
      <c r="Q223" s="507"/>
      <c r="R223" s="507"/>
      <c r="S223" s="507"/>
      <c r="T223" s="507"/>
      <c r="U223" s="507"/>
      <c r="V223" s="507"/>
      <c r="W223" s="507"/>
    </row>
    <row r="224" ht="35.25" customHeight="1">
      <c r="A224" s="18"/>
      <c r="B224" s="157"/>
      <c r="C224" s="157"/>
      <c r="D224" s="18"/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  <c r="O224" s="507"/>
      <c r="P224" s="507"/>
      <c r="Q224" s="507"/>
      <c r="R224" s="507"/>
      <c r="S224" s="507"/>
      <c r="T224" s="507"/>
      <c r="U224" s="507"/>
      <c r="V224" s="507"/>
      <c r="W224" s="507"/>
    </row>
    <row r="225" ht="35.25" customHeight="1">
      <c r="A225" s="18"/>
      <c r="B225" s="157"/>
      <c r="D225" s="18"/>
      <c r="E225" s="507"/>
      <c r="F225" s="507"/>
      <c r="G225" s="507"/>
      <c r="H225" s="507"/>
      <c r="I225" s="507"/>
      <c r="J225" s="507"/>
      <c r="K225" s="507"/>
      <c r="L225" s="507"/>
      <c r="M225" s="507"/>
      <c r="N225" s="507"/>
      <c r="O225" s="507"/>
      <c r="P225" s="507"/>
      <c r="Q225" s="507"/>
      <c r="R225" s="507"/>
      <c r="S225" s="507"/>
      <c r="T225" s="507"/>
      <c r="U225" s="507"/>
      <c r="V225" s="507"/>
      <c r="W225" s="507"/>
    </row>
    <row r="226" ht="35.25" customHeight="1">
      <c r="A226" s="618" t="s">
        <v>101</v>
      </c>
      <c r="B226" s="629" t="s">
        <v>74</v>
      </c>
      <c r="C226" s="620" t="s">
        <v>684</v>
      </c>
      <c r="D226" s="618">
        <f>SUM(C228:C230)</f>
        <v>107248000</v>
      </c>
      <c r="E226" s="507"/>
      <c r="F226" s="507"/>
      <c r="G226" s="507"/>
      <c r="H226" s="507"/>
      <c r="I226" s="507"/>
      <c r="J226" s="507"/>
      <c r="K226" s="507"/>
      <c r="L226" s="507"/>
      <c r="M226" s="507"/>
      <c r="N226" s="507"/>
      <c r="O226" s="507"/>
      <c r="P226" s="507"/>
      <c r="Q226" s="507"/>
      <c r="R226" s="507"/>
      <c r="S226" s="507"/>
      <c r="T226" s="507"/>
      <c r="U226" s="507"/>
      <c r="V226" s="507"/>
      <c r="W226" s="507"/>
    </row>
    <row r="227" ht="35.25" customHeight="1">
      <c r="A227" s="18"/>
      <c r="B227" s="524" t="s">
        <v>676</v>
      </c>
      <c r="C227" s="593" t="s">
        <v>684</v>
      </c>
      <c r="D227" s="18"/>
      <c r="E227" s="507"/>
      <c r="F227" s="507"/>
      <c r="G227" s="507"/>
      <c r="H227" s="507"/>
      <c r="I227" s="507"/>
      <c r="J227" s="507"/>
      <c r="K227" s="507"/>
      <c r="L227" s="507"/>
      <c r="M227" s="507"/>
      <c r="N227" s="507"/>
      <c r="O227" s="507"/>
      <c r="P227" s="507"/>
      <c r="Q227" s="507"/>
      <c r="R227" s="507"/>
      <c r="S227" s="507"/>
      <c r="T227" s="507"/>
      <c r="U227" s="507"/>
      <c r="V227" s="507"/>
      <c r="W227" s="507"/>
    </row>
    <row r="228" ht="35.25" customHeight="1">
      <c r="A228" s="18"/>
      <c r="B228" s="524" t="s">
        <v>677</v>
      </c>
      <c r="C228" s="593">
        <v>4.11255E7</v>
      </c>
      <c r="D228" s="18"/>
      <c r="E228" s="507"/>
      <c r="F228" s="507"/>
      <c r="G228" s="507"/>
      <c r="H228" s="507"/>
      <c r="I228" s="507"/>
      <c r="J228" s="507"/>
      <c r="K228" s="507"/>
      <c r="L228" s="507"/>
      <c r="M228" s="507"/>
      <c r="N228" s="507"/>
      <c r="O228" s="507"/>
      <c r="P228" s="507"/>
      <c r="Q228" s="507"/>
      <c r="R228" s="507"/>
      <c r="S228" s="507"/>
      <c r="T228" s="507"/>
      <c r="U228" s="507"/>
      <c r="V228" s="507"/>
      <c r="W228" s="507"/>
    </row>
    <row r="229" ht="35.25" customHeight="1">
      <c r="A229" s="18"/>
      <c r="B229" s="524" t="s">
        <v>678</v>
      </c>
      <c r="C229" s="593">
        <v>2.04415E7</v>
      </c>
      <c r="D229" s="18"/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  <c r="T229" s="507"/>
      <c r="U229" s="507"/>
      <c r="V229" s="507"/>
      <c r="W229" s="507"/>
    </row>
    <row r="230" ht="35.25" customHeight="1">
      <c r="A230" s="18"/>
      <c r="B230" s="524" t="s">
        <v>679</v>
      </c>
      <c r="C230" s="593">
        <v>4.5681E7</v>
      </c>
      <c r="D230" s="18"/>
      <c r="E230" s="507"/>
      <c r="F230" s="507"/>
      <c r="G230" s="507"/>
      <c r="H230" s="507"/>
      <c r="I230" s="507"/>
      <c r="J230" s="507"/>
      <c r="K230" s="507"/>
      <c r="L230" s="507"/>
      <c r="M230" s="507"/>
      <c r="N230" s="507"/>
      <c r="O230" s="507"/>
      <c r="P230" s="507"/>
      <c r="Q230" s="507"/>
      <c r="R230" s="507"/>
      <c r="S230" s="507"/>
      <c r="T230" s="507"/>
      <c r="U230" s="507"/>
      <c r="V230" s="507"/>
      <c r="W230" s="507"/>
    </row>
    <row r="231" ht="35.25" customHeight="1">
      <c r="A231" s="18"/>
      <c r="D231" s="18"/>
      <c r="E231" s="507"/>
      <c r="F231" s="507"/>
      <c r="G231" s="507"/>
      <c r="H231" s="507"/>
      <c r="I231" s="507"/>
      <c r="J231" s="507"/>
      <c r="K231" s="507"/>
      <c r="L231" s="507"/>
      <c r="M231" s="507"/>
      <c r="N231" s="507"/>
      <c r="O231" s="507"/>
      <c r="P231" s="507"/>
      <c r="Q231" s="507"/>
      <c r="R231" s="507"/>
      <c r="S231" s="507"/>
      <c r="T231" s="507"/>
      <c r="U231" s="507"/>
      <c r="V231" s="507"/>
      <c r="W231" s="507"/>
    </row>
    <row r="232" ht="35.25" customHeight="1">
      <c r="A232" s="18"/>
      <c r="B232" s="636"/>
      <c r="C232" s="620"/>
      <c r="D232" s="18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  <c r="O232" s="507"/>
      <c r="P232" s="507"/>
      <c r="Q232" s="507"/>
      <c r="R232" s="507"/>
      <c r="S232" s="507"/>
      <c r="T232" s="507"/>
      <c r="U232" s="507"/>
      <c r="V232" s="507"/>
      <c r="W232" s="507"/>
    </row>
    <row r="233" ht="35.25" customHeight="1">
      <c r="A233" s="618" t="s">
        <v>107</v>
      </c>
      <c r="B233" s="524" t="s">
        <v>676</v>
      </c>
      <c r="C233" s="625" t="s">
        <v>684</v>
      </c>
      <c r="D233" s="618">
        <f>SUM(C236)</f>
        <v>49064600</v>
      </c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  <c r="O233" s="507"/>
      <c r="P233" s="507"/>
      <c r="Q233" s="507"/>
      <c r="R233" s="507"/>
      <c r="S233" s="507"/>
      <c r="T233" s="507"/>
      <c r="U233" s="507"/>
      <c r="V233" s="507"/>
      <c r="W233" s="507"/>
    </row>
    <row r="234" ht="35.25" customHeight="1">
      <c r="A234" s="18"/>
      <c r="B234" s="524" t="s">
        <v>677</v>
      </c>
      <c r="C234" s="631" t="s">
        <v>684</v>
      </c>
      <c r="D234" s="18"/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  <c r="O234" s="507"/>
      <c r="P234" s="507"/>
      <c r="Q234" s="507"/>
      <c r="R234" s="507"/>
      <c r="S234" s="507"/>
      <c r="T234" s="507"/>
      <c r="U234" s="507"/>
      <c r="V234" s="507"/>
      <c r="W234" s="507"/>
    </row>
    <row r="235" ht="35.25" customHeight="1">
      <c r="A235" s="18"/>
      <c r="B235" s="639" t="s">
        <v>678</v>
      </c>
      <c r="C235" s="640" t="s">
        <v>684</v>
      </c>
      <c r="D235" s="18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  <c r="O235" s="507"/>
      <c r="P235" s="507"/>
      <c r="Q235" s="507"/>
      <c r="R235" s="507"/>
      <c r="S235" s="507"/>
      <c r="T235" s="507"/>
      <c r="U235" s="507"/>
      <c r="V235" s="507"/>
      <c r="W235" s="507"/>
    </row>
    <row r="236" ht="35.25" customHeight="1">
      <c r="A236" s="18"/>
      <c r="B236" s="639" t="s">
        <v>679</v>
      </c>
      <c r="C236" s="637">
        <v>4.90646E7</v>
      </c>
      <c r="D236" s="18"/>
      <c r="E236" s="507"/>
      <c r="F236" s="507"/>
      <c r="G236" s="507"/>
      <c r="H236" s="507"/>
      <c r="I236" s="507"/>
      <c r="J236" s="507"/>
      <c r="K236" s="507"/>
      <c r="L236" s="507"/>
      <c r="M236" s="507"/>
      <c r="N236" s="507"/>
      <c r="O236" s="507"/>
      <c r="P236" s="507"/>
      <c r="Q236" s="507"/>
      <c r="R236" s="507"/>
      <c r="S236" s="507"/>
      <c r="T236" s="507"/>
      <c r="U236" s="507"/>
      <c r="V236" s="507"/>
      <c r="W236" s="507"/>
    </row>
    <row r="237" ht="35.25" customHeight="1">
      <c r="A237" s="618" t="s">
        <v>108</v>
      </c>
      <c r="B237" s="524" t="s">
        <v>74</v>
      </c>
      <c r="C237" s="641">
        <v>1.5156E7</v>
      </c>
      <c r="D237" s="618">
        <f>sum(C237:C241)</f>
        <v>125082900</v>
      </c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507"/>
      <c r="W237" s="507"/>
    </row>
    <row r="238" ht="35.25" customHeight="1">
      <c r="A238" s="18"/>
      <c r="B238" s="524" t="s">
        <v>676</v>
      </c>
      <c r="C238" s="593">
        <v>2.33619E7</v>
      </c>
      <c r="D238" s="18"/>
      <c r="E238" s="556"/>
      <c r="F238" s="507"/>
      <c r="G238" s="507"/>
      <c r="H238" s="507"/>
      <c r="I238" s="507"/>
      <c r="J238" s="507"/>
      <c r="K238" s="507"/>
      <c r="L238" s="507"/>
      <c r="M238" s="507"/>
      <c r="N238" s="507"/>
      <c r="O238" s="507"/>
      <c r="P238" s="507"/>
      <c r="Q238" s="507"/>
      <c r="R238" s="507"/>
      <c r="S238" s="507"/>
      <c r="T238" s="507"/>
      <c r="U238" s="507"/>
      <c r="V238" s="507"/>
      <c r="W238" s="507"/>
    </row>
    <row r="239" ht="35.25" customHeight="1">
      <c r="A239" s="18"/>
      <c r="B239" s="639" t="s">
        <v>677</v>
      </c>
      <c r="C239" s="637">
        <v>2.50872E7</v>
      </c>
      <c r="D239" s="18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  <c r="O239" s="507"/>
      <c r="P239" s="507"/>
      <c r="Q239" s="507"/>
      <c r="R239" s="507"/>
      <c r="S239" s="507"/>
      <c r="T239" s="507"/>
      <c r="U239" s="507"/>
      <c r="V239" s="507"/>
      <c r="W239" s="507"/>
    </row>
    <row r="240" ht="35.25" customHeight="1">
      <c r="A240" s="18"/>
      <c r="B240" s="639" t="s">
        <v>678</v>
      </c>
      <c r="C240" s="637">
        <v>3.0013E7</v>
      </c>
      <c r="D240" s="18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  <c r="O240" s="507"/>
      <c r="P240" s="507"/>
      <c r="Q240" s="507"/>
      <c r="R240" s="507"/>
      <c r="S240" s="507"/>
      <c r="T240" s="507"/>
      <c r="U240" s="507"/>
      <c r="V240" s="507"/>
      <c r="W240" s="507"/>
    </row>
    <row r="241" ht="35.25" customHeight="1">
      <c r="A241" s="18"/>
      <c r="B241" s="636" t="s">
        <v>679</v>
      </c>
      <c r="C241" s="637">
        <v>3.14648E7</v>
      </c>
      <c r="D241" s="18"/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  <c r="O241" s="507"/>
      <c r="P241" s="507"/>
      <c r="Q241" s="507"/>
      <c r="R241" s="507"/>
      <c r="S241" s="507"/>
      <c r="T241" s="507"/>
      <c r="U241" s="507"/>
      <c r="V241" s="507"/>
      <c r="W241" s="507"/>
    </row>
    <row r="242" ht="35.25" customHeight="1">
      <c r="A242" s="18"/>
      <c r="B242" s="157"/>
      <c r="C242" s="157"/>
      <c r="D242" s="18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  <c r="O242" s="507"/>
      <c r="P242" s="507"/>
      <c r="Q242" s="507"/>
      <c r="R242" s="507"/>
      <c r="S242" s="507"/>
      <c r="T242" s="507"/>
      <c r="U242" s="507"/>
      <c r="V242" s="507"/>
      <c r="W242" s="507"/>
    </row>
    <row r="243" ht="35.25" customHeight="1">
      <c r="A243" s="618" t="s">
        <v>620</v>
      </c>
      <c r="B243" s="636" t="s">
        <v>676</v>
      </c>
      <c r="C243" s="642">
        <v>1.50012E8</v>
      </c>
      <c r="D243" s="618">
        <f>SUM(C243:C246)</f>
        <v>425393000</v>
      </c>
      <c r="E243" s="507"/>
      <c r="F243" s="507"/>
      <c r="G243" s="507"/>
      <c r="H243" s="643"/>
      <c r="I243" s="556"/>
      <c r="J243" s="644"/>
      <c r="K243" s="644"/>
      <c r="L243" s="643"/>
      <c r="M243" s="507"/>
      <c r="N243" s="507"/>
      <c r="O243" s="507"/>
      <c r="P243" s="507"/>
      <c r="Q243" s="507"/>
      <c r="R243" s="507"/>
      <c r="S243" s="507"/>
      <c r="T243" s="507"/>
      <c r="U243" s="507"/>
      <c r="V243" s="507"/>
      <c r="W243" s="507"/>
    </row>
    <row r="244" ht="35.25" customHeight="1">
      <c r="A244" s="18"/>
      <c r="B244" s="636" t="s">
        <v>677</v>
      </c>
      <c r="C244" s="620">
        <v>8.6874E7</v>
      </c>
      <c r="D244" s="18"/>
      <c r="E244" s="507"/>
      <c r="F244" s="507"/>
      <c r="G244" s="507"/>
      <c r="H244" s="643"/>
      <c r="I244" s="525"/>
      <c r="J244" s="644"/>
      <c r="K244" s="644"/>
      <c r="M244" s="507"/>
      <c r="N244" s="507"/>
      <c r="O244" s="507"/>
      <c r="P244" s="507"/>
      <c r="Q244" s="507"/>
      <c r="R244" s="507"/>
      <c r="S244" s="507"/>
      <c r="T244" s="507"/>
      <c r="U244" s="507"/>
      <c r="V244" s="507"/>
      <c r="W244" s="507"/>
    </row>
    <row r="245" ht="35.25" customHeight="1">
      <c r="A245" s="18"/>
      <c r="B245" s="547" t="s">
        <v>678</v>
      </c>
      <c r="C245" s="645">
        <v>8.2377E7</v>
      </c>
      <c r="D245" s="18"/>
      <c r="E245" s="507"/>
      <c r="F245" s="507"/>
      <c r="G245" s="507"/>
      <c r="H245" s="643"/>
      <c r="I245" s="525"/>
      <c r="J245" s="644"/>
      <c r="K245" s="644"/>
      <c r="M245" s="507"/>
      <c r="N245" s="507"/>
      <c r="O245" s="507"/>
      <c r="P245" s="507"/>
      <c r="Q245" s="507"/>
      <c r="R245" s="507"/>
      <c r="S245" s="507"/>
      <c r="T245" s="507"/>
      <c r="U245" s="507"/>
      <c r="V245" s="507"/>
      <c r="W245" s="507"/>
    </row>
    <row r="246" ht="35.25" customHeight="1">
      <c r="A246" s="18"/>
      <c r="B246" s="636" t="s">
        <v>679</v>
      </c>
      <c r="C246" s="642">
        <v>1.0613E8</v>
      </c>
      <c r="D246" s="18"/>
      <c r="E246" s="507"/>
      <c r="F246" s="507"/>
      <c r="G246" s="507"/>
      <c r="H246" s="643"/>
      <c r="I246" s="525"/>
      <c r="J246" s="644"/>
      <c r="K246" s="535"/>
      <c r="M246" s="507"/>
      <c r="N246" s="507"/>
      <c r="O246" s="507"/>
      <c r="P246" s="507"/>
      <c r="Q246" s="507"/>
      <c r="R246" s="507"/>
      <c r="S246" s="507"/>
      <c r="T246" s="507"/>
      <c r="U246" s="507"/>
      <c r="V246" s="507"/>
      <c r="W246" s="507"/>
    </row>
    <row r="247" ht="35.25" customHeight="1">
      <c r="A247" s="22"/>
      <c r="D247" s="18"/>
      <c r="E247" s="507"/>
      <c r="F247" s="507"/>
      <c r="G247" s="507"/>
      <c r="H247" s="643"/>
      <c r="I247" s="525"/>
      <c r="J247" s="644"/>
      <c r="K247" s="535"/>
      <c r="M247" s="507"/>
      <c r="N247" s="507"/>
      <c r="O247" s="507"/>
      <c r="P247" s="507"/>
      <c r="Q247" s="507"/>
      <c r="R247" s="507"/>
      <c r="S247" s="507"/>
      <c r="T247" s="507"/>
      <c r="U247" s="507"/>
      <c r="V247" s="507"/>
      <c r="W247" s="507"/>
    </row>
    <row r="248" ht="35.25" customHeight="1">
      <c r="A248" s="618" t="s">
        <v>112</v>
      </c>
      <c r="B248" s="547" t="s">
        <v>679</v>
      </c>
      <c r="C248" s="593">
        <v>6.8508E7</v>
      </c>
      <c r="D248" s="618">
        <f>SUM(C248)</f>
        <v>68508000</v>
      </c>
      <c r="E248" s="507"/>
      <c r="F248" s="507"/>
      <c r="G248" s="507"/>
      <c r="H248" s="643"/>
      <c r="I248" s="507"/>
      <c r="J248" s="507"/>
      <c r="K248" s="507"/>
      <c r="L248" s="507"/>
      <c r="M248" s="507"/>
      <c r="N248" s="507"/>
      <c r="O248" s="507"/>
      <c r="P248" s="507"/>
      <c r="Q248" s="507"/>
      <c r="R248" s="507"/>
      <c r="S248" s="507"/>
      <c r="T248" s="507"/>
      <c r="U248" s="507"/>
      <c r="V248" s="507"/>
      <c r="W248" s="507"/>
    </row>
    <row r="249" ht="35.25" customHeight="1">
      <c r="A249" s="18"/>
      <c r="B249" s="547"/>
      <c r="C249" s="598"/>
      <c r="D249" s="18"/>
      <c r="E249" s="635"/>
      <c r="F249" s="507"/>
      <c r="G249" s="507"/>
      <c r="H249" s="643"/>
      <c r="I249" s="581"/>
      <c r="J249" s="646"/>
      <c r="K249" s="635"/>
      <c r="L249" s="643"/>
      <c r="M249" s="507"/>
      <c r="N249" s="507"/>
      <c r="O249" s="507"/>
      <c r="P249" s="507"/>
      <c r="Q249" s="507"/>
      <c r="R249" s="507"/>
      <c r="S249" s="507"/>
      <c r="T249" s="507"/>
      <c r="U249" s="507"/>
      <c r="V249" s="507"/>
      <c r="W249" s="507"/>
    </row>
    <row r="250" ht="35.25" customHeight="1">
      <c r="A250" s="18"/>
      <c r="B250" s="547"/>
      <c r="C250" s="598"/>
      <c r="D250" s="18"/>
      <c r="E250" s="507"/>
      <c r="F250" s="507"/>
      <c r="G250" s="507"/>
      <c r="H250" s="643"/>
      <c r="I250" s="581"/>
      <c r="J250" s="581"/>
      <c r="K250" s="635"/>
      <c r="M250" s="507"/>
      <c r="N250" s="507"/>
      <c r="O250" s="507"/>
      <c r="P250" s="507"/>
      <c r="Q250" s="507"/>
      <c r="R250" s="507"/>
      <c r="S250" s="507"/>
      <c r="T250" s="507"/>
      <c r="U250" s="507"/>
      <c r="V250" s="507"/>
      <c r="W250" s="507"/>
    </row>
    <row r="251" ht="35.25" customHeight="1">
      <c r="A251" s="18"/>
      <c r="B251" s="547"/>
      <c r="C251" s="593"/>
      <c r="D251" s="18"/>
      <c r="E251" s="507"/>
      <c r="F251" s="507"/>
      <c r="G251" s="507"/>
      <c r="H251" s="643"/>
      <c r="I251" s="581"/>
      <c r="J251" s="581"/>
      <c r="K251" s="635"/>
      <c r="M251" s="507"/>
      <c r="N251" s="507"/>
      <c r="O251" s="507"/>
      <c r="P251" s="507"/>
      <c r="Q251" s="507"/>
      <c r="R251" s="507"/>
      <c r="S251" s="507"/>
      <c r="T251" s="507"/>
      <c r="U251" s="507"/>
      <c r="V251" s="507"/>
      <c r="W251" s="507"/>
    </row>
    <row r="252" ht="35.25" customHeight="1">
      <c r="A252" s="18"/>
      <c r="D252" s="18"/>
      <c r="E252" s="507"/>
      <c r="F252" s="507"/>
      <c r="G252" s="507"/>
      <c r="H252" s="643"/>
      <c r="I252" s="581"/>
      <c r="J252" s="581"/>
      <c r="K252" s="635"/>
      <c r="M252" s="507"/>
      <c r="N252" s="507"/>
      <c r="O252" s="507"/>
      <c r="P252" s="507"/>
      <c r="Q252" s="507"/>
      <c r="R252" s="507"/>
      <c r="S252" s="507"/>
      <c r="T252" s="507"/>
      <c r="U252" s="507"/>
      <c r="V252" s="507"/>
      <c r="W252" s="507"/>
    </row>
    <row r="253" ht="35.25" customHeight="1">
      <c r="A253" s="618" t="s">
        <v>115</v>
      </c>
      <c r="B253" s="547" t="s">
        <v>74</v>
      </c>
      <c r="C253" s="598">
        <v>2.9577E7</v>
      </c>
      <c r="D253" s="618">
        <f>SUM(C253:C257)</f>
        <v>162422500</v>
      </c>
      <c r="E253" s="507"/>
      <c r="F253" s="507"/>
      <c r="G253" s="507"/>
      <c r="H253" s="643"/>
      <c r="I253" s="556"/>
      <c r="J253" s="581"/>
      <c r="K253" s="635"/>
      <c r="M253" s="507"/>
      <c r="N253" s="507"/>
      <c r="O253" s="507"/>
      <c r="P253" s="507"/>
      <c r="Q253" s="507"/>
      <c r="R253" s="507"/>
      <c r="S253" s="507"/>
      <c r="T253" s="507"/>
      <c r="U253" s="507"/>
      <c r="V253" s="507"/>
      <c r="W253" s="507"/>
    </row>
    <row r="254" ht="35.25" customHeight="1">
      <c r="A254" s="18"/>
      <c r="B254" s="547" t="s">
        <v>676</v>
      </c>
      <c r="C254" s="598">
        <v>3.61575E7</v>
      </c>
      <c r="D254" s="18"/>
      <c r="E254" s="635"/>
      <c r="F254" s="556" t="s">
        <v>50</v>
      </c>
      <c r="G254" s="507"/>
      <c r="H254" s="643"/>
      <c r="I254" s="507"/>
      <c r="J254" s="507"/>
      <c r="K254" s="507"/>
      <c r="L254" s="507"/>
      <c r="M254" s="507"/>
      <c r="N254" s="507"/>
      <c r="O254" s="507"/>
      <c r="P254" s="507"/>
      <c r="Q254" s="507"/>
      <c r="R254" s="507"/>
      <c r="S254" s="507"/>
      <c r="T254" s="507"/>
      <c r="U254" s="507"/>
      <c r="V254" s="507"/>
      <c r="W254" s="507"/>
    </row>
    <row r="255" ht="35.25" customHeight="1">
      <c r="A255" s="18"/>
      <c r="B255" s="547" t="s">
        <v>677</v>
      </c>
      <c r="C255" s="598">
        <v>2.9815E7</v>
      </c>
      <c r="D255" s="18"/>
      <c r="E255" s="507"/>
      <c r="F255" s="507"/>
      <c r="G255" s="507"/>
      <c r="H255" s="643"/>
      <c r="I255" s="647"/>
      <c r="J255" s="644"/>
      <c r="K255" s="644"/>
      <c r="L255" s="643"/>
      <c r="M255" s="507"/>
      <c r="N255" s="507"/>
      <c r="O255" s="507"/>
      <c r="P255" s="507"/>
      <c r="Q255" s="507"/>
      <c r="R255" s="507"/>
      <c r="S255" s="507"/>
      <c r="T255" s="507"/>
      <c r="U255" s="507"/>
      <c r="V255" s="507"/>
      <c r="W255" s="507"/>
    </row>
    <row r="256" ht="35.25" customHeight="1">
      <c r="A256" s="18"/>
      <c r="B256" s="547" t="s">
        <v>678</v>
      </c>
      <c r="C256" s="598">
        <v>3.4772E7</v>
      </c>
      <c r="D256" s="18"/>
      <c r="E256" s="507"/>
      <c r="F256" s="507"/>
      <c r="G256" s="507"/>
      <c r="H256" s="643"/>
      <c r="I256" s="647"/>
      <c r="J256" s="646"/>
      <c r="K256" s="535"/>
      <c r="M256" s="507"/>
      <c r="N256" s="507"/>
      <c r="O256" s="507"/>
      <c r="P256" s="507"/>
      <c r="Q256" s="507"/>
      <c r="R256" s="507"/>
      <c r="S256" s="507"/>
      <c r="T256" s="507"/>
      <c r="U256" s="507"/>
      <c r="V256" s="507"/>
      <c r="W256" s="507"/>
    </row>
    <row r="257" ht="35.25" customHeight="1">
      <c r="A257" s="18"/>
      <c r="B257" s="547" t="s">
        <v>679</v>
      </c>
      <c r="C257" s="598">
        <v>3.2101E7</v>
      </c>
      <c r="D257" s="18"/>
      <c r="E257" s="507"/>
      <c r="F257" s="507"/>
      <c r="G257" s="507"/>
      <c r="H257" s="643"/>
      <c r="I257" s="647"/>
      <c r="J257" s="646"/>
      <c r="K257" s="535"/>
      <c r="M257" s="507"/>
      <c r="N257" s="507"/>
      <c r="O257" s="507"/>
      <c r="P257" s="507"/>
      <c r="Q257" s="507"/>
      <c r="R257" s="507"/>
      <c r="S257" s="507"/>
      <c r="T257" s="507"/>
      <c r="U257" s="507"/>
      <c r="V257" s="507"/>
      <c r="W257" s="507"/>
    </row>
    <row r="258" ht="35.25" customHeight="1">
      <c r="A258" s="618" t="s">
        <v>116</v>
      </c>
      <c r="B258" s="547" t="s">
        <v>679</v>
      </c>
      <c r="C258" s="635">
        <v>7.93105E7</v>
      </c>
      <c r="D258" s="618">
        <f>SUM(C258)</f>
        <v>79310500</v>
      </c>
      <c r="E258" s="507"/>
      <c r="F258" s="507"/>
      <c r="G258" s="507"/>
      <c r="H258" s="643"/>
      <c r="I258" s="556"/>
      <c r="J258" s="646"/>
      <c r="K258" s="535"/>
      <c r="M258" s="507"/>
      <c r="N258" s="507"/>
      <c r="O258" s="507"/>
      <c r="P258" s="507"/>
      <c r="Q258" s="507"/>
      <c r="R258" s="507"/>
      <c r="S258" s="507"/>
      <c r="T258" s="507"/>
      <c r="U258" s="507"/>
      <c r="V258" s="507"/>
      <c r="W258" s="507"/>
    </row>
    <row r="259" ht="35.25" customHeight="1">
      <c r="A259" s="18"/>
      <c r="B259" s="547"/>
      <c r="C259" s="617"/>
      <c r="D259" s="18"/>
      <c r="E259" s="556"/>
      <c r="F259" s="507"/>
      <c r="G259" s="507"/>
      <c r="H259" s="643"/>
      <c r="I259" s="556"/>
      <c r="J259" s="646"/>
      <c r="K259" s="535"/>
      <c r="M259" s="507"/>
      <c r="N259" s="507"/>
      <c r="O259" s="507"/>
      <c r="P259" s="507"/>
      <c r="Q259" s="507"/>
      <c r="R259" s="507"/>
      <c r="S259" s="507"/>
      <c r="T259" s="507"/>
      <c r="U259" s="507"/>
      <c r="V259" s="507"/>
      <c r="W259" s="507"/>
    </row>
    <row r="260" ht="35.25" customHeight="1">
      <c r="A260" s="18"/>
      <c r="B260" s="547"/>
      <c r="C260" s="622"/>
      <c r="D260" s="18"/>
      <c r="E260" s="507"/>
      <c r="F260" s="507"/>
      <c r="G260" s="507"/>
      <c r="H260" s="643"/>
      <c r="I260" s="648"/>
      <c r="J260" s="646"/>
      <c r="K260" s="644"/>
      <c r="M260" s="507"/>
      <c r="N260" s="507"/>
      <c r="O260" s="507"/>
      <c r="P260" s="507"/>
      <c r="Q260" s="507"/>
      <c r="R260" s="507"/>
      <c r="S260" s="507"/>
      <c r="T260" s="507"/>
      <c r="U260" s="507"/>
      <c r="V260" s="507"/>
      <c r="W260" s="507"/>
    </row>
    <row r="261" ht="35.25" customHeight="1">
      <c r="A261" s="18"/>
      <c r="D261" s="18"/>
      <c r="E261" s="507"/>
      <c r="F261" s="507"/>
      <c r="G261" s="507"/>
      <c r="H261" s="643"/>
      <c r="I261" s="649"/>
      <c r="J261" s="646"/>
      <c r="K261" s="507"/>
      <c r="M261" s="507"/>
      <c r="N261" s="507"/>
      <c r="O261" s="507"/>
      <c r="P261" s="507"/>
      <c r="Q261" s="507"/>
      <c r="R261" s="507"/>
      <c r="S261" s="507"/>
      <c r="T261" s="507"/>
      <c r="U261" s="507"/>
      <c r="V261" s="507"/>
      <c r="W261" s="507"/>
    </row>
    <row r="262" ht="35.25" customHeight="1">
      <c r="A262" s="618" t="s">
        <v>117</v>
      </c>
      <c r="B262" s="547" t="s">
        <v>679</v>
      </c>
      <c r="C262" s="622">
        <v>3.9866E7</v>
      </c>
      <c r="D262" s="618">
        <f>SUM(C262)</f>
        <v>39866000</v>
      </c>
      <c r="E262" s="556"/>
      <c r="F262" s="507"/>
      <c r="G262" s="507"/>
      <c r="H262" s="507"/>
      <c r="I262" s="507"/>
      <c r="J262" s="507"/>
      <c r="K262" s="507"/>
      <c r="L262" s="507"/>
      <c r="M262" s="507"/>
      <c r="N262" s="507"/>
      <c r="O262" s="507"/>
      <c r="P262" s="507"/>
      <c r="Q262" s="507"/>
      <c r="R262" s="507"/>
      <c r="S262" s="507"/>
      <c r="T262" s="507"/>
      <c r="U262" s="507"/>
      <c r="V262" s="507"/>
      <c r="W262" s="507"/>
    </row>
    <row r="263" ht="35.25" customHeight="1">
      <c r="A263" s="18"/>
      <c r="B263" s="547"/>
      <c r="C263" s="598"/>
      <c r="D263" s="18"/>
      <c r="E263" s="507"/>
      <c r="F263" s="507"/>
      <c r="G263" s="507"/>
      <c r="H263" s="507"/>
      <c r="I263" s="507"/>
      <c r="J263" s="507"/>
      <c r="K263" s="507"/>
      <c r="L263" s="507"/>
      <c r="M263" s="507"/>
      <c r="N263" s="507"/>
      <c r="O263" s="507"/>
      <c r="P263" s="507"/>
      <c r="Q263" s="507"/>
      <c r="R263" s="507"/>
      <c r="S263" s="507"/>
      <c r="T263" s="507"/>
      <c r="U263" s="507"/>
      <c r="V263" s="507"/>
      <c r="W263" s="507"/>
    </row>
    <row r="264" ht="35.25" customHeight="1">
      <c r="A264" s="18"/>
      <c r="B264" s="547"/>
      <c r="C264" s="598"/>
      <c r="D264" s="18"/>
      <c r="E264" s="507"/>
      <c r="F264" s="507"/>
      <c r="G264" s="507"/>
      <c r="H264" s="507"/>
      <c r="I264" s="507"/>
      <c r="J264" s="507"/>
      <c r="K264" s="507"/>
      <c r="L264" s="507"/>
      <c r="M264" s="507"/>
      <c r="N264" s="507"/>
      <c r="O264" s="507"/>
      <c r="P264" s="507"/>
      <c r="Q264" s="507"/>
      <c r="R264" s="507"/>
      <c r="S264" s="507"/>
      <c r="T264" s="507"/>
      <c r="U264" s="507"/>
      <c r="V264" s="507"/>
      <c r="W264" s="507"/>
    </row>
    <row r="265" ht="35.25" customHeight="1">
      <c r="A265" s="18"/>
      <c r="B265" s="547"/>
      <c r="C265" s="650"/>
      <c r="D265" s="18"/>
      <c r="E265" s="651"/>
      <c r="F265" s="507"/>
      <c r="G265" s="507"/>
      <c r="H265" s="507"/>
      <c r="I265" s="507"/>
      <c r="J265" s="507"/>
      <c r="K265" s="507"/>
      <c r="L265" s="507"/>
      <c r="M265" s="507"/>
      <c r="N265" s="507"/>
      <c r="O265" s="507"/>
      <c r="P265" s="507"/>
      <c r="Q265" s="507"/>
      <c r="R265" s="507"/>
      <c r="S265" s="507"/>
      <c r="T265" s="507"/>
      <c r="U265" s="507"/>
      <c r="V265" s="507"/>
      <c r="W265" s="507"/>
    </row>
    <row r="266" ht="35.25" customHeight="1">
      <c r="A266" s="618" t="s">
        <v>118</v>
      </c>
      <c r="B266" s="547" t="s">
        <v>676</v>
      </c>
      <c r="C266" s="625" t="s">
        <v>684</v>
      </c>
      <c r="D266" s="618">
        <f>sum(C267)</f>
        <v>2040000</v>
      </c>
      <c r="E266" s="556"/>
      <c r="F266" s="507"/>
      <c r="G266" s="507"/>
      <c r="H266" s="507"/>
      <c r="I266" s="507"/>
      <c r="J266" s="507"/>
      <c r="K266" s="507"/>
      <c r="L266" s="507"/>
      <c r="M266" s="507"/>
      <c r="N266" s="507"/>
      <c r="O266" s="507"/>
      <c r="P266" s="507"/>
      <c r="Q266" s="507"/>
      <c r="R266" s="507"/>
      <c r="S266" s="507"/>
      <c r="T266" s="507"/>
      <c r="U266" s="507"/>
      <c r="V266" s="507"/>
      <c r="W266" s="507"/>
    </row>
    <row r="267" ht="35.25" customHeight="1">
      <c r="A267" s="18"/>
      <c r="B267" s="547" t="s">
        <v>677</v>
      </c>
      <c r="C267" s="625">
        <v>2040000.0</v>
      </c>
      <c r="D267" s="18"/>
      <c r="E267" s="556"/>
      <c r="F267" s="507"/>
      <c r="G267" s="507"/>
      <c r="H267" s="507"/>
      <c r="I267" s="507"/>
      <c r="J267" s="507"/>
      <c r="K267" s="507"/>
      <c r="L267" s="507"/>
      <c r="M267" s="507"/>
      <c r="N267" s="507"/>
      <c r="O267" s="507"/>
      <c r="P267" s="507"/>
      <c r="Q267" s="507"/>
      <c r="R267" s="507"/>
      <c r="S267" s="507"/>
      <c r="T267" s="507"/>
      <c r="U267" s="507"/>
      <c r="V267" s="507"/>
      <c r="W267" s="507"/>
    </row>
    <row r="268" ht="35.25" customHeight="1">
      <c r="A268" s="18"/>
      <c r="B268" s="547" t="s">
        <v>678</v>
      </c>
      <c r="C268" s="625" t="s">
        <v>684</v>
      </c>
      <c r="D268" s="18"/>
      <c r="E268" s="507"/>
      <c r="F268" s="507"/>
      <c r="G268" s="507"/>
      <c r="H268" s="507"/>
      <c r="I268" s="507"/>
      <c r="J268" s="507"/>
      <c r="K268" s="507"/>
      <c r="L268" s="507"/>
      <c r="M268" s="507"/>
      <c r="N268" s="507"/>
      <c r="O268" s="507"/>
      <c r="P268" s="507"/>
      <c r="Q268" s="507"/>
      <c r="R268" s="507"/>
      <c r="S268" s="507"/>
      <c r="T268" s="507"/>
      <c r="U268" s="507"/>
      <c r="V268" s="507"/>
      <c r="W268" s="507"/>
    </row>
    <row r="269" ht="35.25" customHeight="1">
      <c r="A269" s="18"/>
      <c r="B269" s="538"/>
      <c r="C269" s="598"/>
      <c r="D269" s="18"/>
      <c r="E269" s="556"/>
      <c r="F269" s="507"/>
      <c r="G269" s="507"/>
      <c r="H269" s="507"/>
      <c r="I269" s="507"/>
      <c r="J269" s="507"/>
      <c r="K269" s="507"/>
      <c r="L269" s="507"/>
      <c r="M269" s="507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</row>
    <row r="270" ht="35.25" customHeight="1">
      <c r="A270" s="18"/>
      <c r="B270" s="547"/>
      <c r="C270" s="598"/>
      <c r="D270" s="18"/>
      <c r="E270" s="556"/>
      <c r="F270" s="507"/>
      <c r="G270" s="507"/>
      <c r="H270" s="507"/>
      <c r="I270" s="507"/>
      <c r="J270" s="507"/>
      <c r="K270" s="507"/>
      <c r="L270" s="507"/>
      <c r="M270" s="507"/>
      <c r="N270" s="507"/>
      <c r="O270" s="507"/>
      <c r="P270" s="507"/>
      <c r="Q270" s="507"/>
      <c r="R270" s="507"/>
      <c r="S270" s="507"/>
      <c r="T270" s="507"/>
      <c r="U270" s="507"/>
      <c r="V270" s="507"/>
      <c r="W270" s="507"/>
    </row>
    <row r="271" ht="35.25" customHeight="1">
      <c r="A271" s="618" t="s">
        <v>119</v>
      </c>
      <c r="B271" s="547" t="s">
        <v>74</v>
      </c>
      <c r="C271" s="625" t="s">
        <v>684</v>
      </c>
      <c r="D271" s="618">
        <f>SUM(C273:C275)</f>
        <v>113064500</v>
      </c>
      <c r="E271" s="507"/>
      <c r="F271" s="507"/>
      <c r="G271" s="507"/>
      <c r="H271" s="507"/>
      <c r="I271" s="507"/>
      <c r="J271" s="507"/>
      <c r="K271" s="507"/>
      <c r="L271" s="507"/>
      <c r="M271" s="507"/>
      <c r="N271" s="507"/>
      <c r="O271" s="507"/>
      <c r="P271" s="507"/>
      <c r="Q271" s="507"/>
      <c r="R271" s="507"/>
      <c r="S271" s="507"/>
      <c r="T271" s="507"/>
      <c r="U271" s="507"/>
      <c r="V271" s="507"/>
      <c r="W271" s="507"/>
    </row>
    <row r="272" ht="35.25" customHeight="1">
      <c r="A272" s="18"/>
      <c r="B272" s="547" t="s">
        <v>676</v>
      </c>
      <c r="C272" s="625" t="s">
        <v>684</v>
      </c>
      <c r="D272" s="18"/>
      <c r="E272" s="507"/>
      <c r="F272" s="507"/>
      <c r="G272" s="507"/>
      <c r="H272" s="507"/>
      <c r="I272" s="507"/>
      <c r="J272" s="507"/>
      <c r="K272" s="507"/>
      <c r="L272" s="507"/>
      <c r="M272" s="507"/>
      <c r="N272" s="507"/>
      <c r="O272" s="507"/>
      <c r="P272" s="507"/>
      <c r="Q272" s="507"/>
      <c r="R272" s="507"/>
      <c r="S272" s="507"/>
      <c r="T272" s="507"/>
      <c r="U272" s="507"/>
      <c r="V272" s="507"/>
      <c r="W272" s="507"/>
    </row>
    <row r="273" ht="35.25" customHeight="1">
      <c r="A273" s="18"/>
      <c r="B273" s="547" t="s">
        <v>677</v>
      </c>
      <c r="C273" s="598">
        <v>3.16515E7</v>
      </c>
      <c r="D273" s="18"/>
      <c r="E273" s="507"/>
      <c r="F273" s="507"/>
      <c r="G273" s="507"/>
      <c r="H273" s="507"/>
      <c r="I273" s="507"/>
      <c r="J273" s="507"/>
      <c r="K273" s="507"/>
      <c r="L273" s="507"/>
      <c r="M273" s="507"/>
      <c r="N273" s="507"/>
      <c r="O273" s="507"/>
      <c r="P273" s="507"/>
      <c r="Q273" s="507"/>
      <c r="R273" s="507"/>
      <c r="S273" s="507"/>
      <c r="T273" s="507"/>
      <c r="U273" s="507"/>
      <c r="V273" s="507"/>
      <c r="W273" s="507"/>
    </row>
    <row r="274" ht="35.25" customHeight="1">
      <c r="A274" s="18"/>
      <c r="B274" s="547" t="s">
        <v>678</v>
      </c>
      <c r="C274" s="598">
        <v>3.42165E7</v>
      </c>
      <c r="D274" s="18"/>
      <c r="E274" s="507"/>
      <c r="F274" s="507"/>
      <c r="G274" s="507"/>
      <c r="H274" s="507"/>
      <c r="I274" s="507"/>
      <c r="J274" s="507"/>
      <c r="K274" s="507"/>
      <c r="L274" s="507"/>
      <c r="M274" s="507"/>
      <c r="N274" s="507"/>
      <c r="O274" s="507"/>
      <c r="P274" s="507"/>
      <c r="Q274" s="507"/>
      <c r="R274" s="507"/>
      <c r="S274" s="507"/>
      <c r="T274" s="507"/>
      <c r="U274" s="507"/>
      <c r="V274" s="507"/>
      <c r="W274" s="507"/>
    </row>
    <row r="275" ht="35.25" customHeight="1">
      <c r="A275" s="18"/>
      <c r="B275" s="547" t="s">
        <v>679</v>
      </c>
      <c r="C275" s="630">
        <v>4.71965E7</v>
      </c>
      <c r="D275" s="18"/>
      <c r="E275" s="507"/>
      <c r="F275" s="507"/>
      <c r="G275" s="507"/>
      <c r="H275" s="507"/>
      <c r="I275" s="507"/>
      <c r="J275" s="507"/>
      <c r="K275" s="507"/>
      <c r="L275" s="507"/>
      <c r="M275" s="507"/>
      <c r="N275" s="507"/>
      <c r="O275" s="507"/>
      <c r="P275" s="507"/>
      <c r="Q275" s="507"/>
      <c r="R275" s="507"/>
      <c r="S275" s="507"/>
      <c r="T275" s="507"/>
      <c r="U275" s="507"/>
      <c r="V275" s="507"/>
      <c r="W275" s="507"/>
    </row>
    <row r="276" ht="35.25" customHeight="1">
      <c r="A276" s="618" t="s">
        <v>120</v>
      </c>
      <c r="B276" s="547" t="s">
        <v>676</v>
      </c>
      <c r="C276" s="624" t="s">
        <v>684</v>
      </c>
      <c r="D276" s="618">
        <f>SUM(C277:C279)</f>
        <v>108960000</v>
      </c>
      <c r="E276" s="556"/>
      <c r="F276" s="507"/>
      <c r="G276" s="507"/>
      <c r="H276" s="507"/>
      <c r="I276" s="507"/>
      <c r="J276" s="507"/>
      <c r="K276" s="507"/>
      <c r="L276" s="507"/>
      <c r="M276" s="507"/>
      <c r="N276" s="507"/>
      <c r="O276" s="507"/>
      <c r="P276" s="507"/>
      <c r="Q276" s="507"/>
      <c r="R276" s="507"/>
      <c r="S276" s="507"/>
      <c r="T276" s="507"/>
      <c r="U276" s="507"/>
      <c r="V276" s="507"/>
      <c r="W276" s="507"/>
    </row>
    <row r="277" ht="35.25" customHeight="1">
      <c r="A277" s="18"/>
      <c r="B277" s="547" t="s">
        <v>677</v>
      </c>
      <c r="C277" s="622">
        <v>2040000.0</v>
      </c>
      <c r="D277" s="18"/>
      <c r="E277" s="556" t="s">
        <v>689</v>
      </c>
      <c r="F277" s="507"/>
      <c r="G277" s="507"/>
      <c r="H277" s="507"/>
      <c r="I277" s="507"/>
      <c r="J277" s="507"/>
      <c r="K277" s="507"/>
      <c r="L277" s="507"/>
      <c r="M277" s="507"/>
      <c r="N277" s="507"/>
      <c r="O277" s="507"/>
      <c r="P277" s="507"/>
      <c r="Q277" s="507"/>
      <c r="R277" s="507"/>
      <c r="S277" s="507"/>
      <c r="T277" s="507"/>
      <c r="U277" s="507"/>
      <c r="V277" s="507"/>
      <c r="W277" s="507"/>
    </row>
    <row r="278" ht="35.25" customHeight="1">
      <c r="A278" s="18"/>
      <c r="B278" s="547" t="s">
        <v>678</v>
      </c>
      <c r="C278" s="625" t="s">
        <v>684</v>
      </c>
      <c r="D278" s="18"/>
      <c r="E278" s="507"/>
      <c r="F278" s="507"/>
      <c r="G278" s="507"/>
      <c r="H278" s="507"/>
      <c r="I278" s="507"/>
      <c r="J278" s="507"/>
      <c r="K278" s="507"/>
      <c r="L278" s="507"/>
      <c r="M278" s="507"/>
      <c r="N278" s="507"/>
      <c r="O278" s="507"/>
      <c r="P278" s="507"/>
      <c r="Q278" s="507"/>
      <c r="R278" s="507"/>
      <c r="S278" s="507"/>
      <c r="T278" s="507"/>
      <c r="U278" s="507"/>
      <c r="V278" s="507"/>
      <c r="W278" s="507"/>
    </row>
    <row r="279" ht="35.25" customHeight="1">
      <c r="A279" s="18"/>
      <c r="B279" s="547" t="s">
        <v>679</v>
      </c>
      <c r="C279" s="622">
        <v>1.0692E8</v>
      </c>
      <c r="D279" s="18"/>
      <c r="E279" s="507"/>
      <c r="F279" s="507"/>
      <c r="G279" s="507"/>
      <c r="H279" s="507"/>
      <c r="I279" s="507"/>
      <c r="J279" s="507"/>
      <c r="K279" s="507"/>
      <c r="L279" s="507"/>
      <c r="M279" s="507"/>
      <c r="N279" s="507"/>
      <c r="O279" s="507"/>
      <c r="P279" s="507"/>
      <c r="Q279" s="507"/>
      <c r="R279" s="507"/>
      <c r="S279" s="507"/>
      <c r="T279" s="507"/>
      <c r="U279" s="507"/>
      <c r="V279" s="507"/>
      <c r="W279" s="507"/>
    </row>
    <row r="280" ht="35.25" customHeight="1">
      <c r="A280" s="618" t="s">
        <v>121</v>
      </c>
      <c r="B280" s="547" t="s">
        <v>676</v>
      </c>
      <c r="C280" s="598">
        <v>4.1651E7</v>
      </c>
      <c r="D280" s="618">
        <f>SUM(C280:C283)</f>
        <v>170870000</v>
      </c>
      <c r="E280" s="507"/>
      <c r="F280" s="507"/>
      <c r="G280" s="507"/>
      <c r="H280" s="507"/>
      <c r="I280" s="507"/>
      <c r="J280" s="507"/>
      <c r="K280" s="507"/>
      <c r="L280" s="507"/>
      <c r="M280" s="507"/>
      <c r="N280" s="507"/>
      <c r="O280" s="507"/>
      <c r="P280" s="507"/>
      <c r="Q280" s="507"/>
      <c r="R280" s="507"/>
      <c r="S280" s="507"/>
      <c r="T280" s="507"/>
      <c r="U280" s="507"/>
      <c r="V280" s="507"/>
      <c r="W280" s="507"/>
    </row>
    <row r="281" ht="35.25" customHeight="1">
      <c r="A281" s="18"/>
      <c r="B281" s="547" t="s">
        <v>677</v>
      </c>
      <c r="C281" s="627">
        <v>4.5781E7</v>
      </c>
      <c r="D281" s="18"/>
      <c r="E281" s="507"/>
      <c r="F281" s="507"/>
      <c r="G281" s="507"/>
      <c r="H281" s="507"/>
      <c r="I281" s="507"/>
      <c r="J281" s="507"/>
      <c r="K281" s="507"/>
      <c r="L281" s="507"/>
      <c r="M281" s="507"/>
      <c r="N281" s="507"/>
      <c r="O281" s="507"/>
      <c r="P281" s="507"/>
      <c r="Q281" s="507"/>
      <c r="R281" s="507"/>
      <c r="S281" s="507"/>
      <c r="T281" s="507"/>
      <c r="U281" s="507"/>
      <c r="V281" s="507"/>
      <c r="W281" s="507"/>
    </row>
    <row r="282" ht="35.25" customHeight="1">
      <c r="A282" s="18"/>
      <c r="B282" s="547" t="s">
        <v>678</v>
      </c>
      <c r="C282" s="598">
        <v>3.81455E7</v>
      </c>
      <c r="D282" s="18"/>
      <c r="E282" s="507"/>
      <c r="F282" s="507"/>
      <c r="G282" s="507"/>
      <c r="H282" s="507"/>
      <c r="I282" s="507"/>
      <c r="J282" s="507"/>
      <c r="K282" s="507"/>
      <c r="L282" s="507"/>
      <c r="M282" s="507"/>
      <c r="N282" s="507"/>
      <c r="O282" s="507"/>
      <c r="P282" s="507"/>
      <c r="Q282" s="507"/>
      <c r="R282" s="507"/>
      <c r="S282" s="507"/>
      <c r="T282" s="507"/>
      <c r="U282" s="507"/>
      <c r="V282" s="507"/>
      <c r="W282" s="507"/>
    </row>
    <row r="283" ht="35.25" customHeight="1">
      <c r="A283" s="18"/>
      <c r="B283" s="547" t="s">
        <v>679</v>
      </c>
      <c r="C283" s="598">
        <v>4.52925E7</v>
      </c>
      <c r="D283" s="18"/>
      <c r="E283" s="507"/>
      <c r="F283" s="507"/>
      <c r="G283" s="507"/>
      <c r="H283" s="507"/>
      <c r="I283" s="507"/>
      <c r="J283" s="507"/>
      <c r="K283" s="507"/>
      <c r="L283" s="507"/>
      <c r="M283" s="507"/>
      <c r="N283" s="507"/>
      <c r="O283" s="507"/>
      <c r="P283" s="507"/>
      <c r="Q283" s="507"/>
      <c r="R283" s="507"/>
      <c r="S283" s="507"/>
      <c r="T283" s="507"/>
      <c r="U283" s="507"/>
      <c r="V283" s="507"/>
      <c r="W283" s="507"/>
    </row>
    <row r="284" ht="35.25" customHeight="1">
      <c r="A284" s="18"/>
      <c r="B284" s="547"/>
      <c r="C284" s="598"/>
      <c r="D284" s="18"/>
      <c r="E284" s="507"/>
      <c r="F284" s="507"/>
      <c r="G284" s="507"/>
      <c r="H284" s="507"/>
      <c r="I284" s="507"/>
      <c r="J284" s="507"/>
      <c r="K284" s="507"/>
      <c r="L284" s="507"/>
      <c r="M284" s="507"/>
      <c r="N284" s="507"/>
      <c r="O284" s="507"/>
      <c r="P284" s="507"/>
      <c r="Q284" s="507"/>
      <c r="R284" s="507"/>
      <c r="S284" s="507"/>
      <c r="T284" s="507"/>
      <c r="U284" s="507"/>
      <c r="V284" s="507"/>
      <c r="W284" s="507"/>
    </row>
    <row r="285" ht="35.25" customHeight="1">
      <c r="A285" s="618" t="s">
        <v>122</v>
      </c>
      <c r="B285" s="636" t="s">
        <v>683</v>
      </c>
      <c r="C285" s="617" t="s">
        <v>684</v>
      </c>
      <c r="D285" s="618">
        <f>SUM(C286:C289)</f>
        <v>223539000</v>
      </c>
      <c r="G285" s="507"/>
      <c r="H285" s="507"/>
      <c r="I285" s="507"/>
      <c r="J285" s="507"/>
      <c r="K285" s="507"/>
      <c r="L285" s="507"/>
      <c r="M285" s="507"/>
      <c r="N285" s="507"/>
      <c r="O285" s="507"/>
      <c r="P285" s="507"/>
      <c r="Q285" s="507"/>
      <c r="R285" s="507"/>
      <c r="S285" s="507"/>
      <c r="T285" s="507"/>
      <c r="U285" s="507"/>
      <c r="V285" s="507"/>
      <c r="W285" s="507"/>
    </row>
    <row r="286" ht="35.25" customHeight="1">
      <c r="A286" s="18"/>
      <c r="B286" s="547" t="s">
        <v>676</v>
      </c>
      <c r="C286" s="620">
        <v>6.8179E7</v>
      </c>
      <c r="D286" s="18"/>
      <c r="E286" s="635"/>
      <c r="F286" s="507"/>
      <c r="G286" s="507"/>
      <c r="H286" s="507"/>
      <c r="I286" s="507"/>
      <c r="J286" s="507"/>
      <c r="K286" s="507"/>
      <c r="L286" s="507"/>
      <c r="M286" s="507"/>
      <c r="N286" s="507"/>
      <c r="O286" s="507"/>
      <c r="P286" s="507"/>
      <c r="Q286" s="507"/>
      <c r="R286" s="507"/>
      <c r="S286" s="507"/>
      <c r="T286" s="507"/>
      <c r="U286" s="507"/>
      <c r="V286" s="507"/>
      <c r="W286" s="507"/>
    </row>
    <row r="287" ht="35.25" customHeight="1">
      <c r="A287" s="18"/>
      <c r="B287" s="652" t="s">
        <v>677</v>
      </c>
      <c r="C287" s="622">
        <v>8.2626E7</v>
      </c>
      <c r="D287" s="18"/>
      <c r="E287" s="635"/>
      <c r="F287" s="507"/>
      <c r="G287" s="507"/>
      <c r="H287" s="507"/>
      <c r="I287" s="507"/>
      <c r="J287" s="507"/>
      <c r="K287" s="507"/>
      <c r="L287" s="507"/>
      <c r="M287" s="507"/>
      <c r="N287" s="507"/>
      <c r="O287" s="507"/>
      <c r="P287" s="507"/>
      <c r="Q287" s="507"/>
      <c r="R287" s="507"/>
      <c r="S287" s="507"/>
      <c r="T287" s="507"/>
      <c r="U287" s="507"/>
      <c r="V287" s="507"/>
      <c r="W287" s="507"/>
    </row>
    <row r="288" ht="35.25" customHeight="1">
      <c r="A288" s="18"/>
      <c r="B288" s="636" t="s">
        <v>678</v>
      </c>
      <c r="C288" s="598">
        <v>9661000.0</v>
      </c>
      <c r="D288" s="18"/>
      <c r="E288" s="556" t="s">
        <v>690</v>
      </c>
      <c r="F288" s="507"/>
      <c r="G288" s="507"/>
      <c r="H288" s="507"/>
      <c r="I288" s="507"/>
      <c r="J288" s="507"/>
      <c r="K288" s="507"/>
      <c r="L288" s="507"/>
      <c r="M288" s="507"/>
      <c r="N288" s="507"/>
      <c r="O288" s="507"/>
      <c r="P288" s="507"/>
      <c r="Q288" s="507"/>
      <c r="R288" s="507"/>
      <c r="S288" s="507"/>
      <c r="T288" s="507"/>
      <c r="U288" s="507"/>
      <c r="V288" s="507"/>
      <c r="W288" s="507"/>
    </row>
    <row r="289" ht="35.25" customHeight="1">
      <c r="A289" s="18"/>
      <c r="B289" s="629" t="s">
        <v>679</v>
      </c>
      <c r="C289" s="620">
        <v>6.3073E7</v>
      </c>
      <c r="D289" s="18"/>
      <c r="E289" s="556"/>
      <c r="F289" s="507"/>
      <c r="G289" s="507"/>
      <c r="H289" s="507"/>
      <c r="I289" s="507"/>
      <c r="J289" s="507"/>
      <c r="K289" s="507"/>
      <c r="L289" s="507"/>
      <c r="M289" s="507"/>
      <c r="N289" s="507"/>
      <c r="O289" s="507"/>
      <c r="P289" s="507"/>
      <c r="Q289" s="507"/>
      <c r="R289" s="507"/>
      <c r="S289" s="507"/>
      <c r="T289" s="507"/>
      <c r="U289" s="507"/>
      <c r="V289" s="507"/>
      <c r="W289" s="507"/>
    </row>
    <row r="290" ht="35.25" customHeight="1">
      <c r="A290" s="653" t="s">
        <v>123</v>
      </c>
      <c r="B290" s="547" t="s">
        <v>74</v>
      </c>
      <c r="C290" s="598">
        <v>5.26365E7</v>
      </c>
      <c r="D290" s="653">
        <f>SUM(C290:C294)</f>
        <v>52636500</v>
      </c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  <c r="O290" s="507"/>
      <c r="P290" s="507"/>
      <c r="Q290" s="507"/>
      <c r="R290" s="507"/>
      <c r="S290" s="507"/>
      <c r="T290" s="507"/>
      <c r="U290" s="507"/>
      <c r="V290" s="507"/>
      <c r="W290" s="507"/>
    </row>
    <row r="291" ht="35.25" customHeight="1">
      <c r="A291" s="18"/>
      <c r="B291" s="538" t="s">
        <v>51</v>
      </c>
      <c r="C291" s="598">
        <v>0.0</v>
      </c>
      <c r="D291" s="18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7"/>
    </row>
    <row r="292" ht="35.25" customHeight="1">
      <c r="A292" s="18"/>
      <c r="B292" s="538" t="s">
        <v>53</v>
      </c>
      <c r="C292" s="598"/>
      <c r="D292" s="18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07"/>
      <c r="U292" s="507"/>
      <c r="V292" s="507"/>
      <c r="W292" s="507"/>
    </row>
    <row r="293" ht="35.25" customHeight="1">
      <c r="A293" s="18"/>
      <c r="B293" s="538" t="s">
        <v>55</v>
      </c>
      <c r="C293" s="598"/>
      <c r="D293" s="18"/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  <c r="O293" s="507"/>
      <c r="P293" s="507"/>
      <c r="Q293" s="507"/>
      <c r="R293" s="507"/>
      <c r="S293" s="507"/>
      <c r="T293" s="507"/>
      <c r="U293" s="507"/>
      <c r="V293" s="507"/>
      <c r="W293" s="507"/>
    </row>
    <row r="294" ht="35.25" customHeight="1">
      <c r="A294" s="18"/>
      <c r="B294" s="538" t="s">
        <v>57</v>
      </c>
      <c r="C294" s="598"/>
      <c r="D294" s="18"/>
      <c r="E294" s="507"/>
      <c r="F294" s="507"/>
      <c r="G294" s="507"/>
      <c r="H294" s="507"/>
      <c r="I294" s="507"/>
      <c r="J294" s="507"/>
      <c r="K294" s="507"/>
      <c r="L294" s="507"/>
      <c r="M294" s="507"/>
      <c r="N294" s="507"/>
      <c r="O294" s="507"/>
      <c r="P294" s="507"/>
      <c r="Q294" s="507"/>
      <c r="R294" s="507"/>
      <c r="S294" s="507"/>
      <c r="T294" s="507"/>
      <c r="U294" s="507"/>
      <c r="V294" s="507"/>
      <c r="W294" s="507"/>
    </row>
    <row r="295" ht="35.25" customHeight="1">
      <c r="A295" s="653" t="s">
        <v>124</v>
      </c>
      <c r="B295" s="547" t="s">
        <v>74</v>
      </c>
      <c r="C295" s="598">
        <v>1.43358E8</v>
      </c>
      <c r="D295" s="653">
        <f>SUM(C295:C299)</f>
        <v>181590000</v>
      </c>
      <c r="E295" s="507"/>
      <c r="F295" s="507"/>
      <c r="G295" s="507"/>
      <c r="H295" s="507"/>
      <c r="I295" s="525"/>
      <c r="J295" s="507"/>
      <c r="K295" s="507"/>
      <c r="L295" s="507"/>
      <c r="M295" s="507"/>
      <c r="N295" s="507"/>
      <c r="O295" s="507"/>
      <c r="P295" s="507"/>
      <c r="Q295" s="507"/>
      <c r="R295" s="507"/>
      <c r="S295" s="507"/>
      <c r="T295" s="507"/>
      <c r="U295" s="507"/>
      <c r="V295" s="507"/>
      <c r="W295" s="507"/>
    </row>
    <row r="296" ht="35.25" customHeight="1">
      <c r="A296" s="18"/>
      <c r="B296" s="538" t="s">
        <v>51</v>
      </c>
      <c r="C296" s="598">
        <v>3.8232E7</v>
      </c>
      <c r="D296" s="18"/>
      <c r="E296" s="507"/>
      <c r="F296" s="507"/>
      <c r="G296" s="507"/>
      <c r="H296" s="507"/>
      <c r="I296" s="507"/>
      <c r="J296" s="507"/>
      <c r="K296" s="507"/>
      <c r="L296" s="507"/>
      <c r="M296" s="507"/>
      <c r="N296" s="507"/>
      <c r="O296" s="507"/>
      <c r="P296" s="507"/>
      <c r="Q296" s="507"/>
      <c r="R296" s="507"/>
      <c r="S296" s="507"/>
      <c r="T296" s="507"/>
      <c r="U296" s="507"/>
      <c r="V296" s="507"/>
      <c r="W296" s="507"/>
    </row>
    <row r="297" ht="35.25" customHeight="1">
      <c r="A297" s="18"/>
      <c r="B297" s="538" t="s">
        <v>53</v>
      </c>
      <c r="C297" s="598"/>
      <c r="D297" s="18"/>
      <c r="E297" s="507"/>
      <c r="F297" s="507"/>
      <c r="G297" s="507"/>
      <c r="H297" s="507"/>
      <c r="I297" s="507"/>
      <c r="J297" s="507"/>
      <c r="K297" s="507"/>
      <c r="L297" s="507"/>
      <c r="M297" s="507"/>
      <c r="N297" s="507"/>
      <c r="O297" s="507"/>
      <c r="P297" s="507"/>
      <c r="Q297" s="507"/>
      <c r="R297" s="507"/>
      <c r="S297" s="507"/>
      <c r="T297" s="507"/>
      <c r="U297" s="507"/>
      <c r="V297" s="507"/>
      <c r="W297" s="507"/>
    </row>
    <row r="298" ht="35.25" customHeight="1">
      <c r="A298" s="18"/>
      <c r="B298" s="538" t="s">
        <v>55</v>
      </c>
      <c r="C298" s="622"/>
      <c r="D298" s="18"/>
      <c r="E298" s="651"/>
      <c r="F298" s="507"/>
      <c r="G298" s="507"/>
      <c r="H298" s="507"/>
      <c r="I298" s="507"/>
      <c r="J298" s="507"/>
      <c r="K298" s="507"/>
      <c r="L298" s="507"/>
      <c r="M298" s="507"/>
      <c r="N298" s="507"/>
      <c r="O298" s="507"/>
      <c r="P298" s="507"/>
      <c r="Q298" s="507"/>
      <c r="R298" s="507"/>
      <c r="S298" s="507"/>
      <c r="T298" s="507"/>
      <c r="U298" s="507"/>
      <c r="V298" s="507"/>
      <c r="W298" s="507"/>
    </row>
    <row r="299" ht="35.25" customHeight="1">
      <c r="A299" s="18"/>
      <c r="B299" s="538" t="s">
        <v>57</v>
      </c>
      <c r="C299" s="622"/>
      <c r="D299" s="18"/>
      <c r="E299" s="651"/>
      <c r="F299" s="507"/>
      <c r="G299" s="507"/>
      <c r="H299" s="507"/>
      <c r="I299" s="507"/>
      <c r="J299" s="507"/>
      <c r="K299" s="507"/>
      <c r="L299" s="507"/>
      <c r="M299" s="507"/>
      <c r="N299" s="507"/>
      <c r="O299" s="507"/>
      <c r="P299" s="507"/>
      <c r="Q299" s="507"/>
      <c r="R299" s="507"/>
      <c r="S299" s="507"/>
      <c r="T299" s="507"/>
      <c r="U299" s="507"/>
      <c r="V299" s="507"/>
      <c r="W299" s="507"/>
    </row>
    <row r="300" ht="35.25" customHeight="1">
      <c r="A300" s="653" t="s">
        <v>126</v>
      </c>
      <c r="B300" s="547" t="s">
        <v>74</v>
      </c>
      <c r="C300" s="598">
        <v>6.1734E7</v>
      </c>
      <c r="D300" s="653">
        <f>SUM(C300:C304)</f>
        <v>61734000</v>
      </c>
      <c r="E300" s="507"/>
      <c r="F300" s="507"/>
      <c r="G300" s="507"/>
      <c r="H300" s="507"/>
      <c r="I300" s="507"/>
      <c r="J300" s="507"/>
      <c r="K300" s="507"/>
      <c r="L300" s="507"/>
      <c r="M300" s="507"/>
      <c r="N300" s="507"/>
      <c r="O300" s="507"/>
      <c r="P300" s="507"/>
      <c r="Q300" s="507"/>
      <c r="R300" s="507"/>
      <c r="S300" s="507"/>
      <c r="T300" s="507"/>
      <c r="U300" s="507"/>
      <c r="V300" s="507"/>
      <c r="W300" s="507"/>
    </row>
    <row r="301" ht="35.25" customHeight="1">
      <c r="A301" s="18"/>
      <c r="B301" s="538" t="s">
        <v>51</v>
      </c>
      <c r="C301" s="598">
        <v>0.0</v>
      </c>
      <c r="D301" s="18"/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  <c r="O301" s="507"/>
      <c r="P301" s="507"/>
      <c r="Q301" s="507"/>
      <c r="R301" s="507"/>
      <c r="S301" s="507"/>
      <c r="T301" s="507"/>
      <c r="U301" s="507"/>
      <c r="V301" s="507"/>
      <c r="W301" s="507"/>
    </row>
    <row r="302" ht="35.25" customHeight="1">
      <c r="A302" s="18"/>
      <c r="B302" s="538" t="s">
        <v>53</v>
      </c>
      <c r="C302" s="598"/>
      <c r="D302" s="18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  <c r="O302" s="507"/>
      <c r="P302" s="507"/>
      <c r="Q302" s="507"/>
      <c r="R302" s="507"/>
      <c r="S302" s="507"/>
      <c r="T302" s="507"/>
      <c r="U302" s="507"/>
      <c r="V302" s="507"/>
      <c r="W302" s="507"/>
    </row>
    <row r="303" ht="35.25" customHeight="1">
      <c r="A303" s="18"/>
      <c r="B303" s="538" t="s">
        <v>55</v>
      </c>
      <c r="C303" s="598"/>
      <c r="D303" s="18"/>
      <c r="E303" s="507"/>
      <c r="F303" s="507"/>
      <c r="G303" s="507"/>
      <c r="H303" s="507"/>
      <c r="I303" s="507"/>
      <c r="J303" s="507"/>
      <c r="K303" s="507"/>
      <c r="L303" s="507"/>
      <c r="M303" s="507"/>
      <c r="N303" s="507"/>
      <c r="O303" s="507"/>
      <c r="P303" s="507"/>
      <c r="Q303" s="507"/>
      <c r="R303" s="507"/>
      <c r="S303" s="507"/>
      <c r="T303" s="507"/>
      <c r="U303" s="507"/>
      <c r="V303" s="507"/>
      <c r="W303" s="507"/>
    </row>
    <row r="304" ht="35.25" customHeight="1">
      <c r="A304" s="18"/>
      <c r="B304" s="538" t="s">
        <v>57</v>
      </c>
      <c r="C304" s="598"/>
      <c r="D304" s="18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  <c r="O304" s="507"/>
      <c r="P304" s="507"/>
      <c r="Q304" s="507"/>
      <c r="R304" s="507"/>
      <c r="S304" s="507"/>
      <c r="T304" s="507"/>
      <c r="U304" s="507"/>
      <c r="V304" s="507"/>
      <c r="W304" s="507"/>
    </row>
    <row r="305" ht="35.25" customHeight="1">
      <c r="A305" s="653" t="s">
        <v>621</v>
      </c>
      <c r="B305" s="538" t="s">
        <v>51</v>
      </c>
      <c r="C305" s="598" t="s">
        <v>684</v>
      </c>
      <c r="D305" s="653">
        <f>SUM(C305:C308)</f>
        <v>34629500</v>
      </c>
      <c r="E305" s="507"/>
      <c r="F305" s="507"/>
      <c r="G305" s="507"/>
      <c r="H305" s="507"/>
      <c r="I305" s="507"/>
      <c r="J305" s="507"/>
      <c r="K305" s="507"/>
      <c r="L305" s="507"/>
      <c r="M305" s="507"/>
      <c r="N305" s="507"/>
      <c r="O305" s="507"/>
      <c r="P305" s="507"/>
      <c r="Q305" s="507"/>
      <c r="R305" s="507"/>
      <c r="S305" s="507"/>
      <c r="T305" s="507"/>
      <c r="U305" s="507"/>
      <c r="V305" s="507"/>
      <c r="W305" s="507"/>
    </row>
    <row r="306" ht="35.25" customHeight="1">
      <c r="A306" s="18"/>
      <c r="B306" s="538" t="s">
        <v>53</v>
      </c>
      <c r="C306" s="622" t="s">
        <v>691</v>
      </c>
      <c r="D306" s="18"/>
      <c r="E306" s="507"/>
      <c r="F306" s="507"/>
      <c r="G306" s="507"/>
      <c r="H306" s="507"/>
      <c r="I306" s="507"/>
      <c r="J306" s="507"/>
      <c r="K306" s="507"/>
      <c r="L306" s="507"/>
      <c r="M306" s="507"/>
      <c r="N306" s="507"/>
      <c r="O306" s="507"/>
      <c r="P306" s="507"/>
      <c r="Q306" s="507"/>
      <c r="R306" s="507"/>
      <c r="S306" s="507"/>
      <c r="T306" s="507"/>
      <c r="U306" s="507"/>
      <c r="V306" s="507"/>
      <c r="W306" s="507"/>
    </row>
    <row r="307" ht="35.25" customHeight="1">
      <c r="A307" s="18"/>
      <c r="B307" s="538" t="s">
        <v>55</v>
      </c>
      <c r="C307" s="598" t="s">
        <v>691</v>
      </c>
      <c r="D307" s="18"/>
      <c r="E307" s="507"/>
      <c r="F307" s="507"/>
      <c r="G307" s="507"/>
      <c r="H307" s="507"/>
      <c r="I307" s="507"/>
      <c r="J307" s="507"/>
      <c r="K307" s="507"/>
      <c r="L307" s="507"/>
      <c r="M307" s="507"/>
      <c r="N307" s="507"/>
      <c r="O307" s="507"/>
      <c r="P307" s="507"/>
      <c r="Q307" s="507"/>
      <c r="R307" s="507"/>
      <c r="S307" s="507"/>
      <c r="T307" s="507"/>
      <c r="U307" s="507"/>
      <c r="V307" s="507"/>
      <c r="W307" s="507"/>
    </row>
    <row r="308" ht="35.25" customHeight="1">
      <c r="A308" s="18"/>
      <c r="B308" s="538" t="s">
        <v>57</v>
      </c>
      <c r="C308" s="622">
        <v>3.46295E7</v>
      </c>
      <c r="D308" s="18"/>
      <c r="E308" s="556" t="s">
        <v>692</v>
      </c>
      <c r="F308" s="507"/>
      <c r="G308" s="507"/>
      <c r="H308" s="507"/>
      <c r="I308" s="507"/>
      <c r="J308" s="507"/>
      <c r="K308" s="507"/>
      <c r="L308" s="507"/>
      <c r="M308" s="507"/>
      <c r="N308" s="507"/>
      <c r="O308" s="507"/>
      <c r="P308" s="507"/>
      <c r="Q308" s="507"/>
      <c r="R308" s="507"/>
      <c r="S308" s="507"/>
      <c r="T308" s="507"/>
      <c r="U308" s="507"/>
      <c r="V308" s="507"/>
      <c r="W308" s="507"/>
    </row>
    <row r="309" ht="35.25" customHeight="1">
      <c r="A309" s="653" t="s">
        <v>128</v>
      </c>
      <c r="B309" s="538" t="s">
        <v>51</v>
      </c>
      <c r="C309" s="622">
        <v>2.1148E7</v>
      </c>
      <c r="D309" s="653">
        <f>SUM(C309:C312)</f>
        <v>79899500</v>
      </c>
      <c r="E309" s="507"/>
      <c r="F309" s="507"/>
      <c r="G309" s="507"/>
      <c r="H309" s="507"/>
      <c r="I309" s="507"/>
      <c r="J309" s="507"/>
      <c r="K309" s="507"/>
      <c r="L309" s="507"/>
      <c r="M309" s="507"/>
      <c r="N309" s="507"/>
      <c r="O309" s="507"/>
      <c r="P309" s="507"/>
      <c r="Q309" s="507"/>
      <c r="R309" s="507"/>
      <c r="S309" s="507"/>
      <c r="T309" s="507"/>
      <c r="U309" s="507"/>
      <c r="V309" s="507"/>
      <c r="W309" s="507"/>
    </row>
    <row r="310" ht="35.25" customHeight="1">
      <c r="A310" s="18"/>
      <c r="B310" s="538" t="s">
        <v>53</v>
      </c>
      <c r="C310" s="598">
        <v>2.40555E7</v>
      </c>
      <c r="D310" s="18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07"/>
      <c r="S310" s="507"/>
      <c r="T310" s="507"/>
      <c r="U310" s="507"/>
      <c r="V310" s="507"/>
      <c r="W310" s="507"/>
    </row>
    <row r="311" ht="35.25" customHeight="1">
      <c r="A311" s="18"/>
      <c r="B311" s="538" t="s">
        <v>55</v>
      </c>
      <c r="C311" s="622">
        <v>1.7873E7</v>
      </c>
      <c r="D311" s="18"/>
      <c r="E311" s="507"/>
      <c r="F311" s="507"/>
      <c r="G311" s="507"/>
      <c r="H311" s="507"/>
      <c r="I311" s="507"/>
      <c r="J311" s="507"/>
      <c r="K311" s="507"/>
      <c r="L311" s="507"/>
      <c r="M311" s="507"/>
      <c r="N311" s="507"/>
      <c r="O311" s="507"/>
      <c r="P311" s="507"/>
      <c r="Q311" s="507"/>
      <c r="R311" s="507"/>
      <c r="S311" s="507"/>
      <c r="T311" s="507"/>
      <c r="U311" s="507"/>
      <c r="V311" s="507"/>
      <c r="W311" s="507"/>
    </row>
    <row r="312" ht="35.25" customHeight="1">
      <c r="A312" s="18"/>
      <c r="B312" s="538" t="s">
        <v>57</v>
      </c>
      <c r="C312" s="622">
        <v>1.6823E7</v>
      </c>
      <c r="D312" s="18"/>
      <c r="E312" s="507"/>
      <c r="F312" s="507"/>
      <c r="G312" s="507"/>
      <c r="H312" s="507"/>
      <c r="I312" s="507"/>
      <c r="J312" s="507"/>
      <c r="K312" s="507"/>
      <c r="L312" s="507"/>
      <c r="M312" s="507"/>
      <c r="N312" s="507"/>
      <c r="O312" s="507"/>
      <c r="P312" s="507"/>
      <c r="Q312" s="507"/>
      <c r="R312" s="507"/>
      <c r="S312" s="507"/>
      <c r="T312" s="507"/>
      <c r="U312" s="507"/>
      <c r="V312" s="507"/>
      <c r="W312" s="507"/>
    </row>
    <row r="313" ht="35.25" customHeight="1">
      <c r="A313" s="653" t="s">
        <v>129</v>
      </c>
      <c r="B313" s="538" t="s">
        <v>51</v>
      </c>
      <c r="C313" s="598" t="s">
        <v>684</v>
      </c>
      <c r="D313" s="653">
        <f>SUM(C313:C316)</f>
        <v>44857500</v>
      </c>
      <c r="E313" s="507"/>
      <c r="F313" s="507"/>
      <c r="G313" s="507"/>
      <c r="H313" s="507"/>
      <c r="I313" s="507"/>
      <c r="J313" s="507"/>
      <c r="K313" s="507"/>
      <c r="L313" s="507"/>
      <c r="M313" s="507"/>
      <c r="N313" s="507"/>
      <c r="O313" s="507"/>
      <c r="P313" s="507"/>
      <c r="Q313" s="507"/>
      <c r="R313" s="507"/>
      <c r="S313" s="507"/>
      <c r="T313" s="507"/>
      <c r="U313" s="507"/>
      <c r="V313" s="507"/>
      <c r="W313" s="507"/>
    </row>
    <row r="314" ht="35.25" customHeight="1">
      <c r="A314" s="18"/>
      <c r="B314" s="538" t="s">
        <v>53</v>
      </c>
      <c r="C314" s="622" t="s">
        <v>684</v>
      </c>
      <c r="D314" s="18"/>
      <c r="E314" s="507"/>
      <c r="F314" s="507"/>
      <c r="G314" s="507"/>
      <c r="H314" s="507"/>
      <c r="I314" s="507"/>
      <c r="J314" s="507"/>
      <c r="K314" s="507"/>
      <c r="L314" s="654"/>
      <c r="M314" s="507"/>
      <c r="N314" s="507"/>
      <c r="O314" s="507"/>
      <c r="P314" s="507"/>
      <c r="Q314" s="507"/>
      <c r="R314" s="507"/>
      <c r="S314" s="507"/>
      <c r="T314" s="507"/>
      <c r="U314" s="507"/>
      <c r="V314" s="507"/>
      <c r="W314" s="507"/>
    </row>
    <row r="315" ht="35.25" customHeight="1">
      <c r="A315" s="18"/>
      <c r="B315" s="538" t="s">
        <v>55</v>
      </c>
      <c r="C315" s="598" t="s">
        <v>684</v>
      </c>
      <c r="D315" s="18"/>
      <c r="E315" s="507"/>
      <c r="F315" s="507"/>
      <c r="G315" s="507"/>
      <c r="H315" s="507"/>
      <c r="I315" s="507"/>
      <c r="J315" s="507"/>
      <c r="K315" s="507"/>
      <c r="L315" s="507"/>
      <c r="M315" s="507"/>
      <c r="N315" s="507"/>
      <c r="O315" s="507"/>
      <c r="P315" s="507"/>
      <c r="Q315" s="507"/>
      <c r="R315" s="507"/>
      <c r="S315" s="507"/>
      <c r="T315" s="507"/>
      <c r="U315" s="507"/>
      <c r="V315" s="507"/>
      <c r="W315" s="507"/>
    </row>
    <row r="316" ht="35.25" customHeight="1">
      <c r="A316" s="18"/>
      <c r="B316" s="538" t="s">
        <v>57</v>
      </c>
      <c r="C316" s="622">
        <v>4.48575E7</v>
      </c>
      <c r="D316" s="18"/>
      <c r="E316" s="556"/>
      <c r="F316" s="507"/>
      <c r="G316" s="507"/>
      <c r="H316" s="507"/>
      <c r="I316" s="507"/>
      <c r="J316" s="507"/>
      <c r="K316" s="507"/>
      <c r="L316" s="507"/>
      <c r="M316" s="507"/>
      <c r="N316" s="507"/>
      <c r="O316" s="507"/>
      <c r="P316" s="507"/>
      <c r="Q316" s="507"/>
      <c r="R316" s="507"/>
      <c r="S316" s="507"/>
      <c r="T316" s="507"/>
      <c r="U316" s="507"/>
      <c r="V316" s="507"/>
      <c r="W316" s="507"/>
    </row>
    <row r="317" ht="35.25" customHeight="1">
      <c r="A317" s="655" t="s">
        <v>131</v>
      </c>
      <c r="B317" s="538" t="s">
        <v>51</v>
      </c>
      <c r="C317" s="656" t="s">
        <v>684</v>
      </c>
      <c r="D317" s="657">
        <f>SUM(C317:C321)</f>
        <v>131888500</v>
      </c>
      <c r="E317" s="507"/>
      <c r="F317" s="507"/>
      <c r="G317" s="507"/>
      <c r="H317" s="507"/>
      <c r="I317" s="507"/>
      <c r="J317" s="507"/>
      <c r="K317" s="507"/>
      <c r="L317" s="507"/>
      <c r="M317" s="507"/>
      <c r="N317" s="507"/>
      <c r="O317" s="507"/>
      <c r="P317" s="507"/>
      <c r="Q317" s="507"/>
      <c r="R317" s="507"/>
      <c r="S317" s="507"/>
      <c r="T317" s="507"/>
      <c r="U317" s="507"/>
      <c r="V317" s="507"/>
      <c r="W317" s="507"/>
    </row>
    <row r="318" ht="35.25" customHeight="1">
      <c r="A318" s="18"/>
      <c r="B318" s="538" t="s">
        <v>53</v>
      </c>
      <c r="C318" s="656" t="s">
        <v>684</v>
      </c>
      <c r="D318" s="18"/>
      <c r="E318" s="507"/>
      <c r="F318" s="507"/>
      <c r="G318" s="507"/>
      <c r="H318" s="507"/>
      <c r="I318" s="507"/>
      <c r="J318" s="507"/>
      <c r="K318" s="507"/>
      <c r="L318" s="507"/>
      <c r="M318" s="507"/>
      <c r="N318" s="507"/>
      <c r="O318" s="507"/>
      <c r="P318" s="507"/>
      <c r="Q318" s="507"/>
      <c r="R318" s="507"/>
      <c r="S318" s="507"/>
      <c r="T318" s="507"/>
      <c r="U318" s="507"/>
      <c r="V318" s="507"/>
      <c r="W318" s="507"/>
    </row>
    <row r="319" ht="35.25" customHeight="1">
      <c r="A319" s="18"/>
      <c r="B319" s="538" t="s">
        <v>55</v>
      </c>
      <c r="C319" s="656" t="s">
        <v>684</v>
      </c>
      <c r="D319" s="18"/>
      <c r="E319" s="507"/>
      <c r="G319" s="507"/>
      <c r="H319" s="507"/>
      <c r="I319" s="507"/>
      <c r="J319" s="507"/>
      <c r="K319" s="507"/>
      <c r="L319" s="507"/>
      <c r="M319" s="507"/>
      <c r="N319" s="507"/>
      <c r="O319" s="507"/>
      <c r="P319" s="507"/>
      <c r="Q319" s="507"/>
      <c r="R319" s="507"/>
      <c r="S319" s="507"/>
      <c r="T319" s="507"/>
      <c r="U319" s="507"/>
      <c r="V319" s="507"/>
      <c r="W319" s="507"/>
    </row>
    <row r="320" ht="35.25" customHeight="1">
      <c r="A320" s="18"/>
      <c r="B320" s="538" t="s">
        <v>57</v>
      </c>
      <c r="C320" s="656">
        <v>6.3939E7</v>
      </c>
      <c r="D320" s="18"/>
      <c r="G320" s="507"/>
      <c r="H320" s="507"/>
      <c r="I320" s="507"/>
      <c r="J320" s="507"/>
      <c r="K320" s="507"/>
      <c r="L320" s="507"/>
      <c r="M320" s="507"/>
      <c r="N320" s="507"/>
      <c r="O320" s="507"/>
      <c r="P320" s="507"/>
      <c r="Q320" s="507"/>
      <c r="R320" s="507"/>
      <c r="S320" s="507"/>
      <c r="T320" s="507"/>
      <c r="U320" s="507"/>
      <c r="V320" s="507"/>
      <c r="W320" s="507"/>
    </row>
    <row r="321" ht="35.25" customHeight="1">
      <c r="A321" s="22"/>
      <c r="B321" s="547" t="s">
        <v>693</v>
      </c>
      <c r="C321" s="656">
        <v>6.79495E7</v>
      </c>
      <c r="D321" s="18"/>
      <c r="E321" s="507"/>
      <c r="F321" s="507"/>
      <c r="G321" s="507"/>
      <c r="H321" s="507"/>
      <c r="I321" s="507"/>
      <c r="J321" s="507"/>
      <c r="K321" s="507"/>
      <c r="L321" s="507"/>
      <c r="M321" s="507"/>
      <c r="N321" s="507"/>
      <c r="O321" s="507"/>
      <c r="P321" s="507"/>
      <c r="Q321" s="507"/>
      <c r="R321" s="507"/>
      <c r="S321" s="507"/>
      <c r="T321" s="507"/>
      <c r="U321" s="507"/>
      <c r="V321" s="507"/>
      <c r="W321" s="507"/>
    </row>
    <row r="322" ht="35.25" customHeight="1">
      <c r="A322" s="655" t="s">
        <v>130</v>
      </c>
      <c r="B322" s="658" t="s">
        <v>51</v>
      </c>
      <c r="C322" s="659" t="s">
        <v>684</v>
      </c>
      <c r="D322" s="653">
        <f>SUM(C322:C325)</f>
        <v>41517000</v>
      </c>
      <c r="E322" s="507"/>
      <c r="F322" s="507"/>
      <c r="G322" s="507"/>
      <c r="H322" s="507"/>
      <c r="I322" s="507"/>
      <c r="J322" s="507"/>
      <c r="K322" s="507"/>
      <c r="L322" s="507"/>
      <c r="M322" s="507"/>
      <c r="N322" s="507"/>
      <c r="O322" s="507"/>
      <c r="P322" s="507"/>
      <c r="Q322" s="507"/>
      <c r="R322" s="507"/>
      <c r="S322" s="507"/>
      <c r="T322" s="507"/>
      <c r="U322" s="507"/>
      <c r="V322" s="507"/>
      <c r="W322" s="507"/>
    </row>
    <row r="323" ht="35.25" customHeight="1">
      <c r="A323" s="18"/>
      <c r="B323" s="658" t="s">
        <v>53</v>
      </c>
      <c r="C323" s="659" t="s">
        <v>684</v>
      </c>
      <c r="D323" s="18"/>
      <c r="E323" s="507"/>
      <c r="F323" s="507"/>
      <c r="G323" s="507"/>
      <c r="H323" s="507"/>
      <c r="I323" s="507"/>
      <c r="J323" s="507"/>
      <c r="K323" s="507"/>
      <c r="L323" s="507"/>
      <c r="M323" s="507"/>
      <c r="N323" s="507"/>
      <c r="O323" s="507"/>
      <c r="P323" s="507"/>
      <c r="Q323" s="507"/>
      <c r="R323" s="507"/>
      <c r="S323" s="507"/>
      <c r="T323" s="507"/>
      <c r="U323" s="507"/>
      <c r="V323" s="507"/>
      <c r="W323" s="507"/>
    </row>
    <row r="324" ht="35.25" customHeight="1">
      <c r="A324" s="18"/>
      <c r="B324" s="658" t="s">
        <v>55</v>
      </c>
      <c r="C324" s="659" t="s">
        <v>684</v>
      </c>
      <c r="D324" s="18"/>
      <c r="E324" s="507"/>
      <c r="F324" s="507"/>
      <c r="G324" s="507"/>
      <c r="H324" s="507"/>
      <c r="I324" s="507"/>
      <c r="J324" s="507"/>
      <c r="K324" s="507"/>
      <c r="L324" s="507"/>
      <c r="M324" s="507"/>
      <c r="N324" s="507"/>
      <c r="O324" s="507"/>
      <c r="P324" s="507"/>
      <c r="Q324" s="507"/>
      <c r="R324" s="507"/>
      <c r="S324" s="507"/>
      <c r="T324" s="507"/>
      <c r="U324" s="507"/>
      <c r="V324" s="507"/>
      <c r="W324" s="507"/>
    </row>
    <row r="325" ht="35.25" customHeight="1">
      <c r="A325" s="22"/>
      <c r="B325" s="658" t="s">
        <v>57</v>
      </c>
      <c r="C325" s="660">
        <v>4.1517E7</v>
      </c>
      <c r="D325" s="18"/>
      <c r="E325" s="661" t="s">
        <v>694</v>
      </c>
      <c r="F325" s="507"/>
      <c r="G325" s="556"/>
      <c r="H325" s="507"/>
      <c r="I325" s="507"/>
      <c r="J325" s="507"/>
      <c r="K325" s="507"/>
      <c r="L325" s="507"/>
      <c r="M325" s="507"/>
      <c r="N325" s="507"/>
      <c r="O325" s="507"/>
      <c r="P325" s="507"/>
      <c r="Q325" s="507"/>
      <c r="R325" s="507"/>
      <c r="S325" s="507"/>
      <c r="T325" s="507"/>
      <c r="U325" s="507"/>
      <c r="V325" s="507"/>
      <c r="W325" s="507"/>
    </row>
    <row r="326" ht="35.25" customHeight="1">
      <c r="A326" s="655" t="s">
        <v>136</v>
      </c>
      <c r="B326" s="547" t="s">
        <v>73</v>
      </c>
      <c r="C326" s="656">
        <f>SUM(38425500-33998000+46189000+35615000-80000000)</f>
        <v>6231500</v>
      </c>
      <c r="D326" s="657">
        <f>sum(C326:C330)</f>
        <v>183314500</v>
      </c>
      <c r="E326" s="507"/>
      <c r="F326" s="507"/>
      <c r="G326" s="507"/>
      <c r="H326" s="507"/>
      <c r="I326" s="507"/>
      <c r="J326" s="507"/>
      <c r="K326" s="507"/>
      <c r="L326" s="507"/>
      <c r="M326" s="507"/>
      <c r="N326" s="507"/>
      <c r="O326" s="507"/>
      <c r="P326" s="507"/>
      <c r="Q326" s="507"/>
      <c r="R326" s="507"/>
      <c r="S326" s="507"/>
      <c r="T326" s="507"/>
      <c r="U326" s="507"/>
      <c r="V326" s="507"/>
      <c r="W326" s="507"/>
    </row>
    <row r="327" ht="35.25" customHeight="1">
      <c r="A327" s="18"/>
      <c r="B327" s="538" t="s">
        <v>51</v>
      </c>
      <c r="C327" s="659">
        <v>4.89315E7</v>
      </c>
      <c r="D327" s="18"/>
      <c r="E327" s="507"/>
      <c r="F327" s="507"/>
      <c r="G327" s="507"/>
      <c r="H327" s="507"/>
      <c r="I327" s="507"/>
      <c r="J327" s="507"/>
      <c r="K327" s="507"/>
      <c r="L327" s="507"/>
      <c r="M327" s="507"/>
      <c r="N327" s="507"/>
      <c r="O327" s="507"/>
      <c r="P327" s="507"/>
      <c r="Q327" s="507"/>
      <c r="R327" s="507"/>
      <c r="S327" s="507"/>
      <c r="T327" s="507"/>
      <c r="U327" s="507"/>
      <c r="V327" s="507"/>
      <c r="W327" s="507"/>
    </row>
    <row r="328" ht="35.25" customHeight="1">
      <c r="A328" s="18"/>
      <c r="B328" s="538" t="s">
        <v>53</v>
      </c>
      <c r="C328" s="659">
        <v>4.12085E7</v>
      </c>
      <c r="D328" s="18"/>
      <c r="E328" s="507"/>
      <c r="F328" s="507"/>
      <c r="G328" s="507"/>
      <c r="H328" s="507"/>
      <c r="I328" s="507"/>
      <c r="J328" s="507"/>
      <c r="K328" s="507"/>
      <c r="L328" s="507"/>
      <c r="M328" s="507"/>
      <c r="N328" s="507"/>
      <c r="O328" s="507"/>
      <c r="P328" s="507"/>
      <c r="Q328" s="507"/>
      <c r="R328" s="507"/>
      <c r="S328" s="507"/>
      <c r="T328" s="507"/>
      <c r="U328" s="507"/>
      <c r="V328" s="507"/>
      <c r="W328" s="507"/>
    </row>
    <row r="329" ht="35.25" customHeight="1">
      <c r="A329" s="18"/>
      <c r="B329" s="538" t="s">
        <v>55</v>
      </c>
      <c r="C329" s="659">
        <v>4.45E7</v>
      </c>
      <c r="D329" s="18"/>
      <c r="E329" s="507"/>
      <c r="F329" s="507"/>
      <c r="G329" s="507"/>
      <c r="H329" s="507"/>
      <c r="I329" s="507"/>
      <c r="J329" s="507"/>
      <c r="K329" s="507"/>
      <c r="L329" s="507"/>
      <c r="M329" s="507"/>
      <c r="N329" s="507"/>
      <c r="O329" s="507"/>
      <c r="P329" s="507"/>
      <c r="Q329" s="507"/>
      <c r="R329" s="507"/>
      <c r="S329" s="507"/>
      <c r="T329" s="507"/>
      <c r="U329" s="507"/>
      <c r="V329" s="507"/>
      <c r="W329" s="507"/>
    </row>
    <row r="330" ht="35.25" customHeight="1">
      <c r="A330" s="22"/>
      <c r="B330" s="538" t="s">
        <v>57</v>
      </c>
      <c r="C330" s="659">
        <v>4.2443E7</v>
      </c>
      <c r="D330" s="22"/>
      <c r="E330" s="507"/>
      <c r="F330" s="507"/>
      <c r="G330" s="507"/>
      <c r="H330" s="507"/>
      <c r="I330" s="507"/>
      <c r="J330" s="507"/>
      <c r="K330" s="507"/>
      <c r="L330" s="507"/>
      <c r="M330" s="507"/>
      <c r="N330" s="507"/>
      <c r="O330" s="507"/>
      <c r="P330" s="507"/>
      <c r="Q330" s="507"/>
      <c r="R330" s="507"/>
      <c r="S330" s="507"/>
      <c r="T330" s="507"/>
      <c r="U330" s="507"/>
      <c r="V330" s="507"/>
      <c r="W330" s="507"/>
    </row>
    <row r="331" ht="35.25" customHeight="1">
      <c r="A331" s="655" t="s">
        <v>138</v>
      </c>
      <c r="B331" s="547" t="s">
        <v>73</v>
      </c>
      <c r="C331" s="656">
        <f>sum(71376000-31483000)</f>
        <v>39893000</v>
      </c>
      <c r="D331" s="657">
        <f>sum(C331:C335)</f>
        <v>150680000</v>
      </c>
      <c r="E331" s="507"/>
      <c r="F331" s="507"/>
      <c r="G331" s="507"/>
      <c r="H331" s="507"/>
      <c r="I331" s="507"/>
      <c r="J331" s="507"/>
      <c r="K331" s="507"/>
      <c r="L331" s="507"/>
      <c r="M331" s="507"/>
      <c r="N331" s="507"/>
      <c r="O331" s="507"/>
      <c r="P331" s="507"/>
      <c r="Q331" s="507"/>
      <c r="R331" s="507"/>
      <c r="S331" s="507"/>
      <c r="T331" s="507"/>
      <c r="U331" s="507"/>
      <c r="V331" s="507"/>
      <c r="W331" s="507"/>
    </row>
    <row r="332" ht="35.25" customHeight="1">
      <c r="A332" s="18"/>
      <c r="B332" s="538" t="s">
        <v>51</v>
      </c>
      <c r="C332" s="656">
        <v>2.38075E7</v>
      </c>
      <c r="D332" s="18"/>
      <c r="E332" s="507"/>
      <c r="F332" s="507"/>
      <c r="G332" s="507"/>
      <c r="H332" s="507"/>
      <c r="I332" s="507"/>
      <c r="J332" s="507"/>
      <c r="K332" s="507"/>
      <c r="L332" s="507"/>
      <c r="M332" s="507"/>
      <c r="N332" s="507"/>
      <c r="O332" s="507"/>
      <c r="P332" s="507"/>
      <c r="Q332" s="507"/>
      <c r="R332" s="507"/>
      <c r="S332" s="507"/>
      <c r="T332" s="507"/>
      <c r="U332" s="507"/>
      <c r="V332" s="507"/>
      <c r="W332" s="507"/>
    </row>
    <row r="333" ht="35.25" customHeight="1">
      <c r="A333" s="18"/>
      <c r="B333" s="538" t="s">
        <v>53</v>
      </c>
      <c r="C333" s="656">
        <v>3.39695E7</v>
      </c>
      <c r="D333" s="18"/>
      <c r="E333" s="507"/>
      <c r="F333" s="507"/>
      <c r="G333" s="507"/>
      <c r="H333" s="507"/>
      <c r="I333" s="507"/>
      <c r="J333" s="507"/>
      <c r="K333" s="507"/>
      <c r="L333" s="507"/>
      <c r="M333" s="507"/>
      <c r="N333" s="507"/>
      <c r="O333" s="507"/>
      <c r="P333" s="507"/>
      <c r="Q333" s="507"/>
      <c r="R333" s="507"/>
      <c r="S333" s="507"/>
      <c r="T333" s="507"/>
      <c r="U333" s="507"/>
      <c r="V333" s="507"/>
      <c r="W333" s="507"/>
    </row>
    <row r="334" ht="35.25" customHeight="1">
      <c r="A334" s="18"/>
      <c r="B334" s="538" t="s">
        <v>55</v>
      </c>
      <c r="C334" s="656">
        <v>0.0</v>
      </c>
      <c r="D334" s="18"/>
      <c r="E334" s="507"/>
      <c r="F334" s="507"/>
      <c r="G334" s="507"/>
      <c r="H334" s="507"/>
      <c r="I334" s="507"/>
      <c r="J334" s="507"/>
      <c r="K334" s="507"/>
      <c r="L334" s="507"/>
      <c r="M334" s="507"/>
      <c r="N334" s="507"/>
      <c r="O334" s="507"/>
      <c r="P334" s="507"/>
      <c r="Q334" s="507"/>
      <c r="R334" s="507"/>
      <c r="S334" s="507"/>
      <c r="T334" s="507"/>
      <c r="U334" s="507"/>
      <c r="V334" s="507"/>
      <c r="W334" s="507"/>
    </row>
    <row r="335" ht="35.25" customHeight="1">
      <c r="A335" s="22"/>
      <c r="B335" s="547" t="s">
        <v>693</v>
      </c>
      <c r="C335" s="656">
        <v>5.301E7</v>
      </c>
      <c r="D335" s="18"/>
      <c r="E335" s="507"/>
      <c r="F335" s="507"/>
      <c r="G335" s="507"/>
      <c r="H335" s="507"/>
      <c r="I335" s="507"/>
      <c r="J335" s="507"/>
      <c r="K335" s="507"/>
      <c r="L335" s="507"/>
      <c r="M335" s="507"/>
      <c r="N335" s="507"/>
      <c r="O335" s="507"/>
      <c r="P335" s="507"/>
      <c r="Q335" s="507"/>
      <c r="R335" s="507"/>
      <c r="S335" s="507"/>
      <c r="T335" s="507"/>
      <c r="U335" s="507"/>
      <c r="V335" s="507"/>
      <c r="W335" s="507"/>
    </row>
    <row r="336" ht="35.25" customHeight="1">
      <c r="A336" s="655" t="s">
        <v>139</v>
      </c>
      <c r="B336" s="538" t="s">
        <v>51</v>
      </c>
      <c r="C336" s="598" t="s">
        <v>684</v>
      </c>
      <c r="D336" s="653">
        <f>SUM(C336:C340)</f>
        <v>51034000</v>
      </c>
      <c r="E336" s="507"/>
      <c r="F336" s="507"/>
      <c r="G336" s="507"/>
      <c r="H336" s="507"/>
      <c r="I336" s="507"/>
      <c r="J336" s="507"/>
      <c r="K336" s="507"/>
      <c r="L336" s="507"/>
      <c r="M336" s="507"/>
      <c r="N336" s="507"/>
      <c r="O336" s="507"/>
      <c r="P336" s="507"/>
      <c r="Q336" s="507"/>
      <c r="R336" s="507"/>
      <c r="S336" s="507"/>
      <c r="T336" s="507"/>
      <c r="U336" s="507"/>
      <c r="V336" s="507"/>
      <c r="W336" s="507"/>
    </row>
    <row r="337" ht="35.25" customHeight="1">
      <c r="A337" s="18"/>
      <c r="B337" s="538" t="s">
        <v>53</v>
      </c>
      <c r="C337" s="598" t="s">
        <v>684</v>
      </c>
      <c r="D337" s="18"/>
      <c r="E337" s="662" t="s">
        <v>342</v>
      </c>
      <c r="F337" s="507"/>
      <c r="G337" s="507"/>
      <c r="H337" s="507"/>
      <c r="I337" s="507"/>
      <c r="J337" s="507"/>
      <c r="K337" s="507"/>
      <c r="L337" s="507"/>
      <c r="M337" s="507"/>
      <c r="N337" s="507"/>
      <c r="O337" s="507"/>
      <c r="P337" s="507"/>
      <c r="Q337" s="507"/>
      <c r="R337" s="507"/>
      <c r="S337" s="507"/>
      <c r="T337" s="507"/>
      <c r="U337" s="507"/>
      <c r="V337" s="507"/>
      <c r="W337" s="507"/>
    </row>
    <row r="338" ht="35.25" customHeight="1">
      <c r="A338" s="18"/>
      <c r="B338" s="538" t="s">
        <v>55</v>
      </c>
      <c r="C338" s="598" t="s">
        <v>684</v>
      </c>
      <c r="D338" s="18"/>
      <c r="E338" s="507"/>
      <c r="F338" s="507"/>
      <c r="G338" s="507"/>
      <c r="H338" s="507"/>
      <c r="I338" s="507"/>
      <c r="J338" s="507"/>
      <c r="K338" s="507"/>
      <c r="L338" s="507"/>
      <c r="M338" s="507"/>
      <c r="N338" s="507"/>
      <c r="O338" s="507"/>
      <c r="P338" s="507"/>
      <c r="Q338" s="507"/>
      <c r="R338" s="507"/>
      <c r="S338" s="507"/>
      <c r="T338" s="507"/>
      <c r="U338" s="507"/>
      <c r="V338" s="507"/>
      <c r="W338" s="507"/>
    </row>
    <row r="339" ht="35.25" customHeight="1">
      <c r="A339" s="18"/>
      <c r="B339" s="538" t="s">
        <v>57</v>
      </c>
      <c r="C339" s="598">
        <v>1.927E7</v>
      </c>
      <c r="D339" s="18"/>
      <c r="E339" s="507"/>
      <c r="F339" s="507"/>
      <c r="G339" s="507"/>
      <c r="H339" s="507"/>
      <c r="I339" s="507"/>
      <c r="J339" s="507"/>
      <c r="K339" s="507"/>
      <c r="L339" s="507"/>
      <c r="M339" s="507"/>
      <c r="N339" s="507"/>
      <c r="O339" s="507"/>
      <c r="P339" s="507"/>
      <c r="Q339" s="507"/>
      <c r="R339" s="507"/>
      <c r="S339" s="507"/>
      <c r="T339" s="507"/>
      <c r="U339" s="507"/>
      <c r="V339" s="507"/>
      <c r="W339" s="507"/>
    </row>
    <row r="340" ht="35.25" customHeight="1">
      <c r="A340" s="22"/>
      <c r="B340" s="547" t="s">
        <v>693</v>
      </c>
      <c r="C340" s="656">
        <v>3.1764E7</v>
      </c>
      <c r="D340" s="22"/>
      <c r="E340" s="507"/>
      <c r="F340" s="507"/>
      <c r="G340" s="507"/>
      <c r="H340" s="507"/>
      <c r="I340" s="507"/>
      <c r="J340" s="507"/>
      <c r="K340" s="507"/>
      <c r="L340" s="507"/>
      <c r="M340" s="507"/>
      <c r="N340" s="507"/>
      <c r="O340" s="507"/>
      <c r="P340" s="507"/>
      <c r="Q340" s="507"/>
      <c r="R340" s="507"/>
      <c r="S340" s="507"/>
      <c r="T340" s="507"/>
      <c r="U340" s="507"/>
      <c r="V340" s="507"/>
      <c r="W340" s="507"/>
    </row>
    <row r="341" ht="35.25" customHeight="1">
      <c r="A341" s="663" t="s">
        <v>140</v>
      </c>
      <c r="B341" s="538" t="s">
        <v>51</v>
      </c>
      <c r="C341" s="656">
        <v>0.0</v>
      </c>
      <c r="D341" s="657">
        <f>sum(C341:C344)</f>
        <v>46686500</v>
      </c>
      <c r="E341" s="507"/>
      <c r="F341" s="507"/>
      <c r="G341" s="507"/>
      <c r="H341" s="507"/>
      <c r="I341" s="507"/>
      <c r="J341" s="507"/>
      <c r="K341" s="507"/>
      <c r="L341" s="507"/>
      <c r="M341" s="507"/>
      <c r="N341" s="507"/>
      <c r="O341" s="507"/>
      <c r="P341" s="507"/>
      <c r="Q341" s="507"/>
      <c r="R341" s="507"/>
      <c r="S341" s="507"/>
      <c r="T341" s="507"/>
      <c r="U341" s="507"/>
      <c r="V341" s="507"/>
      <c r="W341" s="507"/>
    </row>
    <row r="342" ht="35.25" customHeight="1">
      <c r="A342" s="18"/>
      <c r="B342" s="538" t="s">
        <v>53</v>
      </c>
      <c r="C342" s="656">
        <v>2.09575E7</v>
      </c>
      <c r="D342" s="18"/>
      <c r="E342" s="507"/>
      <c r="F342" s="507"/>
      <c r="G342" s="507"/>
      <c r="H342" s="507"/>
      <c r="I342" s="507"/>
      <c r="J342" s="507"/>
      <c r="K342" s="507"/>
      <c r="L342" s="507"/>
      <c r="M342" s="507"/>
      <c r="N342" s="507"/>
      <c r="O342" s="507"/>
      <c r="P342" s="507"/>
      <c r="Q342" s="507"/>
      <c r="R342" s="507"/>
      <c r="S342" s="507"/>
      <c r="T342" s="507"/>
      <c r="U342" s="507"/>
      <c r="V342" s="507"/>
      <c r="W342" s="507"/>
    </row>
    <row r="343" ht="35.25" customHeight="1">
      <c r="A343" s="18"/>
      <c r="B343" s="538" t="s">
        <v>55</v>
      </c>
      <c r="C343" s="656">
        <v>2.5729E7</v>
      </c>
      <c r="D343" s="18"/>
      <c r="E343" s="507"/>
      <c r="F343" s="507"/>
      <c r="G343" s="507"/>
      <c r="H343" s="507"/>
      <c r="I343" s="507"/>
      <c r="J343" s="507"/>
      <c r="K343" s="507"/>
      <c r="L343" s="507"/>
      <c r="M343" s="507"/>
      <c r="N343" s="507"/>
      <c r="O343" s="507"/>
      <c r="P343" s="507"/>
      <c r="Q343" s="507"/>
      <c r="R343" s="507"/>
      <c r="S343" s="507"/>
      <c r="T343" s="507"/>
      <c r="U343" s="507"/>
      <c r="V343" s="507"/>
      <c r="W343" s="507"/>
    </row>
    <row r="344" ht="35.25" customHeight="1">
      <c r="A344" s="22"/>
      <c r="B344" s="538" t="s">
        <v>57</v>
      </c>
      <c r="C344" s="656">
        <v>0.0</v>
      </c>
      <c r="D344" s="22"/>
      <c r="E344" s="507"/>
      <c r="F344" s="507"/>
      <c r="G344" s="507"/>
      <c r="H344" s="507"/>
      <c r="I344" s="507"/>
      <c r="J344" s="507"/>
      <c r="K344" s="507"/>
      <c r="L344" s="507"/>
      <c r="M344" s="507"/>
      <c r="N344" s="507"/>
      <c r="O344" s="507"/>
      <c r="P344" s="507"/>
      <c r="Q344" s="507"/>
      <c r="R344" s="507"/>
      <c r="S344" s="507"/>
      <c r="T344" s="507"/>
      <c r="U344" s="507"/>
      <c r="V344" s="507"/>
      <c r="W344" s="507"/>
    </row>
    <row r="345" ht="35.25" customHeight="1">
      <c r="A345" s="663" t="s">
        <v>141</v>
      </c>
      <c r="B345" s="538" t="s">
        <v>51</v>
      </c>
      <c r="C345" s="622" t="s">
        <v>684</v>
      </c>
      <c r="D345" s="653">
        <f>SUM(C345:C349)</f>
        <v>55168000</v>
      </c>
      <c r="E345" s="664"/>
      <c r="F345" s="507"/>
      <c r="G345" s="507"/>
      <c r="H345" s="507"/>
      <c r="I345" s="507"/>
      <c r="J345" s="507"/>
      <c r="K345" s="507"/>
      <c r="L345" s="507"/>
      <c r="M345" s="507"/>
      <c r="N345" s="507"/>
      <c r="O345" s="507"/>
      <c r="P345" s="507"/>
      <c r="Q345" s="507"/>
      <c r="R345" s="507"/>
      <c r="S345" s="507"/>
      <c r="T345" s="507"/>
      <c r="U345" s="507"/>
      <c r="V345" s="507"/>
      <c r="W345" s="507"/>
    </row>
    <row r="346" ht="35.25" customHeight="1">
      <c r="A346" s="18"/>
      <c r="B346" s="538" t="s">
        <v>53</v>
      </c>
      <c r="C346" s="622" t="s">
        <v>684</v>
      </c>
      <c r="D346" s="18"/>
      <c r="E346" s="664"/>
      <c r="F346" s="507"/>
      <c r="G346" s="507"/>
      <c r="H346" s="507"/>
      <c r="I346" s="507"/>
      <c r="J346" s="507"/>
      <c r="K346" s="507"/>
      <c r="L346" s="507"/>
      <c r="M346" s="507"/>
      <c r="N346" s="507"/>
      <c r="O346" s="507"/>
      <c r="P346" s="507"/>
      <c r="Q346" s="507"/>
      <c r="R346" s="507"/>
      <c r="S346" s="507"/>
      <c r="T346" s="507"/>
      <c r="U346" s="507"/>
      <c r="V346" s="507"/>
      <c r="W346" s="507"/>
    </row>
    <row r="347" ht="35.25" customHeight="1">
      <c r="A347" s="18"/>
      <c r="B347" s="538" t="s">
        <v>55</v>
      </c>
      <c r="C347" s="622" t="s">
        <v>684</v>
      </c>
      <c r="D347" s="18"/>
      <c r="E347" s="664"/>
      <c r="F347" s="507"/>
      <c r="G347" s="507"/>
      <c r="H347" s="507"/>
      <c r="I347" s="507"/>
      <c r="J347" s="507"/>
      <c r="K347" s="507"/>
      <c r="L347" s="507"/>
      <c r="M347" s="507"/>
      <c r="N347" s="507"/>
      <c r="O347" s="507"/>
      <c r="P347" s="507"/>
      <c r="Q347" s="507"/>
      <c r="R347" s="507"/>
      <c r="S347" s="507"/>
      <c r="T347" s="507"/>
      <c r="U347" s="507"/>
      <c r="V347" s="507"/>
      <c r="W347" s="507"/>
    </row>
    <row r="348" ht="35.25" customHeight="1">
      <c r="A348" s="18"/>
      <c r="B348" s="538" t="s">
        <v>57</v>
      </c>
      <c r="C348" s="622">
        <v>2.8729E7</v>
      </c>
      <c r="D348" s="18"/>
      <c r="E348" s="664"/>
      <c r="F348" s="507"/>
      <c r="G348" s="507"/>
      <c r="H348" s="507"/>
      <c r="I348" s="507"/>
      <c r="J348" s="507"/>
      <c r="K348" s="507"/>
      <c r="L348" s="507"/>
      <c r="M348" s="507"/>
      <c r="N348" s="507"/>
      <c r="O348" s="507"/>
      <c r="P348" s="507"/>
      <c r="Q348" s="507"/>
      <c r="R348" s="507"/>
      <c r="S348" s="507"/>
      <c r="T348" s="507"/>
      <c r="U348" s="507"/>
      <c r="V348" s="507"/>
      <c r="W348" s="507"/>
    </row>
    <row r="349" ht="35.25" customHeight="1">
      <c r="A349" s="22"/>
      <c r="B349" s="547" t="s">
        <v>693</v>
      </c>
      <c r="C349" s="622">
        <v>2.6439E7</v>
      </c>
      <c r="D349" s="22"/>
      <c r="E349" s="664"/>
      <c r="F349" s="507"/>
      <c r="G349" s="507"/>
      <c r="H349" s="507"/>
      <c r="I349" s="507"/>
      <c r="J349" s="507"/>
      <c r="K349" s="507"/>
      <c r="L349" s="507"/>
      <c r="M349" s="507"/>
      <c r="N349" s="507"/>
      <c r="O349" s="507"/>
      <c r="P349" s="507"/>
      <c r="Q349" s="507"/>
      <c r="R349" s="507"/>
      <c r="S349" s="507"/>
      <c r="T349" s="507"/>
      <c r="U349" s="507"/>
      <c r="V349" s="507"/>
      <c r="W349" s="507"/>
    </row>
    <row r="350" ht="35.25" customHeight="1">
      <c r="A350" s="655" t="s">
        <v>142</v>
      </c>
      <c r="B350" s="538" t="s">
        <v>51</v>
      </c>
      <c r="C350" s="659">
        <v>0.0</v>
      </c>
      <c r="D350" s="657">
        <f>SUM(C350:C354)</f>
        <v>246413500</v>
      </c>
      <c r="E350" s="507"/>
      <c r="F350" s="507"/>
      <c r="G350" s="507"/>
      <c r="H350" s="507"/>
      <c r="I350" s="507"/>
      <c r="J350" s="507"/>
      <c r="K350" s="507"/>
      <c r="L350" s="507"/>
      <c r="M350" s="507"/>
      <c r="N350" s="507"/>
      <c r="O350" s="507"/>
      <c r="P350" s="507"/>
      <c r="Q350" s="507"/>
      <c r="R350" s="507"/>
      <c r="S350" s="507"/>
      <c r="T350" s="507"/>
      <c r="U350" s="507"/>
      <c r="V350" s="507"/>
      <c r="W350" s="507"/>
    </row>
    <row r="351" ht="35.25" customHeight="1">
      <c r="A351" s="18"/>
      <c r="B351" s="538" t="s">
        <v>53</v>
      </c>
      <c r="C351" s="659">
        <v>7.083E7</v>
      </c>
      <c r="D351" s="18"/>
      <c r="E351" s="507"/>
      <c r="F351" s="507"/>
      <c r="G351" s="507"/>
      <c r="H351" s="507"/>
      <c r="I351" s="507"/>
      <c r="J351" s="507"/>
      <c r="K351" s="507"/>
      <c r="L351" s="507"/>
      <c r="M351" s="507"/>
      <c r="N351" s="507"/>
      <c r="O351" s="507"/>
      <c r="P351" s="507"/>
      <c r="Q351" s="507"/>
      <c r="R351" s="507"/>
      <c r="S351" s="507"/>
      <c r="T351" s="507"/>
      <c r="U351" s="507"/>
      <c r="V351" s="507"/>
      <c r="W351" s="507"/>
    </row>
    <row r="352" ht="35.25" customHeight="1">
      <c r="A352" s="18"/>
      <c r="B352" s="538" t="s">
        <v>55</v>
      </c>
      <c r="C352" s="659">
        <v>6.0732E7</v>
      </c>
      <c r="D352" s="18"/>
      <c r="E352" s="662"/>
      <c r="F352" s="507"/>
      <c r="G352" s="507"/>
      <c r="H352" s="507"/>
      <c r="I352" s="507"/>
      <c r="J352" s="507"/>
      <c r="K352" s="507"/>
      <c r="L352" s="507"/>
      <c r="M352" s="507"/>
      <c r="N352" s="507"/>
      <c r="O352" s="507"/>
      <c r="P352" s="507"/>
      <c r="Q352" s="507"/>
      <c r="R352" s="507"/>
      <c r="S352" s="507"/>
      <c r="T352" s="507"/>
      <c r="U352" s="507"/>
      <c r="V352" s="507"/>
      <c r="W352" s="507"/>
    </row>
    <row r="353" ht="35.25" customHeight="1">
      <c r="A353" s="18"/>
      <c r="B353" s="538" t="s">
        <v>57</v>
      </c>
      <c r="C353" s="659">
        <v>6.46365E7</v>
      </c>
      <c r="D353" s="18"/>
      <c r="E353" s="662"/>
      <c r="F353" s="507"/>
      <c r="G353" s="507"/>
      <c r="H353" s="507"/>
      <c r="I353" s="507"/>
      <c r="J353" s="507"/>
      <c r="K353" s="507"/>
      <c r="L353" s="507"/>
      <c r="M353" s="507"/>
      <c r="N353" s="507"/>
      <c r="O353" s="507"/>
      <c r="P353" s="507"/>
      <c r="Q353" s="507"/>
      <c r="R353" s="507"/>
      <c r="S353" s="507"/>
      <c r="T353" s="507"/>
      <c r="U353" s="507"/>
      <c r="V353" s="507"/>
      <c r="W353" s="507"/>
    </row>
    <row r="354" ht="35.25" customHeight="1">
      <c r="A354" s="22"/>
      <c r="B354" s="547" t="s">
        <v>693</v>
      </c>
      <c r="C354" s="622">
        <v>5.0215E7</v>
      </c>
      <c r="D354" s="18"/>
      <c r="E354" s="662"/>
      <c r="F354" s="507"/>
      <c r="G354" s="507"/>
      <c r="H354" s="507"/>
      <c r="I354" s="507"/>
      <c r="J354" s="507"/>
      <c r="K354" s="507"/>
      <c r="L354" s="507"/>
      <c r="M354" s="507"/>
      <c r="N354" s="507"/>
      <c r="O354" s="507"/>
      <c r="P354" s="507"/>
      <c r="Q354" s="507"/>
      <c r="R354" s="507"/>
      <c r="S354" s="507"/>
      <c r="T354" s="507"/>
      <c r="U354" s="507"/>
      <c r="V354" s="507"/>
      <c r="W354" s="507"/>
    </row>
    <row r="355" ht="35.25" customHeight="1">
      <c r="A355" s="655" t="s">
        <v>143</v>
      </c>
      <c r="B355" s="538" t="s">
        <v>51</v>
      </c>
      <c r="C355" s="656">
        <v>3.4454E7</v>
      </c>
      <c r="D355" s="657">
        <f>SUM(C355:C359)</f>
        <v>168045000</v>
      </c>
      <c r="E355" s="507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  <c r="T355" s="507"/>
      <c r="U355" s="507"/>
      <c r="V355" s="507"/>
      <c r="W355" s="507"/>
    </row>
    <row r="356" ht="35.25" customHeight="1">
      <c r="A356" s="18"/>
      <c r="B356" s="538" t="s">
        <v>53</v>
      </c>
      <c r="C356" s="656">
        <v>3.513E7</v>
      </c>
      <c r="D356" s="18"/>
      <c r="E356" s="507"/>
      <c r="F356" s="507"/>
      <c r="G356" s="507"/>
      <c r="H356" s="507"/>
      <c r="I356" s="557"/>
      <c r="J356" s="507"/>
      <c r="K356" s="507"/>
      <c r="L356" s="507"/>
      <c r="M356" s="507"/>
      <c r="N356" s="507"/>
      <c r="O356" s="507"/>
      <c r="P356" s="507"/>
      <c r="Q356" s="507"/>
      <c r="R356" s="507"/>
      <c r="S356" s="507"/>
      <c r="T356" s="507"/>
      <c r="U356" s="507"/>
      <c r="V356" s="507"/>
      <c r="W356" s="507"/>
    </row>
    <row r="357" ht="35.25" customHeight="1">
      <c r="A357" s="18"/>
      <c r="B357" s="538" t="s">
        <v>55</v>
      </c>
      <c r="C357" s="656">
        <v>3.1423E7</v>
      </c>
      <c r="D357" s="18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07"/>
      <c r="W357" s="507"/>
    </row>
    <row r="358" ht="35.25" customHeight="1">
      <c r="A358" s="18"/>
      <c r="B358" s="538" t="s">
        <v>57</v>
      </c>
      <c r="C358" s="656">
        <v>3.2624E7</v>
      </c>
      <c r="D358" s="18"/>
      <c r="E358" s="556"/>
      <c r="F358" s="507"/>
      <c r="G358" s="507"/>
      <c r="H358" s="507"/>
      <c r="I358" s="507"/>
      <c r="J358" s="507"/>
      <c r="K358" s="507"/>
      <c r="L358" s="507"/>
      <c r="M358" s="507"/>
      <c r="N358" s="507"/>
      <c r="O358" s="507"/>
      <c r="P358" s="507"/>
      <c r="Q358" s="507"/>
      <c r="R358" s="507"/>
      <c r="S358" s="507"/>
      <c r="T358" s="507"/>
      <c r="U358" s="507"/>
      <c r="V358" s="507"/>
      <c r="W358" s="507"/>
    </row>
    <row r="359" ht="35.25" customHeight="1">
      <c r="A359" s="22"/>
      <c r="B359" s="547" t="s">
        <v>693</v>
      </c>
      <c r="C359" s="622">
        <v>3.4414E7</v>
      </c>
      <c r="D359" s="18"/>
      <c r="E359" s="556"/>
      <c r="F359" s="507"/>
      <c r="G359" s="507"/>
      <c r="H359" s="507"/>
      <c r="I359" s="507"/>
      <c r="J359" s="507"/>
      <c r="K359" s="507"/>
      <c r="L359" s="507"/>
      <c r="M359" s="507"/>
      <c r="N359" s="507"/>
      <c r="O359" s="507"/>
      <c r="P359" s="507"/>
      <c r="Q359" s="507"/>
      <c r="R359" s="507"/>
      <c r="S359" s="507"/>
      <c r="T359" s="507"/>
      <c r="U359" s="507"/>
      <c r="V359" s="507"/>
      <c r="W359" s="507"/>
    </row>
    <row r="360" ht="35.25" customHeight="1">
      <c r="A360" s="655" t="s">
        <v>144</v>
      </c>
      <c r="B360" s="538" t="s">
        <v>51</v>
      </c>
      <c r="C360" s="656" t="s">
        <v>684</v>
      </c>
      <c r="D360" s="653">
        <f>SUM(C361:C363)</f>
        <v>36351500</v>
      </c>
      <c r="E360" s="507"/>
      <c r="F360" s="507"/>
      <c r="G360" s="507"/>
      <c r="H360" s="507"/>
      <c r="I360" s="507"/>
      <c r="J360" s="507"/>
      <c r="K360" s="507"/>
      <c r="L360" s="507"/>
      <c r="M360" s="507"/>
      <c r="N360" s="507"/>
      <c r="O360" s="507"/>
      <c r="P360" s="507"/>
      <c r="Q360" s="507"/>
      <c r="R360" s="507"/>
      <c r="S360" s="507"/>
      <c r="T360" s="507"/>
      <c r="U360" s="507"/>
      <c r="V360" s="507"/>
      <c r="W360" s="507"/>
    </row>
    <row r="361" ht="35.25" customHeight="1">
      <c r="A361" s="18"/>
      <c r="B361" s="538" t="s">
        <v>53</v>
      </c>
      <c r="C361" s="598" t="s">
        <v>684</v>
      </c>
      <c r="D361" s="18"/>
      <c r="E361" s="507"/>
      <c r="F361" s="507"/>
      <c r="G361" s="507"/>
      <c r="H361" s="507"/>
      <c r="I361" s="507"/>
      <c r="J361" s="507"/>
      <c r="K361" s="507"/>
      <c r="L361" s="507"/>
      <c r="M361" s="507"/>
      <c r="N361" s="507"/>
      <c r="O361" s="507"/>
      <c r="P361" s="507"/>
      <c r="Q361" s="507"/>
      <c r="R361" s="507"/>
      <c r="S361" s="507"/>
      <c r="T361" s="507"/>
      <c r="U361" s="507"/>
      <c r="V361" s="507"/>
      <c r="W361" s="507"/>
    </row>
    <row r="362" ht="35.25" customHeight="1">
      <c r="A362" s="18"/>
      <c r="B362" s="538" t="s">
        <v>55</v>
      </c>
      <c r="C362" s="598" t="s">
        <v>684</v>
      </c>
      <c r="D362" s="18"/>
      <c r="E362" s="507"/>
      <c r="F362" s="507"/>
      <c r="G362" s="507"/>
      <c r="H362" s="507"/>
      <c r="I362" s="507"/>
      <c r="J362" s="507"/>
      <c r="K362" s="507"/>
      <c r="L362" s="507"/>
      <c r="M362" s="507"/>
      <c r="N362" s="507"/>
      <c r="O362" s="507"/>
      <c r="P362" s="507"/>
      <c r="Q362" s="507"/>
      <c r="R362" s="507"/>
      <c r="S362" s="507"/>
      <c r="T362" s="507"/>
      <c r="U362" s="507"/>
      <c r="V362" s="507"/>
      <c r="W362" s="507"/>
    </row>
    <row r="363" ht="35.25" customHeight="1">
      <c r="A363" s="22"/>
      <c r="B363" s="547" t="s">
        <v>693</v>
      </c>
      <c r="C363" s="598">
        <v>3.63515E7</v>
      </c>
      <c r="D363" s="22"/>
      <c r="E363" s="507"/>
      <c r="F363" s="507"/>
      <c r="G363" s="507"/>
      <c r="H363" s="507"/>
      <c r="I363" s="507"/>
      <c r="J363" s="507"/>
      <c r="K363" s="507"/>
      <c r="L363" s="507"/>
      <c r="M363" s="507"/>
      <c r="N363" s="507"/>
      <c r="O363" s="507"/>
      <c r="P363" s="507"/>
      <c r="Q363" s="507"/>
      <c r="R363" s="507"/>
      <c r="S363" s="507"/>
      <c r="T363" s="507"/>
      <c r="U363" s="507"/>
      <c r="V363" s="507"/>
      <c r="W363" s="507"/>
    </row>
    <row r="364" ht="35.25" customHeight="1">
      <c r="A364" s="655" t="s">
        <v>145</v>
      </c>
      <c r="B364" s="538" t="s">
        <v>51</v>
      </c>
      <c r="C364" s="656" t="s">
        <v>684</v>
      </c>
      <c r="D364" s="665">
        <f>SUM(C364:C367)</f>
        <v>40089500</v>
      </c>
      <c r="E364" s="507"/>
      <c r="F364" s="507"/>
      <c r="G364" s="507"/>
      <c r="H364" s="507"/>
      <c r="I364" s="507"/>
      <c r="J364" s="507"/>
      <c r="K364" s="507"/>
      <c r="L364" s="507"/>
      <c r="M364" s="507"/>
      <c r="N364" s="507"/>
      <c r="O364" s="507"/>
      <c r="P364" s="507"/>
      <c r="Q364" s="507"/>
      <c r="R364" s="507"/>
      <c r="S364" s="507"/>
      <c r="T364" s="507"/>
      <c r="U364" s="507"/>
      <c r="V364" s="507"/>
      <c r="W364" s="507"/>
    </row>
    <row r="365" ht="35.25" customHeight="1">
      <c r="A365" s="18"/>
      <c r="B365" s="538" t="s">
        <v>53</v>
      </c>
      <c r="C365" s="656" t="s">
        <v>684</v>
      </c>
      <c r="D365" s="18"/>
      <c r="E365" s="507"/>
      <c r="F365" s="507"/>
      <c r="G365" s="507"/>
      <c r="H365" s="507"/>
      <c r="I365" s="507"/>
      <c r="J365" s="507"/>
      <c r="K365" s="507"/>
      <c r="L365" s="507"/>
      <c r="M365" s="507"/>
      <c r="N365" s="507"/>
      <c r="O365" s="507"/>
      <c r="P365" s="507"/>
      <c r="Q365" s="507"/>
      <c r="R365" s="507"/>
      <c r="S365" s="507"/>
      <c r="T365" s="507"/>
      <c r="U365" s="507"/>
      <c r="V365" s="507"/>
      <c r="W365" s="507"/>
    </row>
    <row r="366" ht="35.25" customHeight="1">
      <c r="A366" s="18"/>
      <c r="B366" s="538" t="s">
        <v>55</v>
      </c>
      <c r="C366" s="656" t="s">
        <v>684</v>
      </c>
      <c r="D366" s="18"/>
      <c r="E366" s="507"/>
      <c r="F366" s="507"/>
      <c r="G366" s="507"/>
      <c r="H366" s="507"/>
      <c r="I366" s="507"/>
      <c r="J366" s="507"/>
      <c r="K366" s="507"/>
      <c r="L366" s="507"/>
      <c r="M366" s="507"/>
      <c r="N366" s="507"/>
      <c r="O366" s="507"/>
      <c r="P366" s="507"/>
      <c r="Q366" s="507"/>
      <c r="R366" s="507"/>
      <c r="S366" s="507"/>
      <c r="T366" s="507"/>
      <c r="U366" s="507"/>
      <c r="V366" s="507"/>
      <c r="W366" s="507"/>
    </row>
    <row r="367" ht="35.25" customHeight="1">
      <c r="A367" s="22"/>
      <c r="B367" s="538" t="s">
        <v>57</v>
      </c>
      <c r="C367" s="656">
        <v>4.00895E7</v>
      </c>
      <c r="D367" s="18"/>
      <c r="E367" s="507"/>
      <c r="F367" s="507"/>
      <c r="G367" s="507"/>
      <c r="H367" s="507"/>
      <c r="I367" s="507"/>
      <c r="J367" s="507"/>
      <c r="K367" s="507"/>
      <c r="L367" s="507"/>
      <c r="M367" s="507"/>
      <c r="N367" s="507"/>
      <c r="O367" s="507"/>
      <c r="P367" s="507"/>
      <c r="Q367" s="507"/>
      <c r="R367" s="507"/>
      <c r="S367" s="507"/>
      <c r="T367" s="507"/>
      <c r="U367" s="507"/>
      <c r="V367" s="507"/>
      <c r="W367" s="507"/>
    </row>
    <row r="368" ht="35.25" customHeight="1">
      <c r="A368" s="663" t="s">
        <v>146</v>
      </c>
      <c r="B368" s="538" t="s">
        <v>51</v>
      </c>
      <c r="C368" s="666">
        <f>SUM(62469000-31374000)</f>
        <v>31095000</v>
      </c>
      <c r="D368" s="667">
        <f>sum(C368:C372)</f>
        <v>100000000</v>
      </c>
      <c r="E368" s="507"/>
      <c r="F368" s="507"/>
      <c r="G368" s="507"/>
      <c r="H368" s="507"/>
      <c r="I368" s="507"/>
      <c r="J368" s="507"/>
      <c r="K368" s="507"/>
      <c r="L368" s="507"/>
      <c r="M368" s="507"/>
      <c r="N368" s="507"/>
      <c r="O368" s="507"/>
      <c r="P368" s="507"/>
      <c r="Q368" s="507"/>
      <c r="R368" s="507"/>
      <c r="S368" s="507"/>
      <c r="T368" s="507"/>
      <c r="U368" s="507"/>
      <c r="V368" s="507"/>
      <c r="W368" s="507"/>
    </row>
    <row r="369" ht="35.25" customHeight="1">
      <c r="A369" s="18"/>
      <c r="B369" s="538" t="s">
        <v>53</v>
      </c>
      <c r="C369" s="666">
        <v>6.8905E7</v>
      </c>
      <c r="D369" s="18"/>
      <c r="E369" s="507"/>
      <c r="F369" s="507"/>
      <c r="G369" s="507"/>
      <c r="H369" s="507"/>
      <c r="I369" s="507"/>
      <c r="J369" s="507"/>
      <c r="K369" s="507"/>
      <c r="L369" s="507"/>
      <c r="M369" s="507"/>
      <c r="N369" s="507"/>
      <c r="O369" s="507"/>
      <c r="P369" s="507"/>
      <c r="Q369" s="507"/>
      <c r="R369" s="507"/>
      <c r="S369" s="507"/>
      <c r="T369" s="507"/>
      <c r="U369" s="507"/>
      <c r="V369" s="507"/>
      <c r="W369" s="507"/>
    </row>
    <row r="370" ht="35.25" customHeight="1">
      <c r="A370" s="18"/>
      <c r="B370" s="538" t="s">
        <v>55</v>
      </c>
      <c r="C370" s="666" t="s">
        <v>684</v>
      </c>
      <c r="D370" s="18"/>
      <c r="E370" s="662"/>
      <c r="F370" s="507"/>
      <c r="G370" s="507"/>
      <c r="H370" s="507"/>
      <c r="I370" s="507"/>
      <c r="J370" s="507"/>
      <c r="K370" s="507"/>
      <c r="L370" s="507"/>
      <c r="M370" s="507"/>
      <c r="N370" s="507"/>
      <c r="O370" s="507"/>
      <c r="P370" s="507"/>
      <c r="Q370" s="507"/>
      <c r="R370" s="507"/>
      <c r="S370" s="507"/>
      <c r="T370" s="507"/>
      <c r="U370" s="507"/>
      <c r="V370" s="507"/>
      <c r="W370" s="507"/>
    </row>
    <row r="371" ht="35.25" customHeight="1">
      <c r="A371" s="18"/>
      <c r="B371" s="538" t="s">
        <v>57</v>
      </c>
      <c r="C371" s="666" t="s">
        <v>684</v>
      </c>
      <c r="D371" s="18"/>
      <c r="E371" s="662"/>
      <c r="F371" s="507"/>
      <c r="G371" s="507"/>
      <c r="H371" s="507"/>
      <c r="I371" s="507"/>
      <c r="J371" s="507"/>
      <c r="K371" s="507"/>
      <c r="L371" s="507"/>
      <c r="M371" s="507"/>
      <c r="N371" s="507"/>
      <c r="O371" s="507"/>
      <c r="P371" s="507"/>
      <c r="Q371" s="507"/>
      <c r="R371" s="507"/>
      <c r="S371" s="507"/>
      <c r="T371" s="507"/>
      <c r="U371" s="507"/>
      <c r="V371" s="507"/>
      <c r="W371" s="507"/>
    </row>
    <row r="372" ht="35.25" customHeight="1">
      <c r="A372" s="22"/>
      <c r="B372" s="547" t="s">
        <v>693</v>
      </c>
      <c r="C372" s="666" t="s">
        <v>684</v>
      </c>
      <c r="D372" s="22"/>
      <c r="E372" s="662"/>
      <c r="F372" s="507"/>
      <c r="G372" s="507"/>
      <c r="H372" s="507"/>
      <c r="I372" s="507"/>
      <c r="J372" s="507"/>
      <c r="K372" s="507"/>
      <c r="L372" s="507"/>
      <c r="M372" s="507"/>
      <c r="N372" s="507"/>
      <c r="O372" s="507"/>
      <c r="P372" s="507"/>
      <c r="Q372" s="507"/>
      <c r="R372" s="507"/>
      <c r="S372" s="507"/>
      <c r="T372" s="507"/>
      <c r="U372" s="507"/>
      <c r="V372" s="507"/>
      <c r="W372" s="507"/>
    </row>
    <row r="373" ht="35.25" customHeight="1">
      <c r="A373" s="655" t="s">
        <v>148</v>
      </c>
      <c r="B373" s="538" t="s">
        <v>51</v>
      </c>
      <c r="C373" s="659">
        <v>0.0</v>
      </c>
      <c r="D373" s="653">
        <f>SUM(C373:C377)</f>
        <v>0</v>
      </c>
      <c r="E373" s="507"/>
      <c r="F373" s="507"/>
      <c r="G373" s="507"/>
      <c r="H373" s="507"/>
      <c r="I373" s="507"/>
      <c r="J373" s="507"/>
      <c r="K373" s="507"/>
      <c r="L373" s="507"/>
      <c r="M373" s="507"/>
      <c r="N373" s="507"/>
      <c r="O373" s="507"/>
      <c r="P373" s="507"/>
      <c r="Q373" s="507"/>
      <c r="R373" s="507"/>
      <c r="S373" s="507"/>
      <c r="T373" s="507"/>
      <c r="U373" s="507"/>
      <c r="V373" s="507"/>
      <c r="W373" s="507"/>
    </row>
    <row r="374" ht="35.25" customHeight="1">
      <c r="A374" s="18"/>
      <c r="B374" s="538" t="s">
        <v>53</v>
      </c>
      <c r="C374" s="659" t="s">
        <v>684</v>
      </c>
      <c r="D374" s="18"/>
      <c r="E374" s="507"/>
      <c r="F374" s="507"/>
      <c r="G374" s="507"/>
      <c r="H374" s="507"/>
      <c r="I374" s="507"/>
      <c r="J374" s="507"/>
      <c r="K374" s="507"/>
      <c r="L374" s="507"/>
      <c r="M374" s="507"/>
      <c r="N374" s="507"/>
      <c r="O374" s="507"/>
      <c r="P374" s="507"/>
      <c r="Q374" s="507"/>
      <c r="R374" s="507"/>
      <c r="S374" s="507"/>
      <c r="T374" s="507"/>
      <c r="U374" s="507"/>
      <c r="V374" s="507"/>
      <c r="W374" s="507"/>
    </row>
    <row r="375" ht="35.25" customHeight="1">
      <c r="A375" s="18"/>
      <c r="B375" s="538" t="s">
        <v>55</v>
      </c>
      <c r="C375" s="666" t="s">
        <v>684</v>
      </c>
      <c r="D375" s="18"/>
      <c r="E375" s="662"/>
      <c r="F375" s="507"/>
      <c r="G375" s="507"/>
      <c r="H375" s="507"/>
      <c r="I375" s="507"/>
      <c r="J375" s="507"/>
      <c r="K375" s="507"/>
      <c r="L375" s="507"/>
      <c r="M375" s="507"/>
      <c r="N375" s="507"/>
      <c r="O375" s="507"/>
      <c r="P375" s="507"/>
      <c r="Q375" s="507"/>
      <c r="R375" s="507"/>
      <c r="S375" s="507"/>
      <c r="T375" s="507"/>
      <c r="U375" s="507"/>
      <c r="V375" s="507"/>
      <c r="W375" s="507"/>
    </row>
    <row r="376" ht="35.25" customHeight="1">
      <c r="A376" s="18"/>
      <c r="B376" s="538" t="s">
        <v>57</v>
      </c>
      <c r="C376" s="666" t="s">
        <v>684</v>
      </c>
      <c r="D376" s="18"/>
      <c r="E376" s="662"/>
      <c r="F376" s="507"/>
      <c r="G376" s="507"/>
      <c r="H376" s="507"/>
      <c r="I376" s="507"/>
      <c r="J376" s="507"/>
      <c r="K376" s="507"/>
      <c r="L376" s="507"/>
      <c r="M376" s="507"/>
      <c r="N376" s="507"/>
      <c r="O376" s="507"/>
      <c r="P376" s="507"/>
      <c r="Q376" s="507"/>
      <c r="R376" s="507"/>
      <c r="S376" s="507"/>
      <c r="T376" s="507"/>
      <c r="U376" s="507"/>
      <c r="V376" s="507"/>
      <c r="W376" s="507"/>
    </row>
    <row r="377" ht="35.25" customHeight="1">
      <c r="A377" s="18"/>
      <c r="B377" s="547" t="s">
        <v>693</v>
      </c>
      <c r="C377" s="666" t="s">
        <v>684</v>
      </c>
      <c r="D377" s="18"/>
      <c r="E377" s="662"/>
      <c r="F377" s="507"/>
      <c r="G377" s="507"/>
      <c r="H377" s="507"/>
      <c r="I377" s="507"/>
      <c r="J377" s="507"/>
      <c r="K377" s="507"/>
      <c r="L377" s="507"/>
      <c r="M377" s="507"/>
      <c r="N377" s="507"/>
      <c r="O377" s="507"/>
      <c r="P377" s="507"/>
      <c r="Q377" s="507"/>
      <c r="R377" s="507"/>
      <c r="S377" s="507"/>
      <c r="T377" s="507"/>
      <c r="U377" s="507"/>
      <c r="V377" s="507"/>
      <c r="W377" s="507"/>
    </row>
    <row r="378" ht="35.25" customHeight="1">
      <c r="A378" s="655" t="s">
        <v>149</v>
      </c>
      <c r="B378" s="547" t="s">
        <v>71</v>
      </c>
      <c r="C378" s="656">
        <f>sum(41614000+9970500+15654400-9198000-20000000)</f>
        <v>38040900</v>
      </c>
      <c r="D378" s="667">
        <f>SUM(C378:C385)</f>
        <v>206250100</v>
      </c>
      <c r="E378" s="507"/>
      <c r="F378" s="507"/>
      <c r="G378" s="662"/>
      <c r="H378" s="507"/>
      <c r="I378" s="507"/>
      <c r="J378" s="507"/>
      <c r="K378" s="507"/>
      <c r="L378" s="507"/>
      <c r="M378" s="507"/>
      <c r="N378" s="507"/>
      <c r="O378" s="507"/>
      <c r="P378" s="507"/>
      <c r="Q378" s="507"/>
      <c r="R378" s="507"/>
      <c r="S378" s="507"/>
      <c r="T378" s="507"/>
      <c r="U378" s="507"/>
      <c r="V378" s="507"/>
      <c r="W378" s="507"/>
    </row>
    <row r="379" ht="35.25" customHeight="1">
      <c r="A379" s="18"/>
      <c r="B379" s="547" t="s">
        <v>72</v>
      </c>
      <c r="C379" s="656">
        <v>4.6221E7</v>
      </c>
      <c r="D379" s="18"/>
      <c r="E379" s="507"/>
      <c r="F379" s="507"/>
      <c r="G379" s="507"/>
      <c r="H379" s="507"/>
      <c r="I379" s="507"/>
      <c r="J379" s="507"/>
      <c r="K379" s="507"/>
      <c r="L379" s="507"/>
      <c r="M379" s="507"/>
      <c r="N379" s="507"/>
      <c r="O379" s="507"/>
      <c r="P379" s="507"/>
      <c r="Q379" s="507"/>
      <c r="R379" s="507"/>
      <c r="S379" s="507"/>
      <c r="T379" s="507"/>
      <c r="U379" s="507"/>
      <c r="V379" s="507"/>
      <c r="W379" s="507"/>
    </row>
    <row r="380" ht="35.25" customHeight="1">
      <c r="A380" s="18"/>
      <c r="B380" s="547" t="s">
        <v>73</v>
      </c>
      <c r="C380" s="656">
        <v>7.34108E7</v>
      </c>
      <c r="D380" s="18"/>
      <c r="E380" s="507"/>
      <c r="F380" s="507"/>
      <c r="G380" s="507"/>
      <c r="H380" s="507"/>
      <c r="I380" s="507"/>
      <c r="J380" s="507"/>
      <c r="K380" s="507"/>
      <c r="L380" s="507"/>
      <c r="M380" s="507"/>
      <c r="N380" s="507"/>
      <c r="O380" s="507"/>
      <c r="P380" s="507"/>
      <c r="Q380" s="507"/>
      <c r="R380" s="507"/>
      <c r="S380" s="507"/>
      <c r="T380" s="507"/>
      <c r="U380" s="507"/>
      <c r="V380" s="507"/>
      <c r="W380" s="507"/>
    </row>
    <row r="381" ht="35.25" customHeight="1">
      <c r="A381" s="18"/>
      <c r="B381" s="538" t="s">
        <v>51</v>
      </c>
      <c r="C381" s="656">
        <v>0.0</v>
      </c>
      <c r="D381" s="18"/>
      <c r="E381" s="507"/>
      <c r="F381" s="507"/>
      <c r="G381" s="507"/>
      <c r="H381" s="507"/>
      <c r="I381" s="507"/>
      <c r="J381" s="507"/>
      <c r="K381" s="507"/>
      <c r="L381" s="507"/>
      <c r="M381" s="507"/>
      <c r="N381" s="507"/>
      <c r="O381" s="507"/>
      <c r="P381" s="507"/>
      <c r="Q381" s="507"/>
      <c r="R381" s="507"/>
      <c r="S381" s="507"/>
      <c r="T381" s="507"/>
      <c r="U381" s="507"/>
      <c r="V381" s="507"/>
      <c r="W381" s="507"/>
    </row>
    <row r="382" ht="35.25" customHeight="1">
      <c r="A382" s="18"/>
      <c r="B382" s="538" t="s">
        <v>53</v>
      </c>
      <c r="C382" s="656">
        <v>1.19745E7</v>
      </c>
      <c r="D382" s="18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07"/>
      <c r="R382" s="507"/>
      <c r="S382" s="507"/>
      <c r="T382" s="507"/>
      <c r="U382" s="507"/>
      <c r="V382" s="507"/>
      <c r="W382" s="507"/>
    </row>
    <row r="383" ht="35.25" customHeight="1">
      <c r="A383" s="18"/>
      <c r="B383" s="538" t="s">
        <v>55</v>
      </c>
      <c r="C383" s="656">
        <v>1.29427E7</v>
      </c>
      <c r="D383" s="18"/>
      <c r="E383" s="507"/>
      <c r="F383" s="507"/>
      <c r="G383" s="507"/>
      <c r="H383" s="507"/>
      <c r="I383" s="507"/>
      <c r="J383" s="507"/>
      <c r="K383" s="507"/>
      <c r="L383" s="507"/>
      <c r="M383" s="507"/>
      <c r="N383" s="507"/>
      <c r="O383" s="507"/>
      <c r="P383" s="507"/>
      <c r="Q383" s="507"/>
      <c r="R383" s="507"/>
      <c r="S383" s="507"/>
      <c r="T383" s="507"/>
      <c r="U383" s="507"/>
      <c r="V383" s="507"/>
      <c r="W383" s="507"/>
    </row>
    <row r="384" ht="35.25" customHeight="1">
      <c r="A384" s="18"/>
      <c r="B384" s="538" t="s">
        <v>57</v>
      </c>
      <c r="C384" s="656">
        <v>1.4931E7</v>
      </c>
      <c r="D384" s="18"/>
      <c r="E384" s="644"/>
      <c r="F384" s="507"/>
      <c r="G384" s="507"/>
      <c r="H384" s="507"/>
      <c r="I384" s="507"/>
      <c r="J384" s="507"/>
      <c r="K384" s="507"/>
      <c r="L384" s="507"/>
      <c r="M384" s="507"/>
      <c r="N384" s="507"/>
      <c r="O384" s="507"/>
      <c r="P384" s="507"/>
      <c r="Q384" s="507"/>
      <c r="R384" s="507"/>
      <c r="S384" s="507"/>
      <c r="T384" s="507"/>
      <c r="U384" s="507"/>
      <c r="V384" s="507"/>
      <c r="W384" s="507"/>
    </row>
    <row r="385" ht="35.25" customHeight="1">
      <c r="A385" s="22"/>
      <c r="B385" s="547" t="s">
        <v>693</v>
      </c>
      <c r="C385" s="666">
        <v>8729200.0</v>
      </c>
      <c r="D385" s="22"/>
      <c r="E385" s="644"/>
      <c r="F385" s="507"/>
      <c r="G385" s="507"/>
      <c r="H385" s="507"/>
      <c r="I385" s="507"/>
      <c r="J385" s="507"/>
      <c r="K385" s="507"/>
      <c r="L385" s="507"/>
      <c r="M385" s="507"/>
      <c r="N385" s="507"/>
      <c r="O385" s="507"/>
      <c r="P385" s="507"/>
      <c r="Q385" s="507"/>
      <c r="R385" s="507"/>
      <c r="S385" s="507"/>
      <c r="T385" s="507"/>
      <c r="U385" s="507"/>
      <c r="V385" s="507"/>
      <c r="W385" s="507"/>
    </row>
    <row r="386" ht="35.25" customHeight="1">
      <c r="A386" s="655" t="s">
        <v>150</v>
      </c>
      <c r="B386" s="538" t="s">
        <v>51</v>
      </c>
      <c r="C386" s="656" t="s">
        <v>684</v>
      </c>
      <c r="D386" s="665">
        <f>SUM(C386:C390)</f>
        <v>51511000</v>
      </c>
      <c r="E386" s="507"/>
      <c r="F386" s="507"/>
      <c r="G386" s="507"/>
      <c r="H386" s="507"/>
      <c r="I386" s="507"/>
      <c r="J386" s="507"/>
      <c r="K386" s="507"/>
      <c r="L386" s="507"/>
      <c r="M386" s="507"/>
      <c r="N386" s="507"/>
      <c r="O386" s="507"/>
      <c r="P386" s="507"/>
      <c r="Q386" s="507"/>
      <c r="R386" s="507"/>
      <c r="S386" s="507"/>
      <c r="T386" s="507"/>
      <c r="U386" s="507"/>
      <c r="V386" s="507"/>
      <c r="W386" s="507"/>
    </row>
    <row r="387" ht="35.25" customHeight="1">
      <c r="A387" s="18"/>
      <c r="B387" s="538" t="s">
        <v>53</v>
      </c>
      <c r="C387" s="656" t="s">
        <v>684</v>
      </c>
      <c r="D387" s="18"/>
      <c r="E387" s="507"/>
      <c r="F387" s="507"/>
      <c r="G387" s="507"/>
      <c r="H387" s="507"/>
      <c r="I387" s="507"/>
      <c r="J387" s="507"/>
      <c r="K387" s="507"/>
      <c r="L387" s="507"/>
      <c r="M387" s="507"/>
      <c r="N387" s="507"/>
      <c r="O387" s="507"/>
      <c r="P387" s="507"/>
      <c r="Q387" s="507"/>
      <c r="R387" s="507"/>
      <c r="S387" s="507"/>
      <c r="T387" s="507"/>
      <c r="U387" s="507"/>
      <c r="V387" s="507"/>
      <c r="W387" s="507"/>
    </row>
    <row r="388" ht="35.25" customHeight="1">
      <c r="A388" s="18"/>
      <c r="B388" s="538" t="s">
        <v>55</v>
      </c>
      <c r="C388" s="656" t="s">
        <v>684</v>
      </c>
      <c r="D388" s="18"/>
      <c r="E388" s="507"/>
      <c r="F388" s="507"/>
      <c r="G388" s="507"/>
      <c r="H388" s="507"/>
      <c r="I388" s="507"/>
      <c r="J388" s="507"/>
      <c r="K388" s="507"/>
      <c r="L388" s="507"/>
      <c r="M388" s="507"/>
      <c r="N388" s="507"/>
      <c r="O388" s="507"/>
      <c r="P388" s="507"/>
      <c r="Q388" s="507"/>
      <c r="R388" s="507"/>
      <c r="S388" s="507"/>
      <c r="T388" s="507"/>
      <c r="U388" s="507"/>
      <c r="V388" s="507"/>
      <c r="W388" s="507"/>
    </row>
    <row r="389" ht="35.25" customHeight="1">
      <c r="A389" s="18"/>
      <c r="B389" s="538" t="s">
        <v>57</v>
      </c>
      <c r="C389" s="656" t="s">
        <v>684</v>
      </c>
      <c r="D389" s="18"/>
      <c r="E389" s="651"/>
      <c r="F389" s="507"/>
      <c r="G389" s="507"/>
      <c r="H389" s="507"/>
      <c r="I389" s="507"/>
      <c r="J389" s="507"/>
      <c r="K389" s="507"/>
      <c r="L389" s="507"/>
      <c r="M389" s="507"/>
      <c r="N389" s="507"/>
      <c r="O389" s="507"/>
      <c r="P389" s="507"/>
      <c r="Q389" s="507"/>
      <c r="R389" s="507"/>
      <c r="S389" s="507"/>
      <c r="T389" s="507"/>
      <c r="U389" s="507"/>
      <c r="V389" s="507"/>
      <c r="W389" s="507"/>
    </row>
    <row r="390" ht="35.25" customHeight="1">
      <c r="A390" s="22"/>
      <c r="B390" s="547" t="s">
        <v>693</v>
      </c>
      <c r="C390" s="666">
        <v>5.1511E7</v>
      </c>
      <c r="D390" s="22"/>
      <c r="F390" s="507"/>
      <c r="G390" s="507"/>
      <c r="H390" s="507"/>
      <c r="I390" s="507"/>
      <c r="J390" s="507"/>
      <c r="K390" s="507"/>
      <c r="L390" s="507"/>
      <c r="M390" s="507"/>
      <c r="N390" s="507"/>
      <c r="O390" s="507"/>
      <c r="P390" s="507"/>
      <c r="Q390" s="507"/>
      <c r="R390" s="507"/>
      <c r="S390" s="507"/>
      <c r="T390" s="507"/>
      <c r="U390" s="507"/>
      <c r="V390" s="507"/>
      <c r="W390" s="507"/>
    </row>
    <row r="391" ht="35.25" customHeight="1">
      <c r="A391" s="655" t="s">
        <v>153</v>
      </c>
      <c r="B391" s="538" t="s">
        <v>51</v>
      </c>
      <c r="C391" s="656" t="s">
        <v>684</v>
      </c>
      <c r="D391" s="653">
        <f>SUM(C391:C395)</f>
        <v>219570500</v>
      </c>
      <c r="E391" s="507"/>
      <c r="F391" s="507"/>
      <c r="G391" s="507"/>
      <c r="H391" s="507"/>
      <c r="I391" s="507"/>
      <c r="J391" s="507"/>
      <c r="K391" s="507"/>
      <c r="L391" s="507"/>
      <c r="M391" s="507"/>
      <c r="N391" s="507"/>
      <c r="O391" s="507"/>
      <c r="P391" s="507"/>
      <c r="Q391" s="507"/>
      <c r="R391" s="507"/>
      <c r="S391" s="507"/>
      <c r="T391" s="507"/>
      <c r="U391" s="507"/>
      <c r="V391" s="507"/>
      <c r="W391" s="507"/>
    </row>
    <row r="392" ht="35.25" customHeight="1">
      <c r="A392" s="18"/>
      <c r="B392" s="538" t="s">
        <v>53</v>
      </c>
      <c r="C392" s="656" t="s">
        <v>684</v>
      </c>
      <c r="D392" s="18"/>
      <c r="E392" s="507"/>
      <c r="F392" s="507"/>
      <c r="G392" s="507"/>
      <c r="H392" s="507"/>
      <c r="I392" s="507"/>
      <c r="J392" s="507"/>
      <c r="K392" s="507"/>
      <c r="L392" s="507"/>
      <c r="M392" s="507"/>
      <c r="N392" s="507"/>
      <c r="O392" s="507"/>
      <c r="P392" s="507"/>
      <c r="Q392" s="507"/>
      <c r="R392" s="507"/>
      <c r="S392" s="507"/>
      <c r="T392" s="507"/>
      <c r="U392" s="507"/>
      <c r="V392" s="507"/>
      <c r="W392" s="507"/>
    </row>
    <row r="393" ht="35.25" customHeight="1">
      <c r="A393" s="18"/>
      <c r="B393" s="538" t="s">
        <v>55</v>
      </c>
      <c r="C393" s="656" t="s">
        <v>684</v>
      </c>
      <c r="D393" s="18"/>
      <c r="E393" s="507"/>
      <c r="F393" s="507"/>
      <c r="G393" s="507"/>
      <c r="H393" s="507"/>
      <c r="I393" s="507"/>
      <c r="J393" s="507"/>
      <c r="K393" s="507"/>
      <c r="L393" s="507"/>
      <c r="M393" s="507"/>
      <c r="N393" s="507"/>
      <c r="O393" s="507"/>
      <c r="P393" s="507"/>
      <c r="Q393" s="507"/>
      <c r="R393" s="507"/>
      <c r="S393" s="507"/>
      <c r="T393" s="507"/>
      <c r="U393" s="507"/>
      <c r="V393" s="507"/>
      <c r="W393" s="507"/>
    </row>
    <row r="394" ht="35.25" customHeight="1">
      <c r="A394" s="18"/>
      <c r="B394" s="538" t="s">
        <v>57</v>
      </c>
      <c r="C394" s="656">
        <v>1.144665E8</v>
      </c>
      <c r="D394" s="18"/>
      <c r="E394" s="668"/>
      <c r="F394" s="507"/>
      <c r="G394" s="507"/>
      <c r="H394" s="507"/>
      <c r="I394" s="507"/>
      <c r="J394" s="507"/>
      <c r="K394" s="507"/>
      <c r="L394" s="507"/>
      <c r="M394" s="507"/>
      <c r="N394" s="507"/>
      <c r="O394" s="507"/>
      <c r="P394" s="507"/>
      <c r="Q394" s="507"/>
      <c r="R394" s="507"/>
      <c r="S394" s="507"/>
      <c r="T394" s="507"/>
      <c r="U394" s="507"/>
      <c r="V394" s="507"/>
      <c r="W394" s="507"/>
    </row>
    <row r="395" ht="35.25" customHeight="1">
      <c r="A395" s="22"/>
      <c r="B395" s="547" t="s">
        <v>693</v>
      </c>
      <c r="C395" s="666">
        <v>1.05104E8</v>
      </c>
      <c r="D395" s="18"/>
      <c r="E395" s="668"/>
      <c r="F395" s="507"/>
      <c r="G395" s="507"/>
      <c r="H395" s="507"/>
      <c r="I395" s="507"/>
      <c r="J395" s="507"/>
      <c r="K395" s="507"/>
      <c r="L395" s="507"/>
      <c r="M395" s="507"/>
      <c r="N395" s="507"/>
      <c r="O395" s="507"/>
      <c r="P395" s="507"/>
      <c r="Q395" s="507"/>
      <c r="R395" s="507"/>
      <c r="S395" s="507"/>
      <c r="T395" s="507"/>
      <c r="U395" s="507"/>
      <c r="V395" s="507"/>
      <c r="W395" s="507"/>
    </row>
    <row r="396" ht="35.25" customHeight="1">
      <c r="A396" s="663" t="s">
        <v>154</v>
      </c>
      <c r="B396" s="538" t="s">
        <v>51</v>
      </c>
      <c r="C396" s="593" t="s">
        <v>684</v>
      </c>
      <c r="D396" s="653">
        <f>SUM(C396:C400)</f>
        <v>110926200</v>
      </c>
      <c r="E396" s="507"/>
      <c r="F396" s="507"/>
      <c r="G396" s="507"/>
      <c r="H396" s="507"/>
      <c r="I396" s="507"/>
      <c r="J396" s="507"/>
      <c r="K396" s="507"/>
      <c r="L396" s="507"/>
      <c r="M396" s="507"/>
      <c r="N396" s="507"/>
      <c r="O396" s="507"/>
      <c r="P396" s="507"/>
      <c r="Q396" s="507"/>
      <c r="R396" s="507"/>
      <c r="S396" s="507"/>
      <c r="T396" s="507"/>
      <c r="U396" s="507"/>
      <c r="V396" s="507"/>
      <c r="W396" s="507"/>
    </row>
    <row r="397" ht="35.25" customHeight="1">
      <c r="A397" s="18"/>
      <c r="B397" s="538" t="s">
        <v>53</v>
      </c>
      <c r="C397" s="593" t="s">
        <v>684</v>
      </c>
      <c r="D397" s="18"/>
      <c r="E397" s="507"/>
      <c r="F397" s="507"/>
      <c r="G397" s="507"/>
      <c r="H397" s="507"/>
      <c r="I397" s="507"/>
      <c r="J397" s="507"/>
      <c r="K397" s="507"/>
      <c r="L397" s="507"/>
      <c r="M397" s="507"/>
      <c r="N397" s="507"/>
      <c r="O397" s="507"/>
      <c r="P397" s="507"/>
      <c r="Q397" s="507"/>
      <c r="R397" s="507"/>
      <c r="S397" s="507"/>
      <c r="T397" s="507"/>
      <c r="U397" s="507"/>
      <c r="V397" s="507"/>
      <c r="W397" s="507"/>
    </row>
    <row r="398" ht="35.25" customHeight="1">
      <c r="A398" s="18"/>
      <c r="B398" s="538" t="s">
        <v>55</v>
      </c>
      <c r="C398" s="593" t="s">
        <v>684</v>
      </c>
      <c r="D398" s="18"/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  <c r="O398" s="507"/>
      <c r="P398" s="507"/>
      <c r="Q398" s="507"/>
      <c r="R398" s="507"/>
      <c r="S398" s="507"/>
      <c r="T398" s="507"/>
      <c r="U398" s="507"/>
      <c r="V398" s="507"/>
      <c r="W398" s="507"/>
    </row>
    <row r="399" ht="35.25" customHeight="1">
      <c r="A399" s="18"/>
      <c r="B399" s="538" t="s">
        <v>57</v>
      </c>
      <c r="C399" s="593">
        <v>2.63175E7</v>
      </c>
      <c r="D399" s="18"/>
      <c r="E399" s="507"/>
      <c r="F399" s="507"/>
      <c r="G399" s="507"/>
      <c r="H399" s="507"/>
      <c r="I399" s="507"/>
      <c r="J399" s="507"/>
      <c r="K399" s="507"/>
      <c r="L399" s="507"/>
      <c r="M399" s="507"/>
      <c r="N399" s="507"/>
      <c r="O399" s="507"/>
      <c r="P399" s="507"/>
      <c r="Q399" s="507"/>
      <c r="R399" s="507"/>
      <c r="S399" s="507"/>
      <c r="T399" s="507"/>
      <c r="U399" s="507"/>
      <c r="V399" s="507"/>
      <c r="W399" s="507"/>
    </row>
    <row r="400" ht="35.25" customHeight="1">
      <c r="A400" s="22"/>
      <c r="B400" s="547" t="s">
        <v>693</v>
      </c>
      <c r="C400" s="666">
        <v>8.46087E7</v>
      </c>
      <c r="D400" s="18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  <c r="O400" s="507"/>
      <c r="P400" s="507"/>
      <c r="Q400" s="507"/>
      <c r="R400" s="507"/>
      <c r="S400" s="507"/>
      <c r="T400" s="507"/>
      <c r="U400" s="507"/>
      <c r="V400" s="507"/>
      <c r="W400" s="507"/>
    </row>
    <row r="401" ht="35.25" customHeight="1">
      <c r="A401" s="655" t="s">
        <v>155</v>
      </c>
      <c r="B401" s="538" t="s">
        <v>51</v>
      </c>
      <c r="C401" s="593" t="s">
        <v>684</v>
      </c>
      <c r="D401" s="653">
        <f>sum(C401:C404)</f>
        <v>30807000</v>
      </c>
      <c r="E401" s="507"/>
      <c r="F401" s="507"/>
      <c r="G401" s="507"/>
      <c r="H401" s="507"/>
      <c r="I401" s="507"/>
      <c r="J401" s="507"/>
      <c r="K401" s="507"/>
      <c r="L401" s="507"/>
      <c r="M401" s="507"/>
      <c r="N401" s="507"/>
      <c r="O401" s="507"/>
      <c r="P401" s="507"/>
      <c r="Q401" s="507"/>
      <c r="R401" s="507"/>
      <c r="S401" s="507"/>
      <c r="T401" s="507"/>
      <c r="U401" s="507"/>
      <c r="V401" s="507"/>
      <c r="W401" s="507"/>
    </row>
    <row r="402" ht="35.25" customHeight="1">
      <c r="A402" s="18"/>
      <c r="B402" s="538" t="s">
        <v>53</v>
      </c>
      <c r="C402" s="593" t="s">
        <v>684</v>
      </c>
      <c r="D402" s="18"/>
      <c r="E402" s="556"/>
      <c r="F402" s="507"/>
      <c r="G402" s="507"/>
      <c r="H402" s="507"/>
      <c r="I402" s="507"/>
      <c r="J402" s="507"/>
      <c r="K402" s="507"/>
      <c r="L402" s="507"/>
      <c r="M402" s="507"/>
      <c r="N402" s="507"/>
      <c r="O402" s="507"/>
      <c r="P402" s="507"/>
      <c r="Q402" s="507"/>
      <c r="R402" s="507"/>
      <c r="S402" s="507"/>
      <c r="T402" s="507"/>
      <c r="U402" s="507"/>
      <c r="V402" s="507"/>
      <c r="W402" s="507"/>
    </row>
    <row r="403" ht="35.25" customHeight="1">
      <c r="A403" s="18"/>
      <c r="B403" s="538" t="s">
        <v>55</v>
      </c>
      <c r="C403" s="593" t="s">
        <v>684</v>
      </c>
      <c r="D403" s="18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  <c r="O403" s="507"/>
      <c r="P403" s="507"/>
      <c r="Q403" s="507"/>
      <c r="R403" s="507"/>
      <c r="S403" s="507"/>
      <c r="T403" s="507"/>
      <c r="U403" s="507"/>
      <c r="V403" s="507"/>
      <c r="W403" s="507"/>
    </row>
    <row r="404" ht="35.25" customHeight="1">
      <c r="A404" s="22"/>
      <c r="B404" s="538" t="s">
        <v>57</v>
      </c>
      <c r="C404" s="593">
        <v>3.0807E7</v>
      </c>
      <c r="D404" s="18"/>
      <c r="E404" s="669"/>
      <c r="F404" s="507"/>
      <c r="G404" s="507"/>
      <c r="H404" s="507"/>
      <c r="I404" s="507"/>
      <c r="J404" s="507"/>
      <c r="K404" s="507"/>
      <c r="L404" s="507"/>
      <c r="M404" s="507"/>
      <c r="N404" s="507"/>
      <c r="O404" s="507"/>
      <c r="P404" s="507"/>
      <c r="Q404" s="507"/>
      <c r="R404" s="507"/>
      <c r="S404" s="507"/>
      <c r="T404" s="507"/>
      <c r="U404" s="507"/>
      <c r="V404" s="507"/>
      <c r="W404" s="507"/>
    </row>
    <row r="405" ht="35.25" customHeight="1">
      <c r="A405" s="655" t="s">
        <v>156</v>
      </c>
      <c r="B405" s="547" t="s">
        <v>272</v>
      </c>
      <c r="C405" s="656">
        <v>2.6249E7</v>
      </c>
      <c r="D405" s="653">
        <f>SUM(C405:C409)</f>
        <v>108910000</v>
      </c>
      <c r="E405" s="507"/>
      <c r="F405" s="507"/>
      <c r="G405" s="507"/>
      <c r="H405" s="507"/>
      <c r="I405" s="507"/>
      <c r="J405" s="507"/>
      <c r="K405" s="507"/>
      <c r="L405" s="507"/>
      <c r="M405" s="507"/>
      <c r="N405" s="507"/>
      <c r="O405" s="507"/>
      <c r="P405" s="507"/>
      <c r="Q405" s="507"/>
      <c r="R405" s="507"/>
      <c r="S405" s="507"/>
      <c r="T405" s="507"/>
      <c r="U405" s="507"/>
      <c r="V405" s="507"/>
      <c r="W405" s="507"/>
    </row>
    <row r="406" ht="35.25" customHeight="1">
      <c r="A406" s="18"/>
      <c r="B406" s="538" t="s">
        <v>53</v>
      </c>
      <c r="C406" s="656">
        <v>2.4168E7</v>
      </c>
      <c r="D406" s="18"/>
      <c r="E406" s="507"/>
      <c r="F406" s="507"/>
      <c r="G406" s="507"/>
      <c r="H406" s="507"/>
      <c r="I406" s="507"/>
      <c r="J406" s="507"/>
      <c r="K406" s="507"/>
      <c r="L406" s="507"/>
      <c r="M406" s="507"/>
      <c r="N406" s="507"/>
      <c r="O406" s="507"/>
      <c r="P406" s="507"/>
      <c r="Q406" s="507"/>
      <c r="R406" s="507"/>
      <c r="S406" s="507"/>
      <c r="T406" s="507"/>
      <c r="U406" s="507"/>
      <c r="V406" s="507"/>
      <c r="W406" s="507"/>
    </row>
    <row r="407" ht="35.25" customHeight="1">
      <c r="A407" s="18"/>
      <c r="B407" s="538" t="s">
        <v>55</v>
      </c>
      <c r="C407" s="656">
        <v>1.3804E7</v>
      </c>
      <c r="D407" s="18"/>
      <c r="E407" s="507"/>
      <c r="F407" s="507"/>
      <c r="G407" s="507"/>
      <c r="H407" s="507"/>
      <c r="I407" s="507"/>
      <c r="J407" s="507"/>
      <c r="K407" s="507"/>
      <c r="L407" s="507"/>
      <c r="M407" s="507"/>
      <c r="N407" s="507"/>
      <c r="O407" s="507"/>
      <c r="P407" s="507"/>
      <c r="Q407" s="507"/>
      <c r="R407" s="507"/>
      <c r="S407" s="507"/>
      <c r="T407" s="507"/>
      <c r="U407" s="507"/>
      <c r="V407" s="507"/>
      <c r="W407" s="507"/>
    </row>
    <row r="408" ht="35.25" customHeight="1">
      <c r="A408" s="18"/>
      <c r="B408" s="538" t="s">
        <v>57</v>
      </c>
      <c r="C408" s="656">
        <v>1.9795E7</v>
      </c>
      <c r="D408" s="18"/>
      <c r="E408" s="556"/>
      <c r="F408" s="507"/>
      <c r="G408" s="507"/>
      <c r="H408" s="507"/>
      <c r="I408" s="507"/>
      <c r="J408" s="507"/>
      <c r="K408" s="507"/>
      <c r="L408" s="507"/>
      <c r="M408" s="507"/>
      <c r="N408" s="507"/>
      <c r="O408" s="507"/>
      <c r="P408" s="507"/>
      <c r="Q408" s="507"/>
      <c r="R408" s="507"/>
      <c r="S408" s="507"/>
      <c r="T408" s="507"/>
      <c r="U408" s="507"/>
      <c r="V408" s="507"/>
      <c r="W408" s="507"/>
    </row>
    <row r="409" ht="35.25" customHeight="1">
      <c r="A409" s="22"/>
      <c r="B409" s="547" t="s">
        <v>693</v>
      </c>
      <c r="C409" s="666">
        <v>2.4894E7</v>
      </c>
      <c r="D409" s="22"/>
      <c r="E409" s="556"/>
      <c r="F409" s="507"/>
      <c r="G409" s="507"/>
      <c r="H409" s="507"/>
      <c r="I409" s="507"/>
      <c r="J409" s="507"/>
      <c r="K409" s="507"/>
      <c r="L409" s="507"/>
      <c r="M409" s="507"/>
      <c r="N409" s="507"/>
      <c r="O409" s="507"/>
      <c r="P409" s="507"/>
      <c r="Q409" s="507"/>
      <c r="R409" s="507"/>
      <c r="S409" s="507"/>
      <c r="T409" s="507"/>
      <c r="U409" s="507"/>
      <c r="V409" s="507"/>
      <c r="W409" s="507"/>
    </row>
    <row r="410" ht="35.25" customHeight="1">
      <c r="A410" s="655" t="s">
        <v>158</v>
      </c>
      <c r="B410" s="547" t="s">
        <v>51</v>
      </c>
      <c r="C410" s="593">
        <v>1.4261E7</v>
      </c>
      <c r="D410" s="670">
        <f>SUM(C410:C414)</f>
        <v>87347500</v>
      </c>
      <c r="E410" s="507"/>
      <c r="F410" s="507"/>
      <c r="G410" s="507"/>
      <c r="H410" s="507"/>
      <c r="I410" s="507"/>
      <c r="J410" s="507"/>
      <c r="K410" s="507"/>
      <c r="L410" s="507"/>
      <c r="M410" s="507"/>
      <c r="N410" s="507"/>
      <c r="O410" s="507"/>
      <c r="P410" s="507"/>
      <c r="Q410" s="507"/>
      <c r="R410" s="507"/>
      <c r="S410" s="507"/>
      <c r="T410" s="507"/>
      <c r="U410" s="507"/>
      <c r="V410" s="507"/>
      <c r="W410" s="507"/>
    </row>
    <row r="411" ht="35.25" customHeight="1">
      <c r="A411" s="18"/>
      <c r="B411" s="547" t="s">
        <v>362</v>
      </c>
      <c r="C411" s="593">
        <v>1.7736E7</v>
      </c>
      <c r="D411" s="18"/>
      <c r="E411" s="507"/>
      <c r="F411" s="507"/>
      <c r="G411" s="507"/>
      <c r="H411" s="507"/>
      <c r="I411" s="507"/>
      <c r="J411" s="507"/>
      <c r="K411" s="507"/>
      <c r="L411" s="507"/>
      <c r="M411" s="507"/>
      <c r="N411" s="507"/>
      <c r="O411" s="507"/>
      <c r="P411" s="507"/>
      <c r="Q411" s="507"/>
      <c r="R411" s="507"/>
      <c r="S411" s="507"/>
      <c r="T411" s="507"/>
      <c r="U411" s="507"/>
      <c r="V411" s="507"/>
      <c r="W411" s="507"/>
    </row>
    <row r="412" ht="35.25" customHeight="1">
      <c r="A412" s="18"/>
      <c r="B412" s="614" t="s">
        <v>55</v>
      </c>
      <c r="C412" s="593">
        <v>2.01445E7</v>
      </c>
      <c r="D412" s="18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  <c r="O412" s="507"/>
      <c r="P412" s="507"/>
      <c r="Q412" s="507"/>
      <c r="R412" s="507"/>
      <c r="S412" s="507"/>
      <c r="T412" s="507"/>
      <c r="U412" s="507"/>
      <c r="V412" s="507"/>
      <c r="W412" s="507"/>
    </row>
    <row r="413" ht="35.25" customHeight="1">
      <c r="A413" s="18"/>
      <c r="B413" s="671" t="s">
        <v>57</v>
      </c>
      <c r="C413" s="593">
        <v>1.816E7</v>
      </c>
      <c r="D413" s="18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  <c r="O413" s="507"/>
      <c r="P413" s="507"/>
      <c r="Q413" s="507"/>
      <c r="R413" s="507"/>
      <c r="S413" s="507"/>
      <c r="T413" s="507"/>
      <c r="U413" s="507"/>
      <c r="V413" s="507"/>
      <c r="W413" s="507"/>
    </row>
    <row r="414" ht="35.25" customHeight="1">
      <c r="A414" s="22"/>
      <c r="B414" s="547" t="s">
        <v>693</v>
      </c>
      <c r="C414" s="666">
        <v>1.7046E7</v>
      </c>
      <c r="D414" s="18"/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  <c r="O414" s="507"/>
      <c r="P414" s="507"/>
      <c r="Q414" s="507"/>
      <c r="R414" s="507"/>
      <c r="S414" s="507"/>
      <c r="T414" s="507"/>
      <c r="U414" s="507"/>
      <c r="V414" s="507"/>
      <c r="W414" s="507"/>
    </row>
    <row r="415" ht="35.25" customHeight="1">
      <c r="A415" s="655" t="s">
        <v>159</v>
      </c>
      <c r="B415" s="547" t="s">
        <v>51</v>
      </c>
      <c r="C415" s="593" t="s">
        <v>684</v>
      </c>
      <c r="D415" s="653">
        <f>SUM(C416:C418)</f>
        <v>23263500</v>
      </c>
      <c r="E415" s="507"/>
      <c r="F415" s="507"/>
      <c r="G415" s="507"/>
      <c r="H415" s="507"/>
      <c r="I415" s="507"/>
      <c r="J415" s="507"/>
      <c r="K415" s="507"/>
      <c r="L415" s="507"/>
      <c r="M415" s="507"/>
      <c r="N415" s="507"/>
      <c r="O415" s="507"/>
      <c r="P415" s="507"/>
      <c r="Q415" s="507"/>
      <c r="R415" s="507"/>
      <c r="S415" s="507"/>
      <c r="T415" s="507"/>
      <c r="U415" s="507"/>
      <c r="V415" s="507"/>
      <c r="W415" s="507"/>
    </row>
    <row r="416" ht="35.25" customHeight="1">
      <c r="A416" s="18"/>
      <c r="B416" s="547" t="s">
        <v>362</v>
      </c>
      <c r="C416" s="593" t="s">
        <v>684</v>
      </c>
      <c r="D416" s="18"/>
      <c r="E416" s="507"/>
      <c r="F416" s="507"/>
      <c r="G416" s="507"/>
      <c r="H416" s="507"/>
      <c r="I416" s="507"/>
      <c r="J416" s="507"/>
      <c r="K416" s="507"/>
      <c r="L416" s="507"/>
      <c r="M416" s="507"/>
      <c r="N416" s="507"/>
      <c r="O416" s="507"/>
      <c r="P416" s="507"/>
      <c r="Q416" s="507"/>
      <c r="R416" s="507"/>
      <c r="S416" s="507"/>
      <c r="T416" s="507"/>
      <c r="U416" s="507"/>
      <c r="V416" s="507"/>
      <c r="W416" s="507"/>
    </row>
    <row r="417" ht="35.25" customHeight="1">
      <c r="A417" s="18"/>
      <c r="B417" s="614" t="s">
        <v>55</v>
      </c>
      <c r="C417" s="593" t="s">
        <v>684</v>
      </c>
      <c r="D417" s="18"/>
      <c r="E417" s="507"/>
      <c r="F417" s="507"/>
      <c r="G417" s="507"/>
      <c r="H417" s="507"/>
      <c r="I417" s="507"/>
      <c r="J417" s="507"/>
      <c r="K417" s="507"/>
      <c r="L417" s="507"/>
      <c r="M417" s="507"/>
      <c r="N417" s="507"/>
      <c r="O417" s="507"/>
      <c r="P417" s="507"/>
      <c r="Q417" s="507"/>
      <c r="R417" s="507"/>
      <c r="S417" s="507"/>
      <c r="T417" s="507"/>
      <c r="U417" s="507"/>
      <c r="V417" s="507"/>
      <c r="W417" s="507"/>
    </row>
    <row r="418" ht="35.25" customHeight="1">
      <c r="A418" s="22"/>
      <c r="B418" s="547" t="s">
        <v>693</v>
      </c>
      <c r="C418" s="666">
        <v>2.32635E7</v>
      </c>
      <c r="D418" s="22"/>
      <c r="E418" s="507"/>
      <c r="F418" s="507"/>
      <c r="G418" s="507"/>
      <c r="H418" s="507"/>
      <c r="I418" s="507"/>
      <c r="J418" s="507"/>
      <c r="K418" s="507"/>
      <c r="L418" s="507"/>
      <c r="M418" s="507"/>
      <c r="N418" s="507"/>
      <c r="O418" s="507"/>
      <c r="P418" s="507"/>
      <c r="Q418" s="507"/>
      <c r="R418" s="507"/>
      <c r="S418" s="507"/>
      <c r="T418" s="507"/>
      <c r="U418" s="507"/>
      <c r="V418" s="507"/>
      <c r="W418" s="507"/>
    </row>
    <row r="419" ht="35.25" customHeight="1">
      <c r="A419" s="655" t="s">
        <v>160</v>
      </c>
      <c r="B419" s="588" t="s">
        <v>695</v>
      </c>
      <c r="C419" s="593">
        <v>1.33357E8</v>
      </c>
      <c r="D419" s="657">
        <f>SUM(C419:C422)</f>
        <v>353037500</v>
      </c>
      <c r="E419" s="507"/>
      <c r="F419" s="507"/>
      <c r="G419" s="507"/>
      <c r="H419" s="507"/>
      <c r="I419" s="507"/>
      <c r="J419" s="507"/>
      <c r="K419" s="507"/>
      <c r="L419" s="507"/>
      <c r="M419" s="507"/>
      <c r="N419" s="507"/>
      <c r="O419" s="507"/>
      <c r="P419" s="507"/>
      <c r="Q419" s="507"/>
      <c r="R419" s="507"/>
      <c r="S419" s="507"/>
      <c r="T419" s="507"/>
      <c r="U419" s="507"/>
      <c r="V419" s="507"/>
      <c r="W419" s="507"/>
    </row>
    <row r="420" ht="35.25" customHeight="1">
      <c r="A420" s="18"/>
      <c r="B420" s="547" t="s">
        <v>73</v>
      </c>
      <c r="C420" s="593" t="s">
        <v>684</v>
      </c>
      <c r="D420" s="18"/>
      <c r="E420" s="672"/>
      <c r="F420" s="507"/>
      <c r="G420" s="507"/>
      <c r="H420" s="507"/>
      <c r="I420" s="507"/>
      <c r="J420" s="507"/>
      <c r="K420" s="507"/>
      <c r="L420" s="507"/>
      <c r="M420" s="507"/>
      <c r="N420" s="507"/>
      <c r="O420" s="507"/>
      <c r="P420" s="507"/>
      <c r="Q420" s="507"/>
      <c r="R420" s="507"/>
      <c r="S420" s="507"/>
      <c r="T420" s="507"/>
      <c r="U420" s="507"/>
      <c r="V420" s="507"/>
      <c r="W420" s="507"/>
    </row>
    <row r="421" ht="35.25" customHeight="1">
      <c r="A421" s="18"/>
      <c r="B421" s="673" t="s">
        <v>74</v>
      </c>
      <c r="C421" s="593">
        <v>2.196805E8</v>
      </c>
      <c r="D421" s="18"/>
      <c r="E421" s="672"/>
      <c r="F421" s="507"/>
      <c r="G421" s="507"/>
      <c r="H421" s="507"/>
      <c r="I421" s="507"/>
      <c r="J421" s="507"/>
      <c r="K421" s="507"/>
      <c r="L421" s="507"/>
      <c r="M421" s="507"/>
      <c r="N421" s="507"/>
      <c r="O421" s="507"/>
      <c r="P421" s="507"/>
      <c r="Q421" s="507"/>
      <c r="R421" s="507"/>
      <c r="S421" s="507"/>
      <c r="T421" s="507"/>
      <c r="U421" s="507"/>
      <c r="V421" s="507"/>
      <c r="W421" s="507"/>
    </row>
    <row r="422" ht="35.25" customHeight="1">
      <c r="A422" s="22"/>
      <c r="B422" s="674"/>
      <c r="C422" s="593"/>
      <c r="D422" s="22"/>
      <c r="E422" s="672"/>
      <c r="F422" s="507"/>
      <c r="G422" s="507"/>
      <c r="H422" s="507"/>
      <c r="I422" s="507"/>
      <c r="J422" s="507"/>
      <c r="K422" s="507"/>
      <c r="L422" s="507"/>
      <c r="M422" s="507"/>
      <c r="N422" s="507"/>
      <c r="O422" s="507"/>
      <c r="P422" s="507"/>
      <c r="Q422" s="507"/>
      <c r="R422" s="507"/>
      <c r="S422" s="507"/>
      <c r="T422" s="507"/>
      <c r="U422" s="507"/>
      <c r="V422" s="507"/>
      <c r="W422" s="507"/>
    </row>
    <row r="423" ht="35.25" customHeight="1">
      <c r="A423" s="663" t="s">
        <v>386</v>
      </c>
      <c r="B423" s="524" t="s">
        <v>71</v>
      </c>
      <c r="C423" s="593">
        <v>3.2303E7</v>
      </c>
      <c r="D423" s="657">
        <f>SUM(C423:C430)</f>
        <v>75689000</v>
      </c>
      <c r="E423" s="507"/>
      <c r="F423" s="507"/>
      <c r="G423" s="675"/>
      <c r="H423" s="4"/>
      <c r="I423" s="5"/>
      <c r="J423" s="593"/>
      <c r="K423" s="507"/>
      <c r="L423" s="507"/>
      <c r="M423" s="507"/>
      <c r="N423" s="507"/>
      <c r="O423" s="507"/>
      <c r="P423" s="507"/>
      <c r="Q423" s="507"/>
      <c r="R423" s="507"/>
      <c r="S423" s="507"/>
      <c r="T423" s="507"/>
      <c r="U423" s="507"/>
      <c r="V423" s="507"/>
      <c r="W423" s="507"/>
    </row>
    <row r="424" ht="35.25" customHeight="1">
      <c r="A424" s="18"/>
      <c r="B424" s="673" t="s">
        <v>72</v>
      </c>
      <c r="C424" s="593">
        <v>2.4976E7</v>
      </c>
      <c r="D424" s="18"/>
      <c r="E424" s="507"/>
      <c r="F424" s="507"/>
      <c r="G424" s="675"/>
      <c r="H424" s="4"/>
      <c r="I424" s="5"/>
      <c r="J424" s="593"/>
      <c r="K424" s="507"/>
      <c r="L424" s="507"/>
      <c r="M424" s="507"/>
      <c r="N424" s="507"/>
      <c r="O424" s="507"/>
      <c r="P424" s="507"/>
      <c r="Q424" s="507"/>
      <c r="R424" s="507"/>
      <c r="S424" s="507"/>
      <c r="T424" s="507"/>
      <c r="U424" s="507"/>
      <c r="V424" s="507"/>
      <c r="W424" s="507"/>
    </row>
    <row r="425" ht="35.25" customHeight="1">
      <c r="A425" s="18"/>
      <c r="B425" s="547" t="s">
        <v>73</v>
      </c>
      <c r="C425" s="593" t="s">
        <v>691</v>
      </c>
      <c r="D425" s="18"/>
      <c r="E425" s="507"/>
      <c r="F425" s="507"/>
      <c r="G425" s="675"/>
      <c r="H425" s="4"/>
      <c r="I425" s="5"/>
      <c r="J425" s="593"/>
      <c r="K425" s="507"/>
      <c r="L425" s="507"/>
      <c r="M425" s="507"/>
      <c r="N425" s="507"/>
      <c r="O425" s="507"/>
      <c r="P425" s="507"/>
      <c r="Q425" s="507"/>
      <c r="R425" s="507"/>
      <c r="S425" s="507"/>
      <c r="T425" s="507"/>
      <c r="U425" s="507"/>
      <c r="V425" s="507"/>
      <c r="W425" s="507"/>
    </row>
    <row r="426" ht="35.25" customHeight="1">
      <c r="A426" s="18"/>
      <c r="B426" s="674">
        <v>45839.0</v>
      </c>
      <c r="C426" s="593">
        <v>3995000.0</v>
      </c>
      <c r="D426" s="18"/>
      <c r="E426" s="507"/>
      <c r="F426" s="507"/>
      <c r="G426" s="675"/>
      <c r="H426" s="4"/>
      <c r="I426" s="5"/>
      <c r="J426" s="593"/>
      <c r="K426" s="507"/>
      <c r="L426" s="507"/>
      <c r="M426" s="507"/>
      <c r="N426" s="507"/>
      <c r="O426" s="507"/>
      <c r="P426" s="507"/>
      <c r="Q426" s="507"/>
      <c r="R426" s="507"/>
      <c r="S426" s="507"/>
      <c r="T426" s="507"/>
      <c r="U426" s="507"/>
      <c r="V426" s="507"/>
      <c r="W426" s="507"/>
    </row>
    <row r="427" ht="35.25" customHeight="1">
      <c r="A427" s="18"/>
      <c r="B427" s="674">
        <v>45847.0</v>
      </c>
      <c r="C427" s="593">
        <v>3315000.0</v>
      </c>
      <c r="D427" s="18"/>
      <c r="E427" s="507"/>
      <c r="F427" s="507"/>
      <c r="G427" s="675"/>
      <c r="H427" s="4"/>
      <c r="I427" s="5"/>
      <c r="J427" s="593"/>
      <c r="K427" s="507"/>
      <c r="L427" s="507"/>
      <c r="M427" s="507"/>
      <c r="N427" s="507"/>
      <c r="O427" s="507"/>
      <c r="P427" s="507"/>
      <c r="Q427" s="507"/>
      <c r="R427" s="507"/>
      <c r="S427" s="507"/>
      <c r="T427" s="507"/>
      <c r="U427" s="507"/>
      <c r="V427" s="507"/>
      <c r="W427" s="507"/>
    </row>
    <row r="428" ht="35.25" customHeight="1">
      <c r="A428" s="18"/>
      <c r="B428" s="674">
        <v>45853.0</v>
      </c>
      <c r="C428" s="593">
        <v>2850000.0</v>
      </c>
      <c r="D428" s="18"/>
      <c r="E428" s="507"/>
      <c r="F428" s="507"/>
      <c r="G428" s="676"/>
      <c r="H428" s="676"/>
      <c r="I428" s="676"/>
      <c r="J428" s="593"/>
      <c r="K428" s="507"/>
      <c r="L428" s="507"/>
      <c r="M428" s="507"/>
      <c r="N428" s="507"/>
      <c r="O428" s="507"/>
      <c r="P428" s="507"/>
      <c r="Q428" s="507"/>
      <c r="R428" s="507"/>
      <c r="S428" s="507"/>
      <c r="T428" s="507"/>
      <c r="U428" s="507"/>
      <c r="V428" s="507"/>
      <c r="W428" s="507"/>
    </row>
    <row r="429" ht="35.25" customHeight="1">
      <c r="A429" s="18"/>
      <c r="B429" s="674">
        <v>45861.0</v>
      </c>
      <c r="C429" s="593">
        <v>3745000.0</v>
      </c>
      <c r="D429" s="18"/>
      <c r="E429" s="507"/>
      <c r="F429" s="507"/>
      <c r="G429" s="676"/>
      <c r="H429" s="676"/>
      <c r="I429" s="676"/>
      <c r="J429" s="593"/>
      <c r="K429" s="507"/>
      <c r="L429" s="507"/>
      <c r="M429" s="507"/>
      <c r="N429" s="507"/>
      <c r="O429" s="507"/>
      <c r="P429" s="507"/>
      <c r="Q429" s="507"/>
      <c r="R429" s="507"/>
      <c r="S429" s="507"/>
      <c r="T429" s="507"/>
      <c r="U429" s="507"/>
      <c r="V429" s="507"/>
      <c r="W429" s="507"/>
    </row>
    <row r="430" ht="35.25" customHeight="1">
      <c r="A430" s="22"/>
      <c r="B430" s="674">
        <v>45867.0</v>
      </c>
      <c r="C430" s="593">
        <v>4505000.0</v>
      </c>
      <c r="D430" s="22"/>
      <c r="E430" s="507"/>
      <c r="F430" s="507"/>
      <c r="G430" s="675"/>
      <c r="H430" s="4"/>
      <c r="I430" s="5"/>
      <c r="J430" s="593"/>
      <c r="K430" s="507"/>
      <c r="L430" s="507"/>
      <c r="M430" s="507"/>
      <c r="N430" s="507"/>
      <c r="O430" s="507"/>
      <c r="P430" s="507"/>
      <c r="Q430" s="507"/>
      <c r="R430" s="507"/>
      <c r="S430" s="507"/>
      <c r="T430" s="507"/>
      <c r="U430" s="507"/>
      <c r="V430" s="507"/>
      <c r="W430" s="507"/>
    </row>
    <row r="431" ht="35.25" customHeight="1">
      <c r="A431" s="655" t="s">
        <v>167</v>
      </c>
      <c r="B431" s="547"/>
      <c r="C431" s="593">
        <v>0.0</v>
      </c>
      <c r="D431" s="653">
        <f>SUM(C431:C433)</f>
        <v>42521300</v>
      </c>
      <c r="E431" s="507"/>
      <c r="F431" s="507"/>
      <c r="G431" s="675"/>
      <c r="H431" s="4"/>
      <c r="I431" s="5"/>
      <c r="J431" s="593"/>
      <c r="K431" s="507"/>
      <c r="L431" s="507"/>
      <c r="M431" s="507"/>
      <c r="N431" s="507"/>
      <c r="O431" s="507"/>
      <c r="P431" s="507"/>
      <c r="Q431" s="507"/>
      <c r="R431" s="507"/>
      <c r="S431" s="507"/>
      <c r="T431" s="507"/>
      <c r="U431" s="507"/>
      <c r="V431" s="507"/>
      <c r="W431" s="507"/>
    </row>
    <row r="432" ht="35.25" customHeight="1">
      <c r="A432" s="18"/>
      <c r="B432" s="671" t="s">
        <v>57</v>
      </c>
      <c r="C432" s="593">
        <v>1.76729E7</v>
      </c>
      <c r="D432" s="18"/>
      <c r="E432" s="507"/>
      <c r="F432" s="507"/>
      <c r="G432" s="507"/>
      <c r="H432" s="507"/>
      <c r="I432" s="507"/>
      <c r="J432" s="507"/>
      <c r="K432" s="507"/>
      <c r="L432" s="507"/>
      <c r="M432" s="507"/>
      <c r="N432" s="507"/>
      <c r="O432" s="507"/>
      <c r="P432" s="507"/>
      <c r="Q432" s="507"/>
      <c r="R432" s="507"/>
      <c r="S432" s="507"/>
      <c r="T432" s="507"/>
      <c r="U432" s="507"/>
      <c r="V432" s="507"/>
      <c r="W432" s="507"/>
    </row>
    <row r="433" ht="35.25" customHeight="1">
      <c r="A433" s="18"/>
      <c r="B433" s="547" t="s">
        <v>693</v>
      </c>
      <c r="C433" s="659">
        <v>2.48484E7</v>
      </c>
      <c r="D433" s="18"/>
      <c r="E433" s="507"/>
      <c r="F433" s="507"/>
      <c r="G433" s="507"/>
      <c r="H433" s="507"/>
      <c r="I433" s="507"/>
      <c r="J433" s="507"/>
      <c r="K433" s="507"/>
      <c r="L433" s="507"/>
      <c r="M433" s="507"/>
      <c r="N433" s="507"/>
      <c r="O433" s="507"/>
      <c r="P433" s="507"/>
      <c r="Q433" s="507"/>
      <c r="R433" s="507"/>
      <c r="S433" s="507"/>
      <c r="T433" s="507"/>
      <c r="U433" s="507"/>
      <c r="V433" s="507"/>
      <c r="W433" s="507"/>
    </row>
    <row r="434" ht="35.25" customHeight="1">
      <c r="A434" s="22"/>
      <c r="B434" s="157"/>
      <c r="C434" s="157"/>
      <c r="D434" s="22"/>
      <c r="E434" s="507"/>
      <c r="F434" s="507"/>
      <c r="G434" s="507"/>
      <c r="H434" s="507"/>
      <c r="I434" s="507"/>
      <c r="J434" s="507"/>
      <c r="K434" s="507"/>
      <c r="L434" s="507"/>
      <c r="M434" s="507"/>
      <c r="N434" s="507"/>
      <c r="O434" s="507"/>
      <c r="P434" s="507"/>
      <c r="Q434" s="507"/>
      <c r="R434" s="507"/>
      <c r="S434" s="507"/>
      <c r="T434" s="507"/>
      <c r="U434" s="507"/>
      <c r="V434" s="507"/>
      <c r="W434" s="507"/>
    </row>
    <row r="435" ht="35.25" customHeight="1">
      <c r="A435" s="655" t="s">
        <v>172</v>
      </c>
      <c r="B435" s="547" t="s">
        <v>73</v>
      </c>
      <c r="C435" s="515">
        <v>1.135599E8</v>
      </c>
      <c r="D435" s="657">
        <f>SUM(C435:C439)</f>
        <v>297903400</v>
      </c>
      <c r="E435" s="507"/>
      <c r="F435" s="556"/>
      <c r="G435" s="507"/>
      <c r="H435" s="507"/>
      <c r="I435" s="507"/>
      <c r="J435" s="507"/>
      <c r="K435" s="507"/>
      <c r="L435" s="507"/>
      <c r="M435" s="507"/>
      <c r="N435" s="507"/>
      <c r="O435" s="507"/>
      <c r="P435" s="507"/>
      <c r="Q435" s="507"/>
      <c r="R435" s="507"/>
      <c r="S435" s="507"/>
      <c r="T435" s="507"/>
      <c r="U435" s="507"/>
      <c r="V435" s="507"/>
      <c r="W435" s="507"/>
    </row>
    <row r="436" ht="35.25" customHeight="1">
      <c r="A436" s="18"/>
      <c r="B436" s="547" t="s">
        <v>51</v>
      </c>
      <c r="C436" s="515">
        <v>4.2349E7</v>
      </c>
      <c r="D436" s="18"/>
      <c r="E436" s="525"/>
      <c r="F436" s="507"/>
      <c r="G436" s="507"/>
      <c r="H436" s="507"/>
      <c r="I436" s="507"/>
      <c r="J436" s="507"/>
      <c r="K436" s="507"/>
      <c r="L436" s="507"/>
      <c r="M436" s="507"/>
      <c r="N436" s="507"/>
      <c r="O436" s="507"/>
      <c r="P436" s="507"/>
      <c r="Q436" s="507"/>
      <c r="R436" s="507"/>
      <c r="S436" s="507"/>
      <c r="T436" s="507"/>
      <c r="U436" s="507"/>
      <c r="V436" s="507"/>
      <c r="W436" s="507"/>
    </row>
    <row r="437" ht="35.25" customHeight="1">
      <c r="A437" s="18"/>
      <c r="B437" s="524" t="s">
        <v>53</v>
      </c>
      <c r="C437" s="515">
        <v>3.8294E7</v>
      </c>
      <c r="D437" s="18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  <c r="O437" s="507"/>
      <c r="P437" s="507"/>
      <c r="Q437" s="507"/>
      <c r="R437" s="507"/>
      <c r="S437" s="507"/>
      <c r="T437" s="507"/>
      <c r="U437" s="507"/>
      <c r="V437" s="507"/>
      <c r="W437" s="507"/>
    </row>
    <row r="438" ht="35.25" customHeight="1">
      <c r="A438" s="18"/>
      <c r="B438" s="614" t="s">
        <v>55</v>
      </c>
      <c r="C438" s="515">
        <v>6.26705E7</v>
      </c>
      <c r="D438" s="18"/>
      <c r="E438" s="525"/>
      <c r="F438" s="507"/>
      <c r="G438" s="507"/>
      <c r="H438" s="507"/>
      <c r="I438" s="507"/>
      <c r="J438" s="507"/>
      <c r="K438" s="507"/>
      <c r="L438" s="507"/>
      <c r="M438" s="507"/>
      <c r="N438" s="507"/>
      <c r="O438" s="507"/>
      <c r="P438" s="507"/>
      <c r="Q438" s="507"/>
      <c r="R438" s="507"/>
      <c r="S438" s="507"/>
      <c r="T438" s="507"/>
      <c r="U438" s="507"/>
      <c r="V438" s="507"/>
      <c r="W438" s="507"/>
    </row>
    <row r="439" ht="35.25" customHeight="1">
      <c r="A439" s="22"/>
      <c r="B439" s="671" t="s">
        <v>57</v>
      </c>
      <c r="C439" s="515">
        <v>4.103E7</v>
      </c>
      <c r="D439" s="22"/>
      <c r="E439" s="525"/>
      <c r="F439" s="507"/>
      <c r="G439" s="507"/>
      <c r="H439" s="507"/>
      <c r="I439" s="507"/>
      <c r="J439" s="507"/>
      <c r="K439" s="507"/>
      <c r="L439" s="507"/>
      <c r="M439" s="507"/>
      <c r="N439" s="507"/>
      <c r="O439" s="507"/>
      <c r="P439" s="507"/>
      <c r="Q439" s="507"/>
      <c r="R439" s="507"/>
      <c r="S439" s="507"/>
      <c r="T439" s="507"/>
      <c r="U439" s="507"/>
      <c r="V439" s="507"/>
      <c r="W439" s="507"/>
    </row>
    <row r="440" ht="35.25" customHeight="1">
      <c r="A440" s="663" t="s">
        <v>178</v>
      </c>
      <c r="B440" s="547" t="s">
        <v>51</v>
      </c>
      <c r="C440" s="515">
        <v>1580000.0</v>
      </c>
      <c r="D440" s="657">
        <f>SUM(C440:C444)</f>
        <v>197936500</v>
      </c>
      <c r="E440" s="525"/>
      <c r="F440" s="507"/>
      <c r="G440" s="507"/>
      <c r="H440" s="507"/>
      <c r="I440" s="507"/>
      <c r="J440" s="507"/>
      <c r="K440" s="507"/>
      <c r="L440" s="507"/>
      <c r="M440" s="507"/>
      <c r="N440" s="507"/>
      <c r="O440" s="507"/>
      <c r="P440" s="507"/>
      <c r="Q440" s="507"/>
      <c r="R440" s="507"/>
      <c r="S440" s="507"/>
      <c r="T440" s="507"/>
      <c r="U440" s="507"/>
      <c r="V440" s="507"/>
      <c r="W440" s="507"/>
    </row>
    <row r="441" ht="35.25" customHeight="1">
      <c r="A441" s="18"/>
      <c r="B441" s="524" t="s">
        <v>53</v>
      </c>
      <c r="C441" s="515">
        <v>4.9187E7</v>
      </c>
      <c r="D441" s="18"/>
      <c r="E441" s="507"/>
      <c r="F441" s="507"/>
      <c r="G441" s="507"/>
      <c r="H441" s="507"/>
      <c r="I441" s="507"/>
      <c r="J441" s="507"/>
      <c r="K441" s="507"/>
      <c r="L441" s="507"/>
      <c r="M441" s="507"/>
      <c r="N441" s="507"/>
      <c r="O441" s="507"/>
      <c r="P441" s="507"/>
      <c r="Q441" s="507"/>
      <c r="R441" s="507"/>
      <c r="S441" s="507"/>
      <c r="T441" s="507"/>
      <c r="U441" s="507"/>
      <c r="V441" s="507"/>
      <c r="W441" s="507"/>
    </row>
    <row r="442" ht="35.25" customHeight="1">
      <c r="A442" s="18"/>
      <c r="B442" s="614" t="s">
        <v>55</v>
      </c>
      <c r="C442" s="515">
        <v>5.4439E7</v>
      </c>
      <c r="D442" s="18"/>
      <c r="E442" s="507"/>
      <c r="F442" s="507"/>
      <c r="G442" s="507"/>
      <c r="H442" s="507"/>
      <c r="I442" s="507"/>
      <c r="J442" s="507"/>
      <c r="K442" s="507"/>
      <c r="L442" s="507"/>
      <c r="M442" s="507"/>
      <c r="N442" s="507"/>
      <c r="O442" s="507"/>
      <c r="P442" s="507"/>
      <c r="Q442" s="507"/>
      <c r="R442" s="507"/>
      <c r="S442" s="507"/>
      <c r="T442" s="507"/>
      <c r="U442" s="507"/>
      <c r="V442" s="507"/>
      <c r="W442" s="507"/>
    </row>
    <row r="443" ht="35.25" customHeight="1">
      <c r="A443" s="18"/>
      <c r="B443" s="671" t="s">
        <v>57</v>
      </c>
      <c r="C443" s="515">
        <v>5.13525E7</v>
      </c>
      <c r="D443" s="18"/>
      <c r="E443" s="507"/>
      <c r="F443" s="507"/>
      <c r="G443" s="507"/>
      <c r="H443" s="507"/>
      <c r="I443" s="507"/>
      <c r="J443" s="507"/>
      <c r="K443" s="507"/>
      <c r="L443" s="507"/>
      <c r="M443" s="507"/>
      <c r="N443" s="507"/>
      <c r="O443" s="507"/>
      <c r="P443" s="507"/>
      <c r="Q443" s="507"/>
      <c r="R443" s="507"/>
      <c r="S443" s="507"/>
      <c r="T443" s="507"/>
      <c r="U443" s="507"/>
      <c r="V443" s="507"/>
      <c r="W443" s="507"/>
    </row>
    <row r="444" ht="35.25" customHeight="1">
      <c r="A444" s="22"/>
      <c r="B444" s="547" t="s">
        <v>693</v>
      </c>
      <c r="C444" s="659">
        <v>4.1378E7</v>
      </c>
      <c r="D444" s="22"/>
      <c r="E444" s="507"/>
      <c r="F444" s="507"/>
      <c r="G444" s="507"/>
      <c r="H444" s="507"/>
      <c r="I444" s="507"/>
      <c r="J444" s="507"/>
      <c r="K444" s="507"/>
      <c r="L444" s="507"/>
      <c r="M444" s="507"/>
      <c r="N444" s="507"/>
      <c r="O444" s="507"/>
      <c r="P444" s="507"/>
      <c r="Q444" s="507"/>
      <c r="R444" s="507"/>
      <c r="S444" s="507"/>
      <c r="T444" s="507"/>
      <c r="U444" s="507"/>
      <c r="V444" s="507"/>
      <c r="W444" s="507"/>
    </row>
    <row r="445" ht="35.25" customHeight="1">
      <c r="A445" s="663" t="s">
        <v>182</v>
      </c>
      <c r="B445" s="547" t="s">
        <v>73</v>
      </c>
      <c r="C445" s="515">
        <f>SUM(74732200-9034200-25000000)</f>
        <v>40698000</v>
      </c>
      <c r="D445" s="653">
        <f>SUM(C445:C450)</f>
        <v>133807000</v>
      </c>
      <c r="E445" s="507"/>
      <c r="F445" s="507"/>
      <c r="G445" s="507"/>
      <c r="H445" s="507"/>
      <c r="I445" s="507"/>
      <c r="J445" s="507"/>
      <c r="K445" s="507"/>
      <c r="L445" s="507"/>
      <c r="M445" s="507"/>
      <c r="N445" s="507"/>
      <c r="O445" s="507"/>
      <c r="P445" s="507"/>
      <c r="Q445" s="507"/>
      <c r="R445" s="507"/>
      <c r="S445" s="507"/>
      <c r="T445" s="507"/>
      <c r="U445" s="507"/>
      <c r="V445" s="507"/>
      <c r="W445" s="507"/>
    </row>
    <row r="446" ht="35.25" customHeight="1">
      <c r="A446" s="18"/>
      <c r="B446" s="547" t="s">
        <v>51</v>
      </c>
      <c r="C446" s="515">
        <v>2.2234E7</v>
      </c>
      <c r="D446" s="18"/>
      <c r="E446" s="507"/>
      <c r="F446" s="507"/>
      <c r="G446" s="507"/>
      <c r="H446" s="507"/>
      <c r="I446" s="507"/>
      <c r="J446" s="507"/>
      <c r="K446" s="507"/>
      <c r="L446" s="507"/>
      <c r="M446" s="507"/>
      <c r="N446" s="507"/>
      <c r="O446" s="507"/>
      <c r="P446" s="507"/>
      <c r="Q446" s="507"/>
      <c r="R446" s="507"/>
      <c r="S446" s="507"/>
      <c r="T446" s="507"/>
      <c r="U446" s="507"/>
      <c r="V446" s="507"/>
      <c r="W446" s="507"/>
    </row>
    <row r="447" ht="35.25" customHeight="1">
      <c r="A447" s="18"/>
      <c r="B447" s="524" t="s">
        <v>53</v>
      </c>
      <c r="C447" s="515">
        <v>1.6766E7</v>
      </c>
      <c r="D447" s="18"/>
      <c r="E447" s="507"/>
      <c r="F447" s="507"/>
      <c r="G447" s="507"/>
      <c r="H447" s="507"/>
      <c r="I447" s="507"/>
      <c r="J447" s="507"/>
      <c r="K447" s="507"/>
      <c r="L447" s="507"/>
      <c r="M447" s="507"/>
      <c r="N447" s="507"/>
      <c r="O447" s="507"/>
      <c r="P447" s="507"/>
      <c r="Q447" s="507"/>
      <c r="R447" s="507"/>
      <c r="S447" s="507"/>
      <c r="T447" s="507"/>
      <c r="U447" s="507"/>
      <c r="V447" s="507"/>
      <c r="W447" s="507"/>
    </row>
    <row r="448" ht="35.25" customHeight="1">
      <c r="A448" s="18"/>
      <c r="B448" s="614" t="s">
        <v>55</v>
      </c>
      <c r="C448" s="515">
        <v>1.6298E7</v>
      </c>
      <c r="D448" s="18"/>
      <c r="E448" s="507"/>
      <c r="F448" s="507"/>
      <c r="G448" s="507"/>
      <c r="H448" s="507"/>
      <c r="I448" s="507"/>
      <c r="J448" s="507"/>
      <c r="K448" s="507"/>
      <c r="L448" s="507"/>
      <c r="M448" s="507"/>
      <c r="N448" s="507"/>
      <c r="O448" s="507"/>
      <c r="P448" s="507"/>
      <c r="Q448" s="507"/>
      <c r="R448" s="507"/>
      <c r="S448" s="507"/>
      <c r="T448" s="507"/>
      <c r="U448" s="507"/>
      <c r="V448" s="507"/>
      <c r="W448" s="507"/>
    </row>
    <row r="449" ht="35.25" customHeight="1">
      <c r="A449" s="18"/>
      <c r="B449" s="671" t="s">
        <v>57</v>
      </c>
      <c r="C449" s="515">
        <v>2.1259E7</v>
      </c>
      <c r="D449" s="18"/>
      <c r="E449" s="507"/>
      <c r="F449" s="507"/>
      <c r="G449" s="507"/>
      <c r="H449" s="507"/>
      <c r="I449" s="507"/>
      <c r="J449" s="507"/>
      <c r="K449" s="507"/>
      <c r="L449" s="507"/>
      <c r="M449" s="507"/>
      <c r="N449" s="507"/>
      <c r="O449" s="507"/>
      <c r="P449" s="507"/>
      <c r="Q449" s="507"/>
      <c r="R449" s="507"/>
      <c r="S449" s="507"/>
      <c r="T449" s="507"/>
      <c r="U449" s="507"/>
      <c r="V449" s="507"/>
      <c r="W449" s="507"/>
    </row>
    <row r="450" ht="35.25" customHeight="1">
      <c r="A450" s="22"/>
      <c r="B450" s="547" t="s">
        <v>693</v>
      </c>
      <c r="C450" s="659">
        <v>1.6552E7</v>
      </c>
      <c r="D450" s="22"/>
      <c r="E450" s="507"/>
      <c r="F450" s="507"/>
      <c r="G450" s="507"/>
      <c r="H450" s="507"/>
      <c r="I450" s="507"/>
      <c r="J450" s="507"/>
      <c r="K450" s="507"/>
      <c r="L450" s="507"/>
      <c r="M450" s="507"/>
      <c r="N450" s="507"/>
      <c r="O450" s="507"/>
      <c r="P450" s="507"/>
      <c r="Q450" s="507"/>
      <c r="R450" s="507"/>
      <c r="S450" s="507"/>
      <c r="T450" s="507"/>
      <c r="U450" s="507"/>
      <c r="V450" s="507"/>
      <c r="W450" s="507"/>
    </row>
    <row r="451" ht="35.25" customHeight="1">
      <c r="A451" s="655" t="s">
        <v>184</v>
      </c>
      <c r="B451" s="547" t="s">
        <v>72</v>
      </c>
      <c r="C451" s="515">
        <f>SUM(48236500-44153000)</f>
        <v>4083500</v>
      </c>
      <c r="D451" s="653">
        <f>sum(C451:C455)</f>
        <v>198876000</v>
      </c>
      <c r="E451" s="507"/>
      <c r="F451" s="507"/>
      <c r="G451" s="507"/>
      <c r="H451" s="507"/>
      <c r="I451" s="507"/>
      <c r="J451" s="507"/>
      <c r="K451" s="507"/>
      <c r="L451" s="507"/>
      <c r="M451" s="507"/>
      <c r="N451" s="507"/>
      <c r="O451" s="507"/>
      <c r="P451" s="507"/>
      <c r="Q451" s="507"/>
      <c r="R451" s="507"/>
      <c r="S451" s="507"/>
      <c r="T451" s="507"/>
      <c r="U451" s="507"/>
      <c r="V451" s="507"/>
      <c r="W451" s="507"/>
    </row>
    <row r="452" ht="35.25" customHeight="1">
      <c r="A452" s="18"/>
      <c r="B452" s="547" t="s">
        <v>73</v>
      </c>
      <c r="C452" s="515">
        <v>8.64605E7</v>
      </c>
      <c r="D452" s="18"/>
      <c r="E452" s="507"/>
      <c r="F452" s="507"/>
      <c r="G452" s="507"/>
      <c r="H452" s="507"/>
      <c r="I452" s="507"/>
      <c r="J452" s="507"/>
      <c r="K452" s="507"/>
      <c r="L452" s="507"/>
      <c r="M452" s="507"/>
      <c r="N452" s="507"/>
      <c r="O452" s="507"/>
      <c r="P452" s="507"/>
      <c r="Q452" s="507"/>
      <c r="R452" s="507"/>
      <c r="S452" s="507"/>
      <c r="T452" s="507"/>
      <c r="U452" s="507"/>
      <c r="V452" s="507"/>
      <c r="W452" s="507"/>
    </row>
    <row r="453" ht="35.25" customHeight="1">
      <c r="A453" s="18"/>
      <c r="B453" s="547" t="s">
        <v>51</v>
      </c>
      <c r="C453" s="515">
        <v>4.45245E7</v>
      </c>
      <c r="D453" s="18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07"/>
      <c r="W453" s="507"/>
    </row>
    <row r="454" ht="35.25" customHeight="1">
      <c r="A454" s="18"/>
      <c r="B454" s="671" t="s">
        <v>55</v>
      </c>
      <c r="C454" s="515">
        <v>3.31275E7</v>
      </c>
      <c r="D454" s="18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07"/>
      <c r="W454" s="507"/>
    </row>
    <row r="455" ht="35.25" customHeight="1">
      <c r="A455" s="18"/>
      <c r="B455" s="547" t="s">
        <v>693</v>
      </c>
      <c r="C455" s="515">
        <v>3.068E7</v>
      </c>
      <c r="D455" s="18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507"/>
      <c r="W455" s="507"/>
    </row>
    <row r="456" ht="35.25" customHeight="1">
      <c r="A456" s="22"/>
      <c r="D456" s="22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07"/>
      <c r="W456" s="507"/>
    </row>
    <row r="457" ht="35.25" customHeight="1">
      <c r="A457" s="655" t="s">
        <v>188</v>
      </c>
      <c r="B457" s="547" t="s">
        <v>51</v>
      </c>
      <c r="C457" s="593" t="s">
        <v>684</v>
      </c>
      <c r="D457" s="653">
        <f>SUM(C457:C460)</f>
        <v>46256500</v>
      </c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507"/>
      <c r="W457" s="507"/>
    </row>
    <row r="458" ht="35.25" customHeight="1">
      <c r="A458" s="18"/>
      <c r="B458" s="524" t="s">
        <v>53</v>
      </c>
      <c r="C458" s="593" t="s">
        <v>684</v>
      </c>
      <c r="D458" s="18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07"/>
      <c r="W458" s="507"/>
    </row>
    <row r="459" ht="35.25" customHeight="1">
      <c r="A459" s="18"/>
      <c r="B459" s="614" t="s">
        <v>55</v>
      </c>
      <c r="C459" s="593" t="s">
        <v>684</v>
      </c>
      <c r="D459" s="18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07"/>
      <c r="W459" s="507"/>
    </row>
    <row r="460" ht="35.25" customHeight="1">
      <c r="A460" s="22"/>
      <c r="B460" s="671" t="s">
        <v>57</v>
      </c>
      <c r="C460" s="515">
        <v>4.62565E7</v>
      </c>
      <c r="D460" s="22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507"/>
      <c r="W460" s="507"/>
    </row>
    <row r="461" ht="35.25" customHeight="1">
      <c r="A461" s="655" t="s">
        <v>190</v>
      </c>
      <c r="B461" s="547" t="s">
        <v>696</v>
      </c>
      <c r="C461" s="515">
        <f>SUM(174150000-50000000)</f>
        <v>124150000</v>
      </c>
      <c r="D461" s="653">
        <f>SUM(C461:C466)</f>
        <v>502169000</v>
      </c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507"/>
      <c r="V461" s="507"/>
      <c r="W461" s="507"/>
    </row>
    <row r="462" ht="35.25" customHeight="1">
      <c r="A462" s="18"/>
      <c r="B462" s="547" t="s">
        <v>73</v>
      </c>
      <c r="C462" s="515">
        <v>1.91744E8</v>
      </c>
      <c r="D462" s="18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507"/>
      <c r="V462" s="507"/>
      <c r="W462" s="507"/>
    </row>
    <row r="463" ht="35.25" customHeight="1">
      <c r="A463" s="18"/>
      <c r="B463" s="547" t="s">
        <v>51</v>
      </c>
      <c r="C463" s="515">
        <v>4.89735E7</v>
      </c>
      <c r="D463" s="18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507"/>
      <c r="V463" s="507"/>
      <c r="W463" s="507"/>
    </row>
    <row r="464" ht="35.25" customHeight="1">
      <c r="A464" s="18"/>
      <c r="B464" s="524" t="s">
        <v>53</v>
      </c>
      <c r="C464" s="515">
        <v>4.52775E7</v>
      </c>
      <c r="D464" s="18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507"/>
      <c r="V464" s="507"/>
      <c r="W464" s="507"/>
    </row>
    <row r="465" ht="35.25" customHeight="1">
      <c r="A465" s="18"/>
      <c r="B465" s="614" t="s">
        <v>55</v>
      </c>
      <c r="C465" s="515">
        <v>3.69065E7</v>
      </c>
      <c r="D465" s="18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07"/>
      <c r="W465" s="507"/>
    </row>
    <row r="466" ht="35.25" customHeight="1">
      <c r="A466" s="22"/>
      <c r="B466" s="671" t="s">
        <v>57</v>
      </c>
      <c r="C466" s="515">
        <v>5.51175E7</v>
      </c>
      <c r="D466" s="22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507"/>
      <c r="W466" s="507"/>
    </row>
    <row r="467" ht="35.25" customHeight="1">
      <c r="A467" s="663" t="s">
        <v>192</v>
      </c>
      <c r="B467" s="547" t="s">
        <v>88</v>
      </c>
      <c r="C467" s="593" t="s">
        <v>684</v>
      </c>
      <c r="D467" s="653">
        <f>SUM(C467:C471)</f>
        <v>70091500</v>
      </c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07"/>
      <c r="W467" s="507"/>
    </row>
    <row r="468" ht="35.25" customHeight="1">
      <c r="A468" s="18"/>
      <c r="B468" s="547" t="s">
        <v>219</v>
      </c>
      <c r="C468" s="593" t="s">
        <v>684</v>
      </c>
      <c r="D468" s="18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507"/>
      <c r="W468" s="507"/>
    </row>
    <row r="469" ht="35.25" customHeight="1">
      <c r="A469" s="18"/>
      <c r="B469" s="547" t="s">
        <v>89</v>
      </c>
      <c r="C469" s="593" t="s">
        <v>684</v>
      </c>
      <c r="D469" s="18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07"/>
      <c r="W469" s="507"/>
    </row>
    <row r="470" ht="35.25" customHeight="1">
      <c r="A470" s="18"/>
      <c r="B470" s="547" t="s">
        <v>220</v>
      </c>
      <c r="C470" s="515">
        <v>6.12465E7</v>
      </c>
      <c r="D470" s="18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07"/>
      <c r="W470" s="507"/>
    </row>
    <row r="471" ht="35.25" customHeight="1">
      <c r="A471" s="22"/>
      <c r="B471" s="547" t="s">
        <v>697</v>
      </c>
      <c r="C471" s="515">
        <v>8845000.0</v>
      </c>
      <c r="D471" s="22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07"/>
      <c r="W471" s="507"/>
    </row>
    <row r="472" ht="35.25" customHeight="1">
      <c r="A472" s="655" t="s">
        <v>196</v>
      </c>
      <c r="B472" s="547" t="s">
        <v>88</v>
      </c>
      <c r="C472" s="593" t="s">
        <v>684</v>
      </c>
      <c r="D472" s="653">
        <f>SUM(C472:C475)</f>
        <v>37428500</v>
      </c>
      <c r="E472" s="507"/>
      <c r="F472" s="507"/>
      <c r="G472" s="507"/>
      <c r="H472" s="507"/>
      <c r="I472" s="507"/>
      <c r="J472" s="507"/>
      <c r="K472" s="507"/>
      <c r="L472" s="525">
        <f>69.5*30000</f>
        <v>2085000</v>
      </c>
      <c r="M472" s="507"/>
      <c r="N472" s="507"/>
      <c r="O472" s="507"/>
      <c r="P472" s="507"/>
      <c r="Q472" s="507"/>
      <c r="R472" s="507"/>
      <c r="S472" s="507"/>
      <c r="T472" s="507"/>
      <c r="U472" s="507"/>
      <c r="V472" s="507"/>
      <c r="W472" s="507"/>
    </row>
    <row r="473" ht="35.25" customHeight="1">
      <c r="A473" s="18"/>
      <c r="B473" s="547" t="s">
        <v>219</v>
      </c>
      <c r="C473" s="593" t="s">
        <v>684</v>
      </c>
      <c r="D473" s="18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07"/>
      <c r="W473" s="507"/>
    </row>
    <row r="474" ht="35.25" customHeight="1">
      <c r="A474" s="18"/>
      <c r="B474" s="547" t="s">
        <v>89</v>
      </c>
      <c r="C474" s="593" t="s">
        <v>684</v>
      </c>
      <c r="D474" s="18"/>
      <c r="E474" s="556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07"/>
      <c r="W474" s="507"/>
    </row>
    <row r="475" ht="35.25" customHeight="1">
      <c r="A475" s="22"/>
      <c r="B475" s="593" t="s">
        <v>220</v>
      </c>
      <c r="C475" s="593">
        <v>3.74285E7</v>
      </c>
      <c r="D475" s="22"/>
      <c r="E475" s="556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07"/>
      <c r="W475" s="507"/>
    </row>
    <row r="476" ht="35.25" customHeight="1">
      <c r="A476" s="655" t="s">
        <v>200</v>
      </c>
      <c r="B476" s="547" t="s">
        <v>88</v>
      </c>
      <c r="C476" s="593">
        <v>3.39935E7</v>
      </c>
      <c r="D476" s="657">
        <f>SUM(C476:C479)</f>
        <v>175245500</v>
      </c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07"/>
      <c r="W476" s="507"/>
    </row>
    <row r="477" ht="35.25" customHeight="1">
      <c r="A477" s="18"/>
      <c r="B477" s="547" t="s">
        <v>219</v>
      </c>
      <c r="C477" s="593">
        <v>3.2363E7</v>
      </c>
      <c r="D477" s="18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07"/>
      <c r="W477" s="507"/>
    </row>
    <row r="478" ht="35.25" customHeight="1">
      <c r="A478" s="18"/>
      <c r="B478" s="547" t="s">
        <v>89</v>
      </c>
      <c r="C478" s="593">
        <v>4.23715E7</v>
      </c>
      <c r="D478" s="18"/>
      <c r="E478" s="507"/>
      <c r="F478" s="507"/>
      <c r="G478" s="507"/>
      <c r="H478" s="507"/>
      <c r="I478" s="507"/>
      <c r="J478" s="507"/>
      <c r="K478" s="67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07"/>
      <c r="W478" s="507"/>
    </row>
    <row r="479" ht="35.25" customHeight="1">
      <c r="A479" s="18"/>
      <c r="B479" s="547" t="s">
        <v>220</v>
      </c>
      <c r="C479" s="593">
        <v>6.65175E7</v>
      </c>
      <c r="D479" s="18"/>
      <c r="E479" s="668" t="s">
        <v>698</v>
      </c>
      <c r="F479" s="507"/>
      <c r="G479" s="507"/>
      <c r="H479" s="507"/>
      <c r="I479" s="507"/>
      <c r="J479" s="507"/>
      <c r="K479" s="67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07"/>
      <c r="W479" s="507"/>
    </row>
    <row r="480" ht="35.25" customHeight="1">
      <c r="A480" s="663" t="s">
        <v>367</v>
      </c>
      <c r="B480" s="547" t="s">
        <v>88</v>
      </c>
      <c r="C480" s="593">
        <v>6.77877E7</v>
      </c>
      <c r="D480" s="657">
        <f>sum(C480:C484)</f>
        <v>328860600</v>
      </c>
      <c r="E480" s="507"/>
      <c r="F480" s="556"/>
      <c r="G480" s="507"/>
      <c r="H480" s="507"/>
      <c r="I480" s="507"/>
      <c r="J480" s="507"/>
      <c r="K480" s="678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507"/>
      <c r="W480" s="507"/>
    </row>
    <row r="481" ht="35.25" customHeight="1">
      <c r="A481" s="18"/>
      <c r="B481" s="547" t="s">
        <v>219</v>
      </c>
      <c r="C481" s="593">
        <v>7.68248E7</v>
      </c>
      <c r="D481" s="18"/>
      <c r="E481" s="507"/>
      <c r="F481" s="556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507"/>
      <c r="W481" s="507"/>
    </row>
    <row r="482" ht="35.25" customHeight="1">
      <c r="A482" s="18"/>
      <c r="B482" s="547" t="s">
        <v>89</v>
      </c>
      <c r="C482" s="593">
        <v>5.72009E7</v>
      </c>
      <c r="D482" s="18"/>
      <c r="E482" s="507"/>
      <c r="F482" s="556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507"/>
      <c r="W482" s="507"/>
    </row>
    <row r="483" ht="35.25" customHeight="1">
      <c r="A483" s="18"/>
      <c r="B483" s="547" t="s">
        <v>220</v>
      </c>
      <c r="C483" s="593">
        <v>7.4982E7</v>
      </c>
      <c r="D483" s="18"/>
      <c r="E483" s="507"/>
      <c r="F483" s="556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507"/>
      <c r="W483" s="507"/>
    </row>
    <row r="484" ht="35.25" customHeight="1">
      <c r="A484" s="18"/>
      <c r="B484" s="547" t="s">
        <v>697</v>
      </c>
      <c r="C484" s="593">
        <v>5.20652E7</v>
      </c>
      <c r="D484" s="18"/>
      <c r="E484" s="507"/>
      <c r="F484" s="556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507"/>
      <c r="W484" s="507"/>
    </row>
    <row r="485" ht="35.25" customHeight="1">
      <c r="A485" s="655" t="s">
        <v>202</v>
      </c>
      <c r="B485" s="547" t="s">
        <v>72</v>
      </c>
      <c r="C485" s="593">
        <f>sum(253553500-50000000-100000000)</f>
        <v>103553500</v>
      </c>
      <c r="D485" s="653">
        <f>SUM(C485:C491)</f>
        <v>715835800</v>
      </c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507"/>
      <c r="W485" s="507"/>
    </row>
    <row r="486" ht="35.25" customHeight="1">
      <c r="A486" s="18"/>
      <c r="B486" s="547" t="s">
        <v>73</v>
      </c>
      <c r="C486" s="593">
        <v>2.816223E8</v>
      </c>
      <c r="D486" s="18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507"/>
      <c r="W486" s="507"/>
    </row>
    <row r="487" ht="35.25" customHeight="1">
      <c r="A487" s="18"/>
      <c r="B487" s="547" t="s">
        <v>88</v>
      </c>
      <c r="C487" s="593">
        <v>5.6682E7</v>
      </c>
      <c r="D487" s="18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507"/>
      <c r="W487" s="507"/>
    </row>
    <row r="488" ht="35.25" customHeight="1">
      <c r="A488" s="18"/>
      <c r="B488" s="547" t="s">
        <v>219</v>
      </c>
      <c r="C488" s="593">
        <v>6.1481E7</v>
      </c>
      <c r="D488" s="18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507"/>
      <c r="W488" s="507"/>
    </row>
    <row r="489" ht="35.25" customHeight="1">
      <c r="A489" s="18"/>
      <c r="B489" s="547" t="s">
        <v>89</v>
      </c>
      <c r="C489" s="593">
        <v>7.9877E7</v>
      </c>
      <c r="D489" s="18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507"/>
      <c r="W489" s="507"/>
    </row>
    <row r="490" ht="35.25" customHeight="1">
      <c r="A490" s="18"/>
      <c r="B490" s="547" t="s">
        <v>220</v>
      </c>
      <c r="C490" s="593">
        <v>7.3152E7</v>
      </c>
      <c r="D490" s="18"/>
      <c r="E490" s="507"/>
      <c r="F490" s="556"/>
      <c r="G490" s="556"/>
      <c r="H490" s="556"/>
      <c r="I490" s="507"/>
      <c r="J490" s="507"/>
      <c r="K490" s="507"/>
      <c r="L490" s="507"/>
      <c r="M490" s="507"/>
      <c r="N490" s="507"/>
      <c r="O490" s="507"/>
      <c r="P490" s="507"/>
      <c r="Q490" s="507"/>
      <c r="R490" s="507"/>
      <c r="S490" s="507"/>
      <c r="T490" s="507"/>
      <c r="U490" s="507"/>
      <c r="V490" s="507"/>
      <c r="W490" s="507"/>
    </row>
    <row r="491" ht="35.25" customHeight="1">
      <c r="A491" s="22"/>
      <c r="B491" s="547" t="s">
        <v>697</v>
      </c>
      <c r="C491" s="593">
        <v>5.9468E7</v>
      </c>
      <c r="D491" s="22"/>
      <c r="E491" s="507"/>
      <c r="F491" s="556"/>
      <c r="G491" s="556"/>
      <c r="H491" s="556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07"/>
      <c r="W491" s="507"/>
    </row>
    <row r="492" ht="35.25" customHeight="1">
      <c r="A492" s="655" t="s">
        <v>205</v>
      </c>
      <c r="B492" s="547" t="s">
        <v>699</v>
      </c>
      <c r="C492" s="593" t="s">
        <v>684</v>
      </c>
      <c r="D492" s="657">
        <f>sum(C492:C496)</f>
        <v>52564400</v>
      </c>
      <c r="E492" s="507"/>
      <c r="F492" s="556"/>
      <c r="G492" s="556"/>
      <c r="H492" s="556"/>
      <c r="I492" s="507"/>
      <c r="J492" s="507"/>
      <c r="K492" s="507"/>
      <c r="L492" s="507"/>
      <c r="M492" s="507"/>
      <c r="N492" s="507"/>
      <c r="O492" s="507"/>
      <c r="P492" s="507"/>
      <c r="Q492" s="507"/>
      <c r="R492" s="507"/>
      <c r="S492" s="507"/>
      <c r="T492" s="507"/>
      <c r="U492" s="507"/>
      <c r="V492" s="507"/>
      <c r="W492" s="507"/>
    </row>
    <row r="493" ht="35.25" customHeight="1">
      <c r="A493" s="18"/>
      <c r="B493" s="547" t="s">
        <v>219</v>
      </c>
      <c r="C493" s="593" t="s">
        <v>684</v>
      </c>
      <c r="D493" s="18"/>
      <c r="E493" s="507"/>
      <c r="F493" s="507"/>
      <c r="G493" s="507"/>
      <c r="H493" s="507"/>
      <c r="I493" s="507"/>
      <c r="J493" s="507"/>
      <c r="K493" s="507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</row>
    <row r="494" ht="35.25" customHeight="1">
      <c r="A494" s="18"/>
      <c r="B494" s="547" t="s">
        <v>89</v>
      </c>
      <c r="C494" s="593" t="s">
        <v>684</v>
      </c>
      <c r="D494" s="18"/>
      <c r="E494" s="507"/>
      <c r="F494" s="507"/>
      <c r="G494" s="507"/>
      <c r="H494" s="507"/>
      <c r="I494" s="507"/>
      <c r="J494" s="507"/>
      <c r="K494" s="507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</row>
    <row r="495" ht="35.25" customHeight="1">
      <c r="A495" s="18"/>
      <c r="B495" s="547" t="s">
        <v>220</v>
      </c>
      <c r="C495" s="593">
        <v>3.07389E7</v>
      </c>
      <c r="D495" s="18"/>
      <c r="E495" s="556"/>
      <c r="F495" s="507"/>
      <c r="G495" s="507"/>
      <c r="H495" s="507"/>
      <c r="I495" s="507"/>
      <c r="J495" s="507"/>
      <c r="K495" s="507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</row>
    <row r="496" ht="35.25" customHeight="1">
      <c r="A496" s="22"/>
      <c r="B496" s="547" t="s">
        <v>697</v>
      </c>
      <c r="C496" s="593">
        <v>2.18255E7</v>
      </c>
      <c r="D496" s="22"/>
      <c r="E496" s="556"/>
      <c r="F496" s="507"/>
      <c r="G496" s="507"/>
      <c r="H496" s="507"/>
      <c r="I496" s="507"/>
      <c r="J496" s="507"/>
      <c r="K496" s="507"/>
      <c r="L496" s="648"/>
      <c r="M496" s="648"/>
      <c r="N496" s="648"/>
      <c r="O496" s="648"/>
      <c r="P496" s="648"/>
      <c r="Q496" s="648"/>
      <c r="R496" s="648"/>
      <c r="S496" s="648"/>
      <c r="T496" s="648"/>
      <c r="U496" s="648"/>
      <c r="V496" s="648"/>
      <c r="W496" s="648"/>
    </row>
    <row r="497" ht="35.25" customHeight="1">
      <c r="A497" s="663" t="s">
        <v>290</v>
      </c>
      <c r="B497" s="547" t="s">
        <v>88</v>
      </c>
      <c r="C497" s="593" t="s">
        <v>684</v>
      </c>
      <c r="D497" s="653">
        <f>sum(C497:C500)</f>
        <v>206716000</v>
      </c>
      <c r="E497" s="556"/>
      <c r="F497" s="507"/>
      <c r="G497" s="507"/>
      <c r="H497" s="507"/>
      <c r="I497" s="507"/>
      <c r="J497" s="507"/>
      <c r="K497" s="507"/>
      <c r="L497" s="648"/>
      <c r="M497" s="648"/>
      <c r="N497" s="648"/>
      <c r="O497" s="648"/>
      <c r="P497" s="648"/>
      <c r="Q497" s="648"/>
      <c r="R497" s="648"/>
      <c r="S497" s="648"/>
      <c r="T497" s="648"/>
      <c r="U497" s="648"/>
      <c r="V497" s="648"/>
      <c r="W497" s="648"/>
    </row>
    <row r="498" ht="35.25" customHeight="1">
      <c r="A498" s="18"/>
      <c r="B498" s="547" t="s">
        <v>219</v>
      </c>
      <c r="C498" s="593">
        <v>6.62105E7</v>
      </c>
      <c r="D498" s="18"/>
      <c r="E498" s="556"/>
      <c r="F498" s="507"/>
      <c r="G498" s="507"/>
      <c r="H498" s="507"/>
      <c r="I498" s="507"/>
      <c r="J498" s="507"/>
      <c r="K498" s="507"/>
      <c r="L498" s="507"/>
      <c r="M498" s="507"/>
      <c r="N498" s="507"/>
      <c r="O498" s="507"/>
      <c r="P498" s="507"/>
      <c r="Q498" s="507"/>
      <c r="R498" s="507"/>
      <c r="S498" s="507"/>
      <c r="T498" s="507"/>
      <c r="U498" s="507"/>
      <c r="V498" s="507"/>
      <c r="W498" s="507"/>
    </row>
    <row r="499" ht="35.25" customHeight="1">
      <c r="A499" s="18"/>
      <c r="B499" s="547" t="s">
        <v>89</v>
      </c>
      <c r="C499" s="593">
        <v>7.23035E7</v>
      </c>
      <c r="D499" s="18"/>
      <c r="E499" s="556"/>
      <c r="F499" s="507"/>
      <c r="G499" s="556"/>
      <c r="H499" s="507"/>
      <c r="I499" s="507"/>
      <c r="J499" s="507"/>
      <c r="K499" s="507"/>
      <c r="L499" s="507"/>
      <c r="M499" s="507"/>
      <c r="N499" s="507"/>
      <c r="O499" s="507"/>
      <c r="P499" s="507"/>
      <c r="Q499" s="507"/>
      <c r="R499" s="507"/>
      <c r="S499" s="507"/>
      <c r="T499" s="507"/>
      <c r="U499" s="507"/>
      <c r="V499" s="507"/>
      <c r="W499" s="507"/>
    </row>
    <row r="500" ht="35.25" customHeight="1">
      <c r="A500" s="22"/>
      <c r="B500" s="547" t="s">
        <v>220</v>
      </c>
      <c r="C500" s="593">
        <v>6.8202E7</v>
      </c>
      <c r="D500" s="22"/>
      <c r="E500" s="556"/>
      <c r="F500" s="507"/>
      <c r="G500" s="556"/>
      <c r="H500" s="507"/>
      <c r="I500" s="507"/>
      <c r="J500" s="507"/>
      <c r="K500" s="507"/>
      <c r="L500" s="507"/>
      <c r="M500" s="507"/>
      <c r="N500" s="507"/>
      <c r="O500" s="507"/>
      <c r="P500" s="507"/>
      <c r="Q500" s="507"/>
      <c r="R500" s="507"/>
      <c r="S500" s="507"/>
      <c r="T500" s="507"/>
      <c r="U500" s="507"/>
      <c r="V500" s="507"/>
      <c r="W500" s="507"/>
    </row>
    <row r="501" ht="35.25" customHeight="1">
      <c r="A501" s="663" t="s">
        <v>292</v>
      </c>
      <c r="B501" s="547" t="s">
        <v>88</v>
      </c>
      <c r="C501" s="593" t="s">
        <v>684</v>
      </c>
      <c r="D501" s="653">
        <f>SUM(C501:C505)</f>
        <v>106087000</v>
      </c>
      <c r="E501" s="556"/>
      <c r="F501" s="556"/>
      <c r="G501" s="556"/>
      <c r="H501" s="556"/>
      <c r="I501" s="507"/>
      <c r="J501" s="507"/>
      <c r="K501" s="507"/>
      <c r="L501" s="507"/>
      <c r="M501" s="507"/>
      <c r="N501" s="507"/>
      <c r="O501" s="507"/>
      <c r="P501" s="507"/>
      <c r="Q501" s="507"/>
      <c r="R501" s="507"/>
      <c r="S501" s="507"/>
      <c r="T501" s="507"/>
      <c r="U501" s="507"/>
      <c r="V501" s="507"/>
      <c r="W501" s="507"/>
    </row>
    <row r="502" ht="35.25" customHeight="1">
      <c r="A502" s="18"/>
      <c r="B502" s="547" t="s">
        <v>219</v>
      </c>
      <c r="C502" s="593" t="s">
        <v>684</v>
      </c>
      <c r="D502" s="18"/>
      <c r="E502" s="556"/>
      <c r="F502" s="556"/>
      <c r="G502" s="556"/>
      <c r="H502" s="556"/>
      <c r="I502" s="507"/>
      <c r="J502" s="507"/>
      <c r="K502" s="507"/>
      <c r="L502" s="507"/>
      <c r="M502" s="507"/>
      <c r="N502" s="507"/>
      <c r="O502" s="507"/>
      <c r="P502" s="507"/>
      <c r="Q502" s="507"/>
      <c r="R502" s="507"/>
      <c r="S502" s="507"/>
      <c r="T502" s="507"/>
      <c r="U502" s="507"/>
      <c r="V502" s="507"/>
      <c r="W502" s="507"/>
    </row>
    <row r="503" ht="35.25" customHeight="1">
      <c r="A503" s="18"/>
      <c r="B503" s="547" t="s">
        <v>89</v>
      </c>
      <c r="C503" s="593" t="s">
        <v>684</v>
      </c>
      <c r="D503" s="18"/>
      <c r="E503" s="556"/>
      <c r="F503" s="556"/>
      <c r="G503" s="556"/>
      <c r="H503" s="556"/>
      <c r="I503" s="507"/>
      <c r="J503" s="507"/>
      <c r="K503" s="507"/>
      <c r="L503" s="507"/>
      <c r="M503" s="507"/>
      <c r="N503" s="507"/>
      <c r="O503" s="507"/>
      <c r="P503" s="507"/>
      <c r="Q503" s="507"/>
      <c r="R503" s="507"/>
      <c r="S503" s="507"/>
      <c r="T503" s="507"/>
      <c r="U503" s="507"/>
      <c r="V503" s="507"/>
      <c r="W503" s="507"/>
    </row>
    <row r="504" ht="35.25" customHeight="1">
      <c r="A504" s="18"/>
      <c r="B504" s="547" t="s">
        <v>220</v>
      </c>
      <c r="C504" s="593">
        <v>5.2663E7</v>
      </c>
      <c r="D504" s="18"/>
      <c r="E504" s="556"/>
      <c r="F504" s="556"/>
      <c r="G504" s="556"/>
      <c r="H504" s="556"/>
      <c r="I504" s="507"/>
      <c r="J504" s="507"/>
      <c r="K504" s="507"/>
      <c r="L504" s="507"/>
      <c r="M504" s="507"/>
      <c r="N504" s="507"/>
      <c r="O504" s="507"/>
      <c r="P504" s="507"/>
      <c r="Q504" s="507"/>
      <c r="R504" s="507"/>
      <c r="S504" s="507"/>
      <c r="T504" s="507"/>
      <c r="U504" s="507"/>
      <c r="V504" s="507"/>
      <c r="W504" s="507"/>
    </row>
    <row r="505" ht="35.25" customHeight="1">
      <c r="A505" s="22"/>
      <c r="B505" s="547" t="s">
        <v>697</v>
      </c>
      <c r="C505" s="593">
        <v>5.3424E7</v>
      </c>
      <c r="D505" s="22"/>
      <c r="E505" s="556"/>
      <c r="F505" s="556"/>
      <c r="G505" s="556"/>
      <c r="H505" s="556"/>
      <c r="I505" s="507"/>
      <c r="J505" s="507"/>
      <c r="K505" s="507"/>
      <c r="L505" s="507"/>
      <c r="M505" s="507"/>
      <c r="N505" s="507"/>
      <c r="O505" s="507"/>
      <c r="P505" s="507"/>
      <c r="Q505" s="507"/>
      <c r="R505" s="507"/>
      <c r="S505" s="507"/>
      <c r="T505" s="507"/>
      <c r="U505" s="507"/>
      <c r="V505" s="507"/>
      <c r="W505" s="507"/>
    </row>
    <row r="506" ht="35.25" customHeight="1">
      <c r="A506" s="663" t="s">
        <v>296</v>
      </c>
      <c r="B506" s="547" t="s">
        <v>88</v>
      </c>
      <c r="C506" s="593" t="s">
        <v>684</v>
      </c>
      <c r="D506" s="653">
        <f>SUM(C506:C510)</f>
        <v>74500000</v>
      </c>
      <c r="E506" s="556"/>
      <c r="F506" s="556"/>
      <c r="G506" s="556"/>
      <c r="H506" s="556"/>
      <c r="I506" s="507"/>
      <c r="J506" s="507"/>
      <c r="K506" s="507"/>
      <c r="L506" s="507"/>
      <c r="M506" s="507"/>
      <c r="N506" s="507"/>
      <c r="O506" s="507"/>
      <c r="P506" s="507"/>
      <c r="Q506" s="507"/>
      <c r="R506" s="507"/>
      <c r="S506" s="507"/>
      <c r="T506" s="507"/>
      <c r="U506" s="507"/>
      <c r="V506" s="507"/>
      <c r="W506" s="507"/>
    </row>
    <row r="507" ht="35.25" customHeight="1">
      <c r="A507" s="18"/>
      <c r="B507" s="547" t="s">
        <v>219</v>
      </c>
      <c r="C507" s="593" t="s">
        <v>684</v>
      </c>
      <c r="D507" s="18"/>
      <c r="E507" s="507"/>
      <c r="F507" s="507"/>
      <c r="G507" s="507"/>
      <c r="H507" s="507"/>
      <c r="I507" s="507"/>
      <c r="J507" s="507"/>
      <c r="K507" s="507"/>
      <c r="L507" s="507"/>
      <c r="M507" s="507"/>
      <c r="N507" s="507"/>
      <c r="O507" s="507"/>
      <c r="P507" s="507"/>
      <c r="Q507" s="507"/>
      <c r="R507" s="507"/>
      <c r="S507" s="507"/>
      <c r="T507" s="507"/>
      <c r="U507" s="507"/>
      <c r="V507" s="507"/>
      <c r="W507" s="507"/>
    </row>
    <row r="508" ht="35.25" customHeight="1">
      <c r="A508" s="18"/>
      <c r="B508" s="547" t="s">
        <v>89</v>
      </c>
      <c r="C508" s="593" t="s">
        <v>684</v>
      </c>
      <c r="D508" s="18"/>
      <c r="E508" s="556"/>
      <c r="F508" s="507"/>
      <c r="G508" s="507"/>
      <c r="H508" s="507"/>
      <c r="I508" s="507"/>
      <c r="J508" s="507"/>
      <c r="K508" s="507"/>
      <c r="L508" s="507"/>
      <c r="M508" s="507"/>
      <c r="N508" s="507"/>
      <c r="O508" s="507"/>
      <c r="P508" s="507"/>
      <c r="Q508" s="507"/>
      <c r="R508" s="507"/>
      <c r="S508" s="507"/>
      <c r="T508" s="507"/>
      <c r="U508" s="507"/>
      <c r="V508" s="507"/>
      <c r="W508" s="507"/>
    </row>
    <row r="509" ht="35.25" customHeight="1">
      <c r="A509" s="18"/>
      <c r="B509" s="547" t="s">
        <v>220</v>
      </c>
      <c r="C509" s="593">
        <v>3.3541E7</v>
      </c>
      <c r="D509" s="18"/>
      <c r="E509" s="507"/>
      <c r="F509" s="507"/>
      <c r="G509" s="507"/>
      <c r="H509" s="507"/>
      <c r="I509" s="507"/>
      <c r="J509" s="507"/>
      <c r="K509" s="507"/>
      <c r="L509" s="507"/>
      <c r="M509" s="507"/>
      <c r="N509" s="507"/>
      <c r="O509" s="507"/>
      <c r="P509" s="507"/>
      <c r="Q509" s="507"/>
      <c r="R509" s="507"/>
      <c r="S509" s="507"/>
      <c r="T509" s="507"/>
      <c r="U509" s="507"/>
      <c r="V509" s="507"/>
      <c r="W509" s="507"/>
    </row>
    <row r="510" ht="35.25" customHeight="1">
      <c r="A510" s="22"/>
      <c r="B510" s="547" t="s">
        <v>697</v>
      </c>
      <c r="C510" s="593">
        <v>4.0959E7</v>
      </c>
      <c r="D510" s="22"/>
      <c r="E510" s="507"/>
      <c r="F510" s="507"/>
      <c r="G510" s="507"/>
      <c r="H510" s="507"/>
      <c r="I510" s="507"/>
      <c r="J510" s="507"/>
      <c r="K510" s="507"/>
      <c r="L510" s="507"/>
      <c r="M510" s="507"/>
      <c r="N510" s="507"/>
      <c r="O510" s="507"/>
      <c r="P510" s="507"/>
      <c r="Q510" s="507"/>
      <c r="R510" s="507"/>
      <c r="S510" s="507"/>
      <c r="T510" s="507"/>
      <c r="U510" s="507"/>
      <c r="V510" s="507"/>
      <c r="W510" s="507"/>
    </row>
    <row r="511" ht="35.25" customHeight="1">
      <c r="A511" s="663" t="s">
        <v>293</v>
      </c>
      <c r="B511" s="547" t="s">
        <v>88</v>
      </c>
      <c r="D511" s="653">
        <f>SUM(C512:C514)</f>
        <v>38229000</v>
      </c>
      <c r="E511" s="507"/>
      <c r="F511" s="507"/>
      <c r="G511" s="507"/>
      <c r="H511" s="507"/>
      <c r="I511" s="507"/>
      <c r="J511" s="507"/>
      <c r="K511" s="507"/>
      <c r="L511" s="507"/>
      <c r="M511" s="507"/>
      <c r="N511" s="507"/>
      <c r="O511" s="507"/>
      <c r="P511" s="507"/>
      <c r="Q511" s="507"/>
      <c r="R511" s="507"/>
      <c r="S511" s="507"/>
      <c r="T511" s="507"/>
      <c r="U511" s="507"/>
      <c r="V511" s="507"/>
      <c r="W511" s="507"/>
    </row>
    <row r="512" ht="35.25" customHeight="1">
      <c r="A512" s="18"/>
      <c r="B512" s="547" t="s">
        <v>219</v>
      </c>
      <c r="C512" s="593"/>
      <c r="D512" s="18"/>
      <c r="E512" s="507"/>
      <c r="F512" s="507"/>
      <c r="G512" s="507"/>
      <c r="H512" s="507"/>
      <c r="I512" s="507"/>
      <c r="J512" s="507"/>
      <c r="K512" s="507"/>
      <c r="L512" s="507"/>
      <c r="M512" s="507"/>
      <c r="N512" s="507"/>
      <c r="O512" s="507"/>
      <c r="P512" s="507"/>
      <c r="Q512" s="507"/>
      <c r="R512" s="507"/>
      <c r="S512" s="507"/>
      <c r="T512" s="507"/>
      <c r="U512" s="507"/>
      <c r="V512" s="507"/>
      <c r="W512" s="507"/>
    </row>
    <row r="513" ht="35.25" customHeight="1">
      <c r="A513" s="18"/>
      <c r="B513" s="547" t="s">
        <v>89</v>
      </c>
      <c r="C513" s="593"/>
      <c r="D513" s="18"/>
      <c r="E513" s="507"/>
      <c r="F513" s="526"/>
      <c r="G513" s="507"/>
      <c r="H513" s="507"/>
      <c r="I513" s="507"/>
      <c r="J513" s="507"/>
      <c r="K513" s="507"/>
      <c r="L513" s="507"/>
      <c r="M513" s="507"/>
      <c r="N513" s="507"/>
      <c r="O513" s="507"/>
      <c r="P513" s="507"/>
      <c r="Q513" s="507"/>
      <c r="R513" s="507"/>
      <c r="S513" s="507"/>
      <c r="T513" s="507"/>
      <c r="U513" s="507"/>
      <c r="V513" s="507"/>
      <c r="W513" s="507"/>
    </row>
    <row r="514" ht="35.25" customHeight="1">
      <c r="A514" s="22"/>
      <c r="B514" s="547" t="s">
        <v>697</v>
      </c>
      <c r="C514" s="593">
        <v>3.8229E7</v>
      </c>
      <c r="D514" s="22"/>
      <c r="E514" s="507"/>
      <c r="F514" s="526"/>
      <c r="G514" s="507"/>
      <c r="H514" s="507"/>
      <c r="I514" s="507"/>
      <c r="J514" s="507"/>
      <c r="K514" s="507"/>
      <c r="L514" s="507"/>
      <c r="M514" s="507"/>
      <c r="N514" s="507"/>
      <c r="O514" s="507"/>
      <c r="P514" s="507"/>
      <c r="Q514" s="507"/>
      <c r="R514" s="507"/>
      <c r="S514" s="507"/>
      <c r="T514" s="507"/>
      <c r="U514" s="507"/>
      <c r="V514" s="507"/>
      <c r="W514" s="507"/>
    </row>
    <row r="515" ht="35.25" customHeight="1">
      <c r="A515" s="663" t="s">
        <v>207</v>
      </c>
      <c r="B515" s="547" t="s">
        <v>73</v>
      </c>
      <c r="C515" s="593" t="s">
        <v>700</v>
      </c>
      <c r="D515" s="653">
        <f>SUM(C515:C519)</f>
        <v>42643500</v>
      </c>
      <c r="E515" s="507"/>
      <c r="F515" s="526"/>
      <c r="G515" s="525"/>
      <c r="H515" s="644"/>
      <c r="I515" s="507"/>
      <c r="J515" s="507"/>
      <c r="K515" s="507"/>
      <c r="L515" s="507"/>
      <c r="M515" s="507"/>
      <c r="N515" s="507"/>
      <c r="O515" s="507"/>
      <c r="P515" s="507"/>
      <c r="Q515" s="507"/>
      <c r="R515" s="507"/>
      <c r="S515" s="507"/>
      <c r="T515" s="507"/>
      <c r="U515" s="507"/>
      <c r="V515" s="507"/>
      <c r="W515" s="507"/>
    </row>
    <row r="516" ht="35.25" customHeight="1">
      <c r="A516" s="18"/>
      <c r="B516" s="547" t="s">
        <v>219</v>
      </c>
      <c r="C516" s="593" t="s">
        <v>700</v>
      </c>
      <c r="D516" s="18"/>
      <c r="E516" s="507"/>
      <c r="F516" s="526"/>
      <c r="G516" s="525"/>
      <c r="H516" s="644"/>
      <c r="I516" s="507"/>
      <c r="J516" s="507"/>
      <c r="K516" s="507"/>
      <c r="L516" s="507"/>
      <c r="M516" s="507"/>
      <c r="N516" s="507"/>
      <c r="O516" s="507"/>
      <c r="P516" s="507"/>
      <c r="Q516" s="507"/>
      <c r="R516" s="507"/>
      <c r="S516" s="507"/>
      <c r="T516" s="507"/>
      <c r="U516" s="507"/>
      <c r="V516" s="507"/>
      <c r="W516" s="507"/>
    </row>
    <row r="517" ht="35.25" customHeight="1">
      <c r="A517" s="18"/>
      <c r="B517" s="547" t="s">
        <v>89</v>
      </c>
      <c r="C517" s="593">
        <v>0.0</v>
      </c>
      <c r="D517" s="18"/>
      <c r="E517" s="507"/>
      <c r="F517" s="526"/>
      <c r="G517" s="525"/>
      <c r="H517" s="644"/>
      <c r="I517" s="507"/>
      <c r="J517" s="507"/>
      <c r="K517" s="507"/>
      <c r="L517" s="507"/>
      <c r="M517" s="507"/>
      <c r="N517" s="507"/>
      <c r="O517" s="507"/>
      <c r="P517" s="507"/>
      <c r="Q517" s="507"/>
      <c r="R517" s="507"/>
      <c r="S517" s="507"/>
      <c r="T517" s="507"/>
      <c r="U517" s="507"/>
      <c r="V517" s="507"/>
      <c r="W517" s="507"/>
    </row>
    <row r="518" ht="35.25" customHeight="1">
      <c r="A518" s="18"/>
      <c r="B518" s="547" t="s">
        <v>220</v>
      </c>
      <c r="C518" s="593">
        <v>2.04035E7</v>
      </c>
      <c r="D518" s="18"/>
      <c r="E518" s="525"/>
      <c r="F518" s="525"/>
      <c r="G518" s="525"/>
      <c r="H518" s="525"/>
      <c r="I518" s="507"/>
      <c r="J518" s="507"/>
      <c r="K518" s="507"/>
      <c r="L518" s="507"/>
      <c r="M518" s="507"/>
      <c r="N518" s="507"/>
      <c r="O518" s="507"/>
      <c r="P518" s="507"/>
      <c r="Q518" s="507"/>
      <c r="R518" s="507"/>
      <c r="S518" s="507"/>
      <c r="T518" s="507"/>
      <c r="U518" s="507"/>
      <c r="V518" s="507"/>
      <c r="W518" s="507"/>
    </row>
    <row r="519" ht="35.25" customHeight="1">
      <c r="A519" s="22"/>
      <c r="B519" s="547" t="s">
        <v>697</v>
      </c>
      <c r="C519" s="593">
        <v>2.224E7</v>
      </c>
      <c r="D519" s="22"/>
      <c r="E519" s="525"/>
      <c r="F519" s="525"/>
      <c r="G519" s="525"/>
      <c r="H519" s="525"/>
      <c r="I519" s="507"/>
      <c r="J519" s="507"/>
      <c r="K519" s="507"/>
      <c r="L519" s="507"/>
      <c r="M519" s="507"/>
      <c r="N519" s="507"/>
      <c r="O519" s="507"/>
      <c r="P519" s="507"/>
      <c r="Q519" s="507"/>
      <c r="R519" s="507"/>
      <c r="S519" s="507"/>
      <c r="T519" s="507"/>
      <c r="U519" s="507"/>
      <c r="V519" s="507"/>
      <c r="W519" s="507"/>
    </row>
    <row r="520" ht="35.25" customHeight="1">
      <c r="A520" s="663" t="s">
        <v>211</v>
      </c>
      <c r="B520" s="547" t="s">
        <v>88</v>
      </c>
      <c r="C520" s="593">
        <f>sum(38160000-31346500)</f>
        <v>6813500</v>
      </c>
      <c r="D520" s="653">
        <f>SUM(C520:C523)</f>
        <v>160472500</v>
      </c>
      <c r="E520" s="525"/>
      <c r="F520" s="525"/>
      <c r="G520" s="525"/>
      <c r="H520" s="525"/>
      <c r="I520" s="507"/>
      <c r="J520" s="507"/>
      <c r="K520" s="507"/>
      <c r="L520" s="507"/>
      <c r="M520" s="507"/>
      <c r="N520" s="507"/>
      <c r="O520" s="507"/>
      <c r="P520" s="507"/>
      <c r="Q520" s="507"/>
      <c r="R520" s="507"/>
      <c r="S520" s="507"/>
      <c r="T520" s="507"/>
      <c r="U520" s="507"/>
      <c r="V520" s="507"/>
      <c r="W520" s="507"/>
    </row>
    <row r="521" ht="35.25" customHeight="1">
      <c r="A521" s="18"/>
      <c r="B521" s="547" t="s">
        <v>219</v>
      </c>
      <c r="C521" s="593">
        <f>48516000</f>
        <v>48516000</v>
      </c>
      <c r="D521" s="18"/>
      <c r="E521" s="525"/>
      <c r="F521" s="525"/>
      <c r="G521" s="525"/>
      <c r="H521" s="525"/>
      <c r="I521" s="507"/>
      <c r="J521" s="507"/>
      <c r="K521" s="507"/>
      <c r="L521" s="507"/>
      <c r="M521" s="507"/>
      <c r="N521" s="507"/>
      <c r="O521" s="507"/>
      <c r="P521" s="507"/>
      <c r="Q521" s="507"/>
      <c r="R521" s="507"/>
      <c r="S521" s="507"/>
      <c r="T521" s="507"/>
      <c r="U521" s="507"/>
      <c r="V521" s="507"/>
      <c r="W521" s="507"/>
    </row>
    <row r="522" ht="35.25" customHeight="1">
      <c r="A522" s="18"/>
      <c r="B522" s="547" t="s">
        <v>89</v>
      </c>
      <c r="C522" s="593">
        <f>51133500-165000</f>
        <v>50968500</v>
      </c>
      <c r="D522" s="18"/>
      <c r="E522" s="556"/>
      <c r="F522" s="525"/>
      <c r="G522" s="525"/>
      <c r="H522" s="525"/>
      <c r="I522" s="507"/>
      <c r="J522" s="507"/>
      <c r="K522" s="507"/>
      <c r="L522" s="507"/>
      <c r="M522" s="507"/>
      <c r="N522" s="507"/>
      <c r="O522" s="507"/>
      <c r="P522" s="507"/>
      <c r="Q522" s="507"/>
      <c r="R522" s="507"/>
      <c r="S522" s="507"/>
      <c r="T522" s="507"/>
      <c r="U522" s="507"/>
      <c r="V522" s="507"/>
      <c r="W522" s="507"/>
    </row>
    <row r="523" ht="35.25" customHeight="1">
      <c r="A523" s="22"/>
      <c r="B523" s="547" t="s">
        <v>220</v>
      </c>
      <c r="C523" s="593">
        <v>5.41745E7</v>
      </c>
      <c r="D523" s="22"/>
      <c r="E523" s="556"/>
      <c r="F523" s="525"/>
      <c r="G523" s="525"/>
      <c r="H523" s="525"/>
      <c r="I523" s="507"/>
      <c r="J523" s="507"/>
      <c r="K523" s="507"/>
      <c r="L523" s="507"/>
      <c r="M523" s="507"/>
      <c r="N523" s="507"/>
      <c r="O523" s="507"/>
      <c r="P523" s="507"/>
      <c r="Q523" s="507"/>
      <c r="R523" s="507"/>
      <c r="S523" s="507"/>
      <c r="T523" s="507"/>
      <c r="U523" s="507"/>
      <c r="V523" s="507"/>
      <c r="W523" s="507"/>
    </row>
    <row r="524" ht="35.25" customHeight="1">
      <c r="A524" s="679" t="s">
        <v>302</v>
      </c>
      <c r="B524" s="547" t="s">
        <v>72</v>
      </c>
      <c r="C524" s="593">
        <v>457000.0</v>
      </c>
      <c r="D524" s="680">
        <f>SUM(C524:C529)</f>
        <v>103621000</v>
      </c>
      <c r="E524" s="525"/>
      <c r="F524" s="525"/>
      <c r="G524" s="525"/>
      <c r="H524" s="525"/>
      <c r="I524" s="507"/>
      <c r="J524" s="507"/>
      <c r="K524" s="507"/>
      <c r="L524" s="507"/>
      <c r="M524" s="507"/>
      <c r="N524" s="507"/>
      <c r="O524" s="507"/>
      <c r="P524" s="507"/>
      <c r="Q524" s="507"/>
      <c r="R524" s="507"/>
      <c r="S524" s="507"/>
      <c r="T524" s="507"/>
      <c r="U524" s="507"/>
      <c r="V524" s="507"/>
      <c r="W524" s="507"/>
    </row>
    <row r="525" ht="35.25" customHeight="1">
      <c r="A525" s="18"/>
      <c r="B525" s="547" t="s">
        <v>73</v>
      </c>
      <c r="C525" s="593" t="s">
        <v>700</v>
      </c>
      <c r="D525" s="18"/>
      <c r="E525" s="525"/>
      <c r="F525" s="525"/>
      <c r="G525" s="525"/>
      <c r="H525" s="525"/>
      <c r="I525" s="507"/>
      <c r="J525" s="507"/>
      <c r="K525" s="507"/>
      <c r="L525" s="507"/>
      <c r="M525" s="507"/>
      <c r="N525" s="507"/>
      <c r="O525" s="507"/>
      <c r="P525" s="507"/>
      <c r="Q525" s="507"/>
      <c r="R525" s="507"/>
      <c r="S525" s="507"/>
      <c r="T525" s="507"/>
      <c r="U525" s="507"/>
      <c r="V525" s="507"/>
      <c r="W525" s="507"/>
    </row>
    <row r="526" ht="35.25" customHeight="1">
      <c r="A526" s="18"/>
      <c r="B526" s="547" t="s">
        <v>88</v>
      </c>
      <c r="C526" s="593">
        <v>2.539E7</v>
      </c>
      <c r="D526" s="18"/>
      <c r="E526" s="525"/>
      <c r="F526" s="525"/>
      <c r="G526" s="525"/>
      <c r="H526" s="525"/>
      <c r="I526" s="507"/>
      <c r="J526" s="507"/>
      <c r="K526" s="507"/>
      <c r="L526" s="507"/>
      <c r="M526" s="507"/>
      <c r="N526" s="507"/>
      <c r="O526" s="507"/>
      <c r="P526" s="507"/>
      <c r="Q526" s="507"/>
      <c r="R526" s="507"/>
      <c r="S526" s="507"/>
      <c r="T526" s="507"/>
      <c r="U526" s="507"/>
      <c r="V526" s="507"/>
      <c r="W526" s="507"/>
    </row>
    <row r="527" ht="35.25" customHeight="1">
      <c r="A527" s="18"/>
      <c r="B527" s="547" t="s">
        <v>219</v>
      </c>
      <c r="C527" s="593">
        <v>2.2649E7</v>
      </c>
      <c r="D527" s="18"/>
      <c r="E527" s="525"/>
      <c r="F527" s="525"/>
      <c r="G527" s="525"/>
      <c r="H527" s="525"/>
      <c r="I527" s="507"/>
      <c r="J527" s="507"/>
      <c r="K527" s="507"/>
      <c r="L527" s="507"/>
      <c r="M527" s="507"/>
      <c r="N527" s="507"/>
      <c r="O527" s="507"/>
      <c r="P527" s="507"/>
      <c r="Q527" s="507"/>
      <c r="R527" s="507"/>
      <c r="S527" s="507"/>
      <c r="T527" s="507"/>
      <c r="U527" s="507"/>
      <c r="V527" s="507"/>
      <c r="W527" s="507"/>
    </row>
    <row r="528" ht="35.25" customHeight="1">
      <c r="A528" s="18"/>
      <c r="B528" s="547" t="s">
        <v>89</v>
      </c>
      <c r="C528" s="593">
        <v>2.3176E7</v>
      </c>
      <c r="D528" s="18"/>
      <c r="E528" s="525"/>
      <c r="F528" s="525"/>
      <c r="G528" s="525"/>
      <c r="H528" s="525"/>
      <c r="I528" s="507"/>
      <c r="J528" s="507"/>
      <c r="K528" s="507"/>
      <c r="L528" s="507"/>
      <c r="M528" s="507"/>
      <c r="N528" s="507"/>
      <c r="O528" s="507"/>
      <c r="P528" s="507"/>
      <c r="Q528" s="507"/>
      <c r="R528" s="507"/>
      <c r="S528" s="507"/>
      <c r="T528" s="507"/>
      <c r="U528" s="507"/>
      <c r="V528" s="507"/>
      <c r="W528" s="507"/>
    </row>
    <row r="529" ht="35.25" customHeight="1">
      <c r="A529" s="22"/>
      <c r="B529" s="547" t="s">
        <v>220</v>
      </c>
      <c r="C529" s="593">
        <v>3.1949E7</v>
      </c>
      <c r="D529" s="22"/>
      <c r="E529" s="525"/>
      <c r="F529" s="525"/>
      <c r="G529" s="525"/>
      <c r="H529" s="525"/>
      <c r="I529" s="507"/>
      <c r="J529" s="507"/>
      <c r="K529" s="507"/>
      <c r="L529" s="507"/>
      <c r="M529" s="507"/>
      <c r="N529" s="507"/>
      <c r="O529" s="507"/>
      <c r="P529" s="507"/>
      <c r="Q529" s="507"/>
      <c r="R529" s="507"/>
      <c r="S529" s="507"/>
      <c r="T529" s="507"/>
      <c r="U529" s="507"/>
      <c r="V529" s="507"/>
      <c r="W529" s="507"/>
    </row>
    <row r="530" ht="35.25" customHeight="1">
      <c r="A530" s="681" t="s">
        <v>215</v>
      </c>
      <c r="B530" s="547" t="s">
        <v>88</v>
      </c>
      <c r="C530" s="593">
        <f>23732000-15000000</f>
        <v>8732000</v>
      </c>
      <c r="D530" s="680">
        <f>SUM(C530:C533)</f>
        <v>31021000</v>
      </c>
      <c r="E530" s="525"/>
      <c r="F530" s="525"/>
      <c r="G530" s="525"/>
      <c r="H530" s="525"/>
      <c r="I530" s="507"/>
      <c r="J530" s="507"/>
      <c r="K530" s="507"/>
      <c r="L530" s="507"/>
      <c r="M530" s="507"/>
      <c r="N530" s="507"/>
      <c r="O530" s="507"/>
      <c r="P530" s="507"/>
      <c r="Q530" s="507"/>
      <c r="R530" s="507"/>
      <c r="S530" s="507"/>
      <c r="T530" s="507"/>
      <c r="U530" s="507"/>
      <c r="V530" s="507"/>
      <c r="W530" s="507"/>
    </row>
    <row r="531" ht="35.25" customHeight="1">
      <c r="A531" s="18"/>
      <c r="B531" s="547" t="s">
        <v>89</v>
      </c>
      <c r="C531" s="593">
        <v>1.3146E7</v>
      </c>
      <c r="D531" s="18"/>
      <c r="E531" s="507"/>
      <c r="F531" s="507"/>
      <c r="G531" s="507"/>
      <c r="H531" s="507"/>
      <c r="I531" s="507"/>
      <c r="J531" s="507"/>
      <c r="K531" s="507"/>
      <c r="L531" s="507"/>
      <c r="M531" s="507"/>
      <c r="N531" s="507"/>
      <c r="O531" s="507"/>
      <c r="P531" s="507"/>
      <c r="Q531" s="507"/>
      <c r="R531" s="507"/>
      <c r="S531" s="507"/>
      <c r="T531" s="507"/>
      <c r="U531" s="507"/>
      <c r="V531" s="507"/>
      <c r="W531" s="507"/>
    </row>
    <row r="532" ht="35.25" customHeight="1">
      <c r="A532" s="18"/>
      <c r="B532" s="547" t="s">
        <v>220</v>
      </c>
      <c r="C532" s="593">
        <v>5619000.0</v>
      </c>
      <c r="D532" s="18"/>
      <c r="E532" s="644"/>
      <c r="F532" s="507"/>
      <c r="G532" s="507"/>
      <c r="H532" s="507"/>
      <c r="I532" s="507"/>
      <c r="J532" s="507"/>
      <c r="K532" s="507"/>
      <c r="L532" s="507"/>
      <c r="M532" s="507"/>
      <c r="N532" s="507"/>
      <c r="O532" s="507"/>
      <c r="P532" s="507"/>
      <c r="Q532" s="507"/>
      <c r="R532" s="507"/>
      <c r="S532" s="507"/>
      <c r="T532" s="507"/>
      <c r="U532" s="507"/>
      <c r="V532" s="507"/>
      <c r="W532" s="507"/>
    </row>
    <row r="533" ht="35.25" customHeight="1">
      <c r="A533" s="22"/>
      <c r="B533" s="547" t="s">
        <v>697</v>
      </c>
      <c r="C533" s="593">
        <v>3524000.0</v>
      </c>
      <c r="D533" s="22"/>
      <c r="E533" s="556"/>
      <c r="F533" s="507"/>
      <c r="G533" s="507"/>
      <c r="H533" s="507"/>
      <c r="I533" s="507"/>
      <c r="J533" s="507"/>
      <c r="K533" s="507"/>
      <c r="L533" s="507"/>
      <c r="M533" s="507"/>
      <c r="N533" s="507"/>
      <c r="O533" s="507"/>
      <c r="P533" s="507"/>
      <c r="Q533" s="507"/>
      <c r="R533" s="507"/>
      <c r="S533" s="507"/>
      <c r="T533" s="507"/>
      <c r="U533" s="507"/>
      <c r="V533" s="507"/>
      <c r="W533" s="507"/>
    </row>
    <row r="534" ht="35.25" customHeight="1">
      <c r="A534" s="679" t="s">
        <v>216</v>
      </c>
      <c r="B534" s="547" t="s">
        <v>88</v>
      </c>
      <c r="C534" s="593" t="s">
        <v>7</v>
      </c>
      <c r="D534" s="680">
        <f>C537+C538</f>
        <v>97807000</v>
      </c>
      <c r="E534" s="507"/>
      <c r="F534" s="507"/>
      <c r="G534" s="507"/>
      <c r="H534" s="507"/>
      <c r="I534" s="507"/>
      <c r="J534" s="507"/>
      <c r="K534" s="507"/>
      <c r="L534" s="507"/>
      <c r="M534" s="507"/>
      <c r="N534" s="507"/>
      <c r="O534" s="507"/>
      <c r="P534" s="507"/>
      <c r="Q534" s="507"/>
      <c r="R534" s="507"/>
      <c r="S534" s="507"/>
      <c r="T534" s="507"/>
      <c r="U534" s="507"/>
      <c r="V534" s="507"/>
      <c r="W534" s="507"/>
    </row>
    <row r="535" ht="35.25" customHeight="1">
      <c r="A535" s="18"/>
      <c r="B535" s="547" t="s">
        <v>219</v>
      </c>
      <c r="C535" s="593" t="s">
        <v>7</v>
      </c>
      <c r="D535" s="18"/>
      <c r="E535" s="507"/>
      <c r="F535" s="507"/>
      <c r="G535" s="507"/>
      <c r="H535" s="507"/>
      <c r="I535" s="507"/>
      <c r="J535" s="507"/>
      <c r="K535" s="507"/>
      <c r="L535" s="507"/>
      <c r="M535" s="507"/>
      <c r="N535" s="507"/>
      <c r="O535" s="507"/>
      <c r="P535" s="507"/>
      <c r="Q535" s="507"/>
      <c r="R535" s="507"/>
      <c r="S535" s="507"/>
      <c r="T535" s="507"/>
      <c r="U535" s="507"/>
      <c r="V535" s="507"/>
      <c r="W535" s="507"/>
    </row>
    <row r="536" ht="35.25" customHeight="1">
      <c r="A536" s="18"/>
      <c r="B536" s="547" t="s">
        <v>89</v>
      </c>
      <c r="C536" s="593" t="s">
        <v>7</v>
      </c>
      <c r="D536" s="18"/>
      <c r="E536" s="507"/>
      <c r="F536" s="507"/>
      <c r="G536" s="507"/>
      <c r="H536" s="507"/>
      <c r="I536" s="507"/>
      <c r="J536" s="507"/>
      <c r="K536" s="507"/>
      <c r="L536" s="507"/>
      <c r="M536" s="507"/>
      <c r="N536" s="507"/>
      <c r="O536" s="507"/>
      <c r="P536" s="507"/>
      <c r="Q536" s="507"/>
      <c r="R536" s="507"/>
      <c r="S536" s="507"/>
      <c r="T536" s="507"/>
      <c r="U536" s="507"/>
      <c r="V536" s="507"/>
      <c r="W536" s="507"/>
    </row>
    <row r="537" ht="35.25" customHeight="1">
      <c r="A537" s="18"/>
      <c r="B537" s="547" t="s">
        <v>220</v>
      </c>
      <c r="C537" s="593">
        <v>5.7373E7</v>
      </c>
      <c r="D537" s="18"/>
      <c r="E537" s="507"/>
      <c r="F537" s="507"/>
      <c r="G537" s="507"/>
      <c r="H537" s="507"/>
      <c r="I537" s="507"/>
      <c r="J537" s="507"/>
      <c r="K537" s="507"/>
      <c r="L537" s="507"/>
      <c r="M537" s="507"/>
      <c r="N537" s="507"/>
      <c r="O537" s="507"/>
      <c r="P537" s="507"/>
      <c r="Q537" s="507"/>
      <c r="R537" s="507"/>
      <c r="S537" s="507"/>
      <c r="T537" s="507"/>
      <c r="U537" s="507"/>
      <c r="V537" s="507"/>
      <c r="W537" s="507"/>
    </row>
    <row r="538" ht="35.25" customHeight="1">
      <c r="A538" s="22"/>
      <c r="B538" s="547" t="s">
        <v>697</v>
      </c>
      <c r="C538" s="593">
        <v>4.0434E7</v>
      </c>
      <c r="D538" s="22"/>
      <c r="E538" s="507"/>
      <c r="F538" s="507"/>
      <c r="G538" s="507"/>
      <c r="H538" s="507"/>
      <c r="I538" s="507"/>
      <c r="J538" s="507"/>
      <c r="K538" s="507"/>
      <c r="L538" s="507"/>
      <c r="M538" s="507"/>
      <c r="N538" s="507"/>
      <c r="O538" s="507"/>
      <c r="P538" s="507"/>
      <c r="Q538" s="507"/>
      <c r="R538" s="507"/>
      <c r="S538" s="507"/>
      <c r="T538" s="507"/>
      <c r="U538" s="507"/>
      <c r="V538" s="507"/>
      <c r="W538" s="507"/>
    </row>
    <row r="539" ht="35.25" customHeight="1">
      <c r="A539" s="679" t="s">
        <v>510</v>
      </c>
      <c r="B539" s="547" t="s">
        <v>88</v>
      </c>
      <c r="C539" s="593" t="s">
        <v>7</v>
      </c>
      <c r="D539" s="682">
        <f>sum(C540:C543)</f>
        <v>31017000</v>
      </c>
      <c r="E539" s="507"/>
      <c r="F539" s="507"/>
      <c r="G539" s="507"/>
      <c r="H539" s="507"/>
      <c r="I539" s="507"/>
      <c r="J539" s="507"/>
      <c r="K539" s="507"/>
      <c r="L539" s="507"/>
      <c r="M539" s="507"/>
      <c r="N539" s="507"/>
      <c r="O539" s="507"/>
      <c r="P539" s="507"/>
      <c r="Q539" s="507"/>
      <c r="R539" s="507"/>
      <c r="S539" s="507"/>
      <c r="T539" s="507"/>
      <c r="U539" s="507"/>
      <c r="V539" s="507"/>
      <c r="W539" s="507"/>
    </row>
    <row r="540" ht="35.25" customHeight="1">
      <c r="A540" s="18"/>
      <c r="B540" s="547" t="s">
        <v>219</v>
      </c>
      <c r="C540" s="593" t="s">
        <v>7</v>
      </c>
      <c r="D540" s="18"/>
      <c r="E540" s="507"/>
      <c r="F540" s="507"/>
      <c r="G540" s="507"/>
      <c r="H540" s="507"/>
      <c r="I540" s="507"/>
      <c r="J540" s="507"/>
      <c r="K540" s="507"/>
      <c r="L540" s="507"/>
      <c r="M540" s="507"/>
      <c r="N540" s="507"/>
      <c r="O540" s="507"/>
      <c r="P540" s="507"/>
      <c r="Q540" s="507"/>
      <c r="R540" s="507"/>
      <c r="S540" s="507"/>
      <c r="T540" s="507"/>
      <c r="U540" s="507"/>
      <c r="V540" s="507"/>
      <c r="W540" s="507"/>
    </row>
    <row r="541" ht="35.25" customHeight="1">
      <c r="A541" s="18"/>
      <c r="B541" s="547" t="s">
        <v>89</v>
      </c>
      <c r="C541" s="593" t="s">
        <v>7</v>
      </c>
      <c r="D541" s="18"/>
      <c r="E541" s="507"/>
      <c r="F541" s="507"/>
      <c r="G541" s="507"/>
      <c r="H541" s="507"/>
      <c r="I541" s="507"/>
      <c r="J541" s="507"/>
      <c r="K541" s="507"/>
      <c r="L541" s="507"/>
      <c r="M541" s="507"/>
      <c r="N541" s="507"/>
      <c r="O541" s="507"/>
      <c r="P541" s="507"/>
      <c r="Q541" s="507"/>
      <c r="R541" s="507"/>
      <c r="S541" s="507"/>
      <c r="T541" s="507"/>
      <c r="U541" s="507"/>
      <c r="V541" s="507"/>
      <c r="W541" s="507"/>
    </row>
    <row r="542" ht="35.25" customHeight="1">
      <c r="A542" s="18"/>
      <c r="B542" s="547" t="s">
        <v>220</v>
      </c>
      <c r="C542" s="593" t="s">
        <v>7</v>
      </c>
      <c r="D542" s="18"/>
      <c r="E542" s="507"/>
      <c r="F542" s="507"/>
      <c r="G542" s="507"/>
      <c r="H542" s="507"/>
      <c r="I542" s="507"/>
      <c r="J542" s="507"/>
      <c r="K542" s="507"/>
      <c r="L542" s="507"/>
      <c r="M542" s="507"/>
      <c r="N542" s="507"/>
      <c r="O542" s="507"/>
      <c r="P542" s="507"/>
      <c r="Q542" s="507"/>
      <c r="R542" s="507"/>
      <c r="S542" s="507"/>
      <c r="T542" s="507"/>
      <c r="U542" s="507"/>
      <c r="V542" s="507"/>
      <c r="W542" s="507"/>
    </row>
    <row r="543" ht="35.25" customHeight="1">
      <c r="A543" s="22"/>
      <c r="B543" s="547" t="s">
        <v>697</v>
      </c>
      <c r="C543" s="593">
        <v>3.1017E7</v>
      </c>
      <c r="D543" s="22"/>
      <c r="E543" s="507"/>
      <c r="F543" s="507"/>
      <c r="G543" s="507"/>
      <c r="H543" s="507"/>
      <c r="I543" s="507"/>
      <c r="J543" s="507"/>
      <c r="K543" s="507"/>
      <c r="L543" s="507"/>
      <c r="M543" s="507"/>
      <c r="N543" s="507"/>
      <c r="O543" s="507"/>
      <c r="P543" s="507"/>
      <c r="Q543" s="507"/>
      <c r="R543" s="507"/>
      <c r="S543" s="507"/>
      <c r="T543" s="507"/>
      <c r="U543" s="507"/>
      <c r="V543" s="507"/>
      <c r="W543" s="507"/>
    </row>
    <row r="544" ht="35.25" customHeight="1">
      <c r="A544" s="679" t="s">
        <v>513</v>
      </c>
      <c r="B544" s="547" t="s">
        <v>88</v>
      </c>
      <c r="C544" s="593">
        <v>7.58575E7</v>
      </c>
      <c r="D544" s="682">
        <f>SUM(C544:C547)</f>
        <v>227442500</v>
      </c>
      <c r="E544" s="507"/>
      <c r="F544" s="507"/>
      <c r="G544" s="507"/>
      <c r="H544" s="507"/>
      <c r="I544" s="507"/>
      <c r="J544" s="507"/>
      <c r="K544" s="507"/>
      <c r="L544" s="507"/>
      <c r="M544" s="507"/>
      <c r="N544" s="507"/>
      <c r="O544" s="507"/>
      <c r="P544" s="507"/>
      <c r="Q544" s="507"/>
      <c r="R544" s="507"/>
      <c r="S544" s="507"/>
      <c r="T544" s="507"/>
      <c r="U544" s="507"/>
      <c r="V544" s="507"/>
      <c r="W544" s="507"/>
    </row>
    <row r="545" ht="35.25" customHeight="1">
      <c r="A545" s="18"/>
      <c r="B545" s="547" t="s">
        <v>219</v>
      </c>
      <c r="C545" s="593">
        <v>3.9014E7</v>
      </c>
      <c r="D545" s="18"/>
      <c r="E545" s="556" t="s">
        <v>701</v>
      </c>
      <c r="F545" s="507">
        <f>25*3</f>
        <v>75</v>
      </c>
      <c r="G545" s="507"/>
      <c r="H545" s="507"/>
      <c r="I545" s="507"/>
      <c r="J545" s="507"/>
      <c r="K545" s="507"/>
      <c r="L545" s="507"/>
      <c r="M545" s="507"/>
      <c r="N545" s="507"/>
      <c r="O545" s="507"/>
      <c r="P545" s="507"/>
      <c r="Q545" s="507"/>
      <c r="R545" s="507"/>
      <c r="S545" s="507"/>
      <c r="T545" s="507"/>
      <c r="U545" s="507"/>
      <c r="V545" s="507"/>
      <c r="W545" s="507"/>
    </row>
    <row r="546" ht="35.25" customHeight="1">
      <c r="A546" s="18"/>
      <c r="B546" s="547" t="s">
        <v>89</v>
      </c>
      <c r="C546" s="593">
        <f>63727500-225000</f>
        <v>63502500</v>
      </c>
      <c r="D546" s="18"/>
      <c r="E546" s="507"/>
      <c r="F546" s="507"/>
      <c r="G546" s="507"/>
      <c r="H546" s="507"/>
      <c r="I546" s="507"/>
      <c r="J546" s="507"/>
      <c r="K546" s="507"/>
      <c r="L546" s="507"/>
      <c r="M546" s="507"/>
      <c r="N546" s="507"/>
      <c r="O546" s="507"/>
      <c r="P546" s="507"/>
      <c r="Q546" s="507"/>
      <c r="R546" s="507"/>
      <c r="S546" s="507"/>
      <c r="T546" s="507"/>
      <c r="U546" s="507"/>
      <c r="V546" s="507"/>
      <c r="W546" s="507"/>
    </row>
    <row r="547" ht="35.25" customHeight="1">
      <c r="A547" s="22"/>
      <c r="B547" s="547" t="s">
        <v>220</v>
      </c>
      <c r="C547" s="593">
        <v>4.90685E7</v>
      </c>
      <c r="D547" s="22"/>
      <c r="E547" s="507"/>
      <c r="F547" s="507"/>
      <c r="G547" s="507"/>
      <c r="H547" s="507"/>
      <c r="I547" s="507"/>
      <c r="J547" s="507"/>
      <c r="K547" s="507"/>
      <c r="L547" s="507"/>
      <c r="M547" s="507"/>
      <c r="N547" s="507"/>
      <c r="O547" s="507"/>
      <c r="P547" s="507"/>
      <c r="Q547" s="507"/>
      <c r="R547" s="507"/>
      <c r="S547" s="507"/>
      <c r="T547" s="507"/>
      <c r="U547" s="507"/>
      <c r="V547" s="507"/>
      <c r="W547" s="507"/>
    </row>
    <row r="548" ht="35.25" customHeight="1">
      <c r="A548" s="679" t="s">
        <v>518</v>
      </c>
      <c r="B548" s="547" t="s">
        <v>88</v>
      </c>
      <c r="C548" s="593" t="s">
        <v>700</v>
      </c>
      <c r="D548" s="680">
        <f>SUM(C548:C551)</f>
        <v>149513000</v>
      </c>
      <c r="E548" s="507"/>
      <c r="F548" s="507"/>
      <c r="G548" s="507"/>
      <c r="H548" s="507"/>
      <c r="I548" s="507"/>
      <c r="J548" s="507"/>
      <c r="K548" s="507"/>
      <c r="L548" s="507"/>
      <c r="M548" s="507"/>
      <c r="N548" s="507"/>
      <c r="O548" s="507"/>
      <c r="P548" s="507"/>
      <c r="Q548" s="507"/>
      <c r="R548" s="507"/>
      <c r="S548" s="507"/>
      <c r="T548" s="507"/>
      <c r="U548" s="507"/>
      <c r="V548" s="507"/>
      <c r="W548" s="507"/>
    </row>
    <row r="549" ht="35.25" customHeight="1">
      <c r="A549" s="18"/>
      <c r="B549" s="547" t="s">
        <v>219</v>
      </c>
      <c r="C549" s="593" t="s">
        <v>700</v>
      </c>
      <c r="D549" s="18"/>
      <c r="E549" s="556" t="s">
        <v>658</v>
      </c>
      <c r="F549" s="507"/>
      <c r="G549" s="507"/>
      <c r="H549" s="507"/>
      <c r="I549" s="507"/>
      <c r="J549" s="507"/>
      <c r="K549" s="507"/>
      <c r="L549" s="507"/>
      <c r="M549" s="507"/>
      <c r="N549" s="507"/>
      <c r="O549" s="507"/>
      <c r="P549" s="507"/>
      <c r="Q549" s="507"/>
      <c r="R549" s="507"/>
      <c r="S549" s="507"/>
      <c r="T549" s="507"/>
      <c r="U549" s="507"/>
      <c r="V549" s="507"/>
      <c r="W549" s="507"/>
    </row>
    <row r="550" ht="35.25" customHeight="1">
      <c r="A550" s="18"/>
      <c r="B550" s="547" t="s">
        <v>89</v>
      </c>
      <c r="C550" s="593">
        <v>7.425E7</v>
      </c>
      <c r="D550" s="18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  <c r="O550" s="507"/>
      <c r="P550" s="507"/>
      <c r="Q550" s="507"/>
      <c r="R550" s="507"/>
      <c r="S550" s="507"/>
      <c r="T550" s="507"/>
      <c r="U550" s="507"/>
      <c r="V550" s="507"/>
      <c r="W550" s="507"/>
    </row>
    <row r="551" ht="35.25" customHeight="1">
      <c r="A551" s="22"/>
      <c r="B551" s="547" t="s">
        <v>220</v>
      </c>
      <c r="C551" s="593">
        <f>75340000-77000</f>
        <v>75263000</v>
      </c>
      <c r="D551" s="22"/>
      <c r="E551" s="507"/>
      <c r="F551" s="507"/>
      <c r="G551" s="554" t="s">
        <v>1</v>
      </c>
      <c r="H551" s="683" t="s">
        <v>69</v>
      </c>
      <c r="I551" s="524" t="s">
        <v>702</v>
      </c>
      <c r="J551" s="507"/>
      <c r="K551" s="507"/>
      <c r="L551" s="507"/>
      <c r="M551" s="507"/>
      <c r="N551" s="507"/>
      <c r="O551" s="507"/>
      <c r="P551" s="507"/>
      <c r="Q551" s="507"/>
      <c r="R551" s="507"/>
      <c r="S551" s="507"/>
      <c r="T551" s="507"/>
      <c r="U551" s="507"/>
      <c r="V551" s="507"/>
      <c r="W551" s="507"/>
    </row>
    <row r="552" ht="35.25" customHeight="1">
      <c r="A552" s="679" t="s">
        <v>634</v>
      </c>
      <c r="B552" s="547" t="s">
        <v>88</v>
      </c>
      <c r="C552" s="593">
        <v>2.8696E7</v>
      </c>
      <c r="D552" s="680">
        <f>SUM(C552:C555)</f>
        <v>95296000</v>
      </c>
      <c r="E552" s="507"/>
      <c r="F552" s="507"/>
      <c r="G552" s="520" t="s">
        <v>703</v>
      </c>
      <c r="H552" s="684">
        <v>3.996795E8</v>
      </c>
      <c r="I552" s="685" t="s">
        <v>704</v>
      </c>
      <c r="J552" s="507"/>
      <c r="K552" s="507"/>
      <c r="L552" s="507"/>
      <c r="M552" s="507"/>
      <c r="N552" s="507"/>
      <c r="O552" s="507"/>
      <c r="P552" s="507"/>
      <c r="Q552" s="507"/>
      <c r="R552" s="507"/>
      <c r="S552" s="507"/>
      <c r="T552" s="507"/>
      <c r="U552" s="507"/>
      <c r="V552" s="507"/>
      <c r="W552" s="507"/>
    </row>
    <row r="553" ht="35.25" customHeight="1">
      <c r="A553" s="18"/>
      <c r="B553" s="547" t="s">
        <v>219</v>
      </c>
      <c r="C553" s="593">
        <v>2.6157E7</v>
      </c>
      <c r="D553" s="18"/>
      <c r="E553" s="556" t="s">
        <v>658</v>
      </c>
      <c r="F553" s="507"/>
      <c r="G553" s="520" t="s">
        <v>93</v>
      </c>
      <c r="H553" s="684">
        <v>1.750635E8</v>
      </c>
      <c r="I553" s="18"/>
      <c r="J553" s="507"/>
      <c r="K553" s="507"/>
      <c r="L553" s="507"/>
      <c r="M553" s="507"/>
      <c r="N553" s="507"/>
      <c r="O553" s="507"/>
      <c r="P553" s="507"/>
      <c r="Q553" s="507"/>
      <c r="R553" s="507"/>
      <c r="S553" s="507"/>
      <c r="T553" s="507"/>
      <c r="U553" s="507"/>
      <c r="V553" s="507"/>
      <c r="W553" s="507"/>
    </row>
    <row r="554" ht="35.25" customHeight="1">
      <c r="A554" s="18"/>
      <c r="B554" s="547" t="s">
        <v>89</v>
      </c>
      <c r="C554" s="593">
        <v>2.4917E7</v>
      </c>
      <c r="D554" s="18"/>
      <c r="E554" s="507"/>
      <c r="F554" s="507"/>
      <c r="G554" s="520" t="s">
        <v>172</v>
      </c>
      <c r="H554" s="684">
        <v>2.146755E8</v>
      </c>
      <c r="I554" s="18"/>
      <c r="J554" s="507"/>
      <c r="K554" s="507"/>
      <c r="L554" s="507"/>
      <c r="M554" s="507"/>
      <c r="N554" s="507"/>
      <c r="O554" s="507"/>
      <c r="P554" s="507"/>
      <c r="Q554" s="507"/>
      <c r="R554" s="507"/>
      <c r="S554" s="507"/>
      <c r="T554" s="507"/>
      <c r="U554" s="507"/>
      <c r="V554" s="507"/>
      <c r="W554" s="507"/>
    </row>
    <row r="555" ht="35.25" customHeight="1">
      <c r="A555" s="22"/>
      <c r="B555" s="547" t="s">
        <v>220</v>
      </c>
      <c r="C555" s="593">
        <v>1.5526E7</v>
      </c>
      <c r="D555" s="22"/>
      <c r="E555" s="507"/>
      <c r="F555" s="507"/>
      <c r="G555" s="520" t="s">
        <v>705</v>
      </c>
      <c r="H555" s="684">
        <v>1.233225E8</v>
      </c>
      <c r="I555" s="22"/>
      <c r="J555" s="507"/>
      <c r="K555" s="507"/>
      <c r="L555" s="507"/>
      <c r="M555" s="507"/>
      <c r="N555" s="507"/>
      <c r="O555" s="507"/>
      <c r="P555" s="507"/>
      <c r="Q555" s="507"/>
      <c r="R555" s="507"/>
      <c r="S555" s="507"/>
      <c r="T555" s="507"/>
      <c r="U555" s="507"/>
      <c r="V555" s="507"/>
      <c r="W555" s="507"/>
    </row>
    <row r="556" ht="35.25" customHeight="1">
      <c r="A556" s="679" t="s">
        <v>635</v>
      </c>
      <c r="B556" s="547" t="s">
        <v>73</v>
      </c>
      <c r="C556" s="593">
        <v>4.8122E7</v>
      </c>
      <c r="D556" s="680">
        <f>SUM(C556:C559)</f>
        <v>87256000</v>
      </c>
      <c r="E556" s="507"/>
      <c r="F556" s="507"/>
      <c r="G556" s="520" t="s">
        <v>101</v>
      </c>
      <c r="H556" s="684">
        <v>1.509935E8</v>
      </c>
      <c r="I556" s="686" t="s">
        <v>706</v>
      </c>
      <c r="J556" s="507"/>
      <c r="K556" s="507"/>
      <c r="L556" s="507"/>
      <c r="M556" s="507"/>
      <c r="N556" s="507"/>
      <c r="O556" s="507"/>
      <c r="P556" s="507"/>
      <c r="Q556" s="507"/>
      <c r="R556" s="507"/>
      <c r="S556" s="507"/>
      <c r="T556" s="507"/>
      <c r="U556" s="507"/>
      <c r="V556" s="507"/>
      <c r="W556" s="507"/>
    </row>
    <row r="557" ht="35.25" customHeight="1">
      <c r="A557" s="18"/>
      <c r="B557" s="547" t="s">
        <v>88</v>
      </c>
      <c r="C557" s="593">
        <v>1.591E7</v>
      </c>
      <c r="D557" s="18"/>
      <c r="E557" s="507"/>
      <c r="F557" s="507"/>
      <c r="G557" s="687" t="s">
        <v>124</v>
      </c>
      <c r="H557" s="684">
        <v>2.39463E8</v>
      </c>
      <c r="I557" s="18"/>
      <c r="J557" s="507"/>
      <c r="K557" s="507"/>
      <c r="L557" s="507"/>
      <c r="M557" s="507"/>
      <c r="N557" s="507"/>
      <c r="O557" s="507"/>
      <c r="P557" s="507"/>
      <c r="Q557" s="507"/>
      <c r="R557" s="507"/>
      <c r="S557" s="507"/>
      <c r="T557" s="507"/>
      <c r="U557" s="507"/>
      <c r="V557" s="507"/>
      <c r="W557" s="507"/>
    </row>
    <row r="558" ht="35.25" customHeight="1">
      <c r="A558" s="18"/>
      <c r="B558" s="547" t="s">
        <v>89</v>
      </c>
      <c r="C558" s="593">
        <v>2.3224E7</v>
      </c>
      <c r="D558" s="18"/>
      <c r="E558" s="507"/>
      <c r="F558" s="507"/>
      <c r="G558" s="688" t="s">
        <v>128</v>
      </c>
      <c r="H558" s="684">
        <v>1.30292E8</v>
      </c>
      <c r="I558" s="18"/>
      <c r="J558" s="507"/>
      <c r="K558" s="507"/>
      <c r="L558" s="507"/>
      <c r="M558" s="507"/>
      <c r="N558" s="507"/>
      <c r="O558" s="507"/>
      <c r="P558" s="507"/>
      <c r="Q558" s="507"/>
      <c r="R558" s="507"/>
      <c r="S558" s="507"/>
      <c r="T558" s="507"/>
      <c r="U558" s="507"/>
      <c r="V558" s="507"/>
      <c r="W558" s="507"/>
    </row>
    <row r="559" ht="35.25" customHeight="1">
      <c r="A559" s="22"/>
      <c r="B559" s="547" t="s">
        <v>220</v>
      </c>
      <c r="C559" s="593">
        <v>0.0</v>
      </c>
      <c r="D559" s="22"/>
      <c r="E559" s="507"/>
      <c r="F559" s="507"/>
      <c r="G559" s="688" t="s">
        <v>276</v>
      </c>
      <c r="H559" s="587">
        <v>2.312985E8</v>
      </c>
      <c r="I559" s="18"/>
      <c r="J559" s="507"/>
      <c r="K559" s="507"/>
      <c r="L559" s="507"/>
      <c r="M559" s="507"/>
      <c r="N559" s="507"/>
      <c r="O559" s="507"/>
      <c r="P559" s="507"/>
      <c r="Q559" s="507"/>
      <c r="R559" s="507"/>
      <c r="S559" s="507"/>
      <c r="T559" s="507"/>
      <c r="U559" s="507"/>
      <c r="V559" s="507"/>
      <c r="W559" s="507"/>
    </row>
    <row r="560" ht="35.25" customHeight="1">
      <c r="A560" s="679" t="s">
        <v>636</v>
      </c>
      <c r="B560" s="547"/>
      <c r="C560" s="593"/>
      <c r="D560" s="680">
        <f>SUM(C560:C563)</f>
        <v>0</v>
      </c>
      <c r="E560" s="507"/>
      <c r="F560" s="507"/>
      <c r="G560" s="514" t="s">
        <v>178</v>
      </c>
      <c r="H560" s="587">
        <v>2.009485E8</v>
      </c>
      <c r="I560" s="18"/>
      <c r="J560" s="507"/>
      <c r="K560" s="507"/>
      <c r="L560" s="507"/>
      <c r="M560" s="507"/>
      <c r="N560" s="507"/>
      <c r="O560" s="507"/>
      <c r="P560" s="507"/>
      <c r="Q560" s="507"/>
      <c r="R560" s="507"/>
      <c r="S560" s="507"/>
      <c r="T560" s="507"/>
      <c r="U560" s="507"/>
      <c r="V560" s="507"/>
      <c r="W560" s="507"/>
    </row>
    <row r="561" ht="35.25" customHeight="1">
      <c r="A561" s="18"/>
      <c r="B561" s="547"/>
      <c r="C561" s="593"/>
      <c r="D561" s="18"/>
      <c r="E561" s="507"/>
      <c r="F561" s="507"/>
      <c r="G561" s="514" t="s">
        <v>154</v>
      </c>
      <c r="H561" s="684">
        <v>1.804788E8</v>
      </c>
      <c r="I561" s="18"/>
      <c r="J561" s="507"/>
      <c r="K561" s="507"/>
      <c r="L561" s="507"/>
      <c r="M561" s="507"/>
      <c r="N561" s="507"/>
      <c r="O561" s="507"/>
      <c r="P561" s="507"/>
      <c r="Q561" s="507"/>
      <c r="R561" s="507"/>
      <c r="S561" s="507"/>
      <c r="T561" s="507"/>
      <c r="U561" s="507"/>
      <c r="V561" s="507"/>
      <c r="W561" s="507"/>
    </row>
    <row r="562" ht="35.25" customHeight="1">
      <c r="A562" s="18"/>
      <c r="B562" s="547"/>
      <c r="C562" s="593"/>
      <c r="D562" s="18"/>
      <c r="E562" s="507"/>
      <c r="F562" s="507"/>
      <c r="G562" s="524" t="s">
        <v>707</v>
      </c>
      <c r="H562" s="684">
        <v>3.667255E8</v>
      </c>
      <c r="I562" s="18"/>
      <c r="J562" s="507"/>
      <c r="K562" s="507"/>
      <c r="L562" s="507"/>
      <c r="M562" s="507"/>
      <c r="N562" s="507"/>
      <c r="O562" s="507"/>
      <c r="P562" s="507"/>
      <c r="Q562" s="507"/>
      <c r="R562" s="507"/>
      <c r="S562" s="507"/>
      <c r="T562" s="507"/>
      <c r="U562" s="507"/>
      <c r="V562" s="507"/>
      <c r="W562" s="507"/>
    </row>
    <row r="563" ht="35.25" customHeight="1">
      <c r="A563" s="22"/>
      <c r="B563" s="547"/>
      <c r="C563" s="593"/>
      <c r="D563" s="22"/>
      <c r="E563" s="507"/>
      <c r="F563" s="507"/>
      <c r="G563" s="524" t="s">
        <v>708</v>
      </c>
      <c r="H563" s="587">
        <v>1.589195E8</v>
      </c>
      <c r="I563" s="18"/>
      <c r="J563" s="507"/>
      <c r="K563" s="507"/>
      <c r="L563" s="507"/>
      <c r="M563" s="507"/>
      <c r="N563" s="507"/>
      <c r="O563" s="507"/>
      <c r="P563" s="507"/>
      <c r="Q563" s="507"/>
      <c r="R563" s="507"/>
      <c r="S563" s="507"/>
      <c r="T563" s="507"/>
      <c r="U563" s="507"/>
      <c r="V563" s="507"/>
      <c r="W563" s="507"/>
    </row>
    <row r="564" ht="35.25" customHeight="1">
      <c r="A564" s="679" t="s">
        <v>640</v>
      </c>
      <c r="B564" s="547" t="s">
        <v>73</v>
      </c>
      <c r="C564" s="593">
        <f>435755000-358376000</f>
        <v>77379000</v>
      </c>
      <c r="D564" s="680">
        <f>SUM(C564:C568)</f>
        <v>311051000</v>
      </c>
      <c r="E564" s="507"/>
      <c r="F564" s="507"/>
      <c r="G564" s="524" t="s">
        <v>108</v>
      </c>
      <c r="H564" s="587">
        <v>7.63693E7</v>
      </c>
      <c r="I564" s="18"/>
      <c r="J564" s="507"/>
      <c r="K564" s="507"/>
      <c r="L564" s="507"/>
      <c r="M564" s="507"/>
      <c r="N564" s="507"/>
      <c r="O564" s="507"/>
      <c r="P564" s="507"/>
      <c r="Q564" s="507"/>
      <c r="R564" s="507"/>
      <c r="S564" s="507"/>
      <c r="T564" s="507"/>
      <c r="U564" s="507"/>
      <c r="V564" s="507"/>
      <c r="W564" s="507"/>
    </row>
    <row r="565" ht="35.25" customHeight="1">
      <c r="A565" s="18"/>
      <c r="B565" s="547" t="s">
        <v>88</v>
      </c>
      <c r="C565" s="593">
        <f>59790500-600000</f>
        <v>59190500</v>
      </c>
      <c r="D565" s="18"/>
      <c r="E565" s="556" t="s">
        <v>658</v>
      </c>
      <c r="F565" s="507"/>
      <c r="G565" s="524" t="s">
        <v>29</v>
      </c>
      <c r="H565" s="587">
        <v>1.904365E8</v>
      </c>
      <c r="I565" s="18"/>
      <c r="J565" s="507"/>
      <c r="K565" s="507"/>
      <c r="L565" s="507"/>
      <c r="M565" s="507"/>
      <c r="N565" s="507"/>
      <c r="O565" s="507"/>
      <c r="P565" s="507"/>
      <c r="Q565" s="507"/>
      <c r="R565" s="507"/>
      <c r="S565" s="507"/>
      <c r="T565" s="507"/>
      <c r="U565" s="507"/>
      <c r="V565" s="507"/>
      <c r="W565" s="507"/>
    </row>
    <row r="566" ht="35.25" customHeight="1">
      <c r="A566" s="18"/>
      <c r="B566" s="547" t="s">
        <v>219</v>
      </c>
      <c r="C566" s="593">
        <v>6.02505E7</v>
      </c>
      <c r="D566" s="18"/>
      <c r="E566" s="507"/>
      <c r="F566" s="507"/>
      <c r="G566" s="524" t="s">
        <v>138</v>
      </c>
      <c r="H566" s="587">
        <v>1.08687E8</v>
      </c>
      <c r="I566" s="22"/>
      <c r="J566" s="507"/>
      <c r="K566" s="507"/>
      <c r="L566" s="507"/>
      <c r="M566" s="507"/>
      <c r="N566" s="507"/>
      <c r="O566" s="507"/>
      <c r="P566" s="507"/>
      <c r="Q566" s="507"/>
      <c r="R566" s="507"/>
      <c r="S566" s="507"/>
      <c r="T566" s="507"/>
      <c r="U566" s="507"/>
      <c r="V566" s="507"/>
      <c r="W566" s="507"/>
    </row>
    <row r="567" ht="35.25" customHeight="1">
      <c r="A567" s="18"/>
      <c r="B567" s="547" t="s">
        <v>89</v>
      </c>
      <c r="C567" s="593">
        <v>7.0054E7</v>
      </c>
      <c r="D567" s="18"/>
      <c r="E567" s="507"/>
      <c r="F567" s="507"/>
      <c r="G567" s="507"/>
      <c r="H567" s="507"/>
      <c r="I567" s="507"/>
      <c r="J567" s="507"/>
      <c r="K567" s="507"/>
      <c r="L567" s="507"/>
      <c r="M567" s="507"/>
      <c r="N567" s="507"/>
      <c r="O567" s="507"/>
      <c r="P567" s="507"/>
      <c r="Q567" s="507"/>
      <c r="R567" s="507"/>
      <c r="S567" s="507"/>
      <c r="T567" s="507"/>
      <c r="U567" s="507"/>
      <c r="V567" s="507"/>
      <c r="W567" s="507"/>
    </row>
    <row r="568" ht="35.25" customHeight="1">
      <c r="A568" s="22"/>
      <c r="B568" s="547" t="s">
        <v>220</v>
      </c>
      <c r="C568" s="593">
        <v>4.4177E7</v>
      </c>
      <c r="D568" s="22"/>
      <c r="E568" s="507"/>
      <c r="F568" s="507"/>
      <c r="G568" s="507"/>
      <c r="H568" s="507"/>
      <c r="I568" s="507"/>
      <c r="J568" s="507"/>
      <c r="K568" s="507"/>
      <c r="L568" s="507"/>
      <c r="M568" s="507"/>
      <c r="N568" s="507"/>
      <c r="O568" s="507"/>
      <c r="P568" s="507"/>
      <c r="Q568" s="507"/>
      <c r="R568" s="507"/>
      <c r="S568" s="507"/>
      <c r="T568" s="507"/>
      <c r="U568" s="507"/>
      <c r="V568" s="507"/>
      <c r="W568" s="507"/>
    </row>
    <row r="569" ht="35.25" customHeight="1">
      <c r="A569" s="679" t="s">
        <v>642</v>
      </c>
      <c r="B569" s="547" t="s">
        <v>73</v>
      </c>
      <c r="C569" s="593">
        <f>224250500-30000000-30000000-30000000-40000000</f>
        <v>94250500</v>
      </c>
      <c r="D569" s="680">
        <f>SUM(C569:C573)</f>
        <v>248214500</v>
      </c>
      <c r="E569" s="507"/>
      <c r="F569" s="507"/>
      <c r="G569" s="507"/>
      <c r="H569" s="507"/>
      <c r="I569" s="507"/>
      <c r="J569" s="507"/>
      <c r="K569" s="507"/>
      <c r="L569" s="507"/>
      <c r="M569" s="507"/>
      <c r="N569" s="507"/>
      <c r="O569" s="507"/>
      <c r="P569" s="507"/>
      <c r="Q569" s="507"/>
      <c r="R569" s="507"/>
      <c r="S569" s="507"/>
      <c r="T569" s="507"/>
      <c r="U569" s="507"/>
      <c r="V569" s="507"/>
      <c r="W569" s="507"/>
    </row>
    <row r="570" ht="35.25" customHeight="1">
      <c r="A570" s="18"/>
      <c r="B570" s="547" t="s">
        <v>88</v>
      </c>
      <c r="C570" s="593">
        <v>3.4823E7</v>
      </c>
      <c r="D570" s="18"/>
      <c r="E570" s="507"/>
      <c r="F570" s="507"/>
      <c r="G570" s="507"/>
      <c r="H570" s="507"/>
      <c r="I570" s="507"/>
      <c r="J570" s="507"/>
      <c r="K570" s="507"/>
      <c r="L570" s="507"/>
      <c r="M570" s="507"/>
      <c r="N570" s="507"/>
      <c r="O570" s="507"/>
      <c r="P570" s="507"/>
      <c r="Q570" s="507"/>
      <c r="R570" s="507"/>
      <c r="S570" s="507"/>
      <c r="T570" s="507"/>
      <c r="U570" s="507"/>
      <c r="V570" s="507"/>
      <c r="W570" s="507"/>
    </row>
    <row r="571" ht="35.25" customHeight="1">
      <c r="A571" s="18"/>
      <c r="B571" s="547" t="s">
        <v>219</v>
      </c>
      <c r="C571" s="593">
        <v>3.6995E7</v>
      </c>
      <c r="D571" s="18"/>
      <c r="E571" s="507"/>
      <c r="F571" s="507"/>
      <c r="G571" s="507"/>
      <c r="H571" s="507"/>
      <c r="I571" s="507"/>
      <c r="J571" s="507"/>
      <c r="K571" s="507"/>
      <c r="L571" s="507"/>
      <c r="M571" s="507"/>
      <c r="N571" s="507"/>
      <c r="O571" s="507"/>
      <c r="P571" s="507"/>
      <c r="Q571" s="507"/>
      <c r="R571" s="507"/>
      <c r="S571" s="507"/>
      <c r="T571" s="507"/>
      <c r="U571" s="507"/>
      <c r="V571" s="507"/>
      <c r="W571" s="507"/>
    </row>
    <row r="572" ht="35.25" customHeight="1">
      <c r="A572" s="18"/>
      <c r="B572" s="547" t="s">
        <v>89</v>
      </c>
      <c r="C572" s="593">
        <v>3.5771E7</v>
      </c>
      <c r="D572" s="18"/>
      <c r="E572" s="507"/>
      <c r="F572" s="507"/>
      <c r="G572" s="507"/>
      <c r="H572" s="507"/>
      <c r="I572" s="507"/>
      <c r="J572" s="507"/>
      <c r="K572" s="507"/>
      <c r="L572" s="507"/>
      <c r="M572" s="507"/>
      <c r="N572" s="507"/>
      <c r="O572" s="507"/>
      <c r="P572" s="507"/>
      <c r="Q572" s="507"/>
      <c r="R572" s="507"/>
      <c r="S572" s="507"/>
      <c r="T572" s="507"/>
      <c r="U572" s="507"/>
      <c r="V572" s="507"/>
      <c r="W572" s="507"/>
    </row>
    <row r="573" ht="35.25" customHeight="1">
      <c r="A573" s="22"/>
      <c r="B573" s="547" t="s">
        <v>220</v>
      </c>
      <c r="C573" s="593">
        <v>4.6375E7</v>
      </c>
      <c r="D573" s="22"/>
      <c r="E573" s="507"/>
      <c r="F573" s="507"/>
      <c r="G573" s="507"/>
      <c r="H573" s="507"/>
      <c r="I573" s="507"/>
      <c r="J573" s="507"/>
      <c r="K573" s="507"/>
      <c r="L573" s="507"/>
      <c r="M573" s="507"/>
      <c r="N573" s="507"/>
      <c r="O573" s="507"/>
      <c r="P573" s="507"/>
      <c r="Q573" s="507"/>
      <c r="R573" s="507"/>
      <c r="S573" s="507"/>
      <c r="T573" s="507"/>
      <c r="U573" s="507"/>
      <c r="V573" s="507"/>
      <c r="W573" s="507"/>
    </row>
    <row r="574" ht="35.25" customHeight="1">
      <c r="A574" s="679" t="s">
        <v>643</v>
      </c>
      <c r="B574" s="547" t="s">
        <v>88</v>
      </c>
      <c r="C574" s="593">
        <f>46706000-114000</f>
        <v>46592000</v>
      </c>
      <c r="D574" s="680">
        <f>SUM(C574:C577)</f>
        <v>141468500</v>
      </c>
      <c r="E574" s="507"/>
      <c r="F574" s="507"/>
      <c r="G574" s="507"/>
      <c r="H574" s="507"/>
      <c r="I574" s="507"/>
      <c r="J574" s="507"/>
      <c r="K574" s="507"/>
      <c r="L574" s="507"/>
      <c r="M574" s="507"/>
      <c r="N574" s="507"/>
      <c r="O574" s="507"/>
      <c r="P574" s="507"/>
      <c r="Q574" s="507"/>
      <c r="R574" s="507"/>
      <c r="S574" s="507"/>
      <c r="T574" s="507"/>
      <c r="U574" s="507"/>
      <c r="V574" s="507"/>
      <c r="W574" s="507"/>
    </row>
    <row r="575" ht="35.25" customHeight="1">
      <c r="A575" s="18"/>
      <c r="B575" s="547" t="s">
        <v>219</v>
      </c>
      <c r="C575" s="593">
        <f>35097000-45000</f>
        <v>35052000</v>
      </c>
      <c r="D575" s="18"/>
      <c r="E575" s="556" t="s">
        <v>658</v>
      </c>
      <c r="F575" s="507"/>
      <c r="G575" s="507"/>
      <c r="H575" s="507"/>
      <c r="I575" s="507"/>
      <c r="J575" s="507"/>
      <c r="K575" s="507"/>
      <c r="L575" s="507"/>
      <c r="M575" s="507"/>
      <c r="N575" s="507"/>
      <c r="O575" s="507"/>
      <c r="P575" s="507"/>
      <c r="Q575" s="507"/>
      <c r="R575" s="507"/>
      <c r="S575" s="507"/>
      <c r="T575" s="507"/>
      <c r="U575" s="507"/>
      <c r="V575" s="507"/>
      <c r="W575" s="507"/>
    </row>
    <row r="576" ht="35.25" customHeight="1">
      <c r="A576" s="18"/>
      <c r="B576" s="547" t="s">
        <v>89</v>
      </c>
      <c r="C576" s="598">
        <f>39574000-57000</f>
        <v>39517000</v>
      </c>
      <c r="D576" s="18"/>
      <c r="E576" s="507"/>
      <c r="F576" s="507"/>
      <c r="G576" s="507"/>
      <c r="H576" s="507"/>
      <c r="I576" s="507"/>
      <c r="J576" s="507"/>
      <c r="K576" s="507"/>
      <c r="L576" s="507"/>
      <c r="M576" s="507"/>
      <c r="N576" s="507"/>
      <c r="O576" s="507"/>
      <c r="P576" s="507"/>
      <c r="Q576" s="507"/>
      <c r="R576" s="507"/>
      <c r="S576" s="507"/>
      <c r="T576" s="507"/>
      <c r="U576" s="507"/>
      <c r="V576" s="507"/>
      <c r="W576" s="507"/>
    </row>
    <row r="577" ht="35.25" customHeight="1">
      <c r="A577" s="22"/>
      <c r="B577" s="547" t="s">
        <v>220</v>
      </c>
      <c r="C577" s="598">
        <f>21064500-700000-57000</f>
        <v>20307500</v>
      </c>
      <c r="D577" s="22"/>
      <c r="E577" s="507"/>
      <c r="F577" s="507"/>
      <c r="G577" s="507"/>
      <c r="H577" s="507"/>
      <c r="I577" s="507"/>
      <c r="J577" s="507"/>
      <c r="K577" s="507"/>
      <c r="L577" s="507"/>
      <c r="M577" s="507"/>
      <c r="N577" s="507"/>
      <c r="O577" s="507"/>
      <c r="P577" s="507"/>
      <c r="Q577" s="507"/>
      <c r="R577" s="507"/>
      <c r="S577" s="507"/>
      <c r="T577" s="507"/>
      <c r="U577" s="507"/>
      <c r="V577" s="507"/>
      <c r="W577" s="507"/>
    </row>
    <row r="578" ht="35.25" customHeight="1">
      <c r="A578" s="679" t="s">
        <v>709</v>
      </c>
      <c r="B578" s="547" t="s">
        <v>88</v>
      </c>
      <c r="C578" s="593" t="s">
        <v>700</v>
      </c>
      <c r="D578" s="680">
        <f>SUM(C578:C581)</f>
        <v>62482000</v>
      </c>
      <c r="E578" s="507"/>
      <c r="F578" s="507"/>
      <c r="G578" s="507"/>
      <c r="H578" s="507"/>
      <c r="I578" s="507"/>
      <c r="J578" s="507"/>
      <c r="K578" s="507"/>
      <c r="L578" s="507"/>
      <c r="M578" s="507"/>
      <c r="N578" s="507"/>
      <c r="O578" s="507"/>
      <c r="P578" s="507"/>
      <c r="Q578" s="507"/>
      <c r="R578" s="507"/>
      <c r="S578" s="507"/>
      <c r="T578" s="507"/>
      <c r="U578" s="507"/>
      <c r="V578" s="507"/>
      <c r="W578" s="507"/>
    </row>
    <row r="579" ht="35.25" customHeight="1">
      <c r="A579" s="18"/>
      <c r="B579" s="547" t="s">
        <v>219</v>
      </c>
      <c r="C579" s="593" t="s">
        <v>700</v>
      </c>
      <c r="D579" s="18"/>
      <c r="E579" s="556" t="s">
        <v>658</v>
      </c>
      <c r="F579" s="507"/>
      <c r="G579" s="507"/>
      <c r="H579" s="507"/>
      <c r="I579" s="507"/>
      <c r="J579" s="507"/>
      <c r="K579" s="507"/>
      <c r="L579" s="507"/>
      <c r="M579" s="507"/>
      <c r="N579" s="507"/>
      <c r="O579" s="507"/>
      <c r="P579" s="507"/>
      <c r="Q579" s="507"/>
      <c r="R579" s="507"/>
      <c r="S579" s="507"/>
      <c r="T579" s="507"/>
      <c r="U579" s="507"/>
      <c r="V579" s="507"/>
      <c r="W579" s="507"/>
    </row>
    <row r="580" ht="35.25" customHeight="1">
      <c r="A580" s="18"/>
      <c r="B580" s="547" t="s">
        <v>89</v>
      </c>
      <c r="C580" s="598">
        <f>64606000-2120000-47379000</f>
        <v>15107000</v>
      </c>
      <c r="D580" s="18"/>
      <c r="E580" s="507"/>
      <c r="F580" s="507"/>
      <c r="G580" s="507"/>
      <c r="H580" s="507"/>
      <c r="I580" s="507"/>
      <c r="J580" s="507"/>
      <c r="K580" s="507"/>
      <c r="L580" s="507"/>
      <c r="M580" s="507"/>
      <c r="N580" s="507"/>
      <c r="O580" s="507"/>
      <c r="P580" s="507"/>
      <c r="Q580" s="507"/>
      <c r="R580" s="507"/>
      <c r="S580" s="507"/>
      <c r="T580" s="507"/>
      <c r="U580" s="507"/>
      <c r="V580" s="507"/>
      <c r="W580" s="507"/>
    </row>
    <row r="581" ht="35.25" customHeight="1">
      <c r="A581" s="22"/>
      <c r="B581" s="547" t="s">
        <v>220</v>
      </c>
      <c r="C581" s="598">
        <v>4.7375E7</v>
      </c>
      <c r="D581" s="22"/>
      <c r="E581" s="507"/>
      <c r="F581" s="507"/>
      <c r="G581" s="507"/>
      <c r="H581" s="507"/>
      <c r="I581" s="507"/>
      <c r="J581" s="507"/>
      <c r="K581" s="507"/>
      <c r="L581" s="507"/>
      <c r="M581" s="507"/>
      <c r="N581" s="507"/>
      <c r="O581" s="507"/>
      <c r="P581" s="507"/>
      <c r="Q581" s="507"/>
      <c r="R581" s="507"/>
      <c r="S581" s="507"/>
      <c r="T581" s="507"/>
      <c r="U581" s="507"/>
      <c r="V581" s="507"/>
      <c r="W581" s="507"/>
    </row>
    <row r="582" ht="35.25" customHeight="1">
      <c r="A582" s="679" t="s">
        <v>710</v>
      </c>
      <c r="B582" s="547" t="s">
        <v>88</v>
      </c>
      <c r="C582" s="593" t="s">
        <v>700</v>
      </c>
      <c r="D582" s="680">
        <f>SUM(C582:C586)</f>
        <v>192625000</v>
      </c>
      <c r="E582" s="507"/>
      <c r="F582" s="507"/>
      <c r="G582" s="507"/>
      <c r="H582" s="507"/>
      <c r="I582" s="507"/>
      <c r="J582" s="507"/>
      <c r="K582" s="507"/>
      <c r="L582" s="507"/>
      <c r="M582" s="507"/>
      <c r="N582" s="507"/>
      <c r="O582" s="507"/>
      <c r="P582" s="507"/>
      <c r="Q582" s="507"/>
      <c r="R582" s="507"/>
      <c r="S582" s="507"/>
      <c r="T582" s="507"/>
      <c r="U582" s="507"/>
      <c r="V582" s="507"/>
      <c r="W582" s="507"/>
    </row>
    <row r="583" ht="35.25" customHeight="1">
      <c r="A583" s="18"/>
      <c r="B583" s="547" t="s">
        <v>219</v>
      </c>
      <c r="C583" s="593">
        <v>7.06635E7</v>
      </c>
      <c r="D583" s="18"/>
      <c r="E583" s="556"/>
      <c r="F583" s="507"/>
      <c r="G583" s="507"/>
      <c r="H583" s="507"/>
      <c r="I583" s="507"/>
      <c r="J583" s="507"/>
      <c r="K583" s="507"/>
      <c r="L583" s="507"/>
      <c r="M583" s="507"/>
      <c r="N583" s="507"/>
      <c r="O583" s="507"/>
      <c r="P583" s="507"/>
      <c r="Q583" s="507"/>
      <c r="R583" s="507"/>
      <c r="S583" s="507"/>
      <c r="T583" s="507"/>
      <c r="U583" s="507"/>
      <c r="V583" s="507"/>
      <c r="W583" s="507"/>
    </row>
    <row r="584" ht="35.25" customHeight="1">
      <c r="A584" s="18"/>
      <c r="B584" s="547" t="s">
        <v>89</v>
      </c>
      <c r="C584" s="598">
        <v>3.4082E7</v>
      </c>
      <c r="D584" s="18"/>
      <c r="E584" s="507"/>
      <c r="F584" s="507"/>
      <c r="G584" s="507"/>
      <c r="H584" s="507"/>
      <c r="I584" s="507"/>
      <c r="J584" s="507"/>
      <c r="K584" s="507"/>
      <c r="L584" s="507"/>
      <c r="M584" s="507"/>
      <c r="N584" s="507"/>
      <c r="O584" s="507"/>
      <c r="P584" s="507"/>
      <c r="Q584" s="507"/>
      <c r="R584" s="507"/>
      <c r="S584" s="507"/>
      <c r="T584" s="507"/>
      <c r="U584" s="507"/>
      <c r="V584" s="507"/>
      <c r="W584" s="507"/>
    </row>
    <row r="585" ht="35.25" customHeight="1">
      <c r="A585" s="18"/>
      <c r="B585" s="547" t="s">
        <v>220</v>
      </c>
      <c r="C585" s="598">
        <v>4.3612E7</v>
      </c>
      <c r="D585" s="18"/>
      <c r="E585" s="507"/>
      <c r="F585" s="507"/>
      <c r="G585" s="507"/>
      <c r="H585" s="507"/>
      <c r="I585" s="507"/>
      <c r="J585" s="507"/>
      <c r="K585" s="507"/>
      <c r="L585" s="507"/>
      <c r="M585" s="507"/>
      <c r="N585" s="507"/>
      <c r="O585" s="507"/>
      <c r="P585" s="507"/>
      <c r="Q585" s="507"/>
      <c r="R585" s="507"/>
      <c r="S585" s="507"/>
      <c r="T585" s="507"/>
      <c r="U585" s="507"/>
      <c r="V585" s="507"/>
      <c r="W585" s="507"/>
    </row>
    <row r="586" ht="35.25" customHeight="1">
      <c r="A586" s="22"/>
      <c r="B586" s="547" t="s">
        <v>697</v>
      </c>
      <c r="C586" s="598">
        <v>4.42675E7</v>
      </c>
      <c r="D586" s="22"/>
      <c r="E586" s="507"/>
      <c r="F586" s="507"/>
      <c r="G586" s="507"/>
      <c r="H586" s="507"/>
      <c r="I586" s="507"/>
      <c r="J586" s="507"/>
      <c r="K586" s="507"/>
      <c r="L586" s="507"/>
      <c r="M586" s="507"/>
      <c r="N586" s="507"/>
      <c r="O586" s="507"/>
      <c r="P586" s="507"/>
      <c r="Q586" s="507"/>
      <c r="R586" s="507"/>
      <c r="S586" s="507"/>
      <c r="T586" s="507"/>
      <c r="U586" s="507"/>
      <c r="V586" s="507"/>
      <c r="W586" s="507"/>
    </row>
    <row r="587" ht="35.25" customHeight="1">
      <c r="A587" s="679" t="s">
        <v>711</v>
      </c>
      <c r="B587" s="547" t="s">
        <v>88</v>
      </c>
      <c r="C587" s="593" t="s">
        <v>700</v>
      </c>
      <c r="D587" s="680">
        <f>sum(C587:C590)</f>
        <v>45541000</v>
      </c>
      <c r="E587" s="507"/>
      <c r="F587" s="507"/>
      <c r="G587" s="507"/>
      <c r="H587" s="507"/>
      <c r="I587" s="507"/>
      <c r="J587" s="507"/>
      <c r="K587" s="507"/>
      <c r="L587" s="507"/>
      <c r="M587" s="507"/>
      <c r="N587" s="507"/>
      <c r="O587" s="507"/>
      <c r="P587" s="507"/>
      <c r="Q587" s="507"/>
      <c r="R587" s="507"/>
      <c r="S587" s="507"/>
      <c r="T587" s="507"/>
      <c r="U587" s="507"/>
      <c r="V587" s="507"/>
      <c r="W587" s="507"/>
    </row>
    <row r="588" ht="35.25" customHeight="1">
      <c r="A588" s="18"/>
      <c r="B588" s="547" t="s">
        <v>219</v>
      </c>
      <c r="C588" s="593" t="s">
        <v>700</v>
      </c>
      <c r="D588" s="18"/>
      <c r="E588" s="507"/>
      <c r="F588" s="507"/>
      <c r="G588" s="507"/>
      <c r="H588" s="507"/>
      <c r="I588" s="507"/>
      <c r="J588" s="507"/>
      <c r="K588" s="507"/>
      <c r="L588" s="507"/>
      <c r="M588" s="507"/>
      <c r="N588" s="507"/>
      <c r="O588" s="507"/>
      <c r="P588" s="507"/>
      <c r="Q588" s="507"/>
      <c r="R588" s="507"/>
      <c r="S588" s="507"/>
      <c r="T588" s="507"/>
      <c r="U588" s="507"/>
      <c r="V588" s="507"/>
      <c r="W588" s="507"/>
    </row>
    <row r="589" ht="35.25" customHeight="1">
      <c r="A589" s="18"/>
      <c r="B589" s="547" t="s">
        <v>89</v>
      </c>
      <c r="C589" s="598" t="s">
        <v>700</v>
      </c>
      <c r="D589" s="18"/>
      <c r="E589" s="507"/>
      <c r="F589" s="507"/>
      <c r="G589" s="507"/>
      <c r="H589" s="507"/>
      <c r="I589" s="507"/>
      <c r="J589" s="507"/>
      <c r="K589" s="507"/>
      <c r="L589" s="507"/>
      <c r="M589" s="507"/>
      <c r="N589" s="507"/>
      <c r="O589" s="507"/>
      <c r="P589" s="507"/>
      <c r="Q589" s="507"/>
      <c r="R589" s="507"/>
      <c r="S589" s="507"/>
      <c r="T589" s="507"/>
      <c r="U589" s="507"/>
      <c r="V589" s="507"/>
      <c r="W589" s="507"/>
    </row>
    <row r="590" ht="35.25" customHeight="1">
      <c r="A590" s="22"/>
      <c r="B590" s="547" t="s">
        <v>220</v>
      </c>
      <c r="C590" s="598">
        <f>45661000-120000</f>
        <v>45541000</v>
      </c>
      <c r="D590" s="22"/>
      <c r="E590" s="507"/>
      <c r="F590" s="507"/>
      <c r="G590" s="507"/>
      <c r="H590" s="507"/>
      <c r="I590" s="507"/>
      <c r="J590" s="507"/>
      <c r="K590" s="507"/>
      <c r="L590" s="507"/>
      <c r="M590" s="507"/>
      <c r="N590" s="507"/>
      <c r="O590" s="507"/>
      <c r="P590" s="507"/>
      <c r="Q590" s="507"/>
      <c r="R590" s="507"/>
      <c r="S590" s="507"/>
      <c r="T590" s="507"/>
      <c r="U590" s="507"/>
      <c r="V590" s="507"/>
      <c r="W590" s="507"/>
    </row>
    <row r="591" ht="35.25" customHeight="1">
      <c r="A591" s="679" t="s">
        <v>712</v>
      </c>
      <c r="B591" s="547" t="s">
        <v>88</v>
      </c>
      <c r="C591" s="593">
        <v>1.21572E8</v>
      </c>
      <c r="D591" s="680">
        <f>sum(C591:C595)</f>
        <v>464790000</v>
      </c>
      <c r="E591" s="507"/>
      <c r="F591" s="507"/>
      <c r="G591" s="507"/>
      <c r="H591" s="507"/>
      <c r="I591" s="507"/>
      <c r="J591" s="507"/>
      <c r="K591" s="507"/>
      <c r="L591" s="507"/>
      <c r="M591" s="507"/>
      <c r="N591" s="507"/>
      <c r="O591" s="507"/>
      <c r="P591" s="507"/>
      <c r="Q591" s="507"/>
      <c r="R591" s="507"/>
      <c r="S591" s="507"/>
      <c r="T591" s="507"/>
      <c r="U591" s="507"/>
      <c r="V591" s="507"/>
      <c r="W591" s="507"/>
    </row>
    <row r="592" ht="35.25" customHeight="1">
      <c r="A592" s="18"/>
      <c r="B592" s="547" t="s">
        <v>713</v>
      </c>
      <c r="C592" s="593">
        <v>-4350000.0</v>
      </c>
      <c r="D592" s="18"/>
      <c r="E592" s="507"/>
      <c r="F592" s="507"/>
      <c r="G592" s="507"/>
      <c r="H592" s="507"/>
      <c r="I592" s="507"/>
      <c r="J592" s="507"/>
      <c r="K592" s="507"/>
      <c r="L592" s="507"/>
      <c r="M592" s="507"/>
      <c r="N592" s="507"/>
      <c r="O592" s="507"/>
      <c r="P592" s="507"/>
      <c r="Q592" s="507"/>
      <c r="R592" s="507"/>
      <c r="S592" s="507"/>
      <c r="T592" s="507"/>
      <c r="U592" s="507"/>
      <c r="V592" s="507"/>
      <c r="W592" s="507"/>
    </row>
    <row r="593" ht="35.25" customHeight="1">
      <c r="A593" s="18"/>
      <c r="B593" s="547" t="s">
        <v>219</v>
      </c>
      <c r="C593" s="598">
        <v>1.58908E8</v>
      </c>
      <c r="D593" s="18"/>
      <c r="E593" s="556" t="s">
        <v>658</v>
      </c>
      <c r="F593" s="507"/>
      <c r="G593" s="507"/>
      <c r="H593" s="507"/>
      <c r="I593" s="507"/>
      <c r="J593" s="507"/>
      <c r="K593" s="507"/>
      <c r="L593" s="507"/>
      <c r="M593" s="507"/>
      <c r="N593" s="507"/>
      <c r="O593" s="507"/>
      <c r="P593" s="507"/>
      <c r="Q593" s="507"/>
      <c r="R593" s="507"/>
      <c r="S593" s="507"/>
      <c r="T593" s="507"/>
      <c r="U593" s="507"/>
      <c r="V593" s="507"/>
      <c r="W593" s="507"/>
    </row>
    <row r="594" ht="35.25" customHeight="1">
      <c r="A594" s="18"/>
      <c r="B594" s="547" t="s">
        <v>89</v>
      </c>
      <c r="C594" s="598">
        <f>139847000-2225000</f>
        <v>137622000</v>
      </c>
      <c r="D594" s="18"/>
      <c r="E594" s="507"/>
      <c r="F594" s="507"/>
      <c r="G594" s="507"/>
      <c r="H594" s="507"/>
      <c r="I594" s="507"/>
      <c r="J594" s="507"/>
      <c r="K594" s="507"/>
      <c r="L594" s="507"/>
      <c r="M594" s="507"/>
      <c r="N594" s="507"/>
      <c r="O594" s="507"/>
      <c r="P594" s="507"/>
      <c r="Q594" s="507"/>
      <c r="R594" s="507"/>
      <c r="S594" s="507"/>
      <c r="T594" s="507"/>
      <c r="U594" s="507"/>
      <c r="V594" s="507"/>
      <c r="W594" s="507"/>
    </row>
    <row r="595" ht="35.25" customHeight="1">
      <c r="A595" s="22"/>
      <c r="B595" s="547" t="s">
        <v>220</v>
      </c>
      <c r="C595" s="598">
        <v>5.1038E7</v>
      </c>
      <c r="D595" s="22"/>
      <c r="E595" s="507"/>
      <c r="F595" s="507"/>
      <c r="G595" s="507"/>
      <c r="H595" s="507"/>
      <c r="I595" s="507"/>
      <c r="J595" s="507"/>
      <c r="K595" s="507"/>
      <c r="L595" s="507"/>
      <c r="M595" s="507"/>
      <c r="N595" s="507"/>
      <c r="O595" s="507"/>
      <c r="P595" s="507"/>
      <c r="Q595" s="507"/>
      <c r="R595" s="507"/>
      <c r="S595" s="507"/>
      <c r="T595" s="507"/>
      <c r="U595" s="507"/>
      <c r="V595" s="507"/>
      <c r="W595" s="507"/>
    </row>
    <row r="596" ht="35.25" customHeight="1">
      <c r="A596" s="679" t="s">
        <v>60</v>
      </c>
      <c r="B596" s="547" t="s">
        <v>88</v>
      </c>
      <c r="C596" s="593" t="s">
        <v>700</v>
      </c>
      <c r="D596" s="680">
        <f>sum(C596:C600)</f>
        <v>120807500</v>
      </c>
      <c r="E596" s="507"/>
      <c r="F596" s="507"/>
      <c r="G596" s="507"/>
      <c r="H596" s="507"/>
      <c r="I596" s="507"/>
      <c r="J596" s="507"/>
      <c r="K596" s="507"/>
      <c r="L596" s="507"/>
      <c r="M596" s="507"/>
      <c r="N596" s="507"/>
      <c r="O596" s="507"/>
      <c r="P596" s="507"/>
      <c r="Q596" s="507"/>
      <c r="R596" s="507"/>
      <c r="S596" s="507"/>
      <c r="T596" s="507"/>
      <c r="U596" s="507"/>
      <c r="V596" s="507"/>
      <c r="W596" s="507"/>
    </row>
    <row r="597" ht="35.25" customHeight="1">
      <c r="A597" s="18"/>
      <c r="B597" s="547" t="s">
        <v>219</v>
      </c>
      <c r="C597" s="593" t="s">
        <v>700</v>
      </c>
      <c r="D597" s="18"/>
      <c r="E597" s="507"/>
      <c r="F597" s="507"/>
      <c r="G597" s="507"/>
      <c r="H597" s="507"/>
      <c r="I597" s="507"/>
      <c r="J597" s="507"/>
      <c r="K597" s="507"/>
      <c r="L597" s="507"/>
      <c r="M597" s="507"/>
      <c r="N597" s="507"/>
      <c r="O597" s="507"/>
      <c r="P597" s="507"/>
      <c r="Q597" s="507"/>
      <c r="R597" s="507"/>
      <c r="S597" s="507"/>
      <c r="T597" s="507"/>
      <c r="U597" s="507"/>
      <c r="V597" s="507"/>
      <c r="W597" s="507"/>
    </row>
    <row r="598" ht="35.25" customHeight="1">
      <c r="A598" s="18"/>
      <c r="B598" s="547" t="s">
        <v>89</v>
      </c>
      <c r="C598" s="598" t="s">
        <v>700</v>
      </c>
      <c r="D598" s="18"/>
      <c r="E598" s="507"/>
      <c r="F598" s="507"/>
      <c r="G598" s="507"/>
      <c r="H598" s="507"/>
      <c r="I598" s="507"/>
      <c r="J598" s="507"/>
      <c r="K598" s="507"/>
      <c r="L598" s="507"/>
      <c r="M598" s="507"/>
      <c r="N598" s="507"/>
      <c r="O598" s="507"/>
      <c r="P598" s="507"/>
      <c r="Q598" s="507"/>
      <c r="R598" s="507"/>
      <c r="S598" s="507"/>
      <c r="T598" s="507"/>
      <c r="U598" s="507"/>
      <c r="V598" s="507"/>
      <c r="W598" s="507"/>
    </row>
    <row r="599" ht="35.25" customHeight="1">
      <c r="A599" s="18"/>
      <c r="B599" s="547" t="s">
        <v>220</v>
      </c>
      <c r="C599" s="593">
        <v>6.1375E7</v>
      </c>
      <c r="D599" s="18"/>
      <c r="E599" s="507"/>
      <c r="F599" s="507"/>
      <c r="G599" s="507"/>
      <c r="H599" s="507"/>
      <c r="I599" s="507"/>
      <c r="J599" s="507"/>
      <c r="K599" s="507"/>
      <c r="L599" s="507"/>
      <c r="M599" s="507"/>
      <c r="N599" s="507"/>
      <c r="O599" s="507"/>
      <c r="P599" s="507"/>
      <c r="Q599" s="507"/>
      <c r="R599" s="507"/>
      <c r="S599" s="507"/>
      <c r="T599" s="507"/>
      <c r="U599" s="507"/>
      <c r="V599" s="507"/>
      <c r="W599" s="507"/>
    </row>
    <row r="600" ht="35.25" customHeight="1">
      <c r="A600" s="22"/>
      <c r="B600" s="547" t="s">
        <v>697</v>
      </c>
      <c r="C600" s="593">
        <v>5.94325E7</v>
      </c>
      <c r="D600" s="22"/>
      <c r="E600" s="507"/>
      <c r="F600" s="507"/>
      <c r="G600" s="507"/>
      <c r="H600" s="507"/>
      <c r="I600" s="507"/>
      <c r="J600" s="507"/>
      <c r="K600" s="507"/>
      <c r="L600" s="507"/>
      <c r="M600" s="507"/>
      <c r="N600" s="507"/>
      <c r="O600" s="507"/>
      <c r="P600" s="507"/>
      <c r="Q600" s="507"/>
      <c r="R600" s="507"/>
      <c r="S600" s="507"/>
      <c r="T600" s="507"/>
      <c r="U600" s="507"/>
      <c r="V600" s="507"/>
      <c r="W600" s="507"/>
    </row>
    <row r="601" ht="35.25" customHeight="1">
      <c r="A601" s="679" t="s">
        <v>714</v>
      </c>
      <c r="B601" s="547" t="s">
        <v>219</v>
      </c>
      <c r="C601" s="593" t="s">
        <v>700</v>
      </c>
      <c r="D601" s="680">
        <f>SUM(C601:C604)</f>
        <v>42254000</v>
      </c>
      <c r="E601" s="507"/>
      <c r="F601" s="507"/>
      <c r="G601" s="507"/>
      <c r="H601" s="507"/>
      <c r="I601" s="507"/>
      <c r="J601" s="507"/>
      <c r="K601" s="507"/>
      <c r="L601" s="507"/>
      <c r="M601" s="507"/>
      <c r="N601" s="507"/>
      <c r="O601" s="507"/>
      <c r="P601" s="507"/>
      <c r="Q601" s="507"/>
      <c r="R601" s="507"/>
      <c r="S601" s="507"/>
      <c r="T601" s="507"/>
      <c r="U601" s="507"/>
      <c r="V601" s="507"/>
      <c r="W601" s="507"/>
    </row>
    <row r="602" ht="35.25" customHeight="1">
      <c r="A602" s="18"/>
      <c r="B602" s="547" t="s">
        <v>89</v>
      </c>
      <c r="C602" s="598" t="s">
        <v>700</v>
      </c>
      <c r="D602" s="18"/>
      <c r="E602" s="507"/>
      <c r="F602" s="507"/>
      <c r="G602" s="507"/>
      <c r="H602" s="507"/>
      <c r="I602" s="507"/>
      <c r="J602" s="507"/>
      <c r="K602" s="507"/>
      <c r="L602" s="507"/>
      <c r="M602" s="507"/>
      <c r="N602" s="507"/>
      <c r="O602" s="507"/>
      <c r="P602" s="507"/>
      <c r="Q602" s="507"/>
      <c r="R602" s="507"/>
      <c r="S602" s="507"/>
      <c r="T602" s="507"/>
      <c r="U602" s="507"/>
      <c r="V602" s="507"/>
      <c r="W602" s="507"/>
    </row>
    <row r="603" ht="35.25" customHeight="1">
      <c r="A603" s="18"/>
      <c r="B603" s="547" t="s">
        <v>220</v>
      </c>
      <c r="C603" s="593">
        <f>22939000-195000</f>
        <v>22744000</v>
      </c>
      <c r="D603" s="18"/>
      <c r="E603" s="507"/>
      <c r="F603" s="507"/>
      <c r="G603" s="507"/>
      <c r="H603" s="507"/>
      <c r="I603" s="507"/>
      <c r="J603" s="507"/>
      <c r="K603" s="507"/>
      <c r="L603" s="507"/>
      <c r="M603" s="507"/>
      <c r="N603" s="507"/>
      <c r="O603" s="507"/>
      <c r="P603" s="507"/>
      <c r="Q603" s="507"/>
      <c r="R603" s="507"/>
      <c r="S603" s="507"/>
      <c r="T603" s="507"/>
      <c r="U603" s="507"/>
      <c r="V603" s="507"/>
      <c r="W603" s="507"/>
    </row>
    <row r="604" ht="35.25" customHeight="1">
      <c r="A604" s="22"/>
      <c r="B604" s="547" t="s">
        <v>697</v>
      </c>
      <c r="C604" s="593">
        <f>19635000-125000</f>
        <v>19510000</v>
      </c>
      <c r="D604" s="22"/>
      <c r="E604" s="507"/>
      <c r="F604" s="507"/>
      <c r="G604" s="507"/>
      <c r="H604" s="507"/>
      <c r="I604" s="507"/>
      <c r="J604" s="507"/>
      <c r="K604" s="507"/>
      <c r="L604" s="507"/>
      <c r="M604" s="507"/>
      <c r="N604" s="507"/>
      <c r="O604" s="507"/>
      <c r="P604" s="507"/>
      <c r="Q604" s="507"/>
      <c r="R604" s="507"/>
      <c r="S604" s="507"/>
      <c r="T604" s="507"/>
      <c r="U604" s="507"/>
      <c r="V604" s="507"/>
      <c r="W604" s="507"/>
    </row>
    <row r="605" ht="35.25" customHeight="1">
      <c r="A605" s="679" t="s">
        <v>715</v>
      </c>
      <c r="B605" s="547" t="s">
        <v>88</v>
      </c>
      <c r="C605" s="593"/>
      <c r="D605" s="680">
        <f>sum(C605:C608)</f>
        <v>69640000</v>
      </c>
      <c r="E605" s="507"/>
      <c r="F605" s="507"/>
      <c r="G605" s="507"/>
      <c r="H605" s="507"/>
      <c r="I605" s="507"/>
      <c r="J605" s="507"/>
      <c r="K605" s="507"/>
      <c r="L605" s="507"/>
      <c r="M605" s="507"/>
      <c r="N605" s="507"/>
      <c r="O605" s="507"/>
      <c r="P605" s="507"/>
      <c r="Q605" s="507"/>
      <c r="R605" s="507"/>
      <c r="S605" s="507"/>
      <c r="T605" s="507"/>
      <c r="U605" s="507"/>
      <c r="V605" s="507"/>
      <c r="W605" s="507"/>
    </row>
    <row r="606" ht="35.25" customHeight="1">
      <c r="A606" s="18"/>
      <c r="B606" s="547" t="s">
        <v>219</v>
      </c>
      <c r="C606" s="593"/>
      <c r="D606" s="18"/>
      <c r="E606" s="507"/>
      <c r="F606" s="507"/>
      <c r="G606" s="507"/>
      <c r="H606" s="507"/>
      <c r="I606" s="507"/>
      <c r="J606" s="507"/>
      <c r="K606" s="507"/>
      <c r="L606" s="507"/>
      <c r="M606" s="507"/>
      <c r="N606" s="507"/>
      <c r="O606" s="507"/>
      <c r="P606" s="507"/>
      <c r="Q606" s="507"/>
      <c r="R606" s="507"/>
      <c r="S606" s="507"/>
      <c r="T606" s="507"/>
      <c r="U606" s="507"/>
      <c r="V606" s="507"/>
      <c r="W606" s="507"/>
    </row>
    <row r="607" ht="35.25" customHeight="1">
      <c r="A607" s="18"/>
      <c r="B607" s="547" t="s">
        <v>89</v>
      </c>
      <c r="C607" s="593"/>
      <c r="D607" s="18"/>
      <c r="E607" s="507"/>
      <c r="F607" s="507"/>
      <c r="G607" s="507"/>
      <c r="H607" s="507"/>
      <c r="I607" s="507"/>
      <c r="J607" s="507"/>
      <c r="K607" s="507"/>
      <c r="L607" s="507"/>
      <c r="M607" s="507"/>
      <c r="N607" s="507"/>
      <c r="O607" s="507"/>
      <c r="P607" s="507"/>
      <c r="Q607" s="507"/>
      <c r="R607" s="507"/>
      <c r="S607" s="507"/>
      <c r="T607" s="507"/>
      <c r="U607" s="507"/>
      <c r="V607" s="507"/>
      <c r="W607" s="507"/>
    </row>
    <row r="608" ht="35.25" customHeight="1">
      <c r="A608" s="22"/>
      <c r="B608" s="547" t="s">
        <v>220</v>
      </c>
      <c r="C608" s="593">
        <v>6.964E7</v>
      </c>
      <c r="D608" s="22"/>
      <c r="E608" s="507"/>
      <c r="F608" s="507"/>
      <c r="G608" s="507"/>
      <c r="H608" s="507"/>
      <c r="I608" s="507"/>
      <c r="J608" s="507"/>
      <c r="K608" s="507"/>
      <c r="L608" s="507"/>
      <c r="M608" s="507"/>
      <c r="N608" s="507"/>
      <c r="O608" s="507"/>
      <c r="P608" s="507"/>
      <c r="Q608" s="507"/>
      <c r="R608" s="507"/>
      <c r="S608" s="507"/>
      <c r="T608" s="507"/>
      <c r="U608" s="507"/>
      <c r="V608" s="507"/>
      <c r="W608" s="507"/>
    </row>
    <row r="609" ht="35.25" customHeight="1">
      <c r="A609" s="679" t="s">
        <v>716</v>
      </c>
      <c r="B609" s="547" t="s">
        <v>88</v>
      </c>
      <c r="C609" s="593">
        <v>0.0</v>
      </c>
      <c r="D609" s="680">
        <f>SUM(C609:C612)</f>
        <v>258632000</v>
      </c>
      <c r="E609" s="507"/>
      <c r="F609" s="507"/>
      <c r="G609" s="507"/>
      <c r="H609" s="507"/>
      <c r="I609" s="507"/>
      <c r="J609" s="507"/>
      <c r="K609" s="507"/>
      <c r="L609" s="507"/>
      <c r="M609" s="507"/>
      <c r="N609" s="507"/>
      <c r="O609" s="507"/>
      <c r="P609" s="507"/>
      <c r="Q609" s="507"/>
      <c r="R609" s="507"/>
      <c r="S609" s="507"/>
      <c r="T609" s="507"/>
      <c r="U609" s="507"/>
      <c r="V609" s="507"/>
      <c r="W609" s="507"/>
    </row>
    <row r="610" ht="35.25" customHeight="1">
      <c r="A610" s="18"/>
      <c r="B610" s="547" t="s">
        <v>219</v>
      </c>
      <c r="C610" s="593">
        <v>0.0</v>
      </c>
      <c r="D610" s="18"/>
      <c r="E610" s="507"/>
      <c r="F610" s="507"/>
      <c r="G610" s="507"/>
      <c r="H610" s="507"/>
      <c r="I610" s="507"/>
      <c r="J610" s="507"/>
      <c r="K610" s="507"/>
      <c r="L610" s="507"/>
      <c r="M610" s="507"/>
      <c r="N610" s="507"/>
      <c r="O610" s="507"/>
      <c r="P610" s="507"/>
      <c r="Q610" s="507"/>
      <c r="R610" s="507"/>
      <c r="S610" s="507"/>
      <c r="T610" s="507"/>
      <c r="U610" s="507"/>
      <c r="V610" s="507"/>
      <c r="W610" s="507"/>
    </row>
    <row r="611" ht="35.25" customHeight="1">
      <c r="A611" s="18"/>
      <c r="B611" s="547" t="s">
        <v>89</v>
      </c>
      <c r="C611" s="598">
        <v>1.38997E8</v>
      </c>
      <c r="D611" s="18"/>
      <c r="E611" s="556" t="s">
        <v>717</v>
      </c>
      <c r="F611" s="507"/>
      <c r="G611" s="507"/>
      <c r="H611" s="507"/>
      <c r="I611" s="507"/>
      <c r="J611" s="507"/>
      <c r="K611" s="507"/>
      <c r="L611" s="507"/>
      <c r="M611" s="507"/>
      <c r="N611" s="507"/>
      <c r="O611" s="507"/>
      <c r="P611" s="507"/>
      <c r="Q611" s="507"/>
      <c r="R611" s="507"/>
      <c r="S611" s="507"/>
      <c r="T611" s="507"/>
      <c r="U611" s="507"/>
      <c r="V611" s="507"/>
      <c r="W611" s="507"/>
    </row>
    <row r="612" ht="35.25" customHeight="1">
      <c r="A612" s="22"/>
      <c r="B612" s="547" t="s">
        <v>220</v>
      </c>
      <c r="C612" s="593">
        <v>1.19635E8</v>
      </c>
      <c r="D612" s="22"/>
      <c r="E612" s="507"/>
      <c r="F612" s="507"/>
      <c r="G612" s="507"/>
      <c r="H612" s="507"/>
      <c r="I612" s="507"/>
      <c r="J612" s="507"/>
      <c r="K612" s="507"/>
      <c r="L612" s="507"/>
      <c r="M612" s="507"/>
      <c r="N612" s="507"/>
      <c r="O612" s="507"/>
      <c r="P612" s="507"/>
      <c r="Q612" s="507"/>
      <c r="R612" s="507"/>
      <c r="S612" s="507"/>
      <c r="T612" s="507"/>
      <c r="U612" s="507"/>
      <c r="V612" s="507"/>
      <c r="W612" s="507"/>
    </row>
    <row r="613" ht="35.25" customHeight="1">
      <c r="A613" s="679" t="s">
        <v>718</v>
      </c>
      <c r="B613" s="547" t="s">
        <v>88</v>
      </c>
      <c r="C613" s="593">
        <v>3.97915E7</v>
      </c>
      <c r="D613" s="680">
        <f>SUM(C613:C617)</f>
        <v>163550500</v>
      </c>
      <c r="E613" s="507"/>
      <c r="F613" s="507"/>
      <c r="G613" s="507"/>
      <c r="H613" s="507"/>
      <c r="I613" s="507"/>
      <c r="J613" s="507"/>
      <c r="K613" s="507"/>
      <c r="L613" s="507"/>
      <c r="M613" s="507"/>
      <c r="N613" s="507"/>
      <c r="O613" s="507"/>
      <c r="P613" s="507"/>
      <c r="Q613" s="507"/>
      <c r="R613" s="507"/>
      <c r="S613" s="507"/>
      <c r="T613" s="507"/>
      <c r="U613" s="507"/>
      <c r="V613" s="507"/>
      <c r="W613" s="507"/>
    </row>
    <row r="614" ht="35.25" customHeight="1">
      <c r="A614" s="18"/>
      <c r="B614" s="547" t="s">
        <v>219</v>
      </c>
      <c r="C614" s="593">
        <v>2.84825E7</v>
      </c>
      <c r="D614" s="18"/>
      <c r="E614" s="507"/>
      <c r="F614" s="507"/>
      <c r="G614" s="507"/>
      <c r="H614" s="507"/>
      <c r="I614" s="507"/>
      <c r="J614" s="507"/>
      <c r="K614" s="507"/>
      <c r="L614" s="507"/>
      <c r="M614" s="507"/>
      <c r="N614" s="507"/>
      <c r="O614" s="507"/>
      <c r="P614" s="507"/>
      <c r="Q614" s="507"/>
      <c r="R614" s="507"/>
      <c r="S614" s="507"/>
      <c r="T614" s="507"/>
      <c r="U614" s="507"/>
      <c r="V614" s="507"/>
      <c r="W614" s="507"/>
    </row>
    <row r="615" ht="35.25" customHeight="1">
      <c r="A615" s="18"/>
      <c r="B615" s="547" t="s">
        <v>89</v>
      </c>
      <c r="C615" s="598">
        <f>35563500-660000</f>
        <v>34903500</v>
      </c>
      <c r="D615" s="18"/>
      <c r="E615" s="507"/>
      <c r="F615" s="507"/>
      <c r="G615" s="507"/>
      <c r="H615" s="507"/>
      <c r="I615" s="507"/>
      <c r="J615" s="507"/>
      <c r="K615" s="507"/>
      <c r="L615" s="507"/>
      <c r="M615" s="507"/>
      <c r="N615" s="507"/>
      <c r="O615" s="507"/>
      <c r="P615" s="507"/>
      <c r="Q615" s="507"/>
      <c r="R615" s="507"/>
      <c r="S615" s="507"/>
      <c r="T615" s="507"/>
      <c r="U615" s="507"/>
      <c r="V615" s="507"/>
      <c r="W615" s="507"/>
    </row>
    <row r="616" ht="35.25" customHeight="1">
      <c r="A616" s="18"/>
      <c r="B616" s="547" t="s">
        <v>220</v>
      </c>
      <c r="C616" s="593">
        <v>2.9885E7</v>
      </c>
      <c r="D616" s="18"/>
      <c r="E616" s="507"/>
      <c r="F616" s="507"/>
      <c r="G616" s="507"/>
      <c r="H616" s="507"/>
      <c r="I616" s="507"/>
      <c r="J616" s="507"/>
      <c r="K616" s="507"/>
      <c r="L616" s="507"/>
      <c r="M616" s="507"/>
      <c r="N616" s="507"/>
      <c r="O616" s="507"/>
      <c r="P616" s="507"/>
      <c r="Q616" s="507"/>
      <c r="R616" s="507"/>
      <c r="S616" s="507"/>
      <c r="T616" s="507"/>
      <c r="U616" s="507"/>
      <c r="V616" s="507"/>
      <c r="W616" s="507"/>
    </row>
    <row r="617" ht="35.25" customHeight="1">
      <c r="A617" s="22"/>
      <c r="B617" s="547" t="s">
        <v>697</v>
      </c>
      <c r="C617" s="593">
        <v>3.0488E7</v>
      </c>
      <c r="D617" s="22"/>
      <c r="E617" s="507"/>
      <c r="F617" s="507"/>
      <c r="G617" s="507"/>
      <c r="H617" s="507"/>
      <c r="I617" s="507"/>
      <c r="J617" s="507"/>
      <c r="K617" s="507"/>
      <c r="L617" s="507"/>
      <c r="M617" s="507"/>
      <c r="N617" s="507"/>
      <c r="O617" s="507"/>
      <c r="P617" s="507"/>
      <c r="Q617" s="507"/>
      <c r="R617" s="507"/>
      <c r="S617" s="507"/>
      <c r="T617" s="507"/>
      <c r="U617" s="507"/>
      <c r="V617" s="507"/>
      <c r="W617" s="507"/>
    </row>
    <row r="618" ht="35.25" customHeight="1">
      <c r="A618" s="679" t="s">
        <v>719</v>
      </c>
      <c r="B618" s="547" t="s">
        <v>88</v>
      </c>
      <c r="C618" s="593">
        <v>4.57535E7</v>
      </c>
      <c r="D618" s="680">
        <f>SUM(C618:C621)</f>
        <v>205356000</v>
      </c>
      <c r="E618" s="507"/>
      <c r="F618" s="507"/>
      <c r="G618" s="507"/>
      <c r="H618" s="507"/>
      <c r="I618" s="507"/>
      <c r="J618" s="507"/>
      <c r="K618" s="507"/>
      <c r="L618" s="507"/>
      <c r="M618" s="507"/>
      <c r="N618" s="507"/>
      <c r="O618" s="507"/>
      <c r="P618" s="507"/>
      <c r="Q618" s="507"/>
      <c r="R618" s="507"/>
      <c r="S618" s="507"/>
      <c r="T618" s="507"/>
      <c r="U618" s="507"/>
      <c r="V618" s="507"/>
      <c r="W618" s="507"/>
    </row>
    <row r="619" ht="35.25" customHeight="1">
      <c r="A619" s="18"/>
      <c r="B619" s="547" t="s">
        <v>219</v>
      </c>
      <c r="C619" s="593">
        <v>5.0437E7</v>
      </c>
      <c r="D619" s="18"/>
      <c r="E619" s="507">
        <f>54160+49437</f>
        <v>103597</v>
      </c>
      <c r="F619" s="507"/>
      <c r="G619" s="507"/>
      <c r="H619" s="507"/>
      <c r="I619" s="507"/>
      <c r="J619" s="507"/>
      <c r="K619" s="507"/>
      <c r="L619" s="507"/>
      <c r="M619" s="507"/>
      <c r="N619" s="507"/>
      <c r="O619" s="507"/>
      <c r="P619" s="507"/>
      <c r="Q619" s="507"/>
      <c r="R619" s="507"/>
      <c r="S619" s="507"/>
      <c r="T619" s="507"/>
      <c r="U619" s="507"/>
      <c r="V619" s="507"/>
      <c r="W619" s="507"/>
    </row>
    <row r="620" ht="35.25" customHeight="1">
      <c r="A620" s="18"/>
      <c r="B620" s="547" t="s">
        <v>89</v>
      </c>
      <c r="C620" s="598">
        <v>5.381E7</v>
      </c>
      <c r="D620" s="18"/>
      <c r="E620" s="507">
        <f>1495-1355</f>
        <v>140</v>
      </c>
      <c r="F620" s="507"/>
      <c r="G620" s="507"/>
      <c r="H620" s="507"/>
      <c r="I620" s="507"/>
      <c r="J620" s="507"/>
      <c r="K620" s="507"/>
      <c r="L620" s="507"/>
      <c r="M620" s="507"/>
      <c r="N620" s="507"/>
      <c r="O620" s="507"/>
      <c r="P620" s="507"/>
      <c r="Q620" s="507"/>
      <c r="R620" s="507"/>
      <c r="S620" s="507"/>
      <c r="T620" s="507"/>
      <c r="U620" s="507"/>
      <c r="V620" s="507"/>
      <c r="W620" s="507"/>
    </row>
    <row r="621" ht="35.25" customHeight="1">
      <c r="A621" s="22"/>
      <c r="B621" s="547" t="s">
        <v>220</v>
      </c>
      <c r="C621" s="593">
        <v>5.53555E7</v>
      </c>
      <c r="D621" s="22"/>
      <c r="E621" s="507"/>
      <c r="F621" s="507">
        <f>54160+45753+49437</f>
        <v>149350</v>
      </c>
      <c r="G621" s="507"/>
      <c r="H621" s="507"/>
      <c r="I621" s="507"/>
      <c r="J621" s="507"/>
      <c r="K621" s="507"/>
      <c r="L621" s="507"/>
      <c r="M621" s="507"/>
      <c r="N621" s="507"/>
      <c r="O621" s="507"/>
      <c r="P621" s="507"/>
      <c r="Q621" s="507"/>
      <c r="R621" s="507"/>
      <c r="S621" s="507"/>
      <c r="T621" s="507"/>
      <c r="U621" s="507"/>
      <c r="V621" s="507"/>
      <c r="W621" s="507"/>
    </row>
    <row r="622" ht="35.25" customHeight="1">
      <c r="A622" s="679" t="s">
        <v>720</v>
      </c>
      <c r="B622" s="547" t="s">
        <v>88</v>
      </c>
      <c r="C622" s="593">
        <v>0.0</v>
      </c>
      <c r="D622" s="680">
        <f>SUM(C622:C626)</f>
        <v>203071000</v>
      </c>
      <c r="E622" s="507"/>
      <c r="F622" s="507"/>
      <c r="G622" s="507"/>
      <c r="H622" s="507"/>
      <c r="I622" s="507"/>
      <c r="J622" s="507"/>
      <c r="K622" s="507"/>
      <c r="L622" s="507"/>
      <c r="M622" s="507"/>
      <c r="N622" s="507"/>
      <c r="O622" s="507"/>
      <c r="P622" s="507"/>
      <c r="Q622" s="507"/>
      <c r="R622" s="507"/>
      <c r="S622" s="507"/>
      <c r="T622" s="507"/>
      <c r="U622" s="507"/>
      <c r="V622" s="507"/>
      <c r="W622" s="507"/>
    </row>
    <row r="623" ht="35.25" customHeight="1">
      <c r="A623" s="18"/>
      <c r="B623" s="547" t="s">
        <v>219</v>
      </c>
      <c r="C623" s="593">
        <v>0.0</v>
      </c>
      <c r="D623" s="18"/>
      <c r="E623" s="507"/>
      <c r="F623" s="507"/>
      <c r="G623" s="507"/>
      <c r="H623" s="507"/>
      <c r="I623" s="507"/>
      <c r="J623" s="507"/>
      <c r="K623" s="507"/>
      <c r="L623" s="507"/>
      <c r="M623" s="507"/>
      <c r="N623" s="507"/>
      <c r="O623" s="507"/>
      <c r="P623" s="507"/>
      <c r="Q623" s="507"/>
      <c r="R623" s="507"/>
      <c r="S623" s="507"/>
      <c r="T623" s="507"/>
      <c r="U623" s="507"/>
      <c r="V623" s="507"/>
      <c r="W623" s="507"/>
    </row>
    <row r="624" ht="35.25" customHeight="1">
      <c r="A624" s="18"/>
      <c r="B624" s="547" t="s">
        <v>89</v>
      </c>
      <c r="C624" s="598">
        <v>1.210355E8</v>
      </c>
      <c r="D624" s="18"/>
      <c r="E624" s="507"/>
      <c r="F624" s="507"/>
      <c r="G624" s="507"/>
      <c r="H624" s="507"/>
      <c r="I624" s="507"/>
      <c r="J624" s="507"/>
      <c r="K624" s="507"/>
      <c r="L624" s="507"/>
      <c r="M624" s="507"/>
      <c r="N624" s="507"/>
      <c r="O624" s="507"/>
      <c r="P624" s="507"/>
      <c r="Q624" s="507"/>
      <c r="R624" s="507"/>
      <c r="S624" s="507"/>
      <c r="T624" s="507"/>
      <c r="U624" s="507"/>
      <c r="V624" s="507"/>
      <c r="W624" s="507"/>
    </row>
    <row r="625" ht="35.25" customHeight="1">
      <c r="A625" s="18"/>
      <c r="B625" s="547" t="s">
        <v>220</v>
      </c>
      <c r="C625" s="593">
        <v>7.63355E7</v>
      </c>
      <c r="D625" s="18"/>
      <c r="E625" s="507"/>
      <c r="F625" s="507"/>
      <c r="G625" s="507"/>
      <c r="H625" s="507"/>
      <c r="I625" s="507"/>
      <c r="J625" s="507"/>
      <c r="K625" s="507"/>
      <c r="L625" s="507"/>
      <c r="M625" s="507"/>
      <c r="N625" s="507"/>
      <c r="O625" s="507"/>
      <c r="P625" s="507"/>
      <c r="Q625" s="507"/>
      <c r="R625" s="507"/>
      <c r="S625" s="507"/>
      <c r="T625" s="507"/>
      <c r="U625" s="507"/>
      <c r="V625" s="507"/>
      <c r="W625" s="507"/>
    </row>
    <row r="626" ht="35.25" customHeight="1">
      <c r="A626" s="22"/>
      <c r="B626" s="547" t="s">
        <v>697</v>
      </c>
      <c r="C626" s="593">
        <v>5700000.0</v>
      </c>
      <c r="D626" s="22"/>
      <c r="E626" s="507"/>
      <c r="F626" s="507"/>
      <c r="G626" s="507"/>
      <c r="H626" s="507"/>
      <c r="I626" s="507"/>
      <c r="J626" s="507"/>
      <c r="K626" s="507"/>
      <c r="L626" s="507"/>
      <c r="M626" s="507"/>
      <c r="N626" s="507"/>
      <c r="O626" s="507"/>
      <c r="P626" s="507"/>
      <c r="Q626" s="507"/>
      <c r="R626" s="507"/>
      <c r="S626" s="507"/>
      <c r="T626" s="507"/>
      <c r="U626" s="507"/>
      <c r="V626" s="507"/>
      <c r="W626" s="507"/>
    </row>
    <row r="627" ht="35.25" customHeight="1">
      <c r="A627" s="507"/>
      <c r="B627" s="507"/>
      <c r="C627" s="507"/>
      <c r="D627" s="508"/>
      <c r="E627" s="507"/>
      <c r="F627" s="507"/>
      <c r="G627" s="507"/>
      <c r="H627" s="507"/>
      <c r="I627" s="507"/>
      <c r="J627" s="507"/>
      <c r="K627" s="507"/>
      <c r="L627" s="507"/>
      <c r="M627" s="507"/>
      <c r="N627" s="507"/>
      <c r="O627" s="507"/>
      <c r="P627" s="507"/>
      <c r="Q627" s="507"/>
      <c r="R627" s="507"/>
      <c r="S627" s="507"/>
      <c r="T627" s="507"/>
      <c r="U627" s="507"/>
      <c r="V627" s="507"/>
      <c r="W627" s="507"/>
    </row>
    <row r="628" ht="35.25" customHeight="1">
      <c r="A628" s="507"/>
      <c r="B628" s="507"/>
      <c r="C628" s="507"/>
      <c r="D628" s="508"/>
      <c r="E628" s="507"/>
      <c r="F628" s="507"/>
      <c r="G628" s="507"/>
      <c r="H628" s="507"/>
      <c r="I628" s="507"/>
      <c r="J628" s="507"/>
      <c r="K628" s="507"/>
      <c r="L628" s="507"/>
      <c r="M628" s="507"/>
      <c r="N628" s="507"/>
      <c r="O628" s="507"/>
      <c r="P628" s="507"/>
      <c r="Q628" s="507"/>
      <c r="R628" s="507"/>
      <c r="S628" s="507"/>
      <c r="T628" s="507"/>
      <c r="U628" s="507"/>
      <c r="V628" s="507"/>
      <c r="W628" s="507"/>
    </row>
    <row r="629" ht="35.25" customHeight="1">
      <c r="A629" s="507"/>
      <c r="B629" s="507"/>
      <c r="C629" s="507"/>
      <c r="D629" s="508"/>
      <c r="E629" s="507"/>
      <c r="F629" s="507"/>
      <c r="G629" s="507"/>
      <c r="H629" s="507"/>
      <c r="I629" s="507"/>
      <c r="J629" s="507"/>
      <c r="K629" s="507"/>
      <c r="L629" s="507"/>
      <c r="M629" s="507"/>
      <c r="N629" s="507"/>
      <c r="O629" s="507"/>
      <c r="P629" s="507"/>
      <c r="Q629" s="507"/>
      <c r="R629" s="507"/>
      <c r="S629" s="507"/>
      <c r="T629" s="507"/>
      <c r="U629" s="507"/>
      <c r="V629" s="507"/>
      <c r="W629" s="507"/>
    </row>
    <row r="630" ht="35.25" customHeight="1">
      <c r="A630" s="507"/>
      <c r="B630" s="507"/>
      <c r="C630" s="507"/>
      <c r="D630" s="508"/>
      <c r="E630" s="507"/>
      <c r="F630" s="507"/>
      <c r="G630" s="507"/>
      <c r="H630" s="507"/>
      <c r="I630" s="507"/>
      <c r="J630" s="507"/>
      <c r="K630" s="507"/>
      <c r="L630" s="507"/>
      <c r="M630" s="507"/>
      <c r="N630" s="507"/>
      <c r="O630" s="507"/>
      <c r="P630" s="507"/>
      <c r="Q630" s="507"/>
      <c r="R630" s="507"/>
      <c r="S630" s="507"/>
      <c r="T630" s="507"/>
      <c r="U630" s="507"/>
      <c r="V630" s="507"/>
      <c r="W630" s="507"/>
    </row>
    <row r="631" ht="35.25" customHeight="1">
      <c r="A631" s="507"/>
      <c r="B631" s="507"/>
      <c r="C631" s="507"/>
      <c r="D631" s="508"/>
      <c r="E631" s="507"/>
      <c r="F631" s="507"/>
      <c r="G631" s="507"/>
      <c r="H631" s="507"/>
      <c r="I631" s="507"/>
      <c r="J631" s="507"/>
      <c r="K631" s="507"/>
      <c r="L631" s="507"/>
      <c r="M631" s="507"/>
      <c r="N631" s="507"/>
      <c r="O631" s="507"/>
      <c r="P631" s="507"/>
      <c r="Q631" s="507"/>
      <c r="R631" s="507"/>
      <c r="S631" s="507"/>
      <c r="T631" s="507"/>
      <c r="U631" s="507"/>
      <c r="V631" s="507"/>
      <c r="W631" s="507"/>
    </row>
    <row r="632" ht="35.25" customHeight="1">
      <c r="A632" s="507"/>
      <c r="B632" s="507"/>
      <c r="C632" s="507"/>
      <c r="D632" s="508"/>
      <c r="E632" s="507"/>
      <c r="F632" s="507"/>
      <c r="G632" s="507"/>
      <c r="H632" s="507"/>
      <c r="I632" s="507"/>
      <c r="J632" s="507"/>
      <c r="K632" s="507"/>
      <c r="L632" s="507"/>
      <c r="M632" s="507"/>
      <c r="N632" s="507"/>
      <c r="O632" s="507"/>
      <c r="P632" s="507"/>
      <c r="Q632" s="507"/>
      <c r="R632" s="507"/>
      <c r="S632" s="507"/>
      <c r="T632" s="507"/>
      <c r="U632" s="507"/>
      <c r="V632" s="507"/>
      <c r="W632" s="507"/>
    </row>
    <row r="633" ht="35.25" customHeight="1">
      <c r="A633" s="507"/>
      <c r="B633" s="507"/>
      <c r="C633" s="507"/>
      <c r="D633" s="508"/>
      <c r="E633" s="507"/>
      <c r="F633" s="507"/>
      <c r="G633" s="507"/>
      <c r="H633" s="507"/>
      <c r="I633" s="507"/>
      <c r="J633" s="507"/>
      <c r="K633" s="507"/>
      <c r="L633" s="507"/>
      <c r="M633" s="507"/>
      <c r="N633" s="507"/>
      <c r="O633" s="507"/>
      <c r="P633" s="507"/>
      <c r="Q633" s="507"/>
      <c r="R633" s="507"/>
      <c r="S633" s="507"/>
      <c r="T633" s="507"/>
      <c r="U633" s="507"/>
      <c r="V633" s="507"/>
      <c r="W633" s="507"/>
    </row>
    <row r="634" ht="35.25" customHeight="1">
      <c r="A634" s="507"/>
      <c r="B634" s="507"/>
      <c r="C634" s="507"/>
      <c r="D634" s="508"/>
      <c r="E634" s="507"/>
      <c r="F634" s="507"/>
      <c r="G634" s="507"/>
      <c r="H634" s="507"/>
      <c r="I634" s="507"/>
      <c r="J634" s="507"/>
      <c r="K634" s="507"/>
      <c r="L634" s="507"/>
      <c r="M634" s="507"/>
      <c r="N634" s="507"/>
      <c r="O634" s="507"/>
      <c r="P634" s="507"/>
      <c r="Q634" s="507"/>
      <c r="R634" s="507"/>
      <c r="S634" s="507"/>
      <c r="T634" s="507"/>
      <c r="U634" s="507"/>
      <c r="V634" s="507"/>
      <c r="W634" s="507"/>
    </row>
    <row r="635" ht="35.25" customHeight="1">
      <c r="A635" s="507"/>
      <c r="B635" s="507"/>
      <c r="C635" s="507"/>
      <c r="D635" s="508"/>
      <c r="E635" s="507"/>
      <c r="F635" s="507"/>
      <c r="G635" s="507"/>
      <c r="H635" s="507"/>
      <c r="I635" s="507"/>
      <c r="J635" s="507"/>
      <c r="K635" s="507"/>
      <c r="L635" s="507"/>
      <c r="M635" s="507"/>
      <c r="N635" s="507"/>
      <c r="O635" s="507"/>
      <c r="P635" s="507"/>
      <c r="Q635" s="507"/>
      <c r="R635" s="507"/>
      <c r="S635" s="507"/>
      <c r="T635" s="507"/>
      <c r="U635" s="507"/>
      <c r="V635" s="507"/>
      <c r="W635" s="507"/>
    </row>
    <row r="636" ht="35.25" customHeight="1">
      <c r="A636" s="507"/>
      <c r="B636" s="507"/>
      <c r="C636" s="507"/>
      <c r="D636" s="508"/>
      <c r="E636" s="507"/>
      <c r="F636" s="507"/>
      <c r="G636" s="507"/>
      <c r="H636" s="507"/>
      <c r="I636" s="507"/>
      <c r="J636" s="507"/>
      <c r="K636" s="507"/>
      <c r="L636" s="507"/>
      <c r="M636" s="507"/>
      <c r="N636" s="507"/>
      <c r="O636" s="507"/>
      <c r="P636" s="507"/>
      <c r="Q636" s="507"/>
      <c r="R636" s="507"/>
      <c r="S636" s="507"/>
      <c r="T636" s="507"/>
      <c r="U636" s="507"/>
      <c r="V636" s="507"/>
      <c r="W636" s="507"/>
    </row>
    <row r="637" ht="35.25" customHeight="1">
      <c r="A637" s="507"/>
      <c r="B637" s="507"/>
      <c r="C637" s="507"/>
      <c r="D637" s="508"/>
      <c r="E637" s="507"/>
      <c r="F637" s="507"/>
      <c r="G637" s="507"/>
      <c r="H637" s="507"/>
      <c r="I637" s="507"/>
      <c r="J637" s="507"/>
      <c r="K637" s="507"/>
      <c r="L637" s="507"/>
      <c r="M637" s="507"/>
      <c r="N637" s="507"/>
      <c r="O637" s="507"/>
      <c r="P637" s="507"/>
      <c r="Q637" s="507"/>
      <c r="R637" s="507"/>
      <c r="S637" s="507"/>
      <c r="T637" s="507"/>
      <c r="U637" s="507"/>
      <c r="V637" s="507"/>
      <c r="W637" s="507"/>
    </row>
    <row r="638" ht="35.25" customHeight="1">
      <c r="A638" s="507"/>
      <c r="B638" s="507"/>
      <c r="C638" s="507"/>
      <c r="D638" s="508"/>
      <c r="E638" s="507"/>
      <c r="F638" s="507"/>
      <c r="G638" s="507"/>
      <c r="H638" s="507"/>
      <c r="I638" s="507"/>
      <c r="J638" s="507"/>
      <c r="K638" s="507"/>
      <c r="L638" s="507"/>
      <c r="M638" s="507"/>
      <c r="N638" s="507"/>
      <c r="O638" s="507"/>
      <c r="P638" s="507"/>
      <c r="Q638" s="507"/>
      <c r="R638" s="507"/>
      <c r="S638" s="507"/>
      <c r="T638" s="507"/>
      <c r="U638" s="507"/>
      <c r="V638" s="507"/>
      <c r="W638" s="507"/>
    </row>
    <row r="639" ht="35.25" customHeight="1">
      <c r="A639" s="507"/>
      <c r="B639" s="507"/>
      <c r="C639" s="507"/>
      <c r="D639" s="508"/>
      <c r="E639" s="507"/>
      <c r="F639" s="507"/>
      <c r="G639" s="507"/>
      <c r="H639" s="507"/>
      <c r="I639" s="507"/>
      <c r="J639" s="507"/>
      <c r="K639" s="507"/>
      <c r="L639" s="507"/>
      <c r="M639" s="507"/>
      <c r="N639" s="507"/>
      <c r="O639" s="507"/>
      <c r="P639" s="507"/>
      <c r="Q639" s="507"/>
      <c r="R639" s="507"/>
      <c r="S639" s="507"/>
      <c r="T639" s="507"/>
      <c r="U639" s="507"/>
      <c r="V639" s="507"/>
      <c r="W639" s="507"/>
    </row>
    <row r="640" ht="35.25" customHeight="1">
      <c r="A640" s="507"/>
      <c r="B640" s="507"/>
      <c r="C640" s="507"/>
      <c r="D640" s="508"/>
      <c r="E640" s="507"/>
      <c r="F640" s="507"/>
      <c r="G640" s="507"/>
      <c r="H640" s="507"/>
      <c r="I640" s="507"/>
      <c r="J640" s="507"/>
      <c r="K640" s="507"/>
      <c r="L640" s="507"/>
      <c r="M640" s="507"/>
      <c r="N640" s="507"/>
      <c r="O640" s="507"/>
      <c r="P640" s="507"/>
      <c r="Q640" s="507"/>
      <c r="R640" s="507"/>
      <c r="S640" s="507"/>
      <c r="T640" s="507"/>
      <c r="U640" s="507"/>
      <c r="V640" s="507"/>
      <c r="W640" s="507"/>
    </row>
    <row r="641" ht="35.25" customHeight="1">
      <c r="A641" s="507"/>
      <c r="B641" s="507"/>
      <c r="C641" s="507"/>
      <c r="D641" s="508"/>
      <c r="E641" s="507"/>
      <c r="F641" s="507"/>
      <c r="G641" s="507"/>
      <c r="H641" s="507"/>
      <c r="I641" s="507"/>
      <c r="J641" s="507"/>
      <c r="K641" s="507"/>
      <c r="L641" s="507"/>
      <c r="M641" s="507"/>
      <c r="N641" s="507"/>
      <c r="O641" s="507"/>
      <c r="P641" s="507"/>
      <c r="Q641" s="507"/>
      <c r="R641" s="507"/>
      <c r="S641" s="507"/>
      <c r="T641" s="507"/>
      <c r="U641" s="507"/>
      <c r="V641" s="507"/>
      <c r="W641" s="507"/>
    </row>
    <row r="642" ht="35.25" customHeight="1">
      <c r="A642" s="507"/>
      <c r="B642" s="507"/>
      <c r="C642" s="507"/>
      <c r="D642" s="508"/>
      <c r="E642" s="507"/>
      <c r="F642" s="507"/>
      <c r="G642" s="507"/>
      <c r="H642" s="507"/>
      <c r="I642" s="507"/>
      <c r="J642" s="507"/>
      <c r="K642" s="507"/>
      <c r="L642" s="507"/>
      <c r="M642" s="507"/>
      <c r="N642" s="507"/>
      <c r="O642" s="507"/>
      <c r="P642" s="507"/>
      <c r="Q642" s="507"/>
      <c r="R642" s="507"/>
      <c r="S642" s="507"/>
      <c r="T642" s="507"/>
      <c r="U642" s="507"/>
      <c r="V642" s="507"/>
      <c r="W642" s="507"/>
    </row>
    <row r="643" ht="35.25" customHeight="1">
      <c r="A643" s="507"/>
      <c r="B643" s="507"/>
      <c r="C643" s="507"/>
      <c r="D643" s="508"/>
      <c r="E643" s="507"/>
      <c r="F643" s="507"/>
      <c r="G643" s="507"/>
      <c r="H643" s="507"/>
      <c r="I643" s="507"/>
      <c r="J643" s="507"/>
      <c r="K643" s="507"/>
      <c r="L643" s="507"/>
      <c r="M643" s="507"/>
      <c r="N643" s="507"/>
      <c r="O643" s="507"/>
      <c r="P643" s="507"/>
      <c r="Q643" s="507"/>
      <c r="R643" s="507"/>
      <c r="S643" s="507"/>
      <c r="T643" s="507"/>
      <c r="U643" s="507"/>
      <c r="V643" s="507"/>
      <c r="W643" s="507"/>
    </row>
    <row r="644" ht="35.25" customHeight="1">
      <c r="A644" s="507"/>
      <c r="B644" s="507"/>
      <c r="C644" s="507"/>
      <c r="D644" s="508"/>
      <c r="E644" s="507"/>
      <c r="F644" s="507"/>
      <c r="G644" s="507"/>
      <c r="H644" s="507"/>
      <c r="I644" s="507"/>
      <c r="J644" s="507"/>
      <c r="K644" s="507"/>
      <c r="L644" s="507"/>
      <c r="M644" s="507"/>
      <c r="N644" s="507"/>
      <c r="O644" s="507"/>
      <c r="P644" s="507"/>
      <c r="Q644" s="507"/>
      <c r="R644" s="507"/>
      <c r="S644" s="507"/>
      <c r="T644" s="507"/>
      <c r="U644" s="507"/>
      <c r="V644" s="507"/>
      <c r="W644" s="507"/>
    </row>
    <row r="645" ht="35.25" customHeight="1">
      <c r="A645" s="507"/>
      <c r="B645" s="507"/>
      <c r="C645" s="507"/>
      <c r="D645" s="508"/>
      <c r="E645" s="507"/>
      <c r="F645" s="507"/>
      <c r="G645" s="507"/>
      <c r="H645" s="507"/>
      <c r="I645" s="507"/>
      <c r="J645" s="507"/>
      <c r="K645" s="507"/>
      <c r="L645" s="507"/>
      <c r="M645" s="507"/>
      <c r="N645" s="507"/>
      <c r="O645" s="507"/>
      <c r="P645" s="507"/>
      <c r="Q645" s="507"/>
      <c r="R645" s="507"/>
      <c r="S645" s="507"/>
      <c r="T645" s="507"/>
      <c r="U645" s="507"/>
      <c r="V645" s="507"/>
      <c r="W645" s="507"/>
    </row>
    <row r="646" ht="35.25" customHeight="1">
      <c r="A646" s="507"/>
      <c r="B646" s="507"/>
      <c r="C646" s="507"/>
      <c r="D646" s="508"/>
      <c r="E646" s="507"/>
      <c r="F646" s="507"/>
      <c r="G646" s="507"/>
      <c r="H646" s="507"/>
      <c r="I646" s="507"/>
      <c r="J646" s="507"/>
      <c r="K646" s="507"/>
      <c r="L646" s="507"/>
      <c r="M646" s="507"/>
      <c r="N646" s="507"/>
      <c r="O646" s="507"/>
      <c r="P646" s="507"/>
      <c r="Q646" s="507"/>
      <c r="R646" s="507"/>
      <c r="S646" s="507"/>
      <c r="T646" s="507"/>
      <c r="U646" s="507"/>
      <c r="V646" s="507"/>
      <c r="W646" s="507"/>
    </row>
    <row r="647" ht="35.25" customHeight="1">
      <c r="A647" s="507"/>
      <c r="B647" s="507"/>
      <c r="C647" s="507"/>
      <c r="D647" s="508"/>
      <c r="E647" s="507"/>
      <c r="F647" s="507"/>
      <c r="G647" s="507"/>
      <c r="H647" s="507"/>
      <c r="I647" s="507"/>
      <c r="J647" s="507"/>
      <c r="K647" s="507"/>
      <c r="L647" s="507"/>
      <c r="M647" s="507"/>
      <c r="N647" s="507"/>
      <c r="O647" s="507"/>
      <c r="P647" s="507"/>
      <c r="Q647" s="507"/>
      <c r="R647" s="507"/>
      <c r="S647" s="507"/>
      <c r="T647" s="507"/>
      <c r="U647" s="507"/>
      <c r="V647" s="507"/>
      <c r="W647" s="507"/>
    </row>
    <row r="648" ht="35.25" customHeight="1">
      <c r="A648" s="507"/>
      <c r="B648" s="507"/>
      <c r="C648" s="507"/>
      <c r="D648" s="508"/>
      <c r="E648" s="507"/>
      <c r="F648" s="507"/>
      <c r="G648" s="507"/>
      <c r="H648" s="507"/>
      <c r="I648" s="507"/>
      <c r="J648" s="507"/>
      <c r="K648" s="507"/>
      <c r="L648" s="507"/>
      <c r="M648" s="507"/>
      <c r="N648" s="507"/>
      <c r="O648" s="507"/>
      <c r="P648" s="507"/>
      <c r="Q648" s="507"/>
      <c r="R648" s="507"/>
      <c r="S648" s="507"/>
      <c r="T648" s="507"/>
      <c r="U648" s="507"/>
      <c r="V648" s="507"/>
      <c r="W648" s="507"/>
    </row>
    <row r="649" ht="35.25" customHeight="1">
      <c r="A649" s="507"/>
      <c r="B649" s="507"/>
      <c r="C649" s="507"/>
      <c r="D649" s="508"/>
      <c r="E649" s="507"/>
      <c r="F649" s="507"/>
      <c r="G649" s="507"/>
      <c r="H649" s="507"/>
      <c r="I649" s="507"/>
      <c r="J649" s="507"/>
      <c r="K649" s="507"/>
      <c r="L649" s="507"/>
      <c r="M649" s="507"/>
      <c r="N649" s="507"/>
      <c r="O649" s="507"/>
      <c r="P649" s="507"/>
      <c r="Q649" s="507"/>
      <c r="R649" s="507"/>
      <c r="S649" s="507"/>
      <c r="T649" s="507"/>
      <c r="U649" s="507"/>
      <c r="V649" s="507"/>
      <c r="W649" s="507"/>
    </row>
    <row r="650" ht="35.25" customHeight="1">
      <c r="A650" s="507"/>
      <c r="B650" s="507"/>
      <c r="C650" s="507"/>
      <c r="D650" s="508"/>
      <c r="E650" s="507"/>
      <c r="F650" s="507"/>
      <c r="G650" s="507"/>
      <c r="H650" s="507"/>
      <c r="I650" s="507"/>
      <c r="J650" s="507"/>
      <c r="K650" s="507"/>
      <c r="L650" s="507"/>
      <c r="M650" s="507"/>
      <c r="N650" s="507"/>
      <c r="O650" s="507"/>
      <c r="P650" s="507"/>
      <c r="Q650" s="507"/>
      <c r="R650" s="507"/>
      <c r="S650" s="507"/>
      <c r="T650" s="507"/>
      <c r="U650" s="507"/>
      <c r="V650" s="507"/>
      <c r="W650" s="507"/>
    </row>
    <row r="651" ht="35.25" customHeight="1">
      <c r="A651" s="507"/>
      <c r="B651" s="507"/>
      <c r="C651" s="507"/>
      <c r="D651" s="508"/>
      <c r="E651" s="507"/>
      <c r="F651" s="507"/>
      <c r="G651" s="507"/>
      <c r="H651" s="507"/>
      <c r="I651" s="507"/>
      <c r="J651" s="507"/>
      <c r="K651" s="507"/>
      <c r="L651" s="507"/>
      <c r="M651" s="507"/>
      <c r="N651" s="507"/>
      <c r="O651" s="507"/>
      <c r="P651" s="507"/>
      <c r="Q651" s="507"/>
      <c r="R651" s="507"/>
      <c r="S651" s="507"/>
      <c r="T651" s="507"/>
      <c r="U651" s="507"/>
      <c r="V651" s="507"/>
      <c r="W651" s="507"/>
    </row>
    <row r="652" ht="35.25" customHeight="1">
      <c r="A652" s="507"/>
      <c r="B652" s="507"/>
      <c r="C652" s="507"/>
      <c r="D652" s="508"/>
      <c r="E652" s="507"/>
      <c r="F652" s="507"/>
      <c r="G652" s="507"/>
      <c r="H652" s="507"/>
      <c r="I652" s="507"/>
      <c r="J652" s="507"/>
      <c r="K652" s="507"/>
      <c r="L652" s="507"/>
      <c r="M652" s="507"/>
      <c r="N652" s="507"/>
      <c r="O652" s="507"/>
      <c r="P652" s="507"/>
      <c r="Q652" s="507"/>
      <c r="R652" s="507"/>
      <c r="S652" s="507"/>
      <c r="T652" s="507"/>
      <c r="U652" s="507"/>
      <c r="V652" s="507"/>
      <c r="W652" s="507"/>
    </row>
    <row r="653" ht="35.25" customHeight="1">
      <c r="A653" s="507"/>
      <c r="B653" s="507"/>
      <c r="C653" s="507"/>
      <c r="D653" s="508"/>
      <c r="E653" s="507"/>
      <c r="F653" s="507"/>
      <c r="G653" s="507"/>
      <c r="H653" s="507"/>
      <c r="I653" s="507"/>
      <c r="J653" s="507"/>
      <c r="K653" s="507"/>
      <c r="L653" s="507"/>
      <c r="M653" s="507"/>
      <c r="N653" s="507"/>
      <c r="O653" s="507"/>
      <c r="P653" s="507"/>
      <c r="Q653" s="507"/>
      <c r="R653" s="507"/>
      <c r="S653" s="507"/>
      <c r="T653" s="507"/>
      <c r="U653" s="507"/>
      <c r="V653" s="507"/>
      <c r="W653" s="507"/>
    </row>
    <row r="654" ht="35.25" customHeight="1">
      <c r="A654" s="507"/>
      <c r="B654" s="507"/>
      <c r="C654" s="507"/>
      <c r="D654" s="508"/>
      <c r="E654" s="507"/>
      <c r="F654" s="507"/>
      <c r="G654" s="507"/>
      <c r="H654" s="507"/>
      <c r="I654" s="507"/>
      <c r="J654" s="507"/>
      <c r="K654" s="507"/>
      <c r="L654" s="507"/>
      <c r="M654" s="507"/>
      <c r="N654" s="507"/>
      <c r="O654" s="507"/>
      <c r="P654" s="507"/>
      <c r="Q654" s="507"/>
      <c r="R654" s="507"/>
      <c r="S654" s="507"/>
      <c r="T654" s="507"/>
      <c r="U654" s="507"/>
      <c r="V654" s="507"/>
      <c r="W654" s="507"/>
    </row>
    <row r="655" ht="35.25" customHeight="1">
      <c r="A655" s="507"/>
      <c r="B655" s="507"/>
      <c r="C655" s="507"/>
      <c r="D655" s="508"/>
      <c r="E655" s="507"/>
      <c r="F655" s="507"/>
      <c r="G655" s="507"/>
      <c r="H655" s="507"/>
      <c r="I655" s="507"/>
      <c r="J655" s="507"/>
      <c r="K655" s="507"/>
      <c r="L655" s="507"/>
      <c r="M655" s="507"/>
      <c r="N655" s="507"/>
      <c r="O655" s="507"/>
      <c r="P655" s="507"/>
      <c r="Q655" s="507"/>
      <c r="R655" s="507"/>
      <c r="S655" s="507"/>
      <c r="T655" s="507"/>
      <c r="U655" s="507"/>
      <c r="V655" s="507"/>
      <c r="W655" s="507"/>
    </row>
    <row r="656" ht="35.25" customHeight="1">
      <c r="A656" s="507"/>
      <c r="B656" s="507"/>
      <c r="C656" s="507"/>
      <c r="D656" s="508"/>
      <c r="E656" s="507"/>
      <c r="F656" s="507"/>
      <c r="G656" s="507"/>
      <c r="H656" s="507"/>
      <c r="I656" s="507"/>
      <c r="J656" s="507"/>
      <c r="K656" s="507"/>
      <c r="L656" s="507"/>
      <c r="M656" s="507"/>
      <c r="N656" s="507"/>
      <c r="O656" s="507"/>
      <c r="P656" s="507"/>
      <c r="Q656" s="507"/>
      <c r="R656" s="507"/>
      <c r="S656" s="507"/>
      <c r="T656" s="507"/>
      <c r="U656" s="507"/>
      <c r="V656" s="507"/>
      <c r="W656" s="507"/>
    </row>
    <row r="657" ht="35.25" customHeight="1">
      <c r="A657" s="507"/>
      <c r="B657" s="507"/>
      <c r="C657" s="507"/>
      <c r="D657" s="508"/>
      <c r="E657" s="507"/>
      <c r="F657" s="507"/>
      <c r="G657" s="507"/>
      <c r="H657" s="507"/>
      <c r="I657" s="507"/>
      <c r="J657" s="507"/>
      <c r="K657" s="507"/>
      <c r="L657" s="507"/>
      <c r="M657" s="507"/>
      <c r="N657" s="507"/>
      <c r="O657" s="507"/>
      <c r="P657" s="507"/>
      <c r="Q657" s="507"/>
      <c r="R657" s="507"/>
      <c r="S657" s="507"/>
      <c r="T657" s="507"/>
      <c r="U657" s="507"/>
      <c r="V657" s="507"/>
      <c r="W657" s="507"/>
    </row>
    <row r="658" ht="35.25" customHeight="1">
      <c r="A658" s="507"/>
      <c r="B658" s="507"/>
      <c r="C658" s="507"/>
      <c r="D658" s="508"/>
      <c r="E658" s="507"/>
      <c r="F658" s="507"/>
      <c r="G658" s="507"/>
      <c r="H658" s="507"/>
      <c r="I658" s="507"/>
      <c r="J658" s="507"/>
      <c r="K658" s="507"/>
      <c r="L658" s="507"/>
      <c r="M658" s="507"/>
      <c r="N658" s="507"/>
      <c r="O658" s="507"/>
      <c r="P658" s="507"/>
      <c r="Q658" s="507"/>
      <c r="R658" s="507"/>
      <c r="S658" s="507"/>
      <c r="T658" s="507"/>
      <c r="U658" s="507"/>
      <c r="V658" s="507"/>
      <c r="W658" s="507"/>
    </row>
    <row r="659" ht="35.25" customHeight="1">
      <c r="A659" s="507"/>
      <c r="B659" s="507"/>
      <c r="C659" s="507"/>
      <c r="D659" s="508"/>
      <c r="E659" s="507"/>
      <c r="F659" s="507"/>
      <c r="G659" s="507"/>
      <c r="H659" s="507"/>
      <c r="I659" s="507"/>
      <c r="J659" s="507"/>
      <c r="K659" s="507"/>
      <c r="L659" s="507"/>
      <c r="M659" s="507"/>
      <c r="N659" s="507"/>
      <c r="O659" s="507"/>
      <c r="P659" s="507"/>
      <c r="Q659" s="507"/>
      <c r="R659" s="507"/>
      <c r="S659" s="507"/>
      <c r="T659" s="507"/>
      <c r="U659" s="507"/>
      <c r="V659" s="507"/>
      <c r="W659" s="507"/>
    </row>
    <row r="660" ht="35.25" customHeight="1">
      <c r="A660" s="507"/>
      <c r="B660" s="507"/>
      <c r="C660" s="507"/>
      <c r="D660" s="508"/>
      <c r="E660" s="507"/>
      <c r="F660" s="507"/>
      <c r="G660" s="507"/>
      <c r="H660" s="507"/>
      <c r="I660" s="507"/>
      <c r="J660" s="507"/>
      <c r="K660" s="507"/>
      <c r="L660" s="507"/>
      <c r="M660" s="507"/>
      <c r="N660" s="507"/>
      <c r="O660" s="507"/>
      <c r="P660" s="507"/>
      <c r="Q660" s="507"/>
      <c r="R660" s="507"/>
      <c r="S660" s="507"/>
      <c r="T660" s="507"/>
      <c r="U660" s="507"/>
      <c r="V660" s="507"/>
      <c r="W660" s="507"/>
    </row>
    <row r="661" ht="35.25" customHeight="1">
      <c r="A661" s="507"/>
      <c r="B661" s="507"/>
      <c r="C661" s="507"/>
      <c r="D661" s="508"/>
      <c r="E661" s="507"/>
      <c r="F661" s="507"/>
      <c r="G661" s="507"/>
      <c r="H661" s="507"/>
      <c r="I661" s="507"/>
      <c r="J661" s="507"/>
      <c r="K661" s="507"/>
      <c r="L661" s="507"/>
      <c r="M661" s="507"/>
      <c r="N661" s="507"/>
      <c r="O661" s="507"/>
      <c r="P661" s="507"/>
      <c r="Q661" s="507"/>
      <c r="R661" s="507"/>
      <c r="S661" s="507"/>
      <c r="T661" s="507"/>
      <c r="U661" s="507"/>
      <c r="V661" s="507"/>
      <c r="W661" s="507"/>
    </row>
    <row r="662" ht="35.25" customHeight="1">
      <c r="A662" s="507"/>
      <c r="B662" s="507"/>
      <c r="C662" s="507"/>
      <c r="D662" s="508"/>
      <c r="E662" s="507"/>
      <c r="F662" s="507"/>
      <c r="G662" s="507"/>
      <c r="H662" s="507"/>
      <c r="I662" s="507"/>
      <c r="J662" s="507"/>
      <c r="K662" s="507"/>
      <c r="L662" s="507"/>
      <c r="M662" s="507"/>
      <c r="N662" s="507"/>
      <c r="O662" s="507"/>
      <c r="P662" s="507"/>
      <c r="Q662" s="507"/>
      <c r="R662" s="507"/>
      <c r="S662" s="507"/>
      <c r="T662" s="507"/>
      <c r="U662" s="507"/>
      <c r="V662" s="507"/>
      <c r="W662" s="507"/>
    </row>
    <row r="663" ht="35.25" customHeight="1">
      <c r="A663" s="507"/>
      <c r="B663" s="507"/>
      <c r="C663" s="507"/>
      <c r="D663" s="508"/>
      <c r="E663" s="507"/>
      <c r="F663" s="507"/>
      <c r="G663" s="507"/>
      <c r="H663" s="507"/>
      <c r="I663" s="507"/>
      <c r="J663" s="507"/>
      <c r="K663" s="507"/>
      <c r="L663" s="507"/>
      <c r="M663" s="507"/>
      <c r="N663" s="507"/>
      <c r="O663" s="507"/>
      <c r="P663" s="507"/>
      <c r="Q663" s="507"/>
      <c r="R663" s="507"/>
      <c r="S663" s="507"/>
      <c r="T663" s="507"/>
      <c r="U663" s="507"/>
      <c r="V663" s="507"/>
      <c r="W663" s="507"/>
    </row>
    <row r="664" ht="35.25" customHeight="1">
      <c r="A664" s="507"/>
      <c r="B664" s="507"/>
      <c r="C664" s="507"/>
      <c r="D664" s="508"/>
      <c r="E664" s="507"/>
      <c r="F664" s="507"/>
      <c r="G664" s="507"/>
      <c r="H664" s="507"/>
      <c r="I664" s="507"/>
      <c r="J664" s="507"/>
      <c r="K664" s="507"/>
      <c r="L664" s="507"/>
      <c r="M664" s="507"/>
      <c r="N664" s="507"/>
      <c r="O664" s="507"/>
      <c r="P664" s="507"/>
      <c r="Q664" s="507"/>
      <c r="R664" s="507"/>
      <c r="S664" s="507"/>
      <c r="T664" s="507"/>
      <c r="U664" s="507"/>
      <c r="V664" s="507"/>
      <c r="W664" s="507"/>
    </row>
    <row r="665" ht="35.25" customHeight="1">
      <c r="A665" s="507"/>
      <c r="B665" s="507"/>
      <c r="C665" s="507"/>
      <c r="D665" s="508"/>
      <c r="E665" s="507"/>
      <c r="F665" s="507"/>
      <c r="G665" s="507"/>
      <c r="H665" s="507"/>
      <c r="I665" s="507"/>
      <c r="J665" s="507"/>
      <c r="K665" s="507"/>
      <c r="L665" s="507"/>
      <c r="M665" s="507"/>
      <c r="N665" s="507"/>
      <c r="O665" s="507"/>
      <c r="P665" s="507"/>
      <c r="Q665" s="507"/>
      <c r="R665" s="507"/>
      <c r="S665" s="507"/>
      <c r="T665" s="507"/>
      <c r="U665" s="507"/>
      <c r="V665" s="507"/>
      <c r="W665" s="507"/>
    </row>
    <row r="666" ht="35.25" customHeight="1">
      <c r="A666" s="507"/>
      <c r="B666" s="507"/>
      <c r="C666" s="507"/>
      <c r="D666" s="508"/>
      <c r="E666" s="507"/>
      <c r="F666" s="507"/>
      <c r="G666" s="507"/>
      <c r="H666" s="507"/>
      <c r="I666" s="507"/>
      <c r="J666" s="507"/>
      <c r="K666" s="507"/>
      <c r="L666" s="507"/>
      <c r="M666" s="507"/>
      <c r="N666" s="507"/>
      <c r="O666" s="507"/>
      <c r="P666" s="507"/>
      <c r="Q666" s="507"/>
      <c r="R666" s="507"/>
      <c r="S666" s="507"/>
      <c r="T666" s="507"/>
      <c r="U666" s="507"/>
      <c r="V666" s="507"/>
      <c r="W666" s="507"/>
    </row>
    <row r="667" ht="35.25" customHeight="1">
      <c r="A667" s="507"/>
      <c r="B667" s="507"/>
      <c r="C667" s="507"/>
      <c r="D667" s="508"/>
      <c r="E667" s="507"/>
      <c r="F667" s="507"/>
      <c r="G667" s="507"/>
      <c r="H667" s="507"/>
      <c r="I667" s="507"/>
      <c r="J667" s="507"/>
      <c r="K667" s="507"/>
      <c r="L667" s="507"/>
      <c r="M667" s="507"/>
      <c r="N667" s="507"/>
      <c r="O667" s="507"/>
      <c r="P667" s="507"/>
      <c r="Q667" s="507"/>
      <c r="R667" s="507"/>
      <c r="S667" s="507"/>
      <c r="T667" s="507"/>
      <c r="U667" s="507"/>
      <c r="V667" s="507"/>
      <c r="W667" s="507"/>
    </row>
    <row r="668" ht="35.25" customHeight="1">
      <c r="A668" s="507"/>
      <c r="B668" s="507"/>
      <c r="C668" s="507"/>
      <c r="D668" s="508"/>
      <c r="E668" s="507"/>
      <c r="F668" s="507"/>
      <c r="G668" s="507"/>
      <c r="H668" s="507"/>
      <c r="I668" s="507"/>
      <c r="J668" s="507"/>
      <c r="K668" s="507"/>
      <c r="L668" s="507"/>
      <c r="M668" s="507"/>
      <c r="N668" s="507"/>
      <c r="O668" s="507"/>
      <c r="P668" s="507"/>
      <c r="Q668" s="507"/>
      <c r="R668" s="507"/>
      <c r="S668" s="507"/>
      <c r="T668" s="507"/>
      <c r="U668" s="507"/>
      <c r="V668" s="507"/>
      <c r="W668" s="507"/>
    </row>
    <row r="669" ht="35.25" customHeight="1">
      <c r="A669" s="507"/>
      <c r="B669" s="507"/>
      <c r="C669" s="507"/>
      <c r="D669" s="508"/>
      <c r="E669" s="507"/>
      <c r="F669" s="507"/>
      <c r="G669" s="507"/>
      <c r="H669" s="507"/>
      <c r="I669" s="507"/>
      <c r="J669" s="507"/>
      <c r="K669" s="507"/>
      <c r="L669" s="507"/>
      <c r="M669" s="507"/>
      <c r="N669" s="507"/>
      <c r="O669" s="507"/>
      <c r="P669" s="507"/>
      <c r="Q669" s="507"/>
      <c r="R669" s="507"/>
      <c r="S669" s="507"/>
      <c r="T669" s="507"/>
      <c r="U669" s="507"/>
      <c r="V669" s="507"/>
      <c r="W669" s="507"/>
    </row>
    <row r="670" ht="35.25" customHeight="1">
      <c r="A670" s="507"/>
      <c r="B670" s="507"/>
      <c r="C670" s="507"/>
      <c r="D670" s="508"/>
      <c r="E670" s="507"/>
      <c r="F670" s="507"/>
      <c r="G670" s="507"/>
      <c r="H670" s="507"/>
      <c r="I670" s="507"/>
      <c r="J670" s="507"/>
      <c r="K670" s="507"/>
      <c r="L670" s="507"/>
      <c r="M670" s="507"/>
      <c r="N670" s="507"/>
      <c r="O670" s="507"/>
      <c r="P670" s="507"/>
      <c r="Q670" s="507"/>
      <c r="R670" s="507"/>
      <c r="S670" s="507"/>
      <c r="T670" s="507"/>
      <c r="U670" s="507"/>
      <c r="V670" s="507"/>
      <c r="W670" s="507"/>
    </row>
    <row r="671" ht="35.25" customHeight="1">
      <c r="A671" s="507"/>
      <c r="B671" s="507"/>
      <c r="C671" s="507"/>
      <c r="D671" s="508"/>
      <c r="E671" s="507"/>
      <c r="F671" s="507"/>
      <c r="G671" s="507"/>
      <c r="H671" s="507"/>
      <c r="I671" s="507"/>
      <c r="J671" s="507"/>
      <c r="K671" s="507"/>
      <c r="L671" s="507"/>
      <c r="M671" s="507"/>
      <c r="N671" s="507"/>
      <c r="O671" s="507"/>
      <c r="P671" s="507"/>
      <c r="Q671" s="507"/>
      <c r="R671" s="507"/>
      <c r="S671" s="507"/>
      <c r="T671" s="507"/>
      <c r="U671" s="507"/>
      <c r="V671" s="507"/>
      <c r="W671" s="507"/>
    </row>
    <row r="672" ht="35.25" customHeight="1">
      <c r="A672" s="507"/>
      <c r="B672" s="507"/>
      <c r="C672" s="507"/>
      <c r="D672" s="508"/>
      <c r="E672" s="507"/>
      <c r="F672" s="507"/>
      <c r="G672" s="507"/>
      <c r="H672" s="507"/>
      <c r="I672" s="507"/>
      <c r="J672" s="507"/>
      <c r="K672" s="507"/>
      <c r="L672" s="507"/>
      <c r="M672" s="507"/>
      <c r="N672" s="507"/>
      <c r="O672" s="507"/>
      <c r="P672" s="507"/>
      <c r="Q672" s="507"/>
      <c r="R672" s="507"/>
      <c r="S672" s="507"/>
      <c r="T672" s="507"/>
      <c r="U672" s="507"/>
      <c r="V672" s="507"/>
      <c r="W672" s="507"/>
    </row>
    <row r="673" ht="35.25" customHeight="1">
      <c r="A673" s="507"/>
      <c r="B673" s="507"/>
      <c r="C673" s="507"/>
      <c r="D673" s="508"/>
      <c r="E673" s="507"/>
      <c r="F673" s="507"/>
      <c r="G673" s="507"/>
      <c r="H673" s="507"/>
      <c r="I673" s="507"/>
      <c r="J673" s="507"/>
      <c r="K673" s="507"/>
      <c r="L673" s="507"/>
      <c r="M673" s="507"/>
      <c r="N673" s="507"/>
      <c r="O673" s="507"/>
      <c r="P673" s="507"/>
      <c r="Q673" s="507"/>
      <c r="R673" s="507"/>
      <c r="S673" s="507"/>
      <c r="T673" s="507"/>
      <c r="U673" s="507"/>
      <c r="V673" s="507"/>
      <c r="W673" s="507"/>
    </row>
    <row r="674" ht="35.25" customHeight="1">
      <c r="A674" s="507"/>
      <c r="B674" s="507"/>
      <c r="C674" s="507"/>
      <c r="D674" s="508"/>
      <c r="E674" s="507"/>
      <c r="F674" s="507"/>
      <c r="G674" s="507"/>
      <c r="H674" s="507"/>
      <c r="I674" s="507"/>
      <c r="J674" s="507"/>
      <c r="K674" s="507"/>
      <c r="L674" s="507"/>
      <c r="M674" s="507"/>
      <c r="N674" s="507"/>
      <c r="O674" s="507"/>
      <c r="P674" s="507"/>
      <c r="Q674" s="507"/>
      <c r="R674" s="507"/>
      <c r="S674" s="507"/>
      <c r="T674" s="507"/>
      <c r="U674" s="507"/>
      <c r="V674" s="507"/>
      <c r="W674" s="507"/>
    </row>
    <row r="675" ht="35.25" customHeight="1">
      <c r="A675" s="507"/>
      <c r="B675" s="507"/>
      <c r="C675" s="507"/>
      <c r="D675" s="508"/>
      <c r="E675" s="507"/>
      <c r="F675" s="507"/>
      <c r="G675" s="507"/>
      <c r="H675" s="507"/>
      <c r="I675" s="507"/>
      <c r="J675" s="507"/>
      <c r="K675" s="507"/>
      <c r="L675" s="507"/>
      <c r="M675" s="507"/>
      <c r="N675" s="507"/>
      <c r="O675" s="507"/>
      <c r="P675" s="507"/>
      <c r="Q675" s="507"/>
      <c r="R675" s="507"/>
      <c r="S675" s="507"/>
      <c r="T675" s="507"/>
      <c r="U675" s="507"/>
      <c r="V675" s="507"/>
      <c r="W675" s="507"/>
    </row>
    <row r="676" ht="35.25" customHeight="1">
      <c r="A676" s="507"/>
      <c r="B676" s="507"/>
      <c r="C676" s="507"/>
      <c r="D676" s="508"/>
      <c r="E676" s="507"/>
      <c r="F676" s="507"/>
      <c r="G676" s="507"/>
      <c r="H676" s="507"/>
      <c r="I676" s="507"/>
      <c r="J676" s="507"/>
      <c r="K676" s="507"/>
      <c r="L676" s="507"/>
      <c r="M676" s="507"/>
      <c r="N676" s="507"/>
      <c r="O676" s="507"/>
      <c r="P676" s="507"/>
      <c r="Q676" s="507"/>
      <c r="R676" s="507"/>
      <c r="S676" s="507"/>
      <c r="T676" s="507"/>
      <c r="U676" s="507"/>
      <c r="V676" s="507"/>
      <c r="W676" s="507"/>
    </row>
    <row r="677" ht="35.25" customHeight="1">
      <c r="A677" s="507"/>
      <c r="B677" s="507"/>
      <c r="C677" s="507"/>
      <c r="D677" s="508"/>
      <c r="E677" s="507"/>
      <c r="F677" s="507"/>
      <c r="G677" s="507"/>
      <c r="H677" s="507"/>
      <c r="I677" s="507"/>
      <c r="J677" s="507"/>
      <c r="K677" s="507"/>
      <c r="L677" s="507"/>
      <c r="M677" s="507"/>
      <c r="N677" s="507"/>
      <c r="O677" s="507"/>
      <c r="P677" s="507"/>
      <c r="Q677" s="507"/>
      <c r="R677" s="507"/>
      <c r="S677" s="507"/>
      <c r="T677" s="507"/>
      <c r="U677" s="507"/>
      <c r="V677" s="507"/>
      <c r="W677" s="507"/>
    </row>
    <row r="678" ht="35.25" customHeight="1">
      <c r="A678" s="507"/>
      <c r="B678" s="507"/>
      <c r="C678" s="507"/>
      <c r="D678" s="508"/>
      <c r="E678" s="507"/>
      <c r="F678" s="507"/>
      <c r="G678" s="507"/>
      <c r="H678" s="507"/>
      <c r="I678" s="507"/>
      <c r="J678" s="507"/>
      <c r="K678" s="507"/>
      <c r="L678" s="507"/>
      <c r="M678" s="507"/>
      <c r="N678" s="507"/>
      <c r="O678" s="507"/>
      <c r="P678" s="507"/>
      <c r="Q678" s="507"/>
      <c r="R678" s="507"/>
      <c r="S678" s="507"/>
      <c r="T678" s="507"/>
      <c r="U678" s="507"/>
      <c r="V678" s="507"/>
      <c r="W678" s="507"/>
    </row>
    <row r="679" ht="35.25" customHeight="1">
      <c r="A679" s="507"/>
      <c r="B679" s="507"/>
      <c r="C679" s="507"/>
      <c r="D679" s="508"/>
      <c r="E679" s="507"/>
      <c r="F679" s="507"/>
      <c r="G679" s="507"/>
      <c r="H679" s="507"/>
      <c r="I679" s="507"/>
      <c r="J679" s="507"/>
      <c r="K679" s="507"/>
      <c r="L679" s="507"/>
      <c r="M679" s="507"/>
      <c r="N679" s="507"/>
      <c r="O679" s="507"/>
      <c r="P679" s="507"/>
      <c r="Q679" s="507"/>
      <c r="R679" s="507"/>
      <c r="S679" s="507"/>
      <c r="T679" s="507"/>
      <c r="U679" s="507"/>
      <c r="V679" s="507"/>
      <c r="W679" s="507"/>
    </row>
    <row r="680" ht="35.25" customHeight="1">
      <c r="A680" s="507"/>
      <c r="B680" s="507"/>
      <c r="C680" s="507"/>
      <c r="D680" s="508"/>
      <c r="E680" s="507"/>
      <c r="F680" s="507"/>
      <c r="G680" s="507"/>
      <c r="H680" s="507"/>
      <c r="I680" s="507"/>
      <c r="J680" s="507"/>
      <c r="K680" s="507"/>
      <c r="L680" s="507"/>
      <c r="M680" s="507"/>
      <c r="N680" s="507"/>
      <c r="O680" s="507"/>
      <c r="P680" s="507"/>
      <c r="Q680" s="507"/>
      <c r="R680" s="507"/>
      <c r="S680" s="507"/>
      <c r="T680" s="507"/>
      <c r="U680" s="507"/>
      <c r="V680" s="507"/>
      <c r="W680" s="507"/>
    </row>
    <row r="681" ht="35.25" customHeight="1">
      <c r="A681" s="507"/>
      <c r="B681" s="507"/>
      <c r="C681" s="507"/>
      <c r="D681" s="508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  <c r="O681" s="507"/>
      <c r="P681" s="507"/>
      <c r="Q681" s="507"/>
      <c r="R681" s="507"/>
      <c r="S681" s="507"/>
      <c r="T681" s="507"/>
      <c r="U681" s="507"/>
      <c r="V681" s="507"/>
      <c r="W681" s="507"/>
    </row>
    <row r="682" ht="35.25" customHeight="1">
      <c r="A682" s="507"/>
      <c r="B682" s="507"/>
      <c r="C682" s="507"/>
      <c r="D682" s="508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  <c r="O682" s="507"/>
      <c r="P682" s="507"/>
      <c r="Q682" s="507"/>
      <c r="R682" s="507"/>
      <c r="S682" s="507"/>
      <c r="T682" s="507"/>
      <c r="U682" s="507"/>
      <c r="V682" s="507"/>
      <c r="W682" s="507"/>
    </row>
    <row r="683" ht="35.25" customHeight="1">
      <c r="A683" s="507"/>
      <c r="B683" s="507"/>
      <c r="C683" s="507"/>
      <c r="D683" s="508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  <c r="O683" s="507"/>
      <c r="P683" s="507"/>
      <c r="Q683" s="507"/>
      <c r="R683" s="507"/>
      <c r="S683" s="507"/>
      <c r="T683" s="507"/>
      <c r="U683" s="507"/>
      <c r="V683" s="507"/>
      <c r="W683" s="507"/>
    </row>
    <row r="684" ht="35.25" customHeight="1">
      <c r="A684" s="507"/>
      <c r="B684" s="507"/>
      <c r="C684" s="507"/>
      <c r="D684" s="508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  <c r="O684" s="507"/>
      <c r="P684" s="507"/>
      <c r="Q684" s="507"/>
      <c r="R684" s="507"/>
      <c r="S684" s="507"/>
      <c r="T684" s="507"/>
      <c r="U684" s="507"/>
      <c r="V684" s="507"/>
      <c r="W684" s="507"/>
    </row>
    <row r="685" ht="35.25" customHeight="1">
      <c r="A685" s="507"/>
      <c r="B685" s="507"/>
      <c r="C685" s="507"/>
      <c r="D685" s="508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  <c r="O685" s="507"/>
      <c r="P685" s="507"/>
      <c r="Q685" s="507"/>
      <c r="R685" s="507"/>
      <c r="S685" s="507"/>
      <c r="T685" s="507"/>
      <c r="U685" s="507"/>
      <c r="V685" s="507"/>
      <c r="W685" s="507"/>
    </row>
    <row r="686" ht="35.25" customHeight="1">
      <c r="A686" s="507"/>
      <c r="B686" s="507"/>
      <c r="C686" s="507"/>
      <c r="D686" s="508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  <c r="O686" s="507"/>
      <c r="P686" s="507"/>
      <c r="Q686" s="507"/>
      <c r="R686" s="507"/>
      <c r="S686" s="507"/>
      <c r="T686" s="507"/>
      <c r="U686" s="507"/>
      <c r="V686" s="507"/>
      <c r="W686" s="507"/>
    </row>
    <row r="687" ht="35.25" customHeight="1">
      <c r="A687" s="507"/>
      <c r="B687" s="507"/>
      <c r="C687" s="507"/>
      <c r="D687" s="508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  <c r="O687" s="507"/>
      <c r="P687" s="507"/>
      <c r="Q687" s="507"/>
      <c r="R687" s="507"/>
      <c r="S687" s="507"/>
      <c r="T687" s="507"/>
      <c r="U687" s="507"/>
      <c r="V687" s="507"/>
      <c r="W687" s="507"/>
    </row>
    <row r="688" ht="35.25" customHeight="1">
      <c r="A688" s="507"/>
      <c r="B688" s="507"/>
      <c r="C688" s="507"/>
      <c r="D688" s="508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  <c r="O688" s="507"/>
      <c r="P688" s="507"/>
      <c r="Q688" s="507"/>
      <c r="R688" s="507"/>
      <c r="S688" s="507"/>
      <c r="T688" s="507"/>
      <c r="U688" s="507"/>
      <c r="V688" s="507"/>
      <c r="W688" s="507"/>
    </row>
    <row r="689" ht="35.25" customHeight="1">
      <c r="A689" s="507"/>
      <c r="B689" s="507"/>
      <c r="C689" s="507"/>
      <c r="D689" s="508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  <c r="O689" s="507"/>
      <c r="P689" s="507"/>
      <c r="Q689" s="507"/>
      <c r="R689" s="507"/>
      <c r="S689" s="507"/>
      <c r="T689" s="507"/>
      <c r="U689" s="507"/>
      <c r="V689" s="507"/>
      <c r="W689" s="507"/>
    </row>
    <row r="690" ht="35.25" customHeight="1">
      <c r="A690" s="507"/>
      <c r="B690" s="507"/>
      <c r="C690" s="507"/>
      <c r="D690" s="508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  <c r="O690" s="507"/>
      <c r="P690" s="507"/>
      <c r="Q690" s="507"/>
      <c r="R690" s="507"/>
      <c r="S690" s="507"/>
      <c r="T690" s="507"/>
      <c r="U690" s="507"/>
      <c r="V690" s="507"/>
      <c r="W690" s="507"/>
    </row>
    <row r="691" ht="35.25" customHeight="1">
      <c r="A691" s="507"/>
      <c r="B691" s="507"/>
      <c r="C691" s="507"/>
      <c r="D691" s="508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  <c r="O691" s="507"/>
      <c r="P691" s="507"/>
      <c r="Q691" s="507"/>
      <c r="R691" s="507"/>
      <c r="S691" s="507"/>
      <c r="T691" s="507"/>
      <c r="U691" s="507"/>
      <c r="V691" s="507"/>
      <c r="W691" s="507"/>
    </row>
    <row r="692" ht="35.25" customHeight="1">
      <c r="A692" s="507"/>
      <c r="B692" s="507"/>
      <c r="C692" s="507"/>
      <c r="D692" s="508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  <c r="O692" s="507"/>
      <c r="P692" s="507"/>
      <c r="Q692" s="507"/>
      <c r="R692" s="507"/>
      <c r="S692" s="507"/>
      <c r="T692" s="507"/>
      <c r="U692" s="507"/>
      <c r="V692" s="507"/>
      <c r="W692" s="507"/>
    </row>
    <row r="693" ht="35.25" customHeight="1">
      <c r="A693" s="507"/>
      <c r="B693" s="507"/>
      <c r="C693" s="507"/>
      <c r="D693" s="508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  <c r="O693" s="507"/>
      <c r="P693" s="507"/>
      <c r="Q693" s="507"/>
      <c r="R693" s="507"/>
      <c r="S693" s="507"/>
      <c r="T693" s="507"/>
      <c r="U693" s="507"/>
      <c r="V693" s="507"/>
      <c r="W693" s="507"/>
    </row>
    <row r="694" ht="35.25" customHeight="1">
      <c r="A694" s="507"/>
      <c r="B694" s="507"/>
      <c r="C694" s="507"/>
      <c r="D694" s="508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  <c r="O694" s="507"/>
      <c r="P694" s="507"/>
      <c r="Q694" s="507"/>
      <c r="R694" s="507"/>
      <c r="S694" s="507"/>
      <c r="T694" s="507"/>
      <c r="U694" s="507"/>
      <c r="V694" s="507"/>
      <c r="W694" s="507"/>
    </row>
    <row r="695" ht="35.25" customHeight="1">
      <c r="A695" s="507"/>
      <c r="B695" s="507"/>
      <c r="C695" s="507"/>
      <c r="D695" s="508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  <c r="O695" s="507"/>
      <c r="P695" s="507"/>
      <c r="Q695" s="507"/>
      <c r="R695" s="507"/>
      <c r="S695" s="507"/>
      <c r="T695" s="507"/>
      <c r="U695" s="507"/>
      <c r="V695" s="507"/>
      <c r="W695" s="507"/>
    </row>
    <row r="696" ht="35.25" customHeight="1">
      <c r="A696" s="507"/>
      <c r="B696" s="507"/>
      <c r="C696" s="507"/>
      <c r="D696" s="508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  <c r="O696" s="507"/>
      <c r="P696" s="507"/>
      <c r="Q696" s="507"/>
      <c r="R696" s="507"/>
      <c r="S696" s="507"/>
      <c r="T696" s="507"/>
      <c r="U696" s="507"/>
      <c r="V696" s="507"/>
      <c r="W696" s="507"/>
    </row>
    <row r="697" ht="35.25" customHeight="1">
      <c r="A697" s="507"/>
      <c r="B697" s="507"/>
      <c r="C697" s="507"/>
      <c r="D697" s="508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  <c r="O697" s="507"/>
      <c r="P697" s="507"/>
      <c r="Q697" s="507"/>
      <c r="R697" s="507"/>
      <c r="S697" s="507"/>
      <c r="T697" s="507"/>
      <c r="U697" s="507"/>
      <c r="V697" s="507"/>
      <c r="W697" s="507"/>
    </row>
    <row r="698" ht="35.25" customHeight="1">
      <c r="A698" s="507"/>
      <c r="B698" s="507"/>
      <c r="C698" s="507"/>
      <c r="D698" s="508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  <c r="O698" s="507"/>
      <c r="P698" s="507"/>
      <c r="Q698" s="507"/>
      <c r="R698" s="507"/>
      <c r="S698" s="507"/>
      <c r="T698" s="507"/>
      <c r="U698" s="507"/>
      <c r="V698" s="507"/>
      <c r="W698" s="507"/>
    </row>
    <row r="699" ht="35.25" customHeight="1">
      <c r="A699" s="507"/>
      <c r="B699" s="507"/>
      <c r="C699" s="507"/>
      <c r="D699" s="508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  <c r="O699" s="507"/>
      <c r="P699" s="507"/>
      <c r="Q699" s="507"/>
      <c r="R699" s="507"/>
      <c r="S699" s="507"/>
      <c r="T699" s="507"/>
      <c r="U699" s="507"/>
      <c r="V699" s="507"/>
      <c r="W699" s="507"/>
    </row>
    <row r="700" ht="35.25" customHeight="1">
      <c r="A700" s="507"/>
      <c r="B700" s="507"/>
      <c r="C700" s="507"/>
      <c r="D700" s="508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  <c r="O700" s="507"/>
      <c r="P700" s="507"/>
      <c r="Q700" s="507"/>
      <c r="R700" s="507"/>
      <c r="S700" s="507"/>
      <c r="T700" s="507"/>
      <c r="U700" s="507"/>
      <c r="V700" s="507"/>
      <c r="W700" s="507"/>
    </row>
    <row r="701" ht="35.25" customHeight="1">
      <c r="A701" s="507"/>
      <c r="B701" s="507"/>
      <c r="C701" s="507"/>
      <c r="D701" s="508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  <c r="O701" s="507"/>
      <c r="P701" s="507"/>
      <c r="Q701" s="507"/>
      <c r="R701" s="507"/>
      <c r="S701" s="507"/>
      <c r="T701" s="507"/>
      <c r="U701" s="507"/>
      <c r="V701" s="507"/>
      <c r="W701" s="507"/>
    </row>
    <row r="702" ht="35.25" customHeight="1">
      <c r="A702" s="507"/>
      <c r="B702" s="507"/>
      <c r="C702" s="507"/>
      <c r="D702" s="508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  <c r="O702" s="507"/>
      <c r="P702" s="507"/>
      <c r="Q702" s="507"/>
      <c r="R702" s="507"/>
      <c r="S702" s="507"/>
      <c r="T702" s="507"/>
      <c r="U702" s="507"/>
      <c r="V702" s="507"/>
      <c r="W702" s="507"/>
    </row>
    <row r="703" ht="35.25" customHeight="1">
      <c r="A703" s="507"/>
      <c r="B703" s="507"/>
      <c r="C703" s="507"/>
      <c r="D703" s="508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  <c r="O703" s="507"/>
      <c r="P703" s="507"/>
      <c r="Q703" s="507"/>
      <c r="R703" s="507"/>
      <c r="S703" s="507"/>
      <c r="T703" s="507"/>
      <c r="U703" s="507"/>
      <c r="V703" s="507"/>
      <c r="W703" s="507"/>
    </row>
    <row r="704" ht="35.25" customHeight="1">
      <c r="A704" s="507"/>
      <c r="B704" s="507"/>
      <c r="C704" s="507"/>
      <c r="D704" s="508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  <c r="O704" s="507"/>
      <c r="P704" s="507"/>
      <c r="Q704" s="507"/>
      <c r="R704" s="507"/>
      <c r="S704" s="507"/>
      <c r="T704" s="507"/>
      <c r="U704" s="507"/>
      <c r="V704" s="507"/>
      <c r="W704" s="507"/>
    </row>
    <row r="705" ht="35.25" customHeight="1">
      <c r="A705" s="507"/>
      <c r="B705" s="507"/>
      <c r="C705" s="507"/>
      <c r="D705" s="508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  <c r="O705" s="507"/>
      <c r="P705" s="507"/>
      <c r="Q705" s="507"/>
      <c r="R705" s="507"/>
      <c r="S705" s="507"/>
      <c r="T705" s="507"/>
      <c r="U705" s="507"/>
      <c r="V705" s="507"/>
      <c r="W705" s="507"/>
    </row>
    <row r="706" ht="35.25" customHeight="1">
      <c r="A706" s="507"/>
      <c r="B706" s="507"/>
      <c r="C706" s="507"/>
      <c r="D706" s="508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  <c r="O706" s="507"/>
      <c r="P706" s="507"/>
      <c r="Q706" s="507"/>
      <c r="R706" s="507"/>
      <c r="S706" s="507"/>
      <c r="T706" s="507"/>
      <c r="U706" s="507"/>
      <c r="V706" s="507"/>
      <c r="W706" s="507"/>
    </row>
    <row r="707" ht="35.25" customHeight="1">
      <c r="A707" s="507"/>
      <c r="B707" s="507"/>
      <c r="C707" s="507"/>
      <c r="D707" s="508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  <c r="O707" s="507"/>
      <c r="P707" s="507"/>
      <c r="Q707" s="507"/>
      <c r="R707" s="507"/>
      <c r="S707" s="507"/>
      <c r="T707" s="507"/>
      <c r="U707" s="507"/>
      <c r="V707" s="507"/>
      <c r="W707" s="507"/>
    </row>
    <row r="708" ht="35.25" customHeight="1">
      <c r="A708" s="507"/>
      <c r="B708" s="507"/>
      <c r="C708" s="507"/>
      <c r="D708" s="508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  <c r="O708" s="507"/>
      <c r="P708" s="507"/>
      <c r="Q708" s="507"/>
      <c r="R708" s="507"/>
      <c r="S708" s="507"/>
      <c r="T708" s="507"/>
      <c r="U708" s="507"/>
      <c r="V708" s="507"/>
      <c r="W708" s="507"/>
    </row>
    <row r="709" ht="35.25" customHeight="1">
      <c r="A709" s="507"/>
      <c r="B709" s="507"/>
      <c r="C709" s="507"/>
      <c r="D709" s="508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  <c r="O709" s="507"/>
      <c r="P709" s="507"/>
      <c r="Q709" s="507"/>
      <c r="R709" s="507"/>
      <c r="S709" s="507"/>
      <c r="T709" s="507"/>
      <c r="U709" s="507"/>
      <c r="V709" s="507"/>
      <c r="W709" s="507"/>
    </row>
    <row r="710" ht="35.25" customHeight="1">
      <c r="A710" s="507"/>
      <c r="B710" s="507"/>
      <c r="C710" s="507"/>
      <c r="D710" s="508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  <c r="O710" s="507"/>
      <c r="P710" s="507"/>
      <c r="Q710" s="507"/>
      <c r="R710" s="507"/>
      <c r="S710" s="507"/>
      <c r="T710" s="507"/>
      <c r="U710" s="507"/>
      <c r="V710" s="507"/>
      <c r="W710" s="507"/>
    </row>
    <row r="711" ht="35.25" customHeight="1">
      <c r="A711" s="507"/>
      <c r="B711" s="507"/>
      <c r="C711" s="507"/>
      <c r="D711" s="508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  <c r="O711" s="507"/>
      <c r="P711" s="507"/>
      <c r="Q711" s="507"/>
      <c r="R711" s="507"/>
      <c r="S711" s="507"/>
      <c r="T711" s="507"/>
      <c r="U711" s="507"/>
      <c r="V711" s="507"/>
      <c r="W711" s="507"/>
    </row>
    <row r="712" ht="35.25" customHeight="1">
      <c r="A712" s="507"/>
      <c r="B712" s="507"/>
      <c r="C712" s="507"/>
      <c r="D712" s="508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  <c r="O712" s="507"/>
      <c r="P712" s="507"/>
      <c r="Q712" s="507"/>
      <c r="R712" s="507"/>
      <c r="S712" s="507"/>
      <c r="T712" s="507"/>
      <c r="U712" s="507"/>
      <c r="V712" s="507"/>
      <c r="W712" s="507"/>
    </row>
    <row r="713" ht="35.25" customHeight="1">
      <c r="A713" s="507"/>
      <c r="B713" s="507"/>
      <c r="C713" s="507"/>
      <c r="D713" s="508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  <c r="O713" s="507"/>
      <c r="P713" s="507"/>
      <c r="Q713" s="507"/>
      <c r="R713" s="507"/>
      <c r="S713" s="507"/>
      <c r="T713" s="507"/>
      <c r="U713" s="507"/>
      <c r="V713" s="507"/>
      <c r="W713" s="507"/>
    </row>
    <row r="714" ht="35.25" customHeight="1">
      <c r="A714" s="507"/>
      <c r="B714" s="507"/>
      <c r="C714" s="507"/>
      <c r="D714" s="508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  <c r="O714" s="507"/>
      <c r="P714" s="507"/>
      <c r="Q714" s="507"/>
      <c r="R714" s="507"/>
      <c r="S714" s="507"/>
      <c r="T714" s="507"/>
      <c r="U714" s="507"/>
      <c r="V714" s="507"/>
      <c r="W714" s="507"/>
    </row>
    <row r="715" ht="35.25" customHeight="1">
      <c r="A715" s="507"/>
      <c r="B715" s="507"/>
      <c r="C715" s="507"/>
      <c r="D715" s="508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  <c r="O715" s="507"/>
      <c r="P715" s="507"/>
      <c r="Q715" s="507"/>
      <c r="R715" s="507"/>
      <c r="S715" s="507"/>
      <c r="T715" s="507"/>
      <c r="U715" s="507"/>
      <c r="V715" s="507"/>
      <c r="W715" s="507"/>
    </row>
    <row r="716" ht="35.25" customHeight="1">
      <c r="A716" s="507"/>
      <c r="B716" s="507"/>
      <c r="C716" s="507"/>
      <c r="D716" s="508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  <c r="O716" s="507"/>
      <c r="P716" s="507"/>
      <c r="Q716" s="507"/>
      <c r="R716" s="507"/>
      <c r="S716" s="507"/>
      <c r="T716" s="507"/>
      <c r="U716" s="507"/>
      <c r="V716" s="507"/>
      <c r="W716" s="507"/>
    </row>
    <row r="717" ht="35.25" customHeight="1">
      <c r="A717" s="507"/>
      <c r="B717" s="507"/>
      <c r="C717" s="507"/>
      <c r="D717" s="508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  <c r="O717" s="507"/>
      <c r="P717" s="507"/>
      <c r="Q717" s="507"/>
      <c r="R717" s="507"/>
      <c r="S717" s="507"/>
      <c r="T717" s="507"/>
      <c r="U717" s="507"/>
      <c r="V717" s="507"/>
      <c r="W717" s="507"/>
    </row>
    <row r="718" ht="35.25" customHeight="1">
      <c r="A718" s="507"/>
      <c r="B718" s="507"/>
      <c r="C718" s="507"/>
      <c r="D718" s="508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  <c r="O718" s="507"/>
      <c r="P718" s="507"/>
      <c r="Q718" s="507"/>
      <c r="R718" s="507"/>
      <c r="S718" s="507"/>
      <c r="T718" s="507"/>
      <c r="U718" s="507"/>
      <c r="V718" s="507"/>
      <c r="W718" s="507"/>
    </row>
    <row r="719" ht="35.25" customHeight="1">
      <c r="A719" s="507"/>
      <c r="B719" s="507"/>
      <c r="C719" s="507"/>
      <c r="D719" s="508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  <c r="O719" s="507"/>
      <c r="P719" s="507"/>
      <c r="Q719" s="507"/>
      <c r="R719" s="507"/>
      <c r="S719" s="507"/>
      <c r="T719" s="507"/>
      <c r="U719" s="507"/>
      <c r="V719" s="507"/>
      <c r="W719" s="507"/>
    </row>
    <row r="720" ht="35.25" customHeight="1">
      <c r="A720" s="507"/>
      <c r="B720" s="507"/>
      <c r="C720" s="507"/>
      <c r="D720" s="508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  <c r="O720" s="507"/>
      <c r="P720" s="507"/>
      <c r="Q720" s="507"/>
      <c r="R720" s="507"/>
      <c r="S720" s="507"/>
      <c r="T720" s="507"/>
      <c r="U720" s="507"/>
      <c r="V720" s="507"/>
      <c r="W720" s="507"/>
    </row>
    <row r="721" ht="35.25" customHeight="1">
      <c r="A721" s="507"/>
      <c r="B721" s="507"/>
      <c r="C721" s="507"/>
      <c r="D721" s="508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  <c r="O721" s="507"/>
      <c r="P721" s="507"/>
      <c r="Q721" s="507"/>
      <c r="R721" s="507"/>
      <c r="S721" s="507"/>
      <c r="T721" s="507"/>
      <c r="U721" s="507"/>
      <c r="V721" s="507"/>
      <c r="W721" s="507"/>
    </row>
    <row r="722" ht="35.25" customHeight="1">
      <c r="A722" s="507"/>
      <c r="B722" s="507"/>
      <c r="C722" s="507"/>
      <c r="D722" s="508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  <c r="O722" s="507"/>
      <c r="P722" s="507"/>
      <c r="Q722" s="507"/>
      <c r="R722" s="507"/>
      <c r="S722" s="507"/>
      <c r="T722" s="507"/>
      <c r="U722" s="507"/>
      <c r="V722" s="507"/>
      <c r="W722" s="507"/>
    </row>
    <row r="723" ht="35.25" customHeight="1">
      <c r="A723" s="507"/>
      <c r="B723" s="507"/>
      <c r="C723" s="507"/>
      <c r="D723" s="508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  <c r="O723" s="507"/>
      <c r="P723" s="507"/>
      <c r="Q723" s="507"/>
      <c r="R723" s="507"/>
      <c r="S723" s="507"/>
      <c r="T723" s="507"/>
      <c r="U723" s="507"/>
      <c r="V723" s="507"/>
      <c r="W723" s="507"/>
    </row>
    <row r="724" ht="35.25" customHeight="1">
      <c r="A724" s="507"/>
      <c r="B724" s="507"/>
      <c r="C724" s="507"/>
      <c r="D724" s="508"/>
      <c r="E724" s="507"/>
      <c r="F724" s="507"/>
      <c r="G724" s="507"/>
      <c r="H724" s="507"/>
      <c r="I724" s="507"/>
      <c r="J724" s="507"/>
      <c r="K724" s="507"/>
      <c r="L724" s="507"/>
      <c r="M724" s="507"/>
      <c r="N724" s="507"/>
      <c r="O724" s="507"/>
      <c r="P724" s="507"/>
      <c r="Q724" s="507"/>
      <c r="R724" s="507"/>
      <c r="S724" s="507"/>
      <c r="T724" s="507"/>
      <c r="U724" s="507"/>
      <c r="V724" s="507"/>
      <c r="W724" s="507"/>
    </row>
    <row r="725" ht="35.25" customHeight="1">
      <c r="A725" s="507"/>
      <c r="B725" s="507"/>
      <c r="C725" s="507"/>
      <c r="D725" s="508"/>
      <c r="E725" s="507"/>
      <c r="F725" s="507"/>
      <c r="G725" s="507"/>
      <c r="H725" s="507"/>
      <c r="I725" s="507"/>
      <c r="J725" s="507"/>
      <c r="K725" s="507"/>
      <c r="L725" s="507"/>
      <c r="M725" s="507"/>
      <c r="N725" s="507"/>
      <c r="O725" s="507"/>
      <c r="P725" s="507"/>
      <c r="Q725" s="507"/>
      <c r="R725" s="507"/>
      <c r="S725" s="507"/>
      <c r="T725" s="507"/>
      <c r="U725" s="507"/>
      <c r="V725" s="507"/>
      <c r="W725" s="507"/>
    </row>
    <row r="726" ht="35.25" customHeight="1">
      <c r="A726" s="507"/>
      <c r="B726" s="507"/>
      <c r="C726" s="507"/>
      <c r="D726" s="508"/>
      <c r="E726" s="507"/>
      <c r="F726" s="507"/>
      <c r="G726" s="507"/>
      <c r="H726" s="507"/>
      <c r="I726" s="507"/>
      <c r="J726" s="507"/>
      <c r="K726" s="507"/>
      <c r="L726" s="507"/>
      <c r="M726" s="507"/>
      <c r="N726" s="507"/>
      <c r="O726" s="507"/>
      <c r="P726" s="507"/>
      <c r="Q726" s="507"/>
      <c r="R726" s="507"/>
      <c r="S726" s="507"/>
      <c r="T726" s="507"/>
      <c r="U726" s="507"/>
      <c r="V726" s="507"/>
      <c r="W726" s="507"/>
    </row>
    <row r="727" ht="35.25" customHeight="1">
      <c r="A727" s="507"/>
      <c r="B727" s="507"/>
      <c r="C727" s="507"/>
      <c r="D727" s="508"/>
      <c r="E727" s="507"/>
      <c r="F727" s="507"/>
      <c r="G727" s="507"/>
      <c r="H727" s="507"/>
      <c r="I727" s="507"/>
      <c r="J727" s="507"/>
      <c r="K727" s="507"/>
      <c r="L727" s="507"/>
      <c r="M727" s="507"/>
      <c r="N727" s="507"/>
      <c r="O727" s="507"/>
      <c r="P727" s="507"/>
      <c r="Q727" s="507"/>
      <c r="R727" s="507"/>
      <c r="S727" s="507"/>
      <c r="T727" s="507"/>
      <c r="U727" s="507"/>
      <c r="V727" s="507"/>
      <c r="W727" s="507"/>
    </row>
    <row r="728" ht="35.25" customHeight="1">
      <c r="A728" s="507"/>
      <c r="B728" s="507"/>
      <c r="C728" s="507"/>
      <c r="D728" s="508"/>
      <c r="E728" s="507"/>
      <c r="F728" s="507"/>
      <c r="G728" s="507"/>
      <c r="H728" s="507"/>
      <c r="I728" s="507"/>
      <c r="J728" s="507"/>
      <c r="K728" s="507"/>
      <c r="L728" s="507"/>
      <c r="M728" s="507"/>
      <c r="N728" s="507"/>
      <c r="O728" s="507"/>
      <c r="P728" s="507"/>
      <c r="Q728" s="507"/>
      <c r="R728" s="507"/>
      <c r="S728" s="507"/>
      <c r="T728" s="507"/>
      <c r="U728" s="507"/>
      <c r="V728" s="507"/>
      <c r="W728" s="507"/>
    </row>
    <row r="729" ht="35.25" customHeight="1">
      <c r="A729" s="507"/>
      <c r="B729" s="507"/>
      <c r="C729" s="507"/>
      <c r="D729" s="508"/>
      <c r="E729" s="507"/>
      <c r="F729" s="507"/>
      <c r="G729" s="507"/>
      <c r="H729" s="507"/>
      <c r="I729" s="507"/>
      <c r="J729" s="507"/>
      <c r="K729" s="507"/>
      <c r="L729" s="507"/>
      <c r="M729" s="507"/>
      <c r="N729" s="507"/>
      <c r="O729" s="507"/>
      <c r="P729" s="507"/>
      <c r="Q729" s="507"/>
      <c r="R729" s="507"/>
      <c r="S729" s="507"/>
      <c r="T729" s="507"/>
      <c r="U729" s="507"/>
      <c r="V729" s="507"/>
      <c r="W729" s="507"/>
    </row>
    <row r="730" ht="35.25" customHeight="1">
      <c r="A730" s="507"/>
      <c r="B730" s="507"/>
      <c r="C730" s="507"/>
      <c r="D730" s="508"/>
      <c r="E730" s="507"/>
      <c r="F730" s="507"/>
      <c r="G730" s="507"/>
      <c r="H730" s="507"/>
      <c r="I730" s="507"/>
      <c r="J730" s="507"/>
      <c r="K730" s="507"/>
      <c r="L730" s="507"/>
      <c r="M730" s="507"/>
      <c r="N730" s="507"/>
      <c r="O730" s="507"/>
      <c r="P730" s="507"/>
      <c r="Q730" s="507"/>
      <c r="R730" s="507"/>
      <c r="S730" s="507"/>
      <c r="T730" s="507"/>
      <c r="U730" s="507"/>
      <c r="V730" s="507"/>
      <c r="W730" s="507"/>
    </row>
    <row r="731" ht="35.25" customHeight="1">
      <c r="A731" s="507"/>
      <c r="B731" s="507"/>
      <c r="C731" s="507"/>
      <c r="D731" s="508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  <c r="O731" s="507"/>
      <c r="P731" s="507"/>
      <c r="Q731" s="507"/>
      <c r="R731" s="507"/>
      <c r="S731" s="507"/>
      <c r="T731" s="507"/>
      <c r="U731" s="507"/>
      <c r="V731" s="507"/>
      <c r="W731" s="507"/>
    </row>
    <row r="732" ht="35.25" customHeight="1">
      <c r="A732" s="507"/>
      <c r="B732" s="507"/>
      <c r="C732" s="507"/>
      <c r="D732" s="508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  <c r="O732" s="507"/>
      <c r="P732" s="507"/>
      <c r="Q732" s="507"/>
      <c r="R732" s="507"/>
      <c r="S732" s="507"/>
      <c r="T732" s="507"/>
      <c r="U732" s="507"/>
      <c r="V732" s="507"/>
      <c r="W732" s="507"/>
    </row>
    <row r="733" ht="35.25" customHeight="1">
      <c r="A733" s="507"/>
      <c r="B733" s="507"/>
      <c r="C733" s="507"/>
      <c r="D733" s="508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  <c r="O733" s="507"/>
      <c r="P733" s="507"/>
      <c r="Q733" s="507"/>
      <c r="R733" s="507"/>
      <c r="S733" s="507"/>
      <c r="T733" s="507"/>
      <c r="U733" s="507"/>
      <c r="V733" s="507"/>
      <c r="W733" s="507"/>
    </row>
    <row r="734" ht="35.25" customHeight="1">
      <c r="A734" s="507"/>
      <c r="B734" s="507"/>
      <c r="C734" s="507"/>
      <c r="D734" s="508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  <c r="O734" s="507"/>
      <c r="P734" s="507"/>
      <c r="Q734" s="507"/>
      <c r="R734" s="507"/>
      <c r="S734" s="507"/>
      <c r="T734" s="507"/>
      <c r="U734" s="507"/>
      <c r="V734" s="507"/>
      <c r="W734" s="507"/>
    </row>
    <row r="735" ht="35.25" customHeight="1">
      <c r="A735" s="507"/>
      <c r="B735" s="507"/>
      <c r="C735" s="507"/>
      <c r="D735" s="508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  <c r="O735" s="507"/>
      <c r="P735" s="507"/>
      <c r="Q735" s="507"/>
      <c r="R735" s="507"/>
      <c r="S735" s="507"/>
      <c r="T735" s="507"/>
      <c r="U735" s="507"/>
      <c r="V735" s="507"/>
      <c r="W735" s="507"/>
    </row>
    <row r="736" ht="35.25" customHeight="1">
      <c r="A736" s="507"/>
      <c r="B736" s="507"/>
      <c r="C736" s="507"/>
      <c r="D736" s="508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  <c r="O736" s="507"/>
      <c r="P736" s="507"/>
      <c r="Q736" s="507"/>
      <c r="R736" s="507"/>
      <c r="S736" s="507"/>
      <c r="T736" s="507"/>
      <c r="U736" s="507"/>
      <c r="V736" s="507"/>
      <c r="W736" s="507"/>
    </row>
    <row r="737" ht="35.25" customHeight="1">
      <c r="A737" s="507"/>
      <c r="B737" s="507"/>
      <c r="C737" s="507"/>
      <c r="D737" s="508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  <c r="O737" s="507"/>
      <c r="P737" s="507"/>
      <c r="Q737" s="507"/>
      <c r="R737" s="507"/>
      <c r="S737" s="507"/>
      <c r="T737" s="507"/>
      <c r="U737" s="507"/>
      <c r="V737" s="507"/>
      <c r="W737" s="507"/>
    </row>
    <row r="738" ht="35.25" customHeight="1">
      <c r="A738" s="507"/>
      <c r="B738" s="507"/>
      <c r="C738" s="507"/>
      <c r="D738" s="508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  <c r="O738" s="507"/>
      <c r="P738" s="507"/>
      <c r="Q738" s="507"/>
      <c r="R738" s="507"/>
      <c r="S738" s="507"/>
      <c r="T738" s="507"/>
      <c r="U738" s="507"/>
      <c r="V738" s="507"/>
      <c r="W738" s="507"/>
    </row>
    <row r="739" ht="35.25" customHeight="1">
      <c r="A739" s="507"/>
      <c r="B739" s="507"/>
      <c r="C739" s="507"/>
      <c r="D739" s="508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  <c r="O739" s="507"/>
      <c r="P739" s="507"/>
      <c r="Q739" s="507"/>
      <c r="R739" s="507"/>
      <c r="S739" s="507"/>
      <c r="T739" s="507"/>
      <c r="U739" s="507"/>
      <c r="V739" s="507"/>
      <c r="W739" s="507"/>
    </row>
    <row r="740" ht="35.25" customHeight="1">
      <c r="A740" s="507"/>
      <c r="B740" s="507"/>
      <c r="C740" s="507"/>
      <c r="D740" s="508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  <c r="O740" s="507"/>
      <c r="P740" s="507"/>
      <c r="Q740" s="507"/>
      <c r="R740" s="507"/>
      <c r="S740" s="507"/>
      <c r="T740" s="507"/>
      <c r="U740" s="507"/>
      <c r="V740" s="507"/>
      <c r="W740" s="507"/>
    </row>
    <row r="741" ht="35.25" customHeight="1">
      <c r="A741" s="507"/>
      <c r="B741" s="507"/>
      <c r="C741" s="507"/>
      <c r="D741" s="508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  <c r="O741" s="507"/>
      <c r="P741" s="507"/>
      <c r="Q741" s="507"/>
      <c r="R741" s="507"/>
      <c r="S741" s="507"/>
      <c r="T741" s="507"/>
      <c r="U741" s="507"/>
      <c r="V741" s="507"/>
      <c r="W741" s="507"/>
    </row>
    <row r="742" ht="35.25" customHeight="1">
      <c r="A742" s="507"/>
      <c r="B742" s="507"/>
      <c r="C742" s="507"/>
      <c r="D742" s="508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  <c r="O742" s="507"/>
      <c r="P742" s="507"/>
      <c r="Q742" s="507"/>
      <c r="R742" s="507"/>
      <c r="S742" s="507"/>
      <c r="T742" s="507"/>
      <c r="U742" s="507"/>
      <c r="V742" s="507"/>
      <c r="W742" s="507"/>
    </row>
    <row r="743" ht="35.25" customHeight="1">
      <c r="A743" s="507"/>
      <c r="B743" s="507"/>
      <c r="C743" s="507"/>
      <c r="D743" s="508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  <c r="O743" s="507"/>
      <c r="P743" s="507"/>
      <c r="Q743" s="507"/>
      <c r="R743" s="507"/>
      <c r="S743" s="507"/>
      <c r="T743" s="507"/>
      <c r="U743" s="507"/>
      <c r="V743" s="507"/>
      <c r="W743" s="507"/>
    </row>
    <row r="744" ht="35.25" customHeight="1">
      <c r="A744" s="507"/>
      <c r="B744" s="507"/>
      <c r="C744" s="507"/>
      <c r="D744" s="508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  <c r="O744" s="507"/>
      <c r="P744" s="507"/>
      <c r="Q744" s="507"/>
      <c r="R744" s="507"/>
      <c r="S744" s="507"/>
      <c r="T744" s="507"/>
      <c r="U744" s="507"/>
      <c r="V744" s="507"/>
      <c r="W744" s="507"/>
    </row>
    <row r="745" ht="35.25" customHeight="1">
      <c r="A745" s="507"/>
      <c r="B745" s="507"/>
      <c r="C745" s="507"/>
      <c r="D745" s="508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  <c r="O745" s="507"/>
      <c r="P745" s="507"/>
      <c r="Q745" s="507"/>
      <c r="R745" s="507"/>
      <c r="S745" s="507"/>
      <c r="T745" s="507"/>
      <c r="U745" s="507"/>
      <c r="V745" s="507"/>
      <c r="W745" s="507"/>
    </row>
    <row r="746" ht="35.25" customHeight="1">
      <c r="A746" s="507"/>
      <c r="B746" s="507"/>
      <c r="C746" s="507"/>
      <c r="D746" s="508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  <c r="O746" s="507"/>
      <c r="P746" s="507"/>
      <c r="Q746" s="507"/>
      <c r="R746" s="507"/>
      <c r="S746" s="507"/>
      <c r="T746" s="507"/>
      <c r="U746" s="507"/>
      <c r="V746" s="507"/>
      <c r="W746" s="507"/>
    </row>
    <row r="747" ht="35.25" customHeight="1">
      <c r="A747" s="507"/>
      <c r="B747" s="507"/>
      <c r="C747" s="507"/>
      <c r="D747" s="508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  <c r="O747" s="507"/>
      <c r="P747" s="507"/>
      <c r="Q747" s="507"/>
      <c r="R747" s="507"/>
      <c r="S747" s="507"/>
      <c r="T747" s="507"/>
      <c r="U747" s="507"/>
      <c r="V747" s="507"/>
      <c r="W747" s="507"/>
    </row>
    <row r="748" ht="35.25" customHeight="1">
      <c r="A748" s="507"/>
      <c r="B748" s="507"/>
      <c r="C748" s="507"/>
      <c r="D748" s="508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  <c r="O748" s="507"/>
      <c r="P748" s="507"/>
      <c r="Q748" s="507"/>
      <c r="R748" s="507"/>
      <c r="S748" s="507"/>
      <c r="T748" s="507"/>
      <c r="U748" s="507"/>
      <c r="V748" s="507"/>
      <c r="W748" s="507"/>
    </row>
    <row r="749" ht="35.25" customHeight="1">
      <c r="A749" s="507"/>
      <c r="B749" s="507"/>
      <c r="C749" s="507"/>
      <c r="D749" s="508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  <c r="O749" s="507"/>
      <c r="P749" s="507"/>
      <c r="Q749" s="507"/>
      <c r="R749" s="507"/>
      <c r="S749" s="507"/>
      <c r="T749" s="507"/>
      <c r="U749" s="507"/>
      <c r="V749" s="507"/>
      <c r="W749" s="507"/>
    </row>
    <row r="750" ht="35.25" customHeight="1">
      <c r="A750" s="507"/>
      <c r="B750" s="507"/>
      <c r="C750" s="507"/>
      <c r="D750" s="508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  <c r="O750" s="507"/>
      <c r="P750" s="507"/>
      <c r="Q750" s="507"/>
      <c r="R750" s="507"/>
      <c r="S750" s="507"/>
      <c r="T750" s="507"/>
      <c r="U750" s="507"/>
      <c r="V750" s="507"/>
      <c r="W750" s="507"/>
    </row>
    <row r="751" ht="35.25" customHeight="1">
      <c r="A751" s="507"/>
      <c r="B751" s="507"/>
      <c r="C751" s="507"/>
      <c r="D751" s="508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  <c r="O751" s="507"/>
      <c r="P751" s="507"/>
      <c r="Q751" s="507"/>
      <c r="R751" s="507"/>
      <c r="S751" s="507"/>
      <c r="T751" s="507"/>
      <c r="U751" s="507"/>
      <c r="V751" s="507"/>
      <c r="W751" s="507"/>
    </row>
    <row r="752" ht="35.25" customHeight="1">
      <c r="A752" s="507"/>
      <c r="B752" s="507"/>
      <c r="C752" s="507"/>
      <c r="D752" s="508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  <c r="O752" s="507"/>
      <c r="P752" s="507"/>
      <c r="Q752" s="507"/>
      <c r="R752" s="507"/>
      <c r="S752" s="507"/>
      <c r="T752" s="507"/>
      <c r="U752" s="507"/>
      <c r="V752" s="507"/>
      <c r="W752" s="507"/>
    </row>
    <row r="753" ht="35.25" customHeight="1">
      <c r="A753" s="507"/>
      <c r="B753" s="507"/>
      <c r="C753" s="507"/>
      <c r="D753" s="508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  <c r="O753" s="507"/>
      <c r="P753" s="507"/>
      <c r="Q753" s="507"/>
      <c r="R753" s="507"/>
      <c r="S753" s="507"/>
      <c r="T753" s="507"/>
      <c r="U753" s="507"/>
      <c r="V753" s="507"/>
      <c r="W753" s="507"/>
    </row>
    <row r="754" ht="35.25" customHeight="1">
      <c r="A754" s="507"/>
      <c r="B754" s="507"/>
      <c r="C754" s="507"/>
      <c r="D754" s="508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  <c r="O754" s="507"/>
      <c r="P754" s="507"/>
      <c r="Q754" s="507"/>
      <c r="R754" s="507"/>
      <c r="S754" s="507"/>
      <c r="T754" s="507"/>
      <c r="U754" s="507"/>
      <c r="V754" s="507"/>
      <c r="W754" s="507"/>
    </row>
    <row r="755" ht="35.25" customHeight="1">
      <c r="A755" s="507"/>
      <c r="B755" s="507"/>
      <c r="C755" s="507"/>
      <c r="D755" s="508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  <c r="O755" s="507"/>
      <c r="P755" s="507"/>
      <c r="Q755" s="507"/>
      <c r="R755" s="507"/>
      <c r="S755" s="507"/>
      <c r="T755" s="507"/>
      <c r="U755" s="507"/>
      <c r="V755" s="507"/>
      <c r="W755" s="507"/>
    </row>
    <row r="756" ht="35.25" customHeight="1">
      <c r="A756" s="507"/>
      <c r="B756" s="507"/>
      <c r="C756" s="507"/>
      <c r="D756" s="508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  <c r="O756" s="507"/>
      <c r="P756" s="507"/>
      <c r="Q756" s="507"/>
      <c r="R756" s="507"/>
      <c r="S756" s="507"/>
      <c r="T756" s="507"/>
      <c r="U756" s="507"/>
      <c r="V756" s="507"/>
      <c r="W756" s="507"/>
    </row>
    <row r="757" ht="35.25" customHeight="1">
      <c r="A757" s="507"/>
      <c r="B757" s="507"/>
      <c r="C757" s="507"/>
      <c r="D757" s="508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  <c r="O757" s="507"/>
      <c r="P757" s="507"/>
      <c r="Q757" s="507"/>
      <c r="R757" s="507"/>
      <c r="S757" s="507"/>
      <c r="T757" s="507"/>
      <c r="U757" s="507"/>
      <c r="V757" s="507"/>
      <c r="W757" s="507"/>
    </row>
    <row r="758" ht="35.25" customHeight="1">
      <c r="A758" s="507"/>
      <c r="B758" s="507"/>
      <c r="C758" s="507"/>
      <c r="D758" s="508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  <c r="O758" s="507"/>
      <c r="P758" s="507"/>
      <c r="Q758" s="507"/>
      <c r="R758" s="507"/>
      <c r="S758" s="507"/>
      <c r="T758" s="507"/>
      <c r="U758" s="507"/>
      <c r="V758" s="507"/>
      <c r="W758" s="507"/>
    </row>
    <row r="759" ht="35.25" customHeight="1">
      <c r="A759" s="507"/>
      <c r="B759" s="507"/>
      <c r="C759" s="507"/>
      <c r="D759" s="508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  <c r="O759" s="507"/>
      <c r="P759" s="507"/>
      <c r="Q759" s="507"/>
      <c r="R759" s="507"/>
      <c r="S759" s="507"/>
      <c r="T759" s="507"/>
      <c r="U759" s="507"/>
      <c r="V759" s="507"/>
      <c r="W759" s="507"/>
    </row>
    <row r="760" ht="35.25" customHeight="1">
      <c r="A760" s="507"/>
      <c r="B760" s="507"/>
      <c r="C760" s="507"/>
      <c r="D760" s="508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  <c r="O760" s="507"/>
      <c r="P760" s="507"/>
      <c r="Q760" s="507"/>
      <c r="R760" s="507"/>
      <c r="S760" s="507"/>
      <c r="T760" s="507"/>
      <c r="U760" s="507"/>
      <c r="V760" s="507"/>
      <c r="W760" s="507"/>
    </row>
    <row r="761" ht="35.25" customHeight="1">
      <c r="A761" s="507"/>
      <c r="B761" s="507"/>
      <c r="C761" s="507"/>
      <c r="D761" s="508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  <c r="O761" s="507"/>
      <c r="P761" s="507"/>
      <c r="Q761" s="507"/>
      <c r="R761" s="507"/>
      <c r="S761" s="507"/>
      <c r="T761" s="507"/>
      <c r="U761" s="507"/>
      <c r="V761" s="507"/>
      <c r="W761" s="507"/>
    </row>
    <row r="762" ht="35.25" customHeight="1">
      <c r="A762" s="507"/>
      <c r="B762" s="507"/>
      <c r="C762" s="507"/>
      <c r="D762" s="508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  <c r="O762" s="507"/>
      <c r="P762" s="507"/>
      <c r="Q762" s="507"/>
      <c r="R762" s="507"/>
      <c r="S762" s="507"/>
      <c r="T762" s="507"/>
      <c r="U762" s="507"/>
      <c r="V762" s="507"/>
      <c r="W762" s="507"/>
    </row>
    <row r="763" ht="35.25" customHeight="1">
      <c r="A763" s="507"/>
      <c r="B763" s="507"/>
      <c r="C763" s="507"/>
      <c r="D763" s="508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  <c r="O763" s="507"/>
      <c r="P763" s="507"/>
      <c r="Q763" s="507"/>
      <c r="R763" s="507"/>
      <c r="S763" s="507"/>
      <c r="T763" s="507"/>
      <c r="U763" s="507"/>
      <c r="V763" s="507"/>
      <c r="W763" s="507"/>
    </row>
    <row r="764" ht="35.25" customHeight="1">
      <c r="A764" s="507"/>
      <c r="B764" s="507"/>
      <c r="C764" s="507"/>
      <c r="D764" s="508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  <c r="O764" s="507"/>
      <c r="P764" s="507"/>
      <c r="Q764" s="507"/>
      <c r="R764" s="507"/>
      <c r="S764" s="507"/>
      <c r="T764" s="507"/>
      <c r="U764" s="507"/>
      <c r="V764" s="507"/>
      <c r="W764" s="507"/>
    </row>
    <row r="765" ht="35.25" customHeight="1">
      <c r="A765" s="507"/>
      <c r="B765" s="507"/>
      <c r="C765" s="507"/>
      <c r="D765" s="508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  <c r="O765" s="507"/>
      <c r="P765" s="507"/>
      <c r="Q765" s="507"/>
      <c r="R765" s="507"/>
      <c r="S765" s="507"/>
      <c r="T765" s="507"/>
      <c r="U765" s="507"/>
      <c r="V765" s="507"/>
      <c r="W765" s="507"/>
    </row>
    <row r="766" ht="35.25" customHeight="1">
      <c r="A766" s="507"/>
      <c r="B766" s="507"/>
      <c r="C766" s="507"/>
      <c r="D766" s="508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  <c r="O766" s="507"/>
      <c r="P766" s="507"/>
      <c r="Q766" s="507"/>
      <c r="R766" s="507"/>
      <c r="S766" s="507"/>
      <c r="T766" s="507"/>
      <c r="U766" s="507"/>
      <c r="V766" s="507"/>
      <c r="W766" s="507"/>
    </row>
    <row r="767" ht="35.25" customHeight="1">
      <c r="A767" s="507"/>
      <c r="B767" s="507"/>
      <c r="C767" s="507"/>
      <c r="D767" s="508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  <c r="O767" s="507"/>
      <c r="P767" s="507"/>
      <c r="Q767" s="507"/>
      <c r="R767" s="507"/>
      <c r="S767" s="507"/>
      <c r="T767" s="507"/>
      <c r="U767" s="507"/>
      <c r="V767" s="507"/>
      <c r="W767" s="507"/>
    </row>
    <row r="768" ht="35.25" customHeight="1">
      <c r="A768" s="507"/>
      <c r="B768" s="507"/>
      <c r="C768" s="507"/>
      <c r="D768" s="508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  <c r="O768" s="507"/>
      <c r="P768" s="507"/>
      <c r="Q768" s="507"/>
      <c r="R768" s="507"/>
      <c r="S768" s="507"/>
      <c r="T768" s="507"/>
      <c r="U768" s="507"/>
      <c r="V768" s="507"/>
      <c r="W768" s="507"/>
    </row>
    <row r="769" ht="35.25" customHeight="1">
      <c r="A769" s="507"/>
      <c r="B769" s="507"/>
      <c r="C769" s="507"/>
      <c r="D769" s="508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  <c r="O769" s="507"/>
      <c r="P769" s="507"/>
      <c r="Q769" s="507"/>
      <c r="R769" s="507"/>
      <c r="S769" s="507"/>
      <c r="T769" s="507"/>
      <c r="U769" s="507"/>
      <c r="V769" s="507"/>
      <c r="W769" s="507"/>
    </row>
    <row r="770" ht="35.25" customHeight="1">
      <c r="A770" s="507"/>
      <c r="B770" s="507"/>
      <c r="C770" s="507"/>
      <c r="D770" s="508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  <c r="O770" s="507"/>
      <c r="P770" s="507"/>
      <c r="Q770" s="507"/>
      <c r="R770" s="507"/>
      <c r="S770" s="507"/>
      <c r="T770" s="507"/>
      <c r="U770" s="507"/>
      <c r="V770" s="507"/>
      <c r="W770" s="507"/>
    </row>
    <row r="771" ht="35.25" customHeight="1">
      <c r="A771" s="507"/>
      <c r="B771" s="507"/>
      <c r="C771" s="507"/>
      <c r="D771" s="508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  <c r="O771" s="507"/>
      <c r="P771" s="507"/>
      <c r="Q771" s="507"/>
      <c r="R771" s="507"/>
      <c r="S771" s="507"/>
      <c r="T771" s="507"/>
      <c r="U771" s="507"/>
      <c r="V771" s="507"/>
      <c r="W771" s="507"/>
    </row>
    <row r="772" ht="35.25" customHeight="1">
      <c r="A772" s="507"/>
      <c r="B772" s="507"/>
      <c r="C772" s="507"/>
      <c r="D772" s="508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  <c r="O772" s="507"/>
      <c r="P772" s="507"/>
      <c r="Q772" s="507"/>
      <c r="R772" s="507"/>
      <c r="S772" s="507"/>
      <c r="T772" s="507"/>
      <c r="U772" s="507"/>
      <c r="V772" s="507"/>
      <c r="W772" s="507"/>
    </row>
    <row r="773" ht="35.25" customHeight="1">
      <c r="A773" s="507"/>
      <c r="B773" s="507"/>
      <c r="C773" s="507"/>
      <c r="D773" s="508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  <c r="O773" s="507"/>
      <c r="P773" s="507"/>
      <c r="Q773" s="507"/>
      <c r="R773" s="507"/>
      <c r="S773" s="507"/>
      <c r="T773" s="507"/>
      <c r="U773" s="507"/>
      <c r="V773" s="507"/>
      <c r="W773" s="507"/>
    </row>
    <row r="774" ht="35.25" customHeight="1">
      <c r="A774" s="507"/>
      <c r="B774" s="507"/>
      <c r="C774" s="507"/>
      <c r="D774" s="508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  <c r="O774" s="507"/>
      <c r="P774" s="507"/>
      <c r="Q774" s="507"/>
      <c r="R774" s="507"/>
      <c r="S774" s="507"/>
      <c r="T774" s="507"/>
      <c r="U774" s="507"/>
      <c r="V774" s="507"/>
      <c r="W774" s="507"/>
    </row>
    <row r="775" ht="35.25" customHeight="1">
      <c r="A775" s="507"/>
      <c r="B775" s="507"/>
      <c r="C775" s="507"/>
      <c r="D775" s="508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  <c r="O775" s="507"/>
      <c r="P775" s="507"/>
      <c r="Q775" s="507"/>
      <c r="R775" s="507"/>
      <c r="S775" s="507"/>
      <c r="T775" s="507"/>
      <c r="U775" s="507"/>
      <c r="V775" s="507"/>
      <c r="W775" s="507"/>
    </row>
    <row r="776" ht="35.25" customHeight="1">
      <c r="A776" s="507"/>
      <c r="B776" s="507"/>
      <c r="C776" s="507"/>
      <c r="D776" s="508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  <c r="O776" s="507"/>
      <c r="P776" s="507"/>
      <c r="Q776" s="507"/>
      <c r="R776" s="507"/>
      <c r="S776" s="507"/>
      <c r="T776" s="507"/>
      <c r="U776" s="507"/>
      <c r="V776" s="507"/>
      <c r="W776" s="507"/>
    </row>
    <row r="777" ht="35.25" customHeight="1">
      <c r="A777" s="507"/>
      <c r="B777" s="507"/>
      <c r="C777" s="507"/>
      <c r="D777" s="508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  <c r="O777" s="507"/>
      <c r="P777" s="507"/>
      <c r="Q777" s="507"/>
      <c r="R777" s="507"/>
      <c r="S777" s="507"/>
      <c r="T777" s="507"/>
      <c r="U777" s="507"/>
      <c r="V777" s="507"/>
      <c r="W777" s="507"/>
    </row>
    <row r="778" ht="35.25" customHeight="1">
      <c r="A778" s="507"/>
      <c r="B778" s="507"/>
      <c r="C778" s="507"/>
      <c r="D778" s="508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  <c r="O778" s="507"/>
      <c r="P778" s="507"/>
      <c r="Q778" s="507"/>
      <c r="R778" s="507"/>
      <c r="S778" s="507"/>
      <c r="T778" s="507"/>
      <c r="U778" s="507"/>
      <c r="V778" s="507"/>
      <c r="W778" s="507"/>
    </row>
    <row r="779" ht="35.25" customHeight="1">
      <c r="A779" s="507"/>
      <c r="B779" s="507"/>
      <c r="C779" s="507"/>
      <c r="D779" s="508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  <c r="O779" s="507"/>
      <c r="P779" s="507"/>
      <c r="Q779" s="507"/>
      <c r="R779" s="507"/>
      <c r="S779" s="507"/>
      <c r="T779" s="507"/>
      <c r="U779" s="507"/>
      <c r="V779" s="507"/>
      <c r="W779" s="507"/>
    </row>
    <row r="780" ht="35.25" customHeight="1">
      <c r="A780" s="507"/>
      <c r="B780" s="507"/>
      <c r="C780" s="507"/>
      <c r="D780" s="508"/>
      <c r="E780" s="507"/>
      <c r="F780" s="507"/>
      <c r="G780" s="507"/>
      <c r="H780" s="507"/>
      <c r="I780" s="507"/>
      <c r="J780" s="507"/>
      <c r="K780" s="507"/>
      <c r="L780" s="507"/>
      <c r="M780" s="507"/>
      <c r="N780" s="507"/>
      <c r="O780" s="507"/>
      <c r="P780" s="507"/>
      <c r="Q780" s="507"/>
      <c r="R780" s="507"/>
      <c r="S780" s="507"/>
      <c r="T780" s="507"/>
      <c r="U780" s="507"/>
      <c r="V780" s="507"/>
      <c r="W780" s="507"/>
    </row>
    <row r="781" ht="35.25" customHeight="1">
      <c r="A781" s="507"/>
      <c r="B781" s="507"/>
      <c r="C781" s="507"/>
      <c r="D781" s="508"/>
      <c r="E781" s="507"/>
      <c r="F781" s="507"/>
      <c r="G781" s="507"/>
      <c r="H781" s="507"/>
      <c r="I781" s="507"/>
      <c r="J781" s="507"/>
      <c r="K781" s="507"/>
      <c r="L781" s="507"/>
      <c r="M781" s="507"/>
      <c r="N781" s="507"/>
      <c r="O781" s="507"/>
      <c r="P781" s="507"/>
      <c r="Q781" s="507"/>
      <c r="R781" s="507"/>
      <c r="S781" s="507"/>
      <c r="T781" s="507"/>
      <c r="U781" s="507"/>
      <c r="V781" s="507"/>
      <c r="W781" s="507"/>
    </row>
    <row r="782" ht="35.25" customHeight="1">
      <c r="A782" s="507"/>
      <c r="B782" s="507"/>
      <c r="C782" s="507"/>
      <c r="D782" s="508"/>
      <c r="E782" s="507"/>
      <c r="F782" s="507"/>
      <c r="G782" s="507"/>
      <c r="H782" s="507"/>
      <c r="I782" s="507"/>
      <c r="J782" s="507"/>
      <c r="K782" s="507"/>
      <c r="L782" s="507"/>
      <c r="M782" s="507"/>
      <c r="N782" s="507"/>
      <c r="O782" s="507"/>
      <c r="P782" s="507"/>
      <c r="Q782" s="507"/>
      <c r="R782" s="507"/>
      <c r="S782" s="507"/>
      <c r="T782" s="507"/>
      <c r="U782" s="507"/>
      <c r="V782" s="507"/>
      <c r="W782" s="507"/>
    </row>
    <row r="783" ht="35.25" customHeight="1">
      <c r="A783" s="507"/>
      <c r="B783" s="507"/>
      <c r="C783" s="507"/>
      <c r="D783" s="508"/>
      <c r="E783" s="507"/>
      <c r="F783" s="507"/>
      <c r="G783" s="507"/>
      <c r="H783" s="507"/>
      <c r="I783" s="507"/>
      <c r="J783" s="507"/>
      <c r="K783" s="507"/>
      <c r="L783" s="507"/>
      <c r="M783" s="507"/>
      <c r="N783" s="507"/>
      <c r="O783" s="507"/>
      <c r="P783" s="507"/>
      <c r="Q783" s="507"/>
      <c r="R783" s="507"/>
      <c r="S783" s="507"/>
      <c r="T783" s="507"/>
      <c r="U783" s="507"/>
      <c r="V783" s="507"/>
      <c r="W783" s="507"/>
    </row>
    <row r="784" ht="35.25" customHeight="1">
      <c r="A784" s="507"/>
      <c r="B784" s="507"/>
      <c r="C784" s="507"/>
      <c r="D784" s="508"/>
      <c r="E784" s="507"/>
      <c r="F784" s="507"/>
      <c r="G784" s="507"/>
      <c r="H784" s="507"/>
      <c r="I784" s="507"/>
      <c r="J784" s="507"/>
      <c r="K784" s="507"/>
      <c r="L784" s="507"/>
      <c r="M784" s="507"/>
      <c r="N784" s="507"/>
      <c r="O784" s="507"/>
      <c r="P784" s="507"/>
      <c r="Q784" s="507"/>
      <c r="R784" s="507"/>
      <c r="S784" s="507"/>
      <c r="T784" s="507"/>
      <c r="U784" s="507"/>
      <c r="V784" s="507"/>
      <c r="W784" s="507"/>
    </row>
    <row r="785" ht="35.25" customHeight="1">
      <c r="A785" s="507"/>
      <c r="B785" s="507"/>
      <c r="C785" s="507"/>
      <c r="D785" s="508"/>
      <c r="E785" s="507"/>
      <c r="F785" s="507"/>
      <c r="G785" s="507"/>
      <c r="H785" s="507"/>
      <c r="I785" s="507"/>
      <c r="J785" s="507"/>
      <c r="K785" s="507"/>
      <c r="L785" s="507"/>
      <c r="M785" s="507"/>
      <c r="N785" s="507"/>
      <c r="O785" s="507"/>
      <c r="P785" s="507"/>
      <c r="Q785" s="507"/>
      <c r="R785" s="507"/>
      <c r="S785" s="507"/>
      <c r="T785" s="507"/>
      <c r="U785" s="507"/>
      <c r="V785" s="507"/>
      <c r="W785" s="507"/>
    </row>
    <row r="786" ht="35.25" customHeight="1">
      <c r="A786" s="507"/>
      <c r="B786" s="507"/>
      <c r="C786" s="507"/>
      <c r="D786" s="508"/>
      <c r="E786" s="507"/>
      <c r="F786" s="507"/>
      <c r="G786" s="507"/>
      <c r="H786" s="507"/>
      <c r="I786" s="507"/>
      <c r="J786" s="507"/>
      <c r="K786" s="507"/>
      <c r="L786" s="507"/>
      <c r="M786" s="507"/>
      <c r="N786" s="507"/>
      <c r="O786" s="507"/>
      <c r="P786" s="507"/>
      <c r="Q786" s="507"/>
      <c r="R786" s="507"/>
      <c r="S786" s="507"/>
      <c r="T786" s="507"/>
      <c r="U786" s="507"/>
      <c r="V786" s="507"/>
      <c r="W786" s="507"/>
    </row>
    <row r="787" ht="35.25" customHeight="1">
      <c r="A787" s="507"/>
      <c r="B787" s="507"/>
      <c r="C787" s="507"/>
      <c r="D787" s="508"/>
      <c r="E787" s="507"/>
      <c r="F787" s="507"/>
      <c r="G787" s="507"/>
      <c r="H787" s="507"/>
      <c r="I787" s="507"/>
      <c r="J787" s="507"/>
      <c r="K787" s="507"/>
      <c r="L787" s="507"/>
      <c r="M787" s="507"/>
      <c r="N787" s="507"/>
      <c r="O787" s="507"/>
      <c r="P787" s="507"/>
      <c r="Q787" s="507"/>
      <c r="R787" s="507"/>
      <c r="S787" s="507"/>
      <c r="T787" s="507"/>
      <c r="U787" s="507"/>
      <c r="V787" s="507"/>
      <c r="W787" s="507"/>
    </row>
    <row r="788" ht="35.25" customHeight="1">
      <c r="A788" s="507"/>
      <c r="B788" s="507"/>
      <c r="C788" s="507"/>
      <c r="D788" s="508"/>
      <c r="E788" s="507"/>
      <c r="F788" s="507"/>
      <c r="G788" s="507"/>
      <c r="H788" s="507"/>
      <c r="I788" s="507"/>
      <c r="J788" s="507"/>
      <c r="K788" s="507"/>
      <c r="L788" s="507"/>
      <c r="M788" s="507"/>
      <c r="N788" s="507"/>
      <c r="O788" s="507"/>
      <c r="P788" s="507"/>
      <c r="Q788" s="507"/>
      <c r="R788" s="507"/>
      <c r="S788" s="507"/>
      <c r="T788" s="507"/>
      <c r="U788" s="507"/>
      <c r="V788" s="507"/>
      <c r="W788" s="507"/>
    </row>
    <row r="789" ht="35.25" customHeight="1">
      <c r="A789" s="507"/>
      <c r="B789" s="507"/>
      <c r="C789" s="507"/>
      <c r="D789" s="508"/>
      <c r="E789" s="507"/>
      <c r="F789" s="507"/>
      <c r="G789" s="507"/>
      <c r="H789" s="507"/>
      <c r="I789" s="507"/>
      <c r="J789" s="507"/>
      <c r="K789" s="507"/>
      <c r="L789" s="507"/>
      <c r="M789" s="507"/>
      <c r="N789" s="507"/>
      <c r="O789" s="507"/>
      <c r="P789" s="507"/>
      <c r="Q789" s="507"/>
      <c r="R789" s="507"/>
      <c r="S789" s="507"/>
      <c r="T789" s="507"/>
      <c r="U789" s="507"/>
      <c r="V789" s="507"/>
      <c r="W789" s="507"/>
    </row>
    <row r="790" ht="35.25" customHeight="1">
      <c r="A790" s="507"/>
      <c r="B790" s="507"/>
      <c r="C790" s="507"/>
      <c r="D790" s="508"/>
      <c r="E790" s="507"/>
      <c r="F790" s="507"/>
      <c r="G790" s="507"/>
      <c r="H790" s="507"/>
      <c r="I790" s="507"/>
      <c r="J790" s="507"/>
      <c r="K790" s="507"/>
      <c r="L790" s="507"/>
      <c r="M790" s="507"/>
      <c r="N790" s="507"/>
      <c r="O790" s="507"/>
      <c r="P790" s="507"/>
      <c r="Q790" s="507"/>
      <c r="R790" s="507"/>
      <c r="S790" s="507"/>
      <c r="T790" s="507"/>
      <c r="U790" s="507"/>
      <c r="V790" s="507"/>
      <c r="W790" s="507"/>
    </row>
    <row r="791" ht="35.25" customHeight="1">
      <c r="A791" s="507"/>
      <c r="B791" s="507"/>
      <c r="C791" s="507"/>
      <c r="D791" s="508"/>
      <c r="E791" s="507"/>
      <c r="F791" s="507"/>
      <c r="G791" s="507"/>
      <c r="H791" s="507"/>
      <c r="I791" s="507"/>
      <c r="J791" s="507"/>
      <c r="K791" s="507"/>
      <c r="L791" s="507"/>
      <c r="M791" s="507"/>
      <c r="N791" s="507"/>
      <c r="O791" s="507"/>
      <c r="P791" s="507"/>
      <c r="Q791" s="507"/>
      <c r="R791" s="507"/>
      <c r="S791" s="507"/>
      <c r="T791" s="507"/>
      <c r="U791" s="507"/>
      <c r="V791" s="507"/>
      <c r="W791" s="507"/>
    </row>
    <row r="792" ht="35.25" customHeight="1">
      <c r="A792" s="507"/>
      <c r="B792" s="507"/>
      <c r="C792" s="507"/>
      <c r="D792" s="508"/>
      <c r="E792" s="507"/>
      <c r="F792" s="507"/>
      <c r="G792" s="507"/>
      <c r="H792" s="507"/>
      <c r="I792" s="507"/>
      <c r="J792" s="507"/>
      <c r="K792" s="507"/>
      <c r="L792" s="507"/>
      <c r="M792" s="507"/>
      <c r="N792" s="507"/>
      <c r="O792" s="507"/>
      <c r="P792" s="507"/>
      <c r="Q792" s="507"/>
      <c r="R792" s="507"/>
      <c r="S792" s="507"/>
      <c r="T792" s="507"/>
      <c r="U792" s="507"/>
      <c r="V792" s="507"/>
      <c r="W792" s="507"/>
    </row>
    <row r="793" ht="35.25" customHeight="1">
      <c r="A793" s="507"/>
      <c r="B793" s="507"/>
      <c r="C793" s="507"/>
      <c r="D793" s="508"/>
      <c r="E793" s="507"/>
      <c r="F793" s="507"/>
      <c r="G793" s="507"/>
      <c r="H793" s="507"/>
      <c r="I793" s="507"/>
      <c r="J793" s="507"/>
      <c r="K793" s="507"/>
      <c r="L793" s="507"/>
      <c r="M793" s="507"/>
      <c r="N793" s="507"/>
      <c r="O793" s="507"/>
      <c r="P793" s="507"/>
      <c r="Q793" s="507"/>
      <c r="R793" s="507"/>
      <c r="S793" s="507"/>
      <c r="T793" s="507"/>
      <c r="U793" s="507"/>
      <c r="V793" s="507"/>
      <c r="W793" s="507"/>
    </row>
    <row r="794" ht="35.25" customHeight="1">
      <c r="A794" s="507"/>
      <c r="B794" s="507"/>
      <c r="C794" s="507"/>
      <c r="D794" s="508"/>
      <c r="E794" s="507"/>
      <c r="F794" s="507"/>
      <c r="G794" s="507"/>
      <c r="H794" s="507"/>
      <c r="I794" s="507"/>
      <c r="J794" s="507"/>
      <c r="K794" s="507"/>
      <c r="L794" s="507"/>
      <c r="M794" s="507"/>
      <c r="N794" s="507"/>
      <c r="O794" s="507"/>
      <c r="P794" s="507"/>
      <c r="Q794" s="507"/>
      <c r="R794" s="507"/>
      <c r="S794" s="507"/>
      <c r="T794" s="507"/>
      <c r="U794" s="507"/>
      <c r="V794" s="507"/>
      <c r="W794" s="507"/>
    </row>
    <row r="795" ht="35.25" customHeight="1">
      <c r="A795" s="507"/>
      <c r="B795" s="507"/>
      <c r="C795" s="507"/>
      <c r="D795" s="508"/>
      <c r="E795" s="507"/>
      <c r="F795" s="507"/>
      <c r="G795" s="507"/>
      <c r="H795" s="507"/>
      <c r="I795" s="507"/>
      <c r="J795" s="507"/>
      <c r="K795" s="507"/>
      <c r="L795" s="507"/>
      <c r="M795" s="507"/>
      <c r="N795" s="507"/>
      <c r="O795" s="507"/>
      <c r="P795" s="507"/>
      <c r="Q795" s="507"/>
      <c r="R795" s="507"/>
      <c r="S795" s="507"/>
      <c r="T795" s="507"/>
      <c r="U795" s="507"/>
      <c r="V795" s="507"/>
      <c r="W795" s="507"/>
    </row>
    <row r="796" ht="35.25" customHeight="1">
      <c r="A796" s="507"/>
      <c r="B796" s="507"/>
      <c r="C796" s="507"/>
      <c r="D796" s="508"/>
      <c r="E796" s="507"/>
      <c r="F796" s="507"/>
      <c r="G796" s="507"/>
      <c r="H796" s="507"/>
      <c r="I796" s="507"/>
      <c r="J796" s="507"/>
      <c r="K796" s="507"/>
      <c r="L796" s="507"/>
      <c r="M796" s="507"/>
      <c r="N796" s="507"/>
      <c r="O796" s="507"/>
      <c r="P796" s="507"/>
      <c r="Q796" s="507"/>
      <c r="R796" s="507"/>
      <c r="S796" s="507"/>
      <c r="T796" s="507"/>
      <c r="U796" s="507"/>
      <c r="V796" s="507"/>
      <c r="W796" s="507"/>
    </row>
    <row r="797" ht="35.25" customHeight="1">
      <c r="A797" s="507"/>
      <c r="B797" s="507"/>
      <c r="C797" s="507"/>
      <c r="D797" s="508"/>
      <c r="E797" s="507"/>
      <c r="F797" s="507"/>
      <c r="G797" s="507"/>
      <c r="H797" s="507"/>
      <c r="I797" s="507"/>
      <c r="J797" s="507"/>
      <c r="K797" s="507"/>
      <c r="L797" s="507"/>
      <c r="M797" s="507"/>
      <c r="N797" s="507"/>
      <c r="O797" s="507"/>
      <c r="P797" s="507"/>
      <c r="Q797" s="507"/>
      <c r="R797" s="507"/>
      <c r="S797" s="507"/>
      <c r="T797" s="507"/>
      <c r="U797" s="507"/>
      <c r="V797" s="507"/>
      <c r="W797" s="507"/>
    </row>
    <row r="798" ht="35.25" customHeight="1">
      <c r="A798" s="507"/>
      <c r="B798" s="507"/>
      <c r="C798" s="507"/>
      <c r="D798" s="508"/>
      <c r="E798" s="507"/>
      <c r="F798" s="507"/>
      <c r="G798" s="507"/>
      <c r="H798" s="507"/>
      <c r="I798" s="507"/>
      <c r="J798" s="507"/>
      <c r="K798" s="507"/>
      <c r="L798" s="507"/>
      <c r="M798" s="507"/>
      <c r="N798" s="507"/>
      <c r="O798" s="507"/>
      <c r="P798" s="507"/>
      <c r="Q798" s="507"/>
      <c r="R798" s="507"/>
      <c r="S798" s="507"/>
      <c r="T798" s="507"/>
      <c r="U798" s="507"/>
      <c r="V798" s="507"/>
      <c r="W798" s="507"/>
    </row>
    <row r="799" ht="35.25" customHeight="1">
      <c r="A799" s="507"/>
      <c r="B799" s="507"/>
      <c r="C799" s="507"/>
      <c r="D799" s="508"/>
      <c r="E799" s="507"/>
      <c r="F799" s="507"/>
      <c r="G799" s="507"/>
      <c r="H799" s="507"/>
      <c r="I799" s="507"/>
      <c r="J799" s="507"/>
      <c r="K799" s="507"/>
      <c r="L799" s="507"/>
      <c r="M799" s="507"/>
      <c r="N799" s="507"/>
      <c r="O799" s="507"/>
      <c r="P799" s="507"/>
      <c r="Q799" s="507"/>
      <c r="R799" s="507"/>
      <c r="S799" s="507"/>
      <c r="T799" s="507"/>
      <c r="U799" s="507"/>
      <c r="V799" s="507"/>
      <c r="W799" s="507"/>
    </row>
    <row r="800" ht="35.25" customHeight="1">
      <c r="A800" s="507"/>
      <c r="B800" s="507"/>
      <c r="C800" s="507"/>
      <c r="D800" s="508"/>
      <c r="E800" s="507"/>
      <c r="F800" s="507"/>
      <c r="G800" s="507"/>
      <c r="H800" s="507"/>
      <c r="I800" s="507"/>
      <c r="J800" s="507"/>
      <c r="K800" s="507"/>
      <c r="L800" s="507"/>
      <c r="M800" s="507"/>
      <c r="N800" s="507"/>
      <c r="O800" s="507"/>
      <c r="P800" s="507"/>
      <c r="Q800" s="507"/>
      <c r="R800" s="507"/>
      <c r="S800" s="507"/>
      <c r="T800" s="507"/>
      <c r="U800" s="507"/>
      <c r="V800" s="507"/>
      <c r="W800" s="507"/>
    </row>
    <row r="801" ht="35.25" customHeight="1">
      <c r="A801" s="507"/>
      <c r="B801" s="507"/>
      <c r="C801" s="507"/>
      <c r="D801" s="508"/>
      <c r="E801" s="507"/>
      <c r="F801" s="507"/>
      <c r="G801" s="507"/>
      <c r="H801" s="507"/>
      <c r="I801" s="507"/>
      <c r="J801" s="507"/>
      <c r="K801" s="507"/>
      <c r="L801" s="507"/>
      <c r="M801" s="507"/>
      <c r="N801" s="507"/>
      <c r="O801" s="507"/>
      <c r="P801" s="507"/>
      <c r="Q801" s="507"/>
      <c r="R801" s="507"/>
      <c r="S801" s="507"/>
      <c r="T801" s="507"/>
      <c r="U801" s="507"/>
      <c r="V801" s="507"/>
      <c r="W801" s="507"/>
    </row>
    <row r="802" ht="35.25" customHeight="1">
      <c r="A802" s="507"/>
      <c r="B802" s="507"/>
      <c r="C802" s="507"/>
      <c r="D802" s="508"/>
      <c r="E802" s="507"/>
      <c r="F802" s="507"/>
      <c r="G802" s="507"/>
      <c r="H802" s="507"/>
      <c r="I802" s="507"/>
      <c r="J802" s="507"/>
      <c r="K802" s="507"/>
      <c r="L802" s="507"/>
      <c r="M802" s="507"/>
      <c r="N802" s="507"/>
      <c r="O802" s="507"/>
      <c r="P802" s="507"/>
      <c r="Q802" s="507"/>
      <c r="R802" s="507"/>
      <c r="S802" s="507"/>
      <c r="T802" s="507"/>
      <c r="U802" s="507"/>
      <c r="V802" s="507"/>
      <c r="W802" s="507"/>
    </row>
    <row r="803" ht="35.25" customHeight="1">
      <c r="A803" s="507"/>
      <c r="B803" s="507"/>
      <c r="C803" s="507"/>
      <c r="D803" s="508"/>
      <c r="E803" s="507"/>
      <c r="F803" s="507"/>
      <c r="G803" s="507"/>
      <c r="H803" s="507"/>
      <c r="I803" s="507"/>
      <c r="J803" s="507"/>
      <c r="K803" s="507"/>
      <c r="L803" s="507"/>
      <c r="M803" s="507"/>
      <c r="N803" s="507"/>
      <c r="O803" s="507"/>
      <c r="P803" s="507"/>
      <c r="Q803" s="507"/>
      <c r="R803" s="507"/>
      <c r="S803" s="507"/>
      <c r="T803" s="507"/>
      <c r="U803" s="507"/>
      <c r="V803" s="507"/>
      <c r="W803" s="507"/>
    </row>
    <row r="804" ht="35.25" customHeight="1">
      <c r="A804" s="507"/>
      <c r="B804" s="507"/>
      <c r="C804" s="507"/>
      <c r="D804" s="508"/>
      <c r="E804" s="507"/>
      <c r="F804" s="507"/>
      <c r="G804" s="507"/>
      <c r="H804" s="507"/>
      <c r="I804" s="507"/>
      <c r="J804" s="507"/>
      <c r="K804" s="507"/>
      <c r="L804" s="507"/>
      <c r="M804" s="507"/>
      <c r="N804" s="507"/>
      <c r="O804" s="507"/>
      <c r="P804" s="507"/>
      <c r="Q804" s="507"/>
      <c r="R804" s="507"/>
      <c r="S804" s="507"/>
      <c r="T804" s="507"/>
      <c r="U804" s="507"/>
      <c r="V804" s="507"/>
      <c r="W804" s="507"/>
    </row>
    <row r="805" ht="35.25" customHeight="1">
      <c r="A805" s="507"/>
      <c r="B805" s="507"/>
      <c r="C805" s="507"/>
      <c r="D805" s="508"/>
      <c r="E805" s="507"/>
      <c r="F805" s="507"/>
      <c r="G805" s="507"/>
      <c r="H805" s="507"/>
      <c r="I805" s="507"/>
      <c r="J805" s="507"/>
      <c r="K805" s="507"/>
      <c r="L805" s="507"/>
      <c r="M805" s="507"/>
      <c r="N805" s="507"/>
      <c r="O805" s="507"/>
      <c r="P805" s="507"/>
      <c r="Q805" s="507"/>
      <c r="R805" s="507"/>
      <c r="S805" s="507"/>
      <c r="T805" s="507"/>
      <c r="U805" s="507"/>
      <c r="V805" s="507"/>
      <c r="W805" s="507"/>
    </row>
    <row r="806" ht="35.25" customHeight="1">
      <c r="A806" s="507"/>
      <c r="B806" s="507"/>
      <c r="C806" s="507"/>
      <c r="D806" s="508"/>
      <c r="E806" s="507"/>
      <c r="F806" s="507"/>
      <c r="G806" s="507"/>
      <c r="H806" s="507"/>
      <c r="I806" s="507"/>
      <c r="J806" s="507"/>
      <c r="K806" s="507"/>
      <c r="L806" s="507"/>
      <c r="M806" s="507"/>
      <c r="N806" s="507"/>
      <c r="O806" s="507"/>
      <c r="P806" s="507"/>
      <c r="Q806" s="507"/>
      <c r="R806" s="507"/>
      <c r="S806" s="507"/>
      <c r="T806" s="507"/>
      <c r="U806" s="507"/>
      <c r="V806" s="507"/>
      <c r="W806" s="507"/>
    </row>
    <row r="807" ht="35.25" customHeight="1">
      <c r="A807" s="507"/>
      <c r="B807" s="507"/>
      <c r="C807" s="507"/>
      <c r="D807" s="508"/>
      <c r="E807" s="507"/>
      <c r="F807" s="507"/>
      <c r="G807" s="507"/>
      <c r="H807" s="507"/>
      <c r="I807" s="507"/>
      <c r="J807" s="507"/>
      <c r="K807" s="507"/>
      <c r="L807" s="507"/>
      <c r="M807" s="507"/>
      <c r="N807" s="507"/>
      <c r="O807" s="507"/>
      <c r="P807" s="507"/>
      <c r="Q807" s="507"/>
      <c r="R807" s="507"/>
      <c r="S807" s="507"/>
      <c r="T807" s="507"/>
      <c r="U807" s="507"/>
      <c r="V807" s="507"/>
      <c r="W807" s="507"/>
    </row>
    <row r="808" ht="35.25" customHeight="1">
      <c r="A808" s="507"/>
      <c r="B808" s="507"/>
      <c r="C808" s="507"/>
      <c r="D808" s="508"/>
      <c r="E808" s="507"/>
      <c r="F808" s="507"/>
      <c r="G808" s="507"/>
      <c r="H808" s="507"/>
      <c r="I808" s="507"/>
      <c r="J808" s="507"/>
      <c r="K808" s="507"/>
      <c r="L808" s="507"/>
      <c r="M808" s="507"/>
      <c r="N808" s="507"/>
      <c r="O808" s="507"/>
      <c r="P808" s="507"/>
      <c r="Q808" s="507"/>
      <c r="R808" s="507"/>
      <c r="S808" s="507"/>
      <c r="T808" s="507"/>
      <c r="U808" s="507"/>
      <c r="V808" s="507"/>
      <c r="W808" s="507"/>
    </row>
    <row r="809" ht="35.25" customHeight="1">
      <c r="A809" s="507"/>
      <c r="B809" s="507"/>
      <c r="C809" s="507"/>
      <c r="D809" s="508"/>
      <c r="E809" s="507"/>
      <c r="F809" s="507"/>
      <c r="G809" s="507"/>
      <c r="H809" s="507"/>
      <c r="I809" s="507"/>
      <c r="J809" s="507"/>
      <c r="K809" s="507"/>
      <c r="L809" s="507"/>
      <c r="M809" s="507"/>
      <c r="N809" s="507"/>
      <c r="O809" s="507"/>
      <c r="P809" s="507"/>
      <c r="Q809" s="507"/>
      <c r="R809" s="507"/>
      <c r="S809" s="507"/>
      <c r="T809" s="507"/>
      <c r="U809" s="507"/>
      <c r="V809" s="507"/>
      <c r="W809" s="507"/>
    </row>
    <row r="810" ht="35.25" customHeight="1">
      <c r="A810" s="507"/>
      <c r="B810" s="507"/>
      <c r="C810" s="507"/>
      <c r="D810" s="508"/>
      <c r="E810" s="507"/>
      <c r="F810" s="507"/>
      <c r="G810" s="507"/>
      <c r="H810" s="507"/>
      <c r="I810" s="507"/>
      <c r="J810" s="507"/>
      <c r="K810" s="507"/>
      <c r="L810" s="507"/>
      <c r="M810" s="507"/>
      <c r="N810" s="507"/>
      <c r="O810" s="507"/>
      <c r="P810" s="507"/>
      <c r="Q810" s="507"/>
      <c r="R810" s="507"/>
      <c r="S810" s="507"/>
      <c r="T810" s="507"/>
      <c r="U810" s="507"/>
      <c r="V810" s="507"/>
      <c r="W810" s="507"/>
    </row>
    <row r="811" ht="35.25" customHeight="1">
      <c r="A811" s="507"/>
      <c r="B811" s="507"/>
      <c r="C811" s="507"/>
      <c r="D811" s="508"/>
      <c r="E811" s="507"/>
      <c r="F811" s="507"/>
      <c r="G811" s="507"/>
      <c r="H811" s="507"/>
      <c r="I811" s="507"/>
      <c r="J811" s="507"/>
      <c r="K811" s="507"/>
      <c r="L811" s="507"/>
      <c r="M811" s="507"/>
      <c r="N811" s="507"/>
      <c r="O811" s="507"/>
      <c r="P811" s="507"/>
      <c r="Q811" s="507"/>
      <c r="R811" s="507"/>
      <c r="S811" s="507"/>
      <c r="T811" s="507"/>
      <c r="U811" s="507"/>
      <c r="V811" s="507"/>
      <c r="W811" s="507"/>
    </row>
    <row r="812" ht="35.25" customHeight="1">
      <c r="A812" s="507"/>
      <c r="B812" s="507"/>
      <c r="C812" s="507"/>
      <c r="D812" s="508"/>
      <c r="E812" s="507"/>
      <c r="F812" s="507"/>
      <c r="G812" s="507"/>
      <c r="H812" s="507"/>
      <c r="I812" s="507"/>
      <c r="J812" s="507"/>
      <c r="K812" s="507"/>
      <c r="L812" s="507"/>
      <c r="M812" s="507"/>
      <c r="N812" s="507"/>
      <c r="O812" s="507"/>
      <c r="P812" s="507"/>
      <c r="Q812" s="507"/>
      <c r="R812" s="507"/>
      <c r="S812" s="507"/>
      <c r="T812" s="507"/>
      <c r="U812" s="507"/>
      <c r="V812" s="507"/>
      <c r="W812" s="507"/>
    </row>
    <row r="813" ht="35.25" customHeight="1">
      <c r="A813" s="507"/>
      <c r="B813" s="507"/>
      <c r="C813" s="507"/>
      <c r="D813" s="508"/>
      <c r="E813" s="507"/>
      <c r="F813" s="507"/>
      <c r="G813" s="507"/>
      <c r="H813" s="507"/>
      <c r="I813" s="507"/>
      <c r="J813" s="507"/>
      <c r="K813" s="507"/>
      <c r="L813" s="507"/>
      <c r="M813" s="507"/>
      <c r="N813" s="507"/>
      <c r="O813" s="507"/>
      <c r="P813" s="507"/>
      <c r="Q813" s="507"/>
      <c r="R813" s="507"/>
      <c r="S813" s="507"/>
      <c r="T813" s="507"/>
      <c r="U813" s="507"/>
      <c r="V813" s="507"/>
      <c r="W813" s="507"/>
    </row>
    <row r="814" ht="35.25" customHeight="1">
      <c r="A814" s="507"/>
      <c r="B814" s="507"/>
      <c r="C814" s="507"/>
      <c r="D814" s="508"/>
      <c r="E814" s="507"/>
      <c r="F814" s="507"/>
      <c r="G814" s="507"/>
      <c r="H814" s="507"/>
      <c r="I814" s="507"/>
      <c r="J814" s="507"/>
      <c r="K814" s="507"/>
      <c r="L814" s="507"/>
      <c r="M814" s="507"/>
      <c r="N814" s="507"/>
      <c r="O814" s="507"/>
      <c r="P814" s="507"/>
      <c r="Q814" s="507"/>
      <c r="R814" s="507"/>
      <c r="S814" s="507"/>
      <c r="T814" s="507"/>
      <c r="U814" s="507"/>
      <c r="V814" s="507"/>
      <c r="W814" s="507"/>
    </row>
    <row r="815" ht="35.25" customHeight="1">
      <c r="A815" s="507"/>
      <c r="B815" s="507"/>
      <c r="C815" s="507"/>
      <c r="D815" s="508"/>
      <c r="E815" s="507"/>
      <c r="F815" s="507"/>
      <c r="G815" s="507"/>
      <c r="H815" s="507"/>
      <c r="I815" s="507"/>
      <c r="J815" s="507"/>
      <c r="K815" s="507"/>
      <c r="L815" s="507"/>
      <c r="M815" s="507"/>
      <c r="N815" s="507"/>
      <c r="O815" s="507"/>
      <c r="P815" s="507"/>
      <c r="Q815" s="507"/>
      <c r="R815" s="507"/>
      <c r="S815" s="507"/>
      <c r="T815" s="507"/>
      <c r="U815" s="507"/>
      <c r="V815" s="507"/>
      <c r="W815" s="507"/>
    </row>
    <row r="816" ht="35.25" customHeight="1">
      <c r="A816" s="507"/>
      <c r="B816" s="507"/>
      <c r="C816" s="507"/>
      <c r="D816" s="508"/>
      <c r="E816" s="507"/>
      <c r="F816" s="507"/>
      <c r="G816" s="507"/>
      <c r="H816" s="507"/>
      <c r="I816" s="507"/>
      <c r="J816" s="507"/>
      <c r="K816" s="507"/>
      <c r="L816" s="507"/>
      <c r="M816" s="507"/>
      <c r="N816" s="507"/>
      <c r="O816" s="507"/>
      <c r="P816" s="507"/>
      <c r="Q816" s="507"/>
      <c r="R816" s="507"/>
      <c r="S816" s="507"/>
      <c r="T816" s="507"/>
      <c r="U816" s="507"/>
      <c r="V816" s="507"/>
      <c r="W816" s="507"/>
    </row>
    <row r="817" ht="35.25" customHeight="1">
      <c r="A817" s="507"/>
      <c r="B817" s="507"/>
      <c r="C817" s="507"/>
      <c r="D817" s="508"/>
      <c r="E817" s="507"/>
      <c r="F817" s="507"/>
      <c r="G817" s="507"/>
      <c r="H817" s="507"/>
      <c r="I817" s="507"/>
      <c r="J817" s="507"/>
      <c r="K817" s="507"/>
      <c r="L817" s="507"/>
      <c r="M817" s="507"/>
      <c r="N817" s="507"/>
      <c r="O817" s="507"/>
      <c r="P817" s="507"/>
      <c r="Q817" s="507"/>
      <c r="R817" s="507"/>
      <c r="S817" s="507"/>
      <c r="T817" s="507"/>
      <c r="U817" s="507"/>
      <c r="V817" s="507"/>
      <c r="W817" s="507"/>
    </row>
    <row r="818" ht="35.25" customHeight="1">
      <c r="A818" s="507"/>
      <c r="B818" s="507"/>
      <c r="C818" s="507"/>
      <c r="D818" s="508"/>
      <c r="E818" s="507"/>
      <c r="F818" s="507"/>
      <c r="G818" s="507"/>
      <c r="H818" s="507"/>
      <c r="I818" s="507"/>
      <c r="J818" s="507"/>
      <c r="K818" s="507"/>
      <c r="L818" s="507"/>
      <c r="M818" s="507"/>
      <c r="N818" s="507"/>
      <c r="O818" s="507"/>
      <c r="P818" s="507"/>
      <c r="Q818" s="507"/>
      <c r="R818" s="507"/>
      <c r="S818" s="507"/>
      <c r="T818" s="507"/>
      <c r="U818" s="507"/>
      <c r="V818" s="507"/>
      <c r="W818" s="507"/>
    </row>
    <row r="819" ht="35.25" customHeight="1">
      <c r="A819" s="507"/>
      <c r="B819" s="507"/>
      <c r="C819" s="507"/>
      <c r="D819" s="508"/>
      <c r="E819" s="507"/>
      <c r="F819" s="507"/>
      <c r="G819" s="507"/>
      <c r="H819" s="507"/>
      <c r="I819" s="507"/>
      <c r="J819" s="507"/>
      <c r="K819" s="507"/>
      <c r="L819" s="507"/>
      <c r="M819" s="507"/>
      <c r="N819" s="507"/>
      <c r="O819" s="507"/>
      <c r="P819" s="507"/>
      <c r="Q819" s="507"/>
      <c r="R819" s="507"/>
      <c r="S819" s="507"/>
      <c r="T819" s="507"/>
      <c r="U819" s="507"/>
      <c r="V819" s="507"/>
      <c r="W819" s="507"/>
    </row>
    <row r="820" ht="35.25" customHeight="1">
      <c r="A820" s="507"/>
      <c r="B820" s="507"/>
      <c r="C820" s="507"/>
      <c r="D820" s="508"/>
      <c r="E820" s="507"/>
      <c r="F820" s="507"/>
      <c r="G820" s="507"/>
      <c r="H820" s="507"/>
      <c r="I820" s="507"/>
      <c r="J820" s="507"/>
      <c r="K820" s="507"/>
      <c r="L820" s="507"/>
      <c r="M820" s="507"/>
      <c r="N820" s="507"/>
      <c r="O820" s="507"/>
      <c r="P820" s="507"/>
      <c r="Q820" s="507"/>
      <c r="R820" s="507"/>
      <c r="S820" s="507"/>
      <c r="T820" s="507"/>
      <c r="U820" s="507"/>
      <c r="V820" s="507"/>
      <c r="W820" s="507"/>
    </row>
    <row r="821" ht="35.25" customHeight="1">
      <c r="A821" s="507"/>
      <c r="B821" s="507"/>
      <c r="C821" s="507"/>
      <c r="D821" s="508"/>
      <c r="E821" s="507"/>
      <c r="F821" s="507"/>
      <c r="G821" s="507"/>
      <c r="H821" s="507"/>
      <c r="I821" s="507"/>
      <c r="J821" s="507"/>
      <c r="K821" s="507"/>
      <c r="L821" s="507"/>
      <c r="M821" s="507"/>
      <c r="N821" s="507"/>
      <c r="O821" s="507"/>
      <c r="P821" s="507"/>
      <c r="Q821" s="507"/>
      <c r="R821" s="507"/>
      <c r="S821" s="507"/>
      <c r="T821" s="507"/>
      <c r="U821" s="507"/>
      <c r="V821" s="507"/>
      <c r="W821" s="507"/>
    </row>
    <row r="822" ht="35.25" customHeight="1">
      <c r="A822" s="507"/>
      <c r="B822" s="507"/>
      <c r="C822" s="507"/>
      <c r="D822" s="508"/>
      <c r="E822" s="507"/>
      <c r="F822" s="507"/>
      <c r="G822" s="507"/>
      <c r="H822" s="507"/>
      <c r="I822" s="507"/>
      <c r="J822" s="507"/>
      <c r="K822" s="507"/>
      <c r="L822" s="507"/>
      <c r="M822" s="507"/>
      <c r="N822" s="507"/>
      <c r="O822" s="507"/>
      <c r="P822" s="507"/>
      <c r="Q822" s="507"/>
      <c r="R822" s="507"/>
      <c r="S822" s="507"/>
      <c r="T822" s="507"/>
      <c r="U822" s="507"/>
      <c r="V822" s="507"/>
      <c r="W822" s="507"/>
    </row>
    <row r="823" ht="35.25" customHeight="1">
      <c r="A823" s="507"/>
      <c r="B823" s="507"/>
      <c r="C823" s="507"/>
      <c r="D823" s="508"/>
      <c r="E823" s="507"/>
      <c r="F823" s="507"/>
      <c r="G823" s="507"/>
      <c r="H823" s="507"/>
      <c r="I823" s="507"/>
      <c r="J823" s="507"/>
      <c r="K823" s="507"/>
      <c r="L823" s="507"/>
      <c r="M823" s="507"/>
      <c r="N823" s="507"/>
      <c r="O823" s="507"/>
      <c r="P823" s="507"/>
      <c r="Q823" s="507"/>
      <c r="R823" s="507"/>
      <c r="S823" s="507"/>
      <c r="T823" s="507"/>
      <c r="U823" s="507"/>
      <c r="V823" s="507"/>
      <c r="W823" s="507"/>
    </row>
    <row r="824" ht="35.25" customHeight="1">
      <c r="A824" s="507"/>
      <c r="B824" s="507"/>
      <c r="C824" s="507"/>
      <c r="D824" s="508"/>
      <c r="E824" s="507"/>
      <c r="F824" s="507"/>
      <c r="G824" s="507"/>
      <c r="H824" s="507"/>
      <c r="I824" s="507"/>
      <c r="J824" s="507"/>
      <c r="K824" s="507"/>
      <c r="L824" s="507"/>
      <c r="M824" s="507"/>
      <c r="N824" s="507"/>
      <c r="O824" s="507"/>
      <c r="P824" s="507"/>
      <c r="Q824" s="507"/>
      <c r="R824" s="507"/>
      <c r="S824" s="507"/>
      <c r="T824" s="507"/>
      <c r="U824" s="507"/>
      <c r="V824" s="507"/>
      <c r="W824" s="507"/>
    </row>
    <row r="825" ht="35.25" customHeight="1">
      <c r="A825" s="507"/>
      <c r="B825" s="507"/>
      <c r="C825" s="507"/>
      <c r="D825" s="508"/>
      <c r="E825" s="507"/>
      <c r="F825" s="507"/>
      <c r="G825" s="507"/>
      <c r="H825" s="507"/>
      <c r="I825" s="507"/>
      <c r="J825" s="507"/>
      <c r="K825" s="507"/>
      <c r="L825" s="507"/>
      <c r="M825" s="507"/>
      <c r="N825" s="507"/>
      <c r="O825" s="507"/>
      <c r="P825" s="507"/>
      <c r="Q825" s="507"/>
      <c r="R825" s="507"/>
      <c r="S825" s="507"/>
      <c r="T825" s="507"/>
      <c r="U825" s="507"/>
      <c r="V825" s="507"/>
      <c r="W825" s="507"/>
    </row>
    <row r="826" ht="35.25" customHeight="1">
      <c r="A826" s="507"/>
      <c r="B826" s="507"/>
      <c r="C826" s="507"/>
      <c r="D826" s="508"/>
      <c r="E826" s="507"/>
      <c r="F826" s="507"/>
      <c r="G826" s="507"/>
      <c r="H826" s="507"/>
      <c r="I826" s="507"/>
      <c r="J826" s="507"/>
      <c r="K826" s="507"/>
      <c r="L826" s="507"/>
      <c r="M826" s="507"/>
      <c r="N826" s="507"/>
      <c r="O826" s="507"/>
      <c r="P826" s="507"/>
      <c r="Q826" s="507"/>
      <c r="R826" s="507"/>
      <c r="S826" s="507"/>
      <c r="T826" s="507"/>
      <c r="U826" s="507"/>
      <c r="V826" s="507"/>
      <c r="W826" s="507"/>
    </row>
    <row r="827" ht="35.25" customHeight="1">
      <c r="A827" s="507"/>
      <c r="B827" s="507"/>
      <c r="C827" s="507"/>
      <c r="D827" s="508"/>
      <c r="E827" s="507"/>
      <c r="F827" s="507"/>
      <c r="G827" s="507"/>
      <c r="H827" s="507"/>
      <c r="I827" s="507"/>
      <c r="J827" s="507"/>
      <c r="K827" s="507"/>
      <c r="L827" s="507"/>
      <c r="M827" s="507"/>
      <c r="N827" s="507"/>
      <c r="O827" s="507"/>
      <c r="P827" s="507"/>
      <c r="Q827" s="507"/>
      <c r="R827" s="507"/>
      <c r="S827" s="507"/>
      <c r="T827" s="507"/>
      <c r="U827" s="507"/>
      <c r="V827" s="507"/>
      <c r="W827" s="507"/>
    </row>
    <row r="828" ht="35.25" customHeight="1">
      <c r="A828" s="507"/>
      <c r="B828" s="507"/>
      <c r="C828" s="507"/>
      <c r="D828" s="508"/>
      <c r="E828" s="507"/>
      <c r="F828" s="507"/>
      <c r="G828" s="507"/>
      <c r="H828" s="507"/>
      <c r="I828" s="507"/>
      <c r="J828" s="507"/>
      <c r="K828" s="507"/>
      <c r="L828" s="507"/>
      <c r="M828" s="507"/>
      <c r="N828" s="507"/>
      <c r="O828" s="507"/>
      <c r="P828" s="507"/>
      <c r="Q828" s="507"/>
      <c r="R828" s="507"/>
      <c r="S828" s="507"/>
      <c r="T828" s="507"/>
      <c r="U828" s="507"/>
      <c r="V828" s="507"/>
      <c r="W828" s="507"/>
    </row>
    <row r="829" ht="35.25" customHeight="1">
      <c r="A829" s="507"/>
      <c r="B829" s="507"/>
      <c r="C829" s="507"/>
      <c r="D829" s="508"/>
      <c r="E829" s="507"/>
      <c r="F829" s="507"/>
      <c r="G829" s="507"/>
      <c r="H829" s="507"/>
      <c r="I829" s="507"/>
      <c r="J829" s="507"/>
      <c r="K829" s="507"/>
      <c r="L829" s="507"/>
      <c r="M829" s="507"/>
      <c r="N829" s="507"/>
      <c r="O829" s="507"/>
      <c r="P829" s="507"/>
      <c r="Q829" s="507"/>
      <c r="R829" s="507"/>
      <c r="S829" s="507"/>
      <c r="T829" s="507"/>
      <c r="U829" s="507"/>
      <c r="V829" s="507"/>
      <c r="W829" s="507"/>
    </row>
    <row r="830" ht="35.25" customHeight="1">
      <c r="A830" s="507"/>
      <c r="B830" s="507"/>
      <c r="C830" s="507"/>
      <c r="D830" s="508"/>
      <c r="E830" s="507"/>
      <c r="F830" s="507"/>
      <c r="G830" s="507"/>
      <c r="H830" s="507"/>
      <c r="I830" s="507"/>
      <c r="J830" s="507"/>
      <c r="K830" s="507"/>
      <c r="L830" s="507"/>
      <c r="M830" s="507"/>
      <c r="N830" s="507"/>
      <c r="O830" s="507"/>
      <c r="P830" s="507"/>
      <c r="Q830" s="507"/>
      <c r="R830" s="507"/>
      <c r="S830" s="507"/>
      <c r="T830" s="507"/>
      <c r="U830" s="507"/>
      <c r="V830" s="507"/>
      <c r="W830" s="507"/>
    </row>
    <row r="831" ht="35.25" customHeight="1">
      <c r="A831" s="507"/>
      <c r="B831" s="507"/>
      <c r="C831" s="507"/>
      <c r="D831" s="508"/>
      <c r="E831" s="507"/>
      <c r="F831" s="507"/>
      <c r="G831" s="507"/>
      <c r="H831" s="507"/>
      <c r="I831" s="507"/>
      <c r="J831" s="507"/>
      <c r="K831" s="507"/>
      <c r="L831" s="507"/>
      <c r="M831" s="507"/>
      <c r="N831" s="507"/>
      <c r="O831" s="507"/>
      <c r="P831" s="507"/>
      <c r="Q831" s="507"/>
      <c r="R831" s="507"/>
      <c r="S831" s="507"/>
      <c r="T831" s="507"/>
      <c r="U831" s="507"/>
      <c r="V831" s="507"/>
      <c r="W831" s="507"/>
    </row>
    <row r="832" ht="35.25" customHeight="1">
      <c r="A832" s="507"/>
      <c r="B832" s="507"/>
      <c r="C832" s="507"/>
      <c r="D832" s="508"/>
      <c r="E832" s="507"/>
      <c r="F832" s="507"/>
      <c r="G832" s="507"/>
      <c r="H832" s="507"/>
      <c r="I832" s="507"/>
      <c r="J832" s="507"/>
      <c r="K832" s="507"/>
      <c r="L832" s="507"/>
      <c r="M832" s="507"/>
      <c r="N832" s="507"/>
      <c r="O832" s="507"/>
      <c r="P832" s="507"/>
      <c r="Q832" s="507"/>
      <c r="R832" s="507"/>
      <c r="S832" s="507"/>
      <c r="T832" s="507"/>
      <c r="U832" s="507"/>
      <c r="V832" s="507"/>
      <c r="W832" s="507"/>
    </row>
    <row r="833" ht="35.25" customHeight="1">
      <c r="A833" s="507"/>
      <c r="B833" s="507"/>
      <c r="C833" s="507"/>
      <c r="D833" s="508"/>
      <c r="E833" s="507"/>
      <c r="F833" s="507"/>
      <c r="G833" s="507"/>
      <c r="H833" s="507"/>
      <c r="I833" s="507"/>
      <c r="J833" s="507"/>
      <c r="K833" s="507"/>
      <c r="L833" s="507"/>
      <c r="M833" s="507"/>
      <c r="N833" s="507"/>
      <c r="O833" s="507"/>
      <c r="P833" s="507"/>
      <c r="Q833" s="507"/>
      <c r="R833" s="507"/>
      <c r="S833" s="507"/>
      <c r="T833" s="507"/>
      <c r="U833" s="507"/>
      <c r="V833" s="507"/>
      <c r="W833" s="507"/>
    </row>
    <row r="834" ht="35.25" customHeight="1">
      <c r="A834" s="507"/>
      <c r="B834" s="507"/>
      <c r="C834" s="507"/>
      <c r="D834" s="508"/>
      <c r="E834" s="507"/>
      <c r="F834" s="507"/>
      <c r="G834" s="507"/>
      <c r="H834" s="507"/>
      <c r="I834" s="507"/>
      <c r="J834" s="507"/>
      <c r="K834" s="507"/>
      <c r="L834" s="507"/>
      <c r="M834" s="507"/>
      <c r="N834" s="507"/>
      <c r="O834" s="507"/>
      <c r="P834" s="507"/>
      <c r="Q834" s="507"/>
      <c r="R834" s="507"/>
      <c r="S834" s="507"/>
      <c r="T834" s="507"/>
      <c r="U834" s="507"/>
      <c r="V834" s="507"/>
      <c r="W834" s="507"/>
    </row>
    <row r="835" ht="35.25" customHeight="1">
      <c r="A835" s="507"/>
      <c r="B835" s="507"/>
      <c r="C835" s="507"/>
      <c r="D835" s="508"/>
      <c r="E835" s="507"/>
      <c r="F835" s="507"/>
      <c r="G835" s="507"/>
      <c r="H835" s="507"/>
      <c r="I835" s="507"/>
      <c r="J835" s="507"/>
      <c r="K835" s="507"/>
      <c r="L835" s="507"/>
      <c r="M835" s="507"/>
      <c r="N835" s="507"/>
      <c r="O835" s="507"/>
      <c r="P835" s="507"/>
      <c r="Q835" s="507"/>
      <c r="R835" s="507"/>
      <c r="S835" s="507"/>
      <c r="T835" s="507"/>
      <c r="U835" s="507"/>
      <c r="V835" s="507"/>
      <c r="W835" s="507"/>
    </row>
    <row r="836" ht="35.25" customHeight="1">
      <c r="A836" s="507"/>
      <c r="B836" s="507"/>
      <c r="C836" s="507"/>
      <c r="D836" s="508"/>
      <c r="E836" s="507"/>
      <c r="F836" s="507"/>
      <c r="G836" s="507"/>
      <c r="H836" s="507"/>
      <c r="I836" s="507"/>
      <c r="J836" s="507"/>
      <c r="K836" s="507"/>
      <c r="L836" s="507"/>
      <c r="M836" s="507"/>
      <c r="N836" s="507"/>
      <c r="O836" s="507"/>
      <c r="P836" s="507"/>
      <c r="Q836" s="507"/>
      <c r="R836" s="507"/>
      <c r="S836" s="507"/>
      <c r="T836" s="507"/>
      <c r="U836" s="507"/>
      <c r="V836" s="507"/>
      <c r="W836" s="507"/>
    </row>
    <row r="837" ht="35.25" customHeight="1">
      <c r="A837" s="507"/>
      <c r="B837" s="507"/>
      <c r="C837" s="507"/>
      <c r="D837" s="508"/>
      <c r="E837" s="507"/>
      <c r="F837" s="507"/>
      <c r="G837" s="507"/>
      <c r="H837" s="507"/>
      <c r="I837" s="507"/>
      <c r="J837" s="507"/>
      <c r="K837" s="507"/>
      <c r="L837" s="507"/>
      <c r="M837" s="507"/>
      <c r="N837" s="507"/>
      <c r="O837" s="507"/>
      <c r="P837" s="507"/>
      <c r="Q837" s="507"/>
      <c r="R837" s="507"/>
      <c r="S837" s="507"/>
      <c r="T837" s="507"/>
      <c r="U837" s="507"/>
      <c r="V837" s="507"/>
      <c r="W837" s="507"/>
    </row>
    <row r="838" ht="35.25" customHeight="1">
      <c r="A838" s="507"/>
      <c r="B838" s="507"/>
      <c r="C838" s="507"/>
      <c r="D838" s="508"/>
      <c r="E838" s="507"/>
      <c r="F838" s="507"/>
      <c r="G838" s="507"/>
      <c r="H838" s="507"/>
      <c r="I838" s="507"/>
      <c r="J838" s="507"/>
      <c r="K838" s="507"/>
      <c r="L838" s="507"/>
      <c r="M838" s="507"/>
      <c r="N838" s="507"/>
      <c r="O838" s="507"/>
      <c r="P838" s="507"/>
      <c r="Q838" s="507"/>
      <c r="R838" s="507"/>
      <c r="S838" s="507"/>
      <c r="T838" s="507"/>
      <c r="U838" s="507"/>
      <c r="V838" s="507"/>
      <c r="W838" s="507"/>
    </row>
    <row r="839" ht="35.25" customHeight="1">
      <c r="A839" s="507"/>
      <c r="B839" s="507"/>
      <c r="C839" s="507"/>
      <c r="D839" s="508"/>
      <c r="E839" s="507"/>
      <c r="F839" s="507"/>
      <c r="G839" s="507"/>
      <c r="H839" s="507"/>
      <c r="I839" s="507"/>
      <c r="J839" s="507"/>
      <c r="K839" s="507"/>
      <c r="L839" s="507"/>
      <c r="M839" s="507"/>
      <c r="N839" s="507"/>
      <c r="O839" s="507"/>
      <c r="P839" s="507"/>
      <c r="Q839" s="507"/>
      <c r="R839" s="507"/>
      <c r="S839" s="507"/>
      <c r="T839" s="507"/>
      <c r="U839" s="507"/>
      <c r="V839" s="507"/>
      <c r="W839" s="507"/>
    </row>
    <row r="840" ht="35.25" customHeight="1">
      <c r="A840" s="507"/>
      <c r="B840" s="507"/>
      <c r="C840" s="507"/>
      <c r="D840" s="508"/>
      <c r="E840" s="507"/>
      <c r="F840" s="507"/>
      <c r="G840" s="507"/>
      <c r="H840" s="507"/>
      <c r="I840" s="507"/>
      <c r="J840" s="507"/>
      <c r="K840" s="507"/>
      <c r="L840" s="507"/>
      <c r="M840" s="507"/>
      <c r="N840" s="507"/>
      <c r="O840" s="507"/>
      <c r="P840" s="507"/>
      <c r="Q840" s="507"/>
      <c r="R840" s="507"/>
      <c r="S840" s="507"/>
      <c r="T840" s="507"/>
      <c r="U840" s="507"/>
      <c r="V840" s="507"/>
      <c r="W840" s="507"/>
    </row>
    <row r="841" ht="35.25" customHeight="1">
      <c r="A841" s="507"/>
      <c r="B841" s="507"/>
      <c r="C841" s="507"/>
      <c r="D841" s="508"/>
      <c r="E841" s="507"/>
      <c r="F841" s="507"/>
      <c r="G841" s="507"/>
      <c r="H841" s="507"/>
      <c r="I841" s="507"/>
      <c r="J841" s="507"/>
      <c r="K841" s="507"/>
      <c r="L841" s="507"/>
      <c r="M841" s="507"/>
      <c r="N841" s="507"/>
      <c r="O841" s="507"/>
      <c r="P841" s="507"/>
      <c r="Q841" s="507"/>
      <c r="R841" s="507"/>
      <c r="S841" s="507"/>
      <c r="T841" s="507"/>
      <c r="U841" s="507"/>
      <c r="V841" s="507"/>
      <c r="W841" s="507"/>
    </row>
    <row r="842" ht="35.25" customHeight="1">
      <c r="A842" s="507"/>
      <c r="B842" s="507"/>
      <c r="C842" s="507"/>
      <c r="D842" s="508"/>
      <c r="E842" s="507"/>
      <c r="F842" s="507"/>
      <c r="G842" s="507"/>
      <c r="H842" s="507"/>
      <c r="I842" s="507"/>
      <c r="J842" s="507"/>
      <c r="K842" s="507"/>
      <c r="L842" s="507"/>
      <c r="M842" s="507"/>
      <c r="N842" s="507"/>
      <c r="O842" s="507"/>
      <c r="P842" s="507"/>
      <c r="Q842" s="507"/>
      <c r="R842" s="507"/>
      <c r="S842" s="507"/>
      <c r="T842" s="507"/>
      <c r="U842" s="507"/>
      <c r="V842" s="507"/>
      <c r="W842" s="507"/>
    </row>
    <row r="843" ht="35.25" customHeight="1">
      <c r="A843" s="507"/>
      <c r="B843" s="507"/>
      <c r="C843" s="507"/>
      <c r="D843" s="508"/>
      <c r="E843" s="507"/>
      <c r="F843" s="507"/>
      <c r="G843" s="507"/>
      <c r="H843" s="507"/>
      <c r="I843" s="507"/>
      <c r="J843" s="507"/>
      <c r="K843" s="507"/>
      <c r="L843" s="507"/>
      <c r="M843" s="507"/>
      <c r="N843" s="507"/>
      <c r="O843" s="507"/>
      <c r="P843" s="507"/>
      <c r="Q843" s="507"/>
      <c r="R843" s="507"/>
      <c r="S843" s="507"/>
      <c r="T843" s="507"/>
      <c r="U843" s="507"/>
      <c r="V843" s="507"/>
      <c r="W843" s="507"/>
    </row>
    <row r="844" ht="35.25" customHeight="1">
      <c r="A844" s="507"/>
      <c r="B844" s="507"/>
      <c r="C844" s="507"/>
      <c r="D844" s="508"/>
      <c r="E844" s="507"/>
      <c r="F844" s="507"/>
      <c r="G844" s="507"/>
      <c r="H844" s="507"/>
      <c r="I844" s="507"/>
      <c r="J844" s="507"/>
      <c r="K844" s="507"/>
      <c r="L844" s="507"/>
      <c r="M844" s="507"/>
      <c r="N844" s="507"/>
      <c r="O844" s="507"/>
      <c r="P844" s="507"/>
      <c r="Q844" s="507"/>
      <c r="R844" s="507"/>
      <c r="S844" s="507"/>
      <c r="T844" s="507"/>
      <c r="U844" s="507"/>
      <c r="V844" s="507"/>
      <c r="W844" s="507"/>
    </row>
    <row r="845" ht="35.25" customHeight="1">
      <c r="A845" s="507"/>
      <c r="B845" s="507"/>
      <c r="C845" s="507"/>
      <c r="D845" s="508"/>
      <c r="E845" s="507"/>
      <c r="F845" s="507"/>
      <c r="G845" s="507"/>
      <c r="H845" s="507"/>
      <c r="I845" s="507"/>
      <c r="J845" s="507"/>
      <c r="K845" s="507"/>
      <c r="L845" s="507"/>
      <c r="M845" s="507"/>
      <c r="N845" s="507"/>
      <c r="O845" s="507"/>
      <c r="P845" s="507"/>
      <c r="Q845" s="507"/>
      <c r="R845" s="507"/>
      <c r="S845" s="507"/>
      <c r="T845" s="507"/>
      <c r="U845" s="507"/>
      <c r="V845" s="507"/>
      <c r="W845" s="507"/>
    </row>
    <row r="846" ht="35.25" customHeight="1">
      <c r="A846" s="507"/>
      <c r="B846" s="507"/>
      <c r="C846" s="507"/>
      <c r="D846" s="508"/>
      <c r="E846" s="507"/>
      <c r="F846" s="507"/>
      <c r="G846" s="507"/>
      <c r="H846" s="507"/>
      <c r="I846" s="507"/>
      <c r="J846" s="507"/>
      <c r="K846" s="507"/>
      <c r="L846" s="507"/>
      <c r="M846" s="507"/>
      <c r="N846" s="507"/>
      <c r="O846" s="507"/>
      <c r="P846" s="507"/>
      <c r="Q846" s="507"/>
      <c r="R846" s="507"/>
      <c r="S846" s="507"/>
      <c r="T846" s="507"/>
      <c r="U846" s="507"/>
      <c r="V846" s="507"/>
      <c r="W846" s="507"/>
    </row>
    <row r="847" ht="35.25" customHeight="1">
      <c r="A847" s="507"/>
      <c r="B847" s="507"/>
      <c r="C847" s="507"/>
      <c r="D847" s="508"/>
      <c r="E847" s="507"/>
      <c r="F847" s="507"/>
      <c r="G847" s="507"/>
      <c r="H847" s="507"/>
      <c r="I847" s="507"/>
      <c r="J847" s="507"/>
      <c r="K847" s="507"/>
      <c r="L847" s="507"/>
      <c r="M847" s="507"/>
      <c r="N847" s="507"/>
      <c r="O847" s="507"/>
      <c r="P847" s="507"/>
      <c r="Q847" s="507"/>
      <c r="R847" s="507"/>
      <c r="S847" s="507"/>
      <c r="T847" s="507"/>
      <c r="U847" s="507"/>
      <c r="V847" s="507"/>
      <c r="W847" s="507"/>
    </row>
    <row r="848" ht="35.25" customHeight="1">
      <c r="A848" s="507"/>
      <c r="B848" s="507"/>
      <c r="C848" s="507"/>
      <c r="D848" s="508"/>
      <c r="E848" s="507"/>
      <c r="F848" s="507"/>
      <c r="G848" s="507"/>
      <c r="H848" s="507"/>
      <c r="I848" s="507"/>
      <c r="J848" s="507"/>
      <c r="K848" s="507"/>
      <c r="L848" s="507"/>
      <c r="M848" s="507"/>
      <c r="N848" s="507"/>
      <c r="O848" s="507"/>
      <c r="P848" s="507"/>
      <c r="Q848" s="507"/>
      <c r="R848" s="507"/>
      <c r="S848" s="507"/>
      <c r="T848" s="507"/>
      <c r="U848" s="507"/>
      <c r="V848" s="507"/>
      <c r="W848" s="507"/>
    </row>
    <row r="849" ht="35.25" customHeight="1">
      <c r="A849" s="507"/>
      <c r="B849" s="507"/>
      <c r="C849" s="507"/>
      <c r="D849" s="508"/>
      <c r="E849" s="507"/>
      <c r="F849" s="507"/>
      <c r="G849" s="507"/>
      <c r="H849" s="507"/>
      <c r="I849" s="507"/>
      <c r="J849" s="507"/>
      <c r="K849" s="507"/>
      <c r="L849" s="507"/>
      <c r="M849" s="507"/>
      <c r="N849" s="507"/>
      <c r="O849" s="507"/>
      <c r="P849" s="507"/>
      <c r="Q849" s="507"/>
      <c r="R849" s="507"/>
      <c r="S849" s="507"/>
      <c r="T849" s="507"/>
      <c r="U849" s="507"/>
      <c r="V849" s="507"/>
      <c r="W849" s="507"/>
    </row>
    <row r="850" ht="35.25" customHeight="1">
      <c r="A850" s="507"/>
      <c r="B850" s="507"/>
      <c r="C850" s="507"/>
      <c r="D850" s="508"/>
      <c r="E850" s="507"/>
      <c r="F850" s="507"/>
      <c r="G850" s="507"/>
      <c r="H850" s="507"/>
      <c r="I850" s="507"/>
      <c r="J850" s="507"/>
      <c r="K850" s="507"/>
      <c r="L850" s="507"/>
      <c r="M850" s="507"/>
      <c r="N850" s="507"/>
      <c r="O850" s="507"/>
      <c r="P850" s="507"/>
      <c r="Q850" s="507"/>
      <c r="R850" s="507"/>
      <c r="S850" s="507"/>
      <c r="T850" s="507"/>
      <c r="U850" s="507"/>
      <c r="V850" s="507"/>
      <c r="W850" s="507"/>
    </row>
    <row r="851" ht="35.25" customHeight="1">
      <c r="A851" s="507"/>
      <c r="B851" s="507"/>
      <c r="C851" s="507"/>
      <c r="D851" s="508"/>
      <c r="E851" s="507"/>
      <c r="F851" s="507"/>
      <c r="G851" s="507"/>
      <c r="H851" s="507"/>
      <c r="I851" s="507"/>
      <c r="J851" s="507"/>
      <c r="K851" s="507"/>
      <c r="L851" s="507"/>
      <c r="M851" s="507"/>
      <c r="N851" s="507"/>
      <c r="O851" s="507"/>
      <c r="P851" s="507"/>
      <c r="Q851" s="507"/>
      <c r="R851" s="507"/>
      <c r="S851" s="507"/>
      <c r="T851" s="507"/>
      <c r="U851" s="507"/>
      <c r="V851" s="507"/>
      <c r="W851" s="507"/>
    </row>
    <row r="852" ht="35.25" customHeight="1">
      <c r="A852" s="507"/>
      <c r="B852" s="507"/>
      <c r="C852" s="507"/>
      <c r="D852" s="508"/>
      <c r="E852" s="507"/>
      <c r="F852" s="507"/>
      <c r="G852" s="507"/>
      <c r="H852" s="507"/>
      <c r="I852" s="507"/>
      <c r="J852" s="507"/>
      <c r="K852" s="507"/>
      <c r="L852" s="507"/>
      <c r="M852" s="507"/>
      <c r="N852" s="507"/>
      <c r="O852" s="507"/>
      <c r="P852" s="507"/>
      <c r="Q852" s="507"/>
      <c r="R852" s="507"/>
      <c r="S852" s="507"/>
      <c r="T852" s="507"/>
      <c r="U852" s="507"/>
      <c r="V852" s="507"/>
      <c r="W852" s="507"/>
    </row>
    <row r="853" ht="35.25" customHeight="1">
      <c r="A853" s="507"/>
      <c r="B853" s="507"/>
      <c r="C853" s="507"/>
      <c r="D853" s="508"/>
      <c r="E853" s="507"/>
      <c r="F853" s="507"/>
      <c r="G853" s="507"/>
      <c r="H853" s="507"/>
      <c r="I853" s="507"/>
      <c r="J853" s="507"/>
      <c r="K853" s="507"/>
      <c r="L853" s="507"/>
      <c r="M853" s="507"/>
      <c r="N853" s="507"/>
      <c r="O853" s="507"/>
      <c r="P853" s="507"/>
      <c r="Q853" s="507"/>
      <c r="R853" s="507"/>
      <c r="S853" s="507"/>
      <c r="T853" s="507"/>
      <c r="U853" s="507"/>
      <c r="V853" s="507"/>
      <c r="W853" s="507"/>
    </row>
    <row r="854" ht="35.25" customHeight="1">
      <c r="A854" s="507"/>
      <c r="B854" s="507"/>
      <c r="C854" s="507"/>
      <c r="D854" s="508"/>
      <c r="E854" s="507"/>
      <c r="F854" s="507"/>
      <c r="G854" s="507"/>
      <c r="H854" s="507"/>
      <c r="I854" s="507"/>
      <c r="J854" s="507"/>
      <c r="K854" s="507"/>
      <c r="L854" s="507"/>
      <c r="M854" s="507"/>
      <c r="N854" s="507"/>
      <c r="O854" s="507"/>
      <c r="P854" s="507"/>
      <c r="Q854" s="507"/>
      <c r="R854" s="507"/>
      <c r="S854" s="507"/>
      <c r="T854" s="507"/>
      <c r="U854" s="507"/>
      <c r="V854" s="507"/>
      <c r="W854" s="507"/>
    </row>
    <row r="855" ht="35.25" customHeight="1">
      <c r="A855" s="507"/>
      <c r="B855" s="507"/>
      <c r="C855" s="507"/>
      <c r="D855" s="508"/>
      <c r="E855" s="507"/>
      <c r="F855" s="507"/>
      <c r="G855" s="507"/>
      <c r="H855" s="507"/>
      <c r="I855" s="507"/>
      <c r="J855" s="507"/>
      <c r="K855" s="507"/>
      <c r="L855" s="507"/>
      <c r="M855" s="507"/>
      <c r="N855" s="507"/>
      <c r="O855" s="507"/>
      <c r="P855" s="507"/>
      <c r="Q855" s="507"/>
      <c r="R855" s="507"/>
      <c r="S855" s="507"/>
      <c r="T855" s="507"/>
      <c r="U855" s="507"/>
      <c r="V855" s="507"/>
      <c r="W855" s="507"/>
    </row>
    <row r="856" ht="35.25" customHeight="1">
      <c r="A856" s="507"/>
      <c r="B856" s="507"/>
      <c r="C856" s="507"/>
      <c r="D856" s="508"/>
      <c r="E856" s="507"/>
      <c r="F856" s="507"/>
      <c r="G856" s="507"/>
      <c r="H856" s="507"/>
      <c r="I856" s="507"/>
      <c r="J856" s="507"/>
      <c r="K856" s="507"/>
      <c r="L856" s="507"/>
      <c r="M856" s="507"/>
      <c r="N856" s="507"/>
      <c r="O856" s="507"/>
      <c r="P856" s="507"/>
      <c r="Q856" s="507"/>
      <c r="R856" s="507"/>
      <c r="S856" s="507"/>
      <c r="T856" s="507"/>
      <c r="U856" s="507"/>
      <c r="V856" s="507"/>
      <c r="W856" s="507"/>
    </row>
    <row r="857" ht="35.25" customHeight="1">
      <c r="A857" s="507"/>
      <c r="B857" s="507"/>
      <c r="C857" s="507"/>
      <c r="D857" s="508"/>
      <c r="E857" s="507"/>
      <c r="F857" s="507"/>
      <c r="G857" s="507"/>
      <c r="H857" s="507"/>
      <c r="I857" s="507"/>
      <c r="J857" s="507"/>
      <c r="K857" s="507"/>
      <c r="L857" s="507"/>
      <c r="M857" s="507"/>
      <c r="N857" s="507"/>
      <c r="O857" s="507"/>
      <c r="P857" s="507"/>
      <c r="Q857" s="507"/>
      <c r="R857" s="507"/>
      <c r="S857" s="507"/>
      <c r="T857" s="507"/>
      <c r="U857" s="507"/>
      <c r="V857" s="507"/>
      <c r="W857" s="507"/>
    </row>
    <row r="858" ht="35.25" customHeight="1">
      <c r="A858" s="507"/>
      <c r="B858" s="507"/>
      <c r="C858" s="507"/>
      <c r="D858" s="508"/>
      <c r="E858" s="507"/>
      <c r="F858" s="507"/>
      <c r="G858" s="507"/>
      <c r="H858" s="507"/>
      <c r="I858" s="507"/>
      <c r="J858" s="507"/>
      <c r="K858" s="507"/>
      <c r="L858" s="507"/>
      <c r="M858" s="507"/>
      <c r="N858" s="507"/>
      <c r="O858" s="507"/>
      <c r="P858" s="507"/>
      <c r="Q858" s="507"/>
      <c r="R858" s="507"/>
      <c r="S858" s="507"/>
      <c r="T858" s="507"/>
      <c r="U858" s="507"/>
      <c r="V858" s="507"/>
      <c r="W858" s="507"/>
    </row>
    <row r="859" ht="35.25" customHeight="1">
      <c r="A859" s="507"/>
      <c r="B859" s="507"/>
      <c r="C859" s="507"/>
      <c r="D859" s="508"/>
      <c r="E859" s="507"/>
      <c r="F859" s="507"/>
      <c r="G859" s="507"/>
      <c r="H859" s="507"/>
      <c r="I859" s="507"/>
      <c r="J859" s="507"/>
      <c r="K859" s="507"/>
      <c r="L859" s="507"/>
      <c r="M859" s="507"/>
      <c r="N859" s="507"/>
      <c r="O859" s="507"/>
      <c r="P859" s="507"/>
      <c r="Q859" s="507"/>
      <c r="R859" s="507"/>
      <c r="S859" s="507"/>
      <c r="T859" s="507"/>
      <c r="U859" s="507"/>
      <c r="V859" s="507"/>
      <c r="W859" s="507"/>
    </row>
    <row r="860" ht="35.25" customHeight="1">
      <c r="A860" s="507"/>
      <c r="B860" s="507"/>
      <c r="C860" s="507"/>
      <c r="D860" s="508"/>
      <c r="E860" s="507"/>
      <c r="F860" s="507"/>
      <c r="G860" s="507"/>
      <c r="H860" s="507"/>
      <c r="I860" s="507"/>
      <c r="J860" s="507"/>
      <c r="K860" s="507"/>
      <c r="L860" s="507"/>
      <c r="M860" s="507"/>
      <c r="N860" s="507"/>
      <c r="O860" s="507"/>
      <c r="P860" s="507"/>
      <c r="Q860" s="507"/>
      <c r="R860" s="507"/>
      <c r="S860" s="507"/>
      <c r="T860" s="507"/>
      <c r="U860" s="507"/>
      <c r="V860" s="507"/>
      <c r="W860" s="507"/>
    </row>
    <row r="861" ht="35.25" customHeight="1">
      <c r="A861" s="507"/>
      <c r="B861" s="507"/>
      <c r="C861" s="507"/>
      <c r="D861" s="508"/>
      <c r="E861" s="507"/>
      <c r="F861" s="507"/>
      <c r="G861" s="507"/>
      <c r="H861" s="507"/>
      <c r="I861" s="507"/>
      <c r="J861" s="507"/>
      <c r="K861" s="507"/>
      <c r="L861" s="507"/>
      <c r="M861" s="507"/>
      <c r="N861" s="507"/>
      <c r="O861" s="507"/>
      <c r="P861" s="507"/>
      <c r="Q861" s="507"/>
      <c r="R861" s="507"/>
      <c r="S861" s="507"/>
      <c r="T861" s="507"/>
      <c r="U861" s="507"/>
      <c r="V861" s="507"/>
      <c r="W861" s="507"/>
    </row>
    <row r="862" ht="35.25" customHeight="1">
      <c r="A862" s="507"/>
      <c r="B862" s="507"/>
      <c r="C862" s="507"/>
      <c r="D862" s="508"/>
      <c r="E862" s="507"/>
      <c r="F862" s="507"/>
      <c r="G862" s="507"/>
      <c r="H862" s="507"/>
      <c r="I862" s="507"/>
      <c r="J862" s="507"/>
      <c r="K862" s="507"/>
      <c r="L862" s="507"/>
      <c r="M862" s="507"/>
      <c r="N862" s="507"/>
      <c r="O862" s="507"/>
      <c r="P862" s="507"/>
      <c r="Q862" s="507"/>
      <c r="R862" s="507"/>
      <c r="S862" s="507"/>
      <c r="T862" s="507"/>
      <c r="U862" s="507"/>
      <c r="V862" s="507"/>
      <c r="W862" s="507"/>
    </row>
    <row r="863" ht="35.25" customHeight="1">
      <c r="A863" s="507"/>
      <c r="B863" s="507"/>
      <c r="C863" s="507"/>
      <c r="D863" s="508"/>
      <c r="E863" s="507"/>
      <c r="F863" s="507"/>
      <c r="G863" s="507"/>
      <c r="H863" s="507"/>
      <c r="I863" s="507"/>
      <c r="J863" s="507"/>
      <c r="K863" s="507"/>
      <c r="L863" s="507"/>
      <c r="M863" s="507"/>
      <c r="N863" s="507"/>
      <c r="O863" s="507"/>
      <c r="P863" s="507"/>
      <c r="Q863" s="507"/>
      <c r="R863" s="507"/>
      <c r="S863" s="507"/>
      <c r="T863" s="507"/>
      <c r="U863" s="507"/>
      <c r="V863" s="507"/>
      <c r="W863" s="507"/>
    </row>
    <row r="864" ht="35.25" customHeight="1">
      <c r="A864" s="507"/>
      <c r="B864" s="507"/>
      <c r="C864" s="507"/>
      <c r="D864" s="508"/>
      <c r="E864" s="507"/>
      <c r="F864" s="507"/>
      <c r="G864" s="507"/>
      <c r="H864" s="507"/>
      <c r="I864" s="507"/>
      <c r="J864" s="507"/>
      <c r="K864" s="507"/>
      <c r="L864" s="507"/>
      <c r="M864" s="507"/>
      <c r="N864" s="507"/>
      <c r="O864" s="507"/>
      <c r="P864" s="507"/>
      <c r="Q864" s="507"/>
      <c r="R864" s="507"/>
      <c r="S864" s="507"/>
      <c r="T864" s="507"/>
      <c r="U864" s="507"/>
      <c r="V864" s="507"/>
      <c r="W864" s="507"/>
    </row>
    <row r="865" ht="35.25" customHeight="1">
      <c r="A865" s="507"/>
      <c r="B865" s="507"/>
      <c r="C865" s="507"/>
      <c r="D865" s="508"/>
      <c r="E865" s="507"/>
      <c r="F865" s="507"/>
      <c r="G865" s="507"/>
      <c r="H865" s="507"/>
      <c r="I865" s="507"/>
      <c r="J865" s="507"/>
      <c r="K865" s="507"/>
      <c r="L865" s="507"/>
      <c r="M865" s="507"/>
      <c r="N865" s="507"/>
      <c r="O865" s="507"/>
      <c r="P865" s="507"/>
      <c r="Q865" s="507"/>
      <c r="R865" s="507"/>
      <c r="S865" s="507"/>
      <c r="T865" s="507"/>
      <c r="U865" s="507"/>
      <c r="V865" s="507"/>
      <c r="W865" s="507"/>
    </row>
    <row r="866" ht="35.25" customHeight="1">
      <c r="A866" s="507"/>
      <c r="B866" s="507"/>
      <c r="C866" s="507"/>
      <c r="D866" s="508"/>
      <c r="E866" s="507"/>
      <c r="F866" s="507"/>
      <c r="G866" s="507"/>
      <c r="H866" s="507"/>
      <c r="I866" s="507"/>
      <c r="J866" s="507"/>
      <c r="K866" s="507"/>
      <c r="L866" s="507"/>
      <c r="M866" s="507"/>
      <c r="N866" s="507"/>
      <c r="O866" s="507"/>
      <c r="P866" s="507"/>
      <c r="Q866" s="507"/>
      <c r="R866" s="507"/>
      <c r="S866" s="507"/>
      <c r="T866" s="507"/>
      <c r="U866" s="507"/>
      <c r="V866" s="507"/>
      <c r="W866" s="507"/>
    </row>
    <row r="867" ht="35.25" customHeight="1">
      <c r="A867" s="507"/>
      <c r="B867" s="507"/>
      <c r="C867" s="507"/>
      <c r="D867" s="508"/>
      <c r="E867" s="507"/>
      <c r="F867" s="507"/>
      <c r="G867" s="507"/>
      <c r="H867" s="507"/>
      <c r="I867" s="507"/>
      <c r="J867" s="507"/>
      <c r="K867" s="507"/>
      <c r="L867" s="507"/>
      <c r="M867" s="507"/>
      <c r="N867" s="507"/>
      <c r="O867" s="507"/>
      <c r="P867" s="507"/>
      <c r="Q867" s="507"/>
      <c r="R867" s="507"/>
      <c r="S867" s="507"/>
      <c r="T867" s="507"/>
      <c r="U867" s="507"/>
      <c r="V867" s="507"/>
      <c r="W867" s="507"/>
    </row>
    <row r="868" ht="35.25" customHeight="1">
      <c r="A868" s="507"/>
      <c r="B868" s="507"/>
      <c r="C868" s="507"/>
      <c r="D868" s="508"/>
      <c r="E868" s="507"/>
      <c r="F868" s="507"/>
      <c r="G868" s="507"/>
      <c r="H868" s="507"/>
      <c r="I868" s="507"/>
      <c r="J868" s="507"/>
      <c r="K868" s="507"/>
      <c r="L868" s="507"/>
      <c r="M868" s="507"/>
      <c r="N868" s="507"/>
      <c r="O868" s="507"/>
      <c r="P868" s="507"/>
      <c r="Q868" s="507"/>
      <c r="R868" s="507"/>
      <c r="S868" s="507"/>
      <c r="T868" s="507"/>
      <c r="U868" s="507"/>
      <c r="V868" s="507"/>
      <c r="W868" s="507"/>
    </row>
    <row r="869" ht="35.25" customHeight="1">
      <c r="A869" s="507"/>
      <c r="B869" s="507"/>
      <c r="C869" s="507"/>
      <c r="D869" s="508"/>
      <c r="E869" s="507"/>
      <c r="F869" s="507"/>
      <c r="G869" s="507"/>
      <c r="H869" s="507"/>
      <c r="I869" s="507"/>
      <c r="J869" s="507"/>
      <c r="K869" s="507"/>
      <c r="L869" s="507"/>
      <c r="M869" s="507"/>
      <c r="N869" s="507"/>
      <c r="O869" s="507"/>
      <c r="P869" s="507"/>
      <c r="Q869" s="507"/>
      <c r="R869" s="507"/>
      <c r="S869" s="507"/>
      <c r="T869" s="507"/>
      <c r="U869" s="507"/>
      <c r="V869" s="507"/>
      <c r="W869" s="507"/>
    </row>
    <row r="870" ht="35.25" customHeight="1">
      <c r="A870" s="507"/>
      <c r="B870" s="507"/>
      <c r="C870" s="507"/>
      <c r="D870" s="508"/>
      <c r="E870" s="507"/>
      <c r="F870" s="507"/>
      <c r="G870" s="507"/>
      <c r="H870" s="507"/>
      <c r="I870" s="507"/>
      <c r="J870" s="507"/>
      <c r="K870" s="507"/>
      <c r="L870" s="507"/>
      <c r="M870" s="507"/>
      <c r="N870" s="507"/>
      <c r="O870" s="507"/>
      <c r="P870" s="507"/>
      <c r="Q870" s="507"/>
      <c r="R870" s="507"/>
      <c r="S870" s="507"/>
      <c r="T870" s="507"/>
      <c r="U870" s="507"/>
      <c r="V870" s="507"/>
      <c r="W870" s="507"/>
    </row>
    <row r="871" ht="35.25" customHeight="1">
      <c r="A871" s="507"/>
      <c r="B871" s="507"/>
      <c r="C871" s="507"/>
      <c r="D871" s="508"/>
      <c r="E871" s="507"/>
      <c r="F871" s="507"/>
      <c r="G871" s="507"/>
      <c r="H871" s="507"/>
      <c r="I871" s="507"/>
      <c r="J871" s="507"/>
      <c r="K871" s="507"/>
      <c r="L871" s="507"/>
      <c r="M871" s="507"/>
      <c r="N871" s="507"/>
      <c r="O871" s="507"/>
      <c r="P871" s="507"/>
      <c r="Q871" s="507"/>
      <c r="R871" s="507"/>
      <c r="S871" s="507"/>
      <c r="T871" s="507"/>
      <c r="U871" s="507"/>
      <c r="V871" s="507"/>
      <c r="W871" s="507"/>
    </row>
    <row r="872" ht="35.25" customHeight="1">
      <c r="A872" s="507"/>
      <c r="B872" s="507"/>
      <c r="C872" s="507"/>
      <c r="D872" s="508"/>
      <c r="E872" s="507"/>
      <c r="F872" s="507"/>
      <c r="G872" s="507"/>
      <c r="H872" s="507"/>
      <c r="I872" s="507"/>
      <c r="J872" s="507"/>
      <c r="K872" s="507"/>
      <c r="L872" s="507"/>
      <c r="M872" s="507"/>
      <c r="N872" s="507"/>
      <c r="O872" s="507"/>
      <c r="P872" s="507"/>
      <c r="Q872" s="507"/>
      <c r="R872" s="507"/>
      <c r="S872" s="507"/>
      <c r="T872" s="507"/>
      <c r="U872" s="507"/>
      <c r="V872" s="507"/>
      <c r="W872" s="507"/>
    </row>
    <row r="873" ht="35.25" customHeight="1">
      <c r="A873" s="507"/>
      <c r="B873" s="507"/>
      <c r="C873" s="507"/>
      <c r="D873" s="508"/>
      <c r="E873" s="507"/>
      <c r="F873" s="507"/>
      <c r="G873" s="507"/>
      <c r="H873" s="507"/>
      <c r="I873" s="507"/>
      <c r="J873" s="507"/>
      <c r="K873" s="507"/>
      <c r="L873" s="507"/>
      <c r="M873" s="507"/>
      <c r="N873" s="507"/>
      <c r="O873" s="507"/>
      <c r="P873" s="507"/>
      <c r="Q873" s="507"/>
      <c r="R873" s="507"/>
      <c r="S873" s="507"/>
      <c r="T873" s="507"/>
      <c r="U873" s="507"/>
      <c r="V873" s="507"/>
      <c r="W873" s="507"/>
    </row>
    <row r="874" ht="35.25" customHeight="1">
      <c r="A874" s="507"/>
      <c r="B874" s="507"/>
      <c r="C874" s="507"/>
      <c r="D874" s="508"/>
      <c r="E874" s="507"/>
      <c r="F874" s="507"/>
      <c r="G874" s="507"/>
      <c r="H874" s="507"/>
      <c r="I874" s="507"/>
      <c r="J874" s="507"/>
      <c r="K874" s="507"/>
      <c r="L874" s="507"/>
      <c r="M874" s="507"/>
      <c r="N874" s="507"/>
      <c r="O874" s="507"/>
      <c r="P874" s="507"/>
      <c r="Q874" s="507"/>
      <c r="R874" s="507"/>
      <c r="S874" s="507"/>
      <c r="T874" s="507"/>
      <c r="U874" s="507"/>
      <c r="V874" s="507"/>
      <c r="W874" s="507"/>
    </row>
    <row r="875" ht="35.25" customHeight="1">
      <c r="A875" s="507"/>
      <c r="B875" s="507"/>
      <c r="C875" s="507"/>
      <c r="D875" s="508"/>
      <c r="E875" s="507"/>
      <c r="F875" s="507"/>
      <c r="G875" s="507"/>
      <c r="H875" s="507"/>
      <c r="I875" s="507"/>
      <c r="J875" s="507"/>
      <c r="K875" s="507"/>
      <c r="L875" s="507"/>
      <c r="M875" s="507"/>
      <c r="N875" s="507"/>
      <c r="O875" s="507"/>
      <c r="P875" s="507"/>
      <c r="Q875" s="507"/>
      <c r="R875" s="507"/>
      <c r="S875" s="507"/>
      <c r="T875" s="507"/>
      <c r="U875" s="507"/>
      <c r="V875" s="507"/>
      <c r="W875" s="507"/>
    </row>
    <row r="876" ht="35.25" customHeight="1">
      <c r="A876" s="507"/>
      <c r="B876" s="507"/>
      <c r="C876" s="507"/>
      <c r="D876" s="508"/>
      <c r="E876" s="507"/>
      <c r="F876" s="507"/>
      <c r="G876" s="507"/>
      <c r="H876" s="507"/>
      <c r="I876" s="507"/>
      <c r="J876" s="507"/>
      <c r="K876" s="507"/>
      <c r="L876" s="507"/>
      <c r="M876" s="507"/>
      <c r="N876" s="507"/>
      <c r="O876" s="507"/>
      <c r="P876" s="507"/>
      <c r="Q876" s="507"/>
      <c r="R876" s="507"/>
      <c r="S876" s="507"/>
      <c r="T876" s="507"/>
      <c r="U876" s="507"/>
      <c r="V876" s="507"/>
      <c r="W876" s="507"/>
    </row>
    <row r="877" ht="35.25" customHeight="1">
      <c r="A877" s="507"/>
      <c r="B877" s="507"/>
      <c r="C877" s="507"/>
      <c r="D877" s="508"/>
      <c r="E877" s="507"/>
      <c r="F877" s="507"/>
      <c r="G877" s="507"/>
      <c r="H877" s="507"/>
      <c r="I877" s="507"/>
      <c r="J877" s="507"/>
      <c r="K877" s="507"/>
      <c r="L877" s="507"/>
      <c r="M877" s="507"/>
      <c r="N877" s="507"/>
      <c r="O877" s="507"/>
      <c r="P877" s="507"/>
      <c r="Q877" s="507"/>
      <c r="R877" s="507"/>
      <c r="S877" s="507"/>
      <c r="T877" s="507"/>
      <c r="U877" s="507"/>
      <c r="V877" s="507"/>
      <c r="W877" s="507"/>
    </row>
    <row r="878" ht="35.25" customHeight="1">
      <c r="A878" s="507"/>
      <c r="B878" s="507"/>
      <c r="C878" s="507"/>
      <c r="D878" s="508"/>
      <c r="E878" s="507"/>
      <c r="F878" s="507"/>
      <c r="G878" s="507"/>
      <c r="H878" s="507"/>
      <c r="I878" s="507"/>
      <c r="J878" s="507"/>
      <c r="K878" s="507"/>
      <c r="L878" s="507"/>
      <c r="M878" s="507"/>
      <c r="N878" s="507"/>
      <c r="O878" s="507"/>
      <c r="P878" s="507"/>
      <c r="Q878" s="507"/>
      <c r="R878" s="507"/>
      <c r="S878" s="507"/>
      <c r="T878" s="507"/>
      <c r="U878" s="507"/>
      <c r="V878" s="507"/>
      <c r="W878" s="507"/>
    </row>
    <row r="879" ht="35.25" customHeight="1">
      <c r="A879" s="507"/>
      <c r="B879" s="507"/>
      <c r="C879" s="507"/>
      <c r="D879" s="508"/>
      <c r="E879" s="507"/>
      <c r="F879" s="507"/>
      <c r="G879" s="507"/>
      <c r="H879" s="507"/>
      <c r="I879" s="507"/>
      <c r="J879" s="507"/>
      <c r="K879" s="507"/>
      <c r="L879" s="507"/>
      <c r="M879" s="507"/>
      <c r="N879" s="507"/>
      <c r="O879" s="507"/>
      <c r="P879" s="507"/>
      <c r="Q879" s="507"/>
      <c r="R879" s="507"/>
      <c r="S879" s="507"/>
      <c r="T879" s="507"/>
      <c r="U879" s="507"/>
      <c r="V879" s="507"/>
      <c r="W879" s="507"/>
    </row>
    <row r="880" ht="35.25" customHeight="1">
      <c r="A880" s="507"/>
      <c r="B880" s="507"/>
      <c r="C880" s="507"/>
      <c r="D880" s="508"/>
      <c r="E880" s="507"/>
      <c r="F880" s="507"/>
      <c r="G880" s="507"/>
      <c r="H880" s="507"/>
      <c r="I880" s="507"/>
      <c r="J880" s="507"/>
      <c r="K880" s="507"/>
      <c r="L880" s="507"/>
      <c r="M880" s="507"/>
      <c r="N880" s="507"/>
      <c r="O880" s="507"/>
      <c r="P880" s="507"/>
      <c r="Q880" s="507"/>
      <c r="R880" s="507"/>
      <c r="S880" s="507"/>
      <c r="T880" s="507"/>
      <c r="U880" s="507"/>
      <c r="V880" s="507"/>
      <c r="W880" s="507"/>
    </row>
    <row r="881" ht="35.25" customHeight="1">
      <c r="A881" s="507"/>
      <c r="B881" s="507"/>
      <c r="C881" s="507"/>
      <c r="D881" s="508"/>
      <c r="E881" s="507"/>
      <c r="F881" s="507"/>
      <c r="G881" s="507"/>
      <c r="H881" s="507"/>
      <c r="I881" s="507"/>
      <c r="J881" s="507"/>
      <c r="K881" s="507"/>
      <c r="L881" s="507"/>
      <c r="M881" s="507"/>
      <c r="N881" s="507"/>
      <c r="O881" s="507"/>
      <c r="P881" s="507"/>
      <c r="Q881" s="507"/>
      <c r="R881" s="507"/>
      <c r="S881" s="507"/>
      <c r="T881" s="507"/>
      <c r="U881" s="507"/>
      <c r="V881" s="507"/>
      <c r="W881" s="507"/>
    </row>
    <row r="882" ht="35.25" customHeight="1">
      <c r="A882" s="507"/>
      <c r="B882" s="507"/>
      <c r="C882" s="507"/>
      <c r="D882" s="508"/>
      <c r="E882" s="507"/>
      <c r="F882" s="507"/>
      <c r="G882" s="507"/>
      <c r="H882" s="507"/>
      <c r="I882" s="507"/>
      <c r="J882" s="507"/>
      <c r="K882" s="507"/>
      <c r="L882" s="507"/>
      <c r="M882" s="507"/>
      <c r="N882" s="507"/>
      <c r="O882" s="507"/>
      <c r="P882" s="507"/>
      <c r="Q882" s="507"/>
      <c r="R882" s="507"/>
      <c r="S882" s="507"/>
      <c r="T882" s="507"/>
      <c r="U882" s="507"/>
      <c r="V882" s="507"/>
      <c r="W882" s="507"/>
    </row>
    <row r="883" ht="35.25" customHeight="1">
      <c r="A883" s="507"/>
      <c r="B883" s="507"/>
      <c r="C883" s="507"/>
      <c r="D883" s="508"/>
      <c r="E883" s="507"/>
      <c r="F883" s="507"/>
      <c r="G883" s="507"/>
      <c r="H883" s="507"/>
      <c r="I883" s="507"/>
      <c r="J883" s="507"/>
      <c r="K883" s="507"/>
      <c r="L883" s="507"/>
      <c r="M883" s="507"/>
      <c r="N883" s="507"/>
      <c r="O883" s="507"/>
      <c r="P883" s="507"/>
      <c r="Q883" s="507"/>
      <c r="R883" s="507"/>
      <c r="S883" s="507"/>
      <c r="T883" s="507"/>
      <c r="U883" s="507"/>
      <c r="V883" s="507"/>
      <c r="W883" s="507"/>
    </row>
    <row r="884" ht="35.25" customHeight="1">
      <c r="A884" s="507"/>
      <c r="B884" s="507"/>
      <c r="C884" s="507"/>
      <c r="D884" s="508"/>
      <c r="E884" s="507"/>
      <c r="F884" s="507"/>
      <c r="G884" s="507"/>
      <c r="H884" s="507"/>
      <c r="I884" s="507"/>
      <c r="J884" s="507"/>
      <c r="K884" s="507"/>
      <c r="L884" s="507"/>
      <c r="M884" s="507"/>
      <c r="N884" s="507"/>
      <c r="O884" s="507"/>
      <c r="P884" s="507"/>
      <c r="Q884" s="507"/>
      <c r="R884" s="507"/>
      <c r="S884" s="507"/>
      <c r="T884" s="507"/>
      <c r="U884" s="507"/>
      <c r="V884" s="507"/>
      <c r="W884" s="507"/>
    </row>
    <row r="885" ht="35.25" customHeight="1">
      <c r="A885" s="507"/>
      <c r="B885" s="507"/>
      <c r="C885" s="507"/>
      <c r="D885" s="508"/>
      <c r="E885" s="507"/>
      <c r="F885" s="507"/>
      <c r="G885" s="507"/>
      <c r="H885" s="507"/>
      <c r="I885" s="507"/>
      <c r="J885" s="507"/>
      <c r="K885" s="507"/>
      <c r="L885" s="507"/>
      <c r="M885" s="507"/>
      <c r="N885" s="507"/>
      <c r="O885" s="507"/>
      <c r="P885" s="507"/>
      <c r="Q885" s="507"/>
      <c r="R885" s="507"/>
      <c r="S885" s="507"/>
      <c r="T885" s="507"/>
      <c r="U885" s="507"/>
      <c r="V885" s="507"/>
      <c r="W885" s="507"/>
    </row>
    <row r="886" ht="35.25" customHeight="1">
      <c r="A886" s="507"/>
      <c r="B886" s="507"/>
      <c r="C886" s="507"/>
      <c r="D886" s="508"/>
      <c r="E886" s="507"/>
      <c r="F886" s="507"/>
      <c r="G886" s="507"/>
      <c r="H886" s="507"/>
      <c r="I886" s="507"/>
      <c r="J886" s="507"/>
      <c r="K886" s="507"/>
      <c r="L886" s="507"/>
      <c r="M886" s="507"/>
      <c r="N886" s="507"/>
      <c r="O886" s="507"/>
      <c r="P886" s="507"/>
      <c r="Q886" s="507"/>
      <c r="R886" s="507"/>
      <c r="S886" s="507"/>
      <c r="T886" s="507"/>
      <c r="U886" s="507"/>
      <c r="V886" s="507"/>
      <c r="W886" s="507"/>
    </row>
    <row r="887" ht="35.25" customHeight="1">
      <c r="A887" s="507"/>
      <c r="B887" s="507"/>
      <c r="C887" s="507"/>
      <c r="D887" s="508"/>
      <c r="E887" s="507"/>
      <c r="F887" s="507"/>
      <c r="G887" s="507"/>
      <c r="H887" s="507"/>
      <c r="I887" s="507"/>
      <c r="J887" s="507"/>
      <c r="K887" s="507"/>
      <c r="L887" s="507"/>
      <c r="M887" s="507"/>
      <c r="N887" s="507"/>
      <c r="O887" s="507"/>
      <c r="P887" s="507"/>
      <c r="Q887" s="507"/>
      <c r="R887" s="507"/>
      <c r="S887" s="507"/>
      <c r="T887" s="507"/>
      <c r="U887" s="507"/>
      <c r="V887" s="507"/>
      <c r="W887" s="507"/>
    </row>
    <row r="888" ht="35.25" customHeight="1">
      <c r="A888" s="507"/>
      <c r="B888" s="507"/>
      <c r="C888" s="507"/>
      <c r="D888" s="508"/>
      <c r="E888" s="507"/>
      <c r="F888" s="507"/>
      <c r="G888" s="507"/>
      <c r="H888" s="507"/>
      <c r="I888" s="507"/>
      <c r="J888" s="507"/>
      <c r="K888" s="507"/>
      <c r="L888" s="507"/>
      <c r="M888" s="507"/>
      <c r="N888" s="507"/>
      <c r="O888" s="507"/>
      <c r="P888" s="507"/>
      <c r="Q888" s="507"/>
      <c r="R888" s="507"/>
      <c r="S888" s="507"/>
      <c r="T888" s="507"/>
      <c r="U888" s="507"/>
      <c r="V888" s="507"/>
      <c r="W888" s="507"/>
    </row>
    <row r="889" ht="35.25" customHeight="1">
      <c r="A889" s="507"/>
      <c r="B889" s="507"/>
      <c r="C889" s="507"/>
      <c r="D889" s="508"/>
      <c r="E889" s="507"/>
      <c r="F889" s="507"/>
      <c r="G889" s="507"/>
      <c r="H889" s="507"/>
      <c r="I889" s="507"/>
      <c r="J889" s="507"/>
      <c r="K889" s="507"/>
      <c r="L889" s="507"/>
      <c r="M889" s="507"/>
      <c r="N889" s="507"/>
      <c r="O889" s="507"/>
      <c r="P889" s="507"/>
      <c r="Q889" s="507"/>
      <c r="R889" s="507"/>
      <c r="S889" s="507"/>
      <c r="T889" s="507"/>
      <c r="U889" s="507"/>
      <c r="V889" s="507"/>
      <c r="W889" s="507"/>
    </row>
    <row r="890" ht="35.25" customHeight="1">
      <c r="A890" s="507"/>
      <c r="B890" s="507"/>
      <c r="C890" s="507"/>
      <c r="D890" s="508"/>
      <c r="E890" s="507"/>
      <c r="F890" s="507"/>
      <c r="G890" s="507"/>
      <c r="H890" s="507"/>
      <c r="I890" s="507"/>
      <c r="J890" s="507"/>
      <c r="K890" s="507"/>
      <c r="L890" s="507"/>
      <c r="M890" s="507"/>
      <c r="N890" s="507"/>
      <c r="O890" s="507"/>
      <c r="P890" s="507"/>
      <c r="Q890" s="507"/>
      <c r="R890" s="507"/>
      <c r="S890" s="507"/>
      <c r="T890" s="507"/>
      <c r="U890" s="507"/>
      <c r="V890" s="507"/>
      <c r="W890" s="507"/>
    </row>
    <row r="891" ht="35.25" customHeight="1">
      <c r="A891" s="507"/>
      <c r="B891" s="507"/>
      <c r="C891" s="507"/>
      <c r="D891" s="508"/>
      <c r="E891" s="507"/>
      <c r="F891" s="507"/>
      <c r="G891" s="507"/>
      <c r="H891" s="507"/>
      <c r="I891" s="507"/>
      <c r="J891" s="507"/>
      <c r="K891" s="507"/>
      <c r="L891" s="507"/>
      <c r="M891" s="507"/>
      <c r="N891" s="507"/>
      <c r="O891" s="507"/>
      <c r="P891" s="507"/>
      <c r="Q891" s="507"/>
      <c r="R891" s="507"/>
      <c r="S891" s="507"/>
      <c r="T891" s="507"/>
      <c r="U891" s="507"/>
      <c r="V891" s="507"/>
      <c r="W891" s="507"/>
    </row>
    <row r="892" ht="35.25" customHeight="1">
      <c r="A892" s="507"/>
      <c r="B892" s="507"/>
      <c r="C892" s="507"/>
      <c r="D892" s="508"/>
      <c r="E892" s="507"/>
      <c r="F892" s="507"/>
      <c r="G892" s="507"/>
      <c r="H892" s="507"/>
      <c r="I892" s="507"/>
      <c r="J892" s="507"/>
      <c r="K892" s="507"/>
      <c r="L892" s="507"/>
      <c r="M892" s="507"/>
      <c r="N892" s="507"/>
      <c r="O892" s="507"/>
      <c r="P892" s="507"/>
      <c r="Q892" s="507"/>
      <c r="R892" s="507"/>
      <c r="S892" s="507"/>
      <c r="T892" s="507"/>
      <c r="U892" s="507"/>
      <c r="V892" s="507"/>
      <c r="W892" s="507"/>
    </row>
    <row r="893" ht="35.25" customHeight="1">
      <c r="A893" s="507"/>
      <c r="B893" s="507"/>
      <c r="C893" s="507"/>
      <c r="D893" s="508"/>
      <c r="E893" s="507"/>
      <c r="F893" s="507"/>
      <c r="G893" s="507"/>
      <c r="H893" s="507"/>
      <c r="I893" s="507"/>
      <c r="J893" s="507"/>
      <c r="K893" s="507"/>
      <c r="L893" s="507"/>
      <c r="M893" s="507"/>
      <c r="N893" s="507"/>
      <c r="O893" s="507"/>
      <c r="P893" s="507"/>
      <c r="Q893" s="507"/>
      <c r="R893" s="507"/>
      <c r="S893" s="507"/>
      <c r="T893" s="507"/>
      <c r="U893" s="507"/>
      <c r="V893" s="507"/>
      <c r="W893" s="507"/>
    </row>
    <row r="894" ht="35.25" customHeight="1">
      <c r="A894" s="507"/>
      <c r="B894" s="507"/>
      <c r="C894" s="507"/>
      <c r="D894" s="508"/>
      <c r="E894" s="507"/>
      <c r="F894" s="507"/>
      <c r="G894" s="507"/>
      <c r="H894" s="507"/>
      <c r="I894" s="507"/>
      <c r="J894" s="507"/>
      <c r="K894" s="507"/>
      <c r="L894" s="507"/>
      <c r="M894" s="507"/>
      <c r="N894" s="507"/>
      <c r="O894" s="507"/>
      <c r="P894" s="507"/>
      <c r="Q894" s="507"/>
      <c r="R894" s="507"/>
      <c r="S894" s="507"/>
      <c r="T894" s="507"/>
      <c r="U894" s="507"/>
      <c r="V894" s="507"/>
      <c r="W894" s="507"/>
    </row>
    <row r="895" ht="35.25" customHeight="1">
      <c r="A895" s="507"/>
      <c r="B895" s="507"/>
      <c r="C895" s="507"/>
      <c r="D895" s="508"/>
      <c r="E895" s="507"/>
      <c r="F895" s="507"/>
      <c r="G895" s="507"/>
      <c r="H895" s="507"/>
      <c r="I895" s="507"/>
      <c r="J895" s="507"/>
      <c r="K895" s="507"/>
      <c r="L895" s="507"/>
      <c r="M895" s="507"/>
      <c r="N895" s="507"/>
      <c r="O895" s="507"/>
      <c r="P895" s="507"/>
      <c r="Q895" s="507"/>
      <c r="R895" s="507"/>
      <c r="S895" s="507"/>
      <c r="T895" s="507"/>
      <c r="U895" s="507"/>
      <c r="V895" s="507"/>
      <c r="W895" s="507"/>
    </row>
    <row r="896" ht="35.25" customHeight="1">
      <c r="A896" s="507"/>
      <c r="B896" s="507"/>
      <c r="C896" s="507"/>
      <c r="D896" s="508"/>
      <c r="E896" s="507"/>
      <c r="F896" s="507"/>
      <c r="G896" s="507"/>
      <c r="H896" s="507"/>
      <c r="I896" s="507"/>
      <c r="J896" s="507"/>
      <c r="K896" s="507"/>
      <c r="L896" s="507"/>
      <c r="M896" s="507"/>
      <c r="N896" s="507"/>
      <c r="O896" s="507"/>
      <c r="P896" s="507"/>
      <c r="Q896" s="507"/>
      <c r="R896" s="507"/>
      <c r="S896" s="507"/>
      <c r="T896" s="507"/>
      <c r="U896" s="507"/>
      <c r="V896" s="507"/>
      <c r="W896" s="507"/>
    </row>
    <row r="897" ht="35.25" customHeight="1">
      <c r="A897" s="507"/>
      <c r="B897" s="507"/>
      <c r="C897" s="507"/>
      <c r="D897" s="508"/>
      <c r="E897" s="507"/>
      <c r="F897" s="507"/>
      <c r="G897" s="507"/>
      <c r="H897" s="507"/>
      <c r="I897" s="507"/>
      <c r="J897" s="507"/>
      <c r="K897" s="507"/>
      <c r="L897" s="507"/>
      <c r="M897" s="507"/>
      <c r="N897" s="507"/>
      <c r="O897" s="507"/>
      <c r="P897" s="507"/>
      <c r="Q897" s="507"/>
      <c r="R897" s="507"/>
      <c r="S897" s="507"/>
      <c r="T897" s="507"/>
      <c r="U897" s="507"/>
      <c r="V897" s="507"/>
      <c r="W897" s="507"/>
    </row>
    <row r="898" ht="35.25" customHeight="1">
      <c r="A898" s="507"/>
      <c r="B898" s="507"/>
      <c r="C898" s="507"/>
      <c r="D898" s="508"/>
      <c r="E898" s="507"/>
      <c r="F898" s="507"/>
      <c r="G898" s="507"/>
      <c r="H898" s="507"/>
      <c r="I898" s="507"/>
      <c r="J898" s="507"/>
      <c r="K898" s="507"/>
      <c r="L898" s="507"/>
      <c r="M898" s="507"/>
      <c r="N898" s="507"/>
      <c r="O898" s="507"/>
      <c r="P898" s="507"/>
      <c r="Q898" s="507"/>
      <c r="R898" s="507"/>
      <c r="S898" s="507"/>
      <c r="T898" s="507"/>
      <c r="U898" s="507"/>
      <c r="V898" s="507"/>
      <c r="W898" s="507"/>
    </row>
    <row r="899" ht="35.25" customHeight="1">
      <c r="A899" s="507"/>
      <c r="B899" s="507"/>
      <c r="C899" s="507"/>
      <c r="D899" s="508"/>
      <c r="E899" s="507"/>
      <c r="F899" s="507"/>
      <c r="G899" s="507"/>
      <c r="H899" s="507"/>
      <c r="I899" s="507"/>
      <c r="J899" s="507"/>
      <c r="K899" s="507"/>
      <c r="L899" s="507"/>
      <c r="M899" s="507"/>
      <c r="N899" s="507"/>
      <c r="O899" s="507"/>
      <c r="P899" s="507"/>
      <c r="Q899" s="507"/>
      <c r="R899" s="507"/>
      <c r="S899" s="507"/>
      <c r="T899" s="507"/>
      <c r="U899" s="507"/>
      <c r="V899" s="507"/>
      <c r="W899" s="507"/>
    </row>
    <row r="900" ht="35.25" customHeight="1">
      <c r="A900" s="507"/>
      <c r="B900" s="507"/>
      <c r="C900" s="507"/>
      <c r="D900" s="508"/>
      <c r="E900" s="507"/>
      <c r="F900" s="507"/>
      <c r="G900" s="507"/>
      <c r="H900" s="507"/>
      <c r="I900" s="507"/>
      <c r="J900" s="507"/>
      <c r="K900" s="507"/>
      <c r="L900" s="507"/>
      <c r="M900" s="507"/>
      <c r="N900" s="507"/>
      <c r="O900" s="507"/>
      <c r="P900" s="507"/>
      <c r="Q900" s="507"/>
      <c r="R900" s="507"/>
      <c r="S900" s="507"/>
      <c r="T900" s="507"/>
      <c r="U900" s="507"/>
      <c r="V900" s="507"/>
      <c r="W900" s="507"/>
    </row>
    <row r="901" ht="35.25" customHeight="1">
      <c r="A901" s="507"/>
      <c r="B901" s="507"/>
      <c r="C901" s="507"/>
      <c r="D901" s="508"/>
      <c r="E901" s="507"/>
      <c r="F901" s="507"/>
      <c r="G901" s="507"/>
      <c r="H901" s="507"/>
      <c r="I901" s="507"/>
      <c r="J901" s="507"/>
      <c r="K901" s="507"/>
      <c r="L901" s="507"/>
      <c r="M901" s="507"/>
      <c r="N901" s="507"/>
      <c r="O901" s="507"/>
      <c r="P901" s="507"/>
      <c r="Q901" s="507"/>
      <c r="R901" s="507"/>
      <c r="S901" s="507"/>
      <c r="T901" s="507"/>
      <c r="U901" s="507"/>
      <c r="V901" s="507"/>
      <c r="W901" s="507"/>
    </row>
    <row r="902" ht="35.25" customHeight="1">
      <c r="A902" s="507"/>
      <c r="B902" s="507"/>
      <c r="C902" s="507"/>
      <c r="D902" s="508"/>
      <c r="E902" s="507"/>
      <c r="F902" s="507"/>
      <c r="G902" s="507"/>
      <c r="H902" s="507"/>
      <c r="I902" s="507"/>
      <c r="J902" s="507"/>
      <c r="K902" s="507"/>
      <c r="L902" s="507"/>
      <c r="M902" s="507"/>
      <c r="N902" s="507"/>
      <c r="O902" s="507"/>
      <c r="P902" s="507"/>
      <c r="Q902" s="507"/>
      <c r="R902" s="507"/>
      <c r="S902" s="507"/>
      <c r="T902" s="507"/>
      <c r="U902" s="507"/>
      <c r="V902" s="507"/>
      <c r="W902" s="507"/>
    </row>
    <row r="903" ht="35.25" customHeight="1">
      <c r="A903" s="507"/>
      <c r="B903" s="507"/>
      <c r="C903" s="507"/>
      <c r="D903" s="508"/>
      <c r="E903" s="507"/>
      <c r="F903" s="507"/>
      <c r="G903" s="507"/>
      <c r="H903" s="507"/>
      <c r="I903" s="507"/>
      <c r="J903" s="507"/>
      <c r="K903" s="507"/>
      <c r="L903" s="507"/>
      <c r="M903" s="507"/>
      <c r="N903" s="507"/>
      <c r="O903" s="507"/>
      <c r="P903" s="507"/>
      <c r="Q903" s="507"/>
      <c r="R903" s="507"/>
      <c r="S903" s="507"/>
      <c r="T903" s="507"/>
      <c r="U903" s="507"/>
      <c r="V903" s="507"/>
      <c r="W903" s="507"/>
    </row>
    <row r="904" ht="35.25" customHeight="1">
      <c r="A904" s="507"/>
      <c r="B904" s="507"/>
      <c r="C904" s="507"/>
      <c r="D904" s="508"/>
      <c r="E904" s="507"/>
      <c r="F904" s="507"/>
      <c r="G904" s="507"/>
      <c r="H904" s="507"/>
      <c r="I904" s="507"/>
      <c r="J904" s="507"/>
      <c r="K904" s="507"/>
      <c r="L904" s="507"/>
      <c r="M904" s="507"/>
      <c r="N904" s="507"/>
      <c r="O904" s="507"/>
      <c r="P904" s="507"/>
      <c r="Q904" s="507"/>
      <c r="R904" s="507"/>
      <c r="S904" s="507"/>
      <c r="T904" s="507"/>
      <c r="U904" s="507"/>
      <c r="V904" s="507"/>
      <c r="W904" s="507"/>
    </row>
    <row r="905" ht="35.25" customHeight="1">
      <c r="A905" s="507"/>
      <c r="B905" s="507"/>
      <c r="C905" s="507"/>
      <c r="D905" s="508"/>
      <c r="E905" s="507"/>
      <c r="F905" s="507"/>
      <c r="G905" s="507"/>
      <c r="H905" s="507"/>
      <c r="I905" s="507"/>
      <c r="J905" s="507"/>
      <c r="K905" s="507"/>
      <c r="L905" s="507"/>
      <c r="M905" s="507"/>
      <c r="N905" s="507"/>
      <c r="O905" s="507"/>
      <c r="P905" s="507"/>
      <c r="Q905" s="507"/>
      <c r="R905" s="507"/>
      <c r="S905" s="507"/>
      <c r="T905" s="507"/>
      <c r="U905" s="507"/>
      <c r="V905" s="507"/>
      <c r="W905" s="507"/>
    </row>
    <row r="906" ht="35.25" customHeight="1">
      <c r="A906" s="507"/>
      <c r="B906" s="507"/>
      <c r="C906" s="507"/>
      <c r="D906" s="508"/>
      <c r="E906" s="507"/>
      <c r="F906" s="507"/>
      <c r="G906" s="507"/>
      <c r="H906" s="507"/>
      <c r="I906" s="507"/>
      <c r="J906" s="507"/>
      <c r="K906" s="507"/>
      <c r="L906" s="507"/>
      <c r="M906" s="507"/>
      <c r="N906" s="507"/>
      <c r="O906" s="507"/>
      <c r="P906" s="507"/>
      <c r="Q906" s="507"/>
      <c r="R906" s="507"/>
      <c r="S906" s="507"/>
      <c r="T906" s="507"/>
      <c r="U906" s="507"/>
      <c r="V906" s="507"/>
      <c r="W906" s="507"/>
    </row>
    <row r="907" ht="35.25" customHeight="1">
      <c r="A907" s="507"/>
      <c r="B907" s="507"/>
      <c r="C907" s="507"/>
      <c r="D907" s="508"/>
      <c r="E907" s="507"/>
      <c r="F907" s="507"/>
      <c r="G907" s="507"/>
      <c r="H907" s="507"/>
      <c r="I907" s="507"/>
      <c r="J907" s="507"/>
      <c r="K907" s="507"/>
      <c r="L907" s="507"/>
      <c r="M907" s="507"/>
      <c r="N907" s="507"/>
      <c r="O907" s="507"/>
      <c r="P907" s="507"/>
      <c r="Q907" s="507"/>
      <c r="R907" s="507"/>
      <c r="S907" s="507"/>
      <c r="T907" s="507"/>
      <c r="U907" s="507"/>
      <c r="V907" s="507"/>
      <c r="W907" s="507"/>
    </row>
    <row r="908" ht="35.25" customHeight="1">
      <c r="A908" s="507"/>
      <c r="B908" s="507"/>
      <c r="C908" s="507"/>
      <c r="D908" s="508"/>
      <c r="E908" s="507"/>
      <c r="F908" s="507"/>
      <c r="G908" s="507"/>
      <c r="H908" s="507"/>
      <c r="I908" s="507"/>
      <c r="J908" s="507"/>
      <c r="K908" s="507"/>
      <c r="L908" s="507"/>
      <c r="M908" s="507"/>
      <c r="N908" s="507"/>
      <c r="O908" s="507"/>
      <c r="P908" s="507"/>
      <c r="Q908" s="507"/>
      <c r="R908" s="507"/>
      <c r="S908" s="507"/>
      <c r="T908" s="507"/>
      <c r="U908" s="507"/>
      <c r="V908" s="507"/>
      <c r="W908" s="507"/>
    </row>
    <row r="909" ht="35.25" customHeight="1">
      <c r="A909" s="507"/>
      <c r="B909" s="507"/>
      <c r="C909" s="507"/>
      <c r="D909" s="508"/>
      <c r="E909" s="507"/>
      <c r="F909" s="507"/>
      <c r="G909" s="507"/>
      <c r="H909" s="507"/>
      <c r="I909" s="507"/>
      <c r="J909" s="507"/>
      <c r="K909" s="507"/>
      <c r="L909" s="507"/>
      <c r="M909" s="507"/>
      <c r="N909" s="507"/>
      <c r="O909" s="507"/>
      <c r="P909" s="507"/>
      <c r="Q909" s="507"/>
      <c r="R909" s="507"/>
      <c r="S909" s="507"/>
      <c r="T909" s="507"/>
      <c r="U909" s="507"/>
      <c r="V909" s="507"/>
      <c r="W909" s="507"/>
    </row>
    <row r="910" ht="35.25" customHeight="1">
      <c r="A910" s="507"/>
      <c r="B910" s="507"/>
      <c r="C910" s="507"/>
      <c r="D910" s="508"/>
      <c r="E910" s="507"/>
      <c r="F910" s="507"/>
      <c r="G910" s="507"/>
      <c r="H910" s="507"/>
      <c r="I910" s="507"/>
      <c r="J910" s="507"/>
      <c r="K910" s="507"/>
      <c r="L910" s="507"/>
      <c r="M910" s="507"/>
      <c r="N910" s="507"/>
      <c r="O910" s="507"/>
      <c r="P910" s="507"/>
      <c r="Q910" s="507"/>
      <c r="R910" s="507"/>
      <c r="S910" s="507"/>
      <c r="T910" s="507"/>
      <c r="U910" s="507"/>
      <c r="V910" s="507"/>
      <c r="W910" s="507"/>
    </row>
    <row r="911" ht="35.25" customHeight="1">
      <c r="A911" s="507"/>
      <c r="B911" s="507"/>
      <c r="C911" s="507"/>
      <c r="D911" s="508"/>
      <c r="E911" s="507"/>
      <c r="F911" s="507"/>
      <c r="G911" s="507"/>
      <c r="H911" s="507"/>
      <c r="I911" s="507"/>
      <c r="J911" s="507"/>
      <c r="K911" s="507"/>
      <c r="L911" s="507"/>
      <c r="M911" s="507"/>
      <c r="N911" s="507"/>
      <c r="O911" s="507"/>
      <c r="P911" s="507"/>
      <c r="Q911" s="507"/>
      <c r="R911" s="507"/>
      <c r="S911" s="507"/>
      <c r="T911" s="507"/>
      <c r="U911" s="507"/>
      <c r="V911" s="507"/>
      <c r="W911" s="507"/>
    </row>
    <row r="912" ht="35.25" customHeight="1">
      <c r="A912" s="507"/>
      <c r="B912" s="507"/>
      <c r="C912" s="507"/>
      <c r="D912" s="508"/>
      <c r="E912" s="507"/>
      <c r="F912" s="507"/>
      <c r="G912" s="507"/>
      <c r="H912" s="507"/>
      <c r="I912" s="507"/>
      <c r="J912" s="507"/>
      <c r="K912" s="507"/>
      <c r="L912" s="507"/>
      <c r="M912" s="507"/>
      <c r="N912" s="507"/>
      <c r="O912" s="507"/>
      <c r="P912" s="507"/>
      <c r="Q912" s="507"/>
      <c r="R912" s="507"/>
      <c r="S912" s="507"/>
      <c r="T912" s="507"/>
      <c r="U912" s="507"/>
      <c r="V912" s="507"/>
      <c r="W912" s="507"/>
    </row>
    <row r="913" ht="35.25" customHeight="1">
      <c r="A913" s="507"/>
      <c r="B913" s="507"/>
      <c r="C913" s="507"/>
      <c r="D913" s="508"/>
      <c r="E913" s="507"/>
      <c r="F913" s="507"/>
      <c r="G913" s="507"/>
      <c r="H913" s="507"/>
      <c r="I913" s="507"/>
      <c r="J913" s="507"/>
      <c r="K913" s="507"/>
      <c r="L913" s="507"/>
      <c r="M913" s="507"/>
      <c r="N913" s="507"/>
      <c r="O913" s="507"/>
      <c r="P913" s="507"/>
      <c r="Q913" s="507"/>
      <c r="R913" s="507"/>
      <c r="S913" s="507"/>
      <c r="T913" s="507"/>
      <c r="U913" s="507"/>
      <c r="V913" s="507"/>
      <c r="W913" s="507"/>
    </row>
    <row r="914" ht="35.25" customHeight="1">
      <c r="A914" s="507"/>
      <c r="B914" s="507"/>
      <c r="C914" s="507"/>
      <c r="D914" s="508"/>
      <c r="E914" s="507"/>
      <c r="F914" s="507"/>
      <c r="G914" s="507"/>
      <c r="H914" s="507"/>
      <c r="I914" s="507"/>
      <c r="J914" s="507"/>
      <c r="K914" s="507"/>
      <c r="L914" s="507"/>
      <c r="M914" s="507"/>
      <c r="N914" s="507"/>
      <c r="O914" s="507"/>
      <c r="P914" s="507"/>
      <c r="Q914" s="507"/>
      <c r="R914" s="507"/>
      <c r="S914" s="507"/>
      <c r="T914" s="507"/>
      <c r="U914" s="507"/>
      <c r="V914" s="507"/>
      <c r="W914" s="507"/>
    </row>
    <row r="915" ht="35.25" customHeight="1">
      <c r="A915" s="507"/>
      <c r="B915" s="507"/>
      <c r="C915" s="507"/>
      <c r="D915" s="508"/>
      <c r="E915" s="507"/>
      <c r="F915" s="507"/>
      <c r="G915" s="507"/>
      <c r="H915" s="507"/>
      <c r="I915" s="507"/>
      <c r="J915" s="507"/>
      <c r="K915" s="507"/>
      <c r="L915" s="507"/>
      <c r="M915" s="507"/>
      <c r="N915" s="507"/>
      <c r="O915" s="507"/>
      <c r="P915" s="507"/>
      <c r="Q915" s="507"/>
      <c r="R915" s="507"/>
      <c r="S915" s="507"/>
      <c r="T915" s="507"/>
      <c r="U915" s="507"/>
      <c r="V915" s="507"/>
      <c r="W915" s="507"/>
    </row>
    <row r="916" ht="35.25" customHeight="1">
      <c r="A916" s="507"/>
      <c r="B916" s="507"/>
      <c r="C916" s="507"/>
      <c r="D916" s="508"/>
      <c r="E916" s="507"/>
      <c r="F916" s="507"/>
      <c r="G916" s="507"/>
      <c r="H916" s="507"/>
      <c r="I916" s="507"/>
      <c r="J916" s="507"/>
      <c r="K916" s="507"/>
      <c r="L916" s="507"/>
      <c r="M916" s="507"/>
      <c r="N916" s="507"/>
      <c r="O916" s="507"/>
      <c r="P916" s="507"/>
      <c r="Q916" s="507"/>
      <c r="R916" s="507"/>
      <c r="S916" s="507"/>
      <c r="T916" s="507"/>
      <c r="U916" s="507"/>
      <c r="V916" s="507"/>
      <c r="W916" s="507"/>
    </row>
    <row r="917" ht="35.25" customHeight="1">
      <c r="A917" s="507"/>
      <c r="B917" s="507"/>
      <c r="C917" s="507"/>
      <c r="D917" s="508"/>
      <c r="E917" s="507"/>
      <c r="F917" s="507"/>
      <c r="G917" s="507"/>
      <c r="H917" s="507"/>
      <c r="I917" s="507"/>
      <c r="J917" s="507"/>
      <c r="K917" s="507"/>
      <c r="L917" s="507"/>
      <c r="M917" s="507"/>
      <c r="N917" s="507"/>
      <c r="O917" s="507"/>
      <c r="P917" s="507"/>
      <c r="Q917" s="507"/>
      <c r="R917" s="507"/>
      <c r="S917" s="507"/>
      <c r="T917" s="507"/>
      <c r="U917" s="507"/>
      <c r="V917" s="507"/>
      <c r="W917" s="507"/>
    </row>
    <row r="918" ht="35.25" customHeight="1">
      <c r="A918" s="507"/>
      <c r="B918" s="507"/>
      <c r="C918" s="507"/>
      <c r="D918" s="508"/>
      <c r="E918" s="507"/>
      <c r="F918" s="507"/>
      <c r="G918" s="507"/>
      <c r="H918" s="507"/>
      <c r="I918" s="507"/>
      <c r="J918" s="507"/>
      <c r="K918" s="507"/>
      <c r="L918" s="507"/>
      <c r="M918" s="507"/>
      <c r="N918" s="507"/>
      <c r="O918" s="507"/>
      <c r="P918" s="507"/>
      <c r="Q918" s="507"/>
      <c r="R918" s="507"/>
      <c r="S918" s="507"/>
      <c r="T918" s="507"/>
      <c r="U918" s="507"/>
      <c r="V918" s="507"/>
      <c r="W918" s="507"/>
    </row>
    <row r="919" ht="35.25" customHeight="1">
      <c r="A919" s="507"/>
      <c r="B919" s="507"/>
      <c r="C919" s="507"/>
      <c r="D919" s="508"/>
      <c r="E919" s="507"/>
      <c r="F919" s="507"/>
      <c r="G919" s="507"/>
      <c r="H919" s="507"/>
      <c r="I919" s="507"/>
      <c r="J919" s="507"/>
      <c r="K919" s="507"/>
      <c r="L919" s="507"/>
      <c r="M919" s="507"/>
      <c r="N919" s="507"/>
      <c r="O919" s="507"/>
      <c r="P919" s="507"/>
      <c r="Q919" s="507"/>
      <c r="R919" s="507"/>
      <c r="S919" s="507"/>
      <c r="T919" s="507"/>
      <c r="U919" s="507"/>
      <c r="V919" s="507"/>
      <c r="W919" s="507"/>
    </row>
    <row r="920" ht="35.25" customHeight="1">
      <c r="A920" s="507"/>
      <c r="B920" s="507"/>
      <c r="C920" s="507"/>
      <c r="D920" s="508"/>
      <c r="E920" s="507"/>
      <c r="F920" s="507"/>
      <c r="G920" s="507"/>
      <c r="H920" s="507"/>
      <c r="I920" s="507"/>
      <c r="J920" s="507"/>
      <c r="K920" s="507"/>
      <c r="L920" s="507"/>
      <c r="M920" s="507"/>
      <c r="N920" s="507"/>
      <c r="O920" s="507"/>
      <c r="P920" s="507"/>
      <c r="Q920" s="507"/>
      <c r="R920" s="507"/>
      <c r="S920" s="507"/>
      <c r="T920" s="507"/>
      <c r="U920" s="507"/>
      <c r="V920" s="507"/>
      <c r="W920" s="507"/>
    </row>
    <row r="921" ht="35.25" customHeight="1">
      <c r="A921" s="507"/>
      <c r="B921" s="507"/>
      <c r="C921" s="507"/>
      <c r="D921" s="508"/>
      <c r="E921" s="507"/>
      <c r="F921" s="507"/>
      <c r="G921" s="507"/>
      <c r="H921" s="507"/>
      <c r="I921" s="507"/>
      <c r="J921" s="507"/>
      <c r="K921" s="507"/>
      <c r="L921" s="507"/>
      <c r="M921" s="507"/>
      <c r="N921" s="507"/>
      <c r="O921" s="507"/>
      <c r="P921" s="507"/>
      <c r="Q921" s="507"/>
      <c r="R921" s="507"/>
      <c r="S921" s="507"/>
      <c r="T921" s="507"/>
      <c r="U921" s="507"/>
      <c r="V921" s="507"/>
      <c r="W921" s="507"/>
    </row>
    <row r="922" ht="35.25" customHeight="1">
      <c r="A922" s="507"/>
      <c r="B922" s="507"/>
      <c r="C922" s="507"/>
      <c r="D922" s="508"/>
      <c r="E922" s="507"/>
      <c r="F922" s="507"/>
      <c r="G922" s="507"/>
      <c r="H922" s="507"/>
      <c r="I922" s="507"/>
      <c r="J922" s="507"/>
      <c r="K922" s="507"/>
      <c r="L922" s="507"/>
      <c r="M922" s="507"/>
      <c r="N922" s="507"/>
      <c r="O922" s="507"/>
      <c r="P922" s="507"/>
      <c r="Q922" s="507"/>
      <c r="R922" s="507"/>
      <c r="S922" s="507"/>
      <c r="T922" s="507"/>
      <c r="U922" s="507"/>
      <c r="V922" s="507"/>
      <c r="W922" s="507"/>
    </row>
    <row r="923" ht="35.25" customHeight="1">
      <c r="A923" s="507"/>
      <c r="B923" s="507"/>
      <c r="C923" s="507"/>
      <c r="D923" s="508"/>
      <c r="E923" s="507"/>
      <c r="F923" s="507"/>
      <c r="G923" s="507"/>
      <c r="H923" s="507"/>
      <c r="I923" s="507"/>
      <c r="J923" s="507"/>
      <c r="K923" s="507"/>
      <c r="L923" s="507"/>
      <c r="M923" s="507"/>
      <c r="N923" s="507"/>
      <c r="O923" s="507"/>
      <c r="P923" s="507"/>
      <c r="Q923" s="507"/>
      <c r="R923" s="507"/>
      <c r="S923" s="507"/>
      <c r="T923" s="507"/>
      <c r="U923" s="507"/>
      <c r="V923" s="507"/>
      <c r="W923" s="507"/>
    </row>
    <row r="924" ht="35.25" customHeight="1">
      <c r="A924" s="507"/>
      <c r="B924" s="507"/>
      <c r="C924" s="507"/>
      <c r="D924" s="508"/>
      <c r="E924" s="507"/>
      <c r="F924" s="507"/>
      <c r="G924" s="507"/>
      <c r="H924" s="507"/>
      <c r="I924" s="507"/>
      <c r="J924" s="507"/>
      <c r="K924" s="507"/>
      <c r="L924" s="507"/>
      <c r="M924" s="507"/>
      <c r="N924" s="507"/>
      <c r="O924" s="507"/>
      <c r="P924" s="507"/>
      <c r="Q924" s="507"/>
      <c r="R924" s="507"/>
      <c r="S924" s="507"/>
      <c r="T924" s="507"/>
      <c r="U924" s="507"/>
      <c r="V924" s="507"/>
      <c r="W924" s="507"/>
    </row>
    <row r="925" ht="35.25" customHeight="1">
      <c r="A925" s="507"/>
      <c r="B925" s="507"/>
      <c r="C925" s="507"/>
      <c r="D925" s="508"/>
      <c r="E925" s="507"/>
      <c r="F925" s="507"/>
      <c r="G925" s="507"/>
      <c r="H925" s="507"/>
      <c r="I925" s="507"/>
      <c r="J925" s="507"/>
      <c r="K925" s="507"/>
      <c r="L925" s="507"/>
      <c r="M925" s="507"/>
      <c r="N925" s="507"/>
      <c r="O925" s="507"/>
      <c r="P925" s="507"/>
      <c r="Q925" s="507"/>
      <c r="R925" s="507"/>
      <c r="S925" s="507"/>
      <c r="T925" s="507"/>
      <c r="U925" s="507"/>
      <c r="V925" s="507"/>
      <c r="W925" s="507"/>
    </row>
    <row r="926" ht="35.25" customHeight="1">
      <c r="A926" s="507"/>
      <c r="B926" s="507"/>
      <c r="C926" s="507"/>
      <c r="D926" s="508"/>
      <c r="E926" s="507"/>
      <c r="F926" s="507"/>
      <c r="G926" s="507"/>
      <c r="H926" s="507"/>
      <c r="I926" s="507"/>
      <c r="J926" s="507"/>
      <c r="K926" s="507"/>
      <c r="L926" s="507"/>
      <c r="M926" s="507"/>
      <c r="N926" s="507"/>
      <c r="O926" s="507"/>
      <c r="P926" s="507"/>
      <c r="Q926" s="507"/>
      <c r="R926" s="507"/>
      <c r="S926" s="507"/>
      <c r="T926" s="507"/>
      <c r="U926" s="507"/>
      <c r="V926" s="507"/>
      <c r="W926" s="507"/>
    </row>
    <row r="927" ht="35.25" customHeight="1">
      <c r="A927" s="507"/>
      <c r="B927" s="507"/>
      <c r="C927" s="507"/>
      <c r="D927" s="508"/>
      <c r="E927" s="507"/>
      <c r="F927" s="507"/>
      <c r="G927" s="507"/>
      <c r="H927" s="507"/>
      <c r="I927" s="507"/>
      <c r="J927" s="507"/>
      <c r="K927" s="507"/>
      <c r="L927" s="507"/>
      <c r="M927" s="507"/>
      <c r="N927" s="507"/>
      <c r="O927" s="507"/>
      <c r="P927" s="507"/>
      <c r="Q927" s="507"/>
      <c r="R927" s="507"/>
      <c r="S927" s="507"/>
      <c r="T927" s="507"/>
      <c r="U927" s="507"/>
      <c r="V927" s="507"/>
      <c r="W927" s="507"/>
    </row>
    <row r="928" ht="35.25" customHeight="1">
      <c r="A928" s="507"/>
      <c r="B928" s="507"/>
      <c r="C928" s="507"/>
      <c r="D928" s="508"/>
      <c r="E928" s="507"/>
      <c r="F928" s="507"/>
      <c r="G928" s="507"/>
      <c r="H928" s="507"/>
      <c r="I928" s="507"/>
      <c r="J928" s="507"/>
      <c r="K928" s="507"/>
      <c r="L928" s="507"/>
      <c r="M928" s="507"/>
      <c r="N928" s="507"/>
      <c r="O928" s="507"/>
      <c r="P928" s="507"/>
      <c r="Q928" s="507"/>
      <c r="R928" s="507"/>
      <c r="S928" s="507"/>
      <c r="T928" s="507"/>
      <c r="U928" s="507"/>
      <c r="V928" s="507"/>
      <c r="W928" s="507"/>
    </row>
    <row r="929" ht="35.25" customHeight="1">
      <c r="A929" s="507"/>
      <c r="B929" s="507"/>
      <c r="C929" s="507"/>
      <c r="D929" s="508"/>
      <c r="E929" s="507"/>
      <c r="F929" s="507"/>
      <c r="G929" s="507"/>
      <c r="H929" s="507"/>
      <c r="I929" s="507"/>
      <c r="J929" s="507"/>
      <c r="K929" s="507"/>
      <c r="L929" s="507"/>
      <c r="M929" s="507"/>
      <c r="N929" s="507"/>
      <c r="O929" s="507"/>
      <c r="P929" s="507"/>
      <c r="Q929" s="507"/>
      <c r="R929" s="507"/>
      <c r="S929" s="507"/>
      <c r="T929" s="507"/>
      <c r="U929" s="507"/>
      <c r="V929" s="507"/>
      <c r="W929" s="507"/>
    </row>
    <row r="930" ht="35.25" customHeight="1">
      <c r="A930" s="507"/>
      <c r="B930" s="507"/>
      <c r="C930" s="507"/>
      <c r="D930" s="508"/>
      <c r="E930" s="507"/>
      <c r="F930" s="507"/>
      <c r="G930" s="507"/>
      <c r="H930" s="507"/>
      <c r="I930" s="507"/>
      <c r="J930" s="507"/>
      <c r="K930" s="507"/>
      <c r="L930" s="507"/>
      <c r="M930" s="507"/>
      <c r="N930" s="507"/>
      <c r="O930" s="507"/>
      <c r="P930" s="507"/>
      <c r="Q930" s="507"/>
      <c r="R930" s="507"/>
      <c r="S930" s="507"/>
      <c r="T930" s="507"/>
      <c r="U930" s="507"/>
      <c r="V930" s="507"/>
      <c r="W930" s="507"/>
    </row>
    <row r="931" ht="35.25" customHeight="1">
      <c r="A931" s="507"/>
      <c r="B931" s="507"/>
      <c r="C931" s="507"/>
      <c r="D931" s="508"/>
      <c r="E931" s="507"/>
      <c r="F931" s="507"/>
      <c r="G931" s="507"/>
      <c r="H931" s="507"/>
      <c r="I931" s="507"/>
      <c r="J931" s="507"/>
      <c r="K931" s="507"/>
      <c r="L931" s="507"/>
      <c r="M931" s="507"/>
      <c r="N931" s="507"/>
      <c r="O931" s="507"/>
      <c r="P931" s="507"/>
      <c r="Q931" s="507"/>
      <c r="R931" s="507"/>
      <c r="S931" s="507"/>
      <c r="T931" s="507"/>
      <c r="U931" s="507"/>
      <c r="V931" s="507"/>
      <c r="W931" s="507"/>
    </row>
    <row r="932" ht="35.25" customHeight="1">
      <c r="A932" s="507"/>
      <c r="B932" s="507"/>
      <c r="C932" s="507"/>
      <c r="D932" s="508"/>
      <c r="E932" s="507"/>
      <c r="F932" s="507"/>
      <c r="G932" s="507"/>
      <c r="H932" s="507"/>
      <c r="I932" s="507"/>
      <c r="J932" s="507"/>
      <c r="K932" s="507"/>
      <c r="L932" s="507"/>
      <c r="M932" s="507"/>
      <c r="N932" s="507"/>
      <c r="O932" s="507"/>
      <c r="P932" s="507"/>
      <c r="Q932" s="507"/>
      <c r="R932" s="507"/>
      <c r="S932" s="507"/>
      <c r="T932" s="507"/>
      <c r="U932" s="507"/>
      <c r="V932" s="507"/>
      <c r="W932" s="507"/>
    </row>
    <row r="933" ht="35.25" customHeight="1">
      <c r="A933" s="507"/>
      <c r="B933" s="507"/>
      <c r="C933" s="507"/>
      <c r="D933" s="508"/>
      <c r="E933" s="507"/>
      <c r="F933" s="507"/>
      <c r="G933" s="507"/>
      <c r="H933" s="507"/>
      <c r="I933" s="507"/>
      <c r="J933" s="507"/>
      <c r="K933" s="507"/>
      <c r="L933" s="507"/>
      <c r="M933" s="507"/>
      <c r="N933" s="507"/>
      <c r="O933" s="507"/>
      <c r="P933" s="507"/>
      <c r="Q933" s="507"/>
      <c r="R933" s="507"/>
      <c r="S933" s="507"/>
      <c r="T933" s="507"/>
      <c r="U933" s="507"/>
      <c r="V933" s="507"/>
      <c r="W933" s="507"/>
    </row>
    <row r="934" ht="35.25" customHeight="1">
      <c r="A934" s="507"/>
      <c r="B934" s="507"/>
      <c r="C934" s="507"/>
      <c r="D934" s="508"/>
      <c r="E934" s="507"/>
      <c r="F934" s="507"/>
      <c r="G934" s="507"/>
      <c r="H934" s="507"/>
      <c r="I934" s="507"/>
      <c r="J934" s="507"/>
      <c r="K934" s="507"/>
      <c r="L934" s="507"/>
      <c r="M934" s="507"/>
      <c r="N934" s="507"/>
      <c r="O934" s="507"/>
      <c r="P934" s="507"/>
      <c r="Q934" s="507"/>
      <c r="R934" s="507"/>
      <c r="S934" s="507"/>
      <c r="T934" s="507"/>
      <c r="U934" s="507"/>
      <c r="V934" s="507"/>
      <c r="W934" s="507"/>
    </row>
    <row r="935" ht="35.25" customHeight="1">
      <c r="A935" s="507"/>
      <c r="B935" s="507"/>
      <c r="C935" s="507"/>
      <c r="D935" s="508"/>
      <c r="E935" s="507"/>
      <c r="F935" s="507"/>
      <c r="G935" s="507"/>
      <c r="H935" s="507"/>
      <c r="I935" s="507"/>
      <c r="J935" s="507"/>
      <c r="K935" s="507"/>
      <c r="L935" s="507"/>
      <c r="M935" s="507"/>
      <c r="N935" s="507"/>
      <c r="O935" s="507"/>
      <c r="P935" s="507"/>
      <c r="Q935" s="507"/>
      <c r="R935" s="507"/>
      <c r="S935" s="507"/>
      <c r="T935" s="507"/>
      <c r="U935" s="507"/>
      <c r="V935" s="507"/>
      <c r="W935" s="507"/>
    </row>
    <row r="936" ht="35.25" customHeight="1">
      <c r="A936" s="507"/>
      <c r="B936" s="507"/>
      <c r="C936" s="507"/>
      <c r="D936" s="508"/>
      <c r="E936" s="507"/>
      <c r="F936" s="507"/>
      <c r="G936" s="507"/>
      <c r="H936" s="507"/>
      <c r="I936" s="507"/>
      <c r="J936" s="507"/>
      <c r="K936" s="507"/>
      <c r="L936" s="507"/>
      <c r="M936" s="507"/>
      <c r="N936" s="507"/>
      <c r="O936" s="507"/>
      <c r="P936" s="507"/>
      <c r="Q936" s="507"/>
      <c r="R936" s="507"/>
      <c r="S936" s="507"/>
      <c r="T936" s="507"/>
      <c r="U936" s="507"/>
      <c r="V936" s="507"/>
      <c r="W936" s="507"/>
    </row>
    <row r="937" ht="35.25" customHeight="1">
      <c r="A937" s="507"/>
      <c r="B937" s="507"/>
      <c r="C937" s="507"/>
      <c r="D937" s="508"/>
      <c r="E937" s="507"/>
      <c r="F937" s="507"/>
      <c r="G937" s="507"/>
      <c r="H937" s="507"/>
      <c r="I937" s="507"/>
      <c r="J937" s="507"/>
      <c r="K937" s="507"/>
      <c r="L937" s="507"/>
      <c r="M937" s="507"/>
      <c r="N937" s="507"/>
      <c r="O937" s="507"/>
      <c r="P937" s="507"/>
      <c r="Q937" s="507"/>
      <c r="R937" s="507"/>
      <c r="S937" s="507"/>
      <c r="T937" s="507"/>
      <c r="U937" s="507"/>
      <c r="V937" s="507"/>
      <c r="W937" s="507"/>
    </row>
    <row r="938" ht="35.25" customHeight="1">
      <c r="A938" s="507"/>
      <c r="B938" s="507"/>
      <c r="C938" s="507"/>
      <c r="D938" s="508"/>
      <c r="E938" s="507"/>
      <c r="F938" s="507"/>
      <c r="G938" s="507"/>
      <c r="H938" s="507"/>
      <c r="I938" s="507"/>
      <c r="J938" s="507"/>
      <c r="K938" s="507"/>
      <c r="L938" s="507"/>
      <c r="M938" s="507"/>
      <c r="N938" s="507"/>
      <c r="O938" s="507"/>
      <c r="P938" s="507"/>
      <c r="Q938" s="507"/>
      <c r="R938" s="507"/>
      <c r="S938" s="507"/>
      <c r="T938" s="507"/>
      <c r="U938" s="507"/>
      <c r="V938" s="507"/>
      <c r="W938" s="507"/>
    </row>
    <row r="939" ht="35.25" customHeight="1">
      <c r="A939" s="507"/>
      <c r="B939" s="507"/>
      <c r="C939" s="507"/>
      <c r="D939" s="508"/>
      <c r="E939" s="507"/>
      <c r="F939" s="507"/>
      <c r="G939" s="507"/>
      <c r="H939" s="507"/>
      <c r="I939" s="507"/>
      <c r="J939" s="507"/>
      <c r="K939" s="507"/>
      <c r="L939" s="507"/>
      <c r="M939" s="507"/>
      <c r="N939" s="507"/>
      <c r="O939" s="507"/>
      <c r="P939" s="507"/>
      <c r="Q939" s="507"/>
      <c r="R939" s="507"/>
      <c r="S939" s="507"/>
      <c r="T939" s="507"/>
      <c r="U939" s="507"/>
      <c r="V939" s="507"/>
      <c r="W939" s="507"/>
    </row>
    <row r="940" ht="35.25" customHeight="1">
      <c r="A940" s="507"/>
      <c r="B940" s="507"/>
      <c r="C940" s="507"/>
      <c r="D940" s="508"/>
      <c r="E940" s="507"/>
      <c r="F940" s="507"/>
      <c r="G940" s="507"/>
      <c r="H940" s="507"/>
      <c r="I940" s="507"/>
      <c r="J940" s="507"/>
      <c r="K940" s="507"/>
      <c r="L940" s="507"/>
      <c r="M940" s="507"/>
      <c r="N940" s="507"/>
      <c r="O940" s="507"/>
      <c r="P940" s="507"/>
      <c r="Q940" s="507"/>
      <c r="R940" s="507"/>
      <c r="S940" s="507"/>
      <c r="T940" s="507"/>
      <c r="U940" s="507"/>
      <c r="V940" s="507"/>
      <c r="W940" s="507"/>
    </row>
    <row r="941" ht="35.25" customHeight="1">
      <c r="A941" s="507"/>
      <c r="B941" s="507"/>
      <c r="C941" s="507"/>
      <c r="D941" s="508"/>
      <c r="E941" s="507"/>
      <c r="F941" s="507"/>
      <c r="G941" s="507"/>
      <c r="H941" s="507"/>
      <c r="I941" s="507"/>
      <c r="J941" s="507"/>
      <c r="K941" s="507"/>
      <c r="L941" s="507"/>
      <c r="M941" s="507"/>
      <c r="N941" s="507"/>
      <c r="O941" s="507"/>
      <c r="P941" s="507"/>
      <c r="Q941" s="507"/>
      <c r="R941" s="507"/>
      <c r="S941" s="507"/>
      <c r="T941" s="507"/>
      <c r="U941" s="507"/>
      <c r="V941" s="507"/>
      <c r="W941" s="507"/>
    </row>
    <row r="942" ht="35.25" customHeight="1">
      <c r="A942" s="507"/>
      <c r="B942" s="507"/>
      <c r="C942" s="507"/>
      <c r="D942" s="508"/>
      <c r="E942" s="507"/>
      <c r="F942" s="507"/>
      <c r="G942" s="507"/>
      <c r="H942" s="507"/>
      <c r="I942" s="507"/>
      <c r="J942" s="507"/>
      <c r="K942" s="507"/>
      <c r="L942" s="507"/>
      <c r="M942" s="507"/>
      <c r="N942" s="507"/>
      <c r="O942" s="507"/>
      <c r="P942" s="507"/>
      <c r="Q942" s="507"/>
      <c r="R942" s="507"/>
      <c r="S942" s="507"/>
      <c r="T942" s="507"/>
      <c r="U942" s="507"/>
      <c r="V942" s="507"/>
      <c r="W942" s="507"/>
    </row>
    <row r="943" ht="35.25" customHeight="1">
      <c r="A943" s="507"/>
      <c r="B943" s="507"/>
      <c r="C943" s="507"/>
      <c r="D943" s="508"/>
      <c r="E943" s="507"/>
      <c r="F943" s="507"/>
      <c r="G943" s="507"/>
      <c r="H943" s="507"/>
      <c r="I943" s="507"/>
      <c r="J943" s="507"/>
      <c r="K943" s="507"/>
      <c r="L943" s="507"/>
      <c r="M943" s="507"/>
      <c r="N943" s="507"/>
      <c r="O943" s="507"/>
      <c r="P943" s="507"/>
      <c r="Q943" s="507"/>
      <c r="R943" s="507"/>
      <c r="S943" s="507"/>
      <c r="T943" s="507"/>
      <c r="U943" s="507"/>
      <c r="V943" s="507"/>
      <c r="W943" s="507"/>
    </row>
    <row r="944" ht="35.25" customHeight="1">
      <c r="A944" s="507"/>
      <c r="B944" s="507"/>
      <c r="C944" s="507"/>
      <c r="D944" s="508"/>
      <c r="E944" s="507"/>
      <c r="F944" s="507"/>
      <c r="G944" s="507"/>
      <c r="H944" s="507"/>
      <c r="I944" s="507"/>
      <c r="J944" s="507"/>
      <c r="K944" s="507"/>
      <c r="L944" s="507"/>
      <c r="M944" s="507"/>
      <c r="N944" s="507"/>
      <c r="O944" s="507"/>
      <c r="P944" s="507"/>
      <c r="Q944" s="507"/>
      <c r="R944" s="507"/>
      <c r="S944" s="507"/>
      <c r="T944" s="507"/>
      <c r="U944" s="507"/>
      <c r="V944" s="507"/>
      <c r="W944" s="507"/>
    </row>
    <row r="945" ht="35.25" customHeight="1">
      <c r="A945" s="507"/>
      <c r="B945" s="507"/>
      <c r="C945" s="507"/>
      <c r="D945" s="508"/>
      <c r="E945" s="507"/>
      <c r="F945" s="507"/>
      <c r="G945" s="507"/>
      <c r="H945" s="507"/>
      <c r="I945" s="507"/>
      <c r="J945" s="507"/>
      <c r="K945" s="507"/>
      <c r="L945" s="507"/>
      <c r="M945" s="507"/>
      <c r="N945" s="507"/>
      <c r="O945" s="507"/>
      <c r="P945" s="507"/>
      <c r="Q945" s="507"/>
      <c r="R945" s="507"/>
      <c r="S945" s="507"/>
      <c r="T945" s="507"/>
      <c r="U945" s="507"/>
      <c r="V945" s="507"/>
      <c r="W945" s="507"/>
    </row>
    <row r="946" ht="35.25" customHeight="1">
      <c r="A946" s="507"/>
      <c r="B946" s="507"/>
      <c r="C946" s="507"/>
      <c r="D946" s="508"/>
      <c r="E946" s="507"/>
      <c r="F946" s="507"/>
      <c r="G946" s="507"/>
      <c r="H946" s="507"/>
      <c r="I946" s="507"/>
      <c r="J946" s="507"/>
      <c r="K946" s="507"/>
      <c r="L946" s="507"/>
      <c r="M946" s="507"/>
      <c r="N946" s="507"/>
      <c r="O946" s="507"/>
      <c r="P946" s="507"/>
      <c r="Q946" s="507"/>
      <c r="R946" s="507"/>
      <c r="S946" s="507"/>
      <c r="T946" s="507"/>
      <c r="U946" s="507"/>
      <c r="V946" s="507"/>
      <c r="W946" s="507"/>
    </row>
    <row r="947" ht="35.25" customHeight="1">
      <c r="A947" s="507"/>
      <c r="B947" s="507"/>
      <c r="C947" s="507"/>
      <c r="D947" s="508"/>
      <c r="E947" s="507"/>
      <c r="F947" s="507"/>
      <c r="G947" s="507"/>
      <c r="H947" s="507"/>
      <c r="I947" s="507"/>
      <c r="J947" s="507"/>
      <c r="K947" s="507"/>
      <c r="L947" s="507"/>
      <c r="M947" s="507"/>
      <c r="N947" s="507"/>
      <c r="O947" s="507"/>
      <c r="P947" s="507"/>
      <c r="Q947" s="507"/>
      <c r="R947" s="507"/>
      <c r="S947" s="507"/>
      <c r="T947" s="507"/>
      <c r="U947" s="507"/>
      <c r="V947" s="507"/>
      <c r="W947" s="507"/>
    </row>
    <row r="948" ht="35.25" customHeight="1">
      <c r="A948" s="507"/>
      <c r="B948" s="507"/>
      <c r="C948" s="507"/>
      <c r="D948" s="508"/>
      <c r="E948" s="507"/>
      <c r="F948" s="507"/>
      <c r="G948" s="507"/>
      <c r="H948" s="507"/>
      <c r="I948" s="507"/>
      <c r="J948" s="507"/>
      <c r="K948" s="507"/>
      <c r="L948" s="507"/>
      <c r="M948" s="507"/>
      <c r="N948" s="507"/>
      <c r="O948" s="507"/>
      <c r="P948" s="507"/>
      <c r="Q948" s="507"/>
      <c r="R948" s="507"/>
      <c r="S948" s="507"/>
      <c r="T948" s="507"/>
      <c r="U948" s="507"/>
      <c r="V948" s="507"/>
      <c r="W948" s="507"/>
    </row>
    <row r="949" ht="35.25" customHeight="1">
      <c r="A949" s="507"/>
      <c r="B949" s="507"/>
      <c r="C949" s="507"/>
      <c r="D949" s="508"/>
      <c r="E949" s="507"/>
      <c r="F949" s="507"/>
      <c r="G949" s="507"/>
      <c r="H949" s="507"/>
      <c r="I949" s="507"/>
      <c r="J949" s="507"/>
      <c r="K949" s="507"/>
      <c r="L949" s="507"/>
      <c r="M949" s="507"/>
      <c r="N949" s="507"/>
      <c r="O949" s="507"/>
      <c r="P949" s="507"/>
      <c r="Q949" s="507"/>
      <c r="R949" s="507"/>
      <c r="S949" s="507"/>
      <c r="T949" s="507"/>
      <c r="U949" s="507"/>
      <c r="V949" s="507"/>
      <c r="W949" s="507"/>
    </row>
    <row r="950" ht="35.25" customHeight="1">
      <c r="A950" s="507"/>
      <c r="B950" s="507"/>
      <c r="C950" s="507"/>
      <c r="D950" s="508"/>
      <c r="E950" s="507"/>
      <c r="F950" s="507"/>
      <c r="G950" s="507"/>
      <c r="H950" s="507"/>
      <c r="I950" s="507"/>
      <c r="J950" s="507"/>
      <c r="K950" s="507"/>
      <c r="L950" s="507"/>
      <c r="M950" s="507"/>
      <c r="N950" s="507"/>
      <c r="O950" s="507"/>
      <c r="P950" s="507"/>
      <c r="Q950" s="507"/>
      <c r="R950" s="507"/>
      <c r="S950" s="507"/>
      <c r="T950" s="507"/>
      <c r="U950" s="507"/>
      <c r="V950" s="507"/>
      <c r="W950" s="507"/>
    </row>
    <row r="951" ht="35.25" customHeight="1">
      <c r="A951" s="507"/>
      <c r="B951" s="507"/>
      <c r="C951" s="507"/>
      <c r="D951" s="508"/>
      <c r="E951" s="507"/>
      <c r="F951" s="507"/>
      <c r="G951" s="507"/>
      <c r="H951" s="507"/>
      <c r="I951" s="507"/>
      <c r="J951" s="507"/>
      <c r="K951" s="507"/>
      <c r="L951" s="507"/>
      <c r="M951" s="507"/>
      <c r="N951" s="507"/>
      <c r="O951" s="507"/>
      <c r="P951" s="507"/>
      <c r="Q951" s="507"/>
      <c r="R951" s="507"/>
      <c r="S951" s="507"/>
      <c r="T951" s="507"/>
      <c r="U951" s="507"/>
      <c r="V951" s="507"/>
      <c r="W951" s="507"/>
    </row>
    <row r="952" ht="35.25" customHeight="1">
      <c r="A952" s="507"/>
      <c r="B952" s="507"/>
      <c r="C952" s="507"/>
      <c r="D952" s="508"/>
      <c r="E952" s="507"/>
      <c r="F952" s="507"/>
      <c r="G952" s="507"/>
      <c r="H952" s="507"/>
      <c r="I952" s="507"/>
      <c r="J952" s="507"/>
      <c r="K952" s="507"/>
      <c r="L952" s="507"/>
      <c r="M952" s="507"/>
      <c r="N952" s="507"/>
      <c r="O952" s="507"/>
      <c r="P952" s="507"/>
      <c r="Q952" s="507"/>
      <c r="R952" s="507"/>
      <c r="S952" s="507"/>
      <c r="T952" s="507"/>
      <c r="U952" s="507"/>
      <c r="V952" s="507"/>
      <c r="W952" s="507"/>
    </row>
    <row r="953" ht="35.25" customHeight="1">
      <c r="A953" s="507"/>
      <c r="B953" s="507"/>
      <c r="C953" s="507"/>
      <c r="D953" s="508"/>
      <c r="E953" s="507"/>
      <c r="F953" s="507"/>
      <c r="G953" s="507"/>
      <c r="H953" s="507"/>
      <c r="I953" s="507"/>
      <c r="J953" s="507"/>
      <c r="K953" s="507"/>
      <c r="L953" s="507"/>
      <c r="M953" s="507"/>
      <c r="N953" s="507"/>
      <c r="O953" s="507"/>
      <c r="P953" s="507"/>
      <c r="Q953" s="507"/>
      <c r="R953" s="507"/>
      <c r="S953" s="507"/>
      <c r="T953" s="507"/>
      <c r="U953" s="507"/>
      <c r="V953" s="507"/>
      <c r="W953" s="507"/>
    </row>
    <row r="954" ht="35.25" customHeight="1">
      <c r="A954" s="507"/>
      <c r="B954" s="507"/>
      <c r="C954" s="507"/>
      <c r="D954" s="508"/>
      <c r="E954" s="507"/>
      <c r="F954" s="507"/>
      <c r="G954" s="507"/>
      <c r="H954" s="507"/>
      <c r="I954" s="507"/>
      <c r="J954" s="507"/>
      <c r="K954" s="507"/>
      <c r="L954" s="507"/>
      <c r="M954" s="507"/>
      <c r="N954" s="507"/>
      <c r="O954" s="507"/>
      <c r="P954" s="507"/>
      <c r="Q954" s="507"/>
      <c r="R954" s="507"/>
      <c r="S954" s="507"/>
      <c r="T954" s="507"/>
      <c r="U954" s="507"/>
      <c r="V954" s="507"/>
      <c r="W954" s="507"/>
    </row>
    <row r="955" ht="35.25" customHeight="1">
      <c r="A955" s="507"/>
      <c r="B955" s="507"/>
      <c r="C955" s="507"/>
      <c r="D955" s="508"/>
      <c r="E955" s="507"/>
      <c r="F955" s="507"/>
      <c r="G955" s="507"/>
      <c r="H955" s="507"/>
      <c r="I955" s="507"/>
      <c r="J955" s="507"/>
      <c r="K955" s="507"/>
      <c r="L955" s="507"/>
      <c r="M955" s="507"/>
      <c r="N955" s="507"/>
      <c r="O955" s="507"/>
      <c r="P955" s="507"/>
      <c r="Q955" s="507"/>
      <c r="R955" s="507"/>
      <c r="S955" s="507"/>
      <c r="T955" s="507"/>
      <c r="U955" s="507"/>
      <c r="V955" s="507"/>
      <c r="W955" s="507"/>
    </row>
    <row r="956" ht="35.25" customHeight="1">
      <c r="A956" s="507"/>
      <c r="B956" s="507"/>
      <c r="C956" s="507"/>
      <c r="D956" s="508"/>
      <c r="E956" s="507"/>
      <c r="F956" s="507"/>
      <c r="G956" s="507"/>
      <c r="H956" s="507"/>
      <c r="I956" s="507"/>
      <c r="J956" s="507"/>
      <c r="K956" s="507"/>
      <c r="L956" s="507"/>
      <c r="M956" s="507"/>
      <c r="N956" s="507"/>
      <c r="O956" s="507"/>
      <c r="P956" s="507"/>
      <c r="Q956" s="507"/>
      <c r="R956" s="507"/>
      <c r="S956" s="507"/>
      <c r="T956" s="507"/>
      <c r="U956" s="507"/>
      <c r="V956" s="507"/>
      <c r="W956" s="507"/>
    </row>
    <row r="957" ht="35.25" customHeight="1">
      <c r="A957" s="507"/>
      <c r="B957" s="507"/>
      <c r="C957" s="507"/>
      <c r="D957" s="508"/>
      <c r="E957" s="507"/>
      <c r="F957" s="507"/>
      <c r="G957" s="507"/>
      <c r="H957" s="507"/>
      <c r="I957" s="507"/>
      <c r="J957" s="507"/>
      <c r="K957" s="507"/>
      <c r="L957" s="507"/>
      <c r="M957" s="507"/>
      <c r="N957" s="507"/>
      <c r="O957" s="507"/>
      <c r="P957" s="507"/>
      <c r="Q957" s="507"/>
      <c r="R957" s="507"/>
      <c r="S957" s="507"/>
      <c r="T957" s="507"/>
      <c r="U957" s="507"/>
      <c r="V957" s="507"/>
      <c r="W957" s="507"/>
    </row>
    <row r="958" ht="35.25" customHeight="1">
      <c r="A958" s="507"/>
      <c r="B958" s="507"/>
      <c r="C958" s="507"/>
      <c r="D958" s="508"/>
      <c r="E958" s="507"/>
      <c r="F958" s="507"/>
      <c r="G958" s="507"/>
      <c r="H958" s="507"/>
      <c r="I958" s="507"/>
      <c r="J958" s="507"/>
      <c r="K958" s="507"/>
      <c r="L958" s="507"/>
      <c r="M958" s="507"/>
      <c r="N958" s="507"/>
      <c r="O958" s="507"/>
      <c r="P958" s="507"/>
      <c r="Q958" s="507"/>
      <c r="R958" s="507"/>
      <c r="S958" s="507"/>
      <c r="T958" s="507"/>
      <c r="U958" s="507"/>
      <c r="V958" s="507"/>
      <c r="W958" s="507"/>
    </row>
    <row r="959" ht="35.25" customHeight="1">
      <c r="A959" s="507"/>
      <c r="B959" s="507"/>
      <c r="C959" s="507"/>
      <c r="D959" s="508"/>
      <c r="E959" s="507"/>
      <c r="F959" s="507"/>
      <c r="G959" s="507"/>
      <c r="H959" s="507"/>
      <c r="I959" s="507"/>
      <c r="J959" s="507"/>
      <c r="K959" s="507"/>
      <c r="L959" s="507"/>
      <c r="M959" s="507"/>
      <c r="N959" s="507"/>
      <c r="O959" s="507"/>
      <c r="P959" s="507"/>
      <c r="Q959" s="507"/>
      <c r="R959" s="507"/>
      <c r="S959" s="507"/>
      <c r="T959" s="507"/>
      <c r="U959" s="507"/>
      <c r="V959" s="507"/>
      <c r="W959" s="507"/>
    </row>
    <row r="960" ht="35.25" customHeight="1">
      <c r="A960" s="507"/>
      <c r="B960" s="507"/>
      <c r="C960" s="507"/>
      <c r="D960" s="508"/>
      <c r="E960" s="507"/>
      <c r="F960" s="507"/>
      <c r="G960" s="507"/>
      <c r="H960" s="507"/>
      <c r="I960" s="507"/>
      <c r="J960" s="507"/>
      <c r="K960" s="507"/>
      <c r="L960" s="507"/>
      <c r="M960" s="507"/>
      <c r="N960" s="507"/>
      <c r="O960" s="507"/>
      <c r="P960" s="507"/>
      <c r="Q960" s="507"/>
      <c r="R960" s="507"/>
      <c r="S960" s="507"/>
      <c r="T960" s="507"/>
      <c r="U960" s="507"/>
      <c r="V960" s="507"/>
      <c r="W960" s="507"/>
    </row>
    <row r="961" ht="35.25" customHeight="1">
      <c r="A961" s="507"/>
      <c r="B961" s="507"/>
      <c r="C961" s="507"/>
      <c r="D961" s="508"/>
      <c r="E961" s="507"/>
      <c r="F961" s="507"/>
      <c r="G961" s="507"/>
      <c r="H961" s="507"/>
      <c r="I961" s="507"/>
      <c r="J961" s="507"/>
      <c r="K961" s="507"/>
      <c r="L961" s="507"/>
      <c r="M961" s="507"/>
      <c r="N961" s="507"/>
      <c r="O961" s="507"/>
      <c r="P961" s="507"/>
      <c r="Q961" s="507"/>
      <c r="R961" s="507"/>
      <c r="S961" s="507"/>
      <c r="T961" s="507"/>
      <c r="U961" s="507"/>
      <c r="V961" s="507"/>
      <c r="W961" s="507"/>
    </row>
    <row r="962" ht="35.25" customHeight="1">
      <c r="A962" s="507"/>
      <c r="B962" s="507"/>
      <c r="C962" s="507"/>
      <c r="D962" s="508"/>
      <c r="E962" s="507"/>
      <c r="F962" s="507"/>
      <c r="G962" s="507"/>
      <c r="H962" s="507"/>
      <c r="I962" s="507"/>
      <c r="J962" s="507"/>
      <c r="K962" s="507"/>
      <c r="L962" s="507"/>
      <c r="M962" s="507"/>
      <c r="N962" s="507"/>
      <c r="O962" s="507"/>
      <c r="P962" s="507"/>
      <c r="Q962" s="507"/>
      <c r="R962" s="507"/>
      <c r="S962" s="507"/>
      <c r="T962" s="507"/>
      <c r="U962" s="507"/>
      <c r="V962" s="507"/>
      <c r="W962" s="507"/>
    </row>
    <row r="963" ht="35.25" customHeight="1">
      <c r="A963" s="507"/>
      <c r="B963" s="507"/>
      <c r="C963" s="507"/>
      <c r="D963" s="508"/>
      <c r="E963" s="507"/>
      <c r="F963" s="507"/>
      <c r="G963" s="507"/>
      <c r="H963" s="507"/>
      <c r="I963" s="507"/>
      <c r="J963" s="507"/>
      <c r="K963" s="507"/>
      <c r="L963" s="507"/>
      <c r="M963" s="507"/>
      <c r="N963" s="507"/>
      <c r="O963" s="507"/>
      <c r="P963" s="507"/>
      <c r="Q963" s="507"/>
      <c r="R963" s="507"/>
      <c r="S963" s="507"/>
      <c r="T963" s="507"/>
      <c r="U963" s="507"/>
      <c r="V963" s="507"/>
      <c r="W963" s="507"/>
    </row>
    <row r="964" ht="35.25" customHeight="1">
      <c r="A964" s="507"/>
      <c r="B964" s="507"/>
      <c r="C964" s="507"/>
      <c r="D964" s="508"/>
      <c r="E964" s="507"/>
      <c r="F964" s="507"/>
      <c r="G964" s="507"/>
      <c r="H964" s="507"/>
      <c r="I964" s="507"/>
      <c r="J964" s="507"/>
      <c r="K964" s="507"/>
      <c r="L964" s="507"/>
      <c r="M964" s="507"/>
      <c r="N964" s="507"/>
      <c r="O964" s="507"/>
      <c r="P964" s="507"/>
      <c r="Q964" s="507"/>
      <c r="R964" s="507"/>
      <c r="S964" s="507"/>
      <c r="T964" s="507"/>
      <c r="U964" s="507"/>
      <c r="V964" s="507"/>
      <c r="W964" s="507"/>
    </row>
    <row r="965" ht="35.25" customHeight="1">
      <c r="A965" s="507"/>
      <c r="B965" s="507"/>
      <c r="C965" s="507"/>
      <c r="D965" s="508"/>
      <c r="E965" s="507"/>
      <c r="F965" s="507"/>
      <c r="G965" s="507"/>
      <c r="H965" s="507"/>
      <c r="I965" s="507"/>
      <c r="J965" s="507"/>
      <c r="K965" s="507"/>
      <c r="L965" s="507"/>
      <c r="M965" s="507"/>
      <c r="N965" s="507"/>
      <c r="O965" s="507"/>
      <c r="P965" s="507"/>
      <c r="Q965" s="507"/>
      <c r="R965" s="507"/>
      <c r="S965" s="507"/>
      <c r="T965" s="507"/>
      <c r="U965" s="507"/>
      <c r="V965" s="507"/>
      <c r="W965" s="507"/>
    </row>
    <row r="966" ht="35.25" customHeight="1">
      <c r="A966" s="507"/>
      <c r="B966" s="507"/>
      <c r="C966" s="507"/>
      <c r="D966" s="508"/>
      <c r="E966" s="507"/>
      <c r="F966" s="507"/>
      <c r="G966" s="507"/>
      <c r="H966" s="507"/>
      <c r="I966" s="507"/>
      <c r="J966" s="507"/>
      <c r="K966" s="507"/>
      <c r="L966" s="507"/>
      <c r="M966" s="507"/>
      <c r="N966" s="507"/>
      <c r="O966" s="507"/>
      <c r="P966" s="507"/>
      <c r="Q966" s="507"/>
      <c r="R966" s="507"/>
      <c r="S966" s="507"/>
      <c r="T966" s="507"/>
      <c r="U966" s="507"/>
      <c r="V966" s="507"/>
      <c r="W966" s="507"/>
    </row>
    <row r="967" ht="35.25" customHeight="1">
      <c r="A967" s="507"/>
      <c r="B967" s="507"/>
      <c r="C967" s="507"/>
      <c r="D967" s="508"/>
      <c r="E967" s="507"/>
      <c r="F967" s="507"/>
      <c r="G967" s="507"/>
      <c r="H967" s="507"/>
      <c r="I967" s="507"/>
      <c r="J967" s="507"/>
      <c r="K967" s="507"/>
      <c r="L967" s="507"/>
      <c r="M967" s="507"/>
      <c r="N967" s="507"/>
      <c r="O967" s="507"/>
      <c r="P967" s="507"/>
      <c r="Q967" s="507"/>
      <c r="R967" s="507"/>
      <c r="S967" s="507"/>
      <c r="T967" s="507"/>
      <c r="U967" s="507"/>
      <c r="V967" s="507"/>
      <c r="W967" s="507"/>
    </row>
    <row r="968" ht="35.25" customHeight="1">
      <c r="A968" s="507"/>
      <c r="B968" s="507"/>
      <c r="C968" s="507"/>
      <c r="D968" s="508"/>
      <c r="E968" s="507"/>
      <c r="F968" s="507"/>
      <c r="G968" s="507"/>
      <c r="H968" s="507"/>
      <c r="I968" s="507"/>
      <c r="J968" s="507"/>
      <c r="K968" s="507"/>
      <c r="L968" s="507"/>
      <c r="M968" s="507"/>
      <c r="N968" s="507"/>
      <c r="O968" s="507"/>
      <c r="P968" s="507"/>
      <c r="Q968" s="507"/>
      <c r="R968" s="507"/>
      <c r="S968" s="507"/>
      <c r="T968" s="507"/>
      <c r="U968" s="507"/>
      <c r="V968" s="507"/>
      <c r="W968" s="507"/>
    </row>
    <row r="969" ht="35.25" customHeight="1">
      <c r="A969" s="507"/>
      <c r="B969" s="507"/>
      <c r="C969" s="507"/>
      <c r="D969" s="508"/>
      <c r="E969" s="507"/>
      <c r="F969" s="507"/>
      <c r="G969" s="507"/>
      <c r="H969" s="507"/>
      <c r="I969" s="507"/>
      <c r="J969" s="507"/>
      <c r="K969" s="507"/>
      <c r="L969" s="507"/>
      <c r="M969" s="507"/>
      <c r="N969" s="507"/>
      <c r="O969" s="507"/>
      <c r="P969" s="507"/>
      <c r="Q969" s="507"/>
      <c r="R969" s="507"/>
      <c r="S969" s="507"/>
      <c r="T969" s="507"/>
      <c r="U969" s="507"/>
      <c r="V969" s="507"/>
      <c r="W969" s="507"/>
    </row>
    <row r="970" ht="35.25" customHeight="1">
      <c r="A970" s="507"/>
      <c r="B970" s="507"/>
      <c r="C970" s="507"/>
      <c r="D970" s="508"/>
      <c r="E970" s="507"/>
      <c r="F970" s="507"/>
      <c r="G970" s="507"/>
      <c r="H970" s="507"/>
      <c r="I970" s="507"/>
      <c r="J970" s="507"/>
      <c r="K970" s="507"/>
      <c r="L970" s="507"/>
      <c r="M970" s="507"/>
      <c r="N970" s="507"/>
      <c r="O970" s="507"/>
      <c r="P970" s="507"/>
      <c r="Q970" s="507"/>
      <c r="R970" s="507"/>
      <c r="S970" s="507"/>
      <c r="T970" s="507"/>
      <c r="U970" s="507"/>
      <c r="V970" s="507"/>
      <c r="W970" s="507"/>
    </row>
    <row r="971" ht="35.25" customHeight="1">
      <c r="A971" s="507"/>
      <c r="B971" s="507"/>
      <c r="C971" s="507"/>
      <c r="D971" s="508"/>
      <c r="E971" s="507"/>
      <c r="F971" s="507"/>
      <c r="G971" s="507"/>
      <c r="H971" s="507"/>
      <c r="I971" s="507"/>
      <c r="J971" s="507"/>
      <c r="K971" s="507"/>
      <c r="L971" s="507"/>
      <c r="M971" s="507"/>
      <c r="N971" s="507"/>
      <c r="O971" s="507"/>
      <c r="P971" s="507"/>
      <c r="Q971" s="507"/>
      <c r="R971" s="507"/>
      <c r="S971" s="507"/>
      <c r="T971" s="507"/>
      <c r="U971" s="507"/>
      <c r="V971" s="507"/>
      <c r="W971" s="507"/>
    </row>
    <row r="972" ht="35.25" customHeight="1">
      <c r="A972" s="507"/>
      <c r="B972" s="507"/>
      <c r="C972" s="507"/>
      <c r="D972" s="508"/>
      <c r="E972" s="507"/>
      <c r="F972" s="507"/>
      <c r="G972" s="507"/>
      <c r="H972" s="507"/>
      <c r="I972" s="507"/>
      <c r="J972" s="507"/>
      <c r="K972" s="507"/>
      <c r="L972" s="507"/>
      <c r="M972" s="507"/>
      <c r="N972" s="507"/>
      <c r="O972" s="507"/>
      <c r="P972" s="507"/>
      <c r="Q972" s="507"/>
      <c r="R972" s="507"/>
      <c r="S972" s="507"/>
      <c r="T972" s="507"/>
      <c r="U972" s="507"/>
      <c r="V972" s="507"/>
      <c r="W972" s="507"/>
    </row>
    <row r="973" ht="35.25" customHeight="1">
      <c r="A973" s="507"/>
      <c r="B973" s="507"/>
      <c r="C973" s="507"/>
      <c r="D973" s="508"/>
      <c r="E973" s="507"/>
      <c r="F973" s="507"/>
      <c r="G973" s="507"/>
      <c r="H973" s="507"/>
      <c r="I973" s="507"/>
      <c r="J973" s="507"/>
      <c r="K973" s="507"/>
      <c r="L973" s="507"/>
      <c r="M973" s="507"/>
      <c r="N973" s="507"/>
      <c r="O973" s="507"/>
      <c r="P973" s="507"/>
      <c r="Q973" s="507"/>
      <c r="R973" s="507"/>
      <c r="S973" s="507"/>
      <c r="T973" s="507"/>
      <c r="U973" s="507"/>
      <c r="V973" s="507"/>
      <c r="W973" s="507"/>
    </row>
    <row r="974" ht="35.25" customHeight="1">
      <c r="A974" s="507"/>
      <c r="B974" s="507"/>
      <c r="C974" s="507"/>
      <c r="D974" s="508"/>
      <c r="E974" s="507"/>
      <c r="F974" s="507"/>
      <c r="G974" s="507"/>
      <c r="H974" s="507"/>
      <c r="I974" s="507"/>
      <c r="J974" s="507"/>
      <c r="K974" s="507"/>
      <c r="L974" s="507"/>
      <c r="M974" s="507"/>
      <c r="N974" s="507"/>
      <c r="O974" s="507"/>
      <c r="P974" s="507"/>
      <c r="Q974" s="507"/>
      <c r="R974" s="507"/>
      <c r="S974" s="507"/>
      <c r="T974" s="507"/>
      <c r="U974" s="507"/>
      <c r="V974" s="507"/>
      <c r="W974" s="507"/>
    </row>
    <row r="975" ht="35.25" customHeight="1">
      <c r="A975" s="507"/>
      <c r="B975" s="507"/>
      <c r="C975" s="507"/>
      <c r="D975" s="508"/>
      <c r="E975" s="507"/>
      <c r="F975" s="507"/>
      <c r="G975" s="507"/>
      <c r="H975" s="507"/>
      <c r="I975" s="507"/>
      <c r="J975" s="507"/>
      <c r="K975" s="507"/>
      <c r="L975" s="507"/>
      <c r="M975" s="507"/>
      <c r="N975" s="507"/>
      <c r="O975" s="507"/>
      <c r="P975" s="507"/>
      <c r="Q975" s="507"/>
      <c r="R975" s="507"/>
      <c r="S975" s="507"/>
      <c r="T975" s="507"/>
      <c r="U975" s="507"/>
      <c r="V975" s="507"/>
      <c r="W975" s="507"/>
    </row>
    <row r="976" ht="35.25" customHeight="1">
      <c r="A976" s="507"/>
      <c r="B976" s="507"/>
      <c r="C976" s="507"/>
      <c r="D976" s="508"/>
      <c r="E976" s="507"/>
      <c r="F976" s="507"/>
      <c r="G976" s="507"/>
      <c r="H976" s="507"/>
      <c r="I976" s="507"/>
      <c r="J976" s="507"/>
      <c r="K976" s="507"/>
      <c r="L976" s="507"/>
      <c r="M976" s="507"/>
      <c r="N976" s="507"/>
      <c r="O976" s="507"/>
      <c r="P976" s="507"/>
      <c r="Q976" s="507"/>
      <c r="R976" s="507"/>
      <c r="S976" s="507"/>
      <c r="T976" s="507"/>
      <c r="U976" s="507"/>
      <c r="V976" s="507"/>
      <c r="W976" s="507"/>
    </row>
    <row r="977" ht="35.25" customHeight="1">
      <c r="A977" s="507"/>
      <c r="B977" s="507"/>
      <c r="C977" s="507"/>
      <c r="D977" s="508"/>
      <c r="E977" s="507"/>
      <c r="F977" s="507"/>
      <c r="G977" s="507"/>
      <c r="H977" s="507"/>
      <c r="I977" s="507"/>
      <c r="J977" s="507"/>
      <c r="K977" s="507"/>
      <c r="L977" s="507"/>
      <c r="M977" s="507"/>
      <c r="N977" s="507"/>
      <c r="O977" s="507"/>
      <c r="P977" s="507"/>
      <c r="Q977" s="507"/>
      <c r="R977" s="507"/>
      <c r="S977" s="507"/>
      <c r="T977" s="507"/>
      <c r="U977" s="507"/>
      <c r="V977" s="507"/>
      <c r="W977" s="507"/>
    </row>
    <row r="978" ht="35.25" customHeight="1">
      <c r="A978" s="507"/>
      <c r="B978" s="507"/>
      <c r="C978" s="507"/>
      <c r="D978" s="508"/>
      <c r="E978" s="507"/>
      <c r="F978" s="507"/>
      <c r="G978" s="507"/>
      <c r="H978" s="507"/>
      <c r="I978" s="507"/>
      <c r="J978" s="507"/>
      <c r="K978" s="507"/>
      <c r="L978" s="507"/>
      <c r="M978" s="507"/>
      <c r="N978" s="507"/>
      <c r="O978" s="507"/>
      <c r="P978" s="507"/>
      <c r="Q978" s="507"/>
      <c r="R978" s="507"/>
      <c r="S978" s="507"/>
      <c r="T978" s="507"/>
      <c r="U978" s="507"/>
      <c r="V978" s="507"/>
      <c r="W978" s="507"/>
    </row>
    <row r="979" ht="35.25" customHeight="1">
      <c r="A979" s="507"/>
      <c r="B979" s="507"/>
      <c r="C979" s="507"/>
      <c r="D979" s="508"/>
      <c r="E979" s="507"/>
      <c r="F979" s="507"/>
      <c r="G979" s="507"/>
      <c r="H979" s="507"/>
      <c r="I979" s="507"/>
      <c r="J979" s="507"/>
      <c r="K979" s="507"/>
      <c r="L979" s="507"/>
      <c r="M979" s="507"/>
      <c r="N979" s="507"/>
      <c r="O979" s="507"/>
      <c r="P979" s="507"/>
      <c r="Q979" s="507"/>
      <c r="R979" s="507"/>
      <c r="S979" s="507"/>
      <c r="T979" s="507"/>
      <c r="U979" s="507"/>
      <c r="V979" s="507"/>
      <c r="W979" s="507"/>
    </row>
    <row r="980" ht="35.25" customHeight="1">
      <c r="A980" s="507"/>
      <c r="B980" s="507"/>
      <c r="C980" s="507"/>
      <c r="D980" s="508"/>
      <c r="E980" s="507"/>
      <c r="F980" s="507"/>
      <c r="G980" s="507"/>
      <c r="H980" s="507"/>
      <c r="I980" s="507"/>
      <c r="J980" s="507"/>
      <c r="K980" s="507"/>
      <c r="L980" s="507"/>
      <c r="M980" s="507"/>
      <c r="N980" s="507"/>
      <c r="O980" s="507"/>
      <c r="P980" s="507"/>
      <c r="Q980" s="507"/>
      <c r="R980" s="507"/>
      <c r="S980" s="507"/>
      <c r="T980" s="507"/>
      <c r="U980" s="507"/>
      <c r="V980" s="507"/>
      <c r="W980" s="507"/>
    </row>
    <row r="981" ht="35.25" customHeight="1">
      <c r="A981" s="507"/>
      <c r="B981" s="507"/>
      <c r="C981" s="507"/>
      <c r="D981" s="508"/>
      <c r="E981" s="507"/>
      <c r="F981" s="507"/>
      <c r="G981" s="507"/>
      <c r="H981" s="507"/>
      <c r="I981" s="507"/>
      <c r="J981" s="507"/>
      <c r="K981" s="507"/>
      <c r="L981" s="507"/>
      <c r="M981" s="507"/>
      <c r="N981" s="507"/>
      <c r="O981" s="507"/>
      <c r="P981" s="507"/>
      <c r="Q981" s="507"/>
      <c r="R981" s="507"/>
      <c r="S981" s="507"/>
      <c r="T981" s="507"/>
      <c r="U981" s="507"/>
      <c r="V981" s="507"/>
      <c r="W981" s="507"/>
    </row>
    <row r="982" ht="35.25" customHeight="1">
      <c r="A982" s="507"/>
      <c r="B982" s="507"/>
      <c r="C982" s="507"/>
      <c r="D982" s="508"/>
      <c r="E982" s="507"/>
      <c r="F982" s="507"/>
      <c r="G982" s="507"/>
      <c r="H982" s="507"/>
      <c r="I982" s="507"/>
      <c r="J982" s="507"/>
      <c r="K982" s="507"/>
      <c r="L982" s="507"/>
      <c r="M982" s="507"/>
      <c r="N982" s="507"/>
      <c r="O982" s="507"/>
      <c r="P982" s="507"/>
      <c r="Q982" s="507"/>
      <c r="R982" s="507"/>
      <c r="S982" s="507"/>
      <c r="T982" s="507"/>
      <c r="U982" s="507"/>
      <c r="V982" s="507"/>
      <c r="W982" s="507"/>
    </row>
    <row r="983" ht="35.25" customHeight="1">
      <c r="A983" s="507"/>
      <c r="B983" s="507"/>
      <c r="C983" s="507"/>
      <c r="D983" s="508"/>
      <c r="E983" s="507"/>
      <c r="F983" s="507"/>
      <c r="G983" s="507"/>
      <c r="H983" s="507"/>
      <c r="I983" s="507"/>
      <c r="J983" s="507"/>
      <c r="K983" s="507"/>
      <c r="L983" s="507"/>
      <c r="M983" s="507"/>
      <c r="N983" s="507"/>
      <c r="O983" s="507"/>
      <c r="P983" s="507"/>
      <c r="Q983" s="507"/>
      <c r="R983" s="507"/>
      <c r="S983" s="507"/>
      <c r="T983" s="507"/>
      <c r="U983" s="507"/>
      <c r="V983" s="507"/>
      <c r="W983" s="507"/>
    </row>
    <row r="984" ht="35.25" customHeight="1">
      <c r="A984" s="507"/>
      <c r="B984" s="507"/>
      <c r="C984" s="507"/>
      <c r="D984" s="508"/>
      <c r="E984" s="507"/>
      <c r="F984" s="507"/>
      <c r="G984" s="507"/>
      <c r="H984" s="507"/>
      <c r="I984" s="507"/>
      <c r="J984" s="507"/>
      <c r="K984" s="507"/>
      <c r="L984" s="507"/>
      <c r="M984" s="507"/>
      <c r="N984" s="507"/>
      <c r="O984" s="507"/>
      <c r="P984" s="507"/>
      <c r="Q984" s="507"/>
      <c r="R984" s="507"/>
      <c r="S984" s="507"/>
      <c r="T984" s="507"/>
      <c r="U984" s="507"/>
      <c r="V984" s="507"/>
      <c r="W984" s="507"/>
    </row>
    <row r="985" ht="35.25" customHeight="1">
      <c r="A985" s="507"/>
      <c r="B985" s="507"/>
      <c r="C985" s="507"/>
      <c r="D985" s="508"/>
      <c r="E985" s="507"/>
      <c r="F985" s="507"/>
      <c r="G985" s="507"/>
      <c r="H985" s="507"/>
      <c r="I985" s="507"/>
      <c r="J985" s="507"/>
      <c r="K985" s="507"/>
      <c r="L985" s="507"/>
      <c r="M985" s="507"/>
      <c r="N985" s="507"/>
      <c r="O985" s="507"/>
      <c r="P985" s="507"/>
      <c r="Q985" s="507"/>
      <c r="R985" s="507"/>
      <c r="S985" s="507"/>
      <c r="T985" s="507"/>
      <c r="U985" s="507"/>
      <c r="V985" s="507"/>
      <c r="W985" s="507"/>
    </row>
    <row r="986" ht="35.25" customHeight="1">
      <c r="A986" s="507"/>
      <c r="B986" s="507"/>
      <c r="C986" s="507"/>
      <c r="D986" s="508"/>
      <c r="E986" s="507"/>
      <c r="F986" s="507"/>
      <c r="G986" s="507"/>
      <c r="H986" s="507"/>
      <c r="I986" s="507"/>
      <c r="J986" s="507"/>
      <c r="K986" s="507"/>
      <c r="L986" s="507"/>
      <c r="M986" s="507"/>
      <c r="N986" s="507"/>
      <c r="O986" s="507"/>
      <c r="P986" s="507"/>
      <c r="Q986" s="507"/>
      <c r="R986" s="507"/>
      <c r="S986" s="507"/>
      <c r="T986" s="507"/>
      <c r="U986" s="507"/>
      <c r="V986" s="507"/>
      <c r="W986" s="507"/>
    </row>
    <row r="987" ht="35.25" customHeight="1">
      <c r="A987" s="507"/>
      <c r="B987" s="507"/>
      <c r="C987" s="507"/>
      <c r="D987" s="508"/>
      <c r="E987" s="507"/>
      <c r="F987" s="507"/>
      <c r="G987" s="507"/>
      <c r="H987" s="507"/>
      <c r="I987" s="507"/>
      <c r="J987" s="507"/>
      <c r="K987" s="507"/>
      <c r="L987" s="507"/>
      <c r="M987" s="507"/>
      <c r="N987" s="507"/>
      <c r="O987" s="507"/>
      <c r="P987" s="507"/>
      <c r="Q987" s="507"/>
      <c r="R987" s="507"/>
      <c r="S987" s="507"/>
      <c r="T987" s="507"/>
      <c r="U987" s="507"/>
      <c r="V987" s="507"/>
      <c r="W987" s="507"/>
    </row>
    <row r="988" ht="35.25" customHeight="1">
      <c r="A988" s="507"/>
      <c r="B988" s="507"/>
      <c r="C988" s="507"/>
      <c r="D988" s="508"/>
      <c r="E988" s="507"/>
      <c r="F988" s="507"/>
      <c r="G988" s="507"/>
      <c r="H988" s="507"/>
      <c r="I988" s="507"/>
      <c r="J988" s="507"/>
      <c r="K988" s="507"/>
      <c r="L988" s="507"/>
      <c r="M988" s="507"/>
      <c r="N988" s="507"/>
      <c r="O988" s="507"/>
      <c r="P988" s="507"/>
      <c r="Q988" s="507"/>
      <c r="R988" s="507"/>
      <c r="S988" s="507"/>
      <c r="T988" s="507"/>
      <c r="U988" s="507"/>
      <c r="V988" s="507"/>
      <c r="W988" s="507"/>
    </row>
    <row r="989" ht="35.25" customHeight="1">
      <c r="A989" s="507"/>
      <c r="B989" s="507"/>
      <c r="C989" s="507"/>
      <c r="D989" s="508"/>
      <c r="E989" s="507"/>
      <c r="F989" s="507"/>
      <c r="G989" s="507"/>
      <c r="H989" s="507"/>
      <c r="I989" s="507"/>
      <c r="J989" s="507"/>
      <c r="K989" s="507"/>
      <c r="L989" s="507"/>
      <c r="M989" s="507"/>
      <c r="N989" s="507"/>
      <c r="O989" s="507"/>
      <c r="P989" s="507"/>
      <c r="Q989" s="507"/>
      <c r="R989" s="507"/>
      <c r="S989" s="507"/>
      <c r="T989" s="507"/>
      <c r="U989" s="507"/>
      <c r="V989" s="507"/>
      <c r="W989" s="507"/>
    </row>
    <row r="990" ht="35.25" customHeight="1">
      <c r="A990" s="507"/>
      <c r="B990" s="507"/>
      <c r="C990" s="507"/>
      <c r="D990" s="508"/>
      <c r="E990" s="507"/>
      <c r="F990" s="507"/>
      <c r="G990" s="507"/>
      <c r="H990" s="507"/>
      <c r="I990" s="507"/>
      <c r="J990" s="507"/>
      <c r="K990" s="507"/>
      <c r="L990" s="507"/>
      <c r="M990" s="507"/>
      <c r="N990" s="507"/>
      <c r="O990" s="507"/>
      <c r="P990" s="507"/>
      <c r="Q990" s="507"/>
      <c r="R990" s="507"/>
      <c r="S990" s="507"/>
      <c r="T990" s="507"/>
      <c r="U990" s="507"/>
      <c r="V990" s="507"/>
      <c r="W990" s="507"/>
    </row>
    <row r="991" ht="35.25" customHeight="1">
      <c r="A991" s="507"/>
      <c r="B991" s="507"/>
      <c r="C991" s="507"/>
      <c r="D991" s="508"/>
      <c r="E991" s="507"/>
      <c r="F991" s="507"/>
      <c r="G991" s="507"/>
      <c r="H991" s="507"/>
      <c r="I991" s="507"/>
      <c r="J991" s="507"/>
      <c r="K991" s="507"/>
      <c r="L991" s="507"/>
      <c r="M991" s="507"/>
      <c r="N991" s="507"/>
      <c r="O991" s="507"/>
      <c r="P991" s="507"/>
      <c r="Q991" s="507"/>
      <c r="R991" s="507"/>
      <c r="S991" s="507"/>
      <c r="T991" s="507"/>
      <c r="U991" s="507"/>
      <c r="V991" s="507"/>
      <c r="W991" s="507"/>
    </row>
    <row r="992" ht="35.25" customHeight="1">
      <c r="A992" s="507"/>
      <c r="B992" s="507"/>
      <c r="C992" s="507"/>
      <c r="D992" s="508"/>
      <c r="E992" s="507"/>
      <c r="F992" s="507"/>
      <c r="G992" s="507"/>
      <c r="H992" s="507"/>
      <c r="I992" s="507"/>
      <c r="J992" s="507"/>
      <c r="K992" s="507"/>
      <c r="L992" s="507"/>
      <c r="M992" s="507"/>
      <c r="N992" s="507"/>
      <c r="O992" s="507"/>
      <c r="P992" s="507"/>
      <c r="Q992" s="507"/>
      <c r="R992" s="507"/>
      <c r="S992" s="507"/>
      <c r="T992" s="507"/>
      <c r="U992" s="507"/>
      <c r="V992" s="507"/>
      <c r="W992" s="507"/>
    </row>
    <row r="993" ht="35.25" customHeight="1">
      <c r="A993" s="507"/>
      <c r="B993" s="507"/>
      <c r="C993" s="507"/>
      <c r="D993" s="508"/>
      <c r="E993" s="507"/>
      <c r="F993" s="507"/>
      <c r="G993" s="507"/>
      <c r="H993" s="507"/>
      <c r="I993" s="507"/>
      <c r="J993" s="507"/>
      <c r="K993" s="507"/>
      <c r="L993" s="507"/>
      <c r="M993" s="507"/>
      <c r="N993" s="507"/>
      <c r="O993" s="507"/>
      <c r="P993" s="507"/>
      <c r="Q993" s="507"/>
      <c r="R993" s="507"/>
      <c r="S993" s="507"/>
      <c r="T993" s="507"/>
      <c r="U993" s="507"/>
      <c r="V993" s="507"/>
      <c r="W993" s="507"/>
    </row>
    <row r="994" ht="35.25" customHeight="1">
      <c r="A994" s="507"/>
      <c r="B994" s="507"/>
      <c r="C994" s="507"/>
      <c r="D994" s="508"/>
      <c r="E994" s="507"/>
      <c r="F994" s="507"/>
      <c r="G994" s="507"/>
      <c r="H994" s="507"/>
      <c r="I994" s="507"/>
      <c r="J994" s="507"/>
      <c r="K994" s="507"/>
      <c r="L994" s="507"/>
      <c r="M994" s="507"/>
      <c r="N994" s="507"/>
      <c r="O994" s="507"/>
      <c r="P994" s="507"/>
      <c r="Q994" s="507"/>
      <c r="R994" s="507"/>
      <c r="S994" s="507"/>
      <c r="T994" s="507"/>
      <c r="U994" s="507"/>
      <c r="V994" s="507"/>
      <c r="W994" s="507"/>
    </row>
    <row r="995" ht="35.25" customHeight="1">
      <c r="A995" s="507"/>
      <c r="B995" s="507"/>
      <c r="C995" s="507"/>
      <c r="D995" s="508"/>
      <c r="E995" s="507"/>
      <c r="F995" s="507"/>
      <c r="G995" s="507"/>
      <c r="H995" s="507"/>
      <c r="I995" s="507"/>
      <c r="J995" s="507"/>
      <c r="K995" s="507"/>
      <c r="L995" s="507"/>
      <c r="M995" s="507"/>
      <c r="N995" s="507"/>
      <c r="O995" s="507"/>
      <c r="P995" s="507"/>
      <c r="Q995" s="507"/>
      <c r="R995" s="507"/>
      <c r="S995" s="507"/>
      <c r="T995" s="507"/>
      <c r="U995" s="507"/>
      <c r="V995" s="507"/>
      <c r="W995" s="507"/>
    </row>
    <row r="996" ht="35.25" customHeight="1">
      <c r="A996" s="507"/>
      <c r="B996" s="507"/>
      <c r="C996" s="507"/>
      <c r="D996" s="508"/>
      <c r="E996" s="507"/>
      <c r="F996" s="507"/>
      <c r="G996" s="507"/>
      <c r="H996" s="507"/>
      <c r="I996" s="507"/>
      <c r="J996" s="507"/>
      <c r="K996" s="507"/>
      <c r="L996" s="507"/>
      <c r="M996" s="507"/>
      <c r="N996" s="507"/>
      <c r="O996" s="507"/>
      <c r="P996" s="507"/>
      <c r="Q996" s="507"/>
      <c r="R996" s="507"/>
      <c r="S996" s="507"/>
      <c r="T996" s="507"/>
      <c r="U996" s="507"/>
      <c r="V996" s="507"/>
      <c r="W996" s="507"/>
    </row>
    <row r="997" ht="35.25" customHeight="1">
      <c r="A997" s="507"/>
      <c r="B997" s="507"/>
      <c r="C997" s="507"/>
      <c r="D997" s="508"/>
      <c r="E997" s="507"/>
      <c r="F997" s="507"/>
      <c r="G997" s="507"/>
      <c r="H997" s="507"/>
      <c r="I997" s="507"/>
      <c r="J997" s="507"/>
      <c r="K997" s="507"/>
      <c r="L997" s="507"/>
      <c r="M997" s="507"/>
      <c r="N997" s="507"/>
      <c r="O997" s="507"/>
      <c r="P997" s="507"/>
      <c r="Q997" s="507"/>
      <c r="R997" s="507"/>
      <c r="S997" s="507"/>
      <c r="T997" s="507"/>
      <c r="U997" s="507"/>
      <c r="V997" s="507"/>
      <c r="W997" s="507"/>
    </row>
    <row r="998" ht="35.25" customHeight="1">
      <c r="A998" s="507"/>
      <c r="B998" s="507"/>
      <c r="C998" s="507"/>
      <c r="D998" s="508"/>
      <c r="E998" s="507"/>
      <c r="F998" s="507"/>
      <c r="G998" s="507"/>
      <c r="H998" s="507"/>
      <c r="I998" s="507"/>
      <c r="J998" s="507"/>
      <c r="K998" s="507"/>
      <c r="L998" s="507"/>
      <c r="M998" s="507"/>
      <c r="N998" s="507"/>
      <c r="O998" s="507"/>
      <c r="P998" s="507"/>
      <c r="Q998" s="507"/>
      <c r="R998" s="507"/>
      <c r="S998" s="507"/>
      <c r="T998" s="507"/>
      <c r="U998" s="507"/>
      <c r="V998" s="507"/>
      <c r="W998" s="507"/>
    </row>
    <row r="999" ht="35.25" customHeight="1">
      <c r="A999" s="507"/>
      <c r="B999" s="507"/>
      <c r="C999" s="507"/>
      <c r="D999" s="508"/>
      <c r="E999" s="507"/>
      <c r="F999" s="507"/>
      <c r="G999" s="507"/>
      <c r="H999" s="507"/>
      <c r="I999" s="507"/>
      <c r="J999" s="507"/>
      <c r="K999" s="507"/>
      <c r="L999" s="507"/>
      <c r="M999" s="507"/>
      <c r="N999" s="507"/>
      <c r="O999" s="507"/>
      <c r="P999" s="507"/>
      <c r="Q999" s="507"/>
      <c r="R999" s="507"/>
      <c r="S999" s="507"/>
      <c r="T999" s="507"/>
      <c r="U999" s="507"/>
      <c r="V999" s="507"/>
      <c r="W999" s="507"/>
    </row>
    <row r="1000" ht="35.25" customHeight="1">
      <c r="A1000" s="507"/>
      <c r="B1000" s="507"/>
      <c r="C1000" s="507"/>
      <c r="D1000" s="508"/>
      <c r="E1000" s="507"/>
      <c r="F1000" s="507"/>
      <c r="G1000" s="507"/>
      <c r="H1000" s="507"/>
      <c r="I1000" s="507"/>
      <c r="J1000" s="507"/>
      <c r="K1000" s="507"/>
      <c r="L1000" s="507"/>
      <c r="M1000" s="507"/>
      <c r="N1000" s="507"/>
      <c r="O1000" s="507"/>
      <c r="P1000" s="507"/>
      <c r="Q1000" s="507"/>
      <c r="R1000" s="507"/>
      <c r="S1000" s="507"/>
      <c r="T1000" s="507"/>
      <c r="U1000" s="507"/>
      <c r="V1000" s="507"/>
      <c r="W1000" s="507"/>
    </row>
    <row r="1001" ht="35.25" customHeight="1">
      <c r="A1001" s="507"/>
      <c r="B1001" s="507"/>
      <c r="C1001" s="507"/>
      <c r="D1001" s="508"/>
      <c r="E1001" s="507"/>
      <c r="F1001" s="507"/>
      <c r="G1001" s="507"/>
      <c r="H1001" s="507"/>
      <c r="I1001" s="507"/>
      <c r="J1001" s="507"/>
      <c r="K1001" s="507"/>
      <c r="L1001" s="507"/>
      <c r="M1001" s="507"/>
      <c r="N1001" s="507"/>
      <c r="O1001" s="507"/>
      <c r="P1001" s="507"/>
      <c r="Q1001" s="507"/>
      <c r="R1001" s="507"/>
      <c r="S1001" s="507"/>
      <c r="T1001" s="507"/>
      <c r="U1001" s="507"/>
      <c r="V1001" s="507"/>
      <c r="W1001" s="507"/>
    </row>
    <row r="1002" ht="35.25" customHeight="1">
      <c r="A1002" s="507"/>
      <c r="B1002" s="507"/>
      <c r="C1002" s="507"/>
      <c r="D1002" s="508"/>
      <c r="E1002" s="507"/>
      <c r="F1002" s="507"/>
      <c r="G1002" s="507"/>
      <c r="H1002" s="507"/>
      <c r="I1002" s="507"/>
      <c r="J1002" s="507"/>
      <c r="K1002" s="507"/>
      <c r="L1002" s="507"/>
      <c r="M1002" s="507"/>
      <c r="N1002" s="507"/>
      <c r="O1002" s="507"/>
      <c r="P1002" s="507"/>
      <c r="Q1002" s="507"/>
      <c r="R1002" s="507"/>
      <c r="S1002" s="507"/>
      <c r="T1002" s="507"/>
      <c r="U1002" s="507"/>
      <c r="V1002" s="507"/>
      <c r="W1002" s="507"/>
    </row>
    <row r="1003" ht="35.25" customHeight="1">
      <c r="A1003" s="507"/>
      <c r="B1003" s="507"/>
      <c r="C1003" s="507"/>
      <c r="D1003" s="508"/>
      <c r="E1003" s="507"/>
      <c r="F1003" s="507"/>
      <c r="G1003" s="507"/>
      <c r="H1003" s="507"/>
      <c r="I1003" s="507"/>
      <c r="J1003" s="507"/>
      <c r="K1003" s="507"/>
      <c r="L1003" s="507"/>
      <c r="M1003" s="507"/>
      <c r="N1003" s="507"/>
      <c r="O1003" s="507"/>
      <c r="P1003" s="507"/>
      <c r="Q1003" s="507"/>
      <c r="R1003" s="507"/>
      <c r="S1003" s="507"/>
      <c r="T1003" s="507"/>
      <c r="U1003" s="507"/>
      <c r="V1003" s="507"/>
      <c r="W1003" s="507"/>
    </row>
    <row r="1004" ht="35.25" customHeight="1">
      <c r="A1004" s="507"/>
      <c r="B1004" s="507"/>
      <c r="C1004" s="507"/>
      <c r="D1004" s="508"/>
      <c r="E1004" s="507"/>
      <c r="F1004" s="507"/>
      <c r="G1004" s="507"/>
      <c r="H1004" s="507"/>
      <c r="I1004" s="507"/>
      <c r="J1004" s="507"/>
      <c r="K1004" s="507"/>
      <c r="L1004" s="507"/>
      <c r="M1004" s="507"/>
      <c r="N1004" s="507"/>
      <c r="O1004" s="507"/>
      <c r="P1004" s="507"/>
      <c r="Q1004" s="507"/>
      <c r="R1004" s="507"/>
      <c r="S1004" s="507"/>
      <c r="T1004" s="507"/>
      <c r="U1004" s="507"/>
      <c r="V1004" s="507"/>
      <c r="W1004" s="507"/>
    </row>
    <row r="1005" ht="35.25" customHeight="1">
      <c r="A1005" s="507"/>
      <c r="B1005" s="507"/>
      <c r="C1005" s="507"/>
      <c r="D1005" s="508"/>
      <c r="E1005" s="507"/>
      <c r="F1005" s="507"/>
      <c r="G1005" s="507"/>
      <c r="H1005" s="507"/>
      <c r="I1005" s="507"/>
      <c r="J1005" s="507"/>
      <c r="K1005" s="507"/>
      <c r="L1005" s="507"/>
      <c r="M1005" s="507"/>
      <c r="N1005" s="507"/>
      <c r="O1005" s="507"/>
      <c r="P1005" s="507"/>
      <c r="Q1005" s="507"/>
      <c r="R1005" s="507"/>
      <c r="S1005" s="507"/>
      <c r="T1005" s="507"/>
      <c r="U1005" s="507"/>
      <c r="V1005" s="507"/>
      <c r="W1005" s="507"/>
    </row>
    <row r="1006" ht="35.25" customHeight="1">
      <c r="A1006" s="507"/>
      <c r="B1006" s="507"/>
      <c r="C1006" s="507"/>
      <c r="D1006" s="508"/>
      <c r="E1006" s="507"/>
      <c r="F1006" s="507"/>
      <c r="G1006" s="507"/>
      <c r="H1006" s="507"/>
      <c r="I1006" s="507"/>
      <c r="J1006" s="507"/>
      <c r="K1006" s="507"/>
      <c r="L1006" s="507"/>
      <c r="M1006" s="507"/>
      <c r="N1006" s="507"/>
      <c r="O1006" s="507"/>
      <c r="P1006" s="507"/>
      <c r="Q1006" s="507"/>
      <c r="R1006" s="507"/>
      <c r="S1006" s="507"/>
      <c r="T1006" s="507"/>
      <c r="U1006" s="507"/>
      <c r="V1006" s="507"/>
      <c r="W1006" s="507"/>
    </row>
    <row r="1007" ht="35.25" customHeight="1">
      <c r="A1007" s="507"/>
      <c r="B1007" s="507"/>
      <c r="C1007" s="507"/>
      <c r="D1007" s="508"/>
      <c r="E1007" s="507"/>
      <c r="F1007" s="507"/>
      <c r="G1007" s="507"/>
      <c r="H1007" s="507"/>
      <c r="I1007" s="507"/>
      <c r="J1007" s="507"/>
      <c r="K1007" s="507"/>
      <c r="L1007" s="507"/>
      <c r="M1007" s="507"/>
      <c r="N1007" s="507"/>
      <c r="O1007" s="507"/>
      <c r="P1007" s="507"/>
      <c r="Q1007" s="507"/>
      <c r="R1007" s="507"/>
      <c r="S1007" s="507"/>
      <c r="T1007" s="507"/>
      <c r="U1007" s="507"/>
      <c r="V1007" s="507"/>
      <c r="W1007" s="507"/>
    </row>
    <row r="1008" ht="35.25" customHeight="1">
      <c r="A1008" s="507"/>
      <c r="B1008" s="507"/>
      <c r="C1008" s="507"/>
      <c r="D1008" s="508"/>
      <c r="E1008" s="507"/>
      <c r="F1008" s="507"/>
      <c r="G1008" s="507"/>
      <c r="H1008" s="507"/>
      <c r="I1008" s="507"/>
      <c r="J1008" s="507"/>
      <c r="K1008" s="507"/>
      <c r="L1008" s="507"/>
      <c r="M1008" s="507"/>
      <c r="N1008" s="507"/>
      <c r="O1008" s="507"/>
      <c r="P1008" s="507"/>
      <c r="Q1008" s="507"/>
      <c r="R1008" s="507"/>
      <c r="S1008" s="507"/>
      <c r="T1008" s="507"/>
      <c r="U1008" s="507"/>
      <c r="V1008" s="507"/>
      <c r="W1008" s="507"/>
    </row>
    <row r="1009" ht="35.25" customHeight="1">
      <c r="A1009" s="507"/>
      <c r="B1009" s="507"/>
      <c r="C1009" s="507"/>
      <c r="D1009" s="508"/>
      <c r="E1009" s="507"/>
      <c r="F1009" s="507"/>
      <c r="G1009" s="507"/>
      <c r="H1009" s="507"/>
      <c r="I1009" s="507"/>
      <c r="J1009" s="507"/>
      <c r="K1009" s="507"/>
      <c r="L1009" s="507"/>
      <c r="M1009" s="507"/>
      <c r="N1009" s="507"/>
      <c r="O1009" s="507"/>
      <c r="P1009" s="507"/>
      <c r="Q1009" s="507"/>
      <c r="R1009" s="507"/>
      <c r="S1009" s="507"/>
      <c r="T1009" s="507"/>
      <c r="U1009" s="507"/>
      <c r="V1009" s="507"/>
      <c r="W1009" s="507"/>
    </row>
    <row r="1010" ht="35.25" customHeight="1">
      <c r="A1010" s="507"/>
      <c r="B1010" s="507"/>
      <c r="C1010" s="507"/>
      <c r="D1010" s="508"/>
      <c r="E1010" s="507"/>
      <c r="F1010" s="507"/>
      <c r="G1010" s="507"/>
      <c r="H1010" s="507"/>
      <c r="I1010" s="507"/>
      <c r="J1010" s="507"/>
      <c r="K1010" s="507"/>
      <c r="L1010" s="507"/>
      <c r="M1010" s="507"/>
      <c r="N1010" s="507"/>
      <c r="O1010" s="507"/>
      <c r="P1010" s="507"/>
      <c r="Q1010" s="507"/>
      <c r="R1010" s="507"/>
      <c r="S1010" s="507"/>
      <c r="T1010" s="507"/>
      <c r="U1010" s="507"/>
      <c r="V1010" s="507"/>
      <c r="W1010" s="507"/>
    </row>
    <row r="1011" ht="35.25" customHeight="1">
      <c r="A1011" s="507"/>
      <c r="B1011" s="507"/>
      <c r="C1011" s="507"/>
      <c r="D1011" s="508"/>
      <c r="E1011" s="507"/>
      <c r="F1011" s="507"/>
      <c r="G1011" s="507"/>
      <c r="H1011" s="507"/>
      <c r="I1011" s="507"/>
      <c r="J1011" s="507"/>
      <c r="K1011" s="507"/>
      <c r="L1011" s="507"/>
      <c r="M1011" s="507"/>
      <c r="N1011" s="507"/>
      <c r="O1011" s="507"/>
      <c r="P1011" s="507"/>
      <c r="Q1011" s="507"/>
      <c r="R1011" s="507"/>
      <c r="S1011" s="507"/>
      <c r="T1011" s="507"/>
      <c r="U1011" s="507"/>
      <c r="V1011" s="507"/>
      <c r="W1011" s="507"/>
    </row>
    <row r="1012" ht="35.25" customHeight="1">
      <c r="A1012" s="507"/>
      <c r="B1012" s="507"/>
      <c r="C1012" s="507"/>
      <c r="D1012" s="508"/>
      <c r="E1012" s="507"/>
      <c r="F1012" s="507"/>
      <c r="G1012" s="507"/>
      <c r="H1012" s="507"/>
      <c r="I1012" s="507"/>
      <c r="J1012" s="507"/>
      <c r="K1012" s="507"/>
      <c r="L1012" s="507"/>
      <c r="M1012" s="507"/>
      <c r="N1012" s="507"/>
      <c r="O1012" s="507"/>
      <c r="P1012" s="507"/>
      <c r="Q1012" s="507"/>
      <c r="R1012" s="507"/>
      <c r="S1012" s="507"/>
      <c r="T1012" s="507"/>
      <c r="U1012" s="507"/>
      <c r="V1012" s="507"/>
      <c r="W1012" s="507"/>
    </row>
    <row r="1013" ht="35.25" customHeight="1">
      <c r="A1013" s="507"/>
      <c r="B1013" s="507"/>
      <c r="C1013" s="507"/>
      <c r="D1013" s="508"/>
      <c r="E1013" s="507"/>
      <c r="F1013" s="507"/>
      <c r="G1013" s="507"/>
      <c r="H1013" s="507"/>
      <c r="I1013" s="507"/>
      <c r="J1013" s="507"/>
      <c r="K1013" s="507"/>
      <c r="L1013" s="507"/>
      <c r="M1013" s="507"/>
      <c r="N1013" s="507"/>
      <c r="O1013" s="507"/>
      <c r="P1013" s="507"/>
      <c r="Q1013" s="507"/>
      <c r="R1013" s="507"/>
      <c r="S1013" s="507"/>
      <c r="T1013" s="507"/>
      <c r="U1013" s="507"/>
      <c r="V1013" s="507"/>
      <c r="W1013" s="507"/>
    </row>
    <row r="1014" ht="35.25" customHeight="1">
      <c r="A1014" s="507"/>
      <c r="B1014" s="507"/>
      <c r="C1014" s="507"/>
      <c r="D1014" s="508"/>
      <c r="E1014" s="507"/>
      <c r="F1014" s="507"/>
      <c r="G1014" s="507"/>
      <c r="H1014" s="507"/>
      <c r="I1014" s="507"/>
      <c r="J1014" s="507"/>
      <c r="K1014" s="507"/>
      <c r="L1014" s="507"/>
      <c r="M1014" s="507"/>
      <c r="N1014" s="507"/>
      <c r="O1014" s="507"/>
      <c r="P1014" s="507"/>
      <c r="Q1014" s="507"/>
      <c r="R1014" s="507"/>
      <c r="S1014" s="507"/>
      <c r="T1014" s="507"/>
      <c r="U1014" s="507"/>
      <c r="V1014" s="507"/>
      <c r="W1014" s="507"/>
    </row>
    <row r="1015" ht="35.25" customHeight="1">
      <c r="A1015" s="507"/>
      <c r="B1015" s="507"/>
      <c r="C1015" s="507"/>
      <c r="D1015" s="508"/>
      <c r="E1015" s="507"/>
      <c r="F1015" s="507"/>
      <c r="G1015" s="507"/>
      <c r="H1015" s="507"/>
      <c r="I1015" s="507"/>
      <c r="J1015" s="507"/>
      <c r="K1015" s="507"/>
      <c r="L1015" s="507"/>
      <c r="M1015" s="507"/>
      <c r="N1015" s="507"/>
      <c r="O1015" s="507"/>
      <c r="P1015" s="507"/>
      <c r="Q1015" s="507"/>
      <c r="R1015" s="507"/>
      <c r="S1015" s="507"/>
      <c r="T1015" s="507"/>
      <c r="U1015" s="507"/>
      <c r="V1015" s="507"/>
      <c r="W1015" s="507"/>
    </row>
    <row r="1016" ht="35.25" customHeight="1">
      <c r="A1016" s="507"/>
      <c r="B1016" s="507"/>
      <c r="C1016" s="507"/>
      <c r="D1016" s="508"/>
      <c r="E1016" s="507"/>
      <c r="F1016" s="507"/>
      <c r="G1016" s="507"/>
      <c r="H1016" s="507"/>
      <c r="I1016" s="507"/>
      <c r="J1016" s="507"/>
      <c r="K1016" s="507"/>
      <c r="L1016" s="507"/>
      <c r="M1016" s="507"/>
      <c r="N1016" s="507"/>
      <c r="O1016" s="507"/>
      <c r="P1016" s="507"/>
      <c r="Q1016" s="507"/>
      <c r="R1016" s="507"/>
      <c r="S1016" s="507"/>
      <c r="T1016" s="507"/>
      <c r="U1016" s="507"/>
      <c r="V1016" s="507"/>
      <c r="W1016" s="507"/>
    </row>
    <row r="1017" ht="35.25" customHeight="1">
      <c r="A1017" s="507"/>
      <c r="B1017" s="507"/>
      <c r="C1017" s="507"/>
      <c r="D1017" s="508"/>
      <c r="E1017" s="507"/>
      <c r="F1017" s="507"/>
      <c r="G1017" s="507"/>
      <c r="H1017" s="507"/>
      <c r="I1017" s="507"/>
      <c r="J1017" s="507"/>
      <c r="K1017" s="507"/>
      <c r="L1017" s="507"/>
      <c r="M1017" s="507"/>
      <c r="N1017" s="507"/>
      <c r="O1017" s="507"/>
      <c r="P1017" s="507"/>
      <c r="Q1017" s="507"/>
      <c r="R1017" s="507"/>
      <c r="S1017" s="507"/>
      <c r="T1017" s="507"/>
      <c r="U1017" s="507"/>
      <c r="V1017" s="507"/>
      <c r="W1017" s="507"/>
    </row>
    <row r="1018" ht="35.25" customHeight="1">
      <c r="A1018" s="507"/>
      <c r="B1018" s="507"/>
      <c r="C1018" s="507"/>
      <c r="D1018" s="508"/>
      <c r="E1018" s="507"/>
      <c r="F1018" s="507"/>
      <c r="G1018" s="507"/>
      <c r="H1018" s="507"/>
      <c r="I1018" s="507"/>
      <c r="J1018" s="507"/>
      <c r="K1018" s="507"/>
      <c r="L1018" s="507"/>
      <c r="M1018" s="507"/>
      <c r="N1018" s="507"/>
      <c r="O1018" s="507"/>
      <c r="P1018" s="507"/>
      <c r="Q1018" s="507"/>
      <c r="R1018" s="507"/>
      <c r="S1018" s="507"/>
      <c r="T1018" s="507"/>
      <c r="U1018" s="507"/>
      <c r="V1018" s="507"/>
      <c r="W1018" s="507"/>
    </row>
    <row r="1019" ht="35.25" customHeight="1">
      <c r="A1019" s="507"/>
      <c r="B1019" s="507"/>
      <c r="C1019" s="507"/>
      <c r="D1019" s="508"/>
      <c r="E1019" s="507"/>
      <c r="F1019" s="507"/>
      <c r="G1019" s="507"/>
      <c r="H1019" s="507"/>
      <c r="I1019" s="507"/>
      <c r="J1019" s="507"/>
      <c r="K1019" s="507"/>
      <c r="L1019" s="507"/>
      <c r="M1019" s="507"/>
      <c r="N1019" s="507"/>
      <c r="O1019" s="507"/>
      <c r="P1019" s="507"/>
      <c r="Q1019" s="507"/>
      <c r="R1019" s="507"/>
      <c r="S1019" s="507"/>
      <c r="T1019" s="507"/>
      <c r="U1019" s="507"/>
      <c r="V1019" s="507"/>
      <c r="W1019" s="507"/>
    </row>
    <row r="1020" ht="35.25" customHeight="1">
      <c r="A1020" s="507"/>
      <c r="B1020" s="507"/>
      <c r="C1020" s="507"/>
      <c r="D1020" s="508"/>
      <c r="E1020" s="507"/>
      <c r="F1020" s="507"/>
      <c r="G1020" s="507"/>
      <c r="H1020" s="507"/>
      <c r="I1020" s="507"/>
      <c r="J1020" s="507"/>
      <c r="K1020" s="507"/>
      <c r="L1020" s="507"/>
      <c r="M1020" s="507"/>
      <c r="N1020" s="507"/>
      <c r="O1020" s="507"/>
      <c r="P1020" s="507"/>
      <c r="Q1020" s="507"/>
      <c r="R1020" s="507"/>
      <c r="S1020" s="507"/>
      <c r="T1020" s="507"/>
      <c r="U1020" s="507"/>
      <c r="V1020" s="507"/>
      <c r="W1020" s="507"/>
    </row>
    <row r="1021" ht="35.25" customHeight="1">
      <c r="A1021" s="507"/>
      <c r="B1021" s="507"/>
      <c r="C1021" s="507"/>
      <c r="D1021" s="508"/>
      <c r="E1021" s="507"/>
      <c r="F1021" s="507"/>
      <c r="G1021" s="507"/>
      <c r="H1021" s="507"/>
      <c r="I1021" s="507"/>
      <c r="J1021" s="507"/>
      <c r="K1021" s="507"/>
      <c r="L1021" s="507"/>
      <c r="M1021" s="507"/>
      <c r="N1021" s="507"/>
      <c r="O1021" s="507"/>
      <c r="P1021" s="507"/>
      <c r="Q1021" s="507"/>
      <c r="R1021" s="507"/>
      <c r="S1021" s="507"/>
      <c r="T1021" s="507"/>
      <c r="U1021" s="507"/>
      <c r="V1021" s="507"/>
      <c r="W1021" s="507"/>
    </row>
    <row r="1022" ht="35.25" customHeight="1">
      <c r="A1022" s="507"/>
      <c r="B1022" s="507"/>
      <c r="C1022" s="507"/>
      <c r="D1022" s="508"/>
      <c r="E1022" s="507"/>
      <c r="F1022" s="507"/>
      <c r="G1022" s="507"/>
      <c r="H1022" s="507"/>
      <c r="I1022" s="507"/>
      <c r="J1022" s="507"/>
      <c r="K1022" s="507"/>
      <c r="L1022" s="507"/>
      <c r="M1022" s="507"/>
      <c r="N1022" s="507"/>
      <c r="O1022" s="507"/>
      <c r="P1022" s="507"/>
      <c r="Q1022" s="507"/>
      <c r="R1022" s="507"/>
      <c r="S1022" s="507"/>
      <c r="T1022" s="507"/>
      <c r="U1022" s="507"/>
      <c r="V1022" s="507"/>
      <c r="W1022" s="507"/>
    </row>
    <row r="1023" ht="35.25" customHeight="1">
      <c r="A1023" s="507"/>
      <c r="B1023" s="507"/>
      <c r="C1023" s="507"/>
      <c r="D1023" s="508"/>
      <c r="E1023" s="507"/>
      <c r="F1023" s="507"/>
      <c r="G1023" s="507"/>
      <c r="H1023" s="507"/>
      <c r="I1023" s="507"/>
      <c r="J1023" s="507"/>
      <c r="K1023" s="507"/>
      <c r="L1023" s="507"/>
      <c r="M1023" s="507"/>
      <c r="N1023" s="507"/>
      <c r="O1023" s="507"/>
      <c r="P1023" s="507"/>
      <c r="Q1023" s="507"/>
      <c r="R1023" s="507"/>
      <c r="S1023" s="507"/>
      <c r="T1023" s="507"/>
      <c r="U1023" s="507"/>
      <c r="V1023" s="507"/>
      <c r="W1023" s="507"/>
    </row>
    <row r="1024" ht="35.25" customHeight="1">
      <c r="A1024" s="507"/>
      <c r="B1024" s="507"/>
      <c r="C1024" s="507"/>
      <c r="D1024" s="508"/>
      <c r="E1024" s="507"/>
      <c r="F1024" s="507"/>
      <c r="G1024" s="507"/>
      <c r="H1024" s="507"/>
      <c r="I1024" s="507"/>
      <c r="J1024" s="507"/>
      <c r="K1024" s="507"/>
      <c r="L1024" s="507"/>
      <c r="M1024" s="507"/>
      <c r="N1024" s="507"/>
      <c r="O1024" s="507"/>
      <c r="P1024" s="507"/>
      <c r="Q1024" s="507"/>
      <c r="R1024" s="507"/>
      <c r="S1024" s="507"/>
      <c r="T1024" s="507"/>
      <c r="U1024" s="507"/>
      <c r="V1024" s="507"/>
      <c r="W1024" s="507"/>
    </row>
    <row r="1025" ht="35.25" customHeight="1">
      <c r="A1025" s="507"/>
      <c r="B1025" s="507"/>
      <c r="C1025" s="507"/>
      <c r="D1025" s="508"/>
      <c r="E1025" s="507"/>
      <c r="F1025" s="507"/>
      <c r="G1025" s="507"/>
      <c r="H1025" s="507"/>
      <c r="I1025" s="507"/>
      <c r="J1025" s="507"/>
      <c r="K1025" s="507"/>
      <c r="L1025" s="507"/>
      <c r="M1025" s="507"/>
      <c r="N1025" s="507"/>
      <c r="O1025" s="507"/>
      <c r="P1025" s="507"/>
      <c r="Q1025" s="507"/>
      <c r="R1025" s="507"/>
      <c r="S1025" s="507"/>
      <c r="T1025" s="507"/>
      <c r="U1025" s="507"/>
      <c r="V1025" s="507"/>
      <c r="W1025" s="507"/>
    </row>
    <row r="1026" ht="35.25" customHeight="1">
      <c r="A1026" s="507"/>
      <c r="B1026" s="507"/>
      <c r="C1026" s="507"/>
      <c r="D1026" s="508"/>
      <c r="E1026" s="507"/>
      <c r="F1026" s="507"/>
      <c r="G1026" s="507"/>
      <c r="H1026" s="507"/>
      <c r="I1026" s="507"/>
      <c r="J1026" s="507"/>
      <c r="K1026" s="507"/>
      <c r="L1026" s="507"/>
      <c r="M1026" s="507"/>
      <c r="N1026" s="507"/>
      <c r="O1026" s="507"/>
      <c r="P1026" s="507"/>
      <c r="Q1026" s="507"/>
      <c r="R1026" s="507"/>
      <c r="S1026" s="507"/>
      <c r="T1026" s="507"/>
      <c r="U1026" s="507"/>
      <c r="V1026" s="507"/>
      <c r="W1026" s="507"/>
    </row>
    <row r="1027" ht="35.25" customHeight="1">
      <c r="A1027" s="507"/>
      <c r="B1027" s="507"/>
      <c r="C1027" s="507"/>
      <c r="D1027" s="508"/>
      <c r="E1027" s="507"/>
      <c r="F1027" s="507"/>
      <c r="G1027" s="507"/>
      <c r="H1027" s="507"/>
      <c r="I1027" s="507"/>
      <c r="J1027" s="507"/>
      <c r="K1027" s="507"/>
      <c r="L1027" s="507"/>
      <c r="M1027" s="507"/>
      <c r="N1027" s="507"/>
      <c r="O1027" s="507"/>
      <c r="P1027" s="507"/>
      <c r="Q1027" s="507"/>
      <c r="R1027" s="507"/>
      <c r="S1027" s="507"/>
      <c r="T1027" s="507"/>
      <c r="U1027" s="507"/>
      <c r="V1027" s="507"/>
      <c r="W1027" s="507"/>
    </row>
    <row r="1028" ht="35.25" customHeight="1">
      <c r="A1028" s="507"/>
      <c r="B1028" s="507"/>
      <c r="C1028" s="507"/>
      <c r="D1028" s="508"/>
      <c r="E1028" s="507"/>
      <c r="F1028" s="507"/>
      <c r="G1028" s="507"/>
      <c r="H1028" s="507"/>
      <c r="I1028" s="507"/>
      <c r="J1028" s="507"/>
      <c r="K1028" s="507"/>
      <c r="L1028" s="507"/>
      <c r="M1028" s="507"/>
      <c r="N1028" s="507"/>
      <c r="O1028" s="507"/>
      <c r="P1028" s="507"/>
      <c r="Q1028" s="507"/>
      <c r="R1028" s="507"/>
      <c r="S1028" s="507"/>
      <c r="T1028" s="507"/>
      <c r="U1028" s="507"/>
      <c r="V1028" s="507"/>
      <c r="W1028" s="507"/>
    </row>
    <row r="1029" ht="35.25" customHeight="1">
      <c r="A1029" s="507"/>
      <c r="B1029" s="507"/>
      <c r="C1029" s="507"/>
      <c r="D1029" s="508"/>
      <c r="E1029" s="507"/>
      <c r="F1029" s="507"/>
      <c r="G1029" s="507"/>
      <c r="H1029" s="507"/>
      <c r="I1029" s="507"/>
      <c r="J1029" s="507"/>
      <c r="K1029" s="507"/>
      <c r="L1029" s="507"/>
      <c r="M1029" s="507"/>
      <c r="N1029" s="507"/>
      <c r="O1029" s="507"/>
      <c r="P1029" s="507"/>
      <c r="Q1029" s="507"/>
      <c r="R1029" s="507"/>
      <c r="S1029" s="507"/>
      <c r="T1029" s="507"/>
      <c r="U1029" s="507"/>
      <c r="V1029" s="507"/>
      <c r="W1029" s="507"/>
    </row>
    <row r="1030" ht="35.25" customHeight="1">
      <c r="A1030" s="507"/>
      <c r="B1030" s="507"/>
      <c r="C1030" s="507"/>
      <c r="D1030" s="508"/>
      <c r="E1030" s="507"/>
      <c r="F1030" s="507"/>
      <c r="G1030" s="507"/>
      <c r="H1030" s="507"/>
      <c r="I1030" s="507"/>
      <c r="J1030" s="507"/>
      <c r="K1030" s="507"/>
      <c r="L1030" s="507"/>
      <c r="M1030" s="507"/>
      <c r="N1030" s="507"/>
      <c r="O1030" s="507"/>
      <c r="P1030" s="507"/>
      <c r="Q1030" s="507"/>
      <c r="R1030" s="507"/>
      <c r="S1030" s="507"/>
      <c r="T1030" s="507"/>
      <c r="U1030" s="507"/>
      <c r="V1030" s="507"/>
      <c r="W1030" s="507"/>
    </row>
    <row r="1031" ht="35.25" customHeight="1">
      <c r="A1031" s="507"/>
      <c r="B1031" s="507"/>
      <c r="C1031" s="507"/>
      <c r="D1031" s="508"/>
      <c r="E1031" s="507"/>
      <c r="F1031" s="507"/>
      <c r="G1031" s="507"/>
      <c r="H1031" s="507"/>
      <c r="I1031" s="507"/>
      <c r="J1031" s="507"/>
      <c r="K1031" s="507"/>
      <c r="L1031" s="507"/>
      <c r="M1031" s="507"/>
      <c r="N1031" s="507"/>
      <c r="O1031" s="507"/>
      <c r="P1031" s="507"/>
      <c r="Q1031" s="507"/>
      <c r="R1031" s="507"/>
      <c r="S1031" s="507"/>
      <c r="T1031" s="507"/>
      <c r="U1031" s="507"/>
      <c r="V1031" s="507"/>
      <c r="W1031" s="507"/>
    </row>
    <row r="1032" ht="35.25" customHeight="1">
      <c r="A1032" s="507"/>
      <c r="B1032" s="507"/>
      <c r="C1032" s="507"/>
      <c r="D1032" s="508"/>
      <c r="E1032" s="507"/>
      <c r="F1032" s="507"/>
      <c r="G1032" s="507"/>
      <c r="H1032" s="507"/>
      <c r="I1032" s="507"/>
      <c r="J1032" s="507"/>
      <c r="K1032" s="507"/>
      <c r="L1032" s="507"/>
      <c r="M1032" s="507"/>
      <c r="N1032" s="507"/>
      <c r="O1032" s="507"/>
      <c r="P1032" s="507"/>
      <c r="Q1032" s="507"/>
      <c r="R1032" s="507"/>
      <c r="S1032" s="507"/>
      <c r="T1032" s="507"/>
      <c r="U1032" s="507"/>
      <c r="V1032" s="507"/>
      <c r="W1032" s="507"/>
    </row>
    <row r="1033" ht="35.25" customHeight="1">
      <c r="A1033" s="507"/>
      <c r="B1033" s="507"/>
      <c r="C1033" s="507"/>
      <c r="D1033" s="508"/>
      <c r="E1033" s="507"/>
      <c r="F1033" s="507"/>
      <c r="G1033" s="507"/>
      <c r="H1033" s="507"/>
      <c r="I1033" s="507"/>
      <c r="J1033" s="507"/>
      <c r="K1033" s="507"/>
      <c r="L1033" s="507"/>
      <c r="M1033" s="507"/>
      <c r="N1033" s="507"/>
      <c r="O1033" s="507"/>
      <c r="P1033" s="507"/>
      <c r="Q1033" s="507"/>
      <c r="R1033" s="507"/>
      <c r="S1033" s="507"/>
      <c r="T1033" s="507"/>
      <c r="U1033" s="507"/>
      <c r="V1033" s="507"/>
      <c r="W1033" s="507"/>
    </row>
    <row r="1034" ht="35.25" customHeight="1">
      <c r="A1034" s="507"/>
      <c r="B1034" s="507"/>
      <c r="C1034" s="507"/>
      <c r="D1034" s="508"/>
      <c r="E1034" s="507"/>
      <c r="F1034" s="507"/>
      <c r="G1034" s="507"/>
      <c r="H1034" s="507"/>
      <c r="I1034" s="507"/>
      <c r="J1034" s="507"/>
      <c r="K1034" s="507"/>
      <c r="L1034" s="507"/>
      <c r="M1034" s="507"/>
      <c r="N1034" s="507"/>
      <c r="O1034" s="507"/>
      <c r="P1034" s="507"/>
      <c r="Q1034" s="507"/>
      <c r="R1034" s="507"/>
      <c r="S1034" s="507"/>
      <c r="T1034" s="507"/>
      <c r="U1034" s="507"/>
      <c r="V1034" s="507"/>
      <c r="W1034" s="507"/>
    </row>
    <row r="1035" ht="35.25" customHeight="1">
      <c r="A1035" s="507"/>
      <c r="B1035" s="507"/>
      <c r="C1035" s="507"/>
      <c r="D1035" s="508"/>
      <c r="E1035" s="507"/>
      <c r="F1035" s="507"/>
      <c r="G1035" s="507"/>
      <c r="H1035" s="507"/>
      <c r="I1035" s="507"/>
      <c r="J1035" s="507"/>
      <c r="K1035" s="507"/>
      <c r="L1035" s="507"/>
      <c r="M1035" s="507"/>
      <c r="N1035" s="507"/>
      <c r="O1035" s="507"/>
      <c r="P1035" s="507"/>
      <c r="Q1035" s="507"/>
      <c r="R1035" s="507"/>
      <c r="S1035" s="507"/>
      <c r="T1035" s="507"/>
      <c r="U1035" s="507"/>
      <c r="V1035" s="507"/>
      <c r="W1035" s="507"/>
    </row>
    <row r="1036" ht="35.25" customHeight="1">
      <c r="A1036" s="507"/>
      <c r="B1036" s="507"/>
      <c r="C1036" s="507"/>
      <c r="D1036" s="508"/>
      <c r="E1036" s="507"/>
      <c r="F1036" s="507"/>
      <c r="G1036" s="507"/>
      <c r="H1036" s="507"/>
      <c r="I1036" s="507"/>
      <c r="J1036" s="507"/>
      <c r="K1036" s="507"/>
      <c r="L1036" s="507"/>
      <c r="M1036" s="507"/>
      <c r="N1036" s="507"/>
      <c r="O1036" s="507"/>
      <c r="P1036" s="507"/>
      <c r="Q1036" s="507"/>
      <c r="R1036" s="507"/>
      <c r="S1036" s="507"/>
      <c r="T1036" s="507"/>
      <c r="U1036" s="507"/>
      <c r="V1036" s="507"/>
      <c r="W1036" s="507"/>
    </row>
    <row r="1037" ht="35.25" customHeight="1">
      <c r="A1037" s="507"/>
      <c r="B1037" s="507"/>
      <c r="C1037" s="507"/>
      <c r="D1037" s="508"/>
      <c r="E1037" s="507"/>
      <c r="F1037" s="507"/>
      <c r="G1037" s="507"/>
      <c r="H1037" s="507"/>
      <c r="I1037" s="507"/>
      <c r="J1037" s="507"/>
      <c r="K1037" s="507"/>
      <c r="L1037" s="507"/>
      <c r="M1037" s="507"/>
      <c r="N1037" s="507"/>
      <c r="O1037" s="507"/>
      <c r="P1037" s="507"/>
      <c r="Q1037" s="507"/>
      <c r="R1037" s="507"/>
      <c r="S1037" s="507"/>
      <c r="T1037" s="507"/>
      <c r="U1037" s="507"/>
      <c r="V1037" s="507"/>
      <c r="W1037" s="507"/>
    </row>
    <row r="1038" ht="35.25" customHeight="1">
      <c r="A1038" s="507"/>
      <c r="B1038" s="507"/>
      <c r="C1038" s="507"/>
      <c r="D1038" s="508"/>
      <c r="E1038" s="507"/>
      <c r="F1038" s="507"/>
      <c r="G1038" s="507"/>
      <c r="H1038" s="507"/>
      <c r="I1038" s="507"/>
      <c r="J1038" s="507"/>
      <c r="K1038" s="507"/>
      <c r="L1038" s="507"/>
      <c r="M1038" s="507"/>
      <c r="N1038" s="507"/>
      <c r="O1038" s="507"/>
      <c r="P1038" s="507"/>
      <c r="Q1038" s="507"/>
      <c r="R1038" s="507"/>
      <c r="S1038" s="507"/>
      <c r="T1038" s="507"/>
      <c r="U1038" s="507"/>
      <c r="V1038" s="507"/>
      <c r="W1038" s="507"/>
    </row>
    <row r="1039" ht="35.25" customHeight="1">
      <c r="A1039" s="507"/>
      <c r="B1039" s="507"/>
      <c r="C1039" s="507"/>
      <c r="D1039" s="508"/>
      <c r="E1039" s="507"/>
      <c r="F1039" s="507"/>
      <c r="G1039" s="507"/>
      <c r="H1039" s="507"/>
      <c r="I1039" s="507"/>
      <c r="J1039" s="507"/>
      <c r="K1039" s="507"/>
      <c r="L1039" s="507"/>
      <c r="M1039" s="507"/>
      <c r="N1039" s="507"/>
      <c r="O1039" s="507"/>
      <c r="P1039" s="507"/>
      <c r="Q1039" s="507"/>
      <c r="R1039" s="507"/>
      <c r="S1039" s="507"/>
      <c r="T1039" s="507"/>
      <c r="U1039" s="507"/>
      <c r="V1039" s="507"/>
      <c r="W1039" s="507"/>
    </row>
    <row r="1040" ht="35.25" customHeight="1">
      <c r="A1040" s="507"/>
      <c r="B1040" s="507"/>
      <c r="C1040" s="507"/>
      <c r="D1040" s="508"/>
      <c r="E1040" s="507"/>
      <c r="F1040" s="507"/>
      <c r="G1040" s="507"/>
      <c r="H1040" s="507"/>
      <c r="I1040" s="507"/>
      <c r="J1040" s="507"/>
      <c r="K1040" s="507"/>
      <c r="L1040" s="507"/>
      <c r="M1040" s="507"/>
      <c r="N1040" s="507"/>
      <c r="O1040" s="507"/>
      <c r="P1040" s="507"/>
      <c r="Q1040" s="507"/>
      <c r="R1040" s="507"/>
      <c r="S1040" s="507"/>
      <c r="T1040" s="507"/>
      <c r="U1040" s="507"/>
      <c r="V1040" s="507"/>
      <c r="W1040" s="507"/>
    </row>
    <row r="1041" ht="35.25" customHeight="1">
      <c r="A1041" s="507"/>
      <c r="B1041" s="507"/>
      <c r="C1041" s="507"/>
      <c r="D1041" s="508"/>
      <c r="E1041" s="507"/>
      <c r="F1041" s="507"/>
      <c r="G1041" s="507"/>
      <c r="H1041" s="507"/>
      <c r="I1041" s="507"/>
      <c r="J1041" s="507"/>
      <c r="K1041" s="507"/>
      <c r="L1041" s="507"/>
      <c r="M1041" s="507"/>
      <c r="N1041" s="507"/>
      <c r="O1041" s="507"/>
      <c r="P1041" s="507"/>
      <c r="Q1041" s="507"/>
      <c r="R1041" s="507"/>
      <c r="S1041" s="507"/>
      <c r="T1041" s="507"/>
      <c r="U1041" s="507"/>
      <c r="V1041" s="507"/>
      <c r="W1041" s="507"/>
    </row>
    <row r="1042" ht="35.25" customHeight="1">
      <c r="A1042" s="507"/>
      <c r="B1042" s="507"/>
      <c r="C1042" s="507"/>
      <c r="D1042" s="508"/>
      <c r="E1042" s="507"/>
      <c r="F1042" s="507"/>
      <c r="G1042" s="507"/>
      <c r="H1042" s="507"/>
      <c r="I1042" s="507"/>
      <c r="J1042" s="507"/>
      <c r="K1042" s="507"/>
      <c r="L1042" s="507"/>
      <c r="M1042" s="507"/>
      <c r="N1042" s="507"/>
      <c r="O1042" s="507"/>
      <c r="P1042" s="507"/>
      <c r="Q1042" s="507"/>
      <c r="R1042" s="507"/>
      <c r="S1042" s="507"/>
      <c r="T1042" s="507"/>
      <c r="U1042" s="507"/>
      <c r="V1042" s="507"/>
      <c r="W1042" s="507"/>
    </row>
    <row r="1043" ht="35.25" customHeight="1">
      <c r="A1043" s="507"/>
      <c r="B1043" s="507"/>
      <c r="C1043" s="507"/>
      <c r="D1043" s="508"/>
      <c r="E1043" s="507"/>
      <c r="F1043" s="507"/>
      <c r="G1043" s="507"/>
      <c r="H1043" s="507"/>
      <c r="I1043" s="507"/>
      <c r="J1043" s="507"/>
      <c r="K1043" s="507"/>
      <c r="L1043" s="507"/>
      <c r="M1043" s="507"/>
      <c r="N1043" s="507"/>
      <c r="O1043" s="507"/>
      <c r="P1043" s="507"/>
      <c r="Q1043" s="507"/>
      <c r="R1043" s="507"/>
      <c r="S1043" s="507"/>
      <c r="T1043" s="507"/>
      <c r="U1043" s="507"/>
      <c r="V1043" s="507"/>
      <c r="W1043" s="507"/>
    </row>
    <row r="1044" ht="35.25" customHeight="1">
      <c r="A1044" s="507"/>
      <c r="B1044" s="507"/>
      <c r="C1044" s="507"/>
      <c r="D1044" s="508"/>
      <c r="E1044" s="507"/>
      <c r="F1044" s="507"/>
      <c r="G1044" s="507"/>
      <c r="H1044" s="507"/>
      <c r="I1044" s="507"/>
      <c r="J1044" s="507"/>
      <c r="K1044" s="507"/>
      <c r="L1044" s="507"/>
      <c r="M1044" s="507"/>
      <c r="N1044" s="507"/>
      <c r="O1044" s="507"/>
      <c r="P1044" s="507"/>
      <c r="Q1044" s="507"/>
      <c r="R1044" s="507"/>
      <c r="S1044" s="507"/>
      <c r="T1044" s="507"/>
      <c r="U1044" s="507"/>
      <c r="V1044" s="507"/>
      <c r="W1044" s="507"/>
    </row>
    <row r="1045" ht="35.25" customHeight="1">
      <c r="A1045" s="507"/>
      <c r="B1045" s="507"/>
      <c r="C1045" s="507"/>
      <c r="D1045" s="508"/>
      <c r="E1045" s="507"/>
      <c r="F1045" s="507"/>
      <c r="G1045" s="507"/>
      <c r="H1045" s="507"/>
      <c r="I1045" s="507"/>
      <c r="J1045" s="507"/>
      <c r="K1045" s="507"/>
      <c r="L1045" s="507"/>
      <c r="M1045" s="507"/>
      <c r="N1045" s="507"/>
      <c r="O1045" s="507"/>
      <c r="P1045" s="507"/>
      <c r="Q1045" s="507"/>
      <c r="R1045" s="507"/>
      <c r="S1045" s="507"/>
      <c r="T1045" s="507"/>
      <c r="U1045" s="507"/>
      <c r="V1045" s="507"/>
      <c r="W1045" s="507"/>
    </row>
    <row r="1046" ht="35.25" customHeight="1">
      <c r="A1046" s="507"/>
      <c r="B1046" s="507"/>
      <c r="C1046" s="507"/>
      <c r="D1046" s="508"/>
      <c r="E1046" s="507"/>
      <c r="F1046" s="507"/>
      <c r="G1046" s="507"/>
      <c r="H1046" s="507"/>
      <c r="I1046" s="507"/>
      <c r="J1046" s="507"/>
      <c r="K1046" s="507"/>
      <c r="L1046" s="507"/>
      <c r="M1046" s="507"/>
      <c r="N1046" s="507"/>
      <c r="O1046" s="507"/>
      <c r="P1046" s="507"/>
      <c r="Q1046" s="507"/>
      <c r="R1046" s="507"/>
      <c r="S1046" s="507"/>
      <c r="T1046" s="507"/>
      <c r="U1046" s="507"/>
      <c r="V1046" s="507"/>
      <c r="W1046" s="507"/>
    </row>
    <row r="1047" ht="35.25" customHeight="1">
      <c r="A1047" s="507"/>
      <c r="B1047" s="507"/>
      <c r="C1047" s="507"/>
      <c r="D1047" s="508"/>
      <c r="E1047" s="507"/>
      <c r="F1047" s="507"/>
      <c r="G1047" s="507"/>
      <c r="H1047" s="507"/>
      <c r="I1047" s="507"/>
      <c r="J1047" s="507"/>
      <c r="K1047" s="507"/>
      <c r="L1047" s="507"/>
      <c r="M1047" s="507"/>
      <c r="N1047" s="507"/>
      <c r="O1047" s="507"/>
      <c r="P1047" s="507"/>
      <c r="Q1047" s="507"/>
      <c r="R1047" s="507"/>
      <c r="S1047" s="507"/>
      <c r="T1047" s="507"/>
      <c r="U1047" s="507"/>
      <c r="V1047" s="507"/>
      <c r="W1047" s="507"/>
    </row>
    <row r="1048" ht="35.25" customHeight="1">
      <c r="A1048" s="507"/>
      <c r="B1048" s="507"/>
      <c r="C1048" s="507"/>
      <c r="D1048" s="508"/>
      <c r="E1048" s="507"/>
      <c r="F1048" s="507"/>
      <c r="G1048" s="507"/>
      <c r="H1048" s="507"/>
      <c r="I1048" s="507"/>
      <c r="J1048" s="507"/>
      <c r="K1048" s="507"/>
      <c r="L1048" s="507"/>
      <c r="M1048" s="507"/>
      <c r="N1048" s="507"/>
      <c r="O1048" s="507"/>
      <c r="P1048" s="507"/>
      <c r="Q1048" s="507"/>
      <c r="R1048" s="507"/>
      <c r="S1048" s="507"/>
      <c r="T1048" s="507"/>
      <c r="U1048" s="507"/>
      <c r="V1048" s="507"/>
      <c r="W1048" s="507"/>
    </row>
    <row r="1049" ht="35.25" customHeight="1">
      <c r="A1049" s="507"/>
      <c r="B1049" s="507"/>
      <c r="C1049" s="507"/>
      <c r="D1049" s="508"/>
      <c r="E1049" s="507"/>
      <c r="F1049" s="507"/>
      <c r="G1049" s="507"/>
      <c r="H1049" s="507"/>
      <c r="I1049" s="507"/>
      <c r="J1049" s="507"/>
      <c r="K1049" s="507"/>
      <c r="L1049" s="507"/>
      <c r="M1049" s="507"/>
      <c r="N1049" s="507"/>
      <c r="O1049" s="507"/>
      <c r="P1049" s="507"/>
      <c r="Q1049" s="507"/>
      <c r="R1049" s="507"/>
      <c r="S1049" s="507"/>
      <c r="T1049" s="507"/>
      <c r="U1049" s="507"/>
      <c r="V1049" s="507"/>
      <c r="W1049" s="507"/>
    </row>
    <row r="1050" ht="35.25" customHeight="1">
      <c r="A1050" s="507"/>
      <c r="B1050" s="507"/>
      <c r="C1050" s="507"/>
      <c r="D1050" s="508"/>
      <c r="E1050" s="507"/>
      <c r="F1050" s="507"/>
      <c r="G1050" s="507"/>
      <c r="H1050" s="507"/>
      <c r="I1050" s="507"/>
      <c r="J1050" s="507"/>
      <c r="K1050" s="507"/>
      <c r="L1050" s="507"/>
      <c r="M1050" s="507"/>
      <c r="N1050" s="507"/>
      <c r="O1050" s="507"/>
      <c r="P1050" s="507"/>
      <c r="Q1050" s="507"/>
      <c r="R1050" s="507"/>
      <c r="S1050" s="507"/>
      <c r="T1050" s="507"/>
      <c r="U1050" s="507"/>
      <c r="V1050" s="507"/>
      <c r="W1050" s="507"/>
    </row>
    <row r="1051" ht="35.25" customHeight="1">
      <c r="A1051" s="507"/>
      <c r="B1051" s="507"/>
      <c r="C1051" s="507"/>
      <c r="D1051" s="508"/>
      <c r="E1051" s="507"/>
      <c r="F1051" s="507"/>
      <c r="G1051" s="507"/>
      <c r="H1051" s="507"/>
      <c r="I1051" s="507"/>
      <c r="J1051" s="507"/>
      <c r="K1051" s="507"/>
      <c r="L1051" s="507"/>
      <c r="M1051" s="507"/>
      <c r="N1051" s="507"/>
      <c r="O1051" s="507"/>
      <c r="P1051" s="507"/>
      <c r="Q1051" s="507"/>
      <c r="R1051" s="507"/>
      <c r="S1051" s="507"/>
      <c r="T1051" s="507"/>
      <c r="U1051" s="507"/>
      <c r="V1051" s="507"/>
      <c r="W1051" s="507"/>
    </row>
    <row r="1052" ht="35.25" customHeight="1">
      <c r="A1052" s="507"/>
      <c r="B1052" s="507"/>
      <c r="C1052" s="507"/>
      <c r="D1052" s="508"/>
      <c r="E1052" s="507"/>
      <c r="F1052" s="507"/>
      <c r="G1052" s="507"/>
      <c r="H1052" s="507"/>
      <c r="I1052" s="507"/>
      <c r="J1052" s="507"/>
      <c r="K1052" s="507"/>
      <c r="L1052" s="507"/>
      <c r="M1052" s="507"/>
      <c r="N1052" s="507"/>
      <c r="O1052" s="507"/>
      <c r="P1052" s="507"/>
      <c r="Q1052" s="507"/>
      <c r="R1052" s="507"/>
      <c r="S1052" s="507"/>
      <c r="T1052" s="507"/>
      <c r="U1052" s="507"/>
      <c r="V1052" s="507"/>
      <c r="W1052" s="507"/>
    </row>
    <row r="1053" ht="35.25" customHeight="1">
      <c r="A1053" s="507"/>
      <c r="B1053" s="507"/>
      <c r="C1053" s="507"/>
      <c r="D1053" s="508"/>
      <c r="E1053" s="507"/>
      <c r="F1053" s="507"/>
      <c r="G1053" s="507"/>
      <c r="H1053" s="507"/>
      <c r="I1053" s="507"/>
      <c r="J1053" s="507"/>
      <c r="K1053" s="507"/>
      <c r="L1053" s="507"/>
      <c r="M1053" s="507"/>
      <c r="N1053" s="507"/>
      <c r="O1053" s="507"/>
      <c r="P1053" s="507"/>
      <c r="Q1053" s="507"/>
      <c r="R1053" s="507"/>
      <c r="S1053" s="507"/>
      <c r="T1053" s="507"/>
      <c r="U1053" s="507"/>
      <c r="V1053" s="507"/>
      <c r="W1053" s="507"/>
    </row>
    <row r="1054" ht="35.25" customHeight="1">
      <c r="A1054" s="507"/>
      <c r="B1054" s="507"/>
      <c r="C1054" s="507"/>
      <c r="D1054" s="508"/>
      <c r="E1054" s="507"/>
      <c r="F1054" s="507"/>
      <c r="G1054" s="507"/>
      <c r="H1054" s="507"/>
      <c r="I1054" s="507"/>
      <c r="J1054" s="507"/>
      <c r="K1054" s="507"/>
      <c r="L1054" s="507"/>
      <c r="M1054" s="507"/>
      <c r="N1054" s="507"/>
      <c r="O1054" s="507"/>
      <c r="P1054" s="507"/>
      <c r="Q1054" s="507"/>
      <c r="R1054" s="507"/>
      <c r="S1054" s="507"/>
      <c r="T1054" s="507"/>
      <c r="U1054" s="507"/>
      <c r="V1054" s="507"/>
      <c r="W1054" s="507"/>
    </row>
    <row r="1055" ht="35.25" customHeight="1">
      <c r="A1055" s="507"/>
      <c r="B1055" s="507"/>
      <c r="C1055" s="507"/>
      <c r="D1055" s="508"/>
      <c r="E1055" s="507"/>
      <c r="F1055" s="507"/>
      <c r="G1055" s="507"/>
      <c r="H1055" s="507"/>
      <c r="I1055" s="507"/>
      <c r="J1055" s="507"/>
      <c r="K1055" s="507"/>
      <c r="L1055" s="507"/>
      <c r="M1055" s="507"/>
      <c r="N1055" s="507"/>
      <c r="O1055" s="507"/>
      <c r="P1055" s="507"/>
      <c r="Q1055" s="507"/>
      <c r="R1055" s="507"/>
      <c r="S1055" s="507"/>
      <c r="T1055" s="507"/>
      <c r="U1055" s="507"/>
      <c r="V1055" s="507"/>
      <c r="W1055" s="507"/>
    </row>
    <row r="1056" ht="35.25" customHeight="1">
      <c r="A1056" s="507"/>
      <c r="B1056" s="507"/>
      <c r="C1056" s="507"/>
      <c r="D1056" s="508"/>
      <c r="E1056" s="507"/>
      <c r="F1056" s="507"/>
      <c r="G1056" s="507"/>
      <c r="H1056" s="507"/>
      <c r="I1056" s="507"/>
      <c r="J1056" s="507"/>
      <c r="K1056" s="507"/>
      <c r="L1056" s="507"/>
      <c r="M1056" s="507"/>
      <c r="N1056" s="507"/>
      <c r="O1056" s="507"/>
      <c r="P1056" s="507"/>
      <c r="Q1056" s="507"/>
      <c r="R1056" s="507"/>
      <c r="S1056" s="507"/>
      <c r="T1056" s="507"/>
      <c r="U1056" s="507"/>
      <c r="V1056" s="507"/>
      <c r="W1056" s="507"/>
    </row>
    <row r="1057" ht="35.25" customHeight="1">
      <c r="A1057" s="507"/>
      <c r="B1057" s="507"/>
      <c r="C1057" s="507"/>
      <c r="D1057" s="508"/>
      <c r="E1057" s="507"/>
      <c r="F1057" s="507"/>
      <c r="G1057" s="507"/>
      <c r="H1057" s="507"/>
      <c r="I1057" s="507"/>
      <c r="J1057" s="507"/>
      <c r="K1057" s="507"/>
      <c r="L1057" s="507"/>
      <c r="M1057" s="507"/>
      <c r="N1057" s="507"/>
      <c r="O1057" s="507"/>
      <c r="P1057" s="507"/>
      <c r="Q1057" s="507"/>
      <c r="R1057" s="507"/>
      <c r="S1057" s="507"/>
      <c r="T1057" s="507"/>
      <c r="U1057" s="507"/>
      <c r="V1057" s="507"/>
      <c r="W1057" s="507"/>
    </row>
    <row r="1058" ht="35.25" customHeight="1">
      <c r="A1058" s="507"/>
      <c r="B1058" s="507"/>
      <c r="C1058" s="507"/>
      <c r="D1058" s="508"/>
      <c r="E1058" s="507"/>
      <c r="F1058" s="507"/>
      <c r="G1058" s="507"/>
      <c r="H1058" s="507"/>
      <c r="I1058" s="507"/>
      <c r="J1058" s="507"/>
      <c r="K1058" s="507"/>
      <c r="L1058" s="507"/>
      <c r="M1058" s="507"/>
      <c r="N1058" s="507"/>
      <c r="O1058" s="507"/>
      <c r="P1058" s="507"/>
      <c r="Q1058" s="507"/>
      <c r="R1058" s="507"/>
      <c r="S1058" s="507"/>
      <c r="T1058" s="507"/>
      <c r="U1058" s="507"/>
      <c r="V1058" s="507"/>
      <c r="W1058" s="507"/>
    </row>
    <row r="1059" ht="35.25" customHeight="1">
      <c r="A1059" s="507"/>
      <c r="B1059" s="507"/>
      <c r="C1059" s="507"/>
      <c r="D1059" s="508"/>
      <c r="E1059" s="507"/>
      <c r="F1059" s="507"/>
      <c r="G1059" s="507"/>
      <c r="H1059" s="507"/>
      <c r="I1059" s="507"/>
      <c r="J1059" s="507"/>
      <c r="K1059" s="507"/>
      <c r="L1059" s="507"/>
      <c r="M1059" s="507"/>
      <c r="N1059" s="507"/>
      <c r="O1059" s="507"/>
      <c r="P1059" s="507"/>
      <c r="Q1059" s="507"/>
      <c r="R1059" s="507"/>
      <c r="S1059" s="507"/>
      <c r="T1059" s="507"/>
      <c r="U1059" s="507"/>
      <c r="V1059" s="507"/>
      <c r="W1059" s="507"/>
    </row>
    <row r="1060" ht="35.25" customHeight="1">
      <c r="A1060" s="507"/>
      <c r="B1060" s="507"/>
      <c r="C1060" s="507"/>
      <c r="D1060" s="508"/>
      <c r="E1060" s="507"/>
      <c r="F1060" s="507"/>
      <c r="G1060" s="507"/>
      <c r="H1060" s="507"/>
      <c r="I1060" s="507"/>
      <c r="J1060" s="507"/>
      <c r="K1060" s="507"/>
      <c r="L1060" s="507"/>
      <c r="M1060" s="507"/>
      <c r="N1060" s="507"/>
      <c r="O1060" s="507"/>
      <c r="P1060" s="507"/>
      <c r="Q1060" s="507"/>
      <c r="R1060" s="507"/>
      <c r="S1060" s="507"/>
      <c r="T1060" s="507"/>
      <c r="U1060" s="507"/>
      <c r="V1060" s="507"/>
      <c r="W1060" s="507"/>
    </row>
    <row r="1061" ht="35.25" customHeight="1">
      <c r="A1061" s="507"/>
      <c r="B1061" s="507"/>
      <c r="C1061" s="507"/>
      <c r="D1061" s="508"/>
      <c r="E1061" s="507"/>
      <c r="F1061" s="507"/>
      <c r="G1061" s="507"/>
      <c r="H1061" s="507"/>
      <c r="I1061" s="507"/>
      <c r="J1061" s="507"/>
      <c r="K1061" s="507"/>
      <c r="L1061" s="507"/>
      <c r="M1061" s="507"/>
      <c r="N1061" s="507"/>
      <c r="O1061" s="507"/>
      <c r="P1061" s="507"/>
      <c r="Q1061" s="507"/>
      <c r="R1061" s="507"/>
      <c r="S1061" s="507"/>
      <c r="T1061" s="507"/>
      <c r="U1061" s="507"/>
      <c r="V1061" s="507"/>
      <c r="W1061" s="507"/>
    </row>
    <row r="1062" ht="35.25" customHeight="1">
      <c r="A1062" s="507"/>
      <c r="B1062" s="507"/>
      <c r="C1062" s="507"/>
      <c r="D1062" s="508"/>
      <c r="E1062" s="507"/>
      <c r="F1062" s="507"/>
      <c r="G1062" s="507"/>
      <c r="H1062" s="507"/>
      <c r="I1062" s="507"/>
      <c r="J1062" s="507"/>
      <c r="K1062" s="507"/>
      <c r="L1062" s="507"/>
      <c r="M1062" s="507"/>
      <c r="N1062" s="507"/>
      <c r="O1062" s="507"/>
      <c r="P1062" s="507"/>
      <c r="Q1062" s="507"/>
      <c r="R1062" s="507"/>
      <c r="S1062" s="507"/>
      <c r="T1062" s="507"/>
      <c r="U1062" s="507"/>
      <c r="V1062" s="507"/>
      <c r="W1062" s="507"/>
    </row>
    <row r="1063" ht="35.25" customHeight="1">
      <c r="A1063" s="507"/>
      <c r="B1063" s="507"/>
      <c r="C1063" s="507"/>
      <c r="D1063" s="508"/>
      <c r="E1063" s="507"/>
      <c r="F1063" s="507"/>
      <c r="G1063" s="507"/>
      <c r="H1063" s="507"/>
      <c r="I1063" s="507"/>
      <c r="J1063" s="507"/>
      <c r="K1063" s="507"/>
      <c r="L1063" s="507"/>
      <c r="M1063" s="507"/>
      <c r="N1063" s="507"/>
      <c r="O1063" s="507"/>
      <c r="P1063" s="507"/>
      <c r="Q1063" s="507"/>
      <c r="R1063" s="507"/>
      <c r="S1063" s="507"/>
      <c r="T1063" s="507"/>
      <c r="U1063" s="507"/>
      <c r="V1063" s="507"/>
      <c r="W1063" s="507"/>
    </row>
    <row r="1064" ht="35.25" customHeight="1">
      <c r="A1064" s="507"/>
      <c r="B1064" s="507"/>
      <c r="C1064" s="507"/>
      <c r="D1064" s="508"/>
      <c r="E1064" s="507"/>
      <c r="F1064" s="507"/>
      <c r="G1064" s="507"/>
      <c r="H1064" s="507"/>
      <c r="I1064" s="507"/>
      <c r="J1064" s="507"/>
      <c r="K1064" s="507"/>
      <c r="L1064" s="507"/>
      <c r="M1064" s="507"/>
      <c r="N1064" s="507"/>
      <c r="O1064" s="507"/>
      <c r="P1064" s="507"/>
      <c r="Q1064" s="507"/>
      <c r="R1064" s="507"/>
      <c r="S1064" s="507"/>
      <c r="T1064" s="507"/>
      <c r="U1064" s="507"/>
      <c r="V1064" s="507"/>
      <c r="W1064" s="507"/>
    </row>
    <row r="1065" ht="35.25" customHeight="1">
      <c r="A1065" s="507"/>
      <c r="B1065" s="507"/>
      <c r="C1065" s="507"/>
      <c r="D1065" s="508"/>
      <c r="E1065" s="507"/>
      <c r="F1065" s="507"/>
      <c r="G1065" s="507"/>
      <c r="H1065" s="507"/>
      <c r="I1065" s="507"/>
      <c r="J1065" s="507"/>
      <c r="K1065" s="507"/>
      <c r="L1065" s="507"/>
      <c r="M1065" s="507"/>
      <c r="N1065" s="507"/>
      <c r="O1065" s="507"/>
      <c r="P1065" s="507"/>
      <c r="Q1065" s="507"/>
      <c r="R1065" s="507"/>
      <c r="S1065" s="507"/>
      <c r="T1065" s="507"/>
      <c r="U1065" s="507"/>
      <c r="V1065" s="507"/>
      <c r="W1065" s="507"/>
    </row>
    <row r="1066" ht="35.25" customHeight="1">
      <c r="A1066" s="507"/>
      <c r="B1066" s="507"/>
      <c r="C1066" s="507"/>
      <c r="D1066" s="508"/>
      <c r="E1066" s="507"/>
      <c r="F1066" s="507"/>
      <c r="G1066" s="507"/>
      <c r="H1066" s="507"/>
      <c r="I1066" s="507"/>
      <c r="J1066" s="507"/>
      <c r="K1066" s="507"/>
      <c r="L1066" s="507"/>
      <c r="M1066" s="507"/>
      <c r="N1066" s="507"/>
      <c r="O1066" s="507"/>
      <c r="P1066" s="507"/>
      <c r="Q1066" s="507"/>
      <c r="R1066" s="507"/>
      <c r="S1066" s="507"/>
      <c r="T1066" s="507"/>
      <c r="U1066" s="507"/>
      <c r="V1066" s="507"/>
      <c r="W1066" s="507"/>
    </row>
    <row r="1067" ht="35.25" customHeight="1">
      <c r="A1067" s="507"/>
      <c r="B1067" s="507"/>
      <c r="C1067" s="507"/>
      <c r="D1067" s="508"/>
      <c r="E1067" s="507"/>
      <c r="F1067" s="507"/>
      <c r="G1067" s="507"/>
      <c r="H1067" s="507"/>
      <c r="I1067" s="507"/>
      <c r="J1067" s="507"/>
      <c r="K1067" s="507"/>
      <c r="L1067" s="507"/>
      <c r="M1067" s="507"/>
      <c r="N1067" s="507"/>
      <c r="O1067" s="507"/>
      <c r="P1067" s="507"/>
      <c r="Q1067" s="507"/>
      <c r="R1067" s="507"/>
      <c r="S1067" s="507"/>
      <c r="T1067" s="507"/>
      <c r="U1067" s="507"/>
      <c r="V1067" s="507"/>
      <c r="W1067" s="507"/>
    </row>
    <row r="1068" ht="35.25" customHeight="1">
      <c r="A1068" s="507"/>
      <c r="B1068" s="507"/>
      <c r="C1068" s="507"/>
      <c r="D1068" s="508"/>
      <c r="E1068" s="507"/>
      <c r="F1068" s="507"/>
      <c r="G1068" s="507"/>
      <c r="H1068" s="507"/>
      <c r="I1068" s="507"/>
      <c r="J1068" s="507"/>
      <c r="K1068" s="507"/>
      <c r="L1068" s="507"/>
      <c r="M1068" s="507"/>
      <c r="N1068" s="507"/>
      <c r="O1068" s="507"/>
      <c r="P1068" s="507"/>
      <c r="Q1068" s="507"/>
      <c r="R1068" s="507"/>
      <c r="S1068" s="507"/>
      <c r="T1068" s="507"/>
      <c r="U1068" s="507"/>
      <c r="V1068" s="507"/>
      <c r="W1068" s="507"/>
    </row>
    <row r="1069" ht="35.25" customHeight="1">
      <c r="A1069" s="507"/>
      <c r="B1069" s="507"/>
      <c r="C1069" s="507"/>
      <c r="D1069" s="508"/>
      <c r="E1069" s="507"/>
      <c r="F1069" s="507"/>
      <c r="G1069" s="507"/>
      <c r="H1069" s="507"/>
      <c r="I1069" s="507"/>
      <c r="J1069" s="507"/>
      <c r="K1069" s="507"/>
      <c r="L1069" s="507"/>
      <c r="M1069" s="507"/>
      <c r="N1069" s="507"/>
      <c r="O1069" s="507"/>
      <c r="P1069" s="507"/>
      <c r="Q1069" s="507"/>
      <c r="R1069" s="507"/>
      <c r="S1069" s="507"/>
      <c r="T1069" s="507"/>
      <c r="U1069" s="507"/>
      <c r="V1069" s="507"/>
      <c r="W1069" s="507"/>
    </row>
    <row r="1070" ht="35.25" customHeight="1">
      <c r="A1070" s="507"/>
      <c r="B1070" s="507"/>
      <c r="C1070" s="507"/>
      <c r="D1070" s="508"/>
      <c r="E1070" s="507"/>
      <c r="F1070" s="507"/>
      <c r="G1070" s="507"/>
      <c r="H1070" s="507"/>
      <c r="I1070" s="507"/>
      <c r="J1070" s="507"/>
      <c r="K1070" s="507"/>
      <c r="L1070" s="507"/>
      <c r="M1070" s="507"/>
      <c r="N1070" s="507"/>
      <c r="O1070" s="507"/>
      <c r="P1070" s="507"/>
      <c r="Q1070" s="507"/>
      <c r="R1070" s="507"/>
      <c r="S1070" s="507"/>
      <c r="T1070" s="507"/>
      <c r="U1070" s="507"/>
      <c r="V1070" s="507"/>
      <c r="W1070" s="507"/>
    </row>
    <row r="1071" ht="35.25" customHeight="1">
      <c r="A1071" s="507"/>
      <c r="B1071" s="507"/>
      <c r="C1071" s="507"/>
      <c r="D1071" s="508"/>
      <c r="E1071" s="507"/>
      <c r="F1071" s="507"/>
      <c r="G1071" s="507"/>
      <c r="H1071" s="507"/>
      <c r="I1071" s="507"/>
      <c r="J1071" s="507"/>
      <c r="K1071" s="507"/>
      <c r="L1071" s="507"/>
      <c r="M1071" s="507"/>
      <c r="N1071" s="507"/>
      <c r="O1071" s="507"/>
      <c r="P1071" s="507"/>
      <c r="Q1071" s="507"/>
      <c r="R1071" s="507"/>
      <c r="S1071" s="507"/>
      <c r="T1071" s="507"/>
      <c r="U1071" s="507"/>
      <c r="V1071" s="507"/>
      <c r="W1071" s="507"/>
    </row>
    <row r="1072" ht="35.25" customHeight="1">
      <c r="A1072" s="507"/>
      <c r="B1072" s="507"/>
      <c r="C1072" s="507"/>
      <c r="D1072" s="508"/>
      <c r="E1072" s="507"/>
      <c r="F1072" s="507"/>
      <c r="G1072" s="507"/>
      <c r="H1072" s="507"/>
      <c r="I1072" s="507"/>
      <c r="J1072" s="507"/>
      <c r="K1072" s="507"/>
      <c r="L1072" s="507"/>
      <c r="M1072" s="507"/>
      <c r="N1072" s="507"/>
      <c r="O1072" s="507"/>
      <c r="P1072" s="507"/>
      <c r="Q1072" s="507"/>
      <c r="R1072" s="507"/>
      <c r="S1072" s="507"/>
      <c r="T1072" s="507"/>
      <c r="U1072" s="507"/>
      <c r="V1072" s="507"/>
      <c r="W1072" s="507"/>
    </row>
    <row r="1073" ht="35.25" customHeight="1">
      <c r="A1073" s="507"/>
      <c r="B1073" s="507"/>
      <c r="C1073" s="507"/>
      <c r="D1073" s="508"/>
      <c r="E1073" s="507"/>
      <c r="F1073" s="507"/>
      <c r="G1073" s="507"/>
      <c r="H1073" s="507"/>
      <c r="I1073" s="507"/>
      <c r="J1073" s="507"/>
      <c r="K1073" s="507"/>
      <c r="L1073" s="507"/>
      <c r="M1073" s="507"/>
      <c r="N1073" s="507"/>
      <c r="O1073" s="507"/>
      <c r="P1073" s="507"/>
      <c r="Q1073" s="507"/>
      <c r="R1073" s="507"/>
      <c r="S1073" s="507"/>
      <c r="T1073" s="507"/>
      <c r="U1073" s="507"/>
      <c r="V1073" s="507"/>
      <c r="W1073" s="507"/>
    </row>
    <row r="1074" ht="35.25" customHeight="1">
      <c r="A1074" s="507"/>
      <c r="B1074" s="507"/>
      <c r="C1074" s="507"/>
      <c r="D1074" s="508"/>
      <c r="E1074" s="507"/>
      <c r="F1074" s="507"/>
      <c r="G1074" s="507"/>
      <c r="H1074" s="507"/>
      <c r="I1074" s="507"/>
      <c r="J1074" s="507"/>
      <c r="K1074" s="507"/>
      <c r="L1074" s="507"/>
      <c r="M1074" s="507"/>
      <c r="N1074" s="507"/>
      <c r="O1074" s="507"/>
      <c r="P1074" s="507"/>
      <c r="Q1074" s="507"/>
      <c r="R1074" s="507"/>
      <c r="S1074" s="507"/>
      <c r="T1074" s="507"/>
      <c r="U1074" s="507"/>
      <c r="V1074" s="507"/>
      <c r="W1074" s="507"/>
    </row>
    <row r="1075" ht="35.25" customHeight="1">
      <c r="A1075" s="507"/>
      <c r="B1075" s="507"/>
      <c r="C1075" s="507"/>
      <c r="D1075" s="508"/>
      <c r="E1075" s="507"/>
      <c r="F1075" s="507"/>
      <c r="G1075" s="507"/>
      <c r="H1075" s="507"/>
      <c r="I1075" s="507"/>
      <c r="J1075" s="507"/>
      <c r="K1075" s="507"/>
      <c r="L1075" s="507"/>
      <c r="M1075" s="507"/>
      <c r="N1075" s="507"/>
      <c r="O1075" s="507"/>
      <c r="P1075" s="507"/>
      <c r="Q1075" s="507"/>
      <c r="R1075" s="507"/>
      <c r="S1075" s="507"/>
      <c r="T1075" s="507"/>
      <c r="U1075" s="507"/>
      <c r="V1075" s="507"/>
      <c r="W1075" s="507"/>
    </row>
    <row r="1076" ht="35.25" customHeight="1">
      <c r="A1076" s="507"/>
      <c r="B1076" s="507"/>
      <c r="C1076" s="507"/>
      <c r="D1076" s="508"/>
      <c r="E1076" s="507"/>
      <c r="F1076" s="507"/>
      <c r="G1076" s="507"/>
      <c r="H1076" s="507"/>
      <c r="I1076" s="507"/>
      <c r="J1076" s="507"/>
      <c r="K1076" s="507"/>
      <c r="L1076" s="507"/>
      <c r="M1076" s="507"/>
      <c r="N1076" s="507"/>
      <c r="O1076" s="507"/>
      <c r="P1076" s="507"/>
      <c r="Q1076" s="507"/>
      <c r="R1076" s="507"/>
      <c r="S1076" s="507"/>
      <c r="T1076" s="507"/>
      <c r="U1076" s="507"/>
      <c r="V1076" s="507"/>
      <c r="W1076" s="507"/>
    </row>
    <row r="1077" ht="35.25" customHeight="1">
      <c r="A1077" s="507"/>
      <c r="B1077" s="507"/>
      <c r="C1077" s="507"/>
      <c r="D1077" s="508"/>
      <c r="E1077" s="507"/>
      <c r="F1077" s="507"/>
      <c r="G1077" s="507"/>
      <c r="H1077" s="507"/>
      <c r="I1077" s="507"/>
      <c r="J1077" s="507"/>
      <c r="K1077" s="507"/>
      <c r="L1077" s="507"/>
      <c r="M1077" s="507"/>
      <c r="N1077" s="507"/>
      <c r="O1077" s="507"/>
      <c r="P1077" s="507"/>
      <c r="Q1077" s="507"/>
      <c r="R1077" s="507"/>
      <c r="S1077" s="507"/>
      <c r="T1077" s="507"/>
      <c r="U1077" s="507"/>
      <c r="V1077" s="507"/>
      <c r="W1077" s="507"/>
    </row>
    <row r="1078" ht="35.25" customHeight="1">
      <c r="A1078" s="507"/>
      <c r="B1078" s="507"/>
      <c r="C1078" s="507"/>
      <c r="D1078" s="508"/>
      <c r="E1078" s="507"/>
      <c r="F1078" s="507"/>
      <c r="G1078" s="507"/>
      <c r="H1078" s="507"/>
      <c r="I1078" s="507"/>
      <c r="J1078" s="507"/>
      <c r="K1078" s="507"/>
      <c r="L1078" s="507"/>
      <c r="M1078" s="507"/>
      <c r="N1078" s="507"/>
      <c r="O1078" s="507"/>
      <c r="P1078" s="507"/>
      <c r="Q1078" s="507"/>
      <c r="R1078" s="507"/>
      <c r="S1078" s="507"/>
      <c r="T1078" s="507"/>
      <c r="U1078" s="507"/>
      <c r="V1078" s="507"/>
      <c r="W1078" s="507"/>
    </row>
    <row r="1079" ht="35.25" customHeight="1">
      <c r="A1079" s="507"/>
      <c r="B1079" s="507"/>
      <c r="C1079" s="507"/>
      <c r="D1079" s="508"/>
      <c r="E1079" s="507"/>
      <c r="F1079" s="507"/>
      <c r="G1079" s="507"/>
      <c r="H1079" s="507"/>
      <c r="I1079" s="507"/>
      <c r="J1079" s="507"/>
      <c r="K1079" s="507"/>
      <c r="L1079" s="507"/>
      <c r="M1079" s="507"/>
      <c r="N1079" s="507"/>
      <c r="O1079" s="507"/>
      <c r="P1079" s="507"/>
      <c r="Q1079" s="507"/>
      <c r="R1079" s="507"/>
      <c r="S1079" s="507"/>
      <c r="T1079" s="507"/>
      <c r="U1079" s="507"/>
      <c r="V1079" s="507"/>
      <c r="W1079" s="507"/>
    </row>
    <row r="1080" ht="35.25" customHeight="1">
      <c r="A1080" s="507"/>
      <c r="B1080" s="507"/>
      <c r="C1080" s="507"/>
      <c r="D1080" s="508"/>
      <c r="E1080" s="507"/>
      <c r="F1080" s="507"/>
      <c r="G1080" s="507"/>
      <c r="H1080" s="507"/>
      <c r="I1080" s="507"/>
      <c r="J1080" s="507"/>
      <c r="K1080" s="507"/>
      <c r="L1080" s="507"/>
      <c r="M1080" s="507"/>
      <c r="N1080" s="507"/>
      <c r="O1080" s="507"/>
      <c r="P1080" s="507"/>
      <c r="Q1080" s="507"/>
      <c r="R1080" s="507"/>
      <c r="S1080" s="507"/>
      <c r="T1080" s="507"/>
      <c r="U1080" s="507"/>
      <c r="V1080" s="507"/>
      <c r="W1080" s="507"/>
    </row>
    <row r="1081" ht="35.25" customHeight="1">
      <c r="A1081" s="507"/>
      <c r="B1081" s="507"/>
      <c r="C1081" s="507"/>
      <c r="D1081" s="508"/>
      <c r="E1081" s="507"/>
      <c r="F1081" s="507"/>
      <c r="G1081" s="507"/>
      <c r="H1081" s="507"/>
      <c r="I1081" s="507"/>
      <c r="J1081" s="507"/>
      <c r="K1081" s="507"/>
      <c r="L1081" s="507"/>
      <c r="M1081" s="507"/>
      <c r="N1081" s="507"/>
      <c r="O1081" s="507"/>
      <c r="P1081" s="507"/>
      <c r="Q1081" s="507"/>
      <c r="R1081" s="507"/>
      <c r="S1081" s="507"/>
      <c r="T1081" s="507"/>
      <c r="U1081" s="507"/>
      <c r="V1081" s="507"/>
      <c r="W1081" s="507"/>
    </row>
    <row r="1082" ht="35.25" customHeight="1">
      <c r="A1082" s="507"/>
      <c r="B1082" s="507"/>
      <c r="C1082" s="507"/>
      <c r="D1082" s="508"/>
      <c r="E1082" s="507"/>
      <c r="F1082" s="507"/>
      <c r="G1082" s="507"/>
      <c r="H1082" s="507"/>
      <c r="I1082" s="507"/>
      <c r="J1082" s="507"/>
      <c r="K1082" s="507"/>
      <c r="L1082" s="507"/>
      <c r="M1082" s="507"/>
      <c r="N1082" s="507"/>
      <c r="O1082" s="507"/>
      <c r="P1082" s="507"/>
      <c r="Q1082" s="507"/>
      <c r="R1082" s="507"/>
      <c r="S1082" s="507"/>
      <c r="T1082" s="507"/>
      <c r="U1082" s="507"/>
      <c r="V1082" s="507"/>
      <c r="W1082" s="507"/>
    </row>
    <row r="1083" ht="35.25" customHeight="1">
      <c r="A1083" s="507"/>
      <c r="B1083" s="507"/>
      <c r="C1083" s="507"/>
      <c r="D1083" s="508"/>
      <c r="E1083" s="507"/>
      <c r="F1083" s="507"/>
      <c r="G1083" s="507"/>
      <c r="H1083" s="507"/>
      <c r="I1083" s="507"/>
      <c r="J1083" s="507"/>
      <c r="K1083" s="507"/>
      <c r="L1083" s="507"/>
      <c r="M1083" s="507"/>
      <c r="N1083" s="507"/>
      <c r="O1083" s="507"/>
      <c r="P1083" s="507"/>
      <c r="Q1083" s="507"/>
      <c r="R1083" s="507"/>
      <c r="S1083" s="507"/>
      <c r="T1083" s="507"/>
      <c r="U1083" s="507"/>
      <c r="V1083" s="507"/>
      <c r="W1083" s="507"/>
    </row>
    <row r="1084" ht="35.25" customHeight="1">
      <c r="A1084" s="507"/>
      <c r="B1084" s="507"/>
      <c r="C1084" s="507"/>
      <c r="D1084" s="508"/>
      <c r="E1084" s="507"/>
      <c r="F1084" s="507"/>
      <c r="G1084" s="507"/>
      <c r="H1084" s="507"/>
      <c r="I1084" s="507"/>
      <c r="J1084" s="507"/>
      <c r="K1084" s="507"/>
      <c r="L1084" s="507"/>
      <c r="M1084" s="507"/>
      <c r="N1084" s="507"/>
      <c r="O1084" s="507"/>
      <c r="P1084" s="507"/>
      <c r="Q1084" s="507"/>
      <c r="R1084" s="507"/>
      <c r="S1084" s="507"/>
      <c r="T1084" s="507"/>
      <c r="U1084" s="507"/>
      <c r="V1084" s="507"/>
      <c r="W1084" s="507"/>
    </row>
    <row r="1085" ht="35.25" customHeight="1">
      <c r="A1085" s="507"/>
      <c r="B1085" s="507"/>
      <c r="C1085" s="507"/>
      <c r="D1085" s="508"/>
      <c r="E1085" s="507"/>
      <c r="F1085" s="507"/>
      <c r="G1085" s="507"/>
      <c r="H1085" s="507"/>
      <c r="I1085" s="507"/>
      <c r="J1085" s="507"/>
      <c r="K1085" s="507"/>
      <c r="L1085" s="507"/>
      <c r="M1085" s="507"/>
      <c r="N1085" s="507"/>
      <c r="O1085" s="507"/>
      <c r="P1085" s="507"/>
      <c r="Q1085" s="507"/>
      <c r="R1085" s="507"/>
      <c r="S1085" s="507"/>
      <c r="T1085" s="507"/>
      <c r="U1085" s="507"/>
      <c r="V1085" s="507"/>
      <c r="W1085" s="507"/>
    </row>
    <row r="1086" ht="35.25" customHeight="1">
      <c r="A1086" s="507"/>
      <c r="B1086" s="507"/>
      <c r="C1086" s="507"/>
      <c r="D1086" s="508"/>
      <c r="E1086" s="507"/>
      <c r="F1086" s="507"/>
      <c r="G1086" s="507"/>
      <c r="H1086" s="507"/>
      <c r="I1086" s="507"/>
      <c r="J1086" s="507"/>
      <c r="K1086" s="507"/>
      <c r="L1086" s="507"/>
      <c r="M1086" s="507"/>
      <c r="N1086" s="507"/>
      <c r="O1086" s="507"/>
      <c r="P1086" s="507"/>
      <c r="Q1086" s="507"/>
      <c r="R1086" s="507"/>
      <c r="S1086" s="507"/>
      <c r="T1086" s="507"/>
      <c r="U1086" s="507"/>
      <c r="V1086" s="507"/>
      <c r="W1086" s="507"/>
    </row>
    <row r="1087" ht="35.25" customHeight="1">
      <c r="A1087" s="507"/>
      <c r="B1087" s="507"/>
      <c r="C1087" s="507"/>
      <c r="D1087" s="508"/>
      <c r="E1087" s="507"/>
      <c r="F1087" s="507"/>
      <c r="G1087" s="507"/>
      <c r="H1087" s="507"/>
      <c r="I1087" s="507"/>
      <c r="J1087" s="507"/>
      <c r="K1087" s="507"/>
      <c r="L1087" s="507"/>
      <c r="M1087" s="507"/>
      <c r="N1087" s="507"/>
      <c r="O1087" s="507"/>
      <c r="P1087" s="507"/>
      <c r="Q1087" s="507"/>
      <c r="R1087" s="507"/>
      <c r="S1087" s="507"/>
      <c r="T1087" s="507"/>
      <c r="U1087" s="507"/>
      <c r="V1087" s="507"/>
      <c r="W1087" s="507"/>
    </row>
    <row r="1088" ht="35.25" customHeight="1">
      <c r="A1088" s="507"/>
      <c r="B1088" s="507"/>
      <c r="C1088" s="507"/>
      <c r="D1088" s="508"/>
      <c r="E1088" s="507"/>
      <c r="F1088" s="507"/>
      <c r="G1088" s="507"/>
      <c r="H1088" s="507"/>
      <c r="I1088" s="507"/>
      <c r="J1088" s="507"/>
      <c r="K1088" s="507"/>
      <c r="L1088" s="507"/>
      <c r="M1088" s="507"/>
      <c r="N1088" s="507"/>
      <c r="O1088" s="507"/>
      <c r="P1088" s="507"/>
      <c r="Q1088" s="507"/>
      <c r="R1088" s="507"/>
      <c r="S1088" s="507"/>
      <c r="T1088" s="507"/>
      <c r="U1088" s="507"/>
      <c r="V1088" s="507"/>
      <c r="W1088" s="507"/>
    </row>
    <row r="1089" ht="35.25" customHeight="1">
      <c r="A1089" s="507"/>
      <c r="B1089" s="507"/>
      <c r="C1089" s="507"/>
      <c r="D1089" s="508"/>
      <c r="E1089" s="507"/>
      <c r="F1089" s="507"/>
      <c r="G1089" s="507"/>
      <c r="H1089" s="507"/>
      <c r="I1089" s="507"/>
      <c r="J1089" s="507"/>
      <c r="K1089" s="507"/>
      <c r="L1089" s="507"/>
      <c r="M1089" s="507"/>
      <c r="N1089" s="507"/>
      <c r="O1089" s="507"/>
      <c r="P1089" s="507"/>
      <c r="Q1089" s="507"/>
      <c r="R1089" s="507"/>
      <c r="S1089" s="507"/>
      <c r="T1089" s="507"/>
      <c r="U1089" s="507"/>
      <c r="V1089" s="507"/>
      <c r="W1089" s="507"/>
    </row>
    <row r="1090" ht="35.25" customHeight="1">
      <c r="A1090" s="507"/>
      <c r="B1090" s="507"/>
      <c r="C1090" s="507"/>
      <c r="D1090" s="508"/>
      <c r="E1090" s="507"/>
      <c r="F1090" s="507"/>
      <c r="G1090" s="507"/>
      <c r="H1090" s="507"/>
      <c r="I1090" s="507"/>
      <c r="J1090" s="507"/>
      <c r="K1090" s="507"/>
      <c r="L1090" s="507"/>
      <c r="M1090" s="507"/>
      <c r="N1090" s="507"/>
      <c r="O1090" s="507"/>
      <c r="P1090" s="507"/>
      <c r="Q1090" s="507"/>
      <c r="R1090" s="507"/>
      <c r="S1090" s="507"/>
      <c r="T1090" s="507"/>
      <c r="U1090" s="507"/>
      <c r="V1090" s="507"/>
      <c r="W1090" s="507"/>
    </row>
    <row r="1091" ht="35.25" customHeight="1">
      <c r="A1091" s="507"/>
      <c r="B1091" s="507"/>
      <c r="C1091" s="507"/>
      <c r="D1091" s="508"/>
      <c r="E1091" s="507"/>
      <c r="F1091" s="507"/>
      <c r="G1091" s="507"/>
      <c r="H1091" s="507"/>
      <c r="I1091" s="507"/>
      <c r="J1091" s="507"/>
      <c r="K1091" s="507"/>
      <c r="L1091" s="507"/>
      <c r="M1091" s="507"/>
      <c r="N1091" s="507"/>
      <c r="O1091" s="507"/>
      <c r="P1091" s="507"/>
      <c r="Q1091" s="507"/>
      <c r="R1091" s="507"/>
      <c r="S1091" s="507"/>
      <c r="T1091" s="507"/>
      <c r="U1091" s="507"/>
      <c r="V1091" s="507"/>
      <c r="W1091" s="507"/>
    </row>
    <row r="1092" ht="35.25" customHeight="1">
      <c r="A1092" s="507"/>
      <c r="B1092" s="507"/>
      <c r="C1092" s="507"/>
      <c r="D1092" s="508"/>
      <c r="E1092" s="507"/>
      <c r="F1092" s="507"/>
      <c r="G1092" s="507"/>
      <c r="H1092" s="507"/>
      <c r="I1092" s="507"/>
      <c r="J1092" s="507"/>
      <c r="K1092" s="507"/>
      <c r="L1092" s="507"/>
      <c r="M1092" s="507"/>
      <c r="N1092" s="507"/>
      <c r="O1092" s="507"/>
      <c r="P1092" s="507"/>
      <c r="Q1092" s="507"/>
      <c r="R1092" s="507"/>
      <c r="S1092" s="507"/>
      <c r="T1092" s="507"/>
      <c r="U1092" s="507"/>
      <c r="V1092" s="507"/>
      <c r="W1092" s="507"/>
    </row>
    <row r="1093" ht="35.25" customHeight="1">
      <c r="A1093" s="507"/>
      <c r="B1093" s="507"/>
      <c r="C1093" s="507"/>
      <c r="D1093" s="507"/>
      <c r="E1093" s="507"/>
      <c r="F1093" s="507"/>
      <c r="G1093" s="507"/>
      <c r="H1093" s="507"/>
      <c r="I1093" s="507"/>
      <c r="J1093" s="507"/>
      <c r="K1093" s="507"/>
      <c r="L1093" s="507"/>
      <c r="M1093" s="507"/>
      <c r="N1093" s="507"/>
      <c r="O1093" s="507"/>
      <c r="P1093" s="507"/>
      <c r="Q1093" s="507"/>
      <c r="R1093" s="507"/>
      <c r="S1093" s="507"/>
      <c r="T1093" s="507"/>
      <c r="U1093" s="507"/>
      <c r="V1093" s="507"/>
      <c r="W1093" s="507"/>
    </row>
    <row r="1094" ht="35.25" customHeight="1">
      <c r="A1094" s="507"/>
      <c r="B1094" s="507"/>
      <c r="C1094" s="507"/>
      <c r="D1094" s="507"/>
      <c r="E1094" s="507"/>
      <c r="F1094" s="507"/>
      <c r="G1094" s="507"/>
      <c r="H1094" s="507"/>
      <c r="I1094" s="507"/>
      <c r="J1094" s="507"/>
      <c r="K1094" s="507"/>
      <c r="L1094" s="507"/>
      <c r="M1094" s="507"/>
      <c r="N1094" s="507"/>
      <c r="O1094" s="507"/>
      <c r="P1094" s="507"/>
      <c r="Q1094" s="507"/>
      <c r="R1094" s="507"/>
      <c r="S1094" s="507"/>
      <c r="T1094" s="507"/>
      <c r="U1094" s="507"/>
      <c r="V1094" s="507"/>
      <c r="W1094" s="507"/>
    </row>
    <row r="1095" ht="35.25" customHeight="1">
      <c r="A1095" s="507"/>
      <c r="B1095" s="507"/>
      <c r="C1095" s="507"/>
      <c r="D1095" s="507"/>
      <c r="E1095" s="507"/>
      <c r="F1095" s="507"/>
      <c r="G1095" s="507"/>
      <c r="H1095" s="507"/>
      <c r="I1095" s="507"/>
      <c r="J1095" s="507"/>
      <c r="K1095" s="507"/>
      <c r="L1095" s="507"/>
      <c r="M1095" s="507"/>
      <c r="N1095" s="507"/>
      <c r="O1095" s="507"/>
      <c r="P1095" s="507"/>
      <c r="Q1095" s="507"/>
      <c r="R1095" s="507"/>
      <c r="S1095" s="507"/>
      <c r="T1095" s="507"/>
      <c r="U1095" s="507"/>
      <c r="V1095" s="507"/>
      <c r="W1095" s="507"/>
    </row>
    <row r="1096" ht="35.25" customHeight="1">
      <c r="A1096" s="507"/>
      <c r="B1096" s="507"/>
      <c r="C1096" s="507"/>
      <c r="D1096" s="507"/>
      <c r="E1096" s="507"/>
      <c r="F1096" s="507"/>
      <c r="G1096" s="507"/>
      <c r="H1096" s="507"/>
      <c r="I1096" s="507"/>
      <c r="J1096" s="507"/>
      <c r="K1096" s="507"/>
      <c r="L1096" s="507"/>
      <c r="M1096" s="507"/>
      <c r="N1096" s="507"/>
      <c r="O1096" s="507"/>
      <c r="P1096" s="507"/>
      <c r="Q1096" s="507"/>
      <c r="R1096" s="507"/>
      <c r="S1096" s="507"/>
      <c r="T1096" s="507"/>
      <c r="U1096" s="507"/>
      <c r="V1096" s="507"/>
      <c r="W1096" s="507"/>
    </row>
  </sheetData>
  <mergeCells count="291">
    <mergeCell ref="A66:A74"/>
    <mergeCell ref="A75:A78"/>
    <mergeCell ref="A79:A83"/>
    <mergeCell ref="A84:A87"/>
    <mergeCell ref="A88:A93"/>
    <mergeCell ref="A94:A100"/>
    <mergeCell ref="A101:A104"/>
    <mergeCell ref="A105:A110"/>
    <mergeCell ref="A111:A115"/>
    <mergeCell ref="A116:A119"/>
    <mergeCell ref="A120:A123"/>
    <mergeCell ref="A124:A127"/>
    <mergeCell ref="A128:A132"/>
    <mergeCell ref="A133:A137"/>
    <mergeCell ref="A176:A179"/>
    <mergeCell ref="A180:A183"/>
    <mergeCell ref="A184:A188"/>
    <mergeCell ref="A138:A142"/>
    <mergeCell ref="A143:A148"/>
    <mergeCell ref="A153:A156"/>
    <mergeCell ref="A157:A160"/>
    <mergeCell ref="A161:A164"/>
    <mergeCell ref="A165:A171"/>
    <mergeCell ref="A172:A175"/>
    <mergeCell ref="A2:D2"/>
    <mergeCell ref="A4:A9"/>
    <mergeCell ref="D4:D9"/>
    <mergeCell ref="E4:E5"/>
    <mergeCell ref="A10:A15"/>
    <mergeCell ref="F10:F16"/>
    <mergeCell ref="A16:A21"/>
    <mergeCell ref="I27:I29"/>
    <mergeCell ref="I31:I35"/>
    <mergeCell ref="A22:A25"/>
    <mergeCell ref="D22:D25"/>
    <mergeCell ref="F23:G29"/>
    <mergeCell ref="A26:A29"/>
    <mergeCell ref="D26:D29"/>
    <mergeCell ref="D30:D33"/>
    <mergeCell ref="D34:D39"/>
    <mergeCell ref="D105:D110"/>
    <mergeCell ref="D111:D115"/>
    <mergeCell ref="D116:D119"/>
    <mergeCell ref="F117:H117"/>
    <mergeCell ref="F118:H118"/>
    <mergeCell ref="F119:H119"/>
    <mergeCell ref="D120:D123"/>
    <mergeCell ref="D124:D127"/>
    <mergeCell ref="D149:D152"/>
    <mergeCell ref="D189:D193"/>
    <mergeCell ref="D194:D198"/>
    <mergeCell ref="F32:F37"/>
    <mergeCell ref="F41:F44"/>
    <mergeCell ref="F46:F49"/>
    <mergeCell ref="F55:F57"/>
    <mergeCell ref="F76:F79"/>
    <mergeCell ref="F82:F87"/>
    <mergeCell ref="F136:F141"/>
    <mergeCell ref="L243:L247"/>
    <mergeCell ref="L249:L253"/>
    <mergeCell ref="L255:L261"/>
    <mergeCell ref="A258:A261"/>
    <mergeCell ref="D258:D261"/>
    <mergeCell ref="F143:F153"/>
    <mergeCell ref="F165:F173"/>
    <mergeCell ref="I173:I178"/>
    <mergeCell ref="H174:H176"/>
    <mergeCell ref="F175:F176"/>
    <mergeCell ref="F182:F183"/>
    <mergeCell ref="I184:I197"/>
    <mergeCell ref="D10:D15"/>
    <mergeCell ref="D16:D21"/>
    <mergeCell ref="D40:D44"/>
    <mergeCell ref="D46:D49"/>
    <mergeCell ref="D50:D54"/>
    <mergeCell ref="D55:D60"/>
    <mergeCell ref="D61:D65"/>
    <mergeCell ref="D66:D74"/>
    <mergeCell ref="D75:D78"/>
    <mergeCell ref="D79:D83"/>
    <mergeCell ref="D84:D87"/>
    <mergeCell ref="D88:D93"/>
    <mergeCell ref="D94:D100"/>
    <mergeCell ref="D101:D104"/>
    <mergeCell ref="D128:D132"/>
    <mergeCell ref="D133:D137"/>
    <mergeCell ref="D138:D142"/>
    <mergeCell ref="D143:D148"/>
    <mergeCell ref="D153:D156"/>
    <mergeCell ref="D157:D160"/>
    <mergeCell ref="D161:D164"/>
    <mergeCell ref="D165:D171"/>
    <mergeCell ref="D172:D175"/>
    <mergeCell ref="D176:D179"/>
    <mergeCell ref="D180:D183"/>
    <mergeCell ref="D184:D188"/>
    <mergeCell ref="D199:D203"/>
    <mergeCell ref="D204:D208"/>
    <mergeCell ref="D209:D213"/>
    <mergeCell ref="D214:D218"/>
    <mergeCell ref="D219:D225"/>
    <mergeCell ref="D226:D232"/>
    <mergeCell ref="D233:D236"/>
    <mergeCell ref="D237:D242"/>
    <mergeCell ref="D243:D247"/>
    <mergeCell ref="D248:D252"/>
    <mergeCell ref="D253:D257"/>
    <mergeCell ref="D262:D265"/>
    <mergeCell ref="D266:D270"/>
    <mergeCell ref="D271:D275"/>
    <mergeCell ref="D276:D279"/>
    <mergeCell ref="D280:D284"/>
    <mergeCell ref="D285:D289"/>
    <mergeCell ref="D290:D294"/>
    <mergeCell ref="D295:D299"/>
    <mergeCell ref="D300:D304"/>
    <mergeCell ref="D305:D308"/>
    <mergeCell ref="D309:D312"/>
    <mergeCell ref="D313:D316"/>
    <mergeCell ref="A396:A400"/>
    <mergeCell ref="A401:A404"/>
    <mergeCell ref="A405:A409"/>
    <mergeCell ref="A410:A414"/>
    <mergeCell ref="A415:A418"/>
    <mergeCell ref="A419:A422"/>
    <mergeCell ref="A423:A430"/>
    <mergeCell ref="A431:A434"/>
    <mergeCell ref="A435:A439"/>
    <mergeCell ref="A440:A444"/>
    <mergeCell ref="A445:A450"/>
    <mergeCell ref="A451:A456"/>
    <mergeCell ref="A457:A460"/>
    <mergeCell ref="A461:A466"/>
    <mergeCell ref="A467:A471"/>
    <mergeCell ref="A472:A475"/>
    <mergeCell ref="A476:A479"/>
    <mergeCell ref="A480:A484"/>
    <mergeCell ref="A485:A491"/>
    <mergeCell ref="A492:A496"/>
    <mergeCell ref="A497:A500"/>
    <mergeCell ref="A501:A505"/>
    <mergeCell ref="A506:A510"/>
    <mergeCell ref="A511:A514"/>
    <mergeCell ref="A515:A519"/>
    <mergeCell ref="A520:A523"/>
    <mergeCell ref="A524:A529"/>
    <mergeCell ref="A530:A533"/>
    <mergeCell ref="A534:A538"/>
    <mergeCell ref="A539:A543"/>
    <mergeCell ref="A544:A547"/>
    <mergeCell ref="A548:A551"/>
    <mergeCell ref="A552:A555"/>
    <mergeCell ref="A556:A559"/>
    <mergeCell ref="A560:A563"/>
    <mergeCell ref="A596:A600"/>
    <mergeCell ref="A601:A604"/>
    <mergeCell ref="A605:A608"/>
    <mergeCell ref="A609:A612"/>
    <mergeCell ref="A613:A617"/>
    <mergeCell ref="A618:A621"/>
    <mergeCell ref="A622:A626"/>
    <mergeCell ref="A564:A568"/>
    <mergeCell ref="A569:A573"/>
    <mergeCell ref="A574:A577"/>
    <mergeCell ref="A578:A581"/>
    <mergeCell ref="A582:A586"/>
    <mergeCell ref="A587:A590"/>
    <mergeCell ref="A591:A595"/>
    <mergeCell ref="A30:A33"/>
    <mergeCell ref="A34:A39"/>
    <mergeCell ref="A40:A44"/>
    <mergeCell ref="A45:A49"/>
    <mergeCell ref="A50:A54"/>
    <mergeCell ref="A55:A60"/>
    <mergeCell ref="A61:A65"/>
    <mergeCell ref="A149:A152"/>
    <mergeCell ref="A189:A193"/>
    <mergeCell ref="A194:A198"/>
    <mergeCell ref="A199:A203"/>
    <mergeCell ref="A204:A208"/>
    <mergeCell ref="A209:A213"/>
    <mergeCell ref="A214:A218"/>
    <mergeCell ref="A219:A225"/>
    <mergeCell ref="A226:A232"/>
    <mergeCell ref="A233:A236"/>
    <mergeCell ref="A237:A242"/>
    <mergeCell ref="A243:A247"/>
    <mergeCell ref="A248:A252"/>
    <mergeCell ref="A253:A257"/>
    <mergeCell ref="A262:A265"/>
    <mergeCell ref="A266:A270"/>
    <mergeCell ref="A271:A275"/>
    <mergeCell ref="A276:A279"/>
    <mergeCell ref="A280:A284"/>
    <mergeCell ref="A285:A289"/>
    <mergeCell ref="A290:A294"/>
    <mergeCell ref="A295:A299"/>
    <mergeCell ref="A300:A304"/>
    <mergeCell ref="A305:A308"/>
    <mergeCell ref="A309:A312"/>
    <mergeCell ref="A313:A316"/>
    <mergeCell ref="A317:A321"/>
    <mergeCell ref="A322:A325"/>
    <mergeCell ref="A326:A330"/>
    <mergeCell ref="A331:A335"/>
    <mergeCell ref="A336:A340"/>
    <mergeCell ref="A341:A344"/>
    <mergeCell ref="A345:A349"/>
    <mergeCell ref="A350:A354"/>
    <mergeCell ref="A355:A359"/>
    <mergeCell ref="A360:A363"/>
    <mergeCell ref="A364:A367"/>
    <mergeCell ref="A368:A372"/>
    <mergeCell ref="A373:A377"/>
    <mergeCell ref="A378:A385"/>
    <mergeCell ref="A386:A390"/>
    <mergeCell ref="A391:A395"/>
    <mergeCell ref="D501:D505"/>
    <mergeCell ref="D506:D510"/>
    <mergeCell ref="D511:D514"/>
    <mergeCell ref="D515:D519"/>
    <mergeCell ref="D520:D523"/>
    <mergeCell ref="D524:D529"/>
    <mergeCell ref="D530:D533"/>
    <mergeCell ref="D534:D538"/>
    <mergeCell ref="D539:D543"/>
    <mergeCell ref="D544:D547"/>
    <mergeCell ref="D548:D551"/>
    <mergeCell ref="D552:D555"/>
    <mergeCell ref="I552:I555"/>
    <mergeCell ref="I556:I566"/>
    <mergeCell ref="D556:D559"/>
    <mergeCell ref="D560:D563"/>
    <mergeCell ref="D564:D568"/>
    <mergeCell ref="D569:D573"/>
    <mergeCell ref="D574:D577"/>
    <mergeCell ref="D578:D581"/>
    <mergeCell ref="D582:D586"/>
    <mergeCell ref="D618:D621"/>
    <mergeCell ref="D622:D626"/>
    <mergeCell ref="D587:D590"/>
    <mergeCell ref="D591:D595"/>
    <mergeCell ref="D596:D600"/>
    <mergeCell ref="D601:D604"/>
    <mergeCell ref="D605:D608"/>
    <mergeCell ref="D609:D612"/>
    <mergeCell ref="D613:D617"/>
    <mergeCell ref="D317:D321"/>
    <mergeCell ref="D322:D325"/>
    <mergeCell ref="D326:D330"/>
    <mergeCell ref="D331:D335"/>
    <mergeCell ref="D336:D340"/>
    <mergeCell ref="D341:D344"/>
    <mergeCell ref="D345:D349"/>
    <mergeCell ref="D350:D354"/>
    <mergeCell ref="D355:D359"/>
    <mergeCell ref="D360:D363"/>
    <mergeCell ref="D364:D367"/>
    <mergeCell ref="D368:D372"/>
    <mergeCell ref="D373:D377"/>
    <mergeCell ref="D378:D385"/>
    <mergeCell ref="G430:I430"/>
    <mergeCell ref="G431:I431"/>
    <mergeCell ref="D419:D422"/>
    <mergeCell ref="D423:D430"/>
    <mergeCell ref="G423:I423"/>
    <mergeCell ref="G424:I424"/>
    <mergeCell ref="G425:I425"/>
    <mergeCell ref="G426:I426"/>
    <mergeCell ref="G427:I427"/>
    <mergeCell ref="D386:D390"/>
    <mergeCell ref="D391:D395"/>
    <mergeCell ref="D396:D400"/>
    <mergeCell ref="D401:D404"/>
    <mergeCell ref="D405:D409"/>
    <mergeCell ref="D410:D414"/>
    <mergeCell ref="D415:D418"/>
    <mergeCell ref="D431:D434"/>
    <mergeCell ref="D435:D439"/>
    <mergeCell ref="D440:D444"/>
    <mergeCell ref="D445:D450"/>
    <mergeCell ref="D451:D456"/>
    <mergeCell ref="D457:D460"/>
    <mergeCell ref="D461:D466"/>
    <mergeCell ref="D467:D471"/>
    <mergeCell ref="D472:D475"/>
    <mergeCell ref="D476:D479"/>
    <mergeCell ref="D480:D484"/>
    <mergeCell ref="D485:D491"/>
    <mergeCell ref="D492:D496"/>
    <mergeCell ref="D497:D500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49.0"/>
    <col customWidth="1" min="3" max="3" width="25.57"/>
    <col customWidth="1" min="4" max="4" width="34.29"/>
    <col customWidth="1" min="5" max="5" width="38.71"/>
    <col customWidth="1" min="6" max="6" width="49.86"/>
    <col customWidth="1" min="7" max="7" width="27.57"/>
    <col customWidth="1" min="8" max="8" width="18.57"/>
    <col customWidth="1" min="9" max="9" width="27.86"/>
    <col customWidth="1" min="10" max="10" width="39.0"/>
    <col customWidth="1" min="11" max="11" width="26.0"/>
    <col customWidth="1" min="12" max="12" width="30.14"/>
    <col customWidth="1" min="13" max="23" width="8.71"/>
  </cols>
  <sheetData>
    <row r="1" ht="35.25" customHeight="1">
      <c r="A1" s="506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</row>
    <row r="2" ht="35.25" customHeight="1">
      <c r="A2" s="509" t="s">
        <v>721</v>
      </c>
      <c r="B2" s="4"/>
      <c r="C2" s="4"/>
      <c r="D2" s="5"/>
      <c r="E2" s="507"/>
      <c r="F2" s="510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</row>
    <row r="3" ht="35.25" customHeight="1">
      <c r="A3" s="511" t="s">
        <v>1</v>
      </c>
      <c r="B3" s="511"/>
      <c r="C3" s="511" t="s">
        <v>2</v>
      </c>
      <c r="D3" s="511" t="s">
        <v>4</v>
      </c>
      <c r="E3" s="507"/>
      <c r="F3" s="507"/>
      <c r="G3" s="508"/>
      <c r="H3" s="512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</row>
    <row r="4" ht="35.25" customHeight="1">
      <c r="A4" s="513" t="s">
        <v>646</v>
      </c>
      <c r="B4" s="514" t="s">
        <v>722</v>
      </c>
      <c r="C4" s="515">
        <v>5.71005E7</v>
      </c>
      <c r="D4" s="516">
        <f>sum(C4:C5)</f>
        <v>57100500</v>
      </c>
      <c r="E4" s="506"/>
      <c r="F4" s="507"/>
      <c r="G4" s="508"/>
      <c r="H4" s="512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</row>
    <row r="5" ht="35.25" customHeight="1">
      <c r="A5" s="18"/>
      <c r="B5" s="514"/>
      <c r="C5" s="515"/>
      <c r="D5" s="18"/>
      <c r="F5" s="507"/>
      <c r="G5" s="508"/>
      <c r="H5" s="512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</row>
    <row r="6" ht="35.25" customHeight="1">
      <c r="A6" s="18"/>
      <c r="B6" s="514"/>
      <c r="C6" s="515"/>
      <c r="D6" s="18"/>
      <c r="E6" s="507"/>
      <c r="F6" s="507"/>
      <c r="G6" s="508"/>
      <c r="H6" s="512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</row>
    <row r="7" ht="35.25" customHeight="1">
      <c r="A7" s="18"/>
      <c r="B7" s="514"/>
      <c r="C7" s="515"/>
      <c r="D7" s="18"/>
      <c r="E7" s="517"/>
      <c r="F7" s="507"/>
      <c r="G7" s="517"/>
      <c r="H7" s="518"/>
      <c r="I7" s="50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7"/>
      <c r="W7" s="517"/>
    </row>
    <row r="8" ht="35.25" customHeight="1">
      <c r="A8" s="18"/>
      <c r="B8" s="519"/>
      <c r="C8" s="515"/>
      <c r="D8" s="18"/>
      <c r="E8" s="517"/>
      <c r="F8" s="507"/>
      <c r="G8" s="517"/>
      <c r="H8" s="518"/>
      <c r="I8" s="507"/>
      <c r="J8" s="517"/>
      <c r="K8" s="517"/>
      <c r="L8" s="517"/>
      <c r="M8" s="517"/>
      <c r="N8" s="517"/>
      <c r="O8" s="517"/>
      <c r="P8" s="517"/>
      <c r="Q8" s="517"/>
      <c r="R8" s="517"/>
      <c r="S8" s="517"/>
      <c r="T8" s="517"/>
      <c r="U8" s="517"/>
      <c r="V8" s="517"/>
      <c r="W8" s="517"/>
    </row>
    <row r="9" ht="35.25" customHeight="1">
      <c r="A9" s="22"/>
      <c r="B9" s="520"/>
      <c r="C9" s="515"/>
      <c r="D9" s="22"/>
      <c r="E9" s="517"/>
      <c r="F9" s="507"/>
      <c r="G9" s="517"/>
      <c r="H9" s="518"/>
      <c r="I9" s="50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</row>
    <row r="10" ht="35.25" customHeight="1">
      <c r="A10" s="513" t="s">
        <v>650</v>
      </c>
      <c r="B10" s="514"/>
      <c r="C10" s="514"/>
      <c r="D10" s="521">
        <f>sum(C11:C15)</f>
        <v>104698600</v>
      </c>
      <c r="E10" s="507"/>
      <c r="F10" s="522"/>
      <c r="G10" s="508"/>
      <c r="H10" s="512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</row>
    <row r="11" ht="35.25" customHeight="1">
      <c r="A11" s="18"/>
      <c r="B11" s="514" t="s">
        <v>723</v>
      </c>
      <c r="C11" s="515">
        <v>5.35796E7</v>
      </c>
      <c r="D11" s="18"/>
      <c r="E11" s="507"/>
      <c r="G11" s="508"/>
      <c r="H11" s="512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</row>
    <row r="12" ht="35.25" customHeight="1">
      <c r="A12" s="18"/>
      <c r="B12" s="514" t="s">
        <v>724</v>
      </c>
      <c r="C12" s="514">
        <v>1.1595E7</v>
      </c>
      <c r="D12" s="18"/>
      <c r="E12" s="523"/>
      <c r="G12" s="508"/>
      <c r="H12" s="512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</row>
    <row r="13" ht="35.25" customHeight="1">
      <c r="A13" s="18"/>
      <c r="B13" s="514" t="s">
        <v>725</v>
      </c>
      <c r="C13" s="514">
        <v>1.0643E7</v>
      </c>
      <c r="D13" s="18"/>
      <c r="E13" s="523"/>
      <c r="G13" s="508"/>
      <c r="H13" s="512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</row>
    <row r="14" ht="35.25" customHeight="1">
      <c r="A14" s="18"/>
      <c r="B14" s="514" t="s">
        <v>680</v>
      </c>
      <c r="C14" s="514">
        <v>1.1506E7</v>
      </c>
      <c r="D14" s="18"/>
      <c r="E14" s="523"/>
      <c r="G14" s="508"/>
      <c r="H14" s="512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7"/>
      <c r="V14" s="507"/>
      <c r="W14" s="507"/>
    </row>
    <row r="15" ht="35.25" customHeight="1">
      <c r="A15" s="22"/>
      <c r="B15" s="514" t="s">
        <v>722</v>
      </c>
      <c r="C15" s="514">
        <v>1.7375E7</v>
      </c>
      <c r="D15" s="22"/>
      <c r="E15" s="523"/>
      <c r="G15" s="508"/>
      <c r="H15" s="512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  <c r="T15" s="507"/>
      <c r="U15" s="507"/>
      <c r="V15" s="507"/>
      <c r="W15" s="507"/>
    </row>
    <row r="16" ht="35.25" customHeight="1">
      <c r="A16" s="513" t="s">
        <v>654</v>
      </c>
      <c r="B16" s="514"/>
      <c r="C16" s="514"/>
      <c r="D16" s="521">
        <f>sum(C17:C22)</f>
        <v>66250000</v>
      </c>
      <c r="E16" s="507"/>
      <c r="G16" s="508"/>
      <c r="H16" s="512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</row>
    <row r="17" ht="35.25" customHeight="1">
      <c r="A17" s="18"/>
      <c r="B17" s="524" t="s">
        <v>655</v>
      </c>
      <c r="C17" s="514">
        <v>1.685E7</v>
      </c>
      <c r="D17" s="18"/>
      <c r="E17" s="507"/>
      <c r="F17" s="525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</row>
    <row r="18" ht="35.25" customHeight="1">
      <c r="A18" s="18"/>
      <c r="B18" s="514" t="s">
        <v>651</v>
      </c>
      <c r="C18" s="514">
        <v>1.52E7</v>
      </c>
      <c r="D18" s="18"/>
      <c r="E18" s="507"/>
      <c r="F18" s="525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</row>
    <row r="19" ht="35.25" customHeight="1">
      <c r="A19" s="18"/>
      <c r="B19" s="514" t="s">
        <v>723</v>
      </c>
      <c r="C19" s="514">
        <v>1.52E7</v>
      </c>
      <c r="D19" s="18"/>
      <c r="E19" s="507"/>
      <c r="F19" s="525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</row>
    <row r="20" ht="35.25" customHeight="1">
      <c r="A20" s="18"/>
      <c r="B20" s="514" t="s">
        <v>724</v>
      </c>
      <c r="C20" s="514">
        <v>7600000.0</v>
      </c>
      <c r="D20" s="18"/>
      <c r="E20" s="507"/>
      <c r="F20" s="525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</row>
    <row r="21" ht="35.25" customHeight="1">
      <c r="A21" s="18"/>
      <c r="B21" s="514" t="s">
        <v>680</v>
      </c>
      <c r="C21" s="514">
        <v>3800000.0</v>
      </c>
      <c r="D21" s="18"/>
      <c r="E21" s="507"/>
      <c r="F21" s="525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</row>
    <row r="22" ht="35.25" customHeight="1">
      <c r="A22" s="22"/>
      <c r="B22" s="514" t="s">
        <v>722</v>
      </c>
      <c r="C22" s="514">
        <v>7600000.0</v>
      </c>
      <c r="D22" s="22"/>
      <c r="E22" s="507"/>
      <c r="F22" s="525"/>
      <c r="G22" s="507"/>
      <c r="H22" s="507"/>
      <c r="I22" s="507"/>
      <c r="J22" s="507"/>
      <c r="K22" s="507"/>
      <c r="L22" s="507"/>
      <c r="M22" s="507"/>
      <c r="N22" s="507"/>
      <c r="O22" s="507"/>
      <c r="P22" s="507"/>
      <c r="Q22" s="507"/>
      <c r="R22" s="507"/>
      <c r="S22" s="507"/>
      <c r="T22" s="507"/>
      <c r="U22" s="507"/>
      <c r="V22" s="507"/>
      <c r="W22" s="507"/>
    </row>
    <row r="23" ht="35.25" customHeight="1">
      <c r="A23" s="513" t="s">
        <v>18</v>
      </c>
      <c r="B23" s="514"/>
      <c r="C23" s="515"/>
      <c r="D23" s="516">
        <f>sum(C23:C24)</f>
        <v>59735500</v>
      </c>
      <c r="E23" s="525"/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</row>
    <row r="24" ht="35.25" customHeight="1">
      <c r="A24" s="18"/>
      <c r="B24" s="514" t="s">
        <v>722</v>
      </c>
      <c r="C24" s="515">
        <v>5.97355E7</v>
      </c>
      <c r="D24" s="18"/>
      <c r="E24" s="507"/>
      <c r="F24" s="526"/>
      <c r="H24" s="518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</row>
    <row r="25" ht="35.25" customHeight="1">
      <c r="A25" s="18"/>
      <c r="B25" s="514"/>
      <c r="C25" s="515"/>
      <c r="D25" s="18"/>
      <c r="E25" s="507"/>
      <c r="H25" s="518"/>
      <c r="I25" s="507"/>
      <c r="J25" s="507"/>
      <c r="K25" s="507"/>
      <c r="L25" s="507"/>
      <c r="M25" s="507"/>
      <c r="N25" s="507"/>
      <c r="O25" s="507"/>
      <c r="P25" s="507"/>
      <c r="Q25" s="507"/>
      <c r="R25" s="507"/>
      <c r="S25" s="507"/>
      <c r="T25" s="507"/>
      <c r="U25" s="507"/>
      <c r="V25" s="507"/>
      <c r="W25" s="507"/>
    </row>
    <row r="26" ht="35.25" customHeight="1">
      <c r="A26" s="22"/>
      <c r="B26" s="514"/>
      <c r="C26" s="515"/>
      <c r="D26" s="22"/>
      <c r="E26" s="507"/>
      <c r="H26" s="518"/>
      <c r="I26" s="507"/>
      <c r="J26" s="507"/>
      <c r="K26" s="507"/>
      <c r="L26" s="507"/>
      <c r="M26" s="507"/>
      <c r="N26" s="507"/>
      <c r="O26" s="507"/>
      <c r="P26" s="507"/>
      <c r="Q26" s="507"/>
      <c r="R26" s="507"/>
      <c r="S26" s="507"/>
      <c r="T26" s="507"/>
      <c r="U26" s="507"/>
      <c r="V26" s="507"/>
      <c r="W26" s="507"/>
    </row>
    <row r="27" ht="35.25" customHeight="1">
      <c r="A27" s="527" t="s">
        <v>19</v>
      </c>
      <c r="B27" s="514" t="s">
        <v>724</v>
      </c>
      <c r="C27" s="514">
        <v>2.374E7</v>
      </c>
      <c r="D27" s="516">
        <f>sum(C27:C28)</f>
        <v>53240000</v>
      </c>
      <c r="E27" s="507"/>
      <c r="H27" s="518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507"/>
      <c r="W27" s="507"/>
    </row>
    <row r="28" ht="35.25" customHeight="1">
      <c r="A28" s="18"/>
      <c r="B28" s="514" t="s">
        <v>725</v>
      </c>
      <c r="C28" s="515">
        <v>2.95E7</v>
      </c>
      <c r="D28" s="18"/>
      <c r="E28" s="507"/>
      <c r="H28" s="518"/>
      <c r="I28" s="528" t="str">
        <f>#REF!</f>
        <v>#REF!</v>
      </c>
      <c r="J28" s="507"/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507"/>
      <c r="V28" s="507"/>
      <c r="W28" s="507"/>
    </row>
    <row r="29" ht="35.25" customHeight="1">
      <c r="A29" s="18"/>
      <c r="B29" s="514"/>
      <c r="C29" s="514"/>
      <c r="D29" s="18"/>
      <c r="E29" s="525"/>
      <c r="H29" s="518"/>
      <c r="J29" s="507"/>
      <c r="K29" s="507"/>
      <c r="L29" s="507"/>
      <c r="M29" s="507"/>
      <c r="N29" s="507"/>
      <c r="O29" s="507"/>
      <c r="P29" s="507"/>
      <c r="Q29" s="507"/>
      <c r="R29" s="507"/>
      <c r="S29" s="507"/>
      <c r="T29" s="507"/>
      <c r="U29" s="507"/>
      <c r="V29" s="507"/>
      <c r="W29" s="507"/>
    </row>
    <row r="30" ht="35.25" customHeight="1">
      <c r="A30" s="22"/>
      <c r="B30" s="519"/>
      <c r="C30" s="515"/>
      <c r="D30" s="22"/>
      <c r="E30" s="507"/>
      <c r="H30" s="518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</row>
    <row r="31" ht="35.25" customHeight="1">
      <c r="A31" s="513" t="s">
        <v>20</v>
      </c>
      <c r="B31" s="514" t="s">
        <v>680</v>
      </c>
      <c r="C31" s="529">
        <v>4.7583E7</v>
      </c>
      <c r="D31" s="516">
        <f>sum(C31:C32)</f>
        <v>79465000</v>
      </c>
      <c r="E31" s="525"/>
      <c r="F31" s="507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</row>
    <row r="32" ht="35.25" customHeight="1">
      <c r="A32" s="18"/>
      <c r="B32" s="514" t="s">
        <v>722</v>
      </c>
      <c r="C32" s="529">
        <v>3.1882E7</v>
      </c>
      <c r="D32" s="18"/>
      <c r="E32" s="507"/>
      <c r="F32" s="507"/>
      <c r="G32" s="507"/>
      <c r="H32" s="507"/>
      <c r="I32" s="528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</row>
    <row r="33" ht="35.25" customHeight="1">
      <c r="A33" s="18"/>
      <c r="B33" s="514"/>
      <c r="C33" s="529"/>
      <c r="D33" s="18"/>
      <c r="E33" s="507"/>
      <c r="F33" s="530"/>
      <c r="G33" s="508"/>
      <c r="H33" s="531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</row>
    <row r="34" ht="35.25" customHeight="1">
      <c r="A34" s="18"/>
      <c r="B34" s="514"/>
      <c r="C34" s="529"/>
      <c r="D34" s="18"/>
      <c r="E34" s="507"/>
      <c r="G34" s="508"/>
      <c r="H34" s="531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7"/>
      <c r="V34" s="507"/>
      <c r="W34" s="507"/>
    </row>
    <row r="35" ht="35.25" customHeight="1">
      <c r="A35" s="22"/>
      <c r="B35" s="514"/>
      <c r="C35" s="529"/>
      <c r="D35" s="22"/>
      <c r="E35" s="507"/>
      <c r="G35" s="508"/>
      <c r="H35" s="531"/>
      <c r="J35" s="507"/>
      <c r="K35" s="507"/>
      <c r="L35" s="507"/>
      <c r="M35" s="507"/>
      <c r="N35" s="507"/>
      <c r="O35" s="507"/>
      <c r="P35" s="507"/>
      <c r="Q35" s="507"/>
      <c r="R35" s="507"/>
      <c r="S35" s="507"/>
      <c r="T35" s="507"/>
      <c r="U35" s="507"/>
      <c r="V35" s="507"/>
      <c r="W35" s="507"/>
    </row>
    <row r="36" ht="35.25" customHeight="1">
      <c r="A36" s="527" t="s">
        <v>22</v>
      </c>
      <c r="B36" s="514" t="s">
        <v>724</v>
      </c>
      <c r="C36" s="529">
        <v>1.78635E7</v>
      </c>
      <c r="D36" s="516">
        <f>sum(C36:C37)</f>
        <v>26013500</v>
      </c>
      <c r="E36" s="507"/>
      <c r="G36" s="508"/>
      <c r="H36" s="531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</row>
    <row r="37" ht="35.25" customHeight="1">
      <c r="A37" s="18"/>
      <c r="B37" s="514" t="s">
        <v>722</v>
      </c>
      <c r="C37" s="515">
        <v>8150000.0</v>
      </c>
      <c r="D37" s="18"/>
      <c r="E37" s="507"/>
      <c r="G37" s="532"/>
      <c r="H37" s="531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7"/>
      <c r="W37" s="507"/>
    </row>
    <row r="38" ht="35.25" customHeight="1">
      <c r="A38" s="18"/>
      <c r="B38" s="514"/>
      <c r="C38" s="529"/>
      <c r="D38" s="18"/>
      <c r="E38" s="507"/>
      <c r="G38" s="508"/>
      <c r="H38" s="512"/>
      <c r="I38" s="533"/>
      <c r="J38" s="507"/>
      <c r="K38" s="507"/>
      <c r="L38" s="507"/>
      <c r="M38" s="507"/>
      <c r="N38" s="507"/>
      <c r="O38" s="507"/>
      <c r="P38" s="507"/>
      <c r="Q38" s="507"/>
      <c r="R38" s="507"/>
      <c r="S38" s="507"/>
      <c r="T38" s="507"/>
      <c r="U38" s="507"/>
      <c r="V38" s="507"/>
      <c r="W38" s="507"/>
    </row>
    <row r="39" ht="35.25" customHeight="1">
      <c r="A39" s="18"/>
      <c r="B39" s="514"/>
      <c r="C39" s="529"/>
      <c r="D39" s="18"/>
      <c r="E39" s="507"/>
      <c r="G39" s="508"/>
      <c r="H39" s="508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</row>
    <row r="40" ht="35.25" customHeight="1">
      <c r="A40" s="18"/>
      <c r="B40" s="514"/>
      <c r="C40" s="529"/>
      <c r="D40" s="18"/>
      <c r="E40" s="507"/>
      <c r="F40" s="530"/>
      <c r="G40" s="508"/>
      <c r="H40" s="508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</row>
    <row r="41" ht="35.25" customHeight="1">
      <c r="A41" s="22"/>
      <c r="B41" s="524"/>
      <c r="C41" s="529"/>
      <c r="D41" s="22"/>
      <c r="E41" s="507"/>
      <c r="F41" s="530"/>
      <c r="G41" s="508"/>
      <c r="H41" s="508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</row>
    <row r="42" ht="35.25" customHeight="1">
      <c r="A42" s="527" t="s">
        <v>23</v>
      </c>
      <c r="B42" s="514" t="s">
        <v>680</v>
      </c>
      <c r="C42" s="514">
        <v>3.08276E7</v>
      </c>
      <c r="D42" s="516">
        <f>sum(C42:C43)</f>
        <v>58902600</v>
      </c>
      <c r="E42" s="507"/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  <c r="T42" s="507"/>
      <c r="U42" s="507"/>
      <c r="V42" s="507"/>
      <c r="W42" s="507"/>
    </row>
    <row r="43" ht="35.25" customHeight="1">
      <c r="A43" s="18"/>
      <c r="B43" s="514" t="s">
        <v>722</v>
      </c>
      <c r="C43" s="514">
        <v>2.8075E7</v>
      </c>
      <c r="D43" s="18"/>
      <c r="E43" s="507"/>
      <c r="F43" s="526"/>
      <c r="G43" s="534"/>
      <c r="H43" s="535"/>
      <c r="I43" s="507"/>
      <c r="J43" s="507"/>
      <c r="K43" s="507"/>
      <c r="L43" s="507"/>
      <c r="M43" s="507"/>
      <c r="N43" s="507"/>
      <c r="O43" s="507"/>
      <c r="P43" s="507"/>
      <c r="Q43" s="507"/>
      <c r="R43" s="507"/>
      <c r="S43" s="507"/>
      <c r="T43" s="507"/>
      <c r="U43" s="507"/>
      <c r="V43" s="507"/>
      <c r="W43" s="507"/>
    </row>
    <row r="44" ht="35.25" customHeight="1">
      <c r="A44" s="18"/>
      <c r="B44" s="514"/>
      <c r="C44" s="514"/>
      <c r="D44" s="18"/>
      <c r="E44" s="507"/>
      <c r="G44" s="534"/>
      <c r="H44" s="535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</row>
    <row r="45" ht="35.25" customHeight="1">
      <c r="A45" s="18"/>
      <c r="B45" s="514"/>
      <c r="C45" s="514"/>
      <c r="D45" s="18"/>
      <c r="E45" s="507"/>
      <c r="G45" s="534"/>
      <c r="H45" s="535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</row>
    <row r="46" ht="35.25" customHeight="1">
      <c r="A46" s="22"/>
      <c r="B46" s="514"/>
      <c r="C46" s="514"/>
      <c r="D46" s="22"/>
      <c r="E46" s="507"/>
      <c r="G46" s="534"/>
      <c r="H46" s="535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</row>
    <row r="47" ht="35.25" hidden="1" customHeight="1">
      <c r="A47" s="536" t="s">
        <v>26</v>
      </c>
      <c r="B47" s="514" t="s">
        <v>656</v>
      </c>
      <c r="C47" s="515" t="s">
        <v>657</v>
      </c>
      <c r="D47" s="514">
        <v>7.96643E7</v>
      </c>
      <c r="E47" s="507"/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</row>
    <row r="48" ht="35.25" customHeight="1">
      <c r="A48" s="18"/>
      <c r="B48" s="514" t="s">
        <v>722</v>
      </c>
      <c r="C48" s="514">
        <v>8.84441E7</v>
      </c>
      <c r="D48" s="516">
        <f>sum(C48:C49)</f>
        <v>88444100</v>
      </c>
      <c r="E48" s="525"/>
      <c r="F48" s="537"/>
      <c r="G48" s="538"/>
      <c r="H48" s="539"/>
      <c r="I48" s="507"/>
      <c r="J48" s="507"/>
      <c r="K48" s="507"/>
      <c r="L48" s="507"/>
      <c r="M48" s="507"/>
      <c r="N48" s="507"/>
      <c r="O48" s="507"/>
      <c r="P48" s="507"/>
      <c r="Q48" s="507"/>
      <c r="R48" s="507"/>
      <c r="S48" s="507"/>
      <c r="T48" s="507"/>
      <c r="U48" s="507"/>
      <c r="V48" s="507"/>
      <c r="W48" s="507"/>
    </row>
    <row r="49" ht="35.25" customHeight="1">
      <c r="A49" s="18"/>
      <c r="B49" s="514"/>
      <c r="C49" s="514"/>
      <c r="D49" s="18"/>
      <c r="E49" s="507"/>
      <c r="F49" s="18"/>
      <c r="G49" s="540"/>
      <c r="H49" s="541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</row>
    <row r="50" ht="35.25" customHeight="1">
      <c r="A50" s="18"/>
      <c r="B50" s="514"/>
      <c r="C50" s="514"/>
      <c r="D50" s="18"/>
      <c r="E50" s="507"/>
      <c r="F50" s="18"/>
      <c r="G50" s="542"/>
      <c r="H50" s="539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</row>
    <row r="51" ht="35.25" customHeight="1">
      <c r="A51" s="22"/>
      <c r="B51" s="514"/>
      <c r="C51" s="514"/>
      <c r="D51" s="22"/>
      <c r="E51" s="507"/>
      <c r="F51" s="22"/>
      <c r="G51" s="542"/>
      <c r="H51" s="539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</row>
    <row r="52" ht="35.25" customHeight="1">
      <c r="A52" s="513" t="s">
        <v>659</v>
      </c>
      <c r="B52" s="514"/>
      <c r="C52" s="514"/>
      <c r="D52" s="516">
        <f>sum(C53:C57)</f>
        <v>249082000</v>
      </c>
      <c r="E52" s="507"/>
      <c r="F52" s="507"/>
      <c r="G52" s="507"/>
      <c r="H52" s="507"/>
      <c r="I52" s="507"/>
      <c r="J52" s="507"/>
      <c r="K52" s="507"/>
      <c r="L52" s="507"/>
      <c r="M52" s="507"/>
      <c r="N52" s="507"/>
      <c r="O52" s="507"/>
      <c r="P52" s="507"/>
      <c r="Q52" s="507"/>
      <c r="R52" s="507"/>
      <c r="S52" s="507"/>
      <c r="T52" s="507"/>
      <c r="U52" s="507"/>
      <c r="V52" s="507"/>
      <c r="W52" s="507"/>
    </row>
    <row r="53" ht="35.25" customHeight="1">
      <c r="A53" s="18"/>
      <c r="B53" s="514" t="s">
        <v>723</v>
      </c>
      <c r="C53" s="514">
        <v>9.169E7</v>
      </c>
      <c r="D53" s="18"/>
      <c r="E53" s="507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  <c r="T53" s="507"/>
      <c r="U53" s="507"/>
      <c r="V53" s="507"/>
      <c r="W53" s="507"/>
    </row>
    <row r="54" ht="35.25" customHeight="1">
      <c r="A54" s="18"/>
      <c r="B54" s="514" t="s">
        <v>724</v>
      </c>
      <c r="C54" s="514">
        <v>3.44231E7</v>
      </c>
      <c r="D54" s="18"/>
      <c r="E54" s="507"/>
      <c r="F54" s="507"/>
      <c r="G54" s="507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</row>
    <row r="55" ht="35.25" customHeight="1">
      <c r="A55" s="18"/>
      <c r="B55" s="514" t="s">
        <v>725</v>
      </c>
      <c r="C55" s="514">
        <v>4.00034E7</v>
      </c>
      <c r="D55" s="18"/>
      <c r="E55" s="507"/>
      <c r="F55" s="507"/>
      <c r="G55" s="507"/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</row>
    <row r="56" ht="35.25" customHeight="1">
      <c r="A56" s="18"/>
      <c r="B56" s="514" t="s">
        <v>680</v>
      </c>
      <c r="C56" s="514">
        <v>4.92012E7</v>
      </c>
      <c r="D56" s="18"/>
      <c r="E56" s="507"/>
      <c r="F56" s="507"/>
      <c r="G56" s="507"/>
      <c r="H56" s="507"/>
      <c r="I56" s="507"/>
      <c r="J56" s="507"/>
      <c r="K56" s="507"/>
      <c r="L56" s="507"/>
      <c r="M56" s="507"/>
      <c r="N56" s="507"/>
      <c r="O56" s="507"/>
      <c r="P56" s="507"/>
      <c r="Q56" s="507"/>
      <c r="R56" s="507"/>
      <c r="S56" s="507"/>
      <c r="T56" s="507"/>
      <c r="U56" s="507"/>
      <c r="V56" s="507"/>
      <c r="W56" s="507"/>
    </row>
    <row r="57" ht="35.25" customHeight="1">
      <c r="A57" s="22"/>
      <c r="B57" s="514" t="s">
        <v>722</v>
      </c>
      <c r="C57" s="514">
        <v>3.37643E7</v>
      </c>
      <c r="D57" s="22"/>
      <c r="E57" s="507"/>
      <c r="F57" s="507"/>
      <c r="G57" s="507"/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</row>
    <row r="58" ht="35.25" customHeight="1">
      <c r="A58" s="513" t="s">
        <v>30</v>
      </c>
      <c r="B58" s="514"/>
      <c r="C58" s="529"/>
      <c r="D58" s="516">
        <v>5.00218E7</v>
      </c>
      <c r="E58" s="507"/>
      <c r="F58" s="530"/>
      <c r="G58" s="508"/>
      <c r="H58" s="531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</row>
    <row r="59" ht="35.25" customHeight="1">
      <c r="A59" s="18"/>
      <c r="B59" s="514" t="s">
        <v>722</v>
      </c>
      <c r="C59" s="515">
        <v>5.00218E7</v>
      </c>
      <c r="D59" s="18"/>
      <c r="E59" s="507"/>
      <c r="G59" s="508"/>
      <c r="H59" s="531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</row>
    <row r="60" ht="35.25" customHeight="1">
      <c r="A60" s="18"/>
      <c r="B60" s="514"/>
      <c r="C60" s="529"/>
      <c r="D60" s="18"/>
      <c r="E60" s="507"/>
      <c r="G60" s="532"/>
      <c r="H60" s="531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</row>
    <row r="61" ht="35.25" customHeight="1">
      <c r="A61" s="18"/>
      <c r="B61" s="514"/>
      <c r="C61" s="529"/>
      <c r="D61" s="18"/>
      <c r="E61" s="507"/>
      <c r="F61" s="530"/>
      <c r="G61" s="532"/>
      <c r="H61" s="531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</row>
    <row r="62" ht="35.25" customHeight="1">
      <c r="A62" s="18"/>
      <c r="B62" s="514"/>
      <c r="C62" s="529"/>
      <c r="D62" s="18"/>
      <c r="E62" s="507"/>
      <c r="F62" s="530"/>
      <c r="G62" s="532"/>
      <c r="H62" s="531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</row>
    <row r="63" ht="35.25" customHeight="1">
      <c r="A63" s="22"/>
      <c r="B63" s="514"/>
      <c r="C63" s="529"/>
      <c r="D63" s="22"/>
      <c r="E63" s="507"/>
      <c r="F63" s="530"/>
      <c r="G63" s="532"/>
      <c r="H63" s="531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</row>
    <row r="64" ht="35.25" customHeight="1">
      <c r="A64" s="513" t="s">
        <v>660</v>
      </c>
      <c r="B64" s="524"/>
      <c r="C64" s="515"/>
      <c r="D64" s="521">
        <f>sum(C65:C69)</f>
        <v>146413000</v>
      </c>
      <c r="E64" s="525"/>
      <c r="F64" s="507"/>
      <c r="G64" s="507"/>
      <c r="H64" s="507"/>
      <c r="I64" s="507"/>
      <c r="J64" s="543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</row>
    <row r="65" ht="35.25" customHeight="1">
      <c r="A65" s="18"/>
      <c r="B65" s="514" t="s">
        <v>651</v>
      </c>
      <c r="C65" s="544">
        <v>4.5658E7</v>
      </c>
      <c r="D65" s="18"/>
      <c r="E65" s="525"/>
      <c r="F65" s="507"/>
      <c r="G65" s="507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</row>
    <row r="66" ht="35.25" customHeight="1">
      <c r="A66" s="18"/>
      <c r="B66" s="514" t="s">
        <v>723</v>
      </c>
      <c r="C66" s="544">
        <v>3.7208E7</v>
      </c>
      <c r="D66" s="18"/>
      <c r="E66" s="525"/>
      <c r="F66" s="507"/>
      <c r="G66" s="507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</row>
    <row r="67" ht="35.25" customHeight="1">
      <c r="A67" s="18"/>
      <c r="B67" s="514" t="s">
        <v>724</v>
      </c>
      <c r="C67" s="544">
        <v>3.4678E7</v>
      </c>
      <c r="D67" s="18"/>
      <c r="E67" s="525"/>
      <c r="F67" s="507"/>
      <c r="G67" s="507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</row>
    <row r="68" ht="35.25" customHeight="1">
      <c r="A68" s="18"/>
      <c r="B68" s="514" t="s">
        <v>725</v>
      </c>
      <c r="C68" s="544">
        <v>5413000.0</v>
      </c>
      <c r="D68" s="18"/>
      <c r="E68" s="525"/>
      <c r="F68" s="507"/>
      <c r="G68" s="507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</row>
    <row r="69" ht="35.25" customHeight="1">
      <c r="A69" s="22"/>
      <c r="B69" s="514" t="s">
        <v>722</v>
      </c>
      <c r="C69" s="544">
        <v>2.3456E7</v>
      </c>
      <c r="D69" s="22"/>
      <c r="E69" s="525"/>
      <c r="F69" s="507"/>
      <c r="G69" s="507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</row>
    <row r="70" ht="35.25" customHeight="1">
      <c r="A70" s="513" t="s">
        <v>661</v>
      </c>
      <c r="B70" s="545"/>
      <c r="C70" s="546"/>
      <c r="D70" s="521">
        <f>sum(C73:C78)</f>
        <v>387566000</v>
      </c>
      <c r="E70" s="507"/>
      <c r="F70" s="530"/>
      <c r="G70" s="508"/>
      <c r="H70" s="508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</row>
    <row r="71" ht="35.25" customHeight="1">
      <c r="A71" s="18"/>
      <c r="B71" s="524"/>
      <c r="C71" s="529"/>
      <c r="D71" s="18"/>
      <c r="E71" s="507"/>
      <c r="F71" s="530"/>
      <c r="G71" s="508"/>
      <c r="H71" s="508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</row>
    <row r="72" ht="35.25" customHeight="1">
      <c r="A72" s="18"/>
      <c r="B72" s="524"/>
      <c r="C72" s="529"/>
      <c r="D72" s="18"/>
      <c r="E72" s="507"/>
      <c r="F72" s="530"/>
      <c r="G72" s="508"/>
      <c r="H72" s="508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</row>
    <row r="73" ht="35.25" customHeight="1">
      <c r="A73" s="18"/>
      <c r="B73" s="514" t="s">
        <v>651</v>
      </c>
      <c r="C73" s="529">
        <v>6.9464E7</v>
      </c>
      <c r="D73" s="18"/>
      <c r="E73" s="507"/>
      <c r="F73" s="530"/>
      <c r="G73" s="508"/>
      <c r="H73" s="508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</row>
    <row r="74" ht="35.25" customHeight="1">
      <c r="A74" s="18"/>
      <c r="B74" s="514" t="s">
        <v>723</v>
      </c>
      <c r="C74" s="529">
        <v>1.08513E8</v>
      </c>
      <c r="D74" s="18"/>
      <c r="E74" s="507"/>
      <c r="F74" s="530"/>
      <c r="G74" s="508"/>
      <c r="H74" s="508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</row>
    <row r="75" ht="35.25" customHeight="1">
      <c r="A75" s="18"/>
      <c r="B75" s="514" t="s">
        <v>724</v>
      </c>
      <c r="C75" s="529">
        <v>6.7289E7</v>
      </c>
      <c r="D75" s="18"/>
      <c r="E75" s="507"/>
      <c r="F75" s="530"/>
      <c r="G75" s="508"/>
      <c r="H75" s="508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</row>
    <row r="76" ht="35.25" customHeight="1">
      <c r="A76" s="18"/>
      <c r="B76" s="514" t="s">
        <v>725</v>
      </c>
      <c r="C76" s="529">
        <v>4.4235E7</v>
      </c>
      <c r="D76" s="18"/>
      <c r="E76" s="507"/>
      <c r="F76" s="530"/>
      <c r="G76" s="508"/>
      <c r="H76" s="508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</row>
    <row r="77" ht="35.25" customHeight="1">
      <c r="A77" s="18"/>
      <c r="B77" s="514" t="s">
        <v>680</v>
      </c>
      <c r="C77" s="529">
        <v>2.80385E7</v>
      </c>
      <c r="D77" s="18"/>
      <c r="E77" s="507"/>
      <c r="F77" s="530"/>
      <c r="G77" s="508"/>
      <c r="H77" s="508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</row>
    <row r="78" ht="35.25" customHeight="1">
      <c r="A78" s="22"/>
      <c r="B78" s="514" t="s">
        <v>722</v>
      </c>
      <c r="C78" s="529">
        <v>7.00265E7</v>
      </c>
      <c r="D78" s="22"/>
      <c r="E78" s="507"/>
      <c r="F78" s="530"/>
      <c r="G78" s="508"/>
      <c r="H78" s="508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  <c r="T78" s="507"/>
      <c r="U78" s="507"/>
      <c r="V78" s="507"/>
      <c r="W78" s="507"/>
    </row>
    <row r="79" ht="35.25" customHeight="1">
      <c r="A79" s="513" t="s">
        <v>33</v>
      </c>
      <c r="B79" s="514"/>
      <c r="C79" s="529"/>
      <c r="D79" s="516">
        <f>sum(C80:C81)</f>
        <v>249564000</v>
      </c>
      <c r="E79" s="507"/>
      <c r="F79" s="530"/>
      <c r="G79" s="547"/>
      <c r="H79" s="546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/>
      <c r="V79" s="507"/>
      <c r="W79" s="507"/>
    </row>
    <row r="80" ht="35.25" customHeight="1">
      <c r="A80" s="18"/>
      <c r="B80" s="514" t="s">
        <v>680</v>
      </c>
      <c r="C80" s="529">
        <v>1.75011E8</v>
      </c>
      <c r="D80" s="18"/>
      <c r="E80" s="507"/>
      <c r="F80" s="530"/>
      <c r="G80" s="547"/>
      <c r="H80" s="546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</row>
    <row r="81" ht="35.25" customHeight="1">
      <c r="A81" s="18"/>
      <c r="B81" s="514" t="s">
        <v>722</v>
      </c>
      <c r="C81" s="529">
        <v>7.4553E7</v>
      </c>
      <c r="D81" s="18"/>
      <c r="E81" s="507"/>
      <c r="G81" s="547"/>
      <c r="H81" s="546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</row>
    <row r="82" ht="35.25" customHeight="1">
      <c r="A82" s="22"/>
      <c r="B82" s="514" t="s">
        <v>726</v>
      </c>
      <c r="C82" s="529"/>
      <c r="D82" s="22"/>
      <c r="E82" s="507"/>
      <c r="G82" s="547"/>
      <c r="H82" s="546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  <c r="T82" s="507"/>
      <c r="U82" s="507"/>
      <c r="V82" s="507"/>
      <c r="W82" s="507"/>
    </row>
    <row r="83" ht="35.25" customHeight="1">
      <c r="A83" s="527" t="s">
        <v>35</v>
      </c>
      <c r="B83" s="514"/>
      <c r="C83" s="514"/>
      <c r="D83" s="516">
        <v>1.28406E7</v>
      </c>
      <c r="E83" s="507"/>
      <c r="G83" s="547"/>
      <c r="H83" s="546"/>
      <c r="I83" s="507"/>
      <c r="J83" s="507"/>
      <c r="K83" s="507"/>
      <c r="L83" s="507"/>
      <c r="M83" s="507"/>
      <c r="N83" s="507"/>
      <c r="O83" s="507"/>
      <c r="P83" s="507"/>
      <c r="Q83" s="507"/>
      <c r="R83" s="507"/>
      <c r="S83" s="507"/>
      <c r="T83" s="507"/>
      <c r="U83" s="507"/>
      <c r="V83" s="507"/>
      <c r="W83" s="507"/>
    </row>
    <row r="84" ht="35.25" customHeight="1">
      <c r="A84" s="18"/>
      <c r="B84" s="514"/>
      <c r="C84" s="514"/>
      <c r="D84" s="18"/>
      <c r="E84" s="507"/>
      <c r="F84" s="530"/>
      <c r="G84" s="547"/>
      <c r="H84" s="546"/>
      <c r="I84" s="507"/>
      <c r="J84" s="507"/>
      <c r="K84" s="507"/>
      <c r="L84" s="507"/>
      <c r="M84" s="507"/>
      <c r="N84" s="507"/>
      <c r="O84" s="507"/>
      <c r="P84" s="507"/>
      <c r="Q84" s="507"/>
      <c r="R84" s="507"/>
      <c r="S84" s="507"/>
      <c r="T84" s="507"/>
      <c r="U84" s="507"/>
      <c r="V84" s="507"/>
      <c r="W84" s="507"/>
    </row>
    <row r="85" ht="35.25" customHeight="1">
      <c r="A85" s="18"/>
      <c r="B85" s="514" t="s">
        <v>722</v>
      </c>
      <c r="C85" s="514">
        <v>1.28406E7</v>
      </c>
      <c r="D85" s="18"/>
      <c r="E85" s="525"/>
      <c r="F85" s="507"/>
      <c r="G85" s="524"/>
      <c r="H85" s="546"/>
      <c r="I85" s="507"/>
      <c r="J85" s="507"/>
      <c r="K85" s="507"/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507"/>
      <c r="W85" s="507"/>
    </row>
    <row r="86" ht="35.25" customHeight="1">
      <c r="A86" s="18"/>
      <c r="B86" s="514"/>
      <c r="C86" s="514"/>
      <c r="D86" s="18"/>
      <c r="E86" s="507"/>
      <c r="F86" s="548"/>
      <c r="G86" s="549"/>
      <c r="H86" s="546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507"/>
      <c r="W86" s="507"/>
    </row>
    <row r="87" ht="35.25" customHeight="1">
      <c r="A87" s="22"/>
      <c r="B87" s="524"/>
      <c r="C87" s="514"/>
      <c r="D87" s="22"/>
      <c r="E87" s="507"/>
      <c r="G87" s="550"/>
      <c r="H87" s="546"/>
      <c r="I87" s="507"/>
      <c r="J87" s="507"/>
      <c r="K87" s="5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507"/>
      <c r="W87" s="507"/>
    </row>
    <row r="88" ht="35.25" customHeight="1">
      <c r="A88" s="527" t="s">
        <v>36</v>
      </c>
      <c r="B88" s="514"/>
      <c r="C88" s="529"/>
      <c r="D88" s="516">
        <v>2.57914E7</v>
      </c>
      <c r="E88" s="507"/>
      <c r="G88" s="550"/>
      <c r="H88" s="546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  <c r="V88" s="507"/>
      <c r="W88" s="507"/>
    </row>
    <row r="89" ht="35.25" customHeight="1">
      <c r="A89" s="18"/>
      <c r="B89" s="514"/>
      <c r="C89" s="529"/>
      <c r="D89" s="18"/>
      <c r="E89" s="507"/>
      <c r="G89" s="551"/>
      <c r="H89" s="531"/>
      <c r="I89" s="507"/>
      <c r="J89" s="507"/>
      <c r="K89" s="507"/>
      <c r="L89" s="507"/>
      <c r="M89" s="507"/>
      <c r="N89" s="507"/>
      <c r="O89" s="507"/>
      <c r="P89" s="507"/>
      <c r="Q89" s="507"/>
      <c r="R89" s="507"/>
      <c r="S89" s="507"/>
      <c r="T89" s="507"/>
      <c r="U89" s="507"/>
      <c r="V89" s="507"/>
      <c r="W89" s="507"/>
    </row>
    <row r="90" ht="35.25" customHeight="1">
      <c r="A90" s="18"/>
      <c r="B90" s="514" t="s">
        <v>722</v>
      </c>
      <c r="C90" s="529">
        <v>2.57914E7</v>
      </c>
      <c r="D90" s="18"/>
      <c r="E90" s="525"/>
      <c r="G90" s="532"/>
      <c r="H90" s="531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  <c r="V90" s="507"/>
      <c r="W90" s="507"/>
    </row>
    <row r="91" ht="35.25" customHeight="1">
      <c r="A91" s="22"/>
      <c r="B91" s="514"/>
      <c r="C91" s="529"/>
      <c r="D91" s="22"/>
      <c r="E91" s="507"/>
      <c r="G91" s="551"/>
      <c r="H91" s="531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  <c r="T91" s="507"/>
      <c r="U91" s="507"/>
      <c r="V91" s="507"/>
      <c r="W91" s="507"/>
    </row>
    <row r="92" ht="35.25" customHeight="1">
      <c r="A92" s="513" t="s">
        <v>37</v>
      </c>
      <c r="B92" s="514" t="s">
        <v>723</v>
      </c>
      <c r="C92" s="552">
        <v>7.07735E7</v>
      </c>
      <c r="D92" s="521">
        <f>sum(C92:C96)</f>
        <v>240952000</v>
      </c>
      <c r="E92" s="507"/>
      <c r="F92" s="530"/>
      <c r="G92" s="508"/>
      <c r="H92" s="531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  <c r="T92" s="507"/>
      <c r="U92" s="507"/>
      <c r="V92" s="507"/>
      <c r="W92" s="507"/>
    </row>
    <row r="93" ht="35.25" customHeight="1">
      <c r="A93" s="18"/>
      <c r="B93" s="514" t="s">
        <v>724</v>
      </c>
      <c r="C93" s="552">
        <v>4.28975E7</v>
      </c>
      <c r="D93" s="18"/>
      <c r="E93" s="507"/>
      <c r="F93" s="530"/>
      <c r="G93" s="508"/>
      <c r="H93" s="531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  <c r="T93" s="507"/>
      <c r="U93" s="507"/>
      <c r="V93" s="507"/>
      <c r="W93" s="507"/>
    </row>
    <row r="94" ht="35.25" customHeight="1">
      <c r="A94" s="18"/>
      <c r="B94" s="514" t="s">
        <v>725</v>
      </c>
      <c r="C94" s="552">
        <v>3.9198E7</v>
      </c>
      <c r="D94" s="18"/>
      <c r="E94" s="507"/>
      <c r="F94" s="530"/>
      <c r="G94" s="508"/>
      <c r="H94" s="531"/>
      <c r="I94" s="507"/>
      <c r="J94" s="507"/>
      <c r="K94" s="507"/>
      <c r="L94" s="507"/>
      <c r="M94" s="507"/>
      <c r="N94" s="507"/>
      <c r="O94" s="507"/>
      <c r="P94" s="507"/>
      <c r="Q94" s="507"/>
      <c r="R94" s="507"/>
      <c r="S94" s="507"/>
      <c r="T94" s="507"/>
      <c r="U94" s="507"/>
      <c r="V94" s="507"/>
      <c r="W94" s="507"/>
    </row>
    <row r="95" ht="35.25" customHeight="1">
      <c r="A95" s="18"/>
      <c r="B95" s="514" t="s">
        <v>680</v>
      </c>
      <c r="C95" s="552">
        <v>3.5747E7</v>
      </c>
      <c r="D95" s="18"/>
      <c r="E95" s="507"/>
      <c r="F95" s="530"/>
      <c r="G95" s="508"/>
      <c r="H95" s="531"/>
      <c r="I95" s="507"/>
      <c r="J95" s="507"/>
      <c r="K95" s="507"/>
      <c r="L95" s="507"/>
      <c r="M95" s="507"/>
      <c r="N95" s="507"/>
      <c r="O95" s="507"/>
      <c r="P95" s="507"/>
      <c r="Q95" s="507"/>
      <c r="R95" s="507"/>
      <c r="S95" s="507"/>
      <c r="T95" s="507"/>
      <c r="U95" s="507"/>
      <c r="V95" s="507"/>
      <c r="W95" s="507"/>
    </row>
    <row r="96" ht="35.25" customHeight="1">
      <c r="A96" s="18"/>
      <c r="B96" s="514" t="s">
        <v>722</v>
      </c>
      <c r="C96" s="552">
        <v>5.2336E7</v>
      </c>
      <c r="D96" s="18"/>
      <c r="E96" s="507"/>
      <c r="F96" s="530"/>
      <c r="G96" s="508"/>
      <c r="H96" s="531"/>
      <c r="I96" s="507"/>
      <c r="J96" s="507"/>
      <c r="K96" s="507"/>
      <c r="L96" s="507"/>
      <c r="M96" s="507"/>
      <c r="N96" s="507"/>
      <c r="O96" s="507"/>
      <c r="P96" s="507"/>
      <c r="Q96" s="507"/>
      <c r="R96" s="507"/>
      <c r="S96" s="507"/>
      <c r="T96" s="507"/>
      <c r="U96" s="507"/>
      <c r="V96" s="507"/>
      <c r="W96" s="507"/>
    </row>
    <row r="97" ht="35.25" customHeight="1">
      <c r="A97" s="22"/>
      <c r="B97" s="514"/>
      <c r="C97" s="552"/>
      <c r="D97" s="22"/>
      <c r="E97" s="507"/>
      <c r="F97" s="530"/>
      <c r="G97" s="508"/>
      <c r="H97" s="531"/>
      <c r="I97" s="507"/>
      <c r="J97" s="507"/>
      <c r="K97" s="507"/>
      <c r="L97" s="507"/>
      <c r="M97" s="507"/>
      <c r="N97" s="507"/>
      <c r="O97" s="507"/>
      <c r="P97" s="507"/>
      <c r="Q97" s="507"/>
      <c r="R97" s="507"/>
      <c r="S97" s="507"/>
      <c r="T97" s="507"/>
      <c r="U97" s="507"/>
      <c r="V97" s="507"/>
      <c r="W97" s="507"/>
    </row>
    <row r="98" ht="35.25" customHeight="1">
      <c r="A98" s="553" t="s">
        <v>663</v>
      </c>
      <c r="B98" s="545"/>
      <c r="C98" s="552"/>
      <c r="D98" s="521">
        <f>sum(C100:C104)</f>
        <v>189105500</v>
      </c>
      <c r="E98" s="507"/>
      <c r="F98" s="530"/>
      <c r="G98" s="508"/>
      <c r="H98" s="531"/>
      <c r="I98" s="507"/>
      <c r="J98" s="507"/>
      <c r="K98" s="507"/>
      <c r="L98" s="507"/>
      <c r="M98" s="507"/>
      <c r="N98" s="507"/>
      <c r="O98" s="507"/>
      <c r="P98" s="507"/>
      <c r="Q98" s="507"/>
      <c r="R98" s="507"/>
      <c r="S98" s="507"/>
      <c r="T98" s="507"/>
      <c r="U98" s="507"/>
      <c r="V98" s="507"/>
      <c r="W98" s="507"/>
    </row>
    <row r="99" ht="35.25" customHeight="1">
      <c r="A99" s="18"/>
      <c r="B99" s="514"/>
      <c r="C99" s="552"/>
      <c r="D99" s="18"/>
      <c r="E99" s="507"/>
      <c r="F99" s="530"/>
      <c r="G99" s="508"/>
      <c r="H99" s="531"/>
      <c r="I99" s="507"/>
      <c r="J99" s="507"/>
      <c r="K99" s="507"/>
      <c r="L99" s="507"/>
      <c r="M99" s="507"/>
      <c r="N99" s="507"/>
      <c r="O99" s="507"/>
      <c r="P99" s="507"/>
      <c r="Q99" s="507"/>
      <c r="R99" s="507"/>
      <c r="S99" s="507"/>
      <c r="T99" s="507"/>
      <c r="U99" s="507"/>
      <c r="V99" s="507"/>
      <c r="W99" s="507"/>
    </row>
    <row r="100" ht="35.25" customHeight="1">
      <c r="A100" s="18"/>
      <c r="B100" s="514" t="s">
        <v>723</v>
      </c>
      <c r="C100" s="552">
        <v>3.1126E7</v>
      </c>
      <c r="D100" s="18"/>
      <c r="E100" s="507"/>
      <c r="F100" s="530"/>
      <c r="G100" s="508"/>
      <c r="H100" s="531"/>
      <c r="I100" s="507"/>
      <c r="J100" s="507"/>
      <c r="K100" s="507"/>
      <c r="L100" s="507"/>
      <c r="M100" s="507"/>
      <c r="N100" s="507"/>
      <c r="O100" s="507"/>
      <c r="P100" s="507"/>
      <c r="Q100" s="507"/>
      <c r="R100" s="507"/>
      <c r="S100" s="507"/>
      <c r="T100" s="507"/>
      <c r="U100" s="507"/>
      <c r="V100" s="507"/>
      <c r="W100" s="507"/>
    </row>
    <row r="101" ht="35.25" customHeight="1">
      <c r="A101" s="18"/>
      <c r="B101" s="514" t="s">
        <v>664</v>
      </c>
      <c r="C101" s="552">
        <v>5424000.0</v>
      </c>
      <c r="D101" s="18"/>
      <c r="E101" s="507"/>
      <c r="F101" s="530"/>
      <c r="G101" s="508"/>
      <c r="H101" s="531"/>
      <c r="I101" s="507"/>
      <c r="J101" s="507"/>
      <c r="K101" s="507"/>
      <c r="L101" s="507"/>
      <c r="M101" s="507"/>
      <c r="N101" s="507"/>
      <c r="O101" s="507"/>
      <c r="P101" s="507"/>
      <c r="Q101" s="507"/>
      <c r="R101" s="507"/>
      <c r="S101" s="507"/>
      <c r="T101" s="507"/>
      <c r="U101" s="507"/>
      <c r="V101" s="507"/>
      <c r="W101" s="507"/>
    </row>
    <row r="102" ht="35.25" customHeight="1">
      <c r="A102" s="18"/>
      <c r="B102" s="514" t="s">
        <v>724</v>
      </c>
      <c r="C102" s="552">
        <v>4.3744E7</v>
      </c>
      <c r="D102" s="18"/>
      <c r="E102" s="507"/>
      <c r="F102" s="530"/>
      <c r="G102" s="508"/>
      <c r="H102" s="531"/>
      <c r="I102" s="507"/>
      <c r="J102" s="507"/>
      <c r="K102" s="507"/>
      <c r="L102" s="507"/>
      <c r="M102" s="507"/>
      <c r="N102" s="507"/>
      <c r="O102" s="507"/>
      <c r="P102" s="507"/>
      <c r="Q102" s="507"/>
      <c r="R102" s="507"/>
      <c r="S102" s="507"/>
      <c r="T102" s="507"/>
      <c r="U102" s="507"/>
      <c r="V102" s="507"/>
      <c r="W102" s="507"/>
    </row>
    <row r="103" ht="35.25" customHeight="1">
      <c r="A103" s="18"/>
      <c r="B103" s="514" t="s">
        <v>725</v>
      </c>
      <c r="C103" s="552">
        <v>4.4235E7</v>
      </c>
      <c r="D103" s="18"/>
      <c r="E103" s="507"/>
      <c r="F103" s="530"/>
      <c r="G103" s="508"/>
      <c r="H103" s="531"/>
      <c r="I103" s="507"/>
      <c r="J103" s="507"/>
      <c r="K103" s="507"/>
      <c r="L103" s="507"/>
      <c r="M103" s="507"/>
      <c r="N103" s="507"/>
      <c r="O103" s="507"/>
      <c r="P103" s="507"/>
      <c r="Q103" s="507"/>
      <c r="R103" s="507"/>
      <c r="S103" s="507"/>
      <c r="T103" s="507"/>
      <c r="U103" s="507"/>
      <c r="V103" s="507"/>
      <c r="W103" s="507"/>
    </row>
    <row r="104" ht="35.25" customHeight="1">
      <c r="A104" s="22"/>
      <c r="B104" s="514" t="s">
        <v>722</v>
      </c>
      <c r="C104" s="552">
        <v>6.45765E7</v>
      </c>
      <c r="D104" s="22"/>
      <c r="E104" s="507"/>
      <c r="F104" s="530"/>
      <c r="G104" s="508"/>
      <c r="H104" s="531"/>
      <c r="I104" s="507"/>
      <c r="J104" s="507"/>
      <c r="K104" s="507"/>
      <c r="L104" s="507"/>
      <c r="M104" s="507"/>
      <c r="N104" s="507"/>
      <c r="O104" s="507"/>
      <c r="P104" s="507"/>
      <c r="Q104" s="507"/>
      <c r="R104" s="507"/>
      <c r="S104" s="507"/>
      <c r="T104" s="507"/>
      <c r="U104" s="507"/>
      <c r="V104" s="507"/>
      <c r="W104" s="507"/>
    </row>
    <row r="105" ht="35.25" customHeight="1">
      <c r="A105" s="527" t="s">
        <v>40</v>
      </c>
      <c r="B105" s="514" t="s">
        <v>680</v>
      </c>
      <c r="C105" s="529">
        <v>3.8225E7</v>
      </c>
      <c r="D105" s="516">
        <f>sum(C105:C106)</f>
        <v>96448000</v>
      </c>
      <c r="E105" s="507"/>
      <c r="F105" s="530"/>
      <c r="G105" s="512"/>
      <c r="H105" s="512"/>
      <c r="I105" s="507"/>
      <c r="J105" s="507"/>
      <c r="K105" s="507"/>
      <c r="L105" s="507"/>
      <c r="M105" s="507"/>
      <c r="N105" s="507"/>
      <c r="O105" s="507"/>
      <c r="P105" s="507"/>
      <c r="Q105" s="507"/>
      <c r="R105" s="507"/>
      <c r="S105" s="507"/>
      <c r="T105" s="507"/>
      <c r="U105" s="507"/>
      <c r="V105" s="507"/>
      <c r="W105" s="507"/>
    </row>
    <row r="106" ht="35.25" customHeight="1">
      <c r="A106" s="18"/>
      <c r="B106" s="514" t="s">
        <v>722</v>
      </c>
      <c r="C106" s="529">
        <v>5.8223E7</v>
      </c>
      <c r="D106" s="18"/>
      <c r="E106" s="507"/>
      <c r="F106" s="530"/>
      <c r="G106" s="508"/>
      <c r="H106" s="512"/>
      <c r="I106" s="507"/>
      <c r="J106" s="507"/>
      <c r="K106" s="507"/>
      <c r="L106" s="507"/>
      <c r="M106" s="507"/>
      <c r="N106" s="507"/>
      <c r="O106" s="507"/>
      <c r="P106" s="507"/>
      <c r="Q106" s="507"/>
      <c r="R106" s="507"/>
      <c r="S106" s="507"/>
      <c r="T106" s="507"/>
      <c r="U106" s="507"/>
      <c r="V106" s="507"/>
      <c r="W106" s="507"/>
    </row>
    <row r="107" ht="35.25" customHeight="1">
      <c r="A107" s="18"/>
      <c r="B107" s="514"/>
      <c r="C107" s="529"/>
      <c r="D107" s="18"/>
      <c r="E107" s="507"/>
      <c r="F107" s="530"/>
      <c r="G107" s="508"/>
      <c r="H107" s="512"/>
      <c r="I107" s="507"/>
      <c r="J107" s="507"/>
      <c r="K107" s="507"/>
      <c r="L107" s="507"/>
      <c r="M107" s="507"/>
      <c r="N107" s="507"/>
      <c r="O107" s="507"/>
      <c r="P107" s="507"/>
      <c r="Q107" s="507"/>
      <c r="R107" s="507"/>
      <c r="S107" s="507"/>
      <c r="T107" s="507"/>
      <c r="U107" s="507"/>
      <c r="V107" s="507"/>
      <c r="W107" s="507"/>
    </row>
    <row r="108" ht="35.25" customHeight="1">
      <c r="A108" s="18"/>
      <c r="B108" s="514"/>
      <c r="C108" s="529"/>
      <c r="D108" s="18"/>
      <c r="E108" s="507"/>
      <c r="F108" s="530"/>
      <c r="G108" s="508"/>
      <c r="H108" s="512"/>
      <c r="I108" s="507"/>
      <c r="J108" s="507"/>
      <c r="K108" s="507"/>
      <c r="L108" s="507"/>
      <c r="M108" s="507"/>
      <c r="N108" s="507"/>
      <c r="O108" s="507"/>
      <c r="P108" s="507"/>
      <c r="Q108" s="507"/>
      <c r="R108" s="507"/>
      <c r="S108" s="507"/>
      <c r="T108" s="507"/>
      <c r="U108" s="507"/>
      <c r="V108" s="507"/>
      <c r="W108" s="507"/>
    </row>
    <row r="109" ht="35.25" customHeight="1">
      <c r="A109" s="22"/>
      <c r="B109" s="514"/>
      <c r="C109" s="529"/>
      <c r="D109" s="22"/>
      <c r="E109" s="507"/>
      <c r="F109" s="530"/>
      <c r="G109" s="508"/>
      <c r="H109" s="512"/>
      <c r="I109" s="507"/>
      <c r="J109" s="507"/>
      <c r="K109" s="507"/>
      <c r="L109" s="507"/>
      <c r="M109" s="507"/>
      <c r="N109" s="507"/>
      <c r="O109" s="507"/>
      <c r="P109" s="507"/>
      <c r="Q109" s="507"/>
      <c r="R109" s="507"/>
      <c r="S109" s="507"/>
      <c r="T109" s="507"/>
      <c r="U109" s="507"/>
      <c r="V109" s="507"/>
      <c r="W109" s="507"/>
    </row>
    <row r="110" ht="35.25" customHeight="1">
      <c r="A110" s="513" t="s">
        <v>665</v>
      </c>
      <c r="B110" s="514" t="s">
        <v>723</v>
      </c>
      <c r="C110" s="529">
        <v>9.54615E7</v>
      </c>
      <c r="D110" s="521">
        <f>sum(C110:C114)</f>
        <v>200442500</v>
      </c>
      <c r="E110" s="507"/>
      <c r="F110" s="556"/>
      <c r="G110" s="508"/>
      <c r="H110" s="531"/>
      <c r="I110" s="507"/>
      <c r="J110" s="507"/>
      <c r="K110" s="507"/>
      <c r="L110" s="507"/>
      <c r="M110" s="507"/>
      <c r="N110" s="507"/>
      <c r="O110" s="507"/>
      <c r="P110" s="507"/>
      <c r="Q110" s="507"/>
      <c r="R110" s="507"/>
      <c r="S110" s="507"/>
      <c r="T110" s="507"/>
      <c r="U110" s="507"/>
      <c r="V110" s="507"/>
      <c r="W110" s="507"/>
    </row>
    <row r="111" ht="35.25" customHeight="1">
      <c r="A111" s="18"/>
      <c r="B111" s="514" t="s">
        <v>724</v>
      </c>
      <c r="C111" s="529">
        <v>3.83165E7</v>
      </c>
      <c r="D111" s="18"/>
      <c r="E111" s="507"/>
      <c r="F111" s="556"/>
      <c r="G111" s="508"/>
      <c r="H111" s="531"/>
      <c r="I111" s="507"/>
      <c r="J111" s="507"/>
      <c r="K111" s="507"/>
      <c r="L111" s="507"/>
      <c r="M111" s="507"/>
      <c r="N111" s="507"/>
      <c r="O111" s="507"/>
      <c r="P111" s="507"/>
      <c r="Q111" s="507"/>
      <c r="R111" s="507"/>
      <c r="S111" s="507"/>
      <c r="T111" s="507"/>
      <c r="U111" s="507"/>
      <c r="V111" s="507"/>
      <c r="W111" s="507"/>
    </row>
    <row r="112" ht="35.25" customHeight="1">
      <c r="A112" s="18"/>
      <c r="B112" s="514" t="s">
        <v>725</v>
      </c>
      <c r="C112" s="529">
        <v>2.40565E7</v>
      </c>
      <c r="D112" s="18"/>
      <c r="E112" s="507"/>
      <c r="F112" s="556"/>
      <c r="G112" s="508"/>
      <c r="H112" s="531"/>
      <c r="I112" s="507"/>
      <c r="J112" s="507"/>
      <c r="K112" s="507"/>
      <c r="L112" s="507"/>
      <c r="M112" s="507"/>
      <c r="N112" s="507"/>
      <c r="O112" s="507"/>
      <c r="P112" s="507"/>
      <c r="Q112" s="507"/>
      <c r="R112" s="507"/>
      <c r="S112" s="507"/>
      <c r="T112" s="507"/>
      <c r="U112" s="507"/>
      <c r="V112" s="507"/>
      <c r="W112" s="507"/>
    </row>
    <row r="113" ht="35.25" customHeight="1">
      <c r="A113" s="18"/>
      <c r="B113" s="514" t="s">
        <v>680</v>
      </c>
      <c r="C113" s="529">
        <v>2.0035E7</v>
      </c>
      <c r="D113" s="18"/>
      <c r="E113" s="507"/>
      <c r="F113" s="507"/>
      <c r="G113" s="508"/>
      <c r="H113" s="531"/>
      <c r="I113" s="507"/>
      <c r="J113" s="507"/>
      <c r="K113" s="507"/>
      <c r="L113" s="507"/>
      <c r="M113" s="507"/>
      <c r="N113" s="507"/>
      <c r="O113" s="507"/>
      <c r="P113" s="507"/>
      <c r="Q113" s="507"/>
      <c r="R113" s="507"/>
      <c r="S113" s="507"/>
      <c r="T113" s="507"/>
      <c r="U113" s="507"/>
      <c r="V113" s="507"/>
      <c r="W113" s="507"/>
    </row>
    <row r="114" ht="35.25" customHeight="1">
      <c r="A114" s="18"/>
      <c r="B114" s="514" t="s">
        <v>722</v>
      </c>
      <c r="C114" s="529">
        <v>2.2573E7</v>
      </c>
      <c r="D114" s="18"/>
      <c r="E114" s="507"/>
      <c r="F114" s="507"/>
      <c r="G114" s="508"/>
      <c r="H114" s="531"/>
      <c r="I114" s="507"/>
      <c r="J114" s="507"/>
      <c r="K114" s="507"/>
      <c r="L114" s="507"/>
      <c r="M114" s="507"/>
      <c r="N114" s="507"/>
      <c r="O114" s="507"/>
      <c r="P114" s="507"/>
      <c r="Q114" s="507"/>
      <c r="R114" s="507"/>
      <c r="S114" s="507"/>
      <c r="T114" s="507"/>
      <c r="U114" s="507"/>
      <c r="V114" s="507"/>
      <c r="W114" s="507"/>
    </row>
    <row r="115" ht="35.25" customHeight="1">
      <c r="A115" s="22"/>
      <c r="B115" s="514"/>
      <c r="C115" s="529"/>
      <c r="D115" s="22"/>
      <c r="E115" s="507"/>
      <c r="F115" s="507"/>
      <c r="G115" s="508"/>
      <c r="H115" s="531"/>
      <c r="I115" s="507"/>
      <c r="J115" s="507"/>
      <c r="K115" s="507"/>
      <c r="L115" s="507"/>
      <c r="M115" s="507"/>
      <c r="N115" s="507"/>
      <c r="O115" s="507"/>
      <c r="P115" s="507"/>
      <c r="Q115" s="507"/>
      <c r="R115" s="507"/>
      <c r="S115" s="507"/>
      <c r="T115" s="507"/>
      <c r="U115" s="507"/>
      <c r="V115" s="507"/>
      <c r="W115" s="507"/>
    </row>
    <row r="116" ht="35.25" customHeight="1">
      <c r="A116" s="527" t="s">
        <v>42</v>
      </c>
      <c r="B116" s="514"/>
      <c r="C116" s="514"/>
      <c r="D116" s="516">
        <f>sum(C116:C119)</f>
        <v>38790000</v>
      </c>
      <c r="E116" s="557"/>
      <c r="F116" s="507"/>
      <c r="G116" s="508"/>
      <c r="H116" s="531"/>
      <c r="I116" s="507"/>
      <c r="J116" s="507"/>
      <c r="K116" s="507"/>
      <c r="L116" s="507"/>
      <c r="M116" s="507"/>
      <c r="N116" s="507"/>
      <c r="O116" s="507"/>
      <c r="P116" s="507"/>
      <c r="Q116" s="507"/>
      <c r="R116" s="507"/>
      <c r="S116" s="507"/>
      <c r="T116" s="507"/>
      <c r="U116" s="507"/>
      <c r="V116" s="507"/>
      <c r="W116" s="507"/>
    </row>
    <row r="117" ht="35.25" customHeight="1">
      <c r="A117" s="18"/>
      <c r="B117" s="514" t="s">
        <v>722</v>
      </c>
      <c r="C117" s="515">
        <v>3.879E7</v>
      </c>
      <c r="D117" s="18"/>
      <c r="E117" s="507"/>
      <c r="F117" s="507"/>
      <c r="G117" s="508"/>
      <c r="H117" s="531"/>
      <c r="I117" s="507"/>
      <c r="J117" s="507"/>
      <c r="K117" s="507"/>
      <c r="L117" s="507"/>
      <c r="M117" s="507"/>
      <c r="N117" s="507"/>
      <c r="O117" s="507"/>
      <c r="P117" s="507"/>
      <c r="Q117" s="507"/>
      <c r="R117" s="507"/>
      <c r="S117" s="507"/>
      <c r="T117" s="507"/>
      <c r="U117" s="507"/>
      <c r="V117" s="507"/>
      <c r="W117" s="507"/>
    </row>
    <row r="118" ht="35.25" customHeight="1">
      <c r="A118" s="18"/>
      <c r="B118" s="514"/>
      <c r="C118" s="514"/>
      <c r="D118" s="18"/>
      <c r="E118" s="507"/>
      <c r="F118" s="507"/>
      <c r="G118" s="508"/>
      <c r="H118" s="531"/>
      <c r="I118" s="507"/>
      <c r="J118" s="507"/>
      <c r="K118" s="507"/>
      <c r="L118" s="507"/>
      <c r="M118" s="507"/>
      <c r="N118" s="507"/>
      <c r="O118" s="507"/>
      <c r="P118" s="507"/>
      <c r="Q118" s="507"/>
      <c r="R118" s="507"/>
      <c r="S118" s="507"/>
      <c r="T118" s="507"/>
      <c r="U118" s="507"/>
      <c r="V118" s="507"/>
      <c r="W118" s="507"/>
    </row>
    <row r="119" ht="35.25" customHeight="1">
      <c r="A119" s="18"/>
      <c r="B119" s="514"/>
      <c r="C119" s="515"/>
      <c r="D119" s="18"/>
      <c r="E119" s="556"/>
      <c r="F119" s="507"/>
      <c r="G119" s="508"/>
      <c r="H119" s="512"/>
      <c r="I119" s="507"/>
      <c r="J119" s="507"/>
      <c r="K119" s="507"/>
      <c r="L119" s="507"/>
      <c r="M119" s="507"/>
      <c r="N119" s="507"/>
      <c r="O119" s="507"/>
      <c r="P119" s="507"/>
      <c r="Q119" s="507"/>
      <c r="R119" s="507"/>
      <c r="S119" s="507"/>
      <c r="T119" s="507"/>
      <c r="U119" s="507"/>
      <c r="V119" s="507"/>
      <c r="W119" s="507"/>
    </row>
    <row r="120" ht="35.25" customHeight="1">
      <c r="A120" s="22"/>
      <c r="B120" s="514"/>
      <c r="C120" s="515"/>
      <c r="D120" s="22"/>
      <c r="E120" s="556"/>
      <c r="F120" s="507"/>
      <c r="G120" s="508"/>
      <c r="H120" s="512"/>
      <c r="I120" s="507"/>
      <c r="J120" s="507"/>
      <c r="K120" s="507"/>
      <c r="L120" s="507"/>
      <c r="M120" s="507"/>
      <c r="N120" s="507"/>
      <c r="O120" s="507"/>
      <c r="P120" s="507"/>
      <c r="Q120" s="507"/>
      <c r="R120" s="507"/>
      <c r="S120" s="507"/>
      <c r="T120" s="507"/>
      <c r="U120" s="507"/>
      <c r="V120" s="507"/>
      <c r="W120" s="507"/>
    </row>
    <row r="121" ht="35.25" customHeight="1">
      <c r="A121" s="527" t="s">
        <v>43</v>
      </c>
      <c r="B121" s="514" t="s">
        <v>723</v>
      </c>
      <c r="C121" s="515">
        <v>4.675E7</v>
      </c>
      <c r="D121" s="558">
        <f>sum(C121:C123)</f>
        <v>74240000</v>
      </c>
      <c r="E121" s="559"/>
      <c r="F121" s="507"/>
      <c r="G121" s="560"/>
      <c r="H121" s="561"/>
      <c r="I121" s="561"/>
      <c r="J121" s="561"/>
      <c r="K121" s="561"/>
      <c r="L121" s="562"/>
      <c r="M121" s="563"/>
      <c r="N121" s="507"/>
      <c r="O121" s="507"/>
      <c r="P121" s="507"/>
      <c r="Q121" s="507"/>
      <c r="R121" s="507"/>
      <c r="S121" s="507"/>
      <c r="T121" s="507"/>
      <c r="U121" s="507"/>
      <c r="V121" s="507"/>
      <c r="W121" s="507"/>
    </row>
    <row r="122" ht="35.25" customHeight="1">
      <c r="A122" s="18"/>
      <c r="B122" s="514" t="s">
        <v>725</v>
      </c>
      <c r="C122" s="564">
        <v>2600000.0</v>
      </c>
      <c r="D122" s="86"/>
      <c r="E122" s="565"/>
      <c r="F122" s="566"/>
      <c r="I122" s="567"/>
      <c r="J122" s="568"/>
      <c r="K122" s="568"/>
      <c r="L122" s="569"/>
      <c r="M122" s="568"/>
      <c r="N122" s="507"/>
      <c r="O122" s="507"/>
      <c r="P122" s="507"/>
      <c r="Q122" s="507"/>
      <c r="R122" s="507"/>
      <c r="S122" s="507"/>
      <c r="T122" s="507"/>
      <c r="U122" s="507"/>
      <c r="V122" s="507"/>
      <c r="W122" s="507"/>
    </row>
    <row r="123" ht="35.25" customHeight="1">
      <c r="A123" s="18"/>
      <c r="B123" s="514" t="s">
        <v>680</v>
      </c>
      <c r="C123" s="564">
        <v>2.489E7</v>
      </c>
      <c r="D123" s="86"/>
      <c r="E123" s="570"/>
      <c r="F123" s="571"/>
      <c r="I123" s="569"/>
      <c r="J123" s="569"/>
      <c r="K123" s="569"/>
      <c r="L123" s="569"/>
      <c r="M123" s="569"/>
      <c r="N123" s="507"/>
      <c r="O123" s="507"/>
      <c r="P123" s="507"/>
      <c r="Q123" s="507"/>
      <c r="R123" s="507"/>
      <c r="S123" s="507"/>
      <c r="T123" s="507"/>
      <c r="U123" s="507"/>
      <c r="V123" s="507"/>
      <c r="W123" s="507"/>
    </row>
    <row r="124" ht="35.25" customHeight="1">
      <c r="A124" s="22"/>
      <c r="B124" s="514"/>
      <c r="C124" s="564"/>
      <c r="D124" s="89"/>
      <c r="E124" s="570"/>
      <c r="F124" s="572"/>
      <c r="I124" s="573"/>
      <c r="J124" s="573"/>
      <c r="K124" s="574"/>
      <c r="L124" s="574"/>
      <c r="M124" s="575"/>
      <c r="N124" s="507"/>
      <c r="O124" s="507"/>
      <c r="P124" s="507"/>
      <c r="Q124" s="507"/>
      <c r="R124" s="507"/>
      <c r="S124" s="507"/>
      <c r="T124" s="507"/>
      <c r="U124" s="507"/>
      <c r="V124" s="507"/>
      <c r="W124" s="507"/>
    </row>
    <row r="125" ht="35.25" customHeight="1">
      <c r="A125" s="527" t="s">
        <v>44</v>
      </c>
      <c r="B125" s="514"/>
      <c r="C125" s="529"/>
      <c r="D125" s="516">
        <f>sum(C127:C128)</f>
        <v>41096400</v>
      </c>
      <c r="E125" s="576"/>
      <c r="F125" s="577"/>
      <c r="G125" s="577"/>
      <c r="H125" s="577"/>
      <c r="I125" s="578"/>
      <c r="J125" s="578"/>
      <c r="K125" s="578"/>
      <c r="L125" s="579"/>
      <c r="M125" s="580"/>
      <c r="N125" s="507"/>
      <c r="O125" s="507"/>
      <c r="P125" s="507"/>
      <c r="Q125" s="507"/>
      <c r="R125" s="507"/>
      <c r="S125" s="507"/>
      <c r="T125" s="507"/>
      <c r="U125" s="507"/>
      <c r="V125" s="507"/>
      <c r="W125" s="507"/>
    </row>
    <row r="126" ht="35.25" customHeight="1">
      <c r="A126" s="18"/>
      <c r="B126" s="514"/>
      <c r="C126" s="581"/>
      <c r="D126" s="18"/>
      <c r="E126" s="576"/>
      <c r="F126" s="577"/>
      <c r="G126" s="577"/>
      <c r="H126" s="577"/>
      <c r="I126" s="578"/>
      <c r="J126" s="578"/>
      <c r="K126" s="578"/>
      <c r="L126" s="579"/>
      <c r="M126" s="580"/>
      <c r="N126" s="507"/>
      <c r="O126" s="507"/>
      <c r="P126" s="507"/>
      <c r="Q126" s="507"/>
      <c r="R126" s="507"/>
      <c r="S126" s="507"/>
      <c r="T126" s="507"/>
      <c r="U126" s="507"/>
      <c r="V126" s="507"/>
      <c r="W126" s="507"/>
    </row>
    <row r="127" ht="35.25" customHeight="1">
      <c r="A127" s="18"/>
      <c r="B127" s="514" t="s">
        <v>680</v>
      </c>
      <c r="C127" s="529">
        <v>3.02785E7</v>
      </c>
      <c r="D127" s="18"/>
      <c r="E127" s="582"/>
      <c r="F127" s="577"/>
      <c r="G127" s="577"/>
      <c r="H127" s="583"/>
      <c r="I127" s="578"/>
      <c r="J127" s="578"/>
      <c r="K127" s="578"/>
      <c r="L127" s="579"/>
      <c r="M127" s="580"/>
      <c r="N127" s="507"/>
      <c r="O127" s="507"/>
      <c r="P127" s="507"/>
      <c r="Q127" s="507"/>
      <c r="R127" s="507"/>
      <c r="S127" s="507"/>
      <c r="T127" s="507"/>
      <c r="U127" s="507"/>
      <c r="V127" s="507"/>
      <c r="W127" s="507"/>
    </row>
    <row r="128" ht="35.25" customHeight="1">
      <c r="A128" s="22"/>
      <c r="B128" s="514" t="s">
        <v>722</v>
      </c>
      <c r="C128" s="529">
        <v>1.08179E7</v>
      </c>
      <c r="D128" s="22"/>
      <c r="E128" s="584"/>
      <c r="F128" s="577"/>
      <c r="G128" s="577"/>
      <c r="H128" s="583"/>
      <c r="I128" s="578"/>
      <c r="J128" s="578"/>
      <c r="K128" s="578"/>
      <c r="L128" s="579"/>
      <c r="M128" s="585"/>
      <c r="N128" s="507"/>
      <c r="O128" s="507"/>
      <c r="P128" s="507"/>
      <c r="Q128" s="507"/>
      <c r="R128" s="507"/>
      <c r="S128" s="507"/>
      <c r="T128" s="507"/>
      <c r="U128" s="507"/>
      <c r="V128" s="507"/>
      <c r="W128" s="507"/>
    </row>
    <row r="129" ht="35.25" customHeight="1">
      <c r="A129" s="527" t="s">
        <v>45</v>
      </c>
      <c r="B129" s="514" t="s">
        <v>724</v>
      </c>
      <c r="C129" s="529">
        <v>1.12577E7</v>
      </c>
      <c r="D129" s="516">
        <f>sum(C129:C132)</f>
        <v>71655300</v>
      </c>
      <c r="E129" s="507"/>
      <c r="F129" s="586"/>
      <c r="G129" s="507"/>
      <c r="H129" s="507"/>
      <c r="I129" s="507"/>
      <c r="J129" s="507"/>
      <c r="K129" s="507"/>
      <c r="L129" s="507"/>
      <c r="M129" s="507"/>
      <c r="N129" s="507"/>
      <c r="O129" s="507"/>
      <c r="P129" s="507"/>
      <c r="Q129" s="507"/>
      <c r="R129" s="507"/>
      <c r="S129" s="507"/>
      <c r="T129" s="507"/>
      <c r="U129" s="507"/>
      <c r="V129" s="507"/>
      <c r="W129" s="507"/>
    </row>
    <row r="130" ht="35.25" customHeight="1">
      <c r="A130" s="18"/>
      <c r="B130" s="514" t="s">
        <v>725</v>
      </c>
      <c r="C130" s="587">
        <v>1.5417E7</v>
      </c>
      <c r="D130" s="18"/>
      <c r="E130" s="507"/>
      <c r="F130" s="507"/>
      <c r="G130" s="507"/>
      <c r="H130" s="507"/>
      <c r="I130" s="507"/>
      <c r="J130" s="507"/>
      <c r="K130" s="507"/>
      <c r="L130" s="507"/>
      <c r="M130" s="507"/>
      <c r="N130" s="507"/>
      <c r="O130" s="507"/>
      <c r="P130" s="507"/>
      <c r="Q130" s="507"/>
      <c r="R130" s="507"/>
      <c r="S130" s="507"/>
      <c r="T130" s="507"/>
      <c r="U130" s="507"/>
      <c r="V130" s="507"/>
      <c r="W130" s="507"/>
    </row>
    <row r="131" ht="35.25" customHeight="1">
      <c r="A131" s="18"/>
      <c r="B131" s="514" t="s">
        <v>680</v>
      </c>
      <c r="C131" s="514">
        <v>2.84726E7</v>
      </c>
      <c r="D131" s="18"/>
      <c r="E131" s="507"/>
      <c r="F131" s="586"/>
      <c r="G131" s="586"/>
      <c r="H131" s="586"/>
      <c r="I131" s="507"/>
      <c r="J131" s="507"/>
      <c r="K131" s="507"/>
      <c r="L131" s="507"/>
      <c r="M131" s="507"/>
      <c r="N131" s="507"/>
      <c r="O131" s="507"/>
      <c r="P131" s="507"/>
      <c r="Q131" s="507"/>
      <c r="R131" s="507"/>
      <c r="S131" s="507"/>
      <c r="T131" s="507"/>
      <c r="U131" s="507"/>
      <c r="V131" s="507"/>
      <c r="W131" s="507"/>
    </row>
    <row r="132" ht="35.25" customHeight="1">
      <c r="A132" s="22"/>
      <c r="B132" s="514" t="s">
        <v>722</v>
      </c>
      <c r="C132" s="546">
        <v>1.6508E7</v>
      </c>
      <c r="D132" s="22"/>
      <c r="E132" s="507"/>
      <c r="F132" s="586"/>
      <c r="G132" s="586"/>
      <c r="H132" s="586"/>
      <c r="I132" s="507"/>
      <c r="J132" s="507"/>
      <c r="K132" s="507"/>
      <c r="L132" s="507"/>
      <c r="M132" s="507"/>
      <c r="N132" s="507"/>
      <c r="O132" s="507"/>
      <c r="P132" s="507"/>
      <c r="Q132" s="507"/>
      <c r="R132" s="507"/>
      <c r="S132" s="507"/>
      <c r="T132" s="507"/>
      <c r="U132" s="507"/>
      <c r="V132" s="507"/>
      <c r="W132" s="507"/>
    </row>
    <row r="133" ht="35.25" customHeight="1">
      <c r="A133" s="513" t="s">
        <v>666</v>
      </c>
      <c r="B133" s="514"/>
      <c r="C133" s="514"/>
      <c r="D133" s="516">
        <f>sum(C134:C138)</f>
        <v>97145000</v>
      </c>
      <c r="E133" s="507"/>
      <c r="F133" s="507"/>
      <c r="G133" s="507"/>
      <c r="H133" s="507"/>
      <c r="I133" s="507"/>
      <c r="J133" s="507"/>
      <c r="K133" s="507"/>
      <c r="L133" s="507"/>
      <c r="M133" s="507"/>
      <c r="N133" s="507"/>
      <c r="O133" s="507"/>
      <c r="P133" s="507"/>
      <c r="Q133" s="507"/>
      <c r="R133" s="507"/>
      <c r="S133" s="507"/>
      <c r="T133" s="507"/>
      <c r="U133" s="507"/>
      <c r="V133" s="507"/>
      <c r="W133" s="507"/>
    </row>
    <row r="134" ht="35.25" customHeight="1">
      <c r="A134" s="18"/>
      <c r="B134" s="514" t="s">
        <v>723</v>
      </c>
      <c r="C134" s="514">
        <v>3.0665E7</v>
      </c>
      <c r="D134" s="18"/>
      <c r="E134" s="507"/>
      <c r="F134" s="507"/>
      <c r="G134" s="507"/>
      <c r="H134" s="507"/>
      <c r="I134" s="507"/>
      <c r="J134" s="507"/>
      <c r="K134" s="507"/>
      <c r="L134" s="507"/>
      <c r="M134" s="507"/>
      <c r="N134" s="507"/>
      <c r="O134" s="507"/>
      <c r="P134" s="507"/>
      <c r="Q134" s="507"/>
      <c r="R134" s="507"/>
      <c r="S134" s="507"/>
      <c r="T134" s="507"/>
      <c r="U134" s="507"/>
      <c r="V134" s="507"/>
      <c r="W134" s="507"/>
    </row>
    <row r="135" ht="35.25" customHeight="1">
      <c r="A135" s="18"/>
      <c r="B135" s="514" t="s">
        <v>724</v>
      </c>
      <c r="C135" s="514">
        <v>1.745E7</v>
      </c>
      <c r="D135" s="18"/>
      <c r="E135" s="507"/>
      <c r="F135" s="507"/>
      <c r="G135" s="507"/>
      <c r="H135" s="507"/>
      <c r="I135" s="507"/>
      <c r="J135" s="507"/>
      <c r="K135" s="507"/>
      <c r="L135" s="507"/>
      <c r="M135" s="507"/>
      <c r="N135" s="507"/>
      <c r="O135" s="507"/>
      <c r="P135" s="507"/>
      <c r="Q135" s="507"/>
      <c r="R135" s="507"/>
      <c r="S135" s="507"/>
      <c r="T135" s="507"/>
      <c r="U135" s="507"/>
      <c r="V135" s="507"/>
      <c r="W135" s="507"/>
    </row>
    <row r="136" ht="35.25" customHeight="1">
      <c r="A136" s="18"/>
      <c r="B136" s="514" t="s">
        <v>725</v>
      </c>
      <c r="C136" s="514">
        <v>1.087E7</v>
      </c>
      <c r="D136" s="18"/>
      <c r="E136" s="507"/>
      <c r="F136" s="507"/>
      <c r="G136" s="507"/>
      <c r="H136" s="507"/>
      <c r="I136" s="507"/>
      <c r="J136" s="507"/>
      <c r="K136" s="507"/>
      <c r="L136" s="507"/>
      <c r="M136" s="507"/>
      <c r="N136" s="507"/>
      <c r="O136" s="507"/>
      <c r="P136" s="507"/>
      <c r="Q136" s="507"/>
      <c r="R136" s="507"/>
      <c r="S136" s="507"/>
      <c r="T136" s="507"/>
      <c r="U136" s="507"/>
      <c r="V136" s="507"/>
      <c r="W136" s="507"/>
    </row>
    <row r="137" ht="35.25" customHeight="1">
      <c r="A137" s="18"/>
      <c r="B137" s="514" t="s">
        <v>680</v>
      </c>
      <c r="C137" s="514">
        <v>2.203E7</v>
      </c>
      <c r="D137" s="18"/>
      <c r="E137" s="507"/>
      <c r="F137" s="507"/>
      <c r="G137" s="507"/>
      <c r="H137" s="507"/>
      <c r="I137" s="507"/>
      <c r="J137" s="507"/>
      <c r="K137" s="507"/>
      <c r="L137" s="507"/>
      <c r="M137" s="507"/>
      <c r="N137" s="507"/>
      <c r="O137" s="507"/>
      <c r="P137" s="507"/>
      <c r="Q137" s="507"/>
      <c r="R137" s="507"/>
      <c r="S137" s="507"/>
      <c r="T137" s="507"/>
      <c r="U137" s="507"/>
      <c r="V137" s="507"/>
      <c r="W137" s="507"/>
    </row>
    <row r="138" ht="35.25" customHeight="1">
      <c r="A138" s="22"/>
      <c r="B138" s="514" t="s">
        <v>722</v>
      </c>
      <c r="C138" s="514">
        <v>1.613E7</v>
      </c>
      <c r="D138" s="22"/>
      <c r="E138" s="507"/>
      <c r="F138" s="507"/>
      <c r="G138" s="507"/>
      <c r="H138" s="507"/>
      <c r="I138" s="507"/>
      <c r="J138" s="507"/>
      <c r="K138" s="507"/>
      <c r="L138" s="507"/>
      <c r="M138" s="507"/>
      <c r="N138" s="507"/>
      <c r="O138" s="507"/>
      <c r="P138" s="507"/>
      <c r="Q138" s="507"/>
      <c r="R138" s="507"/>
      <c r="S138" s="507"/>
      <c r="T138" s="507"/>
      <c r="U138" s="507"/>
      <c r="V138" s="507"/>
      <c r="W138" s="507"/>
    </row>
    <row r="139" ht="35.25" customHeight="1">
      <c r="A139" s="527" t="s">
        <v>47</v>
      </c>
      <c r="B139" s="588" t="s">
        <v>605</v>
      </c>
      <c r="C139" s="515">
        <v>4.0E7</v>
      </c>
      <c r="D139" s="516">
        <f>sum(C139:C141)</f>
        <v>73375000</v>
      </c>
      <c r="E139" s="507"/>
      <c r="F139" s="507"/>
      <c r="G139" s="507"/>
      <c r="H139" s="507"/>
      <c r="I139" s="507"/>
      <c r="J139" s="507"/>
      <c r="K139" s="507"/>
      <c r="L139" s="507"/>
      <c r="M139" s="507"/>
      <c r="N139" s="507"/>
      <c r="O139" s="507"/>
      <c r="P139" s="507"/>
      <c r="Q139" s="507"/>
      <c r="R139" s="507"/>
      <c r="S139" s="507"/>
      <c r="T139" s="507"/>
      <c r="U139" s="507"/>
      <c r="V139" s="507"/>
      <c r="W139" s="507"/>
    </row>
    <row r="140" ht="35.25" customHeight="1">
      <c r="A140" s="18"/>
      <c r="B140" s="524" t="s">
        <v>727</v>
      </c>
      <c r="C140" s="515">
        <v>1.5315E7</v>
      </c>
      <c r="D140" s="18"/>
      <c r="E140" s="507"/>
      <c r="F140" s="507"/>
      <c r="G140" s="507"/>
      <c r="H140" s="507"/>
      <c r="I140" s="507"/>
      <c r="J140" s="507"/>
      <c r="K140" s="507"/>
      <c r="L140" s="507"/>
      <c r="M140" s="507"/>
      <c r="N140" s="507"/>
      <c r="O140" s="507"/>
      <c r="P140" s="507"/>
      <c r="Q140" s="507"/>
      <c r="R140" s="507"/>
      <c r="S140" s="507"/>
      <c r="T140" s="507"/>
      <c r="U140" s="507"/>
      <c r="V140" s="507"/>
      <c r="W140" s="507"/>
    </row>
    <row r="141" ht="35.25" customHeight="1">
      <c r="A141" s="18"/>
      <c r="B141" s="514" t="s">
        <v>728</v>
      </c>
      <c r="C141" s="515">
        <v>1.806E7</v>
      </c>
      <c r="D141" s="18"/>
      <c r="E141" s="507"/>
      <c r="F141" s="507"/>
      <c r="G141" s="507"/>
      <c r="H141" s="507"/>
      <c r="I141" s="507"/>
      <c r="J141" s="507"/>
      <c r="K141" s="507"/>
      <c r="L141" s="507"/>
      <c r="M141" s="507"/>
      <c r="N141" s="507"/>
      <c r="O141" s="507"/>
      <c r="P141" s="507"/>
      <c r="Q141" s="507"/>
      <c r="R141" s="507"/>
      <c r="S141" s="507"/>
      <c r="T141" s="507"/>
      <c r="U141" s="507"/>
      <c r="V141" s="507"/>
      <c r="W141" s="507"/>
    </row>
    <row r="142" ht="35.25" customHeight="1">
      <c r="A142" s="18"/>
      <c r="B142" s="524"/>
      <c r="C142" s="515"/>
      <c r="D142" s="18"/>
      <c r="E142" s="507"/>
      <c r="F142" s="589" t="s">
        <v>50</v>
      </c>
      <c r="G142" s="538" t="s">
        <v>51</v>
      </c>
      <c r="H142" s="540">
        <v>3.58355E7</v>
      </c>
      <c r="I142" s="507"/>
      <c r="J142" s="507"/>
      <c r="K142" s="507"/>
      <c r="L142" s="507"/>
      <c r="M142" s="507"/>
      <c r="N142" s="507"/>
      <c r="O142" s="507"/>
      <c r="P142" s="507"/>
      <c r="Q142" s="507"/>
      <c r="R142" s="507"/>
      <c r="S142" s="507"/>
      <c r="T142" s="507"/>
      <c r="U142" s="507"/>
      <c r="V142" s="507"/>
      <c r="W142" s="507"/>
    </row>
    <row r="143" ht="35.25" customHeight="1">
      <c r="A143" s="18"/>
      <c r="B143" s="524"/>
      <c r="C143" s="515"/>
      <c r="D143" s="18"/>
      <c r="E143" s="507"/>
      <c r="F143" s="18"/>
      <c r="G143" s="538"/>
      <c r="H143" s="540"/>
      <c r="I143" s="507"/>
      <c r="J143" s="507"/>
      <c r="K143" s="507"/>
      <c r="L143" s="507"/>
      <c r="M143" s="507"/>
      <c r="N143" s="507"/>
      <c r="O143" s="507"/>
      <c r="P143" s="507"/>
      <c r="Q143" s="507"/>
      <c r="R143" s="507"/>
      <c r="S143" s="507"/>
      <c r="T143" s="507"/>
      <c r="U143" s="507"/>
      <c r="V143" s="507"/>
      <c r="W143" s="507"/>
    </row>
    <row r="144" ht="35.25" customHeight="1">
      <c r="A144" s="18"/>
      <c r="B144" s="524"/>
      <c r="C144" s="515"/>
      <c r="D144" s="18"/>
      <c r="E144" s="507"/>
      <c r="F144" s="18"/>
      <c r="G144" s="538"/>
      <c r="H144" s="540"/>
      <c r="I144" s="507"/>
      <c r="J144" s="507"/>
      <c r="K144" s="507"/>
      <c r="L144" s="507"/>
      <c r="M144" s="507"/>
      <c r="N144" s="507"/>
      <c r="O144" s="507"/>
      <c r="P144" s="507"/>
      <c r="Q144" s="507"/>
      <c r="R144" s="507"/>
      <c r="S144" s="507"/>
      <c r="T144" s="507"/>
      <c r="U144" s="507"/>
      <c r="V144" s="507"/>
      <c r="W144" s="507"/>
    </row>
    <row r="145" ht="35.25" customHeight="1">
      <c r="A145" s="22"/>
      <c r="B145" s="524"/>
      <c r="C145" s="515"/>
      <c r="D145" s="22"/>
      <c r="E145" s="507"/>
      <c r="F145" s="18"/>
      <c r="G145" s="538"/>
      <c r="H145" s="540"/>
      <c r="I145" s="507"/>
      <c r="J145" s="507"/>
      <c r="K145" s="507"/>
      <c r="L145" s="507"/>
      <c r="M145" s="507"/>
      <c r="N145" s="507"/>
      <c r="O145" s="507"/>
      <c r="P145" s="507"/>
      <c r="Q145" s="507"/>
      <c r="R145" s="507"/>
      <c r="S145" s="507"/>
      <c r="T145" s="507"/>
      <c r="U145" s="507"/>
      <c r="V145" s="507"/>
      <c r="W145" s="507"/>
    </row>
    <row r="146" ht="35.25" customHeight="1">
      <c r="A146" s="527" t="s">
        <v>56</v>
      </c>
      <c r="B146" s="514" t="s">
        <v>724</v>
      </c>
      <c r="C146" s="587">
        <v>4.85305E7</v>
      </c>
      <c r="D146" s="516">
        <f>sum(C146:C149)</f>
        <v>136764500</v>
      </c>
      <c r="E146" s="590"/>
      <c r="F146" s="18"/>
      <c r="G146" s="538"/>
      <c r="H146" s="540"/>
      <c r="I146" s="507"/>
      <c r="J146" s="507"/>
      <c r="K146" s="507"/>
      <c r="L146" s="507"/>
      <c r="M146" s="507"/>
      <c r="N146" s="507"/>
      <c r="O146" s="507"/>
      <c r="P146" s="507"/>
      <c r="Q146" s="507"/>
      <c r="R146" s="507"/>
      <c r="S146" s="507"/>
      <c r="T146" s="507"/>
      <c r="U146" s="507"/>
      <c r="V146" s="507"/>
      <c r="W146" s="507"/>
    </row>
    <row r="147" ht="35.25" customHeight="1">
      <c r="A147" s="18"/>
      <c r="B147" s="514" t="s">
        <v>725</v>
      </c>
      <c r="C147" s="587">
        <v>4.91525E7</v>
      </c>
      <c r="D147" s="18"/>
      <c r="E147" s="590"/>
      <c r="F147" s="18"/>
      <c r="G147" s="538" t="s">
        <v>57</v>
      </c>
      <c r="H147" s="540">
        <v>6.7791E7</v>
      </c>
      <c r="I147" s="507"/>
      <c r="J147" s="507"/>
      <c r="K147" s="507"/>
      <c r="L147" s="507"/>
      <c r="M147" s="507"/>
      <c r="N147" s="507"/>
      <c r="O147" s="507"/>
      <c r="P147" s="507"/>
      <c r="Q147" s="507"/>
      <c r="R147" s="507"/>
      <c r="S147" s="507"/>
      <c r="T147" s="507"/>
      <c r="U147" s="507"/>
      <c r="V147" s="507"/>
      <c r="W147" s="507"/>
    </row>
    <row r="148" ht="35.25" customHeight="1">
      <c r="A148" s="18"/>
      <c r="B148" s="514" t="s">
        <v>680</v>
      </c>
      <c r="C148" s="514">
        <v>3.90815E7</v>
      </c>
      <c r="D148" s="18"/>
      <c r="E148" s="590"/>
      <c r="F148" s="18"/>
      <c r="G148" s="507"/>
      <c r="H148" s="507"/>
      <c r="I148" s="507"/>
      <c r="J148" s="507"/>
      <c r="K148" s="507"/>
      <c r="L148" s="507"/>
      <c r="M148" s="507"/>
      <c r="N148" s="507"/>
      <c r="O148" s="507"/>
      <c r="P148" s="507"/>
      <c r="Q148" s="507"/>
      <c r="R148" s="507"/>
      <c r="S148" s="507"/>
      <c r="T148" s="507"/>
      <c r="U148" s="507"/>
      <c r="V148" s="507"/>
      <c r="W148" s="507"/>
    </row>
    <row r="149" ht="35.25" customHeight="1">
      <c r="A149" s="18"/>
      <c r="B149" s="514" t="s">
        <v>722</v>
      </c>
      <c r="C149" s="587"/>
      <c r="D149" s="18"/>
      <c r="E149" s="507"/>
      <c r="F149" s="18"/>
      <c r="G149" s="507"/>
      <c r="H149" s="557">
        <f>SUM(H159:H160)</f>
        <v>146720000</v>
      </c>
      <c r="I149" s="507"/>
      <c r="J149" s="507"/>
      <c r="K149" s="507"/>
      <c r="L149" s="507"/>
      <c r="M149" s="507"/>
      <c r="N149" s="507"/>
      <c r="O149" s="507"/>
      <c r="P149" s="507"/>
      <c r="Q149" s="507"/>
      <c r="R149" s="507"/>
      <c r="S149" s="507"/>
      <c r="T149" s="507"/>
      <c r="U149" s="507"/>
      <c r="V149" s="507"/>
      <c r="W149" s="507"/>
    </row>
    <row r="150" ht="35.25" customHeight="1">
      <c r="A150" s="22"/>
      <c r="B150" s="514"/>
      <c r="C150" s="587"/>
      <c r="D150" s="22"/>
      <c r="E150" s="507"/>
      <c r="F150" s="589"/>
      <c r="G150" s="507"/>
      <c r="H150" s="557"/>
      <c r="I150" s="507"/>
      <c r="J150" s="507"/>
      <c r="K150" s="507"/>
      <c r="L150" s="507"/>
      <c r="M150" s="507"/>
      <c r="N150" s="507"/>
      <c r="O150" s="507"/>
      <c r="P150" s="507"/>
      <c r="Q150" s="507"/>
      <c r="R150" s="507"/>
      <c r="S150" s="507"/>
      <c r="T150" s="507"/>
      <c r="U150" s="507"/>
      <c r="V150" s="507"/>
      <c r="W150" s="507"/>
    </row>
    <row r="151" ht="35.25" customHeight="1">
      <c r="A151" s="553" t="s">
        <v>670</v>
      </c>
      <c r="B151" s="514"/>
      <c r="C151" s="591"/>
      <c r="D151" s="516">
        <f>sum(C152:C155)</f>
        <v>471032500</v>
      </c>
      <c r="E151" s="507"/>
      <c r="F151" s="592"/>
      <c r="G151" s="538"/>
      <c r="H151" s="539"/>
      <c r="I151" s="507"/>
      <c r="J151" s="507"/>
      <c r="K151" s="507"/>
      <c r="L151" s="507"/>
      <c r="M151" s="507"/>
      <c r="N151" s="507"/>
      <c r="O151" s="507"/>
      <c r="P151" s="507"/>
      <c r="Q151" s="507"/>
      <c r="R151" s="507"/>
      <c r="S151" s="507"/>
      <c r="T151" s="507"/>
      <c r="U151" s="507"/>
      <c r="V151" s="507"/>
      <c r="W151" s="507"/>
    </row>
    <row r="152" ht="35.25" customHeight="1">
      <c r="A152" s="18"/>
      <c r="B152" s="514" t="s">
        <v>724</v>
      </c>
      <c r="C152" s="591">
        <v>1.772105E8</v>
      </c>
      <c r="D152" s="18"/>
      <c r="E152" s="507"/>
      <c r="F152" s="18"/>
      <c r="G152" s="538"/>
      <c r="H152" s="539"/>
      <c r="I152" s="507"/>
      <c r="J152" s="507"/>
      <c r="K152" s="507"/>
      <c r="L152" s="507"/>
      <c r="M152" s="507"/>
      <c r="N152" s="507"/>
      <c r="O152" s="507"/>
      <c r="P152" s="507"/>
      <c r="Q152" s="507"/>
      <c r="R152" s="507"/>
      <c r="S152" s="507"/>
      <c r="T152" s="507"/>
      <c r="U152" s="507"/>
      <c r="V152" s="507"/>
      <c r="W152" s="507"/>
    </row>
    <row r="153" ht="35.25" customHeight="1">
      <c r="A153" s="18"/>
      <c r="B153" s="514" t="s">
        <v>725</v>
      </c>
      <c r="C153" s="591">
        <v>8.182E7</v>
      </c>
      <c r="D153" s="18"/>
      <c r="E153" s="507"/>
      <c r="F153" s="18"/>
      <c r="G153" s="538"/>
      <c r="H153" s="539"/>
      <c r="I153" s="507"/>
      <c r="J153" s="507"/>
      <c r="K153" s="507"/>
      <c r="L153" s="507"/>
      <c r="M153" s="507"/>
      <c r="N153" s="507"/>
      <c r="O153" s="507"/>
      <c r="P153" s="507"/>
      <c r="Q153" s="507"/>
      <c r="R153" s="507"/>
      <c r="S153" s="507"/>
      <c r="T153" s="507"/>
      <c r="U153" s="507"/>
      <c r="V153" s="507"/>
      <c r="W153" s="507"/>
    </row>
    <row r="154" ht="35.25" customHeight="1">
      <c r="A154" s="18"/>
      <c r="B154" s="514" t="s">
        <v>680</v>
      </c>
      <c r="C154" s="591">
        <v>9.2885E7</v>
      </c>
      <c r="D154" s="18"/>
      <c r="E154" s="507"/>
      <c r="F154" s="18"/>
      <c r="G154" s="538"/>
      <c r="H154" s="539"/>
      <c r="I154" s="507"/>
      <c r="J154" s="507"/>
      <c r="K154" s="507"/>
      <c r="L154" s="507"/>
      <c r="M154" s="507"/>
      <c r="N154" s="507"/>
      <c r="O154" s="507"/>
      <c r="P154" s="507"/>
      <c r="Q154" s="507"/>
      <c r="R154" s="507"/>
      <c r="S154" s="507"/>
      <c r="T154" s="507"/>
      <c r="U154" s="507"/>
      <c r="V154" s="507"/>
      <c r="W154" s="507"/>
    </row>
    <row r="155" ht="35.25" customHeight="1">
      <c r="A155" s="18"/>
      <c r="B155" s="514" t="s">
        <v>722</v>
      </c>
      <c r="C155" s="591">
        <v>1.19117E8</v>
      </c>
      <c r="D155" s="18"/>
      <c r="E155" s="507"/>
      <c r="F155" s="18"/>
      <c r="G155" s="538"/>
      <c r="H155" s="539"/>
      <c r="I155" s="507"/>
      <c r="J155" s="507"/>
      <c r="K155" s="507"/>
      <c r="L155" s="507"/>
      <c r="M155" s="507"/>
      <c r="N155" s="507"/>
      <c r="O155" s="507"/>
      <c r="P155" s="507"/>
      <c r="Q155" s="507"/>
      <c r="R155" s="507"/>
      <c r="S155" s="507"/>
      <c r="T155" s="507"/>
      <c r="U155" s="507"/>
      <c r="V155" s="507"/>
      <c r="W155" s="507"/>
    </row>
    <row r="156" ht="35.25" customHeight="1">
      <c r="A156" s="22"/>
      <c r="B156" s="514"/>
      <c r="C156" s="591"/>
      <c r="D156" s="22"/>
      <c r="E156" s="507"/>
      <c r="F156" s="18"/>
      <c r="G156" s="538"/>
      <c r="H156" s="539"/>
      <c r="I156" s="507"/>
      <c r="J156" s="507"/>
      <c r="K156" s="507"/>
      <c r="L156" s="507"/>
      <c r="M156" s="507"/>
      <c r="N156" s="507"/>
      <c r="O156" s="507"/>
      <c r="P156" s="507"/>
      <c r="Q156" s="507"/>
      <c r="R156" s="507"/>
      <c r="S156" s="507"/>
      <c r="T156" s="507"/>
      <c r="U156" s="507"/>
      <c r="V156" s="507"/>
      <c r="W156" s="507"/>
    </row>
    <row r="157" ht="35.25" customHeight="1">
      <c r="A157" s="553" t="s">
        <v>671</v>
      </c>
      <c r="B157" s="588"/>
      <c r="C157" s="591"/>
      <c r="D157" s="516"/>
      <c r="E157" s="507"/>
      <c r="F157" s="18"/>
      <c r="G157" s="538"/>
      <c r="H157" s="539"/>
      <c r="I157" s="507"/>
      <c r="J157" s="507"/>
      <c r="K157" s="507"/>
      <c r="L157" s="507"/>
      <c r="M157" s="507"/>
      <c r="N157" s="507"/>
      <c r="O157" s="507"/>
      <c r="P157" s="507"/>
      <c r="Q157" s="507"/>
      <c r="R157" s="507"/>
      <c r="S157" s="507"/>
      <c r="T157" s="507"/>
      <c r="U157" s="507"/>
      <c r="V157" s="507"/>
      <c r="W157" s="507"/>
    </row>
    <row r="158" ht="35.25" customHeight="1">
      <c r="A158" s="18"/>
      <c r="B158" s="588"/>
      <c r="C158" s="546"/>
      <c r="D158" s="18"/>
      <c r="E158" s="507"/>
      <c r="F158" s="18"/>
      <c r="G158" s="538"/>
      <c r="H158" s="539"/>
      <c r="I158" s="507"/>
      <c r="J158" s="507"/>
      <c r="K158" s="507"/>
      <c r="L158" s="507"/>
      <c r="M158" s="507"/>
      <c r="N158" s="507"/>
      <c r="O158" s="507"/>
      <c r="P158" s="507"/>
      <c r="Q158" s="507"/>
      <c r="R158" s="507"/>
      <c r="S158" s="507"/>
      <c r="T158" s="507"/>
      <c r="U158" s="507"/>
      <c r="V158" s="507"/>
      <c r="W158" s="507"/>
    </row>
    <row r="159" ht="35.25" customHeight="1">
      <c r="A159" s="18"/>
      <c r="B159" s="514"/>
      <c r="C159" s="591"/>
      <c r="D159" s="18"/>
      <c r="E159" s="507"/>
      <c r="F159" s="18"/>
      <c r="G159" s="538"/>
      <c r="H159" s="539">
        <v>9.8639E7</v>
      </c>
      <c r="I159" s="507"/>
      <c r="J159" s="507"/>
      <c r="K159" s="507"/>
      <c r="L159" s="507"/>
      <c r="M159" s="507"/>
      <c r="N159" s="507"/>
      <c r="O159" s="507"/>
      <c r="P159" s="507"/>
      <c r="Q159" s="507"/>
      <c r="R159" s="507"/>
      <c r="S159" s="507"/>
      <c r="T159" s="507"/>
      <c r="U159" s="507"/>
      <c r="V159" s="507"/>
      <c r="W159" s="507"/>
    </row>
    <row r="160" ht="35.25" customHeight="1">
      <c r="A160" s="22"/>
      <c r="B160" s="588"/>
      <c r="C160" s="587"/>
      <c r="D160" s="22"/>
      <c r="E160" s="507"/>
      <c r="F160" s="18"/>
      <c r="G160" s="538"/>
      <c r="H160" s="539">
        <v>4.8081E7</v>
      </c>
      <c r="I160" s="507"/>
      <c r="J160" s="507"/>
      <c r="K160" s="507"/>
      <c r="L160" s="507"/>
      <c r="M160" s="507"/>
      <c r="N160" s="507"/>
      <c r="O160" s="507"/>
      <c r="P160" s="507"/>
      <c r="Q160" s="507"/>
      <c r="R160" s="507"/>
      <c r="S160" s="507"/>
      <c r="T160" s="507"/>
      <c r="U160" s="507"/>
      <c r="V160" s="507"/>
      <c r="W160" s="507"/>
    </row>
    <row r="161" ht="35.25" customHeight="1">
      <c r="A161" s="513" t="s">
        <v>61</v>
      </c>
      <c r="B161" s="514"/>
      <c r="C161" s="593"/>
      <c r="D161" s="516">
        <f>sum(C162:C164)</f>
        <v>45190000</v>
      </c>
      <c r="E161" s="507"/>
      <c r="F161" s="18"/>
      <c r="G161" s="538"/>
      <c r="H161" s="594">
        <f>SUM(H151:H160)</f>
        <v>146720000</v>
      </c>
      <c r="I161" s="507"/>
      <c r="J161" s="507"/>
      <c r="K161" s="507"/>
      <c r="L161" s="507"/>
      <c r="M161" s="507"/>
      <c r="N161" s="507"/>
      <c r="O161" s="507"/>
      <c r="P161" s="507"/>
      <c r="Q161" s="507"/>
      <c r="R161" s="507"/>
      <c r="S161" s="507"/>
      <c r="T161" s="507"/>
      <c r="U161" s="507"/>
      <c r="V161" s="507"/>
      <c r="W161" s="507"/>
    </row>
    <row r="162" ht="35.25" customHeight="1">
      <c r="A162" s="18"/>
      <c r="B162" s="514" t="s">
        <v>724</v>
      </c>
      <c r="C162" s="593">
        <v>2.0E7</v>
      </c>
      <c r="D162" s="18"/>
      <c r="E162" s="507"/>
      <c r="F162" s="586"/>
      <c r="G162" s="508"/>
      <c r="H162" s="595"/>
      <c r="I162" s="507"/>
      <c r="J162" s="507"/>
      <c r="K162" s="507"/>
      <c r="L162" s="507"/>
      <c r="M162" s="507"/>
      <c r="N162" s="507"/>
      <c r="O162" s="507"/>
      <c r="P162" s="507"/>
      <c r="Q162" s="507"/>
      <c r="R162" s="507"/>
      <c r="S162" s="507"/>
      <c r="T162" s="507"/>
      <c r="U162" s="507"/>
      <c r="V162" s="507"/>
      <c r="W162" s="507"/>
    </row>
    <row r="163" ht="35.25" customHeight="1">
      <c r="A163" s="18"/>
      <c r="B163" s="514" t="s">
        <v>680</v>
      </c>
      <c r="C163" s="593">
        <v>1.6025E7</v>
      </c>
      <c r="D163" s="18"/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  <c r="O163" s="507"/>
      <c r="P163" s="507"/>
      <c r="Q163" s="507"/>
      <c r="R163" s="507"/>
      <c r="S163" s="507"/>
      <c r="T163" s="507"/>
      <c r="U163" s="507"/>
      <c r="V163" s="507"/>
      <c r="W163" s="507"/>
    </row>
    <row r="164" ht="35.25" customHeight="1">
      <c r="A164" s="22"/>
      <c r="B164" s="514" t="s">
        <v>722</v>
      </c>
      <c r="C164" s="593">
        <v>9165000.0</v>
      </c>
      <c r="D164" s="22"/>
      <c r="E164" s="507"/>
      <c r="F164" s="507"/>
      <c r="G164" s="507"/>
      <c r="H164" s="507"/>
      <c r="I164" s="507"/>
      <c r="J164" s="507"/>
      <c r="K164" s="507"/>
      <c r="L164" s="507"/>
      <c r="M164" s="507"/>
      <c r="N164" s="507"/>
      <c r="O164" s="507"/>
      <c r="P164" s="507"/>
      <c r="Q164" s="507"/>
      <c r="R164" s="507"/>
      <c r="S164" s="507"/>
      <c r="T164" s="507"/>
      <c r="U164" s="507"/>
      <c r="V164" s="507"/>
      <c r="W164" s="507"/>
    </row>
    <row r="165" ht="35.25" customHeight="1">
      <c r="A165" s="536" t="s">
        <v>63</v>
      </c>
      <c r="B165" s="514" t="s">
        <v>725</v>
      </c>
      <c r="C165" s="596">
        <v>4.0437E7</v>
      </c>
      <c r="D165" s="516">
        <f>sum(C165:C167)</f>
        <v>143001500</v>
      </c>
      <c r="E165" s="507"/>
      <c r="F165" s="507"/>
      <c r="G165" s="507"/>
      <c r="H165" s="507"/>
      <c r="I165" s="507"/>
      <c r="J165" s="507"/>
      <c r="K165" s="507"/>
      <c r="L165" s="507"/>
      <c r="M165" s="507"/>
      <c r="N165" s="507"/>
      <c r="O165" s="507"/>
      <c r="P165" s="507"/>
      <c r="Q165" s="507"/>
      <c r="R165" s="507"/>
      <c r="S165" s="507"/>
      <c r="T165" s="507"/>
      <c r="U165" s="507"/>
      <c r="V165" s="507"/>
      <c r="W165" s="507"/>
    </row>
    <row r="166" ht="35.25" customHeight="1">
      <c r="A166" s="18"/>
      <c r="B166" s="514" t="s">
        <v>680</v>
      </c>
      <c r="C166" s="596">
        <v>3.5699E7</v>
      </c>
      <c r="D166" s="18"/>
      <c r="E166" s="507"/>
      <c r="F166" s="507"/>
      <c r="G166" s="507"/>
      <c r="H166" s="507"/>
      <c r="I166" s="507"/>
      <c r="J166" s="507"/>
      <c r="K166" s="507"/>
      <c r="L166" s="507"/>
      <c r="M166" s="507"/>
      <c r="N166" s="507"/>
      <c r="O166" s="507"/>
      <c r="P166" s="507"/>
      <c r="Q166" s="507"/>
      <c r="R166" s="507"/>
      <c r="S166" s="507"/>
      <c r="T166" s="507"/>
      <c r="U166" s="507"/>
      <c r="V166" s="507"/>
      <c r="W166" s="507"/>
    </row>
    <row r="167" ht="35.25" customHeight="1">
      <c r="A167" s="18"/>
      <c r="B167" s="514" t="s">
        <v>722</v>
      </c>
      <c r="C167" s="593">
        <v>6.68655E7</v>
      </c>
      <c r="D167" s="18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507"/>
      <c r="U167" s="507"/>
      <c r="V167" s="507"/>
      <c r="W167" s="507"/>
    </row>
    <row r="168" ht="35.25" customHeight="1">
      <c r="A168" s="22"/>
      <c r="B168" s="514"/>
      <c r="C168" s="593"/>
      <c r="D168" s="22"/>
      <c r="E168" s="507"/>
      <c r="F168" s="507"/>
      <c r="G168" s="507"/>
      <c r="H168" s="507"/>
      <c r="I168" s="507"/>
      <c r="J168" s="507"/>
      <c r="K168" s="507"/>
      <c r="L168" s="507"/>
      <c r="M168" s="507"/>
      <c r="N168" s="507"/>
      <c r="O168" s="507"/>
      <c r="P168" s="507"/>
      <c r="Q168" s="507"/>
      <c r="R168" s="507"/>
      <c r="S168" s="507"/>
      <c r="T168" s="507"/>
      <c r="U168" s="507"/>
      <c r="V168" s="507"/>
      <c r="W168" s="507"/>
    </row>
    <row r="169" ht="35.25" customHeight="1">
      <c r="A169" s="597" t="s">
        <v>64</v>
      </c>
      <c r="B169" s="514"/>
      <c r="C169" s="596"/>
      <c r="D169" s="516">
        <v>6.20905E7</v>
      </c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507"/>
      <c r="W169" s="507"/>
    </row>
    <row r="170" ht="35.25" customHeight="1">
      <c r="A170" s="18"/>
      <c r="B170" s="514"/>
      <c r="C170" s="596"/>
      <c r="D170" s="18"/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  <c r="O170" s="507"/>
      <c r="P170" s="507"/>
      <c r="Q170" s="507"/>
      <c r="R170" s="507"/>
      <c r="S170" s="507"/>
      <c r="T170" s="507"/>
      <c r="U170" s="507"/>
      <c r="V170" s="507"/>
      <c r="W170" s="507"/>
    </row>
    <row r="171" ht="35.25" customHeight="1">
      <c r="A171" s="18"/>
      <c r="B171" s="514" t="s">
        <v>722</v>
      </c>
      <c r="C171" s="596">
        <v>6.20905E7</v>
      </c>
      <c r="D171" s="18"/>
      <c r="E171" s="507"/>
      <c r="F171" s="507"/>
      <c r="G171" s="507"/>
      <c r="H171" s="507"/>
      <c r="I171" s="507"/>
      <c r="J171" s="507"/>
      <c r="K171" s="507"/>
      <c r="L171" s="507"/>
      <c r="M171" s="507"/>
      <c r="N171" s="507"/>
      <c r="O171" s="507"/>
      <c r="P171" s="507"/>
      <c r="Q171" s="507"/>
      <c r="R171" s="507"/>
      <c r="S171" s="507"/>
      <c r="T171" s="507"/>
      <c r="U171" s="507"/>
      <c r="V171" s="507"/>
      <c r="W171" s="507"/>
    </row>
    <row r="172" ht="35.25" customHeight="1">
      <c r="A172" s="22"/>
      <c r="B172" s="514"/>
      <c r="C172" s="596"/>
      <c r="D172" s="22"/>
      <c r="E172" s="507"/>
      <c r="F172" s="507"/>
      <c r="G172" s="507"/>
      <c r="H172" s="507"/>
      <c r="I172" s="507"/>
      <c r="J172" s="507"/>
      <c r="K172" s="525">
        <f>SUM(H172)</f>
        <v>0</v>
      </c>
      <c r="L172" s="507"/>
      <c r="M172" s="507"/>
      <c r="N172" s="507"/>
      <c r="O172" s="507"/>
      <c r="P172" s="507"/>
      <c r="Q172" s="507"/>
      <c r="R172" s="507"/>
      <c r="S172" s="507"/>
      <c r="T172" s="507"/>
      <c r="U172" s="507"/>
      <c r="V172" s="507"/>
      <c r="W172" s="507"/>
    </row>
    <row r="173" ht="35.25" customHeight="1">
      <c r="A173" s="553" t="s">
        <v>673</v>
      </c>
      <c r="B173" s="514"/>
      <c r="C173" s="598"/>
      <c r="D173" s="516">
        <f>sum(C174:C178)</f>
        <v>141788500</v>
      </c>
      <c r="E173" s="507"/>
      <c r="F173" s="599"/>
      <c r="G173" s="538"/>
      <c r="H173" s="600"/>
      <c r="I173" s="507"/>
      <c r="J173" s="507"/>
      <c r="K173" s="507"/>
      <c r="L173" s="507"/>
      <c r="M173" s="507"/>
      <c r="N173" s="507"/>
      <c r="O173" s="507"/>
      <c r="P173" s="507"/>
      <c r="Q173" s="507"/>
      <c r="R173" s="507"/>
      <c r="S173" s="507"/>
      <c r="T173" s="507"/>
      <c r="U173" s="507"/>
      <c r="V173" s="507"/>
      <c r="W173" s="507"/>
    </row>
    <row r="174" ht="35.25" customHeight="1">
      <c r="A174" s="18"/>
      <c r="B174" s="514" t="s">
        <v>723</v>
      </c>
      <c r="C174" s="598">
        <v>3.3734E7</v>
      </c>
      <c r="D174" s="18"/>
      <c r="E174" s="507"/>
      <c r="F174" s="18"/>
      <c r="G174" s="538"/>
      <c r="H174" s="600"/>
      <c r="I174" s="507"/>
      <c r="J174" s="507"/>
      <c r="K174" s="507"/>
      <c r="L174" s="507"/>
      <c r="M174" s="507"/>
      <c r="N174" s="507"/>
      <c r="O174" s="507"/>
      <c r="P174" s="507"/>
      <c r="Q174" s="507"/>
      <c r="R174" s="507"/>
      <c r="S174" s="507"/>
      <c r="T174" s="507"/>
      <c r="U174" s="507"/>
      <c r="V174" s="507"/>
      <c r="W174" s="507"/>
    </row>
    <row r="175" ht="35.25" customHeight="1">
      <c r="A175" s="18"/>
      <c r="B175" s="514" t="s">
        <v>724</v>
      </c>
      <c r="C175" s="598">
        <v>2.9859E7</v>
      </c>
      <c r="D175" s="18"/>
      <c r="E175" s="507"/>
      <c r="F175" s="18"/>
      <c r="G175" s="538"/>
      <c r="H175" s="600"/>
      <c r="I175" s="507"/>
      <c r="J175" s="507"/>
      <c r="K175" s="507"/>
      <c r="L175" s="507"/>
      <c r="M175" s="507"/>
      <c r="N175" s="507"/>
      <c r="O175" s="507"/>
      <c r="P175" s="507"/>
      <c r="Q175" s="507"/>
      <c r="R175" s="507"/>
      <c r="S175" s="507"/>
      <c r="T175" s="507"/>
      <c r="U175" s="507"/>
      <c r="V175" s="507"/>
      <c r="W175" s="507"/>
    </row>
    <row r="176" ht="35.25" customHeight="1">
      <c r="A176" s="18"/>
      <c r="B176" s="514" t="s">
        <v>725</v>
      </c>
      <c r="C176" s="598">
        <v>3.17985E7</v>
      </c>
      <c r="D176" s="18"/>
      <c r="E176" s="507"/>
      <c r="F176" s="18"/>
      <c r="G176" s="538"/>
      <c r="H176" s="600"/>
      <c r="I176" s="507"/>
      <c r="J176" s="507"/>
      <c r="K176" s="507"/>
      <c r="L176" s="507"/>
      <c r="M176" s="507"/>
      <c r="N176" s="507"/>
      <c r="O176" s="507"/>
      <c r="P176" s="507"/>
      <c r="Q176" s="507"/>
      <c r="R176" s="507"/>
      <c r="S176" s="507"/>
      <c r="T176" s="507"/>
      <c r="U176" s="507"/>
      <c r="V176" s="507"/>
      <c r="W176" s="507"/>
    </row>
    <row r="177" ht="35.25" customHeight="1">
      <c r="A177" s="18"/>
      <c r="B177" s="514" t="s">
        <v>680</v>
      </c>
      <c r="C177" s="598">
        <v>1.741E7</v>
      </c>
      <c r="D177" s="18"/>
      <c r="E177" s="507"/>
      <c r="F177" s="18"/>
      <c r="G177" s="538"/>
      <c r="H177" s="600"/>
      <c r="I177" s="507"/>
      <c r="J177" s="507"/>
      <c r="K177" s="507"/>
      <c r="L177" s="507"/>
      <c r="M177" s="507"/>
      <c r="N177" s="507"/>
      <c r="O177" s="507"/>
      <c r="P177" s="507"/>
      <c r="Q177" s="507"/>
      <c r="R177" s="507"/>
      <c r="S177" s="507"/>
      <c r="T177" s="507"/>
      <c r="U177" s="507"/>
      <c r="V177" s="507"/>
      <c r="W177" s="507"/>
    </row>
    <row r="178" ht="35.25" customHeight="1">
      <c r="A178" s="18"/>
      <c r="B178" s="514" t="s">
        <v>722</v>
      </c>
      <c r="C178" s="598">
        <v>2.8987E7</v>
      </c>
      <c r="D178" s="18"/>
      <c r="E178" s="507"/>
      <c r="F178" s="18"/>
      <c r="G178" s="538"/>
      <c r="H178" s="600"/>
      <c r="I178" s="507"/>
      <c r="J178" s="507"/>
      <c r="K178" s="507"/>
      <c r="L178" s="507"/>
      <c r="M178" s="507"/>
      <c r="N178" s="507"/>
      <c r="O178" s="507"/>
      <c r="P178" s="507"/>
      <c r="Q178" s="507"/>
      <c r="R178" s="507"/>
      <c r="S178" s="507"/>
      <c r="T178" s="507"/>
      <c r="U178" s="507"/>
      <c r="V178" s="507"/>
      <c r="W178" s="507"/>
    </row>
    <row r="179" ht="35.25" customHeight="1">
      <c r="A179" s="22"/>
      <c r="B179" s="514"/>
      <c r="C179" s="598"/>
      <c r="D179" s="22"/>
      <c r="E179" s="507"/>
      <c r="F179" s="18"/>
      <c r="G179" s="538"/>
      <c r="H179" s="600"/>
      <c r="I179" s="507"/>
      <c r="J179" s="507"/>
      <c r="K179" s="507"/>
      <c r="L179" s="507"/>
      <c r="M179" s="507"/>
      <c r="N179" s="507"/>
      <c r="O179" s="507"/>
      <c r="P179" s="507"/>
      <c r="Q179" s="507"/>
      <c r="R179" s="507"/>
      <c r="S179" s="507"/>
      <c r="T179" s="507"/>
      <c r="U179" s="507"/>
      <c r="V179" s="507"/>
      <c r="W179" s="507"/>
    </row>
    <row r="180" ht="35.25" customHeight="1">
      <c r="A180" s="536" t="s">
        <v>68</v>
      </c>
      <c r="B180" s="514"/>
      <c r="C180" s="598"/>
      <c r="D180" s="516">
        <f>sum(C179:C182)</f>
        <v>0</v>
      </c>
      <c r="E180" s="507"/>
      <c r="F180" s="18"/>
      <c r="G180" s="538"/>
      <c r="H180" s="594"/>
      <c r="I180" s="601"/>
      <c r="J180" s="602"/>
      <c r="K180" s="603"/>
      <c r="L180" s="507"/>
      <c r="M180" s="507"/>
      <c r="N180" s="507"/>
      <c r="O180" s="507"/>
      <c r="P180" s="507"/>
      <c r="Q180" s="507"/>
      <c r="R180" s="507"/>
      <c r="S180" s="507"/>
      <c r="T180" s="507"/>
      <c r="U180" s="507"/>
      <c r="V180" s="507"/>
      <c r="W180" s="507"/>
    </row>
    <row r="181" ht="35.25" customHeight="1">
      <c r="A181" s="18"/>
      <c r="B181" s="514" t="s">
        <v>722</v>
      </c>
      <c r="C181" s="598"/>
      <c r="D181" s="18"/>
      <c r="E181" s="507"/>
      <c r="F181" s="22"/>
      <c r="G181" s="538"/>
      <c r="H181" s="594"/>
      <c r="I181" s="604"/>
      <c r="J181" s="605"/>
      <c r="K181" s="606"/>
      <c r="L181" s="507"/>
      <c r="M181" s="507"/>
      <c r="N181" s="507"/>
      <c r="O181" s="507"/>
      <c r="P181" s="507"/>
      <c r="Q181" s="507"/>
      <c r="R181" s="507"/>
      <c r="S181" s="507"/>
      <c r="T181" s="507"/>
      <c r="U181" s="507"/>
      <c r="V181" s="507"/>
      <c r="W181" s="507"/>
    </row>
    <row r="182" ht="35.25" customHeight="1">
      <c r="A182" s="18"/>
      <c r="B182" s="514"/>
      <c r="C182" s="598"/>
      <c r="D182" s="18"/>
      <c r="E182" s="507"/>
      <c r="F182" s="507"/>
      <c r="G182" s="507"/>
      <c r="H182" s="507"/>
      <c r="I182" s="18"/>
      <c r="J182" s="607"/>
      <c r="K182" s="608"/>
      <c r="L182" s="507"/>
      <c r="M182" s="507"/>
      <c r="N182" s="507"/>
      <c r="O182" s="507"/>
      <c r="P182" s="507"/>
      <c r="Q182" s="507"/>
      <c r="R182" s="507"/>
      <c r="S182" s="507"/>
      <c r="T182" s="507"/>
      <c r="U182" s="507"/>
      <c r="V182" s="507"/>
      <c r="W182" s="507"/>
    </row>
    <row r="183" ht="35.25" customHeight="1">
      <c r="A183" s="22"/>
      <c r="B183" s="514"/>
      <c r="C183" s="598"/>
      <c r="D183" s="22"/>
      <c r="E183" s="507"/>
      <c r="F183" s="609"/>
      <c r="G183" s="538"/>
      <c r="I183" s="18"/>
      <c r="J183" s="607"/>
      <c r="K183" s="608"/>
      <c r="L183" s="507"/>
      <c r="M183" s="507"/>
      <c r="N183" s="507"/>
      <c r="O183" s="507"/>
      <c r="P183" s="507"/>
      <c r="Q183" s="507"/>
      <c r="R183" s="507"/>
      <c r="S183" s="507"/>
      <c r="T183" s="507"/>
      <c r="U183" s="507"/>
      <c r="V183" s="507"/>
      <c r="W183" s="507"/>
    </row>
    <row r="184" ht="35.25" customHeight="1">
      <c r="A184" s="536" t="s">
        <v>75</v>
      </c>
      <c r="B184" s="514"/>
      <c r="C184" s="598"/>
      <c r="D184" s="516">
        <f>sum(C184:C185)</f>
        <v>36852000</v>
      </c>
      <c r="E184" s="507"/>
      <c r="F184" s="22"/>
      <c r="G184" s="538"/>
      <c r="I184" s="18"/>
      <c r="J184" s="607"/>
      <c r="K184" s="610"/>
      <c r="L184" s="507"/>
      <c r="M184" s="507"/>
      <c r="N184" s="507"/>
      <c r="O184" s="507"/>
      <c r="P184" s="507"/>
      <c r="Q184" s="507"/>
      <c r="R184" s="507"/>
      <c r="S184" s="507"/>
      <c r="T184" s="507"/>
      <c r="U184" s="507"/>
      <c r="V184" s="507"/>
      <c r="W184" s="507"/>
    </row>
    <row r="185" ht="35.25" customHeight="1">
      <c r="A185" s="18"/>
      <c r="B185" s="514" t="s">
        <v>722</v>
      </c>
      <c r="C185" s="598">
        <v>3.6852E7</v>
      </c>
      <c r="D185" s="18"/>
      <c r="E185" s="507"/>
      <c r="F185" s="507"/>
      <c r="G185" s="507"/>
      <c r="H185" s="507"/>
      <c r="I185" s="18"/>
      <c r="J185" s="607"/>
      <c r="K185" s="610"/>
      <c r="L185" s="507"/>
      <c r="M185" s="507"/>
      <c r="N185" s="507"/>
      <c r="O185" s="507"/>
      <c r="P185" s="507"/>
      <c r="Q185" s="507"/>
      <c r="R185" s="507"/>
      <c r="S185" s="507"/>
      <c r="T185" s="507"/>
      <c r="U185" s="507"/>
      <c r="V185" s="507"/>
      <c r="W185" s="507"/>
    </row>
    <row r="186" ht="35.25" customHeight="1">
      <c r="A186" s="18"/>
      <c r="B186" s="514"/>
      <c r="C186" s="598"/>
      <c r="D186" s="18"/>
      <c r="E186" s="507"/>
      <c r="F186" s="507"/>
      <c r="G186" s="507"/>
      <c r="H186" s="507"/>
      <c r="I186" s="22"/>
      <c r="J186" s="607"/>
      <c r="K186" s="611"/>
      <c r="L186" s="507"/>
      <c r="M186" s="507"/>
      <c r="N186" s="507"/>
      <c r="O186" s="507"/>
      <c r="P186" s="507"/>
      <c r="Q186" s="507"/>
      <c r="R186" s="507"/>
      <c r="S186" s="507"/>
      <c r="T186" s="507"/>
      <c r="U186" s="507"/>
      <c r="V186" s="507"/>
      <c r="W186" s="507"/>
    </row>
    <row r="187" ht="35.25" customHeight="1">
      <c r="A187" s="22"/>
      <c r="B187" s="514"/>
      <c r="C187" s="598"/>
      <c r="D187" s="22"/>
      <c r="E187" s="507"/>
      <c r="F187" s="507"/>
      <c r="G187" s="525"/>
      <c r="H187" s="507"/>
      <c r="I187" s="507"/>
      <c r="J187" s="507"/>
      <c r="K187" s="507"/>
      <c r="L187" s="507"/>
      <c r="M187" s="507"/>
      <c r="N187" s="507"/>
      <c r="O187" s="507"/>
      <c r="P187" s="507"/>
      <c r="Q187" s="507"/>
      <c r="R187" s="507"/>
      <c r="S187" s="507"/>
      <c r="T187" s="507"/>
      <c r="U187" s="507"/>
      <c r="V187" s="507"/>
      <c r="W187" s="507"/>
    </row>
    <row r="188" ht="35.25" customHeight="1">
      <c r="A188" s="536" t="s">
        <v>79</v>
      </c>
      <c r="B188" s="514"/>
      <c r="C188" s="598"/>
      <c r="D188" s="516">
        <f>sum(C189:C190)</f>
        <v>67019500</v>
      </c>
      <c r="E188" s="507"/>
      <c r="F188" s="507"/>
      <c r="G188" s="507"/>
      <c r="H188" s="507"/>
      <c r="I188" s="507"/>
      <c r="J188" s="507"/>
      <c r="K188" s="507"/>
      <c r="L188" s="507"/>
      <c r="M188" s="507"/>
      <c r="N188" s="507"/>
      <c r="O188" s="507"/>
      <c r="P188" s="507"/>
      <c r="Q188" s="507"/>
      <c r="R188" s="507"/>
      <c r="S188" s="507"/>
      <c r="T188" s="507"/>
      <c r="U188" s="507"/>
      <c r="V188" s="507"/>
      <c r="W188" s="507"/>
    </row>
    <row r="189" ht="35.25" customHeight="1">
      <c r="A189" s="18"/>
      <c r="B189" s="514" t="s">
        <v>722</v>
      </c>
      <c r="C189" s="612">
        <v>6.70195E7</v>
      </c>
      <c r="D189" s="18"/>
      <c r="E189" s="507"/>
      <c r="F189" s="507"/>
      <c r="G189" s="507"/>
      <c r="H189" s="507"/>
      <c r="I189" s="507"/>
      <c r="J189" s="507"/>
      <c r="K189" s="507"/>
      <c r="L189" s="507"/>
      <c r="M189" s="507"/>
      <c r="N189" s="507"/>
      <c r="O189" s="507"/>
      <c r="P189" s="507"/>
      <c r="Q189" s="507"/>
      <c r="R189" s="507"/>
      <c r="S189" s="507"/>
      <c r="T189" s="507"/>
      <c r="U189" s="507"/>
      <c r="V189" s="507"/>
      <c r="W189" s="507"/>
    </row>
    <row r="190" ht="35.25" customHeight="1">
      <c r="A190" s="18"/>
      <c r="B190" s="514"/>
      <c r="C190" s="598"/>
      <c r="D190" s="18"/>
      <c r="E190" s="507"/>
      <c r="F190" s="613"/>
      <c r="G190" s="614"/>
      <c r="H190" s="615"/>
      <c r="I190" s="507"/>
      <c r="J190" s="507"/>
      <c r="K190" s="507"/>
      <c r="L190" s="507"/>
      <c r="M190" s="507"/>
      <c r="N190" s="507"/>
      <c r="O190" s="507"/>
      <c r="P190" s="507"/>
      <c r="Q190" s="507"/>
      <c r="R190" s="507"/>
      <c r="S190" s="507"/>
      <c r="T190" s="507"/>
      <c r="U190" s="507"/>
      <c r="V190" s="507"/>
      <c r="W190" s="507"/>
    </row>
    <row r="191" ht="35.25" customHeight="1">
      <c r="A191" s="22"/>
      <c r="B191" s="514"/>
      <c r="C191" s="612"/>
      <c r="D191" s="22"/>
      <c r="E191" s="507"/>
      <c r="F191" s="18"/>
      <c r="G191" s="614"/>
      <c r="H191" s="615"/>
      <c r="I191" s="507"/>
      <c r="J191" s="507"/>
      <c r="K191" s="507"/>
      <c r="L191" s="507"/>
      <c r="M191" s="507"/>
      <c r="N191" s="507"/>
      <c r="O191" s="507"/>
      <c r="P191" s="507"/>
      <c r="Q191" s="507"/>
      <c r="R191" s="507"/>
      <c r="S191" s="507"/>
      <c r="T191" s="507"/>
      <c r="U191" s="507"/>
      <c r="V191" s="507"/>
      <c r="W191" s="507"/>
    </row>
    <row r="192" ht="35.25" customHeight="1">
      <c r="A192" s="553" t="s">
        <v>675</v>
      </c>
      <c r="B192" s="514"/>
      <c r="C192" s="616"/>
      <c r="D192" s="516">
        <f>sum(C193:C196)</f>
        <v>0</v>
      </c>
      <c r="E192" s="507"/>
      <c r="F192" s="507"/>
      <c r="G192" s="507"/>
      <c r="H192" s="507"/>
      <c r="I192" s="599"/>
      <c r="J192" s="538"/>
      <c r="K192" s="600"/>
      <c r="L192" s="507"/>
      <c r="M192" s="507"/>
      <c r="N192" s="507"/>
      <c r="O192" s="507"/>
      <c r="P192" s="507"/>
      <c r="Q192" s="507"/>
      <c r="R192" s="507"/>
      <c r="S192" s="507"/>
      <c r="T192" s="507"/>
      <c r="U192" s="507"/>
      <c r="V192" s="507"/>
      <c r="W192" s="507"/>
    </row>
    <row r="193" ht="35.25" customHeight="1">
      <c r="A193" s="18"/>
      <c r="B193" s="514"/>
      <c r="C193" s="616"/>
      <c r="D193" s="18"/>
      <c r="E193" s="507"/>
      <c r="F193" s="507"/>
      <c r="G193" s="507"/>
      <c r="H193" s="507"/>
      <c r="I193" s="18"/>
      <c r="J193" s="538"/>
      <c r="K193" s="600"/>
      <c r="L193" s="507"/>
      <c r="M193" s="507"/>
      <c r="N193" s="507"/>
      <c r="O193" s="507"/>
      <c r="P193" s="507"/>
      <c r="Q193" s="507"/>
      <c r="R193" s="507"/>
      <c r="S193" s="507"/>
      <c r="T193" s="507"/>
      <c r="U193" s="507"/>
      <c r="V193" s="507"/>
      <c r="W193" s="507"/>
    </row>
    <row r="194" ht="35.25" customHeight="1">
      <c r="A194" s="18"/>
      <c r="B194" s="514"/>
      <c r="C194" s="616"/>
      <c r="D194" s="18"/>
      <c r="E194" s="507"/>
      <c r="F194" s="507"/>
      <c r="G194" s="507"/>
      <c r="H194" s="507"/>
      <c r="I194" s="18"/>
      <c r="J194" s="538"/>
      <c r="K194" s="600"/>
      <c r="L194" s="507"/>
      <c r="M194" s="507"/>
      <c r="N194" s="507"/>
      <c r="O194" s="507"/>
      <c r="P194" s="507"/>
      <c r="Q194" s="507"/>
      <c r="R194" s="507"/>
      <c r="S194" s="507"/>
      <c r="T194" s="507"/>
      <c r="U194" s="507"/>
      <c r="V194" s="507"/>
      <c r="W194" s="507"/>
    </row>
    <row r="195" ht="35.25" customHeight="1">
      <c r="A195" s="18"/>
      <c r="B195" s="514"/>
      <c r="C195" s="616"/>
      <c r="D195" s="18"/>
      <c r="E195" s="507"/>
      <c r="F195" s="507"/>
      <c r="G195" s="507"/>
      <c r="H195" s="507"/>
      <c r="I195" s="18"/>
      <c r="J195" s="538"/>
      <c r="K195" s="600"/>
      <c r="L195" s="507"/>
      <c r="M195" s="507"/>
      <c r="N195" s="507"/>
      <c r="O195" s="507"/>
      <c r="P195" s="507"/>
      <c r="Q195" s="507"/>
      <c r="R195" s="507"/>
      <c r="S195" s="507"/>
      <c r="T195" s="507"/>
      <c r="U195" s="507"/>
      <c r="V195" s="507"/>
      <c r="W195" s="507"/>
    </row>
    <row r="196" ht="35.25" customHeight="1">
      <c r="A196" s="22"/>
      <c r="B196" s="514"/>
      <c r="C196" s="616"/>
      <c r="D196" s="22"/>
      <c r="E196" s="507"/>
      <c r="F196" s="507"/>
      <c r="G196" s="507"/>
      <c r="H196" s="507"/>
      <c r="I196" s="18"/>
      <c r="J196" s="538"/>
      <c r="K196" s="600"/>
      <c r="L196" s="507"/>
      <c r="M196" s="507"/>
      <c r="N196" s="507"/>
      <c r="O196" s="507"/>
      <c r="P196" s="507"/>
      <c r="Q196" s="507"/>
      <c r="R196" s="507"/>
      <c r="S196" s="507"/>
      <c r="T196" s="507"/>
      <c r="U196" s="507"/>
      <c r="V196" s="507"/>
      <c r="W196" s="507"/>
    </row>
    <row r="197" ht="35.25" customHeight="1">
      <c r="A197" s="609" t="s">
        <v>86</v>
      </c>
      <c r="B197" s="514" t="s">
        <v>729</v>
      </c>
      <c r="C197" s="617">
        <v>1.801365E8</v>
      </c>
      <c r="D197" s="618">
        <f>sum(C197:C198)</f>
        <v>222517500</v>
      </c>
      <c r="E197" s="507"/>
      <c r="F197" s="507"/>
      <c r="G197" s="507"/>
      <c r="H197" s="507"/>
      <c r="I197" s="18"/>
      <c r="J197" s="542"/>
      <c r="K197" s="539"/>
      <c r="L197" s="507"/>
      <c r="M197" s="507"/>
      <c r="N197" s="507"/>
      <c r="O197" s="507"/>
      <c r="P197" s="507"/>
      <c r="Q197" s="507"/>
      <c r="R197" s="507"/>
      <c r="S197" s="507"/>
      <c r="T197" s="507"/>
      <c r="U197" s="507"/>
      <c r="V197" s="507"/>
      <c r="W197" s="507"/>
    </row>
    <row r="198" ht="35.25" customHeight="1">
      <c r="A198" s="18"/>
      <c r="B198" s="514" t="s">
        <v>730</v>
      </c>
      <c r="C198" s="617">
        <v>4.2381E7</v>
      </c>
      <c r="D198" s="18"/>
      <c r="E198" s="507"/>
      <c r="F198" s="507"/>
      <c r="G198" s="507"/>
      <c r="H198" s="507"/>
      <c r="I198" s="18"/>
      <c r="J198" s="542"/>
      <c r="K198" s="539"/>
      <c r="L198" s="507"/>
      <c r="M198" s="507"/>
      <c r="N198" s="507"/>
      <c r="O198" s="507"/>
      <c r="P198" s="507"/>
      <c r="Q198" s="507"/>
      <c r="R198" s="507"/>
      <c r="S198" s="507"/>
      <c r="T198" s="507"/>
      <c r="U198" s="507"/>
      <c r="V198" s="507"/>
      <c r="W198" s="507"/>
    </row>
    <row r="199" ht="35.25" customHeight="1">
      <c r="A199" s="18"/>
      <c r="B199" s="514"/>
      <c r="C199" s="619"/>
      <c r="D199" s="18"/>
      <c r="E199" s="635"/>
      <c r="F199" s="507"/>
      <c r="G199" s="507"/>
      <c r="H199" s="507"/>
      <c r="I199" s="18"/>
      <c r="J199" s="538"/>
      <c r="K199" s="600"/>
      <c r="L199" s="507"/>
      <c r="M199" s="507"/>
      <c r="N199" s="507"/>
      <c r="O199" s="507"/>
      <c r="P199" s="507"/>
      <c r="Q199" s="507"/>
      <c r="R199" s="507"/>
      <c r="S199" s="507"/>
      <c r="T199" s="507"/>
      <c r="U199" s="507"/>
      <c r="V199" s="507"/>
      <c r="W199" s="507"/>
    </row>
    <row r="200" ht="35.25" customHeight="1">
      <c r="A200" s="18"/>
      <c r="B200" s="524"/>
      <c r="C200" s="620"/>
      <c r="D200" s="18"/>
      <c r="E200" s="507"/>
      <c r="F200" s="507"/>
      <c r="G200" s="507"/>
      <c r="H200" s="507"/>
      <c r="I200" s="18"/>
      <c r="J200" s="538"/>
      <c r="K200" s="600"/>
      <c r="L200" s="507"/>
      <c r="M200" s="507"/>
      <c r="N200" s="507"/>
      <c r="O200" s="507"/>
      <c r="P200" s="507"/>
      <c r="Q200" s="507"/>
      <c r="R200" s="507"/>
      <c r="S200" s="507"/>
      <c r="T200" s="507"/>
      <c r="U200" s="507"/>
      <c r="V200" s="507"/>
      <c r="W200" s="507"/>
    </row>
    <row r="201" ht="35.25" customHeight="1">
      <c r="A201" s="22"/>
      <c r="B201" s="524"/>
      <c r="C201" s="620"/>
      <c r="D201" s="22"/>
      <c r="E201" s="507"/>
      <c r="F201" s="507"/>
      <c r="G201" s="507"/>
      <c r="H201" s="507"/>
      <c r="I201" s="18"/>
      <c r="J201" s="538"/>
      <c r="K201" s="600"/>
      <c r="L201" s="507"/>
      <c r="M201" s="507"/>
      <c r="N201" s="507"/>
      <c r="O201" s="507"/>
      <c r="P201" s="507"/>
      <c r="Q201" s="507"/>
      <c r="R201" s="507"/>
      <c r="S201" s="507"/>
      <c r="T201" s="507"/>
      <c r="U201" s="507"/>
      <c r="V201" s="507"/>
      <c r="W201" s="507"/>
    </row>
    <row r="202" ht="35.25" customHeight="1">
      <c r="A202" s="599" t="s">
        <v>87</v>
      </c>
      <c r="B202" s="547" t="s">
        <v>729</v>
      </c>
      <c r="C202" s="621" t="s">
        <v>684</v>
      </c>
      <c r="D202" s="618">
        <f>sum(C202:C205)</f>
        <v>34046500</v>
      </c>
      <c r="E202" s="507"/>
      <c r="F202" s="507"/>
      <c r="G202" s="507"/>
      <c r="H202" s="507"/>
      <c r="I202" s="18"/>
      <c r="J202" s="542"/>
      <c r="K202" s="539"/>
      <c r="L202" s="507"/>
      <c r="M202" s="507"/>
      <c r="N202" s="507"/>
      <c r="O202" s="507"/>
      <c r="P202" s="507"/>
      <c r="Q202" s="507"/>
      <c r="R202" s="507"/>
      <c r="S202" s="507"/>
      <c r="T202" s="507"/>
      <c r="U202" s="507"/>
      <c r="V202" s="507"/>
      <c r="W202" s="507"/>
    </row>
    <row r="203" ht="35.25" customHeight="1">
      <c r="A203" s="18"/>
      <c r="B203" s="514" t="s">
        <v>730</v>
      </c>
      <c r="C203" s="622">
        <v>3.40465E7</v>
      </c>
      <c r="D203" s="18"/>
      <c r="E203" s="635"/>
      <c r="F203" s="507"/>
      <c r="G203" s="507"/>
      <c r="H203" s="507"/>
      <c r="I203" s="18"/>
      <c r="J203" s="542"/>
      <c r="K203" s="539"/>
      <c r="L203" s="507"/>
      <c r="M203" s="507"/>
      <c r="N203" s="507"/>
      <c r="O203" s="507"/>
      <c r="P203" s="507"/>
      <c r="Q203" s="507"/>
      <c r="R203" s="507"/>
      <c r="S203" s="507"/>
      <c r="T203" s="507"/>
      <c r="U203" s="507"/>
      <c r="V203" s="507"/>
      <c r="W203" s="507"/>
    </row>
    <row r="204" ht="35.25" customHeight="1">
      <c r="A204" s="18"/>
      <c r="B204" s="514" t="s">
        <v>731</v>
      </c>
      <c r="C204" s="622"/>
      <c r="D204" s="18"/>
      <c r="E204" s="507"/>
      <c r="F204" s="507"/>
      <c r="G204" s="507"/>
      <c r="H204" s="507"/>
      <c r="I204" s="18"/>
      <c r="J204" s="542"/>
      <c r="K204" s="539"/>
      <c r="L204" s="507"/>
      <c r="M204" s="507"/>
      <c r="N204" s="507"/>
      <c r="O204" s="507"/>
      <c r="P204" s="507"/>
      <c r="Q204" s="507"/>
      <c r="R204" s="507"/>
      <c r="S204" s="507"/>
      <c r="T204" s="507"/>
      <c r="U204" s="507"/>
      <c r="V204" s="507"/>
      <c r="W204" s="507"/>
    </row>
    <row r="205" ht="35.25" customHeight="1">
      <c r="A205" s="18"/>
      <c r="B205" s="588" t="s">
        <v>77</v>
      </c>
      <c r="C205" s="622"/>
      <c r="D205" s="18"/>
      <c r="E205" s="507"/>
      <c r="F205" s="507"/>
      <c r="G205" s="507"/>
      <c r="H205" s="507"/>
      <c r="I205" s="22"/>
      <c r="J205" s="542"/>
      <c r="K205" s="594"/>
      <c r="L205" s="507"/>
      <c r="M205" s="507"/>
      <c r="N205" s="507"/>
      <c r="O205" s="507"/>
      <c r="P205" s="507"/>
      <c r="Q205" s="507"/>
      <c r="R205" s="507"/>
      <c r="S205" s="507"/>
      <c r="T205" s="507"/>
      <c r="U205" s="507"/>
      <c r="V205" s="507"/>
      <c r="W205" s="507"/>
    </row>
    <row r="206" ht="35.25" customHeight="1">
      <c r="A206" s="22"/>
      <c r="B206" s="588"/>
      <c r="C206" s="622"/>
      <c r="D206" s="22"/>
      <c r="E206" s="507"/>
      <c r="F206" s="507"/>
      <c r="G206" s="507"/>
      <c r="H206" s="507"/>
      <c r="I206" s="623"/>
      <c r="J206" s="525"/>
      <c r="K206" s="595"/>
      <c r="L206" s="507"/>
      <c r="M206" s="507"/>
      <c r="N206" s="507"/>
      <c r="O206" s="507"/>
      <c r="P206" s="507"/>
      <c r="Q206" s="507"/>
      <c r="R206" s="507"/>
      <c r="S206" s="507"/>
      <c r="T206" s="507"/>
      <c r="U206" s="507"/>
      <c r="V206" s="507"/>
      <c r="W206" s="507"/>
    </row>
    <row r="207" ht="35.25" customHeight="1">
      <c r="A207" s="599" t="s">
        <v>90</v>
      </c>
      <c r="B207" s="514" t="s">
        <v>730</v>
      </c>
      <c r="C207" s="624">
        <v>5.1639E7</v>
      </c>
      <c r="D207" s="618">
        <f>sum(C207)</f>
        <v>51639000</v>
      </c>
      <c r="E207" s="507"/>
      <c r="F207" s="507"/>
      <c r="G207" s="507"/>
      <c r="H207" s="507"/>
      <c r="I207" s="507"/>
      <c r="J207" s="507"/>
      <c r="K207" s="507"/>
      <c r="L207" s="507"/>
      <c r="M207" s="507"/>
      <c r="N207" s="507"/>
      <c r="O207" s="507"/>
      <c r="P207" s="507"/>
      <c r="Q207" s="507"/>
      <c r="R207" s="507"/>
      <c r="S207" s="507"/>
      <c r="T207" s="507"/>
      <c r="U207" s="507"/>
      <c r="V207" s="507"/>
      <c r="W207" s="507"/>
    </row>
    <row r="208" ht="35.25" customHeight="1">
      <c r="A208" s="18"/>
      <c r="B208" s="514" t="s">
        <v>731</v>
      </c>
      <c r="C208" s="625"/>
      <c r="D208" s="18"/>
      <c r="E208" s="507"/>
      <c r="F208" s="507"/>
      <c r="G208" s="507"/>
      <c r="H208" s="507"/>
      <c r="I208" s="507"/>
      <c r="J208" s="507"/>
      <c r="K208" s="507"/>
      <c r="L208" s="507"/>
      <c r="M208" s="507"/>
      <c r="N208" s="507"/>
      <c r="O208" s="507"/>
      <c r="P208" s="507"/>
      <c r="Q208" s="507"/>
      <c r="R208" s="507"/>
      <c r="S208" s="507"/>
      <c r="T208" s="507"/>
      <c r="U208" s="507"/>
      <c r="V208" s="507"/>
      <c r="W208" s="507"/>
    </row>
    <row r="209" ht="35.25" customHeight="1">
      <c r="A209" s="18"/>
      <c r="B209" s="514" t="s">
        <v>77</v>
      </c>
      <c r="C209" s="625"/>
      <c r="D209" s="18"/>
      <c r="E209" s="626"/>
      <c r="F209" s="507"/>
      <c r="G209" s="507"/>
      <c r="H209" s="507"/>
      <c r="I209" s="507"/>
      <c r="J209" s="507"/>
      <c r="K209" s="507"/>
      <c r="L209" s="507"/>
      <c r="M209" s="507"/>
      <c r="N209" s="507"/>
      <c r="O209" s="507"/>
      <c r="P209" s="507"/>
      <c r="Q209" s="507"/>
      <c r="R209" s="507"/>
      <c r="S209" s="507"/>
      <c r="T209" s="507"/>
      <c r="U209" s="507"/>
      <c r="V209" s="507"/>
      <c r="W209" s="507"/>
    </row>
    <row r="210" ht="35.25" customHeight="1">
      <c r="A210" s="18"/>
      <c r="B210" s="514" t="s">
        <v>732</v>
      </c>
      <c r="C210" s="622"/>
      <c r="D210" s="18"/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  <c r="O210" s="507"/>
      <c r="P210" s="507"/>
      <c r="Q210" s="507"/>
      <c r="R210" s="507"/>
      <c r="S210" s="507"/>
      <c r="T210" s="507"/>
      <c r="U210" s="507"/>
      <c r="V210" s="507"/>
      <c r="W210" s="507"/>
    </row>
    <row r="211" ht="35.25" customHeight="1">
      <c r="A211" s="22"/>
      <c r="B211" s="514"/>
      <c r="C211" s="622"/>
      <c r="D211" s="22"/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  <c r="O211" s="507"/>
      <c r="P211" s="507"/>
      <c r="Q211" s="507"/>
      <c r="R211" s="507"/>
      <c r="S211" s="507"/>
      <c r="T211" s="507"/>
      <c r="U211" s="507"/>
      <c r="V211" s="507"/>
      <c r="W211" s="507"/>
    </row>
    <row r="212" ht="35.25" customHeight="1">
      <c r="A212" s="609" t="s">
        <v>610</v>
      </c>
      <c r="B212" s="514" t="s">
        <v>729</v>
      </c>
      <c r="C212" s="650">
        <v>4.51155E7</v>
      </c>
      <c r="D212" s="618">
        <f>sum(C212:C213)</f>
        <v>71359500</v>
      </c>
      <c r="E212" s="507"/>
      <c r="F212" s="507"/>
      <c r="G212" s="507"/>
      <c r="H212" s="507"/>
      <c r="I212" s="507"/>
      <c r="J212" s="507"/>
      <c r="K212" s="507"/>
      <c r="L212" s="507"/>
      <c r="M212" s="507"/>
      <c r="N212" s="507"/>
      <c r="O212" s="507"/>
      <c r="P212" s="507"/>
      <c r="Q212" s="507"/>
      <c r="R212" s="507"/>
      <c r="S212" s="507"/>
      <c r="T212" s="507"/>
      <c r="U212" s="507"/>
      <c r="V212" s="507"/>
      <c r="W212" s="507"/>
    </row>
    <row r="213" ht="35.25" customHeight="1">
      <c r="A213" s="18"/>
      <c r="B213" s="514" t="s">
        <v>730</v>
      </c>
      <c r="C213" s="627">
        <v>2.6244E7</v>
      </c>
      <c r="D213" s="18"/>
      <c r="E213" s="507"/>
      <c r="F213" s="507"/>
      <c r="G213" s="507"/>
      <c r="H213" s="507"/>
      <c r="I213" s="507"/>
      <c r="J213" s="507"/>
      <c r="K213" s="507"/>
      <c r="L213" s="507"/>
      <c r="M213" s="507"/>
      <c r="N213" s="507"/>
      <c r="O213" s="507"/>
      <c r="P213" s="507"/>
      <c r="Q213" s="507"/>
      <c r="R213" s="507"/>
      <c r="S213" s="507"/>
      <c r="T213" s="507"/>
      <c r="U213" s="507"/>
      <c r="V213" s="507"/>
      <c r="W213" s="507"/>
    </row>
    <row r="214" ht="35.25" customHeight="1">
      <c r="A214" s="18"/>
      <c r="B214" s="514" t="s">
        <v>731</v>
      </c>
      <c r="C214" s="627"/>
      <c r="D214" s="18"/>
      <c r="E214" s="507"/>
      <c r="F214" s="507"/>
      <c r="G214" s="507"/>
      <c r="H214" s="507"/>
      <c r="I214" s="507"/>
      <c r="J214" s="507"/>
      <c r="K214" s="507"/>
      <c r="L214" s="507"/>
      <c r="M214" s="507"/>
      <c r="N214" s="507"/>
      <c r="O214" s="507"/>
      <c r="P214" s="507"/>
      <c r="Q214" s="507"/>
      <c r="R214" s="507"/>
      <c r="S214" s="507"/>
      <c r="T214" s="507"/>
      <c r="U214" s="507"/>
      <c r="V214" s="507"/>
      <c r="W214" s="507"/>
    </row>
    <row r="215" ht="35.25" customHeight="1">
      <c r="A215" s="18"/>
      <c r="B215" s="514" t="s">
        <v>77</v>
      </c>
      <c r="C215" s="627"/>
      <c r="D215" s="18"/>
      <c r="E215" s="628"/>
      <c r="F215" s="628"/>
      <c r="G215" s="507"/>
      <c r="H215" s="507"/>
      <c r="I215" s="507"/>
      <c r="J215" s="507"/>
      <c r="K215" s="507"/>
      <c r="L215" s="507"/>
      <c r="M215" s="507"/>
      <c r="N215" s="507"/>
      <c r="O215" s="507"/>
      <c r="P215" s="507"/>
      <c r="Q215" s="507"/>
      <c r="R215" s="507"/>
      <c r="S215" s="507"/>
      <c r="T215" s="507"/>
      <c r="U215" s="507"/>
      <c r="V215" s="507"/>
      <c r="W215" s="507"/>
    </row>
    <row r="216" ht="35.25" customHeight="1">
      <c r="A216" s="22"/>
      <c r="B216" s="629" t="s">
        <v>732</v>
      </c>
      <c r="D216" s="22"/>
      <c r="E216" s="628"/>
      <c r="F216" s="628"/>
      <c r="G216" s="507"/>
      <c r="H216" s="507"/>
      <c r="I216" s="507"/>
      <c r="J216" s="507"/>
      <c r="K216" s="507"/>
      <c r="L216" s="507"/>
      <c r="M216" s="507"/>
      <c r="N216" s="507"/>
      <c r="O216" s="507"/>
      <c r="P216" s="507"/>
      <c r="Q216" s="507"/>
      <c r="R216" s="507"/>
      <c r="S216" s="507"/>
      <c r="T216" s="507"/>
      <c r="U216" s="507"/>
      <c r="V216" s="507"/>
      <c r="W216" s="507"/>
    </row>
    <row r="217" ht="35.25" customHeight="1">
      <c r="A217" s="599" t="s">
        <v>93</v>
      </c>
      <c r="B217" s="514" t="s">
        <v>729</v>
      </c>
      <c r="C217" s="650">
        <v>7.86005E7</v>
      </c>
      <c r="D217" s="632">
        <f>sum(C217:C218)</f>
        <v>95040500</v>
      </c>
      <c r="E217" s="628"/>
      <c r="F217" s="628"/>
      <c r="G217" s="507"/>
      <c r="H217" s="507"/>
      <c r="I217" s="507"/>
      <c r="J217" s="507"/>
      <c r="K217" s="507"/>
      <c r="L217" s="507"/>
      <c r="M217" s="507"/>
      <c r="N217" s="507"/>
      <c r="O217" s="507"/>
      <c r="P217" s="507"/>
      <c r="Q217" s="507"/>
      <c r="R217" s="507"/>
      <c r="S217" s="507"/>
      <c r="T217" s="507"/>
      <c r="U217" s="507"/>
      <c r="V217" s="507"/>
      <c r="W217" s="507"/>
    </row>
    <row r="218" ht="35.25" customHeight="1">
      <c r="A218" s="18"/>
      <c r="B218" s="514" t="s">
        <v>730</v>
      </c>
      <c r="C218" s="627">
        <v>1.644E7</v>
      </c>
      <c r="D218" s="18"/>
      <c r="E218" s="628"/>
      <c r="F218" s="628"/>
      <c r="G218" s="507"/>
      <c r="H218" s="507"/>
      <c r="I218" s="507"/>
      <c r="J218" s="507"/>
      <c r="K218" s="507"/>
      <c r="L218" s="507"/>
      <c r="M218" s="507"/>
      <c r="N218" s="507"/>
      <c r="O218" s="507"/>
      <c r="P218" s="507"/>
      <c r="Q218" s="507"/>
      <c r="R218" s="507"/>
      <c r="S218" s="507"/>
      <c r="T218" s="507"/>
      <c r="U218" s="507"/>
      <c r="V218" s="507"/>
      <c r="W218" s="507"/>
    </row>
    <row r="219" ht="35.25" customHeight="1">
      <c r="A219" s="18"/>
      <c r="B219" s="514" t="s">
        <v>731</v>
      </c>
      <c r="C219" s="627"/>
      <c r="D219" s="18"/>
      <c r="E219" s="633"/>
      <c r="F219" s="628"/>
      <c r="G219" s="507"/>
      <c r="H219" s="507"/>
      <c r="I219" s="507"/>
      <c r="J219" s="507"/>
      <c r="K219" s="507"/>
      <c r="L219" s="507"/>
      <c r="M219" s="507"/>
      <c r="N219" s="507"/>
      <c r="O219" s="507"/>
      <c r="P219" s="507"/>
      <c r="Q219" s="507"/>
      <c r="R219" s="507"/>
      <c r="S219" s="507"/>
      <c r="T219" s="507"/>
      <c r="U219" s="507"/>
      <c r="V219" s="507"/>
      <c r="W219" s="507"/>
    </row>
    <row r="220" ht="35.25" customHeight="1">
      <c r="A220" s="18"/>
      <c r="B220" s="514" t="s">
        <v>77</v>
      </c>
      <c r="C220" s="627"/>
      <c r="D220" s="18"/>
      <c r="E220" s="628"/>
      <c r="F220" s="628"/>
      <c r="G220" s="507"/>
      <c r="H220" s="507"/>
      <c r="I220" s="507"/>
      <c r="J220" s="507"/>
      <c r="K220" s="507"/>
      <c r="L220" s="507"/>
      <c r="M220" s="507"/>
      <c r="N220" s="507"/>
      <c r="O220" s="507"/>
      <c r="P220" s="507"/>
      <c r="Q220" s="507"/>
      <c r="R220" s="507"/>
      <c r="S220" s="507"/>
      <c r="T220" s="507"/>
      <c r="U220" s="507"/>
      <c r="V220" s="507"/>
      <c r="W220" s="507"/>
    </row>
    <row r="221" ht="35.25" customHeight="1">
      <c r="A221" s="18"/>
      <c r="B221" s="629" t="s">
        <v>732</v>
      </c>
      <c r="D221" s="18"/>
      <c r="E221" s="628"/>
      <c r="F221" s="628"/>
      <c r="G221" s="507"/>
      <c r="H221" s="507"/>
      <c r="I221" s="507"/>
      <c r="J221" s="507"/>
      <c r="K221" s="507"/>
      <c r="L221" s="507"/>
      <c r="M221" s="507"/>
      <c r="N221" s="507"/>
      <c r="O221" s="507"/>
      <c r="P221" s="507"/>
      <c r="Q221" s="507"/>
      <c r="R221" s="507"/>
      <c r="S221" s="507"/>
      <c r="T221" s="507"/>
      <c r="U221" s="507"/>
      <c r="V221" s="507"/>
      <c r="W221" s="507"/>
    </row>
    <row r="222" ht="35.25" customHeight="1">
      <c r="A222" s="618" t="s">
        <v>96</v>
      </c>
      <c r="B222" s="634" t="s">
        <v>74</v>
      </c>
      <c r="C222" s="631" t="s">
        <v>684</v>
      </c>
      <c r="D222" s="618">
        <f>sum(C223:C226)</f>
        <v>138919000</v>
      </c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  <c r="O222" s="507"/>
      <c r="P222" s="507"/>
      <c r="Q222" s="507"/>
      <c r="R222" s="507"/>
      <c r="S222" s="507"/>
      <c r="T222" s="507"/>
      <c r="U222" s="507"/>
      <c r="V222" s="507"/>
      <c r="W222" s="507"/>
    </row>
    <row r="223" ht="35.25" customHeight="1">
      <c r="A223" s="18"/>
      <c r="B223" s="634" t="s">
        <v>676</v>
      </c>
      <c r="C223" s="598">
        <v>5.47035E7</v>
      </c>
      <c r="D223" s="18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  <c r="O223" s="507"/>
      <c r="P223" s="507"/>
      <c r="Q223" s="507"/>
      <c r="R223" s="507"/>
      <c r="S223" s="507"/>
      <c r="T223" s="507"/>
      <c r="U223" s="507"/>
      <c r="V223" s="507"/>
      <c r="W223" s="507"/>
    </row>
    <row r="224" ht="35.25" customHeight="1">
      <c r="A224" s="18"/>
      <c r="B224" s="547" t="s">
        <v>677</v>
      </c>
      <c r="C224" s="598">
        <v>2.0562E7</v>
      </c>
      <c r="D224" s="18"/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  <c r="O224" s="507"/>
      <c r="P224" s="507"/>
      <c r="Q224" s="507"/>
      <c r="R224" s="507"/>
      <c r="S224" s="507"/>
      <c r="T224" s="507"/>
      <c r="U224" s="507"/>
      <c r="V224" s="507"/>
      <c r="W224" s="507"/>
    </row>
    <row r="225" ht="35.25" customHeight="1">
      <c r="A225" s="18"/>
      <c r="B225" s="524" t="s">
        <v>678</v>
      </c>
      <c r="C225" s="593">
        <v>2.74775E7</v>
      </c>
      <c r="D225" s="18"/>
      <c r="E225" s="507"/>
      <c r="F225" s="507"/>
      <c r="G225" s="507"/>
      <c r="H225" s="507"/>
      <c r="I225" s="507"/>
      <c r="J225" s="507"/>
      <c r="K225" s="507"/>
      <c r="L225" s="507"/>
      <c r="M225" s="507"/>
      <c r="N225" s="507"/>
      <c r="O225" s="507"/>
      <c r="P225" s="507"/>
      <c r="Q225" s="507"/>
      <c r="R225" s="507"/>
      <c r="S225" s="507"/>
      <c r="T225" s="507"/>
      <c r="U225" s="507"/>
      <c r="V225" s="507"/>
      <c r="W225" s="507"/>
    </row>
    <row r="226" ht="35.25" customHeight="1">
      <c r="A226" s="18"/>
      <c r="B226" s="634" t="s">
        <v>679</v>
      </c>
      <c r="C226" s="593">
        <v>3.6176E7</v>
      </c>
      <c r="D226" s="18"/>
      <c r="E226" s="507"/>
      <c r="F226" s="507"/>
      <c r="G226" s="507"/>
      <c r="H226" s="507"/>
      <c r="I226" s="507"/>
      <c r="J226" s="507"/>
      <c r="K226" s="507"/>
      <c r="L226" s="507"/>
      <c r="M226" s="507"/>
      <c r="N226" s="507"/>
      <c r="O226" s="507"/>
      <c r="P226" s="507"/>
      <c r="Q226" s="507"/>
      <c r="R226" s="507"/>
      <c r="S226" s="507"/>
      <c r="T226" s="507"/>
      <c r="U226" s="507"/>
      <c r="V226" s="507"/>
      <c r="W226" s="507"/>
    </row>
    <row r="227" ht="35.25" customHeight="1">
      <c r="A227" s="618" t="s">
        <v>100</v>
      </c>
      <c r="B227" s="636" t="s">
        <v>685</v>
      </c>
      <c r="C227" s="637">
        <v>1.286849E8</v>
      </c>
      <c r="D227" s="618"/>
      <c r="E227" s="507"/>
      <c r="F227" s="507"/>
      <c r="G227" s="507"/>
      <c r="H227" s="507"/>
      <c r="I227" s="507"/>
      <c r="J227" s="507"/>
      <c r="K227" s="507"/>
      <c r="L227" s="507"/>
      <c r="M227" s="507"/>
      <c r="N227" s="507"/>
      <c r="O227" s="507"/>
      <c r="P227" s="507"/>
      <c r="Q227" s="507"/>
      <c r="R227" s="507"/>
      <c r="S227" s="507"/>
      <c r="T227" s="507"/>
      <c r="U227" s="507"/>
      <c r="V227" s="507"/>
      <c r="W227" s="507"/>
    </row>
    <row r="228" ht="35.25" customHeight="1">
      <c r="A228" s="18"/>
      <c r="B228" s="636" t="s">
        <v>686</v>
      </c>
      <c r="C228" s="637">
        <v>1.712749E8</v>
      </c>
      <c r="D228" s="18"/>
      <c r="E228" s="507"/>
      <c r="F228" s="507"/>
      <c r="G228" s="507"/>
      <c r="H228" s="507"/>
      <c r="I228" s="507"/>
      <c r="J228" s="507"/>
      <c r="K228" s="507"/>
      <c r="L228" s="507"/>
      <c r="M228" s="507"/>
      <c r="N228" s="507"/>
      <c r="O228" s="507"/>
      <c r="P228" s="507"/>
      <c r="Q228" s="507"/>
      <c r="R228" s="507"/>
      <c r="S228" s="507"/>
      <c r="T228" s="507"/>
      <c r="U228" s="507"/>
      <c r="V228" s="507"/>
      <c r="W228" s="507"/>
    </row>
    <row r="229" ht="35.25" customHeight="1">
      <c r="A229" s="18"/>
      <c r="B229" s="636" t="s">
        <v>687</v>
      </c>
      <c r="C229" s="637">
        <v>1.70816E8</v>
      </c>
      <c r="D229" s="18"/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  <c r="T229" s="507"/>
      <c r="U229" s="507"/>
      <c r="V229" s="507"/>
      <c r="W229" s="507"/>
    </row>
    <row r="230" ht="35.25" customHeight="1">
      <c r="A230" s="18"/>
      <c r="B230" s="629" t="s">
        <v>688</v>
      </c>
      <c r="C230" s="637">
        <v>2.651854E8</v>
      </c>
      <c r="D230" s="18"/>
      <c r="E230" s="507"/>
      <c r="F230" s="507"/>
      <c r="G230" s="507"/>
      <c r="H230" s="507"/>
      <c r="I230" s="507"/>
      <c r="J230" s="507"/>
      <c r="K230" s="507"/>
      <c r="L230" s="507"/>
      <c r="M230" s="507"/>
      <c r="N230" s="507"/>
      <c r="O230" s="507"/>
      <c r="P230" s="507"/>
      <c r="Q230" s="507"/>
      <c r="R230" s="507"/>
      <c r="S230" s="507"/>
      <c r="T230" s="507"/>
      <c r="U230" s="507"/>
      <c r="V230" s="507"/>
      <c r="W230" s="507"/>
    </row>
    <row r="231" ht="35.25" customHeight="1">
      <c r="A231" s="18"/>
      <c r="B231" s="636" t="s">
        <v>99</v>
      </c>
      <c r="C231" s="638">
        <f>sum(C227:C230)</f>
        <v>735961200</v>
      </c>
      <c r="D231" s="18"/>
      <c r="E231" s="507"/>
      <c r="F231" s="507"/>
      <c r="G231" s="507"/>
      <c r="H231" s="507"/>
      <c r="I231" s="507"/>
      <c r="J231" s="507"/>
      <c r="K231" s="507"/>
      <c r="L231" s="507"/>
      <c r="M231" s="507"/>
      <c r="N231" s="507"/>
      <c r="O231" s="507"/>
      <c r="P231" s="507"/>
      <c r="Q231" s="507"/>
      <c r="R231" s="507"/>
      <c r="S231" s="507"/>
      <c r="T231" s="507"/>
      <c r="U231" s="507"/>
      <c r="V231" s="507"/>
      <c r="W231" s="507"/>
    </row>
    <row r="232" ht="35.25" customHeight="1">
      <c r="A232" s="18"/>
      <c r="B232" s="157"/>
      <c r="C232" s="157"/>
      <c r="D232" s="18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  <c r="O232" s="507"/>
      <c r="P232" s="507"/>
      <c r="Q232" s="507"/>
      <c r="R232" s="507"/>
      <c r="S232" s="507"/>
      <c r="T232" s="507"/>
      <c r="U232" s="507"/>
      <c r="V232" s="507"/>
      <c r="W232" s="507"/>
    </row>
    <row r="233" ht="35.25" customHeight="1">
      <c r="A233" s="18"/>
      <c r="B233" s="157"/>
      <c r="D233" s="18"/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  <c r="O233" s="507"/>
      <c r="P233" s="507"/>
      <c r="Q233" s="507"/>
      <c r="R233" s="507"/>
      <c r="S233" s="507"/>
      <c r="T233" s="507"/>
      <c r="U233" s="507"/>
      <c r="V233" s="507"/>
      <c r="W233" s="507"/>
    </row>
    <row r="234" ht="35.25" customHeight="1">
      <c r="A234" s="618" t="s">
        <v>101</v>
      </c>
      <c r="B234" s="629" t="s">
        <v>74</v>
      </c>
      <c r="C234" s="620" t="s">
        <v>684</v>
      </c>
      <c r="D234" s="618">
        <f>SUM(C236:C238)</f>
        <v>107248000</v>
      </c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  <c r="O234" s="507"/>
      <c r="P234" s="507"/>
      <c r="Q234" s="507"/>
      <c r="R234" s="507"/>
      <c r="S234" s="507"/>
      <c r="T234" s="507"/>
      <c r="U234" s="507"/>
      <c r="V234" s="507"/>
      <c r="W234" s="507"/>
    </row>
    <row r="235" ht="35.25" customHeight="1">
      <c r="A235" s="18"/>
      <c r="B235" s="524" t="s">
        <v>676</v>
      </c>
      <c r="C235" s="593" t="s">
        <v>684</v>
      </c>
      <c r="D235" s="18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  <c r="O235" s="507"/>
      <c r="P235" s="507"/>
      <c r="Q235" s="507"/>
      <c r="R235" s="507"/>
      <c r="S235" s="507"/>
      <c r="T235" s="507"/>
      <c r="U235" s="507"/>
      <c r="V235" s="507"/>
      <c r="W235" s="507"/>
    </row>
    <row r="236" ht="35.25" customHeight="1">
      <c r="A236" s="18"/>
      <c r="B236" s="524" t="s">
        <v>677</v>
      </c>
      <c r="C236" s="593">
        <v>4.11255E7</v>
      </c>
      <c r="D236" s="18"/>
      <c r="E236" s="507"/>
      <c r="F236" s="507"/>
      <c r="G236" s="507"/>
      <c r="H236" s="507"/>
      <c r="I236" s="507"/>
      <c r="J236" s="507"/>
      <c r="K236" s="507"/>
      <c r="L236" s="507"/>
      <c r="M236" s="507"/>
      <c r="N236" s="507"/>
      <c r="O236" s="507"/>
      <c r="P236" s="507"/>
      <c r="Q236" s="507"/>
      <c r="R236" s="507"/>
      <c r="S236" s="507"/>
      <c r="T236" s="507"/>
      <c r="U236" s="507"/>
      <c r="V236" s="507"/>
      <c r="W236" s="507"/>
    </row>
    <row r="237" ht="35.25" customHeight="1">
      <c r="A237" s="18"/>
      <c r="B237" s="524" t="s">
        <v>678</v>
      </c>
      <c r="C237" s="593">
        <v>2.04415E7</v>
      </c>
      <c r="D237" s="18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507"/>
      <c r="W237" s="507"/>
    </row>
    <row r="238" ht="35.25" customHeight="1">
      <c r="A238" s="18"/>
      <c r="B238" s="524" t="s">
        <v>679</v>
      </c>
      <c r="C238" s="593">
        <v>4.5681E7</v>
      </c>
      <c r="D238" s="18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  <c r="O238" s="507"/>
      <c r="P238" s="507"/>
      <c r="Q238" s="507"/>
      <c r="R238" s="507"/>
      <c r="S238" s="507"/>
      <c r="T238" s="507"/>
      <c r="U238" s="507"/>
      <c r="V238" s="507"/>
      <c r="W238" s="507"/>
    </row>
    <row r="239" ht="35.25" customHeight="1">
      <c r="A239" s="18"/>
      <c r="D239" s="18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  <c r="O239" s="507"/>
      <c r="P239" s="507"/>
      <c r="Q239" s="507"/>
      <c r="R239" s="507"/>
      <c r="S239" s="507"/>
      <c r="T239" s="507"/>
      <c r="U239" s="507"/>
      <c r="V239" s="507"/>
      <c r="W239" s="507"/>
    </row>
    <row r="240" ht="35.25" customHeight="1">
      <c r="A240" s="18"/>
      <c r="B240" s="636"/>
      <c r="C240" s="620"/>
      <c r="D240" s="18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  <c r="O240" s="507"/>
      <c r="P240" s="507"/>
      <c r="Q240" s="507"/>
      <c r="R240" s="507"/>
      <c r="S240" s="507"/>
      <c r="T240" s="507"/>
      <c r="U240" s="507"/>
      <c r="V240" s="507"/>
      <c r="W240" s="507"/>
    </row>
    <row r="241" ht="35.25" customHeight="1">
      <c r="A241" s="618" t="s">
        <v>107</v>
      </c>
      <c r="B241" s="524" t="s">
        <v>676</v>
      </c>
      <c r="C241" s="625" t="s">
        <v>684</v>
      </c>
      <c r="D241" s="618">
        <f>SUM(C244)</f>
        <v>49064600</v>
      </c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  <c r="O241" s="507"/>
      <c r="P241" s="507"/>
      <c r="Q241" s="507"/>
      <c r="R241" s="507"/>
      <c r="S241" s="507"/>
      <c r="T241" s="507"/>
      <c r="U241" s="507"/>
      <c r="V241" s="507"/>
      <c r="W241" s="507"/>
    </row>
    <row r="242" ht="35.25" customHeight="1">
      <c r="A242" s="18"/>
      <c r="B242" s="524" t="s">
        <v>677</v>
      </c>
      <c r="C242" s="631" t="s">
        <v>684</v>
      </c>
      <c r="D242" s="18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  <c r="O242" s="507"/>
      <c r="P242" s="507"/>
      <c r="Q242" s="507"/>
      <c r="R242" s="507"/>
      <c r="S242" s="507"/>
      <c r="T242" s="507"/>
      <c r="U242" s="507"/>
      <c r="V242" s="507"/>
      <c r="W242" s="507"/>
    </row>
    <row r="243" ht="35.25" customHeight="1">
      <c r="A243" s="18"/>
      <c r="B243" s="639" t="s">
        <v>678</v>
      </c>
      <c r="C243" s="640" t="s">
        <v>684</v>
      </c>
      <c r="D243" s="18"/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  <c r="O243" s="507"/>
      <c r="P243" s="507"/>
      <c r="Q243" s="507"/>
      <c r="R243" s="507"/>
      <c r="S243" s="507"/>
      <c r="T243" s="507"/>
      <c r="U243" s="507"/>
      <c r="V243" s="507"/>
      <c r="W243" s="507"/>
    </row>
    <row r="244" ht="35.25" customHeight="1">
      <c r="A244" s="18"/>
      <c r="B244" s="639" t="s">
        <v>679</v>
      </c>
      <c r="C244" s="637">
        <v>4.90646E7</v>
      </c>
      <c r="D244" s="18"/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  <c r="O244" s="507"/>
      <c r="P244" s="507"/>
      <c r="Q244" s="507"/>
      <c r="R244" s="507"/>
      <c r="S244" s="507"/>
      <c r="T244" s="507"/>
      <c r="U244" s="507"/>
      <c r="V244" s="507"/>
      <c r="W244" s="507"/>
    </row>
    <row r="245" ht="35.25" customHeight="1">
      <c r="A245" s="618" t="s">
        <v>108</v>
      </c>
      <c r="B245" s="524" t="s">
        <v>74</v>
      </c>
      <c r="C245" s="641">
        <v>1.5156E7</v>
      </c>
      <c r="D245" s="618">
        <f>sum(C245:C249)</f>
        <v>125082900</v>
      </c>
      <c r="E245" s="507"/>
      <c r="F245" s="507"/>
      <c r="G245" s="507"/>
      <c r="H245" s="507"/>
      <c r="I245" s="507"/>
      <c r="J245" s="507"/>
      <c r="K245" s="507"/>
      <c r="L245" s="507"/>
      <c r="M245" s="507"/>
      <c r="N245" s="507"/>
      <c r="O245" s="507"/>
      <c r="P245" s="507"/>
      <c r="Q245" s="507"/>
      <c r="R245" s="507"/>
      <c r="S245" s="507"/>
      <c r="T245" s="507"/>
      <c r="U245" s="507"/>
      <c r="V245" s="507"/>
      <c r="W245" s="507"/>
    </row>
    <row r="246" ht="35.25" customHeight="1">
      <c r="A246" s="18"/>
      <c r="B246" s="524" t="s">
        <v>676</v>
      </c>
      <c r="C246" s="593">
        <v>2.33619E7</v>
      </c>
      <c r="D246" s="18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  <c r="O246" s="507"/>
      <c r="P246" s="507"/>
      <c r="Q246" s="507"/>
      <c r="R246" s="507"/>
      <c r="S246" s="507"/>
      <c r="T246" s="507"/>
      <c r="U246" s="507"/>
      <c r="V246" s="507"/>
      <c r="W246" s="507"/>
    </row>
    <row r="247" ht="35.25" customHeight="1">
      <c r="A247" s="18"/>
      <c r="B247" s="639" t="s">
        <v>677</v>
      </c>
      <c r="C247" s="637">
        <v>2.50872E7</v>
      </c>
      <c r="D247" s="18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  <c r="O247" s="507"/>
      <c r="P247" s="507"/>
      <c r="Q247" s="507"/>
      <c r="R247" s="507"/>
      <c r="S247" s="507"/>
      <c r="T247" s="507"/>
      <c r="U247" s="507"/>
      <c r="V247" s="507"/>
      <c r="W247" s="507"/>
    </row>
    <row r="248" ht="35.25" customHeight="1">
      <c r="A248" s="18"/>
      <c r="B248" s="639" t="s">
        <v>678</v>
      </c>
      <c r="C248" s="637">
        <v>3.0013E7</v>
      </c>
      <c r="D248" s="18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  <c r="O248" s="507"/>
      <c r="P248" s="507"/>
      <c r="Q248" s="507"/>
      <c r="R248" s="507"/>
      <c r="S248" s="507"/>
      <c r="T248" s="507"/>
      <c r="U248" s="507"/>
      <c r="V248" s="507"/>
      <c r="W248" s="507"/>
    </row>
    <row r="249" ht="35.25" customHeight="1">
      <c r="A249" s="18"/>
      <c r="B249" s="636" t="s">
        <v>679</v>
      </c>
      <c r="C249" s="637">
        <v>3.14648E7</v>
      </c>
      <c r="D249" s="18"/>
      <c r="E249" s="507"/>
      <c r="F249" s="507"/>
      <c r="G249" s="507"/>
      <c r="H249" s="643"/>
      <c r="I249" s="556"/>
      <c r="J249" s="644"/>
      <c r="K249" s="644"/>
      <c r="L249" s="643"/>
      <c r="M249" s="507"/>
      <c r="N249" s="507"/>
      <c r="O249" s="507"/>
      <c r="P249" s="507"/>
      <c r="Q249" s="507"/>
      <c r="R249" s="507"/>
      <c r="S249" s="507"/>
      <c r="T249" s="507"/>
      <c r="U249" s="507"/>
      <c r="V249" s="507"/>
      <c r="W249" s="507"/>
    </row>
    <row r="250" ht="35.25" customHeight="1">
      <c r="A250" s="18"/>
      <c r="B250" s="157"/>
      <c r="C250" s="157"/>
      <c r="D250" s="18"/>
      <c r="E250" s="507"/>
      <c r="F250" s="507"/>
      <c r="G250" s="507"/>
      <c r="H250" s="643"/>
      <c r="I250" s="525"/>
      <c r="J250" s="644"/>
      <c r="K250" s="644"/>
      <c r="M250" s="507"/>
      <c r="N250" s="507"/>
      <c r="O250" s="507"/>
      <c r="P250" s="507"/>
      <c r="Q250" s="507"/>
      <c r="R250" s="507"/>
      <c r="S250" s="507"/>
      <c r="T250" s="507"/>
      <c r="U250" s="507"/>
      <c r="V250" s="507"/>
      <c r="W250" s="507"/>
    </row>
    <row r="251" ht="35.25" customHeight="1">
      <c r="A251" s="618" t="s">
        <v>620</v>
      </c>
      <c r="B251" s="636" t="s">
        <v>676</v>
      </c>
      <c r="C251" s="642">
        <v>1.50012E8</v>
      </c>
      <c r="D251" s="618">
        <f>SUM(C251:C254)</f>
        <v>425393000</v>
      </c>
      <c r="E251" s="507"/>
      <c r="F251" s="507"/>
      <c r="G251" s="507"/>
      <c r="H251" s="643"/>
      <c r="I251" s="525"/>
      <c r="J251" s="644"/>
      <c r="K251" s="644"/>
      <c r="M251" s="507"/>
      <c r="N251" s="507"/>
      <c r="O251" s="507"/>
      <c r="P251" s="507"/>
      <c r="Q251" s="507"/>
      <c r="R251" s="507"/>
      <c r="S251" s="507"/>
      <c r="T251" s="507"/>
      <c r="U251" s="507"/>
      <c r="V251" s="507"/>
      <c r="W251" s="507"/>
    </row>
    <row r="252" ht="35.25" customHeight="1">
      <c r="A252" s="18"/>
      <c r="B252" s="636" t="s">
        <v>677</v>
      </c>
      <c r="C252" s="620">
        <v>8.6874E7</v>
      </c>
      <c r="D252" s="18"/>
      <c r="E252" s="507"/>
      <c r="F252" s="507"/>
      <c r="G252" s="507"/>
      <c r="H252" s="643"/>
      <c r="I252" s="525"/>
      <c r="J252" s="644"/>
      <c r="K252" s="535"/>
      <c r="M252" s="507"/>
      <c r="N252" s="507"/>
      <c r="O252" s="507"/>
      <c r="P252" s="507"/>
      <c r="Q252" s="507"/>
      <c r="R252" s="507"/>
      <c r="S252" s="507"/>
      <c r="T252" s="507"/>
      <c r="U252" s="507"/>
      <c r="V252" s="507"/>
      <c r="W252" s="507"/>
    </row>
    <row r="253" ht="35.25" customHeight="1">
      <c r="A253" s="18"/>
      <c r="B253" s="547" t="s">
        <v>678</v>
      </c>
      <c r="C253" s="645">
        <v>8.2377E7</v>
      </c>
      <c r="D253" s="18"/>
      <c r="E253" s="507"/>
      <c r="F253" s="507"/>
      <c r="G253" s="507"/>
      <c r="H253" s="643"/>
      <c r="I253" s="525"/>
      <c r="J253" s="644"/>
      <c r="K253" s="535"/>
      <c r="M253" s="507"/>
      <c r="N253" s="507"/>
      <c r="O253" s="507"/>
      <c r="P253" s="507"/>
      <c r="Q253" s="507"/>
      <c r="R253" s="507"/>
      <c r="S253" s="507"/>
      <c r="T253" s="507"/>
      <c r="U253" s="507"/>
      <c r="V253" s="507"/>
      <c r="W253" s="507"/>
    </row>
    <row r="254" ht="35.25" customHeight="1">
      <c r="A254" s="18"/>
      <c r="B254" s="636" t="s">
        <v>679</v>
      </c>
      <c r="C254" s="642">
        <v>1.0613E8</v>
      </c>
      <c r="D254" s="18"/>
      <c r="E254" s="507"/>
      <c r="F254" s="507"/>
      <c r="G254" s="507"/>
      <c r="H254" s="643"/>
      <c r="I254" s="507"/>
      <c r="J254" s="507"/>
      <c r="K254" s="507"/>
      <c r="L254" s="507"/>
      <c r="M254" s="507"/>
      <c r="N254" s="507"/>
      <c r="O254" s="507"/>
      <c r="P254" s="507"/>
      <c r="Q254" s="507"/>
      <c r="R254" s="507"/>
      <c r="S254" s="507"/>
      <c r="T254" s="507"/>
      <c r="U254" s="507"/>
      <c r="V254" s="507"/>
      <c r="W254" s="507"/>
    </row>
    <row r="255" ht="35.25" customHeight="1">
      <c r="A255" s="22"/>
      <c r="D255" s="18"/>
      <c r="E255" s="507"/>
      <c r="F255" s="507"/>
      <c r="G255" s="507"/>
      <c r="H255" s="643"/>
      <c r="I255" s="581"/>
      <c r="J255" s="646"/>
      <c r="K255" s="635"/>
      <c r="L255" s="643"/>
      <c r="M255" s="507"/>
      <c r="N255" s="507"/>
      <c r="O255" s="507"/>
      <c r="P255" s="507"/>
      <c r="Q255" s="507"/>
      <c r="R255" s="507"/>
      <c r="S255" s="507"/>
      <c r="T255" s="507"/>
      <c r="U255" s="507"/>
      <c r="V255" s="507"/>
      <c r="W255" s="507"/>
    </row>
    <row r="256" ht="35.25" customHeight="1">
      <c r="A256" s="618" t="s">
        <v>112</v>
      </c>
      <c r="B256" s="547" t="s">
        <v>679</v>
      </c>
      <c r="C256" s="593">
        <v>6.8435E7</v>
      </c>
      <c r="D256" s="618">
        <f>SUM(C256)</f>
        <v>68435000</v>
      </c>
      <c r="E256" s="507"/>
      <c r="F256" s="507"/>
      <c r="G256" s="507"/>
      <c r="H256" s="643"/>
      <c r="I256" s="581"/>
      <c r="J256" s="581"/>
      <c r="K256" s="635"/>
      <c r="M256" s="507"/>
      <c r="N256" s="507"/>
      <c r="O256" s="507"/>
      <c r="P256" s="507"/>
      <c r="Q256" s="507"/>
      <c r="R256" s="507"/>
      <c r="S256" s="507"/>
      <c r="T256" s="507"/>
      <c r="U256" s="507"/>
      <c r="V256" s="507"/>
      <c r="W256" s="507"/>
    </row>
    <row r="257" ht="35.25" customHeight="1">
      <c r="A257" s="18"/>
      <c r="B257" s="547"/>
      <c r="C257" s="598"/>
      <c r="D257" s="18"/>
      <c r="E257" s="507"/>
      <c r="F257" s="507"/>
      <c r="G257" s="507"/>
      <c r="H257" s="643"/>
      <c r="I257" s="581"/>
      <c r="J257" s="581"/>
      <c r="K257" s="635"/>
      <c r="M257" s="507"/>
      <c r="N257" s="507"/>
      <c r="O257" s="507"/>
      <c r="P257" s="507"/>
      <c r="Q257" s="507"/>
      <c r="R257" s="507"/>
      <c r="S257" s="507"/>
      <c r="T257" s="507"/>
      <c r="U257" s="507"/>
      <c r="V257" s="507"/>
      <c r="W257" s="507"/>
    </row>
    <row r="258" ht="35.25" customHeight="1">
      <c r="A258" s="18"/>
      <c r="B258" s="547"/>
      <c r="C258" s="598"/>
      <c r="D258" s="18"/>
      <c r="E258" s="507"/>
      <c r="F258" s="507"/>
      <c r="G258" s="507"/>
      <c r="H258" s="643"/>
      <c r="I258" s="581"/>
      <c r="J258" s="581"/>
      <c r="K258" s="635"/>
      <c r="M258" s="507"/>
      <c r="N258" s="507"/>
      <c r="O258" s="507"/>
      <c r="P258" s="507"/>
      <c r="Q258" s="507"/>
      <c r="R258" s="507"/>
      <c r="S258" s="507"/>
      <c r="T258" s="507"/>
      <c r="U258" s="507"/>
      <c r="V258" s="507"/>
      <c r="W258" s="507"/>
    </row>
    <row r="259" ht="35.25" customHeight="1">
      <c r="A259" s="18"/>
      <c r="B259" s="547"/>
      <c r="C259" s="593"/>
      <c r="D259" s="18"/>
      <c r="E259" s="507"/>
      <c r="F259" s="507"/>
      <c r="G259" s="507"/>
      <c r="H259" s="643"/>
      <c r="I259" s="556"/>
      <c r="J259" s="581"/>
      <c r="K259" s="635"/>
      <c r="M259" s="507"/>
      <c r="N259" s="507"/>
      <c r="O259" s="507"/>
      <c r="P259" s="507"/>
      <c r="Q259" s="507"/>
      <c r="R259" s="507"/>
      <c r="S259" s="507"/>
      <c r="T259" s="507"/>
      <c r="U259" s="507"/>
      <c r="V259" s="507"/>
      <c r="W259" s="507"/>
    </row>
    <row r="260" ht="35.25" customHeight="1">
      <c r="A260" s="18"/>
      <c r="D260" s="18"/>
      <c r="E260" s="507"/>
      <c r="F260" s="556" t="s">
        <v>50</v>
      </c>
      <c r="G260" s="507"/>
      <c r="H260" s="643"/>
      <c r="I260" s="507"/>
      <c r="J260" s="507"/>
      <c r="K260" s="507"/>
      <c r="L260" s="507"/>
      <c r="M260" s="507"/>
      <c r="N260" s="507"/>
      <c r="O260" s="507"/>
      <c r="P260" s="507"/>
      <c r="Q260" s="507"/>
      <c r="R260" s="507"/>
      <c r="S260" s="507"/>
      <c r="T260" s="507"/>
      <c r="U260" s="507"/>
      <c r="V260" s="507"/>
      <c r="W260" s="507"/>
    </row>
    <row r="261" ht="35.25" customHeight="1">
      <c r="A261" s="618" t="s">
        <v>115</v>
      </c>
      <c r="B261" s="547" t="s">
        <v>74</v>
      </c>
      <c r="C261" s="598">
        <v>2.9577E7</v>
      </c>
      <c r="D261" s="618">
        <f>SUM(C261:C265)</f>
        <v>162422500</v>
      </c>
      <c r="E261" s="507"/>
      <c r="F261" s="507"/>
      <c r="G261" s="507"/>
      <c r="H261" s="643"/>
      <c r="I261" s="647"/>
      <c r="J261" s="644"/>
      <c r="K261" s="644"/>
      <c r="L261" s="643"/>
      <c r="M261" s="507"/>
      <c r="N261" s="507"/>
      <c r="O261" s="507"/>
      <c r="P261" s="507"/>
      <c r="Q261" s="507"/>
      <c r="R261" s="507"/>
      <c r="S261" s="507"/>
      <c r="T261" s="507"/>
      <c r="U261" s="507"/>
      <c r="V261" s="507"/>
      <c r="W261" s="507"/>
    </row>
    <row r="262" ht="35.25" customHeight="1">
      <c r="A262" s="18"/>
      <c r="B262" s="547" t="s">
        <v>676</v>
      </c>
      <c r="C262" s="598">
        <v>3.61575E7</v>
      </c>
      <c r="D262" s="18"/>
      <c r="E262" s="507"/>
      <c r="F262" s="507"/>
      <c r="G262" s="507"/>
      <c r="H262" s="643"/>
      <c r="I262" s="647"/>
      <c r="J262" s="646"/>
      <c r="K262" s="535"/>
      <c r="M262" s="507"/>
      <c r="N262" s="507"/>
      <c r="O262" s="507"/>
      <c r="P262" s="507"/>
      <c r="Q262" s="507"/>
      <c r="R262" s="507"/>
      <c r="S262" s="507"/>
      <c r="T262" s="507"/>
      <c r="U262" s="507"/>
      <c r="V262" s="507"/>
      <c r="W262" s="507"/>
    </row>
    <row r="263" ht="35.25" customHeight="1">
      <c r="A263" s="18"/>
      <c r="B263" s="547" t="s">
        <v>677</v>
      </c>
      <c r="C263" s="598">
        <v>2.9815E7</v>
      </c>
      <c r="D263" s="18"/>
      <c r="E263" s="507"/>
      <c r="F263" s="507"/>
      <c r="G263" s="507"/>
      <c r="H263" s="643"/>
      <c r="I263" s="647"/>
      <c r="J263" s="646"/>
      <c r="K263" s="535"/>
      <c r="M263" s="507"/>
      <c r="N263" s="507"/>
      <c r="O263" s="507"/>
      <c r="P263" s="507"/>
      <c r="Q263" s="507"/>
      <c r="R263" s="507"/>
      <c r="S263" s="507"/>
      <c r="T263" s="507"/>
      <c r="U263" s="507"/>
      <c r="V263" s="507"/>
      <c r="W263" s="507"/>
    </row>
    <row r="264" ht="35.25" customHeight="1">
      <c r="A264" s="18"/>
      <c r="B264" s="547" t="s">
        <v>678</v>
      </c>
      <c r="C264" s="598">
        <v>3.4772E7</v>
      </c>
      <c r="D264" s="18"/>
      <c r="E264" s="507"/>
      <c r="F264" s="507"/>
      <c r="G264" s="507"/>
      <c r="H264" s="643"/>
      <c r="I264" s="556"/>
      <c r="J264" s="646"/>
      <c r="K264" s="535"/>
      <c r="M264" s="507"/>
      <c r="N264" s="507"/>
      <c r="O264" s="507"/>
      <c r="P264" s="507"/>
      <c r="Q264" s="507"/>
      <c r="R264" s="507"/>
      <c r="S264" s="507"/>
      <c r="T264" s="507"/>
      <c r="U264" s="507"/>
      <c r="V264" s="507"/>
      <c r="W264" s="507"/>
    </row>
    <row r="265" ht="35.25" customHeight="1">
      <c r="A265" s="18"/>
      <c r="B265" s="547" t="s">
        <v>679</v>
      </c>
      <c r="C265" s="598">
        <v>3.2101E7</v>
      </c>
      <c r="D265" s="18"/>
      <c r="E265" s="507"/>
      <c r="F265" s="507"/>
      <c r="G265" s="507"/>
      <c r="H265" s="643"/>
      <c r="I265" s="556"/>
      <c r="J265" s="646"/>
      <c r="K265" s="535"/>
      <c r="M265" s="507"/>
      <c r="N265" s="507"/>
      <c r="O265" s="507"/>
      <c r="P265" s="507"/>
      <c r="Q265" s="507"/>
      <c r="R265" s="507"/>
      <c r="S265" s="507"/>
      <c r="T265" s="507"/>
      <c r="U265" s="507"/>
      <c r="V265" s="507"/>
      <c r="W265" s="507"/>
    </row>
    <row r="266" ht="35.25" customHeight="1">
      <c r="A266" s="618" t="s">
        <v>116</v>
      </c>
      <c r="B266" s="547" t="s">
        <v>679</v>
      </c>
      <c r="C266" s="635">
        <v>7.93105E7</v>
      </c>
      <c r="D266" s="618">
        <f>SUM(C266)</f>
        <v>79310500</v>
      </c>
      <c r="E266" s="507"/>
      <c r="F266" s="507"/>
      <c r="G266" s="507"/>
      <c r="H266" s="643"/>
      <c r="I266" s="648"/>
      <c r="J266" s="646"/>
      <c r="K266" s="644"/>
      <c r="M266" s="507"/>
      <c r="N266" s="507"/>
      <c r="O266" s="507"/>
      <c r="P266" s="507"/>
      <c r="Q266" s="507"/>
      <c r="R266" s="507"/>
      <c r="S266" s="507"/>
      <c r="T266" s="507"/>
      <c r="U266" s="507"/>
      <c r="V266" s="507"/>
      <c r="W266" s="507"/>
    </row>
    <row r="267" ht="35.25" customHeight="1">
      <c r="A267" s="18"/>
      <c r="B267" s="547"/>
      <c r="C267" s="617"/>
      <c r="D267" s="18"/>
      <c r="E267" s="507"/>
      <c r="F267" s="507"/>
      <c r="G267" s="507"/>
      <c r="H267" s="643"/>
      <c r="I267" s="649"/>
      <c r="J267" s="646"/>
      <c r="K267" s="507"/>
      <c r="M267" s="507"/>
      <c r="N267" s="507"/>
      <c r="O267" s="507"/>
      <c r="P267" s="507"/>
      <c r="Q267" s="507"/>
      <c r="R267" s="507"/>
      <c r="S267" s="507"/>
      <c r="T267" s="507"/>
      <c r="U267" s="507"/>
      <c r="V267" s="507"/>
      <c r="W267" s="507"/>
    </row>
    <row r="268" ht="35.25" customHeight="1">
      <c r="A268" s="18"/>
      <c r="B268" s="547"/>
      <c r="C268" s="622"/>
      <c r="D268" s="18"/>
      <c r="E268" s="556"/>
      <c r="F268" s="507"/>
      <c r="G268" s="507"/>
      <c r="H268" s="507"/>
      <c r="I268" s="507"/>
      <c r="J268" s="507"/>
      <c r="K268" s="507"/>
      <c r="L268" s="507"/>
      <c r="M268" s="507"/>
      <c r="N268" s="507"/>
      <c r="O268" s="507"/>
      <c r="P268" s="507"/>
      <c r="Q268" s="507"/>
      <c r="R268" s="507"/>
      <c r="S268" s="507"/>
      <c r="T268" s="507"/>
      <c r="U268" s="507"/>
      <c r="V268" s="507"/>
      <c r="W268" s="507"/>
    </row>
    <row r="269" ht="35.25" customHeight="1">
      <c r="A269" s="18"/>
      <c r="D269" s="18"/>
      <c r="E269" s="507"/>
      <c r="F269" s="507"/>
      <c r="G269" s="507"/>
      <c r="H269" s="507"/>
      <c r="I269" s="507"/>
      <c r="J269" s="507"/>
      <c r="K269" s="507"/>
      <c r="L269" s="507"/>
      <c r="M269" s="507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</row>
    <row r="270" ht="35.25" customHeight="1">
      <c r="A270" s="618" t="s">
        <v>117</v>
      </c>
      <c r="B270" s="547" t="s">
        <v>679</v>
      </c>
      <c r="C270" s="622">
        <v>3.9826E7</v>
      </c>
      <c r="D270" s="618">
        <f>SUM(C270)</f>
        <v>39826000</v>
      </c>
      <c r="E270" s="507"/>
      <c r="F270" s="507"/>
      <c r="G270" s="507"/>
      <c r="H270" s="507"/>
      <c r="I270" s="507"/>
      <c r="J270" s="507"/>
      <c r="K270" s="507"/>
      <c r="L270" s="507"/>
      <c r="M270" s="507"/>
      <c r="N270" s="507"/>
      <c r="O270" s="507"/>
      <c r="P270" s="507"/>
      <c r="Q270" s="507"/>
      <c r="R270" s="507"/>
      <c r="S270" s="507"/>
      <c r="T270" s="507"/>
      <c r="U270" s="507"/>
      <c r="V270" s="507"/>
      <c r="W270" s="507"/>
    </row>
    <row r="271" ht="35.25" customHeight="1">
      <c r="A271" s="18"/>
      <c r="B271" s="547"/>
      <c r="C271" s="598"/>
      <c r="D271" s="18"/>
      <c r="E271" s="651"/>
      <c r="F271" s="507"/>
      <c r="G271" s="507"/>
      <c r="H271" s="507"/>
      <c r="I271" s="507"/>
      <c r="J271" s="507"/>
      <c r="K271" s="507"/>
      <c r="L271" s="507"/>
      <c r="M271" s="507"/>
      <c r="N271" s="507"/>
      <c r="O271" s="507"/>
      <c r="P271" s="507"/>
      <c r="Q271" s="507"/>
      <c r="R271" s="507"/>
      <c r="S271" s="507"/>
      <c r="T271" s="507"/>
      <c r="U271" s="507"/>
      <c r="V271" s="507"/>
      <c r="W271" s="507"/>
    </row>
    <row r="272" ht="35.25" customHeight="1">
      <c r="A272" s="18"/>
      <c r="B272" s="547"/>
      <c r="C272" s="598"/>
      <c r="D272" s="18"/>
      <c r="E272" s="556"/>
      <c r="F272" s="507"/>
      <c r="G272" s="507"/>
      <c r="H272" s="507"/>
      <c r="I272" s="507"/>
      <c r="J272" s="507"/>
      <c r="K272" s="507"/>
      <c r="L272" s="507"/>
      <c r="M272" s="507"/>
      <c r="N272" s="507"/>
      <c r="O272" s="507"/>
      <c r="P272" s="507"/>
      <c r="Q272" s="507"/>
      <c r="R272" s="507"/>
      <c r="S272" s="507"/>
      <c r="T272" s="507"/>
      <c r="U272" s="507"/>
      <c r="V272" s="507"/>
      <c r="W272" s="507"/>
    </row>
    <row r="273" ht="35.25" customHeight="1">
      <c r="A273" s="18"/>
      <c r="B273" s="547"/>
      <c r="C273" s="650"/>
      <c r="D273" s="18"/>
      <c r="E273" s="556"/>
      <c r="F273" s="507"/>
      <c r="G273" s="507"/>
      <c r="H273" s="507"/>
      <c r="I273" s="507"/>
      <c r="J273" s="507"/>
      <c r="K273" s="507"/>
      <c r="L273" s="507"/>
      <c r="M273" s="507"/>
      <c r="N273" s="507"/>
      <c r="O273" s="507"/>
      <c r="P273" s="507"/>
      <c r="Q273" s="507"/>
      <c r="R273" s="507"/>
      <c r="S273" s="507"/>
      <c r="T273" s="507"/>
      <c r="U273" s="507"/>
      <c r="V273" s="507"/>
      <c r="W273" s="507"/>
    </row>
    <row r="274" ht="35.25" customHeight="1">
      <c r="A274" s="618" t="s">
        <v>118</v>
      </c>
      <c r="B274" s="547" t="s">
        <v>676</v>
      </c>
      <c r="C274" s="625" t="s">
        <v>684</v>
      </c>
      <c r="D274" s="618">
        <f>sum(C275:C277)</f>
        <v>46653500</v>
      </c>
      <c r="E274" s="507"/>
      <c r="F274" s="507"/>
      <c r="G274" s="507"/>
      <c r="H274" s="507"/>
      <c r="I274" s="507"/>
      <c r="J274" s="507"/>
      <c r="K274" s="507"/>
      <c r="L274" s="507"/>
      <c r="M274" s="507"/>
      <c r="N274" s="507"/>
      <c r="O274" s="507"/>
      <c r="P274" s="507"/>
      <c r="Q274" s="507"/>
      <c r="R274" s="507"/>
      <c r="S274" s="507"/>
      <c r="T274" s="507"/>
      <c r="U274" s="507"/>
      <c r="V274" s="507"/>
      <c r="W274" s="507"/>
    </row>
    <row r="275" ht="35.25" customHeight="1">
      <c r="A275" s="18"/>
      <c r="B275" s="547" t="s">
        <v>677</v>
      </c>
      <c r="C275" s="625">
        <v>2040000.0</v>
      </c>
      <c r="D275" s="18"/>
      <c r="E275" s="556"/>
      <c r="F275" s="507"/>
      <c r="G275" s="507"/>
      <c r="H275" s="507"/>
      <c r="I275" s="507"/>
      <c r="J275" s="507"/>
      <c r="K275" s="507"/>
      <c r="L275" s="507"/>
      <c r="M275" s="507"/>
      <c r="N275" s="507"/>
      <c r="O275" s="507"/>
      <c r="P275" s="507"/>
      <c r="Q275" s="507"/>
      <c r="R275" s="507"/>
      <c r="S275" s="507"/>
      <c r="T275" s="507"/>
      <c r="U275" s="507"/>
      <c r="V275" s="507"/>
      <c r="W275" s="507"/>
    </row>
    <row r="276" ht="35.25" customHeight="1">
      <c r="A276" s="18"/>
      <c r="B276" s="547" t="s">
        <v>678</v>
      </c>
      <c r="C276" s="625" t="s">
        <v>684</v>
      </c>
      <c r="D276" s="18"/>
      <c r="E276" s="556"/>
      <c r="F276" s="507"/>
      <c r="G276" s="507"/>
      <c r="H276" s="507"/>
      <c r="I276" s="507"/>
      <c r="J276" s="507"/>
      <c r="K276" s="507"/>
      <c r="L276" s="507"/>
      <c r="M276" s="507"/>
      <c r="N276" s="507"/>
      <c r="O276" s="507"/>
      <c r="P276" s="507"/>
      <c r="Q276" s="507"/>
      <c r="R276" s="507"/>
      <c r="S276" s="507"/>
      <c r="T276" s="507"/>
      <c r="U276" s="507"/>
      <c r="V276" s="507"/>
      <c r="W276" s="507"/>
    </row>
    <row r="277" ht="35.25" customHeight="1">
      <c r="A277" s="18"/>
      <c r="B277" s="547" t="s">
        <v>679</v>
      </c>
      <c r="C277" s="598">
        <v>4.46135E7</v>
      </c>
      <c r="D277" s="18"/>
      <c r="E277" s="507"/>
      <c r="F277" s="507"/>
      <c r="G277" s="507"/>
      <c r="H277" s="507"/>
      <c r="I277" s="507"/>
      <c r="J277" s="507"/>
      <c r="K277" s="507"/>
      <c r="L277" s="507"/>
      <c r="M277" s="507"/>
      <c r="N277" s="507"/>
      <c r="O277" s="507"/>
      <c r="P277" s="507"/>
      <c r="Q277" s="507"/>
      <c r="R277" s="507"/>
      <c r="S277" s="507"/>
      <c r="T277" s="507"/>
      <c r="U277" s="507"/>
      <c r="V277" s="507"/>
      <c r="W277" s="507"/>
    </row>
    <row r="278" ht="35.25" customHeight="1">
      <c r="A278" s="18"/>
      <c r="B278" s="547"/>
      <c r="C278" s="598"/>
      <c r="D278" s="18"/>
      <c r="E278" s="507"/>
      <c r="F278" s="507"/>
      <c r="G278" s="507"/>
      <c r="H278" s="507"/>
      <c r="I278" s="507"/>
      <c r="J278" s="507"/>
      <c r="K278" s="507"/>
      <c r="L278" s="507"/>
      <c r="M278" s="507"/>
      <c r="N278" s="507"/>
      <c r="O278" s="507"/>
      <c r="P278" s="507"/>
      <c r="Q278" s="507"/>
      <c r="R278" s="507"/>
      <c r="S278" s="507"/>
      <c r="T278" s="507"/>
      <c r="U278" s="507"/>
      <c r="V278" s="507"/>
      <c r="W278" s="507"/>
    </row>
    <row r="279" ht="35.25" customHeight="1">
      <c r="A279" s="618" t="s">
        <v>119</v>
      </c>
      <c r="B279" s="547" t="s">
        <v>74</v>
      </c>
      <c r="C279" s="625" t="s">
        <v>684</v>
      </c>
      <c r="D279" s="618">
        <f>SUM(C281:C283)</f>
        <v>113064500</v>
      </c>
      <c r="E279" s="507"/>
      <c r="F279" s="507"/>
      <c r="G279" s="507"/>
      <c r="H279" s="507"/>
      <c r="I279" s="507"/>
      <c r="J279" s="507"/>
      <c r="K279" s="507"/>
      <c r="L279" s="507"/>
      <c r="M279" s="507"/>
      <c r="N279" s="507"/>
      <c r="O279" s="507"/>
      <c r="P279" s="507"/>
      <c r="Q279" s="507"/>
      <c r="R279" s="507"/>
      <c r="S279" s="507"/>
      <c r="T279" s="507"/>
      <c r="U279" s="507"/>
      <c r="V279" s="507"/>
      <c r="W279" s="507"/>
    </row>
    <row r="280" ht="35.25" customHeight="1">
      <c r="A280" s="18"/>
      <c r="B280" s="547" t="s">
        <v>676</v>
      </c>
      <c r="C280" s="625" t="s">
        <v>684</v>
      </c>
      <c r="D280" s="18"/>
      <c r="E280" s="507"/>
      <c r="F280" s="507"/>
      <c r="G280" s="507"/>
      <c r="H280" s="507"/>
      <c r="I280" s="507"/>
      <c r="J280" s="507"/>
      <c r="K280" s="507"/>
      <c r="L280" s="507"/>
      <c r="M280" s="507"/>
      <c r="N280" s="507"/>
      <c r="O280" s="507"/>
      <c r="P280" s="507"/>
      <c r="Q280" s="507"/>
      <c r="R280" s="507"/>
      <c r="S280" s="507"/>
      <c r="T280" s="507"/>
      <c r="U280" s="507"/>
      <c r="V280" s="507"/>
      <c r="W280" s="507"/>
    </row>
    <row r="281" ht="35.25" customHeight="1">
      <c r="A281" s="18"/>
      <c r="B281" s="547" t="s">
        <v>677</v>
      </c>
      <c r="C281" s="598">
        <v>3.16515E7</v>
      </c>
      <c r="D281" s="18"/>
      <c r="E281" s="507"/>
      <c r="F281" s="507"/>
      <c r="G281" s="507"/>
      <c r="H281" s="507"/>
      <c r="I281" s="507"/>
      <c r="J281" s="507"/>
      <c r="K281" s="507"/>
      <c r="L281" s="507"/>
      <c r="M281" s="507"/>
      <c r="N281" s="507"/>
      <c r="O281" s="507"/>
      <c r="P281" s="507"/>
      <c r="Q281" s="507"/>
      <c r="R281" s="507"/>
      <c r="S281" s="507"/>
      <c r="T281" s="507"/>
      <c r="U281" s="507"/>
      <c r="V281" s="507"/>
      <c r="W281" s="507"/>
    </row>
    <row r="282" ht="35.25" customHeight="1">
      <c r="A282" s="18"/>
      <c r="B282" s="547" t="s">
        <v>678</v>
      </c>
      <c r="C282" s="598">
        <v>3.42165E7</v>
      </c>
      <c r="D282" s="18"/>
      <c r="E282" s="556"/>
      <c r="F282" s="507"/>
      <c r="G282" s="507"/>
      <c r="H282" s="507"/>
      <c r="I282" s="507"/>
      <c r="J282" s="507"/>
      <c r="K282" s="507"/>
      <c r="L282" s="507"/>
      <c r="M282" s="507"/>
      <c r="N282" s="507"/>
      <c r="O282" s="507"/>
      <c r="P282" s="507"/>
      <c r="Q282" s="507"/>
      <c r="R282" s="507"/>
      <c r="S282" s="507"/>
      <c r="T282" s="507"/>
      <c r="U282" s="507"/>
      <c r="V282" s="507"/>
      <c r="W282" s="507"/>
    </row>
    <row r="283" ht="35.25" customHeight="1">
      <c r="A283" s="18"/>
      <c r="B283" s="547" t="s">
        <v>679</v>
      </c>
      <c r="C283" s="630">
        <v>4.71965E7</v>
      </c>
      <c r="D283" s="18"/>
      <c r="E283" s="556"/>
      <c r="F283" s="507"/>
      <c r="G283" s="507"/>
      <c r="H283" s="507"/>
      <c r="I283" s="507"/>
      <c r="J283" s="507"/>
      <c r="K283" s="507"/>
      <c r="L283" s="507"/>
      <c r="M283" s="507"/>
      <c r="N283" s="507"/>
      <c r="O283" s="507"/>
      <c r="P283" s="507"/>
      <c r="Q283" s="507"/>
      <c r="R283" s="507"/>
      <c r="S283" s="507"/>
      <c r="T283" s="507"/>
      <c r="U283" s="507"/>
      <c r="V283" s="507"/>
      <c r="W283" s="507"/>
    </row>
    <row r="284" ht="35.25" customHeight="1">
      <c r="A284" s="618" t="s">
        <v>120</v>
      </c>
      <c r="B284" s="547" t="s">
        <v>676</v>
      </c>
      <c r="C284" s="624" t="s">
        <v>684</v>
      </c>
      <c r="D284" s="618">
        <f>SUM(C285:C287)</f>
        <v>108960000</v>
      </c>
      <c r="E284" s="507"/>
      <c r="F284" s="507"/>
      <c r="G284" s="507"/>
      <c r="H284" s="507"/>
      <c r="I284" s="507"/>
      <c r="J284" s="507"/>
      <c r="K284" s="507"/>
      <c r="L284" s="507"/>
      <c r="M284" s="507"/>
      <c r="N284" s="507"/>
      <c r="O284" s="507"/>
      <c r="P284" s="507"/>
      <c r="Q284" s="507"/>
      <c r="R284" s="507"/>
      <c r="S284" s="507"/>
      <c r="T284" s="507"/>
      <c r="U284" s="507"/>
      <c r="V284" s="507"/>
      <c r="W284" s="507"/>
    </row>
    <row r="285" ht="35.25" customHeight="1">
      <c r="A285" s="18"/>
      <c r="B285" s="547" t="s">
        <v>677</v>
      </c>
      <c r="C285" s="622">
        <v>2040000.0</v>
      </c>
      <c r="D285" s="18"/>
      <c r="E285" s="556" t="s">
        <v>689</v>
      </c>
      <c r="F285" s="507"/>
      <c r="G285" s="507"/>
      <c r="H285" s="507"/>
      <c r="I285" s="507"/>
      <c r="J285" s="507"/>
      <c r="K285" s="507"/>
      <c r="L285" s="507"/>
      <c r="M285" s="507"/>
      <c r="N285" s="507"/>
      <c r="O285" s="507"/>
      <c r="P285" s="507"/>
      <c r="Q285" s="507"/>
      <c r="R285" s="507"/>
      <c r="S285" s="507"/>
      <c r="T285" s="507"/>
      <c r="U285" s="507"/>
      <c r="V285" s="507"/>
      <c r="W285" s="507"/>
    </row>
    <row r="286" ht="35.25" customHeight="1">
      <c r="A286" s="18"/>
      <c r="B286" s="547" t="s">
        <v>678</v>
      </c>
      <c r="C286" s="625" t="s">
        <v>684</v>
      </c>
      <c r="D286" s="18"/>
      <c r="E286" s="507"/>
      <c r="F286" s="507"/>
      <c r="G286" s="507"/>
      <c r="H286" s="507"/>
      <c r="I286" s="507"/>
      <c r="J286" s="507"/>
      <c r="K286" s="507"/>
      <c r="L286" s="507"/>
      <c r="M286" s="507"/>
      <c r="N286" s="507"/>
      <c r="O286" s="507"/>
      <c r="P286" s="507"/>
      <c r="Q286" s="507"/>
      <c r="R286" s="507"/>
      <c r="S286" s="507"/>
      <c r="T286" s="507"/>
      <c r="U286" s="507"/>
      <c r="V286" s="507"/>
      <c r="W286" s="507"/>
    </row>
    <row r="287" ht="35.25" customHeight="1">
      <c r="A287" s="18"/>
      <c r="B287" s="547" t="s">
        <v>679</v>
      </c>
      <c r="C287" s="622">
        <v>1.0692E8</v>
      </c>
      <c r="D287" s="18"/>
      <c r="E287" s="507"/>
      <c r="F287" s="507"/>
      <c r="G287" s="507"/>
      <c r="H287" s="507"/>
      <c r="I287" s="507"/>
      <c r="J287" s="507"/>
      <c r="K287" s="507"/>
      <c r="L287" s="507"/>
      <c r="M287" s="507"/>
      <c r="N287" s="507"/>
      <c r="O287" s="507"/>
      <c r="P287" s="507"/>
      <c r="Q287" s="507"/>
      <c r="R287" s="507"/>
      <c r="S287" s="507"/>
      <c r="T287" s="507"/>
      <c r="U287" s="507"/>
      <c r="V287" s="507"/>
      <c r="W287" s="507"/>
    </row>
    <row r="288" ht="35.25" customHeight="1">
      <c r="A288" s="618" t="s">
        <v>121</v>
      </c>
      <c r="B288" s="547" t="s">
        <v>676</v>
      </c>
      <c r="C288" s="598">
        <v>3.8351E7</v>
      </c>
      <c r="D288" s="618">
        <f>SUM(C288:C291)</f>
        <v>167570000</v>
      </c>
      <c r="E288" s="507"/>
      <c r="F288" s="507"/>
      <c r="G288" s="507"/>
      <c r="H288" s="507"/>
      <c r="I288" s="507"/>
      <c r="J288" s="507"/>
      <c r="K288" s="507"/>
      <c r="L288" s="507"/>
      <c r="M288" s="507"/>
      <c r="N288" s="507"/>
      <c r="O288" s="507"/>
      <c r="P288" s="507"/>
      <c r="Q288" s="507"/>
      <c r="R288" s="507"/>
      <c r="S288" s="507"/>
      <c r="T288" s="507"/>
      <c r="U288" s="507"/>
      <c r="V288" s="507"/>
      <c r="W288" s="507"/>
    </row>
    <row r="289" ht="35.25" customHeight="1">
      <c r="A289" s="18"/>
      <c r="B289" s="547" t="s">
        <v>677</v>
      </c>
      <c r="C289" s="627">
        <v>4.5781E7</v>
      </c>
      <c r="D289" s="18"/>
      <c r="E289" s="507"/>
      <c r="F289" s="507"/>
      <c r="G289" s="507"/>
      <c r="H289" s="507"/>
      <c r="I289" s="507"/>
      <c r="J289" s="507"/>
      <c r="K289" s="507"/>
      <c r="L289" s="507"/>
      <c r="M289" s="507"/>
      <c r="N289" s="507"/>
      <c r="O289" s="507"/>
      <c r="P289" s="507"/>
      <c r="Q289" s="507"/>
      <c r="R289" s="507"/>
      <c r="S289" s="507"/>
      <c r="T289" s="507"/>
      <c r="U289" s="507"/>
      <c r="V289" s="507"/>
      <c r="W289" s="507"/>
    </row>
    <row r="290" ht="35.25" customHeight="1">
      <c r="A290" s="18"/>
      <c r="B290" s="547" t="s">
        <v>678</v>
      </c>
      <c r="C290" s="598">
        <v>3.81455E7</v>
      </c>
      <c r="D290" s="18"/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  <c r="O290" s="507"/>
      <c r="P290" s="507"/>
      <c r="Q290" s="507"/>
      <c r="R290" s="507"/>
      <c r="S290" s="507"/>
      <c r="T290" s="507"/>
      <c r="U290" s="507"/>
      <c r="V290" s="507"/>
      <c r="W290" s="507"/>
    </row>
    <row r="291" ht="35.25" customHeight="1">
      <c r="A291" s="18"/>
      <c r="B291" s="547" t="s">
        <v>679</v>
      </c>
      <c r="C291" s="598">
        <v>4.52925E7</v>
      </c>
      <c r="D291" s="18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7"/>
    </row>
    <row r="292" ht="35.25" customHeight="1">
      <c r="A292" s="18"/>
      <c r="B292" s="547"/>
      <c r="C292" s="598"/>
      <c r="D292" s="18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07"/>
      <c r="U292" s="507"/>
      <c r="V292" s="507"/>
      <c r="W292" s="507"/>
    </row>
    <row r="293" ht="35.25" customHeight="1">
      <c r="A293" s="618" t="s">
        <v>122</v>
      </c>
      <c r="B293" s="636" t="s">
        <v>683</v>
      </c>
      <c r="C293" s="617" t="s">
        <v>684</v>
      </c>
      <c r="D293" s="618">
        <f>SUM(C294:C297)</f>
        <v>195564000</v>
      </c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  <c r="O293" s="507"/>
      <c r="P293" s="507"/>
      <c r="Q293" s="507"/>
      <c r="R293" s="507"/>
      <c r="S293" s="507"/>
      <c r="T293" s="507"/>
      <c r="U293" s="507"/>
      <c r="V293" s="507"/>
      <c r="W293" s="507"/>
    </row>
    <row r="294" ht="35.25" customHeight="1">
      <c r="A294" s="18"/>
      <c r="B294" s="547" t="s">
        <v>676</v>
      </c>
      <c r="C294" s="620">
        <v>6.8179E7</v>
      </c>
      <c r="D294" s="18"/>
      <c r="F294" s="507"/>
      <c r="G294" s="507"/>
      <c r="H294" s="507"/>
      <c r="I294" s="507"/>
      <c r="J294" s="507"/>
      <c r="K294" s="507"/>
      <c r="L294" s="507"/>
      <c r="M294" s="507"/>
      <c r="N294" s="507"/>
      <c r="O294" s="507"/>
      <c r="P294" s="507"/>
      <c r="Q294" s="507"/>
      <c r="R294" s="507"/>
      <c r="S294" s="507"/>
      <c r="T294" s="507"/>
      <c r="U294" s="507"/>
      <c r="V294" s="507"/>
      <c r="W294" s="507"/>
    </row>
    <row r="295" ht="35.25" customHeight="1">
      <c r="A295" s="18"/>
      <c r="B295" s="652" t="s">
        <v>677</v>
      </c>
      <c r="C295" s="622">
        <v>8.2626E7</v>
      </c>
      <c r="D295" s="18"/>
      <c r="E295" s="556" t="s">
        <v>733</v>
      </c>
      <c r="F295" s="507"/>
      <c r="G295" s="507"/>
      <c r="H295" s="507"/>
      <c r="I295" s="507"/>
      <c r="J295" s="507"/>
      <c r="K295" s="507"/>
      <c r="L295" s="507"/>
      <c r="M295" s="507"/>
      <c r="N295" s="507"/>
      <c r="O295" s="507"/>
      <c r="P295" s="507"/>
      <c r="Q295" s="507"/>
      <c r="R295" s="507"/>
      <c r="S295" s="507"/>
      <c r="T295" s="507"/>
      <c r="U295" s="507"/>
      <c r="V295" s="507"/>
      <c r="W295" s="507"/>
    </row>
    <row r="296" ht="35.25" customHeight="1">
      <c r="A296" s="18"/>
      <c r="B296" s="636" t="s">
        <v>678</v>
      </c>
      <c r="C296" s="598">
        <v>9661000.0</v>
      </c>
      <c r="D296" s="18"/>
      <c r="E296" s="556" t="s">
        <v>690</v>
      </c>
      <c r="F296" s="507"/>
      <c r="G296" s="507"/>
      <c r="H296" s="507"/>
      <c r="I296" s="507"/>
      <c r="J296" s="507"/>
      <c r="K296" s="507"/>
      <c r="L296" s="507"/>
      <c r="M296" s="507"/>
      <c r="N296" s="507"/>
      <c r="O296" s="507"/>
      <c r="P296" s="507"/>
      <c r="Q296" s="507"/>
      <c r="R296" s="507"/>
      <c r="S296" s="507"/>
      <c r="T296" s="507"/>
      <c r="U296" s="507"/>
      <c r="V296" s="507"/>
      <c r="W296" s="507"/>
    </row>
    <row r="297" ht="35.25" customHeight="1">
      <c r="A297" s="18"/>
      <c r="B297" s="629" t="s">
        <v>679</v>
      </c>
      <c r="C297" s="620">
        <v>3.5098E7</v>
      </c>
      <c r="D297" s="18"/>
      <c r="E297" s="507"/>
      <c r="F297" s="507"/>
      <c r="G297" s="507"/>
      <c r="H297" s="507"/>
      <c r="I297" s="507"/>
      <c r="J297" s="507"/>
      <c r="K297" s="507"/>
      <c r="L297" s="507"/>
      <c r="M297" s="507"/>
      <c r="N297" s="507"/>
      <c r="O297" s="507"/>
      <c r="P297" s="507"/>
      <c r="Q297" s="507"/>
      <c r="R297" s="507"/>
      <c r="S297" s="507"/>
      <c r="T297" s="507"/>
      <c r="U297" s="507"/>
      <c r="V297" s="507"/>
      <c r="W297" s="507"/>
    </row>
    <row r="298" ht="35.25" customHeight="1">
      <c r="A298" s="653" t="s">
        <v>123</v>
      </c>
      <c r="B298" s="547" t="s">
        <v>88</v>
      </c>
      <c r="C298" s="598" t="s">
        <v>684</v>
      </c>
      <c r="D298" s="653">
        <f>SUM(C298:C302)</f>
        <v>69233500</v>
      </c>
      <c r="E298" s="507"/>
      <c r="F298" s="507"/>
      <c r="G298" s="507"/>
      <c r="H298" s="507"/>
      <c r="I298" s="507"/>
      <c r="J298" s="507"/>
      <c r="K298" s="507"/>
      <c r="L298" s="507"/>
      <c r="M298" s="507"/>
      <c r="N298" s="507"/>
      <c r="O298" s="507"/>
      <c r="P298" s="507"/>
      <c r="Q298" s="507"/>
      <c r="R298" s="507"/>
      <c r="S298" s="507"/>
      <c r="T298" s="507"/>
      <c r="U298" s="507"/>
      <c r="V298" s="507"/>
      <c r="W298" s="507"/>
    </row>
    <row r="299" ht="35.25" customHeight="1">
      <c r="A299" s="18"/>
      <c r="B299" s="547" t="s">
        <v>219</v>
      </c>
      <c r="C299" s="598">
        <f>SUM(18851000-21000)</f>
        <v>18830000</v>
      </c>
      <c r="D299" s="18"/>
      <c r="E299" s="507"/>
      <c r="F299" s="507"/>
      <c r="G299" s="507"/>
      <c r="H299" s="507"/>
      <c r="I299" s="507"/>
      <c r="J299" s="507"/>
      <c r="K299" s="507"/>
      <c r="L299" s="507"/>
      <c r="M299" s="507"/>
      <c r="N299" s="507"/>
      <c r="O299" s="507"/>
      <c r="P299" s="507"/>
      <c r="Q299" s="507"/>
      <c r="R299" s="507"/>
      <c r="S299" s="507"/>
      <c r="T299" s="507"/>
      <c r="U299" s="507"/>
      <c r="V299" s="507"/>
      <c r="W299" s="507"/>
    </row>
    <row r="300" ht="35.25" customHeight="1">
      <c r="A300" s="18"/>
      <c r="B300" s="547" t="s">
        <v>89</v>
      </c>
      <c r="C300" s="598">
        <v>2.8397E7</v>
      </c>
      <c r="D300" s="18"/>
      <c r="E300" s="507"/>
      <c r="F300" s="507"/>
      <c r="G300" s="507"/>
      <c r="H300" s="507"/>
      <c r="I300" s="507"/>
      <c r="J300" s="507"/>
      <c r="K300" s="507"/>
      <c r="L300" s="507"/>
      <c r="M300" s="507"/>
      <c r="N300" s="507"/>
      <c r="O300" s="507"/>
      <c r="P300" s="507"/>
      <c r="Q300" s="507"/>
      <c r="R300" s="507"/>
      <c r="S300" s="507"/>
      <c r="T300" s="507"/>
      <c r="U300" s="507"/>
      <c r="V300" s="507"/>
      <c r="W300" s="507"/>
    </row>
    <row r="301" ht="35.25" customHeight="1">
      <c r="A301" s="18"/>
      <c r="B301" s="547" t="s">
        <v>220</v>
      </c>
      <c r="C301" s="598">
        <v>1.99665E7</v>
      </c>
      <c r="D301" s="18"/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  <c r="O301" s="507"/>
      <c r="P301" s="507"/>
      <c r="Q301" s="507"/>
      <c r="R301" s="507"/>
      <c r="S301" s="507"/>
      <c r="T301" s="507"/>
      <c r="U301" s="507"/>
      <c r="V301" s="507"/>
      <c r="W301" s="507"/>
    </row>
    <row r="302" ht="35.25" customHeight="1">
      <c r="A302" s="18"/>
      <c r="B302" s="689" t="s">
        <v>734</v>
      </c>
      <c r="C302" s="598">
        <v>2040000.0</v>
      </c>
      <c r="D302" s="18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  <c r="O302" s="507"/>
      <c r="P302" s="507"/>
      <c r="Q302" s="507"/>
      <c r="R302" s="507"/>
      <c r="S302" s="507"/>
      <c r="T302" s="507"/>
      <c r="U302" s="507"/>
      <c r="V302" s="507"/>
      <c r="W302" s="507"/>
    </row>
    <row r="303" ht="35.25" customHeight="1">
      <c r="A303" s="653" t="s">
        <v>124</v>
      </c>
      <c r="B303" s="547" t="s">
        <v>88</v>
      </c>
      <c r="C303" s="598">
        <v>7.3677E7</v>
      </c>
      <c r="D303" s="653">
        <f>SUM(C303:C306)</f>
        <v>205832000</v>
      </c>
      <c r="E303" s="507"/>
      <c r="F303" s="507"/>
      <c r="G303" s="507"/>
      <c r="H303" s="507"/>
      <c r="I303" s="525"/>
      <c r="J303" s="507"/>
      <c r="K303" s="507"/>
      <c r="L303" s="507"/>
      <c r="M303" s="507"/>
      <c r="N303" s="507"/>
      <c r="O303" s="507"/>
      <c r="P303" s="507"/>
      <c r="Q303" s="507"/>
      <c r="R303" s="507"/>
      <c r="S303" s="507"/>
      <c r="T303" s="507"/>
      <c r="U303" s="507"/>
      <c r="V303" s="507"/>
      <c r="W303" s="507"/>
    </row>
    <row r="304" ht="35.25" customHeight="1">
      <c r="A304" s="18"/>
      <c r="B304" s="547" t="s">
        <v>219</v>
      </c>
      <c r="C304" s="598">
        <v>5.2024E7</v>
      </c>
      <c r="D304" s="18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  <c r="O304" s="507"/>
      <c r="P304" s="507"/>
      <c r="Q304" s="507"/>
      <c r="R304" s="507"/>
      <c r="S304" s="507"/>
      <c r="T304" s="507"/>
      <c r="U304" s="507"/>
      <c r="V304" s="507"/>
      <c r="W304" s="507"/>
    </row>
    <row r="305" ht="35.25" customHeight="1">
      <c r="A305" s="18"/>
      <c r="B305" s="547" t="s">
        <v>89</v>
      </c>
      <c r="C305" s="622">
        <v>5.065E7</v>
      </c>
      <c r="D305" s="18"/>
      <c r="E305" s="651"/>
      <c r="F305" s="507"/>
      <c r="G305" s="507"/>
      <c r="H305" s="507"/>
      <c r="I305" s="507"/>
      <c r="J305" s="507"/>
      <c r="K305" s="507"/>
      <c r="L305" s="507"/>
      <c r="M305" s="507"/>
      <c r="N305" s="507"/>
      <c r="O305" s="507"/>
      <c r="P305" s="507"/>
      <c r="Q305" s="507"/>
      <c r="R305" s="507"/>
      <c r="S305" s="507"/>
      <c r="T305" s="507"/>
      <c r="U305" s="507"/>
      <c r="V305" s="507"/>
      <c r="W305" s="507"/>
    </row>
    <row r="306" ht="35.25" customHeight="1">
      <c r="A306" s="18"/>
      <c r="B306" s="547" t="s">
        <v>220</v>
      </c>
      <c r="C306" s="622">
        <v>2.9481E7</v>
      </c>
      <c r="D306" s="18"/>
      <c r="E306" s="651"/>
      <c r="F306" s="507"/>
      <c r="G306" s="507"/>
      <c r="H306" s="507"/>
      <c r="I306" s="507"/>
      <c r="J306" s="507"/>
      <c r="K306" s="507"/>
      <c r="L306" s="507"/>
      <c r="M306" s="507"/>
      <c r="N306" s="507"/>
      <c r="O306" s="507"/>
      <c r="P306" s="507"/>
      <c r="Q306" s="507"/>
      <c r="R306" s="507"/>
      <c r="S306" s="507"/>
      <c r="T306" s="507"/>
      <c r="U306" s="507"/>
      <c r="V306" s="507"/>
      <c r="W306" s="507"/>
    </row>
    <row r="307" ht="35.25" customHeight="1">
      <c r="A307" s="653" t="s">
        <v>126</v>
      </c>
      <c r="B307" s="547" t="s">
        <v>88</v>
      </c>
      <c r="C307" s="598" t="s">
        <v>684</v>
      </c>
      <c r="D307" s="653">
        <f>SUM(C307:C310)</f>
        <v>63154000</v>
      </c>
      <c r="E307" s="507"/>
      <c r="F307" s="507"/>
      <c r="G307" s="507"/>
      <c r="H307" s="507"/>
      <c r="I307" s="507"/>
      <c r="J307" s="507"/>
      <c r="K307" s="507"/>
      <c r="L307" s="507"/>
      <c r="M307" s="507"/>
      <c r="N307" s="507"/>
      <c r="O307" s="507"/>
      <c r="P307" s="507"/>
      <c r="Q307" s="507"/>
      <c r="R307" s="507"/>
      <c r="S307" s="507"/>
      <c r="T307" s="507"/>
      <c r="U307" s="507"/>
      <c r="V307" s="507"/>
      <c r="W307" s="507"/>
    </row>
    <row r="308" ht="35.25" customHeight="1">
      <c r="A308" s="18"/>
      <c r="B308" s="547" t="s">
        <v>219</v>
      </c>
      <c r="C308" s="598" t="s">
        <v>684</v>
      </c>
      <c r="D308" s="18"/>
      <c r="E308" s="507"/>
      <c r="F308" s="507"/>
      <c r="G308" s="507"/>
      <c r="H308" s="507"/>
      <c r="I308" s="507"/>
      <c r="J308" s="507"/>
      <c r="K308" s="507"/>
      <c r="L308" s="507"/>
      <c r="M308" s="507"/>
      <c r="N308" s="507"/>
      <c r="O308" s="507"/>
      <c r="P308" s="507"/>
      <c r="Q308" s="507"/>
      <c r="R308" s="507"/>
      <c r="S308" s="507"/>
      <c r="T308" s="507"/>
      <c r="U308" s="507"/>
      <c r="V308" s="507"/>
      <c r="W308" s="507"/>
    </row>
    <row r="309" ht="35.25" customHeight="1">
      <c r="A309" s="18"/>
      <c r="B309" s="547" t="s">
        <v>89</v>
      </c>
      <c r="C309" s="598" t="s">
        <v>684</v>
      </c>
      <c r="D309" s="18"/>
      <c r="E309" s="507"/>
      <c r="F309" s="507"/>
      <c r="G309" s="507"/>
      <c r="H309" s="507"/>
      <c r="I309" s="507"/>
      <c r="J309" s="507"/>
      <c r="K309" s="507"/>
      <c r="L309" s="507"/>
      <c r="M309" s="507"/>
      <c r="N309" s="507"/>
      <c r="O309" s="507"/>
      <c r="P309" s="507"/>
      <c r="Q309" s="507"/>
      <c r="R309" s="507"/>
      <c r="S309" s="507"/>
      <c r="T309" s="507"/>
      <c r="U309" s="507"/>
      <c r="V309" s="507"/>
      <c r="W309" s="507"/>
    </row>
    <row r="310" ht="35.25" customHeight="1">
      <c r="A310" s="18"/>
      <c r="B310" s="547" t="s">
        <v>220</v>
      </c>
      <c r="C310" s="598">
        <v>6.3154E7</v>
      </c>
      <c r="D310" s="18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07"/>
      <c r="S310" s="507"/>
      <c r="T310" s="507"/>
      <c r="U310" s="507"/>
      <c r="V310" s="507"/>
      <c r="W310" s="507"/>
    </row>
    <row r="311" ht="35.25" customHeight="1">
      <c r="A311" s="653" t="s">
        <v>621</v>
      </c>
      <c r="B311" s="547" t="s">
        <v>88</v>
      </c>
      <c r="C311" s="598" t="s">
        <v>684</v>
      </c>
      <c r="D311" s="653">
        <f>SUM(C311:C314)</f>
        <v>67373000</v>
      </c>
      <c r="E311" s="507"/>
      <c r="F311" s="507"/>
      <c r="G311" s="507"/>
      <c r="H311" s="507"/>
      <c r="I311" s="507"/>
      <c r="J311" s="507"/>
      <c r="K311" s="507"/>
      <c r="L311" s="507"/>
      <c r="M311" s="507"/>
      <c r="N311" s="507"/>
      <c r="O311" s="507"/>
      <c r="P311" s="507"/>
      <c r="Q311" s="507"/>
      <c r="R311" s="507"/>
      <c r="S311" s="507"/>
      <c r="T311" s="507"/>
      <c r="U311" s="507"/>
      <c r="V311" s="507"/>
      <c r="W311" s="507"/>
    </row>
    <row r="312" ht="35.25" customHeight="1">
      <c r="A312" s="18"/>
      <c r="B312" s="547" t="s">
        <v>219</v>
      </c>
      <c r="C312" s="622" t="s">
        <v>684</v>
      </c>
      <c r="D312" s="18"/>
      <c r="E312" s="507"/>
      <c r="F312" s="507"/>
      <c r="G312" s="507"/>
      <c r="H312" s="507"/>
      <c r="I312" s="507"/>
      <c r="J312" s="507"/>
      <c r="K312" s="507"/>
      <c r="L312" s="507"/>
      <c r="M312" s="507"/>
      <c r="N312" s="507"/>
      <c r="O312" s="507"/>
      <c r="P312" s="507"/>
      <c r="Q312" s="507"/>
      <c r="R312" s="507"/>
      <c r="S312" s="507"/>
      <c r="T312" s="507"/>
      <c r="U312" s="507"/>
      <c r="V312" s="507"/>
      <c r="W312" s="507"/>
    </row>
    <row r="313" ht="35.25" customHeight="1">
      <c r="A313" s="18"/>
      <c r="B313" s="547" t="s">
        <v>89</v>
      </c>
      <c r="C313" s="598">
        <v>2.59825E7</v>
      </c>
      <c r="D313" s="18"/>
      <c r="E313" s="507"/>
      <c r="F313" s="507"/>
      <c r="G313" s="507"/>
      <c r="H313" s="507"/>
      <c r="I313" s="507"/>
      <c r="J313" s="507"/>
      <c r="K313" s="507"/>
      <c r="L313" s="507"/>
      <c r="M313" s="507"/>
      <c r="N313" s="507"/>
      <c r="O313" s="507"/>
      <c r="P313" s="507"/>
      <c r="Q313" s="507"/>
      <c r="R313" s="507"/>
      <c r="S313" s="507"/>
      <c r="T313" s="507"/>
      <c r="U313" s="507"/>
      <c r="V313" s="507"/>
      <c r="W313" s="507"/>
    </row>
    <row r="314" ht="35.25" customHeight="1">
      <c r="A314" s="18"/>
      <c r="B314" s="547" t="s">
        <v>220</v>
      </c>
      <c r="C314" s="622">
        <v>4.13905E7</v>
      </c>
      <c r="D314" s="18"/>
      <c r="E314" s="556"/>
      <c r="F314" s="507"/>
      <c r="G314" s="507"/>
      <c r="H314" s="507"/>
      <c r="I314" s="507"/>
      <c r="J314" s="507"/>
      <c r="K314" s="507"/>
      <c r="L314" s="507"/>
      <c r="M314" s="507"/>
      <c r="N314" s="507"/>
      <c r="O314" s="507"/>
      <c r="P314" s="507"/>
      <c r="Q314" s="507"/>
      <c r="R314" s="507"/>
      <c r="S314" s="507"/>
      <c r="T314" s="507"/>
      <c r="U314" s="507"/>
      <c r="V314" s="507"/>
      <c r="W314" s="507"/>
    </row>
    <row r="315" ht="35.25" customHeight="1">
      <c r="A315" s="653" t="s">
        <v>128</v>
      </c>
      <c r="B315" s="547" t="s">
        <v>88</v>
      </c>
      <c r="C315" s="622">
        <v>4.14185E7</v>
      </c>
      <c r="D315" s="653">
        <f>SUM(C315:C318)</f>
        <v>112547000</v>
      </c>
      <c r="E315" s="507"/>
      <c r="F315" s="507"/>
      <c r="G315" s="507"/>
      <c r="H315" s="507"/>
      <c r="I315" s="507"/>
      <c r="J315" s="507"/>
      <c r="K315" s="507"/>
      <c r="L315" s="507"/>
      <c r="M315" s="507"/>
      <c r="N315" s="507"/>
      <c r="O315" s="507"/>
      <c r="P315" s="507"/>
      <c r="Q315" s="507"/>
      <c r="R315" s="507"/>
      <c r="S315" s="507"/>
      <c r="T315" s="507"/>
      <c r="U315" s="507"/>
      <c r="V315" s="507"/>
      <c r="W315" s="507"/>
    </row>
    <row r="316" ht="35.25" customHeight="1">
      <c r="A316" s="18"/>
      <c r="B316" s="547" t="s">
        <v>219</v>
      </c>
      <c r="C316" s="598">
        <v>1.9671E7</v>
      </c>
      <c r="D316" s="18"/>
      <c r="E316" s="507"/>
      <c r="F316" s="507"/>
      <c r="G316" s="507"/>
      <c r="H316" s="507"/>
      <c r="I316" s="507"/>
      <c r="J316" s="507"/>
      <c r="K316" s="507"/>
      <c r="L316" s="507"/>
      <c r="M316" s="507"/>
      <c r="N316" s="507"/>
      <c r="O316" s="507"/>
      <c r="P316" s="507"/>
      <c r="Q316" s="507"/>
      <c r="R316" s="507"/>
      <c r="S316" s="507"/>
      <c r="T316" s="507"/>
      <c r="U316" s="507"/>
      <c r="V316" s="507"/>
      <c r="W316" s="507"/>
    </row>
    <row r="317" ht="35.25" customHeight="1">
      <c r="A317" s="18"/>
      <c r="B317" s="547" t="s">
        <v>89</v>
      </c>
      <c r="C317" s="622">
        <v>2.5186E7</v>
      </c>
      <c r="D317" s="18"/>
      <c r="E317" s="507"/>
      <c r="F317" s="507"/>
      <c r="G317" s="507"/>
      <c r="H317" s="507"/>
      <c r="I317" s="507"/>
      <c r="J317" s="507"/>
      <c r="K317" s="507"/>
      <c r="L317" s="507"/>
      <c r="M317" s="507"/>
      <c r="N317" s="507"/>
      <c r="O317" s="507"/>
      <c r="P317" s="507"/>
      <c r="Q317" s="507"/>
      <c r="R317" s="507"/>
      <c r="S317" s="507"/>
      <c r="T317" s="507"/>
      <c r="U317" s="507"/>
      <c r="V317" s="507"/>
      <c r="W317" s="507"/>
    </row>
    <row r="318" ht="35.25" customHeight="1">
      <c r="A318" s="18"/>
      <c r="B318" s="547" t="s">
        <v>220</v>
      </c>
      <c r="C318" s="622">
        <v>2.62715E7</v>
      </c>
      <c r="D318" s="18"/>
      <c r="E318" s="507"/>
      <c r="F318" s="507"/>
      <c r="G318" s="507"/>
      <c r="H318" s="507"/>
      <c r="I318" s="507"/>
      <c r="J318" s="507"/>
      <c r="K318" s="507"/>
      <c r="L318" s="507"/>
      <c r="M318" s="507"/>
      <c r="N318" s="507"/>
      <c r="O318" s="507"/>
      <c r="P318" s="507"/>
      <c r="Q318" s="507"/>
      <c r="R318" s="507"/>
      <c r="S318" s="507"/>
      <c r="T318" s="507"/>
      <c r="U318" s="507"/>
      <c r="V318" s="507"/>
      <c r="W318" s="507"/>
    </row>
    <row r="319" ht="35.25" customHeight="1">
      <c r="A319" s="653" t="s">
        <v>129</v>
      </c>
      <c r="B319" s="547" t="s">
        <v>88</v>
      </c>
      <c r="C319" s="598" t="s">
        <v>684</v>
      </c>
      <c r="D319" s="653">
        <f>SUM(C319:C322)</f>
        <v>86453500</v>
      </c>
      <c r="E319" s="507"/>
      <c r="F319" s="507"/>
      <c r="G319" s="507"/>
      <c r="H319" s="507"/>
      <c r="I319" s="507"/>
      <c r="J319" s="507"/>
      <c r="K319" s="507"/>
      <c r="L319" s="507"/>
      <c r="M319" s="507"/>
      <c r="N319" s="507"/>
      <c r="O319" s="507"/>
      <c r="P319" s="507"/>
      <c r="Q319" s="507"/>
      <c r="R319" s="507"/>
      <c r="S319" s="507"/>
      <c r="T319" s="507"/>
      <c r="U319" s="507"/>
      <c r="V319" s="507"/>
      <c r="W319" s="507"/>
    </row>
    <row r="320" ht="35.25" customHeight="1">
      <c r="A320" s="18"/>
      <c r="B320" s="547" t="s">
        <v>219</v>
      </c>
      <c r="C320" s="622">
        <v>2040000.0</v>
      </c>
      <c r="D320" s="18"/>
      <c r="E320" s="507"/>
      <c r="F320" s="507"/>
      <c r="G320" s="507"/>
      <c r="H320" s="507"/>
      <c r="I320" s="507"/>
      <c r="J320" s="507"/>
      <c r="K320" s="507"/>
      <c r="L320" s="654"/>
      <c r="M320" s="507"/>
      <c r="N320" s="507"/>
      <c r="O320" s="507"/>
      <c r="P320" s="507"/>
      <c r="Q320" s="507"/>
      <c r="R320" s="507"/>
      <c r="S320" s="507"/>
      <c r="T320" s="507"/>
      <c r="U320" s="507"/>
      <c r="V320" s="507"/>
      <c r="W320" s="507"/>
    </row>
    <row r="321" ht="35.25" customHeight="1">
      <c r="A321" s="18"/>
      <c r="B321" s="547" t="s">
        <v>89</v>
      </c>
      <c r="C321" s="598" t="s">
        <v>684</v>
      </c>
      <c r="D321" s="18"/>
      <c r="E321" s="507"/>
      <c r="F321" s="507"/>
      <c r="G321" s="507"/>
      <c r="H321" s="507"/>
      <c r="I321" s="507"/>
      <c r="J321" s="507"/>
      <c r="K321" s="507"/>
      <c r="L321" s="507"/>
      <c r="M321" s="507"/>
      <c r="N321" s="507"/>
      <c r="O321" s="507"/>
      <c r="P321" s="507"/>
      <c r="Q321" s="507"/>
      <c r="R321" s="507"/>
      <c r="S321" s="507"/>
      <c r="T321" s="507"/>
      <c r="U321" s="507"/>
      <c r="V321" s="507"/>
      <c r="W321" s="507"/>
    </row>
    <row r="322" ht="35.25" customHeight="1">
      <c r="A322" s="18"/>
      <c r="B322" s="547" t="s">
        <v>220</v>
      </c>
      <c r="C322" s="622">
        <v>8.44135E7</v>
      </c>
      <c r="D322" s="18"/>
      <c r="E322" s="556"/>
      <c r="F322" s="507"/>
      <c r="G322" s="507"/>
      <c r="H322" s="507"/>
      <c r="I322" s="507"/>
      <c r="J322" s="507"/>
      <c r="K322" s="507"/>
      <c r="L322" s="507"/>
      <c r="M322" s="507"/>
      <c r="N322" s="507"/>
      <c r="O322" s="507"/>
      <c r="P322" s="507"/>
      <c r="Q322" s="507"/>
      <c r="R322" s="507"/>
      <c r="S322" s="507"/>
      <c r="T322" s="507"/>
      <c r="U322" s="507"/>
      <c r="V322" s="507"/>
      <c r="W322" s="507"/>
    </row>
    <row r="323" ht="35.25" customHeight="1">
      <c r="A323" s="655" t="s">
        <v>131</v>
      </c>
      <c r="B323" s="547" t="s">
        <v>74</v>
      </c>
      <c r="C323" s="656" t="s">
        <v>684</v>
      </c>
      <c r="D323" s="657">
        <f>SUM(C323:C327)</f>
        <v>126177500</v>
      </c>
      <c r="E323" s="507"/>
      <c r="F323" s="507"/>
      <c r="G323" s="507"/>
      <c r="H323" s="507"/>
      <c r="I323" s="507"/>
      <c r="J323" s="507"/>
      <c r="K323" s="507"/>
      <c r="L323" s="507"/>
      <c r="M323" s="507"/>
      <c r="N323" s="507"/>
      <c r="O323" s="507"/>
      <c r="P323" s="507"/>
      <c r="Q323" s="507"/>
      <c r="R323" s="507"/>
      <c r="S323" s="507"/>
      <c r="T323" s="507"/>
      <c r="U323" s="507"/>
      <c r="V323" s="507"/>
      <c r="W323" s="507"/>
    </row>
    <row r="324" ht="35.25" customHeight="1">
      <c r="A324" s="18"/>
      <c r="B324" s="547" t="s">
        <v>88</v>
      </c>
      <c r="C324" s="656" t="s">
        <v>684</v>
      </c>
      <c r="D324" s="18"/>
      <c r="E324" s="507"/>
      <c r="F324" s="507"/>
      <c r="G324" s="507"/>
      <c r="H324" s="507"/>
      <c r="I324" s="507"/>
      <c r="J324" s="507"/>
      <c r="K324" s="507"/>
      <c r="L324" s="507"/>
      <c r="M324" s="507"/>
      <c r="N324" s="507"/>
      <c r="O324" s="507"/>
      <c r="P324" s="507"/>
      <c r="Q324" s="507"/>
      <c r="R324" s="507"/>
      <c r="S324" s="507"/>
      <c r="T324" s="507"/>
      <c r="U324" s="507"/>
      <c r="V324" s="507"/>
      <c r="W324" s="507"/>
    </row>
    <row r="325" ht="35.25" customHeight="1">
      <c r="A325" s="18"/>
      <c r="B325" s="547" t="s">
        <v>219</v>
      </c>
      <c r="C325" s="656">
        <v>2005500.0</v>
      </c>
      <c r="D325" s="18"/>
      <c r="E325" s="507"/>
      <c r="F325" s="507"/>
      <c r="G325" s="507"/>
      <c r="H325" s="507"/>
      <c r="I325" s="507"/>
      <c r="J325" s="507"/>
      <c r="K325" s="507"/>
      <c r="L325" s="507"/>
      <c r="M325" s="507"/>
      <c r="N325" s="507"/>
      <c r="O325" s="507"/>
      <c r="P325" s="507"/>
      <c r="Q325" s="507"/>
      <c r="R325" s="507"/>
      <c r="S325" s="507"/>
      <c r="T325" s="507"/>
      <c r="U325" s="507"/>
      <c r="V325" s="507"/>
      <c r="W325" s="507"/>
    </row>
    <row r="326" ht="35.25" customHeight="1">
      <c r="A326" s="18"/>
      <c r="B326" s="547" t="s">
        <v>89</v>
      </c>
      <c r="C326" s="656">
        <v>6.0901E7</v>
      </c>
      <c r="D326" s="18"/>
      <c r="E326" s="507"/>
      <c r="G326" s="507"/>
      <c r="H326" s="507"/>
      <c r="I326" s="507"/>
      <c r="J326" s="507"/>
      <c r="K326" s="507"/>
      <c r="L326" s="507"/>
      <c r="M326" s="507"/>
      <c r="N326" s="507"/>
      <c r="O326" s="507"/>
      <c r="P326" s="507"/>
      <c r="Q326" s="507"/>
      <c r="R326" s="507"/>
      <c r="S326" s="507"/>
      <c r="T326" s="507"/>
      <c r="U326" s="507"/>
      <c r="V326" s="507"/>
      <c r="W326" s="507"/>
    </row>
    <row r="327" ht="35.25" customHeight="1">
      <c r="A327" s="22"/>
      <c r="B327" s="547" t="s">
        <v>220</v>
      </c>
      <c r="C327" s="656">
        <v>6.3271E7</v>
      </c>
      <c r="D327" s="18"/>
      <c r="G327" s="507"/>
      <c r="H327" s="507"/>
      <c r="I327" s="507"/>
      <c r="J327" s="507"/>
      <c r="K327" s="507"/>
      <c r="L327" s="507"/>
      <c r="M327" s="507"/>
      <c r="N327" s="507"/>
      <c r="O327" s="507"/>
      <c r="P327" s="507"/>
      <c r="Q327" s="507"/>
      <c r="R327" s="507"/>
      <c r="S327" s="507"/>
      <c r="T327" s="507"/>
      <c r="U327" s="507"/>
      <c r="V327" s="507"/>
      <c r="W327" s="507"/>
    </row>
    <row r="328" ht="35.25" customHeight="1">
      <c r="A328" s="655" t="s">
        <v>130</v>
      </c>
      <c r="B328" s="547" t="s">
        <v>88</v>
      </c>
      <c r="C328" s="659" t="s">
        <v>684</v>
      </c>
      <c r="D328" s="653">
        <f>SUM(C328:C331)</f>
        <v>112032400</v>
      </c>
      <c r="E328" s="507"/>
      <c r="F328" s="507"/>
      <c r="G328" s="507"/>
      <c r="H328" s="507"/>
      <c r="I328" s="507"/>
      <c r="J328" s="507"/>
      <c r="K328" s="507"/>
      <c r="L328" s="507"/>
      <c r="M328" s="507"/>
      <c r="N328" s="507"/>
      <c r="O328" s="507"/>
      <c r="P328" s="507"/>
      <c r="Q328" s="507"/>
      <c r="R328" s="507"/>
      <c r="S328" s="507"/>
      <c r="T328" s="507"/>
      <c r="U328" s="507"/>
      <c r="V328" s="507"/>
      <c r="W328" s="507"/>
    </row>
    <row r="329" ht="35.25" customHeight="1">
      <c r="A329" s="18"/>
      <c r="B329" s="547" t="s">
        <v>219</v>
      </c>
      <c r="C329" s="659">
        <v>3.33521E7</v>
      </c>
      <c r="D329" s="18"/>
      <c r="E329" s="507"/>
      <c r="F329" s="507"/>
      <c r="G329" s="507"/>
      <c r="H329" s="507"/>
      <c r="I329" s="507"/>
      <c r="J329" s="507"/>
      <c r="K329" s="507"/>
      <c r="L329" s="507"/>
      <c r="M329" s="507"/>
      <c r="N329" s="507"/>
      <c r="O329" s="507"/>
      <c r="P329" s="507"/>
      <c r="Q329" s="507"/>
      <c r="R329" s="507"/>
      <c r="S329" s="507"/>
      <c r="T329" s="507"/>
      <c r="U329" s="507"/>
      <c r="V329" s="507"/>
      <c r="W329" s="507"/>
    </row>
    <row r="330" ht="35.25" customHeight="1">
      <c r="A330" s="18"/>
      <c r="B330" s="547" t="s">
        <v>89</v>
      </c>
      <c r="C330" s="659">
        <v>3.49085E7</v>
      </c>
      <c r="D330" s="18"/>
      <c r="E330" s="507"/>
      <c r="F330" s="507"/>
      <c r="G330" s="507"/>
      <c r="H330" s="507"/>
      <c r="I330" s="507"/>
      <c r="J330" s="507"/>
      <c r="K330" s="507"/>
      <c r="L330" s="507"/>
      <c r="M330" s="507"/>
      <c r="N330" s="507"/>
      <c r="O330" s="507"/>
      <c r="P330" s="507"/>
      <c r="Q330" s="507"/>
      <c r="R330" s="507"/>
      <c r="S330" s="507"/>
      <c r="T330" s="507"/>
      <c r="U330" s="507"/>
      <c r="V330" s="507"/>
      <c r="W330" s="507"/>
    </row>
    <row r="331" ht="35.25" customHeight="1">
      <c r="A331" s="22"/>
      <c r="B331" s="547" t="s">
        <v>220</v>
      </c>
      <c r="C331" s="659">
        <v>4.37718E7</v>
      </c>
      <c r="D331" s="18"/>
      <c r="E331" s="661"/>
      <c r="F331" s="507"/>
      <c r="G331" s="556"/>
      <c r="H331" s="507"/>
      <c r="I331" s="507"/>
      <c r="J331" s="507"/>
      <c r="K331" s="507"/>
      <c r="L331" s="507"/>
      <c r="M331" s="507"/>
      <c r="N331" s="507"/>
      <c r="O331" s="507"/>
      <c r="P331" s="507"/>
      <c r="Q331" s="507"/>
      <c r="R331" s="507"/>
      <c r="S331" s="507"/>
      <c r="T331" s="507"/>
      <c r="U331" s="507"/>
      <c r="V331" s="507"/>
      <c r="W331" s="507"/>
    </row>
    <row r="332" ht="35.25" customHeight="1">
      <c r="A332" s="655" t="s">
        <v>136</v>
      </c>
      <c r="B332" s="547" t="s">
        <v>88</v>
      </c>
      <c r="C332" s="659">
        <f>SUM(91463000-26685500)</f>
        <v>64777500</v>
      </c>
      <c r="D332" s="657">
        <f>sum(C332:C335)</f>
        <v>215642500</v>
      </c>
      <c r="E332" s="507"/>
      <c r="F332" s="507"/>
      <c r="G332" s="507"/>
      <c r="H332" s="507"/>
      <c r="I332" s="507"/>
      <c r="J332" s="507"/>
      <c r="K332" s="507"/>
      <c r="L332" s="507"/>
      <c r="M332" s="507"/>
      <c r="N332" s="507"/>
      <c r="O332" s="507"/>
      <c r="P332" s="507"/>
      <c r="Q332" s="507"/>
      <c r="R332" s="507"/>
      <c r="S332" s="507"/>
      <c r="T332" s="507"/>
      <c r="U332" s="507"/>
      <c r="V332" s="507"/>
      <c r="W332" s="507"/>
    </row>
    <row r="333" ht="35.25" customHeight="1">
      <c r="A333" s="18"/>
      <c r="B333" s="547" t="s">
        <v>219</v>
      </c>
      <c r="C333" s="659">
        <v>3.82565E7</v>
      </c>
      <c r="D333" s="18"/>
      <c r="E333" s="507"/>
      <c r="F333" s="507"/>
      <c r="G333" s="507"/>
      <c r="H333" s="507"/>
      <c r="I333" s="507"/>
      <c r="J333" s="507"/>
      <c r="K333" s="507"/>
      <c r="L333" s="507"/>
      <c r="M333" s="507"/>
      <c r="N333" s="507"/>
      <c r="O333" s="507"/>
      <c r="P333" s="507"/>
      <c r="Q333" s="507"/>
      <c r="R333" s="507"/>
      <c r="S333" s="507"/>
      <c r="T333" s="507"/>
      <c r="U333" s="507"/>
      <c r="V333" s="507"/>
      <c r="W333" s="507"/>
    </row>
    <row r="334" ht="35.25" customHeight="1">
      <c r="A334" s="18"/>
      <c r="B334" s="547" t="s">
        <v>89</v>
      </c>
      <c r="C334" s="659">
        <v>4.6888E7</v>
      </c>
      <c r="D334" s="18"/>
      <c r="E334" s="507"/>
      <c r="F334" s="507"/>
      <c r="G334" s="507"/>
      <c r="H334" s="507"/>
      <c r="I334" s="507"/>
      <c r="J334" s="507"/>
      <c r="K334" s="507"/>
      <c r="L334" s="507"/>
      <c r="M334" s="507"/>
      <c r="N334" s="507"/>
      <c r="O334" s="507"/>
      <c r="P334" s="507"/>
      <c r="Q334" s="507"/>
      <c r="R334" s="507"/>
      <c r="S334" s="507"/>
      <c r="T334" s="507"/>
      <c r="U334" s="507"/>
      <c r="V334" s="507"/>
      <c r="W334" s="507"/>
    </row>
    <row r="335" ht="35.25" customHeight="1">
      <c r="A335" s="22"/>
      <c r="B335" s="547" t="s">
        <v>220</v>
      </c>
      <c r="C335" s="659">
        <v>6.57205E7</v>
      </c>
      <c r="D335" s="22"/>
      <c r="E335" s="556"/>
      <c r="F335" s="507"/>
      <c r="G335" s="507"/>
      <c r="H335" s="507"/>
      <c r="I335" s="507"/>
      <c r="J335" s="507"/>
      <c r="K335" s="507"/>
      <c r="L335" s="507"/>
      <c r="M335" s="507"/>
      <c r="N335" s="507"/>
      <c r="O335" s="507"/>
      <c r="P335" s="507"/>
      <c r="Q335" s="507"/>
      <c r="R335" s="507"/>
      <c r="S335" s="507"/>
      <c r="T335" s="507"/>
      <c r="U335" s="507"/>
      <c r="V335" s="507"/>
      <c r="W335" s="507"/>
    </row>
    <row r="336" ht="35.25" customHeight="1">
      <c r="A336" s="655" t="s">
        <v>138</v>
      </c>
      <c r="B336" s="547" t="s">
        <v>74</v>
      </c>
      <c r="C336" s="656">
        <f>SUM(110787000-10107000)</f>
        <v>100680000</v>
      </c>
      <c r="D336" s="657">
        <f>sum(C336:C340)</f>
        <v>178861800</v>
      </c>
      <c r="E336" s="507"/>
      <c r="F336" s="507"/>
      <c r="G336" s="507"/>
      <c r="H336" s="507"/>
      <c r="I336" s="507"/>
      <c r="J336" s="507"/>
      <c r="K336" s="507"/>
      <c r="L336" s="507"/>
      <c r="M336" s="507"/>
      <c r="N336" s="507"/>
      <c r="O336" s="507"/>
      <c r="P336" s="507"/>
      <c r="Q336" s="507"/>
      <c r="R336" s="507"/>
      <c r="S336" s="507"/>
      <c r="T336" s="507"/>
      <c r="U336" s="507"/>
      <c r="V336" s="507"/>
      <c r="W336" s="507"/>
    </row>
    <row r="337" ht="35.25" customHeight="1">
      <c r="A337" s="18"/>
      <c r="B337" s="547" t="s">
        <v>88</v>
      </c>
      <c r="C337" s="656">
        <v>700000.0</v>
      </c>
      <c r="D337" s="18"/>
      <c r="E337" s="507"/>
      <c r="F337" s="507"/>
      <c r="G337" s="507"/>
      <c r="H337" s="507"/>
      <c r="I337" s="507"/>
      <c r="J337" s="507"/>
      <c r="K337" s="507"/>
      <c r="L337" s="507"/>
      <c r="M337" s="507"/>
      <c r="N337" s="507"/>
      <c r="O337" s="507"/>
      <c r="P337" s="507"/>
      <c r="Q337" s="507"/>
      <c r="R337" s="507"/>
      <c r="S337" s="507"/>
      <c r="T337" s="507"/>
      <c r="U337" s="507"/>
      <c r="V337" s="507"/>
      <c r="W337" s="507"/>
    </row>
    <row r="338" ht="35.25" customHeight="1">
      <c r="A338" s="18"/>
      <c r="B338" s="547" t="s">
        <v>219</v>
      </c>
      <c r="C338" s="656">
        <v>3.43645E7</v>
      </c>
      <c r="D338" s="18"/>
      <c r="E338" s="507"/>
      <c r="F338" s="507"/>
      <c r="G338" s="507"/>
      <c r="H338" s="507"/>
      <c r="I338" s="507"/>
      <c r="J338" s="507"/>
      <c r="K338" s="507"/>
      <c r="L338" s="507"/>
      <c r="M338" s="507"/>
      <c r="N338" s="507"/>
      <c r="O338" s="507"/>
      <c r="P338" s="507"/>
      <c r="Q338" s="507"/>
      <c r="R338" s="507"/>
      <c r="S338" s="507"/>
      <c r="T338" s="507"/>
      <c r="U338" s="507"/>
      <c r="V338" s="507"/>
      <c r="W338" s="507"/>
    </row>
    <row r="339" ht="35.25" customHeight="1">
      <c r="A339" s="18"/>
      <c r="B339" s="547" t="s">
        <v>89</v>
      </c>
      <c r="C339" s="656">
        <v>0.0</v>
      </c>
      <c r="D339" s="18"/>
      <c r="E339" s="507"/>
      <c r="F339" s="507"/>
      <c r="G339" s="507"/>
      <c r="H339" s="507"/>
      <c r="I339" s="507"/>
      <c r="J339" s="507"/>
      <c r="K339" s="507"/>
      <c r="L339" s="507"/>
      <c r="M339" s="507"/>
      <c r="N339" s="507"/>
      <c r="O339" s="507"/>
      <c r="P339" s="507"/>
      <c r="Q339" s="507"/>
      <c r="R339" s="507"/>
      <c r="S339" s="507"/>
      <c r="T339" s="507"/>
      <c r="U339" s="507"/>
      <c r="V339" s="507"/>
      <c r="W339" s="507"/>
    </row>
    <row r="340" ht="35.25" customHeight="1">
      <c r="A340" s="22"/>
      <c r="B340" s="547" t="s">
        <v>220</v>
      </c>
      <c r="C340" s="656">
        <v>4.31173E7</v>
      </c>
      <c r="D340" s="18"/>
      <c r="E340" s="507"/>
      <c r="F340" s="507"/>
      <c r="G340" s="507"/>
      <c r="H340" s="507"/>
      <c r="I340" s="507"/>
      <c r="J340" s="507"/>
      <c r="K340" s="507"/>
      <c r="L340" s="507"/>
      <c r="M340" s="507"/>
      <c r="N340" s="507"/>
      <c r="O340" s="507"/>
      <c r="P340" s="507"/>
      <c r="Q340" s="507"/>
      <c r="R340" s="507"/>
      <c r="S340" s="507"/>
      <c r="T340" s="507"/>
      <c r="U340" s="507"/>
      <c r="V340" s="507"/>
      <c r="W340" s="507"/>
    </row>
    <row r="341" ht="35.25" customHeight="1">
      <c r="A341" s="655" t="s">
        <v>139</v>
      </c>
      <c r="B341" s="547" t="s">
        <v>88</v>
      </c>
      <c r="C341" s="598" t="s">
        <v>684</v>
      </c>
      <c r="D341" s="653">
        <f>SUM(C341:C344)</f>
        <v>81228000</v>
      </c>
      <c r="E341" s="507"/>
      <c r="F341" s="507"/>
      <c r="G341" s="507"/>
      <c r="H341" s="507"/>
      <c r="I341" s="507"/>
      <c r="J341" s="507"/>
      <c r="K341" s="507"/>
      <c r="L341" s="507"/>
      <c r="M341" s="507"/>
      <c r="N341" s="507"/>
      <c r="O341" s="507"/>
      <c r="P341" s="507"/>
      <c r="Q341" s="507"/>
      <c r="R341" s="507"/>
      <c r="S341" s="507"/>
      <c r="T341" s="507"/>
      <c r="U341" s="507"/>
      <c r="V341" s="507"/>
      <c r="W341" s="507"/>
    </row>
    <row r="342" ht="35.25" customHeight="1">
      <c r="A342" s="18"/>
      <c r="B342" s="547" t="s">
        <v>219</v>
      </c>
      <c r="C342" s="598" t="s">
        <v>684</v>
      </c>
      <c r="D342" s="18"/>
      <c r="E342" s="662" t="s">
        <v>342</v>
      </c>
      <c r="F342" s="507"/>
      <c r="G342" s="507"/>
      <c r="H342" s="507"/>
      <c r="I342" s="507"/>
      <c r="J342" s="507"/>
      <c r="K342" s="507"/>
      <c r="L342" s="507"/>
      <c r="M342" s="507"/>
      <c r="N342" s="507"/>
      <c r="O342" s="507"/>
      <c r="P342" s="507"/>
      <c r="Q342" s="507"/>
      <c r="R342" s="507"/>
      <c r="S342" s="507"/>
      <c r="T342" s="507"/>
      <c r="U342" s="507"/>
      <c r="V342" s="507"/>
      <c r="W342" s="507"/>
    </row>
    <row r="343" ht="35.25" customHeight="1">
      <c r="A343" s="18"/>
      <c r="B343" s="547" t="s">
        <v>89</v>
      </c>
      <c r="C343" s="598" t="s">
        <v>684</v>
      </c>
      <c r="D343" s="18"/>
      <c r="E343" s="507"/>
      <c r="F343" s="507"/>
      <c r="G343" s="507"/>
      <c r="H343" s="507"/>
      <c r="I343" s="507"/>
      <c r="J343" s="507"/>
      <c r="K343" s="507"/>
      <c r="L343" s="507"/>
      <c r="M343" s="507"/>
      <c r="N343" s="507"/>
      <c r="O343" s="507"/>
      <c r="P343" s="507"/>
      <c r="Q343" s="507"/>
      <c r="R343" s="507"/>
      <c r="S343" s="507"/>
      <c r="T343" s="507"/>
      <c r="U343" s="507"/>
      <c r="V343" s="507"/>
      <c r="W343" s="507"/>
    </row>
    <row r="344" ht="35.25" customHeight="1">
      <c r="A344" s="22"/>
      <c r="B344" s="547" t="s">
        <v>220</v>
      </c>
      <c r="C344" s="598">
        <v>8.1228E7</v>
      </c>
      <c r="D344" s="22"/>
      <c r="E344" s="507"/>
      <c r="F344" s="507"/>
      <c r="G344" s="507"/>
      <c r="H344" s="507"/>
      <c r="I344" s="507"/>
      <c r="J344" s="507"/>
      <c r="K344" s="507"/>
      <c r="L344" s="507"/>
      <c r="M344" s="507"/>
      <c r="N344" s="507"/>
      <c r="O344" s="507"/>
      <c r="P344" s="507"/>
      <c r="Q344" s="507"/>
      <c r="R344" s="507"/>
      <c r="S344" s="507"/>
      <c r="T344" s="507"/>
      <c r="U344" s="507"/>
      <c r="V344" s="507"/>
      <c r="W344" s="507"/>
    </row>
    <row r="345" ht="35.25" customHeight="1">
      <c r="A345" s="663" t="s">
        <v>140</v>
      </c>
      <c r="B345" s="547" t="s">
        <v>88</v>
      </c>
      <c r="C345" s="656">
        <v>5.4579E7</v>
      </c>
      <c r="D345" s="657">
        <f>sum(C345:C348)</f>
        <v>131118000</v>
      </c>
      <c r="E345" s="507"/>
      <c r="F345" s="507"/>
      <c r="G345" s="507"/>
      <c r="H345" s="507"/>
      <c r="I345" s="507"/>
      <c r="J345" s="507"/>
      <c r="K345" s="507"/>
      <c r="L345" s="507"/>
      <c r="M345" s="507"/>
      <c r="N345" s="507"/>
      <c r="O345" s="507"/>
      <c r="P345" s="507"/>
      <c r="Q345" s="507"/>
      <c r="R345" s="507"/>
      <c r="S345" s="507"/>
      <c r="T345" s="507"/>
      <c r="U345" s="507"/>
      <c r="V345" s="507"/>
      <c r="W345" s="507"/>
    </row>
    <row r="346" ht="35.25" customHeight="1">
      <c r="A346" s="18"/>
      <c r="B346" s="547" t="s">
        <v>219</v>
      </c>
      <c r="C346" s="656">
        <v>1.397E7</v>
      </c>
      <c r="D346" s="18"/>
      <c r="E346" s="507"/>
      <c r="F346" s="507"/>
      <c r="G346" s="507"/>
      <c r="H346" s="507"/>
      <c r="I346" s="507"/>
      <c r="J346" s="507"/>
      <c r="K346" s="507"/>
      <c r="L346" s="507"/>
      <c r="M346" s="507"/>
      <c r="N346" s="507"/>
      <c r="O346" s="507"/>
      <c r="P346" s="507"/>
      <c r="Q346" s="507"/>
      <c r="R346" s="507"/>
      <c r="S346" s="507"/>
      <c r="T346" s="507"/>
      <c r="U346" s="507"/>
      <c r="V346" s="507"/>
      <c r="W346" s="507"/>
    </row>
    <row r="347" ht="35.25" customHeight="1">
      <c r="A347" s="18"/>
      <c r="B347" s="547" t="s">
        <v>89</v>
      </c>
      <c r="C347" s="656">
        <v>2.6849E7</v>
      </c>
      <c r="D347" s="18"/>
      <c r="E347" s="507"/>
      <c r="F347" s="507"/>
      <c r="G347" s="507"/>
      <c r="H347" s="507"/>
      <c r="I347" s="507"/>
      <c r="J347" s="507"/>
      <c r="K347" s="507"/>
      <c r="L347" s="507"/>
      <c r="M347" s="507"/>
      <c r="N347" s="507"/>
      <c r="O347" s="507"/>
      <c r="P347" s="507"/>
      <c r="Q347" s="507"/>
      <c r="R347" s="507"/>
      <c r="S347" s="507"/>
      <c r="T347" s="507"/>
      <c r="U347" s="507"/>
      <c r="V347" s="507"/>
      <c r="W347" s="507"/>
    </row>
    <row r="348" ht="35.25" customHeight="1">
      <c r="A348" s="22"/>
      <c r="B348" s="547" t="s">
        <v>220</v>
      </c>
      <c r="C348" s="656">
        <v>3.572E7</v>
      </c>
      <c r="D348" s="22"/>
      <c r="E348" s="507"/>
      <c r="F348" s="507"/>
      <c r="G348" s="507"/>
      <c r="H348" s="507"/>
      <c r="I348" s="507"/>
      <c r="J348" s="507"/>
      <c r="K348" s="507"/>
      <c r="L348" s="507"/>
      <c r="M348" s="507"/>
      <c r="N348" s="507"/>
      <c r="O348" s="507"/>
      <c r="P348" s="507"/>
      <c r="Q348" s="507"/>
      <c r="R348" s="507"/>
      <c r="S348" s="507"/>
      <c r="T348" s="507"/>
      <c r="U348" s="507"/>
      <c r="V348" s="507"/>
      <c r="W348" s="507"/>
    </row>
    <row r="349" ht="35.25" customHeight="1">
      <c r="A349" s="663" t="s">
        <v>141</v>
      </c>
      <c r="B349" s="547" t="s">
        <v>88</v>
      </c>
      <c r="C349" s="622" t="s">
        <v>684</v>
      </c>
      <c r="D349" s="653">
        <f>SUM(C349:C352)</f>
        <v>74969000</v>
      </c>
      <c r="E349" s="664"/>
      <c r="F349" s="507"/>
      <c r="G349" s="507"/>
      <c r="H349" s="507"/>
      <c r="I349" s="507"/>
      <c r="J349" s="507"/>
      <c r="K349" s="507"/>
      <c r="L349" s="507"/>
      <c r="M349" s="507"/>
      <c r="N349" s="507"/>
      <c r="O349" s="507"/>
      <c r="P349" s="507"/>
      <c r="Q349" s="507"/>
      <c r="R349" s="507"/>
      <c r="S349" s="507"/>
      <c r="T349" s="507"/>
      <c r="U349" s="507"/>
      <c r="V349" s="507"/>
      <c r="W349" s="507"/>
    </row>
    <row r="350" ht="35.25" customHeight="1">
      <c r="A350" s="18"/>
      <c r="B350" s="547" t="s">
        <v>219</v>
      </c>
      <c r="C350" s="622" t="s">
        <v>684</v>
      </c>
      <c r="D350" s="18"/>
      <c r="E350" s="664"/>
      <c r="F350" s="507"/>
      <c r="G350" s="507"/>
      <c r="H350" s="507"/>
      <c r="I350" s="507"/>
      <c r="J350" s="507"/>
      <c r="K350" s="507"/>
      <c r="L350" s="507"/>
      <c r="M350" s="507"/>
      <c r="N350" s="507"/>
      <c r="O350" s="507"/>
      <c r="P350" s="507"/>
      <c r="Q350" s="507"/>
      <c r="R350" s="507"/>
      <c r="S350" s="507"/>
      <c r="T350" s="507"/>
      <c r="U350" s="507"/>
      <c r="V350" s="507"/>
      <c r="W350" s="507"/>
    </row>
    <row r="351" ht="35.25" customHeight="1">
      <c r="A351" s="18"/>
      <c r="B351" s="547" t="s">
        <v>89</v>
      </c>
      <c r="C351" s="622">
        <v>2.8261E7</v>
      </c>
      <c r="D351" s="18"/>
      <c r="E351" s="664"/>
      <c r="F351" s="507"/>
      <c r="G351" s="507"/>
      <c r="H351" s="507"/>
      <c r="I351" s="507"/>
      <c r="J351" s="507"/>
      <c r="K351" s="507"/>
      <c r="L351" s="507"/>
      <c r="M351" s="507"/>
      <c r="N351" s="507"/>
      <c r="O351" s="507"/>
      <c r="P351" s="507"/>
      <c r="Q351" s="507"/>
      <c r="R351" s="507"/>
      <c r="S351" s="507"/>
      <c r="T351" s="507"/>
      <c r="U351" s="507"/>
      <c r="V351" s="507"/>
      <c r="W351" s="507"/>
    </row>
    <row r="352" ht="35.25" customHeight="1">
      <c r="A352" s="22"/>
      <c r="B352" s="547" t="s">
        <v>220</v>
      </c>
      <c r="C352" s="622">
        <v>4.6708E7</v>
      </c>
      <c r="D352" s="22"/>
      <c r="E352" s="664"/>
      <c r="F352" s="507"/>
      <c r="G352" s="507"/>
      <c r="H352" s="507"/>
      <c r="I352" s="507"/>
      <c r="J352" s="507"/>
      <c r="K352" s="507"/>
      <c r="L352" s="507"/>
      <c r="M352" s="507"/>
      <c r="N352" s="507"/>
      <c r="O352" s="507"/>
      <c r="P352" s="507"/>
      <c r="Q352" s="507"/>
      <c r="R352" s="507"/>
      <c r="S352" s="507"/>
      <c r="T352" s="507"/>
      <c r="U352" s="507"/>
      <c r="V352" s="507"/>
      <c r="W352" s="507"/>
    </row>
    <row r="353" ht="35.25" customHeight="1">
      <c r="A353" s="655" t="s">
        <v>142</v>
      </c>
      <c r="B353" s="547" t="s">
        <v>74</v>
      </c>
      <c r="C353" s="659" t="s">
        <v>684</v>
      </c>
      <c r="D353" s="657">
        <f>SUM(C353:C357)</f>
        <v>251140000</v>
      </c>
      <c r="E353" s="507"/>
      <c r="F353" s="507"/>
      <c r="G353" s="507"/>
      <c r="H353" s="507"/>
      <c r="I353" s="507"/>
      <c r="J353" s="507"/>
      <c r="K353" s="507"/>
      <c r="L353" s="507"/>
      <c r="M353" s="507"/>
      <c r="N353" s="507"/>
      <c r="O353" s="507"/>
      <c r="P353" s="507"/>
      <c r="Q353" s="507"/>
      <c r="R353" s="507"/>
      <c r="S353" s="507"/>
      <c r="T353" s="507"/>
      <c r="U353" s="507"/>
      <c r="V353" s="507"/>
      <c r="W353" s="507"/>
    </row>
    <row r="354" ht="35.25" customHeight="1">
      <c r="A354" s="18"/>
      <c r="B354" s="547" t="s">
        <v>88</v>
      </c>
      <c r="C354" s="659">
        <v>6.13955E7</v>
      </c>
      <c r="D354" s="18"/>
      <c r="E354" s="507"/>
      <c r="F354" s="507"/>
      <c r="G354" s="507"/>
      <c r="H354" s="507"/>
      <c r="I354" s="507"/>
      <c r="J354" s="507"/>
      <c r="K354" s="507"/>
      <c r="L354" s="507"/>
      <c r="M354" s="507"/>
      <c r="N354" s="507"/>
      <c r="O354" s="507"/>
      <c r="P354" s="507"/>
      <c r="Q354" s="507"/>
      <c r="R354" s="507"/>
      <c r="S354" s="507"/>
      <c r="T354" s="507"/>
      <c r="U354" s="507"/>
      <c r="V354" s="507"/>
      <c r="W354" s="507"/>
    </row>
    <row r="355" ht="35.25" customHeight="1">
      <c r="A355" s="18"/>
      <c r="B355" s="547" t="s">
        <v>219</v>
      </c>
      <c r="C355" s="659">
        <v>6.34095E7</v>
      </c>
      <c r="D355" s="18"/>
      <c r="E355" s="662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  <c r="T355" s="507"/>
      <c r="U355" s="507"/>
      <c r="V355" s="507"/>
      <c r="W355" s="507"/>
    </row>
    <row r="356" ht="35.25" customHeight="1">
      <c r="A356" s="18"/>
      <c r="B356" s="547" t="s">
        <v>89</v>
      </c>
      <c r="C356" s="659">
        <v>5.85885E7</v>
      </c>
      <c r="D356" s="18"/>
      <c r="E356" s="662"/>
      <c r="F356" s="507"/>
      <c r="G356" s="507"/>
      <c r="H356" s="507"/>
      <c r="I356" s="507"/>
      <c r="J356" s="507"/>
      <c r="K356" s="507"/>
      <c r="L356" s="507"/>
      <c r="M356" s="507"/>
      <c r="N356" s="507"/>
      <c r="O356" s="507"/>
      <c r="P356" s="507"/>
      <c r="Q356" s="507"/>
      <c r="R356" s="507"/>
      <c r="S356" s="507"/>
      <c r="T356" s="507"/>
      <c r="U356" s="507"/>
      <c r="V356" s="507"/>
      <c r="W356" s="507"/>
    </row>
    <row r="357" ht="35.25" customHeight="1">
      <c r="A357" s="22"/>
      <c r="B357" s="547" t="s">
        <v>220</v>
      </c>
      <c r="C357" s="622">
        <v>6.77465E7</v>
      </c>
      <c r="D357" s="18"/>
      <c r="E357" s="662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07"/>
      <c r="W357" s="507"/>
    </row>
    <row r="358" ht="35.25" customHeight="1">
      <c r="A358" s="655" t="s">
        <v>143</v>
      </c>
      <c r="B358" s="547" t="s">
        <v>74</v>
      </c>
      <c r="C358" s="656">
        <f>SUM(168045000-133631000)</f>
        <v>34414000</v>
      </c>
      <c r="D358" s="657">
        <f>SUM(C358:C362)</f>
        <v>171173500</v>
      </c>
      <c r="E358" s="507"/>
      <c r="F358" s="507"/>
      <c r="G358" s="507"/>
      <c r="H358" s="507"/>
      <c r="I358" s="507"/>
      <c r="J358" s="507"/>
      <c r="K358" s="507"/>
      <c r="L358" s="507"/>
      <c r="M358" s="507"/>
      <c r="N358" s="507"/>
      <c r="O358" s="507"/>
      <c r="P358" s="507"/>
      <c r="Q358" s="507"/>
      <c r="R358" s="507"/>
      <c r="S358" s="507"/>
      <c r="T358" s="507"/>
      <c r="U358" s="507"/>
      <c r="V358" s="507"/>
      <c r="W358" s="507"/>
    </row>
    <row r="359" ht="35.25" customHeight="1">
      <c r="A359" s="18"/>
      <c r="B359" s="547" t="s">
        <v>88</v>
      </c>
      <c r="C359" s="656">
        <v>4.35885E7</v>
      </c>
      <c r="D359" s="18"/>
      <c r="E359" s="507"/>
      <c r="F359" s="507"/>
      <c r="G359" s="507"/>
      <c r="H359" s="507"/>
      <c r="I359" s="557"/>
      <c r="J359" s="507"/>
      <c r="K359" s="507"/>
      <c r="L359" s="507"/>
      <c r="M359" s="507"/>
      <c r="N359" s="507"/>
      <c r="O359" s="507"/>
      <c r="P359" s="507"/>
      <c r="Q359" s="507"/>
      <c r="R359" s="507"/>
      <c r="S359" s="507"/>
      <c r="T359" s="507"/>
      <c r="U359" s="507"/>
      <c r="V359" s="507"/>
      <c r="W359" s="507"/>
    </row>
    <row r="360" ht="35.25" customHeight="1">
      <c r="A360" s="18"/>
      <c r="B360" s="547" t="s">
        <v>219</v>
      </c>
      <c r="C360" s="656">
        <v>4.092E7</v>
      </c>
      <c r="D360" s="18"/>
      <c r="E360" s="507"/>
      <c r="F360" s="507"/>
      <c r="G360" s="507"/>
      <c r="H360" s="507"/>
      <c r="I360" s="507"/>
      <c r="J360" s="507"/>
      <c r="K360" s="507"/>
      <c r="L360" s="507"/>
      <c r="M360" s="507"/>
      <c r="N360" s="507"/>
      <c r="O360" s="507"/>
      <c r="P360" s="507"/>
      <c r="Q360" s="507"/>
      <c r="R360" s="507"/>
      <c r="S360" s="507"/>
      <c r="T360" s="507"/>
      <c r="U360" s="507"/>
      <c r="V360" s="507"/>
      <c r="W360" s="507"/>
    </row>
    <row r="361" ht="35.25" customHeight="1">
      <c r="A361" s="18"/>
      <c r="B361" s="547" t="s">
        <v>89</v>
      </c>
      <c r="C361" s="622">
        <v>2.0309E7</v>
      </c>
      <c r="D361" s="18"/>
      <c r="E361" s="556"/>
      <c r="F361" s="507"/>
      <c r="G361" s="507"/>
      <c r="H361" s="507"/>
      <c r="I361" s="507"/>
      <c r="J361" s="507"/>
      <c r="K361" s="507"/>
      <c r="L361" s="507"/>
      <c r="M361" s="507"/>
      <c r="N361" s="507"/>
      <c r="O361" s="507"/>
      <c r="P361" s="507"/>
      <c r="Q361" s="507"/>
      <c r="R361" s="507"/>
      <c r="S361" s="507"/>
      <c r="T361" s="507"/>
      <c r="U361" s="507"/>
      <c r="V361" s="507"/>
      <c r="W361" s="507"/>
    </row>
    <row r="362" ht="35.25" customHeight="1">
      <c r="A362" s="22"/>
      <c r="B362" s="547" t="s">
        <v>220</v>
      </c>
      <c r="C362" s="622">
        <v>3.1942E7</v>
      </c>
      <c r="D362" s="18"/>
      <c r="E362" s="556"/>
      <c r="F362" s="507"/>
      <c r="G362" s="507"/>
      <c r="H362" s="507"/>
      <c r="I362" s="507"/>
      <c r="J362" s="507"/>
      <c r="K362" s="507"/>
      <c r="L362" s="507"/>
      <c r="M362" s="507"/>
      <c r="N362" s="507"/>
      <c r="O362" s="507"/>
      <c r="P362" s="507"/>
      <c r="Q362" s="507"/>
      <c r="R362" s="507"/>
      <c r="S362" s="507"/>
      <c r="T362" s="507"/>
      <c r="U362" s="507"/>
      <c r="V362" s="507"/>
      <c r="W362" s="507"/>
    </row>
    <row r="363" ht="35.25" customHeight="1">
      <c r="A363" s="655" t="s">
        <v>144</v>
      </c>
      <c r="B363" s="547" t="s">
        <v>88</v>
      </c>
      <c r="C363" s="656" t="s">
        <v>684</v>
      </c>
      <c r="D363" s="653">
        <f>SUM(C363:C366)</f>
        <v>36828700</v>
      </c>
      <c r="E363" s="507"/>
      <c r="F363" s="507"/>
      <c r="G363" s="507"/>
      <c r="H363" s="507"/>
      <c r="I363" s="507"/>
      <c r="J363" s="507"/>
      <c r="K363" s="507"/>
      <c r="L363" s="507"/>
      <c r="M363" s="507"/>
      <c r="N363" s="507"/>
      <c r="O363" s="507"/>
      <c r="P363" s="507"/>
      <c r="Q363" s="507"/>
      <c r="R363" s="507"/>
      <c r="S363" s="507"/>
      <c r="T363" s="507"/>
      <c r="U363" s="507"/>
      <c r="V363" s="507"/>
      <c r="W363" s="507"/>
    </row>
    <row r="364" ht="35.25" customHeight="1">
      <c r="A364" s="18"/>
      <c r="B364" s="547" t="s">
        <v>219</v>
      </c>
      <c r="C364" s="598">
        <v>2040000.0</v>
      </c>
      <c r="D364" s="18"/>
      <c r="E364" s="507"/>
      <c r="F364" s="507"/>
      <c r="G364" s="507"/>
      <c r="H364" s="507"/>
      <c r="I364" s="507"/>
      <c r="J364" s="507"/>
      <c r="K364" s="507"/>
      <c r="L364" s="507"/>
      <c r="M364" s="507"/>
      <c r="N364" s="507"/>
      <c r="O364" s="507"/>
      <c r="P364" s="507"/>
      <c r="Q364" s="507"/>
      <c r="R364" s="507"/>
      <c r="S364" s="507"/>
      <c r="T364" s="507"/>
      <c r="U364" s="507"/>
      <c r="V364" s="507"/>
      <c r="W364" s="507"/>
    </row>
    <row r="365" ht="35.25" customHeight="1">
      <c r="A365" s="18"/>
      <c r="B365" s="547" t="s">
        <v>89</v>
      </c>
      <c r="C365" s="598" t="s">
        <v>684</v>
      </c>
      <c r="D365" s="18"/>
      <c r="E365" s="507"/>
      <c r="F365" s="507"/>
      <c r="G365" s="507"/>
      <c r="H365" s="507"/>
      <c r="I365" s="507"/>
      <c r="J365" s="507"/>
      <c r="K365" s="507"/>
      <c r="L365" s="507"/>
      <c r="M365" s="507"/>
      <c r="N365" s="507"/>
      <c r="O365" s="507"/>
      <c r="P365" s="507"/>
      <c r="Q365" s="507"/>
      <c r="R365" s="507"/>
      <c r="S365" s="507"/>
      <c r="T365" s="507"/>
      <c r="U365" s="507"/>
      <c r="V365" s="507"/>
      <c r="W365" s="507"/>
    </row>
    <row r="366" ht="35.25" customHeight="1">
      <c r="A366" s="22"/>
      <c r="B366" s="547" t="s">
        <v>220</v>
      </c>
      <c r="C366" s="598">
        <v>3.47887E7</v>
      </c>
      <c r="D366" s="22"/>
      <c r="E366" s="507"/>
      <c r="F366" s="507"/>
      <c r="G366" s="507"/>
      <c r="H366" s="507"/>
      <c r="I366" s="507"/>
      <c r="J366" s="507"/>
      <c r="K366" s="507"/>
      <c r="L366" s="507"/>
      <c r="M366" s="507"/>
      <c r="N366" s="507"/>
      <c r="O366" s="507"/>
      <c r="P366" s="507"/>
      <c r="Q366" s="507"/>
      <c r="R366" s="507"/>
      <c r="S366" s="507"/>
      <c r="T366" s="507"/>
      <c r="U366" s="507"/>
      <c r="V366" s="507"/>
      <c r="W366" s="507"/>
    </row>
    <row r="367" ht="35.25" customHeight="1">
      <c r="A367" s="655" t="s">
        <v>145</v>
      </c>
      <c r="B367" s="547" t="s">
        <v>88</v>
      </c>
      <c r="C367" s="656" t="s">
        <v>684</v>
      </c>
      <c r="D367" s="665">
        <f>SUM(C367:C370)</f>
        <v>54929700</v>
      </c>
      <c r="E367" s="507"/>
      <c r="F367" s="507"/>
      <c r="G367" s="507"/>
      <c r="H367" s="507"/>
      <c r="I367" s="507"/>
      <c r="J367" s="507"/>
      <c r="K367" s="507"/>
      <c r="L367" s="507"/>
      <c r="M367" s="507"/>
      <c r="N367" s="507"/>
      <c r="O367" s="507"/>
      <c r="P367" s="507"/>
      <c r="Q367" s="507"/>
      <c r="R367" s="507"/>
      <c r="S367" s="507"/>
      <c r="T367" s="507"/>
      <c r="U367" s="507"/>
      <c r="V367" s="507"/>
      <c r="W367" s="507"/>
    </row>
    <row r="368" ht="35.25" customHeight="1">
      <c r="A368" s="18"/>
      <c r="B368" s="547" t="s">
        <v>219</v>
      </c>
      <c r="C368" s="656" t="s">
        <v>684</v>
      </c>
      <c r="D368" s="18"/>
      <c r="E368" s="507"/>
      <c r="F368" s="507"/>
      <c r="G368" s="507"/>
      <c r="H368" s="507"/>
      <c r="I368" s="507"/>
      <c r="J368" s="507"/>
      <c r="K368" s="507"/>
      <c r="L368" s="507"/>
      <c r="M368" s="507"/>
      <c r="N368" s="507"/>
      <c r="O368" s="507"/>
      <c r="P368" s="507"/>
      <c r="Q368" s="507"/>
      <c r="R368" s="507"/>
      <c r="S368" s="507"/>
      <c r="T368" s="507"/>
      <c r="U368" s="507"/>
      <c r="V368" s="507"/>
      <c r="W368" s="507"/>
    </row>
    <row r="369" ht="35.25" customHeight="1">
      <c r="A369" s="18"/>
      <c r="B369" s="547" t="s">
        <v>89</v>
      </c>
      <c r="C369" s="656" t="s">
        <v>684</v>
      </c>
      <c r="D369" s="18"/>
      <c r="E369" s="507"/>
      <c r="F369" s="507"/>
      <c r="G369" s="507"/>
      <c r="H369" s="507"/>
      <c r="I369" s="507"/>
      <c r="J369" s="507"/>
      <c r="K369" s="507"/>
      <c r="L369" s="507"/>
      <c r="M369" s="507"/>
      <c r="N369" s="507"/>
      <c r="O369" s="507"/>
      <c r="P369" s="507"/>
      <c r="Q369" s="507"/>
      <c r="R369" s="507"/>
      <c r="S369" s="507"/>
      <c r="T369" s="507"/>
      <c r="U369" s="507"/>
      <c r="V369" s="507"/>
      <c r="W369" s="507"/>
    </row>
    <row r="370" ht="35.25" customHeight="1">
      <c r="A370" s="22"/>
      <c r="B370" s="547" t="s">
        <v>220</v>
      </c>
      <c r="C370" s="656">
        <v>5.49297E7</v>
      </c>
      <c r="D370" s="18"/>
      <c r="E370" s="507"/>
      <c r="F370" s="507"/>
      <c r="G370" s="507"/>
      <c r="H370" s="507"/>
      <c r="I370" s="507"/>
      <c r="J370" s="507"/>
      <c r="K370" s="507"/>
      <c r="L370" s="507"/>
      <c r="M370" s="507"/>
      <c r="N370" s="507"/>
      <c r="O370" s="507"/>
      <c r="P370" s="507"/>
      <c r="Q370" s="507"/>
      <c r="R370" s="507"/>
      <c r="S370" s="507"/>
      <c r="T370" s="507"/>
      <c r="U370" s="507"/>
      <c r="V370" s="507"/>
      <c r="W370" s="507"/>
    </row>
    <row r="371" ht="35.25" customHeight="1">
      <c r="A371" s="663" t="s">
        <v>146</v>
      </c>
      <c r="B371" s="547" t="s">
        <v>88</v>
      </c>
      <c r="C371" s="666">
        <f>SUM(123886000-20000000)</f>
        <v>103886000</v>
      </c>
      <c r="D371" s="667">
        <f>sum(C371:C374)</f>
        <v>231852000</v>
      </c>
      <c r="E371" s="507"/>
      <c r="F371" s="507"/>
      <c r="G371" s="507"/>
      <c r="H371" s="507"/>
      <c r="I371" s="507"/>
      <c r="J371" s="507"/>
      <c r="K371" s="507"/>
      <c r="L371" s="507"/>
      <c r="M371" s="507"/>
      <c r="N371" s="507"/>
      <c r="O371" s="507"/>
      <c r="P371" s="507"/>
      <c r="Q371" s="507"/>
      <c r="R371" s="507"/>
      <c r="S371" s="507"/>
      <c r="T371" s="507"/>
      <c r="U371" s="507"/>
      <c r="V371" s="507"/>
      <c r="W371" s="507"/>
    </row>
    <row r="372" ht="35.25" customHeight="1">
      <c r="A372" s="18"/>
      <c r="B372" s="547" t="s">
        <v>219</v>
      </c>
      <c r="C372" s="666">
        <v>7.36475E7</v>
      </c>
      <c r="D372" s="18"/>
      <c r="E372" s="662"/>
      <c r="F372" s="507"/>
      <c r="G372" s="507"/>
      <c r="H372" s="507"/>
      <c r="I372" s="507"/>
      <c r="J372" s="507"/>
      <c r="K372" s="507"/>
      <c r="L372" s="507"/>
      <c r="M372" s="507"/>
      <c r="N372" s="507"/>
      <c r="O372" s="507"/>
      <c r="P372" s="507"/>
      <c r="Q372" s="507"/>
      <c r="R372" s="507"/>
      <c r="S372" s="507"/>
      <c r="T372" s="507"/>
      <c r="U372" s="507"/>
      <c r="V372" s="507"/>
      <c r="W372" s="507"/>
    </row>
    <row r="373" ht="35.25" customHeight="1">
      <c r="A373" s="18"/>
      <c r="B373" s="547" t="s">
        <v>89</v>
      </c>
      <c r="C373" s="666">
        <v>5.43185E7</v>
      </c>
      <c r="D373" s="18"/>
      <c r="E373" s="662"/>
      <c r="F373" s="507"/>
      <c r="G373" s="507"/>
      <c r="H373" s="507"/>
      <c r="I373" s="507"/>
      <c r="J373" s="507"/>
      <c r="K373" s="507"/>
      <c r="L373" s="507"/>
      <c r="M373" s="507"/>
      <c r="N373" s="507"/>
      <c r="O373" s="507"/>
      <c r="P373" s="507"/>
      <c r="Q373" s="507"/>
      <c r="R373" s="507"/>
      <c r="S373" s="507"/>
      <c r="T373" s="507"/>
      <c r="U373" s="507"/>
      <c r="V373" s="507"/>
      <c r="W373" s="507"/>
    </row>
    <row r="374" ht="35.25" customHeight="1">
      <c r="A374" s="22"/>
      <c r="B374" s="547" t="s">
        <v>220</v>
      </c>
      <c r="C374" s="666"/>
      <c r="D374" s="22"/>
      <c r="E374" s="662"/>
      <c r="F374" s="507"/>
      <c r="G374" s="507"/>
      <c r="H374" s="507"/>
      <c r="I374" s="507"/>
      <c r="J374" s="507"/>
      <c r="K374" s="507"/>
      <c r="L374" s="507"/>
      <c r="M374" s="507"/>
      <c r="N374" s="507"/>
      <c r="O374" s="507"/>
      <c r="P374" s="507"/>
      <c r="Q374" s="507"/>
      <c r="R374" s="507"/>
      <c r="S374" s="507"/>
      <c r="T374" s="507"/>
      <c r="U374" s="507"/>
      <c r="V374" s="507"/>
      <c r="W374" s="507"/>
    </row>
    <row r="375" ht="35.25" customHeight="1">
      <c r="A375" s="655" t="s">
        <v>148</v>
      </c>
      <c r="B375" s="547" t="s">
        <v>88</v>
      </c>
      <c r="C375" s="659" t="s">
        <v>684</v>
      </c>
      <c r="D375" s="653">
        <f>SUM(C375:C378)</f>
        <v>179814500</v>
      </c>
      <c r="E375" s="507"/>
      <c r="F375" s="507"/>
      <c r="G375" s="507"/>
      <c r="H375" s="507"/>
      <c r="I375" s="507"/>
      <c r="J375" s="507"/>
      <c r="K375" s="507"/>
      <c r="L375" s="507"/>
      <c r="M375" s="507"/>
      <c r="N375" s="507"/>
      <c r="O375" s="507"/>
      <c r="P375" s="507"/>
      <c r="Q375" s="507"/>
      <c r="R375" s="507"/>
      <c r="S375" s="507"/>
      <c r="T375" s="507"/>
      <c r="U375" s="507"/>
      <c r="V375" s="507"/>
      <c r="W375" s="507"/>
    </row>
    <row r="376" ht="35.25" customHeight="1">
      <c r="A376" s="18"/>
      <c r="B376" s="547" t="s">
        <v>219</v>
      </c>
      <c r="C376" s="659">
        <v>3300000.0</v>
      </c>
      <c r="D376" s="18"/>
      <c r="E376" s="507"/>
      <c r="F376" s="507"/>
      <c r="G376" s="507"/>
      <c r="H376" s="507"/>
      <c r="I376" s="507"/>
      <c r="J376" s="507"/>
      <c r="K376" s="507"/>
      <c r="L376" s="507"/>
      <c r="M376" s="507"/>
      <c r="N376" s="507"/>
      <c r="O376" s="507"/>
      <c r="P376" s="507"/>
      <c r="Q376" s="507"/>
      <c r="R376" s="507"/>
      <c r="S376" s="507"/>
      <c r="T376" s="507"/>
      <c r="U376" s="507"/>
      <c r="V376" s="507"/>
      <c r="W376" s="507"/>
    </row>
    <row r="377" ht="35.25" customHeight="1">
      <c r="A377" s="18"/>
      <c r="B377" s="547" t="s">
        <v>89</v>
      </c>
      <c r="C377" s="666">
        <v>1.765145E8</v>
      </c>
      <c r="D377" s="18"/>
      <c r="E377" s="662"/>
      <c r="F377" s="507"/>
      <c r="G377" s="507"/>
      <c r="H377" s="507"/>
      <c r="I377" s="507"/>
      <c r="J377" s="507"/>
      <c r="K377" s="507"/>
      <c r="L377" s="507"/>
      <c r="M377" s="507"/>
      <c r="N377" s="507"/>
      <c r="O377" s="507"/>
      <c r="P377" s="507"/>
      <c r="Q377" s="507"/>
      <c r="R377" s="507"/>
      <c r="S377" s="507"/>
      <c r="T377" s="507"/>
      <c r="U377" s="507"/>
      <c r="V377" s="507"/>
      <c r="W377" s="507"/>
    </row>
    <row r="378" ht="35.25" customHeight="1">
      <c r="A378" s="18"/>
      <c r="B378" s="547" t="s">
        <v>220</v>
      </c>
      <c r="C378" s="666">
        <v>0.0</v>
      </c>
      <c r="D378" s="18"/>
      <c r="E378" s="690"/>
      <c r="F378" s="507"/>
      <c r="G378" s="507"/>
      <c r="H378" s="507"/>
      <c r="I378" s="507"/>
      <c r="J378" s="507"/>
      <c r="K378" s="507"/>
      <c r="L378" s="507"/>
      <c r="M378" s="507"/>
      <c r="N378" s="507"/>
      <c r="O378" s="507"/>
      <c r="P378" s="507"/>
      <c r="Q378" s="507"/>
      <c r="R378" s="507"/>
      <c r="S378" s="507"/>
      <c r="T378" s="507"/>
      <c r="U378" s="507"/>
      <c r="V378" s="507"/>
      <c r="W378" s="507"/>
    </row>
    <row r="379" ht="35.25" customHeight="1">
      <c r="A379" s="655" t="s">
        <v>149</v>
      </c>
      <c r="B379" s="547" t="s">
        <v>72</v>
      </c>
      <c r="C379" s="656">
        <f>SUM(46221000-1959100-20000000-10000000)</f>
        <v>14261900</v>
      </c>
      <c r="D379" s="667">
        <f>SUM(C379:C385)</f>
        <v>201407500</v>
      </c>
      <c r="E379" s="507"/>
      <c r="F379" s="507"/>
      <c r="G379" s="662"/>
      <c r="H379" s="507"/>
      <c r="I379" s="507"/>
      <c r="J379" s="507"/>
      <c r="K379" s="507"/>
      <c r="L379" s="507"/>
      <c r="M379" s="507"/>
      <c r="N379" s="507"/>
      <c r="O379" s="507"/>
      <c r="P379" s="507"/>
      <c r="Q379" s="507"/>
      <c r="R379" s="507"/>
      <c r="S379" s="507"/>
      <c r="T379" s="507"/>
      <c r="U379" s="507"/>
      <c r="V379" s="507"/>
      <c r="W379" s="507"/>
    </row>
    <row r="380" ht="35.25" customHeight="1">
      <c r="A380" s="18"/>
      <c r="B380" s="547" t="s">
        <v>73</v>
      </c>
      <c r="C380" s="656">
        <v>7.34108E7</v>
      </c>
      <c r="D380" s="18"/>
      <c r="E380" s="507"/>
      <c r="F380" s="507"/>
      <c r="G380" s="507"/>
      <c r="H380" s="507"/>
      <c r="I380" s="507"/>
      <c r="J380" s="507"/>
      <c r="K380" s="507"/>
      <c r="L380" s="507"/>
      <c r="M380" s="507"/>
      <c r="N380" s="507"/>
      <c r="O380" s="507"/>
      <c r="P380" s="507"/>
      <c r="Q380" s="507"/>
      <c r="R380" s="507"/>
      <c r="S380" s="507"/>
      <c r="T380" s="507"/>
      <c r="U380" s="507"/>
      <c r="V380" s="507"/>
      <c r="W380" s="507"/>
    </row>
    <row r="381" ht="35.25" customHeight="1">
      <c r="A381" s="18"/>
      <c r="B381" s="547" t="s">
        <v>74</v>
      </c>
      <c r="C381" s="656">
        <v>4.85774E7</v>
      </c>
      <c r="D381" s="18"/>
      <c r="E381" s="507"/>
      <c r="F381" s="507"/>
      <c r="G381" s="507"/>
      <c r="H381" s="507"/>
      <c r="I381" s="507"/>
      <c r="J381" s="507"/>
      <c r="K381" s="507"/>
      <c r="L381" s="507"/>
      <c r="M381" s="507"/>
      <c r="N381" s="507"/>
      <c r="O381" s="507"/>
      <c r="P381" s="507"/>
      <c r="Q381" s="507"/>
      <c r="R381" s="507"/>
      <c r="S381" s="507"/>
      <c r="T381" s="507"/>
      <c r="U381" s="507"/>
      <c r="V381" s="507"/>
      <c r="W381" s="507"/>
    </row>
    <row r="382" ht="35.25" customHeight="1">
      <c r="A382" s="18"/>
      <c r="B382" s="547" t="s">
        <v>88</v>
      </c>
      <c r="C382" s="656">
        <v>1.9293E7</v>
      </c>
      <c r="D382" s="18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07"/>
      <c r="R382" s="507"/>
      <c r="S382" s="507"/>
      <c r="T382" s="507"/>
      <c r="U382" s="507"/>
      <c r="V382" s="507"/>
      <c r="W382" s="507"/>
    </row>
    <row r="383" ht="35.25" customHeight="1">
      <c r="A383" s="18"/>
      <c r="B383" s="547" t="s">
        <v>219</v>
      </c>
      <c r="C383" s="656">
        <v>1.81135E7</v>
      </c>
      <c r="D383" s="18"/>
      <c r="E383" s="507"/>
      <c r="F383" s="507"/>
      <c r="G383" s="507"/>
      <c r="H383" s="507"/>
      <c r="I383" s="507"/>
      <c r="J383" s="507"/>
      <c r="K383" s="507"/>
      <c r="L383" s="507"/>
      <c r="M383" s="507"/>
      <c r="N383" s="507"/>
      <c r="O383" s="507"/>
      <c r="P383" s="507"/>
      <c r="Q383" s="507"/>
      <c r="R383" s="507"/>
      <c r="S383" s="507"/>
      <c r="T383" s="507"/>
      <c r="U383" s="507"/>
      <c r="V383" s="507"/>
      <c r="W383" s="507"/>
    </row>
    <row r="384" ht="35.25" customHeight="1">
      <c r="A384" s="18"/>
      <c r="B384" s="547" t="s">
        <v>89</v>
      </c>
      <c r="C384" s="656">
        <v>1.62864E7</v>
      </c>
      <c r="D384" s="18"/>
      <c r="E384" s="644"/>
      <c r="F384" s="507"/>
      <c r="G384" s="507"/>
      <c r="H384" s="507"/>
      <c r="I384" s="507"/>
      <c r="J384" s="507"/>
      <c r="K384" s="507"/>
      <c r="L384" s="507"/>
      <c r="M384" s="507"/>
      <c r="N384" s="507"/>
      <c r="O384" s="507"/>
      <c r="P384" s="507"/>
      <c r="Q384" s="507"/>
      <c r="R384" s="507"/>
      <c r="S384" s="507"/>
      <c r="T384" s="507"/>
      <c r="U384" s="507"/>
      <c r="V384" s="507"/>
      <c r="W384" s="507"/>
    </row>
    <row r="385" ht="35.25" customHeight="1">
      <c r="A385" s="22"/>
      <c r="B385" s="547" t="s">
        <v>220</v>
      </c>
      <c r="C385" s="666">
        <v>1.14645E7</v>
      </c>
      <c r="D385" s="22"/>
      <c r="E385" s="644"/>
      <c r="F385" s="507"/>
      <c r="G385" s="507"/>
      <c r="H385" s="507"/>
      <c r="I385" s="507"/>
      <c r="J385" s="507"/>
      <c r="K385" s="507"/>
      <c r="L385" s="507"/>
      <c r="M385" s="507"/>
      <c r="N385" s="507"/>
      <c r="O385" s="507"/>
      <c r="P385" s="507"/>
      <c r="Q385" s="507"/>
      <c r="R385" s="507"/>
      <c r="S385" s="507"/>
      <c r="T385" s="507"/>
      <c r="U385" s="507"/>
      <c r="V385" s="507"/>
      <c r="W385" s="507"/>
    </row>
    <row r="386" ht="35.25" customHeight="1">
      <c r="A386" s="655" t="s">
        <v>150</v>
      </c>
      <c r="B386" s="547" t="s">
        <v>88</v>
      </c>
      <c r="C386" s="659" t="s">
        <v>684</v>
      </c>
      <c r="D386" s="665">
        <f>SUM(C386:C389)</f>
        <v>109291500</v>
      </c>
      <c r="E386" s="507"/>
      <c r="F386" s="507"/>
      <c r="G386" s="507"/>
      <c r="H386" s="507"/>
      <c r="I386" s="507"/>
      <c r="J386" s="507"/>
      <c r="K386" s="507"/>
      <c r="L386" s="507"/>
      <c r="M386" s="507"/>
      <c r="N386" s="507"/>
      <c r="O386" s="507"/>
      <c r="P386" s="507"/>
      <c r="Q386" s="507"/>
      <c r="R386" s="507"/>
      <c r="S386" s="507"/>
      <c r="T386" s="507"/>
      <c r="U386" s="507"/>
      <c r="V386" s="507"/>
      <c r="W386" s="507"/>
    </row>
    <row r="387" ht="35.25" customHeight="1">
      <c r="A387" s="18"/>
      <c r="B387" s="547" t="s">
        <v>219</v>
      </c>
      <c r="C387" s="659" t="s">
        <v>684</v>
      </c>
      <c r="D387" s="18"/>
      <c r="E387" s="507"/>
      <c r="F387" s="507"/>
      <c r="G387" s="507"/>
      <c r="H387" s="507"/>
      <c r="I387" s="507"/>
      <c r="J387" s="507"/>
      <c r="K387" s="507"/>
      <c r="L387" s="507"/>
      <c r="M387" s="507"/>
      <c r="N387" s="507"/>
      <c r="O387" s="507"/>
      <c r="P387" s="507"/>
      <c r="Q387" s="507"/>
      <c r="R387" s="507"/>
      <c r="S387" s="507"/>
      <c r="T387" s="507"/>
      <c r="U387" s="507"/>
      <c r="V387" s="507"/>
      <c r="W387" s="507"/>
    </row>
    <row r="388" ht="35.25" customHeight="1">
      <c r="A388" s="18"/>
      <c r="B388" s="547" t="s">
        <v>89</v>
      </c>
      <c r="C388" s="659">
        <v>4.4739E7</v>
      </c>
      <c r="D388" s="18"/>
      <c r="E388" s="651"/>
      <c r="F388" s="507"/>
      <c r="G388" s="507"/>
      <c r="H388" s="507"/>
      <c r="I388" s="507"/>
      <c r="J388" s="507"/>
      <c r="K388" s="507"/>
      <c r="L388" s="507"/>
      <c r="M388" s="507"/>
      <c r="N388" s="507"/>
      <c r="O388" s="507"/>
      <c r="P388" s="507"/>
      <c r="Q388" s="507"/>
      <c r="R388" s="507"/>
      <c r="S388" s="507"/>
      <c r="T388" s="507"/>
      <c r="U388" s="507"/>
      <c r="V388" s="507"/>
      <c r="W388" s="507"/>
    </row>
    <row r="389" ht="35.25" customHeight="1">
      <c r="A389" s="22"/>
      <c r="B389" s="547" t="s">
        <v>220</v>
      </c>
      <c r="C389" s="659">
        <v>6.45525E7</v>
      </c>
      <c r="D389" s="22"/>
      <c r="F389" s="507"/>
      <c r="G389" s="507"/>
      <c r="H389" s="507"/>
      <c r="I389" s="507"/>
      <c r="J389" s="507"/>
      <c r="K389" s="507"/>
      <c r="L389" s="507"/>
      <c r="M389" s="507"/>
      <c r="N389" s="507"/>
      <c r="O389" s="507"/>
      <c r="P389" s="507"/>
      <c r="Q389" s="507"/>
      <c r="R389" s="507"/>
      <c r="S389" s="507"/>
      <c r="T389" s="507"/>
      <c r="U389" s="507"/>
      <c r="V389" s="507"/>
      <c r="W389" s="507"/>
    </row>
    <row r="390" ht="35.25" customHeight="1">
      <c r="A390" s="655" t="s">
        <v>153</v>
      </c>
      <c r="B390" s="547" t="s">
        <v>88</v>
      </c>
      <c r="C390" s="656" t="s">
        <v>684</v>
      </c>
      <c r="D390" s="653">
        <f>SUM(C390:C393)</f>
        <v>99668000</v>
      </c>
      <c r="E390" s="507"/>
      <c r="F390" s="507"/>
      <c r="G390" s="507"/>
      <c r="H390" s="507"/>
      <c r="I390" s="507"/>
      <c r="J390" s="507"/>
      <c r="K390" s="507"/>
      <c r="L390" s="507"/>
      <c r="M390" s="507"/>
      <c r="N390" s="507"/>
      <c r="O390" s="507"/>
      <c r="P390" s="507"/>
      <c r="Q390" s="507"/>
      <c r="R390" s="507"/>
      <c r="S390" s="507"/>
      <c r="T390" s="507"/>
      <c r="U390" s="507"/>
      <c r="V390" s="507"/>
      <c r="W390" s="507"/>
    </row>
    <row r="391" ht="35.25" customHeight="1">
      <c r="A391" s="18"/>
      <c r="B391" s="547" t="s">
        <v>219</v>
      </c>
      <c r="C391" s="656" t="s">
        <v>684</v>
      </c>
      <c r="D391" s="18"/>
      <c r="E391" s="507"/>
      <c r="F391" s="507"/>
      <c r="G391" s="507"/>
      <c r="H391" s="507"/>
      <c r="I391" s="507"/>
      <c r="J391" s="507"/>
      <c r="K391" s="507"/>
      <c r="L391" s="507"/>
      <c r="M391" s="507"/>
      <c r="N391" s="507"/>
      <c r="O391" s="507"/>
      <c r="P391" s="507"/>
      <c r="Q391" s="507"/>
      <c r="R391" s="507"/>
      <c r="S391" s="507"/>
      <c r="T391" s="507"/>
      <c r="U391" s="507"/>
      <c r="V391" s="507"/>
      <c r="W391" s="507"/>
    </row>
    <row r="392" ht="35.25" customHeight="1">
      <c r="A392" s="18"/>
      <c r="B392" s="547" t="s">
        <v>89</v>
      </c>
      <c r="C392" s="656" t="s">
        <v>684</v>
      </c>
      <c r="D392" s="18"/>
      <c r="E392" s="507"/>
      <c r="F392" s="507"/>
      <c r="G392" s="507"/>
      <c r="H392" s="507"/>
      <c r="I392" s="507"/>
      <c r="J392" s="507"/>
      <c r="K392" s="507"/>
      <c r="L392" s="507"/>
      <c r="M392" s="507"/>
      <c r="N392" s="507"/>
      <c r="O392" s="507"/>
      <c r="P392" s="507"/>
      <c r="Q392" s="507"/>
      <c r="R392" s="507"/>
      <c r="S392" s="507"/>
      <c r="T392" s="507"/>
      <c r="U392" s="507"/>
      <c r="V392" s="507"/>
      <c r="W392" s="507"/>
    </row>
    <row r="393" ht="35.25" customHeight="1">
      <c r="A393" s="22"/>
      <c r="B393" s="547" t="s">
        <v>220</v>
      </c>
      <c r="C393" s="656">
        <v>9.9668E7</v>
      </c>
      <c r="D393" s="18"/>
      <c r="E393" s="668"/>
      <c r="F393" s="507"/>
      <c r="G393" s="507"/>
      <c r="H393" s="507"/>
      <c r="I393" s="507"/>
      <c r="J393" s="507"/>
      <c r="K393" s="507"/>
      <c r="L393" s="507"/>
      <c r="M393" s="507"/>
      <c r="N393" s="507"/>
      <c r="O393" s="507"/>
      <c r="P393" s="507"/>
      <c r="Q393" s="507"/>
      <c r="R393" s="507"/>
      <c r="S393" s="507"/>
      <c r="T393" s="507"/>
      <c r="U393" s="507"/>
      <c r="V393" s="507"/>
      <c r="W393" s="507"/>
    </row>
    <row r="394" ht="35.25" customHeight="1">
      <c r="A394" s="663" t="s">
        <v>154</v>
      </c>
      <c r="B394" s="547" t="s">
        <v>88</v>
      </c>
      <c r="C394" s="593" t="s">
        <v>684</v>
      </c>
      <c r="D394" s="653">
        <f>SUM(C394:C397)</f>
        <v>21209400</v>
      </c>
      <c r="E394" s="507"/>
      <c r="F394" s="507"/>
      <c r="G394" s="507"/>
      <c r="H394" s="507"/>
      <c r="I394" s="507"/>
      <c r="J394" s="507"/>
      <c r="K394" s="507"/>
      <c r="L394" s="507"/>
      <c r="M394" s="507"/>
      <c r="N394" s="507"/>
      <c r="O394" s="507"/>
      <c r="P394" s="507"/>
      <c r="Q394" s="507"/>
      <c r="R394" s="507"/>
      <c r="S394" s="507"/>
      <c r="T394" s="507"/>
      <c r="U394" s="507"/>
      <c r="V394" s="507"/>
      <c r="W394" s="507"/>
    </row>
    <row r="395" ht="35.25" customHeight="1">
      <c r="A395" s="18"/>
      <c r="B395" s="547" t="s">
        <v>219</v>
      </c>
      <c r="C395" s="593" t="s">
        <v>684</v>
      </c>
      <c r="D395" s="18"/>
      <c r="E395" s="507"/>
      <c r="F395" s="507"/>
      <c r="G395" s="507"/>
      <c r="H395" s="507"/>
      <c r="I395" s="507"/>
      <c r="J395" s="507"/>
      <c r="K395" s="507"/>
      <c r="L395" s="507"/>
      <c r="M395" s="507"/>
      <c r="N395" s="507"/>
      <c r="O395" s="507"/>
      <c r="P395" s="507"/>
      <c r="Q395" s="507"/>
      <c r="R395" s="507"/>
      <c r="S395" s="507"/>
      <c r="T395" s="507"/>
      <c r="U395" s="507"/>
      <c r="V395" s="507"/>
      <c r="W395" s="507"/>
    </row>
    <row r="396" ht="35.25" customHeight="1">
      <c r="A396" s="18"/>
      <c r="B396" s="547" t="s">
        <v>89</v>
      </c>
      <c r="C396" s="593" t="s">
        <v>684</v>
      </c>
      <c r="D396" s="18"/>
      <c r="E396" s="556" t="s">
        <v>735</v>
      </c>
      <c r="F396" s="507"/>
      <c r="G396" s="507"/>
      <c r="H396" s="507"/>
      <c r="I396" s="507"/>
      <c r="J396" s="507"/>
      <c r="K396" s="507"/>
      <c r="L396" s="507"/>
      <c r="M396" s="507"/>
      <c r="N396" s="507"/>
      <c r="O396" s="507"/>
      <c r="P396" s="507"/>
      <c r="Q396" s="507"/>
      <c r="R396" s="507"/>
      <c r="S396" s="507"/>
      <c r="T396" s="507"/>
      <c r="U396" s="507"/>
      <c r="V396" s="507"/>
      <c r="W396" s="507"/>
    </row>
    <row r="397" ht="35.25" customHeight="1">
      <c r="A397" s="22"/>
      <c r="B397" s="547" t="s">
        <v>220</v>
      </c>
      <c r="C397" s="666">
        <f>sum(32995400-11786000)</f>
        <v>21209400</v>
      </c>
      <c r="D397" s="18"/>
      <c r="E397" s="507"/>
      <c r="F397" s="507"/>
      <c r="G397" s="507"/>
      <c r="H397" s="507"/>
      <c r="I397" s="507"/>
      <c r="J397" s="507"/>
      <c r="K397" s="507"/>
      <c r="L397" s="507"/>
      <c r="M397" s="507"/>
      <c r="N397" s="507"/>
      <c r="O397" s="507"/>
      <c r="P397" s="507"/>
      <c r="Q397" s="507"/>
      <c r="R397" s="507"/>
      <c r="S397" s="507"/>
      <c r="T397" s="507"/>
      <c r="U397" s="507"/>
      <c r="V397" s="507"/>
      <c r="W397" s="507"/>
    </row>
    <row r="398" ht="35.25" customHeight="1">
      <c r="A398" s="655" t="s">
        <v>155</v>
      </c>
      <c r="B398" s="547" t="s">
        <v>88</v>
      </c>
      <c r="C398" s="593" t="s">
        <v>684</v>
      </c>
      <c r="D398" s="653">
        <f>sum(C398:C401)</f>
        <v>49086000</v>
      </c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  <c r="O398" s="507"/>
      <c r="P398" s="507"/>
      <c r="Q398" s="507"/>
      <c r="R398" s="507"/>
      <c r="S398" s="507"/>
      <c r="T398" s="507"/>
      <c r="U398" s="507"/>
      <c r="V398" s="507"/>
      <c r="W398" s="507"/>
    </row>
    <row r="399" ht="35.25" customHeight="1">
      <c r="A399" s="18"/>
      <c r="B399" s="547" t="s">
        <v>219</v>
      </c>
      <c r="C399" s="593" t="s">
        <v>684</v>
      </c>
      <c r="D399" s="18"/>
      <c r="E399" s="556"/>
      <c r="F399" s="507"/>
      <c r="G399" s="507"/>
      <c r="H399" s="507"/>
      <c r="I399" s="507"/>
      <c r="J399" s="507"/>
      <c r="K399" s="507"/>
      <c r="L399" s="507"/>
      <c r="M399" s="507"/>
      <c r="N399" s="507"/>
      <c r="O399" s="507"/>
      <c r="P399" s="507"/>
      <c r="Q399" s="507"/>
      <c r="R399" s="507"/>
      <c r="S399" s="507"/>
      <c r="T399" s="507"/>
      <c r="U399" s="507"/>
      <c r="V399" s="507"/>
      <c r="W399" s="507"/>
    </row>
    <row r="400" ht="35.25" customHeight="1">
      <c r="A400" s="18"/>
      <c r="B400" s="547" t="s">
        <v>89</v>
      </c>
      <c r="C400" s="593" t="s">
        <v>684</v>
      </c>
      <c r="D400" s="18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  <c r="O400" s="507"/>
      <c r="P400" s="507"/>
      <c r="Q400" s="507"/>
      <c r="R400" s="507"/>
      <c r="S400" s="507"/>
      <c r="T400" s="507"/>
      <c r="U400" s="507"/>
      <c r="V400" s="507"/>
      <c r="W400" s="507"/>
    </row>
    <row r="401" ht="35.25" customHeight="1">
      <c r="A401" s="22"/>
      <c r="B401" s="547" t="s">
        <v>220</v>
      </c>
      <c r="C401" s="593">
        <v>4.9086E7</v>
      </c>
      <c r="D401" s="18"/>
      <c r="E401" s="691"/>
      <c r="F401" s="507"/>
      <c r="G401" s="507"/>
      <c r="H401" s="507"/>
      <c r="I401" s="507"/>
      <c r="J401" s="507"/>
      <c r="K401" s="507"/>
      <c r="L401" s="507"/>
      <c r="M401" s="507"/>
      <c r="N401" s="507"/>
      <c r="O401" s="507"/>
      <c r="P401" s="507"/>
      <c r="Q401" s="507"/>
      <c r="R401" s="507"/>
      <c r="S401" s="507"/>
      <c r="T401" s="507"/>
      <c r="U401" s="507"/>
      <c r="V401" s="507"/>
      <c r="W401" s="507"/>
    </row>
    <row r="402" ht="35.25" customHeight="1">
      <c r="A402" s="655" t="s">
        <v>156</v>
      </c>
      <c r="B402" s="547" t="s">
        <v>74</v>
      </c>
      <c r="C402" s="656">
        <f>SUM(108910000-26249000)</f>
        <v>82661000</v>
      </c>
      <c r="D402" s="653">
        <f>SUM(C402:C406)</f>
        <v>177947000</v>
      </c>
      <c r="E402" s="507"/>
      <c r="F402" s="507"/>
      <c r="G402" s="507"/>
      <c r="H402" s="507"/>
      <c r="I402" s="507"/>
      <c r="J402" s="507"/>
      <c r="K402" s="507"/>
      <c r="L402" s="507"/>
      <c r="M402" s="507"/>
      <c r="N402" s="507"/>
      <c r="O402" s="507"/>
      <c r="P402" s="507"/>
      <c r="Q402" s="507"/>
      <c r="R402" s="507"/>
      <c r="S402" s="507"/>
      <c r="T402" s="507"/>
      <c r="U402" s="507"/>
      <c r="V402" s="507"/>
      <c r="W402" s="507"/>
    </row>
    <row r="403" ht="35.25" customHeight="1">
      <c r="A403" s="18"/>
      <c r="B403" s="547" t="s">
        <v>88</v>
      </c>
      <c r="C403" s="656">
        <v>1.6866E7</v>
      </c>
      <c r="D403" s="18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  <c r="O403" s="507"/>
      <c r="P403" s="507"/>
      <c r="Q403" s="507"/>
      <c r="R403" s="507"/>
      <c r="S403" s="507"/>
      <c r="T403" s="507"/>
      <c r="U403" s="507"/>
      <c r="V403" s="507"/>
      <c r="W403" s="507"/>
    </row>
    <row r="404" ht="35.25" customHeight="1">
      <c r="A404" s="18"/>
      <c r="B404" s="547" t="s">
        <v>219</v>
      </c>
      <c r="C404" s="656">
        <v>3.8673E7</v>
      </c>
      <c r="D404" s="18"/>
      <c r="E404" s="507"/>
      <c r="F404" s="507"/>
      <c r="G404" s="507"/>
      <c r="H404" s="507"/>
      <c r="I404" s="507"/>
      <c r="J404" s="507"/>
      <c r="K404" s="507"/>
      <c r="L404" s="507"/>
      <c r="M404" s="507"/>
      <c r="N404" s="507"/>
      <c r="O404" s="507"/>
      <c r="P404" s="507"/>
      <c r="Q404" s="507"/>
      <c r="R404" s="507"/>
      <c r="S404" s="507"/>
      <c r="T404" s="507"/>
      <c r="U404" s="507"/>
      <c r="V404" s="507"/>
      <c r="W404" s="507"/>
    </row>
    <row r="405" ht="35.25" customHeight="1">
      <c r="A405" s="18"/>
      <c r="B405" s="547" t="s">
        <v>89</v>
      </c>
      <c r="C405" s="656">
        <v>1.19435E7</v>
      </c>
      <c r="D405" s="18"/>
      <c r="E405" s="556"/>
      <c r="F405" s="507"/>
      <c r="G405" s="507"/>
      <c r="H405" s="507"/>
      <c r="I405" s="507"/>
      <c r="J405" s="507"/>
      <c r="K405" s="507"/>
      <c r="L405" s="507"/>
      <c r="M405" s="507"/>
      <c r="N405" s="507"/>
      <c r="O405" s="507"/>
      <c r="P405" s="507"/>
      <c r="Q405" s="507"/>
      <c r="R405" s="507"/>
      <c r="S405" s="507"/>
      <c r="T405" s="507"/>
      <c r="U405" s="507"/>
      <c r="V405" s="507"/>
      <c r="W405" s="507"/>
    </row>
    <row r="406" ht="35.25" customHeight="1">
      <c r="A406" s="22"/>
      <c r="B406" s="547" t="s">
        <v>220</v>
      </c>
      <c r="C406" s="666">
        <v>2.78035E7</v>
      </c>
      <c r="D406" s="22"/>
      <c r="E406" s="556"/>
      <c r="F406" s="507"/>
      <c r="G406" s="507"/>
      <c r="H406" s="507"/>
      <c r="I406" s="507"/>
      <c r="J406" s="507"/>
      <c r="K406" s="507"/>
      <c r="L406" s="507"/>
      <c r="M406" s="507"/>
      <c r="N406" s="507"/>
      <c r="O406" s="507"/>
      <c r="P406" s="507"/>
      <c r="Q406" s="507"/>
      <c r="R406" s="507"/>
      <c r="S406" s="507"/>
      <c r="T406" s="507"/>
      <c r="U406" s="507"/>
      <c r="V406" s="507"/>
      <c r="W406" s="507"/>
    </row>
    <row r="407" ht="35.25" customHeight="1">
      <c r="A407" s="655" t="s">
        <v>158</v>
      </c>
      <c r="B407" s="547" t="s">
        <v>88</v>
      </c>
      <c r="C407" s="593">
        <v>1.9706E7</v>
      </c>
      <c r="D407" s="670">
        <f>SUM(C407:C410)</f>
        <v>99541000</v>
      </c>
      <c r="E407" s="507"/>
      <c r="F407" s="507"/>
      <c r="G407" s="507"/>
      <c r="H407" s="507"/>
      <c r="I407" s="507"/>
      <c r="J407" s="507"/>
      <c r="K407" s="507"/>
      <c r="L407" s="507"/>
      <c r="M407" s="507"/>
      <c r="N407" s="507"/>
      <c r="O407" s="507"/>
      <c r="P407" s="507"/>
      <c r="Q407" s="507"/>
      <c r="R407" s="507"/>
      <c r="S407" s="507"/>
      <c r="T407" s="507"/>
      <c r="U407" s="507"/>
      <c r="V407" s="507"/>
      <c r="W407" s="507"/>
    </row>
    <row r="408" ht="35.25" customHeight="1">
      <c r="A408" s="18"/>
      <c r="B408" s="547" t="s">
        <v>219</v>
      </c>
      <c r="C408" s="593">
        <v>2.60315E7</v>
      </c>
      <c r="D408" s="18"/>
      <c r="E408" s="507"/>
      <c r="F408" s="507"/>
      <c r="G408" s="507"/>
      <c r="H408" s="507"/>
      <c r="I408" s="507"/>
      <c r="J408" s="507"/>
      <c r="K408" s="507"/>
      <c r="L408" s="507"/>
      <c r="M408" s="507"/>
      <c r="N408" s="507"/>
      <c r="O408" s="507"/>
      <c r="P408" s="507"/>
      <c r="Q408" s="507"/>
      <c r="R408" s="507"/>
      <c r="S408" s="507"/>
      <c r="T408" s="507"/>
      <c r="U408" s="507"/>
      <c r="V408" s="507"/>
      <c r="W408" s="507"/>
    </row>
    <row r="409" ht="35.25" customHeight="1">
      <c r="A409" s="18"/>
      <c r="B409" s="547" t="s">
        <v>89</v>
      </c>
      <c r="C409" s="593">
        <v>2.6206E7</v>
      </c>
      <c r="D409" s="18"/>
      <c r="E409" s="507"/>
      <c r="F409" s="507"/>
      <c r="G409" s="507"/>
      <c r="H409" s="507"/>
      <c r="I409" s="507"/>
      <c r="J409" s="507"/>
      <c r="K409" s="507"/>
      <c r="L409" s="507"/>
      <c r="M409" s="507"/>
      <c r="N409" s="507"/>
      <c r="O409" s="507"/>
      <c r="P409" s="507"/>
      <c r="Q409" s="507"/>
      <c r="R409" s="507"/>
      <c r="S409" s="507"/>
      <c r="T409" s="507"/>
      <c r="U409" s="507"/>
      <c r="V409" s="507"/>
      <c r="W409" s="507"/>
    </row>
    <row r="410" ht="35.25" customHeight="1">
      <c r="A410" s="22"/>
      <c r="B410" s="547" t="s">
        <v>220</v>
      </c>
      <c r="C410" s="666">
        <v>2.75975E7</v>
      </c>
      <c r="D410" s="18"/>
      <c r="E410" s="507"/>
      <c r="F410" s="507"/>
      <c r="G410" s="507"/>
      <c r="H410" s="507"/>
      <c r="I410" s="507"/>
      <c r="J410" s="507"/>
      <c r="K410" s="507"/>
      <c r="L410" s="507"/>
      <c r="M410" s="507"/>
      <c r="N410" s="507"/>
      <c r="O410" s="507"/>
      <c r="P410" s="507"/>
      <c r="Q410" s="507"/>
      <c r="R410" s="507"/>
      <c r="S410" s="507"/>
      <c r="T410" s="507"/>
      <c r="U410" s="507"/>
      <c r="V410" s="507"/>
      <c r="W410" s="507"/>
    </row>
    <row r="411" ht="35.25" customHeight="1">
      <c r="A411" s="655" t="s">
        <v>159</v>
      </c>
      <c r="B411" s="547" t="s">
        <v>88</v>
      </c>
      <c r="C411" s="593" t="s">
        <v>684</v>
      </c>
      <c r="D411" s="653">
        <f>SUM(C411:C414)</f>
        <v>104123000</v>
      </c>
      <c r="E411" s="507"/>
      <c r="F411" s="507"/>
      <c r="G411" s="507"/>
      <c r="H411" s="507"/>
      <c r="I411" s="507"/>
      <c r="J411" s="507"/>
      <c r="K411" s="507"/>
      <c r="L411" s="507"/>
      <c r="M411" s="507"/>
      <c r="N411" s="507"/>
      <c r="O411" s="507"/>
      <c r="P411" s="507"/>
      <c r="Q411" s="507"/>
      <c r="R411" s="507"/>
      <c r="S411" s="507"/>
      <c r="T411" s="507"/>
      <c r="U411" s="507"/>
      <c r="V411" s="507"/>
      <c r="W411" s="507"/>
    </row>
    <row r="412" ht="35.25" customHeight="1">
      <c r="A412" s="18"/>
      <c r="B412" s="547" t="s">
        <v>219</v>
      </c>
      <c r="C412" s="593">
        <v>3.36075E7</v>
      </c>
      <c r="D412" s="18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  <c r="O412" s="507"/>
      <c r="P412" s="507"/>
      <c r="Q412" s="507"/>
      <c r="R412" s="507"/>
      <c r="S412" s="507"/>
      <c r="T412" s="507"/>
      <c r="U412" s="507"/>
      <c r="V412" s="507"/>
      <c r="W412" s="507"/>
    </row>
    <row r="413" ht="35.25" customHeight="1">
      <c r="A413" s="18"/>
      <c r="B413" s="547" t="s">
        <v>89</v>
      </c>
      <c r="C413" s="593">
        <v>2.45275E7</v>
      </c>
      <c r="D413" s="18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  <c r="O413" s="507"/>
      <c r="P413" s="507"/>
      <c r="Q413" s="507"/>
      <c r="R413" s="507"/>
      <c r="S413" s="507"/>
      <c r="T413" s="507"/>
      <c r="U413" s="507"/>
      <c r="V413" s="507"/>
      <c r="W413" s="507"/>
    </row>
    <row r="414" ht="35.25" customHeight="1">
      <c r="A414" s="22"/>
      <c r="B414" s="547" t="s">
        <v>220</v>
      </c>
      <c r="C414" s="593">
        <v>4.5988E7</v>
      </c>
      <c r="D414" s="22"/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  <c r="O414" s="507"/>
      <c r="P414" s="507"/>
      <c r="Q414" s="507"/>
      <c r="R414" s="507"/>
      <c r="S414" s="507"/>
      <c r="T414" s="507"/>
      <c r="U414" s="507"/>
      <c r="V414" s="507"/>
      <c r="W414" s="507"/>
    </row>
    <row r="415" ht="35.25" customHeight="1">
      <c r="A415" s="655" t="s">
        <v>160</v>
      </c>
      <c r="B415" s="674" t="s">
        <v>74</v>
      </c>
      <c r="C415" s="593">
        <v>2.196805E8</v>
      </c>
      <c r="D415" s="657">
        <f>SUM(C415:C418)</f>
        <v>404094000</v>
      </c>
      <c r="E415" s="507"/>
      <c r="F415" s="507"/>
      <c r="G415" s="507"/>
      <c r="H415" s="507"/>
      <c r="I415" s="507"/>
      <c r="J415" s="507"/>
      <c r="K415" s="507"/>
      <c r="L415" s="507"/>
      <c r="M415" s="507"/>
      <c r="N415" s="507"/>
      <c r="O415" s="507"/>
      <c r="P415" s="507"/>
      <c r="Q415" s="507"/>
      <c r="R415" s="507"/>
      <c r="S415" s="507"/>
      <c r="T415" s="507"/>
      <c r="U415" s="507"/>
      <c r="V415" s="507"/>
      <c r="W415" s="507"/>
    </row>
    <row r="416" ht="35.25" customHeight="1">
      <c r="A416" s="18"/>
      <c r="B416" s="673" t="s">
        <v>76</v>
      </c>
      <c r="C416" s="593">
        <v>1.844135E8</v>
      </c>
      <c r="D416" s="18"/>
      <c r="E416" s="672"/>
      <c r="F416" s="507"/>
      <c r="G416" s="507"/>
      <c r="H416" s="507"/>
      <c r="I416" s="507"/>
      <c r="J416" s="507"/>
      <c r="K416" s="507"/>
      <c r="L416" s="507"/>
      <c r="M416" s="507"/>
      <c r="N416" s="507"/>
      <c r="O416" s="507"/>
      <c r="P416" s="507"/>
      <c r="Q416" s="507"/>
      <c r="R416" s="507"/>
      <c r="S416" s="507"/>
      <c r="T416" s="507"/>
      <c r="U416" s="507"/>
      <c r="V416" s="507"/>
      <c r="W416" s="507"/>
    </row>
    <row r="417" ht="35.25" customHeight="1">
      <c r="A417" s="18"/>
      <c r="B417" s="674"/>
      <c r="C417" s="593"/>
      <c r="D417" s="18"/>
      <c r="E417" s="672"/>
      <c r="F417" s="507"/>
      <c r="G417" s="507"/>
      <c r="H417" s="507"/>
      <c r="I417" s="507"/>
      <c r="J417" s="507"/>
      <c r="K417" s="507"/>
      <c r="L417" s="507"/>
      <c r="M417" s="507"/>
      <c r="N417" s="507"/>
      <c r="O417" s="507"/>
      <c r="P417" s="507"/>
      <c r="Q417" s="507"/>
      <c r="R417" s="507"/>
      <c r="S417" s="507"/>
      <c r="T417" s="507"/>
      <c r="U417" s="507"/>
      <c r="V417" s="507"/>
      <c r="W417" s="507"/>
    </row>
    <row r="418" ht="35.25" customHeight="1">
      <c r="A418" s="22"/>
      <c r="B418" s="674"/>
      <c r="C418" s="593"/>
      <c r="D418" s="22"/>
      <c r="E418" s="672"/>
      <c r="F418" s="507"/>
      <c r="G418" s="507"/>
      <c r="H418" s="507"/>
      <c r="I418" s="507"/>
      <c r="J418" s="507"/>
      <c r="K418" s="507"/>
      <c r="L418" s="507"/>
      <c r="M418" s="507"/>
      <c r="N418" s="507"/>
      <c r="O418" s="507"/>
      <c r="P418" s="507"/>
      <c r="Q418" s="507"/>
      <c r="R418" s="507"/>
      <c r="S418" s="507"/>
      <c r="T418" s="507"/>
      <c r="U418" s="507"/>
      <c r="V418" s="507"/>
      <c r="W418" s="507"/>
    </row>
    <row r="419" ht="35.25" customHeight="1">
      <c r="A419" s="663" t="s">
        <v>386</v>
      </c>
      <c r="B419" s="674">
        <v>45874.0</v>
      </c>
      <c r="C419" s="593">
        <v>5145000.0</v>
      </c>
      <c r="D419" s="657">
        <f>SUM(C419:C423)</f>
        <v>10195000</v>
      </c>
      <c r="E419" s="507"/>
      <c r="F419" s="507"/>
      <c r="G419" s="692"/>
      <c r="J419" s="635"/>
      <c r="K419" s="507"/>
      <c r="L419" s="507"/>
      <c r="M419" s="507"/>
      <c r="N419" s="507"/>
      <c r="O419" s="507"/>
      <c r="P419" s="507"/>
      <c r="Q419" s="507"/>
      <c r="R419" s="507"/>
      <c r="S419" s="507"/>
      <c r="T419" s="507"/>
      <c r="U419" s="507"/>
      <c r="V419" s="507"/>
      <c r="W419" s="507"/>
    </row>
    <row r="420" ht="35.25" customHeight="1">
      <c r="A420" s="18"/>
      <c r="B420" s="674">
        <v>45882.0</v>
      </c>
      <c r="C420" s="593">
        <v>2525000.0</v>
      </c>
      <c r="D420" s="18"/>
      <c r="E420" s="507"/>
      <c r="F420" s="507"/>
      <c r="G420" s="692"/>
      <c r="J420" s="635"/>
      <c r="K420" s="507"/>
      <c r="L420" s="507"/>
      <c r="M420" s="507"/>
      <c r="N420" s="507"/>
      <c r="O420" s="507"/>
      <c r="P420" s="507"/>
      <c r="Q420" s="507"/>
      <c r="R420" s="507"/>
      <c r="S420" s="507"/>
      <c r="T420" s="507"/>
      <c r="U420" s="507"/>
      <c r="V420" s="507"/>
      <c r="W420" s="507"/>
    </row>
    <row r="421" ht="35.25" customHeight="1">
      <c r="A421" s="18"/>
      <c r="B421" s="674">
        <v>45886.0</v>
      </c>
      <c r="C421" s="593">
        <v>2525000.0</v>
      </c>
      <c r="D421" s="18"/>
      <c r="E421" s="507"/>
      <c r="F421" s="507"/>
      <c r="G421" s="692"/>
      <c r="J421" s="635"/>
      <c r="K421" s="507"/>
      <c r="L421" s="507"/>
      <c r="M421" s="507"/>
      <c r="N421" s="507"/>
      <c r="O421" s="507"/>
      <c r="P421" s="507"/>
      <c r="Q421" s="507"/>
      <c r="R421" s="507"/>
      <c r="S421" s="507"/>
      <c r="T421" s="507"/>
      <c r="U421" s="507"/>
      <c r="V421" s="507"/>
      <c r="W421" s="507"/>
    </row>
    <row r="422" ht="35.25" customHeight="1">
      <c r="A422" s="18"/>
      <c r="B422" s="674"/>
      <c r="C422" s="593"/>
      <c r="D422" s="18"/>
      <c r="E422" s="507"/>
      <c r="F422" s="507"/>
      <c r="G422" s="692"/>
      <c r="J422" s="635"/>
      <c r="K422" s="507"/>
      <c r="L422" s="507"/>
      <c r="M422" s="507"/>
      <c r="N422" s="507"/>
      <c r="O422" s="507"/>
      <c r="P422" s="507"/>
      <c r="Q422" s="507"/>
      <c r="R422" s="507"/>
      <c r="S422" s="507"/>
      <c r="T422" s="507"/>
      <c r="U422" s="507"/>
      <c r="V422" s="507"/>
      <c r="W422" s="507"/>
    </row>
    <row r="423" ht="35.25" customHeight="1">
      <c r="A423" s="22"/>
      <c r="B423" s="674"/>
      <c r="C423" s="593"/>
      <c r="D423" s="22"/>
      <c r="E423" s="556" t="s">
        <v>692</v>
      </c>
      <c r="F423" s="507"/>
      <c r="G423" s="692"/>
      <c r="J423" s="635"/>
      <c r="K423" s="507"/>
      <c r="L423" s="507"/>
      <c r="M423" s="507"/>
      <c r="N423" s="507"/>
      <c r="O423" s="507"/>
      <c r="P423" s="507"/>
      <c r="Q423" s="507"/>
      <c r="R423" s="507"/>
      <c r="S423" s="507"/>
      <c r="T423" s="507"/>
      <c r="U423" s="507"/>
      <c r="V423" s="507"/>
      <c r="W423" s="507"/>
    </row>
    <row r="424" ht="35.25" customHeight="1">
      <c r="A424" s="655" t="s">
        <v>167</v>
      </c>
      <c r="B424" s="547" t="s">
        <v>88</v>
      </c>
      <c r="C424" s="593" t="s">
        <v>684</v>
      </c>
      <c r="D424" s="653">
        <f>SUM(C424:C427)</f>
        <v>29940200</v>
      </c>
      <c r="E424" s="507"/>
      <c r="F424" s="507"/>
      <c r="G424" s="692"/>
      <c r="J424" s="635"/>
      <c r="K424" s="507"/>
      <c r="L424" s="507"/>
      <c r="M424" s="507"/>
      <c r="N424" s="507"/>
      <c r="O424" s="507"/>
      <c r="P424" s="507"/>
      <c r="Q424" s="507"/>
      <c r="R424" s="507"/>
      <c r="S424" s="507"/>
      <c r="T424" s="507"/>
      <c r="U424" s="507"/>
      <c r="V424" s="507"/>
      <c r="W424" s="507"/>
    </row>
    <row r="425" ht="35.25" customHeight="1">
      <c r="A425" s="18"/>
      <c r="B425" s="547" t="s">
        <v>219</v>
      </c>
      <c r="C425" s="593" t="s">
        <v>684</v>
      </c>
      <c r="D425" s="18"/>
      <c r="E425" s="507"/>
      <c r="F425" s="507"/>
      <c r="G425" s="507"/>
      <c r="H425" s="507"/>
      <c r="I425" s="507"/>
      <c r="J425" s="507"/>
      <c r="K425" s="507"/>
      <c r="L425" s="507"/>
      <c r="M425" s="507"/>
      <c r="N425" s="507"/>
      <c r="O425" s="507"/>
      <c r="P425" s="507"/>
      <c r="Q425" s="507"/>
      <c r="R425" s="507"/>
      <c r="S425" s="507"/>
      <c r="T425" s="507"/>
      <c r="U425" s="507"/>
      <c r="V425" s="507"/>
      <c r="W425" s="507"/>
    </row>
    <row r="426" ht="35.25" customHeight="1">
      <c r="A426" s="18"/>
      <c r="B426" s="547" t="s">
        <v>89</v>
      </c>
      <c r="C426" s="593" t="s">
        <v>684</v>
      </c>
      <c r="D426" s="18"/>
      <c r="E426" s="507"/>
      <c r="F426" s="507"/>
      <c r="G426" s="507"/>
      <c r="H426" s="507"/>
      <c r="I426" s="507"/>
      <c r="J426" s="507"/>
      <c r="K426" s="507"/>
      <c r="L426" s="507"/>
      <c r="M426" s="507"/>
      <c r="N426" s="507"/>
      <c r="O426" s="507"/>
      <c r="P426" s="507"/>
      <c r="Q426" s="507"/>
      <c r="R426" s="507"/>
      <c r="S426" s="507"/>
      <c r="T426" s="507"/>
      <c r="U426" s="507"/>
      <c r="V426" s="507"/>
      <c r="W426" s="507"/>
    </row>
    <row r="427" ht="35.25" customHeight="1">
      <c r="A427" s="22"/>
      <c r="B427" s="547" t="s">
        <v>220</v>
      </c>
      <c r="C427" s="593">
        <v>2.99402E7</v>
      </c>
      <c r="D427" s="22"/>
      <c r="E427" s="556"/>
      <c r="F427" s="507"/>
      <c r="G427" s="507"/>
      <c r="H427" s="507"/>
      <c r="I427" s="507"/>
      <c r="J427" s="507"/>
      <c r="K427" s="507"/>
      <c r="L427" s="507"/>
      <c r="M427" s="507"/>
      <c r="N427" s="507"/>
      <c r="O427" s="507"/>
      <c r="P427" s="507"/>
      <c r="Q427" s="507"/>
      <c r="R427" s="507"/>
      <c r="S427" s="507"/>
      <c r="T427" s="507"/>
      <c r="U427" s="507"/>
      <c r="V427" s="507"/>
      <c r="W427" s="507"/>
    </row>
    <row r="428" ht="35.25" customHeight="1">
      <c r="A428" s="655" t="s">
        <v>172</v>
      </c>
      <c r="B428" s="674" t="s">
        <v>74</v>
      </c>
      <c r="C428" s="515">
        <f>SUM(184343500-100000000)</f>
        <v>84343500</v>
      </c>
      <c r="D428" s="657">
        <f>SUM(C428:C432)</f>
        <v>231636000</v>
      </c>
      <c r="E428" s="507"/>
      <c r="F428" s="556"/>
      <c r="G428" s="507"/>
      <c r="H428" s="507"/>
      <c r="I428" s="507"/>
      <c r="J428" s="507"/>
      <c r="K428" s="507"/>
      <c r="L428" s="507"/>
      <c r="M428" s="507"/>
      <c r="N428" s="507"/>
      <c r="O428" s="507"/>
      <c r="P428" s="507"/>
      <c r="Q428" s="507"/>
      <c r="R428" s="507"/>
      <c r="S428" s="507"/>
      <c r="T428" s="507"/>
      <c r="U428" s="507"/>
      <c r="V428" s="507"/>
      <c r="W428" s="507"/>
    </row>
    <row r="429" ht="35.25" customHeight="1">
      <c r="A429" s="18"/>
      <c r="B429" s="673" t="s">
        <v>76</v>
      </c>
      <c r="C429" s="515">
        <v>1.472925E8</v>
      </c>
      <c r="D429" s="18"/>
      <c r="E429" s="525"/>
      <c r="F429" s="507"/>
      <c r="G429" s="507"/>
      <c r="H429" s="507"/>
      <c r="I429" s="507"/>
      <c r="J429" s="507"/>
      <c r="K429" s="507"/>
      <c r="L429" s="507"/>
      <c r="M429" s="507"/>
      <c r="N429" s="507"/>
      <c r="O429" s="507"/>
      <c r="P429" s="507"/>
      <c r="Q429" s="507"/>
      <c r="R429" s="507"/>
      <c r="S429" s="507"/>
      <c r="T429" s="507"/>
      <c r="U429" s="507"/>
      <c r="V429" s="507"/>
      <c r="W429" s="507"/>
    </row>
    <row r="430" ht="35.25" customHeight="1">
      <c r="A430" s="18"/>
      <c r="B430" s="547"/>
      <c r="C430" s="515"/>
      <c r="D430" s="18"/>
      <c r="E430" s="507"/>
      <c r="F430" s="507"/>
      <c r="G430" s="507"/>
      <c r="H430" s="507"/>
      <c r="I430" s="507"/>
      <c r="J430" s="507"/>
      <c r="K430" s="507"/>
      <c r="L430" s="507"/>
      <c r="M430" s="507"/>
      <c r="N430" s="507"/>
      <c r="O430" s="507"/>
      <c r="P430" s="507"/>
      <c r="Q430" s="507"/>
      <c r="R430" s="507"/>
      <c r="S430" s="507"/>
      <c r="T430" s="507"/>
      <c r="U430" s="507"/>
      <c r="V430" s="507"/>
      <c r="W430" s="507"/>
    </row>
    <row r="431" ht="35.25" customHeight="1">
      <c r="A431" s="18"/>
      <c r="B431" s="547"/>
      <c r="C431" s="515"/>
      <c r="D431" s="18"/>
      <c r="E431" s="525"/>
      <c r="F431" s="507"/>
      <c r="G431" s="507"/>
      <c r="H431" s="507"/>
      <c r="I431" s="507"/>
      <c r="J431" s="507"/>
      <c r="K431" s="507"/>
      <c r="L431" s="507"/>
      <c r="M431" s="507"/>
      <c r="N431" s="507"/>
      <c r="O431" s="507"/>
      <c r="P431" s="507"/>
      <c r="Q431" s="507"/>
      <c r="R431" s="507"/>
      <c r="S431" s="507"/>
      <c r="T431" s="507"/>
      <c r="U431" s="507"/>
      <c r="V431" s="507"/>
      <c r="W431" s="507"/>
    </row>
    <row r="432" ht="35.25" customHeight="1">
      <c r="A432" s="22"/>
      <c r="B432" s="547"/>
      <c r="C432" s="515"/>
      <c r="D432" s="22"/>
      <c r="E432" s="525"/>
      <c r="F432" s="507"/>
      <c r="G432" s="507"/>
      <c r="H432" s="507"/>
      <c r="I432" s="507"/>
      <c r="J432" s="507"/>
      <c r="K432" s="507"/>
      <c r="L432" s="507"/>
      <c r="M432" s="507"/>
      <c r="N432" s="507"/>
      <c r="O432" s="507"/>
      <c r="P432" s="507"/>
      <c r="Q432" s="507"/>
      <c r="R432" s="507"/>
      <c r="S432" s="507"/>
      <c r="T432" s="507"/>
      <c r="U432" s="507"/>
      <c r="V432" s="507"/>
      <c r="W432" s="507"/>
    </row>
    <row r="433" ht="35.25" customHeight="1">
      <c r="A433" s="663" t="s">
        <v>178</v>
      </c>
      <c r="B433" s="674" t="s">
        <v>74</v>
      </c>
      <c r="C433" s="515" t="s">
        <v>684</v>
      </c>
      <c r="D433" s="657">
        <f>SUM(C433:C437)</f>
        <v>192339000</v>
      </c>
      <c r="E433" s="525"/>
      <c r="F433" s="507"/>
      <c r="G433" s="507"/>
      <c r="H433" s="507"/>
      <c r="I433" s="507"/>
      <c r="J433" s="507"/>
      <c r="K433" s="507"/>
      <c r="L433" s="507"/>
      <c r="M433" s="507"/>
      <c r="N433" s="507"/>
      <c r="O433" s="507"/>
      <c r="P433" s="507"/>
      <c r="Q433" s="507"/>
      <c r="R433" s="507"/>
      <c r="S433" s="507"/>
      <c r="T433" s="507"/>
      <c r="U433" s="507"/>
      <c r="V433" s="507"/>
      <c r="W433" s="507"/>
    </row>
    <row r="434" ht="35.25" customHeight="1">
      <c r="A434" s="18"/>
      <c r="B434" s="547" t="s">
        <v>88</v>
      </c>
      <c r="C434" s="515">
        <v>4.5258E7</v>
      </c>
      <c r="D434" s="18"/>
      <c r="E434" s="507"/>
      <c r="F434" s="507"/>
      <c r="G434" s="507"/>
      <c r="H434" s="507"/>
      <c r="I434" s="507"/>
      <c r="J434" s="507"/>
      <c r="K434" s="507"/>
      <c r="L434" s="507"/>
      <c r="M434" s="507"/>
      <c r="N434" s="507"/>
      <c r="O434" s="507"/>
      <c r="P434" s="507"/>
      <c r="Q434" s="507"/>
      <c r="R434" s="507"/>
      <c r="S434" s="507"/>
      <c r="T434" s="507"/>
      <c r="U434" s="507"/>
      <c r="V434" s="507"/>
      <c r="W434" s="507"/>
    </row>
    <row r="435" ht="35.25" customHeight="1">
      <c r="A435" s="18"/>
      <c r="B435" s="547" t="s">
        <v>219</v>
      </c>
      <c r="C435" s="515">
        <v>4.86025E7</v>
      </c>
      <c r="D435" s="18"/>
      <c r="E435" s="507"/>
      <c r="F435" s="507"/>
      <c r="G435" s="507"/>
      <c r="H435" s="507"/>
      <c r="I435" s="507"/>
      <c r="J435" s="507"/>
      <c r="K435" s="507"/>
      <c r="L435" s="507"/>
      <c r="M435" s="507"/>
      <c r="N435" s="507"/>
      <c r="O435" s="507"/>
      <c r="P435" s="507"/>
      <c r="Q435" s="507"/>
      <c r="R435" s="507"/>
      <c r="S435" s="507"/>
      <c r="T435" s="507"/>
      <c r="U435" s="507"/>
      <c r="V435" s="507"/>
      <c r="W435" s="507"/>
    </row>
    <row r="436" ht="35.25" customHeight="1">
      <c r="A436" s="18"/>
      <c r="B436" s="547" t="s">
        <v>89</v>
      </c>
      <c r="C436" s="515">
        <v>6.13265E7</v>
      </c>
      <c r="D436" s="18"/>
      <c r="E436" s="507"/>
      <c r="F436" s="507"/>
      <c r="G436" s="507"/>
      <c r="H436" s="507"/>
      <c r="I436" s="507"/>
      <c r="J436" s="507"/>
      <c r="K436" s="507"/>
      <c r="L436" s="507"/>
      <c r="M436" s="507"/>
      <c r="N436" s="507"/>
      <c r="O436" s="507"/>
      <c r="P436" s="507"/>
      <c r="Q436" s="507"/>
      <c r="R436" s="507"/>
      <c r="S436" s="507"/>
      <c r="T436" s="507"/>
      <c r="U436" s="507"/>
      <c r="V436" s="507"/>
      <c r="W436" s="507"/>
    </row>
    <row r="437" ht="35.25" customHeight="1">
      <c r="A437" s="22"/>
      <c r="B437" s="547" t="s">
        <v>220</v>
      </c>
      <c r="C437" s="659">
        <v>3.7152E7</v>
      </c>
      <c r="D437" s="22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  <c r="O437" s="507"/>
      <c r="P437" s="507"/>
      <c r="Q437" s="507"/>
      <c r="R437" s="507"/>
      <c r="S437" s="507"/>
      <c r="T437" s="507"/>
      <c r="U437" s="507"/>
      <c r="V437" s="507"/>
      <c r="W437" s="507"/>
    </row>
    <row r="438" ht="35.25" customHeight="1">
      <c r="A438" s="663" t="s">
        <v>182</v>
      </c>
      <c r="B438" s="674" t="s">
        <v>74</v>
      </c>
      <c r="C438" s="515">
        <f>SUM(93109000-35302000)</f>
        <v>57807000</v>
      </c>
      <c r="D438" s="653">
        <f>SUM(C438:C443)</f>
        <v>176937100</v>
      </c>
      <c r="E438" s="507"/>
      <c r="F438" s="507"/>
      <c r="G438" s="507"/>
      <c r="H438" s="507"/>
      <c r="I438" s="507"/>
      <c r="J438" s="507"/>
      <c r="K438" s="507"/>
      <c r="L438" s="507"/>
      <c r="M438" s="507"/>
      <c r="N438" s="507"/>
      <c r="O438" s="507"/>
      <c r="P438" s="507"/>
      <c r="Q438" s="507"/>
      <c r="R438" s="507"/>
      <c r="S438" s="507"/>
      <c r="T438" s="507"/>
      <c r="U438" s="507"/>
      <c r="V438" s="507"/>
      <c r="W438" s="507"/>
    </row>
    <row r="439" ht="35.25" customHeight="1">
      <c r="A439" s="18"/>
      <c r="D439" s="18"/>
      <c r="E439" s="507"/>
      <c r="F439" s="507"/>
      <c r="G439" s="507"/>
      <c r="H439" s="507"/>
      <c r="I439" s="507"/>
      <c r="J439" s="507"/>
      <c r="K439" s="507"/>
      <c r="L439" s="507"/>
      <c r="M439" s="507"/>
      <c r="N439" s="507"/>
      <c r="O439" s="507"/>
      <c r="P439" s="507"/>
      <c r="Q439" s="507"/>
      <c r="R439" s="507"/>
      <c r="S439" s="507"/>
      <c r="T439" s="507"/>
      <c r="U439" s="507"/>
      <c r="V439" s="507"/>
      <c r="W439" s="507"/>
    </row>
    <row r="440" ht="35.25" customHeight="1">
      <c r="A440" s="18"/>
      <c r="B440" s="547" t="s">
        <v>88</v>
      </c>
      <c r="C440" s="515">
        <v>2.05295E7</v>
      </c>
      <c r="D440" s="18"/>
      <c r="E440" s="507"/>
      <c r="F440" s="507"/>
      <c r="G440" s="507"/>
      <c r="H440" s="507"/>
      <c r="I440" s="507"/>
      <c r="J440" s="507"/>
      <c r="K440" s="507"/>
      <c r="L440" s="507"/>
      <c r="M440" s="507"/>
      <c r="N440" s="507"/>
      <c r="O440" s="507"/>
      <c r="P440" s="507"/>
      <c r="Q440" s="507"/>
      <c r="R440" s="507"/>
      <c r="S440" s="507"/>
      <c r="T440" s="507"/>
      <c r="U440" s="507"/>
      <c r="V440" s="507"/>
      <c r="W440" s="507"/>
    </row>
    <row r="441" ht="35.25" customHeight="1">
      <c r="A441" s="18"/>
      <c r="B441" s="547" t="s">
        <v>219</v>
      </c>
      <c r="C441" s="515">
        <v>2.42052E7</v>
      </c>
      <c r="D441" s="18"/>
      <c r="E441" s="507"/>
      <c r="F441" s="507"/>
      <c r="G441" s="507"/>
      <c r="H441" s="507"/>
      <c r="I441" s="507"/>
      <c r="J441" s="507"/>
      <c r="K441" s="507"/>
      <c r="L441" s="507"/>
      <c r="M441" s="507"/>
      <c r="N441" s="507"/>
      <c r="O441" s="507"/>
      <c r="P441" s="507"/>
      <c r="Q441" s="507"/>
      <c r="R441" s="507"/>
      <c r="S441" s="507"/>
      <c r="T441" s="507"/>
      <c r="U441" s="507"/>
      <c r="V441" s="507"/>
      <c r="W441" s="507"/>
    </row>
    <row r="442" ht="35.25" customHeight="1">
      <c r="A442" s="18"/>
      <c r="B442" s="547" t="s">
        <v>89</v>
      </c>
      <c r="C442" s="515">
        <v>3.2952E7</v>
      </c>
      <c r="D442" s="18"/>
      <c r="E442" s="507"/>
      <c r="F442" s="507"/>
      <c r="G442" s="507"/>
      <c r="H442" s="507"/>
      <c r="I442" s="507"/>
      <c r="J442" s="507"/>
      <c r="K442" s="507"/>
      <c r="L442" s="507"/>
      <c r="M442" s="507"/>
      <c r="N442" s="507"/>
      <c r="O442" s="507"/>
      <c r="P442" s="507"/>
      <c r="Q442" s="507"/>
      <c r="R442" s="507"/>
      <c r="S442" s="507"/>
      <c r="T442" s="507"/>
      <c r="U442" s="507"/>
      <c r="V442" s="507"/>
      <c r="W442" s="507"/>
    </row>
    <row r="443" ht="35.25" customHeight="1">
      <c r="A443" s="22"/>
      <c r="B443" s="547" t="s">
        <v>220</v>
      </c>
      <c r="C443" s="515">
        <v>4.14434E7</v>
      </c>
      <c r="D443" s="22"/>
      <c r="E443" s="507"/>
      <c r="F443" s="507"/>
      <c r="G443" s="507"/>
      <c r="H443" s="507"/>
      <c r="I443" s="507"/>
      <c r="J443" s="507"/>
      <c r="K443" s="507"/>
      <c r="L443" s="507"/>
      <c r="M443" s="507"/>
      <c r="N443" s="507"/>
      <c r="O443" s="507"/>
      <c r="P443" s="507"/>
      <c r="Q443" s="507"/>
      <c r="R443" s="507"/>
      <c r="S443" s="507"/>
      <c r="T443" s="507"/>
      <c r="U443" s="507"/>
      <c r="V443" s="507"/>
      <c r="W443" s="507"/>
    </row>
    <row r="444" ht="35.25" customHeight="1">
      <c r="A444" s="655" t="s">
        <v>184</v>
      </c>
      <c r="B444" s="674" t="s">
        <v>74</v>
      </c>
      <c r="C444" s="515">
        <f>SUM(108332000-9456000)</f>
        <v>98876000</v>
      </c>
      <c r="D444" s="653">
        <f>sum(C444:C448)</f>
        <v>201798500</v>
      </c>
      <c r="F444" s="507"/>
      <c r="G444" s="507"/>
      <c r="H444" s="507"/>
      <c r="I444" s="507"/>
      <c r="J444" s="507"/>
      <c r="K444" s="507"/>
      <c r="L444" s="507"/>
      <c r="M444" s="507"/>
      <c r="N444" s="507"/>
      <c r="O444" s="507"/>
      <c r="P444" s="507"/>
      <c r="Q444" s="507"/>
      <c r="R444" s="507"/>
      <c r="S444" s="507"/>
      <c r="T444" s="507"/>
      <c r="U444" s="507"/>
      <c r="V444" s="507"/>
      <c r="W444" s="507"/>
    </row>
    <row r="445" ht="35.25" customHeight="1">
      <c r="A445" s="18"/>
      <c r="B445" s="547" t="s">
        <v>88</v>
      </c>
      <c r="C445" s="515">
        <v>700000.0</v>
      </c>
      <c r="D445" s="18"/>
      <c r="E445" s="507"/>
      <c r="F445" s="507"/>
      <c r="G445" s="507"/>
      <c r="H445" s="507"/>
      <c r="I445" s="507"/>
      <c r="J445" s="507"/>
      <c r="K445" s="507"/>
      <c r="L445" s="507"/>
      <c r="M445" s="507"/>
      <c r="N445" s="507"/>
      <c r="O445" s="507"/>
      <c r="P445" s="507"/>
      <c r="Q445" s="507"/>
      <c r="R445" s="507"/>
      <c r="S445" s="507"/>
      <c r="T445" s="507"/>
      <c r="U445" s="507"/>
      <c r="V445" s="507"/>
      <c r="W445" s="507"/>
    </row>
    <row r="446" ht="35.25" customHeight="1">
      <c r="A446" s="18"/>
      <c r="B446" s="547" t="s">
        <v>219</v>
      </c>
      <c r="C446" s="515">
        <v>5.21815E7</v>
      </c>
      <c r="D446" s="18"/>
      <c r="E446" s="507"/>
      <c r="F446" s="507"/>
      <c r="G446" s="507"/>
      <c r="H446" s="507"/>
      <c r="I446" s="507"/>
      <c r="J446" s="507"/>
      <c r="K446" s="507"/>
      <c r="L446" s="507"/>
      <c r="M446" s="507"/>
      <c r="N446" s="507"/>
      <c r="O446" s="507"/>
      <c r="P446" s="507"/>
      <c r="Q446" s="507"/>
      <c r="R446" s="507"/>
      <c r="S446" s="507"/>
      <c r="T446" s="507"/>
      <c r="U446" s="507"/>
      <c r="V446" s="507"/>
      <c r="W446" s="507"/>
    </row>
    <row r="447" ht="35.25" customHeight="1">
      <c r="A447" s="18"/>
      <c r="B447" s="547" t="s">
        <v>89</v>
      </c>
      <c r="C447" s="515">
        <v>0.0</v>
      </c>
      <c r="D447" s="18"/>
      <c r="E447" s="507"/>
      <c r="F447" s="507"/>
      <c r="G447" s="507"/>
      <c r="H447" s="507"/>
      <c r="I447" s="507"/>
      <c r="J447" s="507"/>
      <c r="K447" s="507"/>
      <c r="L447" s="507"/>
      <c r="M447" s="507"/>
      <c r="N447" s="507"/>
      <c r="O447" s="507"/>
      <c r="P447" s="507"/>
      <c r="Q447" s="507"/>
      <c r="R447" s="507"/>
      <c r="S447" s="507"/>
      <c r="T447" s="507"/>
      <c r="U447" s="507"/>
      <c r="V447" s="507"/>
      <c r="W447" s="507"/>
    </row>
    <row r="448" ht="35.25" customHeight="1">
      <c r="A448" s="22"/>
      <c r="B448" s="547" t="s">
        <v>220</v>
      </c>
      <c r="C448" s="515">
        <v>5.0041E7</v>
      </c>
      <c r="D448" s="22"/>
      <c r="E448" s="507"/>
      <c r="F448" s="507"/>
      <c r="G448" s="507"/>
      <c r="H448" s="507"/>
      <c r="I448" s="507"/>
      <c r="J448" s="507"/>
      <c r="K448" s="507"/>
      <c r="L448" s="507"/>
      <c r="M448" s="507"/>
      <c r="N448" s="507"/>
      <c r="O448" s="507"/>
      <c r="P448" s="507"/>
      <c r="Q448" s="507"/>
      <c r="R448" s="507"/>
      <c r="S448" s="507"/>
      <c r="T448" s="507"/>
      <c r="U448" s="507"/>
      <c r="V448" s="507"/>
      <c r="W448" s="507"/>
    </row>
    <row r="449" ht="35.25" customHeight="1">
      <c r="A449" s="655" t="s">
        <v>188</v>
      </c>
      <c r="B449" s="547" t="s">
        <v>88</v>
      </c>
      <c r="C449" s="593" t="s">
        <v>684</v>
      </c>
      <c r="D449" s="653">
        <f>SUM(C449:C452)</f>
        <v>61441000</v>
      </c>
      <c r="E449" s="507"/>
      <c r="F449" s="507"/>
      <c r="G449" s="507"/>
      <c r="H449" s="507"/>
      <c r="I449" s="507"/>
      <c r="J449" s="507"/>
      <c r="K449" s="507"/>
      <c r="L449" s="507"/>
      <c r="M449" s="507"/>
      <c r="N449" s="507"/>
      <c r="O449" s="507"/>
      <c r="P449" s="507"/>
      <c r="Q449" s="507"/>
      <c r="R449" s="507"/>
      <c r="S449" s="507"/>
      <c r="T449" s="507"/>
      <c r="U449" s="507"/>
      <c r="V449" s="507"/>
      <c r="W449" s="507"/>
    </row>
    <row r="450" ht="35.25" customHeight="1">
      <c r="A450" s="18"/>
      <c r="B450" s="547" t="s">
        <v>219</v>
      </c>
      <c r="C450" s="593" t="s">
        <v>684</v>
      </c>
      <c r="D450" s="18"/>
      <c r="E450" s="507"/>
      <c r="F450" s="507"/>
      <c r="G450" s="507"/>
      <c r="H450" s="507"/>
      <c r="I450" s="507"/>
      <c r="J450" s="507"/>
      <c r="K450" s="507"/>
      <c r="L450" s="507"/>
      <c r="M450" s="507"/>
      <c r="N450" s="507"/>
      <c r="O450" s="507"/>
      <c r="P450" s="507"/>
      <c r="Q450" s="507"/>
      <c r="R450" s="507"/>
      <c r="S450" s="507"/>
      <c r="T450" s="507"/>
      <c r="U450" s="507"/>
      <c r="V450" s="507"/>
      <c r="W450" s="507"/>
    </row>
    <row r="451" ht="35.25" customHeight="1">
      <c r="A451" s="18"/>
      <c r="B451" s="547" t="s">
        <v>89</v>
      </c>
      <c r="C451" s="593" t="s">
        <v>684</v>
      </c>
      <c r="D451" s="18"/>
      <c r="E451" s="507"/>
      <c r="F451" s="507"/>
      <c r="G451" s="507"/>
      <c r="H451" s="507"/>
      <c r="I451" s="507"/>
      <c r="J451" s="507"/>
      <c r="K451" s="507"/>
      <c r="L451" s="507"/>
      <c r="M451" s="507"/>
      <c r="N451" s="507"/>
      <c r="O451" s="507"/>
      <c r="P451" s="507"/>
      <c r="Q451" s="507"/>
      <c r="R451" s="507"/>
      <c r="S451" s="507"/>
      <c r="T451" s="507"/>
      <c r="U451" s="507"/>
      <c r="V451" s="507"/>
      <c r="W451" s="507"/>
    </row>
    <row r="452" ht="35.25" customHeight="1">
      <c r="A452" s="22"/>
      <c r="B452" s="547" t="s">
        <v>220</v>
      </c>
      <c r="C452" s="515">
        <v>6.1441E7</v>
      </c>
      <c r="D452" s="22"/>
      <c r="E452" s="556"/>
      <c r="F452" s="507"/>
      <c r="G452" s="507"/>
      <c r="H452" s="507"/>
      <c r="I452" s="507"/>
      <c r="J452" s="507"/>
      <c r="K452" s="507"/>
      <c r="L452" s="507"/>
      <c r="M452" s="507"/>
      <c r="N452" s="507"/>
      <c r="O452" s="507"/>
      <c r="P452" s="507"/>
      <c r="Q452" s="507"/>
      <c r="R452" s="507"/>
      <c r="S452" s="507"/>
      <c r="T452" s="507"/>
      <c r="U452" s="507"/>
      <c r="V452" s="507"/>
      <c r="W452" s="507"/>
    </row>
    <row r="453" ht="35.25" customHeight="1">
      <c r="A453" s="655" t="s">
        <v>190</v>
      </c>
      <c r="B453" s="547" t="s">
        <v>88</v>
      </c>
      <c r="C453" s="515">
        <v>9.11425E7</v>
      </c>
      <c r="D453" s="653">
        <f>SUM(C453:C456)</f>
        <v>260652500</v>
      </c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07"/>
      <c r="W453" s="507"/>
    </row>
    <row r="454" ht="35.25" customHeight="1">
      <c r="A454" s="18"/>
      <c r="B454" s="547" t="s">
        <v>219</v>
      </c>
      <c r="C454" s="515">
        <v>5.59375E7</v>
      </c>
      <c r="D454" s="18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07"/>
      <c r="W454" s="507"/>
    </row>
    <row r="455" ht="35.25" customHeight="1">
      <c r="A455" s="18"/>
      <c r="B455" s="547" t="s">
        <v>89</v>
      </c>
      <c r="C455" s="515">
        <v>4.9245E7</v>
      </c>
      <c r="D455" s="18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507"/>
      <c r="W455" s="507"/>
    </row>
    <row r="456" ht="35.25" customHeight="1">
      <c r="A456" s="22"/>
      <c r="B456" s="547" t="s">
        <v>220</v>
      </c>
      <c r="C456" s="515">
        <v>6.43275E7</v>
      </c>
      <c r="D456" s="22"/>
      <c r="E456" s="556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07"/>
      <c r="W456" s="507"/>
    </row>
    <row r="457" ht="35.25" customHeight="1">
      <c r="A457" s="663" t="s">
        <v>192</v>
      </c>
      <c r="B457" s="547" t="s">
        <v>88</v>
      </c>
      <c r="C457" s="593" t="s">
        <v>684</v>
      </c>
      <c r="D457" s="653">
        <f>SUM(C457:C460)</f>
        <v>72120900</v>
      </c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507"/>
      <c r="W457" s="507"/>
    </row>
    <row r="458" ht="35.25" customHeight="1">
      <c r="A458" s="18"/>
      <c r="B458" s="547" t="s">
        <v>219</v>
      </c>
      <c r="C458" s="593" t="s">
        <v>684</v>
      </c>
      <c r="D458" s="18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07"/>
      <c r="W458" s="507"/>
    </row>
    <row r="459" ht="35.25" customHeight="1">
      <c r="A459" s="18"/>
      <c r="B459" s="547" t="s">
        <v>89</v>
      </c>
      <c r="C459" s="593" t="s">
        <v>684</v>
      </c>
      <c r="D459" s="18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07"/>
      <c r="W459" s="507"/>
    </row>
    <row r="460" ht="35.25" customHeight="1">
      <c r="A460" s="22"/>
      <c r="B460" s="547" t="s">
        <v>220</v>
      </c>
      <c r="C460" s="515">
        <v>7.21209E7</v>
      </c>
      <c r="D460" s="22"/>
      <c r="E460" s="556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507"/>
      <c r="W460" s="507"/>
    </row>
    <row r="461" ht="35.25" customHeight="1">
      <c r="A461" s="655" t="s">
        <v>196</v>
      </c>
      <c r="B461" s="547" t="s">
        <v>88</v>
      </c>
      <c r="C461" s="593" t="s">
        <v>684</v>
      </c>
      <c r="D461" s="653">
        <f>SUM(C461:C464)</f>
        <v>58760000</v>
      </c>
      <c r="E461" s="507"/>
      <c r="F461" s="507"/>
      <c r="G461" s="507"/>
      <c r="H461" s="507"/>
      <c r="I461" s="507"/>
      <c r="J461" s="507"/>
      <c r="K461" s="507"/>
      <c r="L461" s="525">
        <f>69.5*30000</f>
        <v>2085000</v>
      </c>
      <c r="M461" s="507"/>
      <c r="N461" s="507"/>
      <c r="O461" s="507"/>
      <c r="P461" s="507"/>
      <c r="Q461" s="507"/>
      <c r="R461" s="507"/>
      <c r="S461" s="507"/>
      <c r="T461" s="507"/>
      <c r="U461" s="507"/>
      <c r="V461" s="507"/>
      <c r="W461" s="507"/>
    </row>
    <row r="462" ht="35.25" customHeight="1">
      <c r="A462" s="18"/>
      <c r="B462" s="547" t="s">
        <v>219</v>
      </c>
      <c r="C462" s="593" t="s">
        <v>684</v>
      </c>
      <c r="D462" s="18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507"/>
      <c r="V462" s="507"/>
      <c r="W462" s="507"/>
    </row>
    <row r="463" ht="35.25" customHeight="1">
      <c r="A463" s="18"/>
      <c r="B463" s="547" t="s">
        <v>89</v>
      </c>
      <c r="C463" s="593" t="s">
        <v>684</v>
      </c>
      <c r="D463" s="18"/>
      <c r="E463" s="556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507"/>
      <c r="V463" s="507"/>
      <c r="W463" s="507"/>
    </row>
    <row r="464" ht="35.25" customHeight="1">
      <c r="A464" s="22"/>
      <c r="B464" s="593" t="s">
        <v>220</v>
      </c>
      <c r="C464" s="593">
        <v>5.876E7</v>
      </c>
      <c r="D464" s="22"/>
      <c r="E464" s="556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507"/>
      <c r="V464" s="507"/>
      <c r="W464" s="507"/>
    </row>
    <row r="465" ht="35.25" customHeight="1">
      <c r="A465" s="655" t="s">
        <v>200</v>
      </c>
      <c r="B465" s="674" t="s">
        <v>74</v>
      </c>
      <c r="C465" s="593" t="s">
        <v>684</v>
      </c>
      <c r="D465" s="657">
        <f>SUM(C465:C469)</f>
        <v>227000500</v>
      </c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07"/>
      <c r="W465" s="507"/>
    </row>
    <row r="466" ht="35.25" customHeight="1">
      <c r="A466" s="18"/>
      <c r="B466" s="547" t="s">
        <v>88</v>
      </c>
      <c r="C466" s="593">
        <v>6.1979E7</v>
      </c>
      <c r="D466" s="18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507"/>
      <c r="W466" s="507"/>
    </row>
    <row r="467" ht="35.25" customHeight="1">
      <c r="A467" s="18"/>
      <c r="B467" s="547" t="s">
        <v>219</v>
      </c>
      <c r="C467" s="593">
        <v>5.8159E7</v>
      </c>
      <c r="D467" s="18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07"/>
      <c r="W467" s="507"/>
    </row>
    <row r="468" ht="35.25" customHeight="1">
      <c r="A468" s="18"/>
      <c r="B468" s="547" t="s">
        <v>89</v>
      </c>
      <c r="C468" s="593">
        <v>5.0713E7</v>
      </c>
      <c r="D468" s="18"/>
      <c r="E468" s="507"/>
      <c r="F468" s="507"/>
      <c r="G468" s="507"/>
      <c r="H468" s="507"/>
      <c r="I468" s="507"/>
      <c r="J468" s="507"/>
      <c r="K468" s="67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507"/>
      <c r="W468" s="507"/>
    </row>
    <row r="469" ht="35.25" customHeight="1">
      <c r="A469" s="18"/>
      <c r="B469" s="547" t="s">
        <v>220</v>
      </c>
      <c r="C469" s="593">
        <v>5.61495E7</v>
      </c>
      <c r="D469" s="18"/>
      <c r="E469" s="668" t="s">
        <v>736</v>
      </c>
      <c r="F469" s="507"/>
      <c r="G469" s="507"/>
      <c r="H469" s="507"/>
      <c r="I469" s="507"/>
      <c r="J469" s="507"/>
      <c r="K469" s="67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07"/>
      <c r="W469" s="507"/>
    </row>
    <row r="470" ht="35.25" customHeight="1">
      <c r="A470" s="663" t="s">
        <v>367</v>
      </c>
      <c r="B470" s="674" t="s">
        <v>74</v>
      </c>
      <c r="C470" s="593" t="s">
        <v>684</v>
      </c>
      <c r="D470" s="657">
        <f>sum(C470:C474)</f>
        <v>324634900</v>
      </c>
      <c r="E470" s="507"/>
      <c r="F470" s="556"/>
      <c r="G470" s="507"/>
      <c r="H470" s="507"/>
      <c r="I470" s="507"/>
      <c r="J470" s="507"/>
      <c r="K470" s="678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07"/>
      <c r="W470" s="507"/>
    </row>
    <row r="471" ht="35.25" customHeight="1">
      <c r="A471" s="18"/>
      <c r="B471" s="547" t="s">
        <v>88</v>
      </c>
      <c r="C471" s="593">
        <v>9.34416E7</v>
      </c>
      <c r="D471" s="18"/>
      <c r="E471" s="507"/>
      <c r="F471" s="556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07"/>
      <c r="W471" s="507"/>
    </row>
    <row r="472" ht="35.25" customHeight="1">
      <c r="A472" s="18"/>
      <c r="B472" s="547" t="s">
        <v>219</v>
      </c>
      <c r="C472" s="593">
        <v>6.34735E7</v>
      </c>
      <c r="D472" s="18"/>
      <c r="E472" s="507"/>
      <c r="F472" s="556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07"/>
      <c r="W472" s="507"/>
    </row>
    <row r="473" ht="35.25" customHeight="1">
      <c r="A473" s="18"/>
      <c r="B473" s="547" t="s">
        <v>89</v>
      </c>
      <c r="C473" s="593">
        <v>6.51808E7</v>
      </c>
      <c r="D473" s="18"/>
      <c r="E473" s="507"/>
      <c r="F473" s="556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07"/>
      <c r="W473" s="507"/>
    </row>
    <row r="474" ht="35.25" customHeight="1">
      <c r="A474" s="18"/>
      <c r="B474" s="547" t="s">
        <v>220</v>
      </c>
      <c r="C474" s="593">
        <v>1.02539E8</v>
      </c>
      <c r="D474" s="18"/>
      <c r="E474" s="507"/>
      <c r="F474" s="556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07"/>
      <c r="W474" s="507"/>
    </row>
    <row r="475" ht="35.25" customHeight="1">
      <c r="A475" s="655" t="s">
        <v>202</v>
      </c>
      <c r="B475" s="674" t="s">
        <v>74</v>
      </c>
      <c r="C475" s="593">
        <f>SUM(330660000-14824200)</f>
        <v>315835800</v>
      </c>
      <c r="D475" s="653">
        <f>SUM(C475:C479)</f>
        <v>616449800</v>
      </c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07"/>
      <c r="W475" s="507"/>
    </row>
    <row r="476" ht="35.25" customHeight="1">
      <c r="A476" s="18"/>
      <c r="B476" s="547" t="s">
        <v>88</v>
      </c>
      <c r="C476" s="593">
        <v>6.82705E7</v>
      </c>
      <c r="D476" s="18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07"/>
      <c r="W476" s="507"/>
    </row>
    <row r="477" ht="35.25" customHeight="1">
      <c r="A477" s="18"/>
      <c r="B477" s="547" t="s">
        <v>219</v>
      </c>
      <c r="C477" s="593">
        <v>7.6434E7</v>
      </c>
      <c r="D477" s="18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07"/>
      <c r="W477" s="507"/>
    </row>
    <row r="478" ht="35.25" customHeight="1">
      <c r="A478" s="18"/>
      <c r="B478" s="547" t="s">
        <v>89</v>
      </c>
      <c r="C478" s="593">
        <v>5.9816E7</v>
      </c>
      <c r="D478" s="18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07"/>
      <c r="W478" s="507"/>
    </row>
    <row r="479" ht="35.25" customHeight="1">
      <c r="A479" s="22"/>
      <c r="B479" s="547" t="s">
        <v>220</v>
      </c>
      <c r="C479" s="593">
        <v>9.60935E7</v>
      </c>
      <c r="D479" s="22"/>
      <c r="E479" s="556"/>
      <c r="F479" s="556"/>
      <c r="G479" s="556"/>
      <c r="H479" s="556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07"/>
      <c r="W479" s="507"/>
    </row>
    <row r="480" ht="35.25" customHeight="1">
      <c r="A480" s="655" t="s">
        <v>205</v>
      </c>
      <c r="B480" s="547" t="s">
        <v>699</v>
      </c>
      <c r="C480" s="593" t="s">
        <v>684</v>
      </c>
      <c r="D480" s="657">
        <f>sum(C480:C483)</f>
        <v>29517200</v>
      </c>
      <c r="E480" s="507"/>
      <c r="F480" s="556"/>
      <c r="G480" s="556"/>
      <c r="H480" s="556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507"/>
      <c r="W480" s="507"/>
    </row>
    <row r="481" ht="35.25" customHeight="1">
      <c r="A481" s="18"/>
      <c r="B481" s="547" t="s">
        <v>219</v>
      </c>
      <c r="C481" s="593" t="s">
        <v>684</v>
      </c>
      <c r="D481" s="18"/>
      <c r="E481" s="507"/>
      <c r="F481" s="507"/>
      <c r="G481" s="507"/>
      <c r="H481" s="507"/>
      <c r="I481" s="507"/>
      <c r="J481" s="507"/>
      <c r="K481" s="507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</row>
    <row r="482" ht="35.25" customHeight="1">
      <c r="A482" s="18"/>
      <c r="B482" s="547" t="s">
        <v>89</v>
      </c>
      <c r="C482" s="593" t="s">
        <v>684</v>
      </c>
      <c r="D482" s="18"/>
      <c r="E482" s="507"/>
      <c r="F482" s="507"/>
      <c r="G482" s="507"/>
      <c r="H482" s="507"/>
      <c r="I482" s="507"/>
      <c r="J482" s="507"/>
      <c r="K482" s="507"/>
      <c r="L482" s="648"/>
      <c r="M482" s="648"/>
      <c r="N482" s="648"/>
      <c r="O482" s="648"/>
      <c r="P482" s="648"/>
      <c r="Q482" s="648"/>
      <c r="R482" s="648"/>
      <c r="S482" s="648"/>
      <c r="T482" s="648"/>
      <c r="U482" s="648"/>
      <c r="V482" s="648"/>
      <c r="W482" s="648"/>
    </row>
    <row r="483" ht="35.25" customHeight="1">
      <c r="A483" s="22"/>
      <c r="B483" s="547" t="s">
        <v>220</v>
      </c>
      <c r="C483" s="593">
        <v>2.95172E7</v>
      </c>
      <c r="D483" s="22"/>
      <c r="E483" s="556"/>
      <c r="F483" s="507"/>
      <c r="G483" s="507"/>
      <c r="H483" s="507"/>
      <c r="I483" s="507"/>
      <c r="J483" s="507"/>
      <c r="K483" s="507"/>
      <c r="L483" s="648"/>
      <c r="M483" s="648"/>
      <c r="N483" s="648"/>
      <c r="O483" s="648"/>
      <c r="P483" s="648"/>
      <c r="Q483" s="648"/>
      <c r="R483" s="648"/>
      <c r="S483" s="648"/>
      <c r="T483" s="648"/>
      <c r="U483" s="648"/>
      <c r="V483" s="648"/>
      <c r="W483" s="648"/>
    </row>
    <row r="484" ht="35.25" customHeight="1">
      <c r="A484" s="663" t="s">
        <v>290</v>
      </c>
      <c r="B484" s="547" t="s">
        <v>88</v>
      </c>
      <c r="C484" s="593">
        <f>SUM(140275500-20000000)</f>
        <v>120275500</v>
      </c>
      <c r="D484" s="653">
        <f>sum(C484:C487)</f>
        <v>380223000</v>
      </c>
      <c r="E484" s="556"/>
      <c r="F484" s="507"/>
      <c r="G484" s="507"/>
      <c r="H484" s="507"/>
      <c r="I484" s="507"/>
      <c r="J484" s="507"/>
      <c r="K484" s="507"/>
      <c r="L484" s="648"/>
      <c r="M484" s="648"/>
      <c r="N484" s="648"/>
      <c r="O484" s="648"/>
      <c r="P484" s="648"/>
      <c r="Q484" s="648"/>
      <c r="R484" s="648"/>
      <c r="S484" s="648"/>
      <c r="T484" s="648"/>
      <c r="U484" s="648"/>
      <c r="V484" s="648"/>
      <c r="W484" s="648"/>
    </row>
    <row r="485" ht="35.25" customHeight="1">
      <c r="A485" s="18"/>
      <c r="B485" s="547" t="s">
        <v>219</v>
      </c>
      <c r="C485" s="593">
        <v>8.35915E7</v>
      </c>
      <c r="D485" s="18"/>
      <c r="E485" s="556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507"/>
      <c r="W485" s="507"/>
    </row>
    <row r="486" ht="35.25" customHeight="1">
      <c r="A486" s="18"/>
      <c r="B486" s="547" t="s">
        <v>89</v>
      </c>
      <c r="C486" s="593">
        <v>6.1023E7</v>
      </c>
      <c r="D486" s="18"/>
      <c r="E486" s="556"/>
      <c r="F486" s="507"/>
      <c r="G486" s="556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507"/>
      <c r="W486" s="507"/>
    </row>
    <row r="487" ht="35.25" customHeight="1">
      <c r="A487" s="22"/>
      <c r="B487" s="547" t="s">
        <v>220</v>
      </c>
      <c r="C487" s="593">
        <v>1.15333E8</v>
      </c>
      <c r="D487" s="22"/>
      <c r="E487" s="556"/>
      <c r="F487" s="507"/>
      <c r="G487" s="556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507"/>
      <c r="W487" s="507"/>
    </row>
    <row r="488" ht="35.25" customHeight="1">
      <c r="A488" s="663" t="s">
        <v>292</v>
      </c>
      <c r="B488" s="547" t="s">
        <v>88</v>
      </c>
      <c r="C488" s="593" t="s">
        <v>684</v>
      </c>
      <c r="D488" s="653">
        <f>SUM(C488:C491)</f>
        <v>75296000</v>
      </c>
      <c r="E488" s="556"/>
      <c r="F488" s="556"/>
      <c r="G488" s="556"/>
      <c r="H488" s="556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507"/>
      <c r="W488" s="507"/>
    </row>
    <row r="489" ht="35.25" customHeight="1">
      <c r="A489" s="18"/>
      <c r="B489" s="547" t="s">
        <v>219</v>
      </c>
      <c r="C489" s="593" t="s">
        <v>684</v>
      </c>
      <c r="D489" s="18"/>
      <c r="E489" s="556"/>
      <c r="F489" s="556"/>
      <c r="G489" s="556"/>
      <c r="H489" s="556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507"/>
      <c r="W489" s="507"/>
    </row>
    <row r="490" ht="35.25" customHeight="1">
      <c r="A490" s="18"/>
      <c r="B490" s="547" t="s">
        <v>89</v>
      </c>
      <c r="C490" s="593" t="s">
        <v>684</v>
      </c>
      <c r="D490" s="18"/>
      <c r="E490" s="556"/>
      <c r="F490" s="556"/>
      <c r="G490" s="556"/>
      <c r="H490" s="556"/>
      <c r="I490" s="507"/>
      <c r="J490" s="507"/>
      <c r="K490" s="507"/>
      <c r="L490" s="507"/>
      <c r="M490" s="507"/>
      <c r="N490" s="507"/>
      <c r="O490" s="507"/>
      <c r="P490" s="507"/>
      <c r="Q490" s="507"/>
      <c r="R490" s="507"/>
      <c r="S490" s="507"/>
      <c r="T490" s="507"/>
      <c r="U490" s="507"/>
      <c r="V490" s="507"/>
      <c r="W490" s="507"/>
    </row>
    <row r="491" ht="35.25" customHeight="1">
      <c r="A491" s="22"/>
      <c r="B491" s="547" t="s">
        <v>220</v>
      </c>
      <c r="C491" s="593">
        <v>7.5296E7</v>
      </c>
      <c r="D491" s="22"/>
      <c r="E491" s="556"/>
      <c r="F491" s="556"/>
      <c r="G491" s="556"/>
      <c r="H491" s="556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07"/>
      <c r="W491" s="507"/>
    </row>
    <row r="492" ht="35.25" customHeight="1">
      <c r="A492" s="663" t="s">
        <v>296</v>
      </c>
      <c r="B492" s="547" t="s">
        <v>88</v>
      </c>
      <c r="C492" s="593"/>
      <c r="D492" s="653">
        <f>SUM(C492:C495)</f>
        <v>52015000</v>
      </c>
      <c r="E492" s="556"/>
      <c r="F492" s="556"/>
      <c r="G492" s="556"/>
      <c r="H492" s="556"/>
      <c r="I492" s="507"/>
      <c r="J492" s="507"/>
      <c r="K492" s="507"/>
      <c r="L492" s="507"/>
      <c r="M492" s="507"/>
      <c r="N492" s="507"/>
      <c r="O492" s="507"/>
      <c r="P492" s="507"/>
      <c r="Q492" s="507"/>
      <c r="R492" s="507"/>
      <c r="S492" s="507"/>
      <c r="T492" s="507"/>
      <c r="U492" s="507"/>
      <c r="V492" s="507"/>
      <c r="W492" s="507"/>
    </row>
    <row r="493" ht="35.25" customHeight="1">
      <c r="A493" s="18"/>
      <c r="B493" s="547" t="s">
        <v>219</v>
      </c>
      <c r="C493" s="593" t="s">
        <v>684</v>
      </c>
      <c r="D493" s="18"/>
      <c r="E493" s="507"/>
      <c r="F493" s="507"/>
      <c r="G493" s="507"/>
      <c r="H493" s="507"/>
      <c r="I493" s="507"/>
      <c r="J493" s="507"/>
      <c r="K493" s="507"/>
      <c r="L493" s="507"/>
      <c r="M493" s="507"/>
      <c r="N493" s="507"/>
      <c r="O493" s="507"/>
      <c r="P493" s="507"/>
      <c r="Q493" s="507"/>
      <c r="R493" s="507"/>
      <c r="S493" s="507"/>
      <c r="T493" s="507"/>
      <c r="U493" s="507"/>
      <c r="V493" s="507"/>
      <c r="W493" s="507"/>
    </row>
    <row r="494" ht="35.25" customHeight="1">
      <c r="A494" s="18"/>
      <c r="B494" s="547" t="s">
        <v>89</v>
      </c>
      <c r="C494" s="593" t="s">
        <v>684</v>
      </c>
      <c r="D494" s="18"/>
      <c r="E494" s="556"/>
      <c r="F494" s="507"/>
      <c r="G494" s="507"/>
      <c r="H494" s="507"/>
      <c r="I494" s="507"/>
      <c r="J494" s="507"/>
      <c r="K494" s="507"/>
      <c r="L494" s="507"/>
      <c r="M494" s="507"/>
      <c r="N494" s="507"/>
      <c r="O494" s="507"/>
      <c r="P494" s="507"/>
      <c r="Q494" s="507"/>
      <c r="R494" s="507"/>
      <c r="S494" s="507"/>
      <c r="T494" s="507"/>
      <c r="U494" s="507"/>
      <c r="V494" s="507"/>
      <c r="W494" s="507"/>
    </row>
    <row r="495" ht="35.25" customHeight="1">
      <c r="A495" s="22"/>
      <c r="B495" s="547" t="s">
        <v>220</v>
      </c>
      <c r="C495" s="593">
        <v>5.2015E7</v>
      </c>
      <c r="D495" s="22"/>
      <c r="E495" s="507"/>
      <c r="F495" s="507"/>
      <c r="G495" s="507"/>
      <c r="H495" s="507"/>
      <c r="I495" s="507"/>
      <c r="J495" s="507"/>
      <c r="K495" s="507"/>
      <c r="L495" s="507"/>
      <c r="M495" s="507"/>
      <c r="N495" s="507"/>
      <c r="O495" s="507"/>
      <c r="P495" s="507"/>
      <c r="Q495" s="507"/>
      <c r="R495" s="507"/>
      <c r="S495" s="507"/>
      <c r="T495" s="507"/>
      <c r="U495" s="507"/>
      <c r="V495" s="507"/>
      <c r="W495" s="507"/>
    </row>
    <row r="496" ht="35.25" customHeight="1">
      <c r="A496" s="663" t="s">
        <v>293</v>
      </c>
      <c r="B496" s="547" t="s">
        <v>88</v>
      </c>
      <c r="C496" s="593" t="s">
        <v>684</v>
      </c>
      <c r="D496" s="653">
        <f>SUM(C496:C499)</f>
        <v>133674000</v>
      </c>
      <c r="E496" s="507"/>
      <c r="F496" s="507"/>
      <c r="G496" s="507"/>
      <c r="H496" s="507"/>
      <c r="I496" s="507"/>
      <c r="J496" s="507"/>
      <c r="K496" s="507"/>
      <c r="L496" s="507"/>
      <c r="M496" s="507"/>
      <c r="N496" s="507"/>
      <c r="O496" s="507"/>
      <c r="P496" s="507"/>
      <c r="Q496" s="507"/>
      <c r="R496" s="507"/>
      <c r="S496" s="507"/>
      <c r="T496" s="507"/>
      <c r="U496" s="507"/>
      <c r="V496" s="507"/>
      <c r="W496" s="507"/>
    </row>
    <row r="497" ht="35.25" customHeight="1">
      <c r="A497" s="18"/>
      <c r="B497" s="547" t="s">
        <v>219</v>
      </c>
      <c r="C497" s="593">
        <v>4.38625E7</v>
      </c>
      <c r="D497" s="18"/>
      <c r="E497" s="507"/>
      <c r="F497" s="507"/>
      <c r="G497" s="507"/>
      <c r="H497" s="507"/>
      <c r="I497" s="507"/>
      <c r="J497" s="507"/>
      <c r="K497" s="507"/>
      <c r="L497" s="507"/>
      <c r="M497" s="507"/>
      <c r="N497" s="507"/>
      <c r="O497" s="507"/>
      <c r="P497" s="507"/>
      <c r="Q497" s="507"/>
      <c r="R497" s="507"/>
      <c r="S497" s="507"/>
      <c r="T497" s="507"/>
      <c r="U497" s="507"/>
      <c r="V497" s="507"/>
      <c r="W497" s="507"/>
    </row>
    <row r="498" ht="35.25" customHeight="1">
      <c r="A498" s="18"/>
      <c r="B498" s="547" t="s">
        <v>89</v>
      </c>
      <c r="C498" s="593">
        <v>3.46215E7</v>
      </c>
      <c r="D498" s="18"/>
      <c r="E498" s="507"/>
      <c r="F498" s="526"/>
      <c r="G498" s="507"/>
      <c r="H498" s="507"/>
      <c r="I498" s="507"/>
      <c r="J498" s="507"/>
      <c r="K498" s="507"/>
      <c r="L498" s="507"/>
      <c r="M498" s="507"/>
      <c r="N498" s="507"/>
      <c r="O498" s="507"/>
      <c r="P498" s="507"/>
      <c r="Q498" s="507"/>
      <c r="R498" s="507"/>
      <c r="S498" s="507"/>
      <c r="T498" s="507"/>
      <c r="U498" s="507"/>
      <c r="V498" s="507"/>
      <c r="W498" s="507"/>
    </row>
    <row r="499" ht="35.25" customHeight="1">
      <c r="A499" s="22"/>
      <c r="B499" s="547" t="s">
        <v>220</v>
      </c>
      <c r="C499" s="593">
        <v>5.519E7</v>
      </c>
      <c r="D499" s="22"/>
      <c r="E499" s="507"/>
      <c r="F499" s="526"/>
      <c r="G499" s="507"/>
      <c r="H499" s="507"/>
      <c r="I499" s="507"/>
      <c r="J499" s="507"/>
      <c r="K499" s="507"/>
      <c r="L499" s="507"/>
      <c r="M499" s="507"/>
      <c r="N499" s="507"/>
      <c r="O499" s="507"/>
      <c r="P499" s="507"/>
      <c r="Q499" s="507"/>
      <c r="R499" s="507"/>
      <c r="S499" s="507"/>
      <c r="T499" s="507"/>
      <c r="U499" s="507"/>
      <c r="V499" s="507"/>
      <c r="W499" s="507"/>
    </row>
    <row r="500" ht="35.25" customHeight="1">
      <c r="A500" s="663" t="s">
        <v>207</v>
      </c>
      <c r="B500" s="547" t="s">
        <v>74</v>
      </c>
      <c r="C500" s="593">
        <v>4.26435E7</v>
      </c>
      <c r="D500" s="653">
        <f>SUM(C500:C504)</f>
        <v>80538500</v>
      </c>
      <c r="E500" s="507"/>
      <c r="F500" s="526"/>
      <c r="G500" s="525"/>
      <c r="H500" s="644"/>
      <c r="I500" s="507"/>
      <c r="J500" s="507"/>
      <c r="K500" s="507"/>
      <c r="L500" s="507"/>
      <c r="M500" s="507"/>
      <c r="N500" s="507"/>
      <c r="O500" s="507"/>
      <c r="P500" s="507"/>
      <c r="Q500" s="507"/>
      <c r="R500" s="507"/>
      <c r="S500" s="507"/>
      <c r="T500" s="507"/>
      <c r="U500" s="507"/>
      <c r="V500" s="507"/>
      <c r="W500" s="507"/>
    </row>
    <row r="501" ht="35.25" customHeight="1">
      <c r="A501" s="18"/>
      <c r="B501" s="547" t="s">
        <v>88</v>
      </c>
      <c r="C501" s="593">
        <v>0.0</v>
      </c>
      <c r="D501" s="18"/>
      <c r="E501" s="507"/>
      <c r="F501" s="526"/>
      <c r="G501" s="525"/>
      <c r="H501" s="644"/>
      <c r="I501" s="507"/>
      <c r="J501" s="507"/>
      <c r="K501" s="507"/>
      <c r="L501" s="507"/>
      <c r="M501" s="507"/>
      <c r="N501" s="507"/>
      <c r="O501" s="507"/>
      <c r="P501" s="507"/>
      <c r="Q501" s="507"/>
      <c r="R501" s="507"/>
      <c r="S501" s="507"/>
      <c r="T501" s="507"/>
      <c r="U501" s="507"/>
      <c r="V501" s="507"/>
      <c r="W501" s="507"/>
    </row>
    <row r="502" ht="35.25" customHeight="1">
      <c r="A502" s="18"/>
      <c r="B502" s="547" t="s">
        <v>219</v>
      </c>
      <c r="C502" s="593">
        <v>1.928E7</v>
      </c>
      <c r="D502" s="18"/>
      <c r="E502" s="507"/>
      <c r="F502" s="526"/>
      <c r="G502" s="525"/>
      <c r="H502" s="644"/>
      <c r="I502" s="507"/>
      <c r="J502" s="507"/>
      <c r="K502" s="507"/>
      <c r="L502" s="507"/>
      <c r="M502" s="507"/>
      <c r="N502" s="507"/>
      <c r="O502" s="507"/>
      <c r="P502" s="507"/>
      <c r="Q502" s="507"/>
      <c r="R502" s="507"/>
      <c r="S502" s="507"/>
      <c r="T502" s="507"/>
      <c r="U502" s="507"/>
      <c r="V502" s="507"/>
      <c r="W502" s="507"/>
    </row>
    <row r="503" ht="35.25" customHeight="1">
      <c r="A503" s="18"/>
      <c r="B503" s="547" t="s">
        <v>89</v>
      </c>
      <c r="C503" s="593">
        <v>1.8615E7</v>
      </c>
      <c r="D503" s="18"/>
      <c r="E503" s="525"/>
      <c r="F503" s="525"/>
      <c r="G503" s="525"/>
      <c r="H503" s="525"/>
      <c r="I503" s="507"/>
      <c r="J503" s="507"/>
      <c r="K503" s="507"/>
      <c r="L503" s="507"/>
      <c r="M503" s="507"/>
      <c r="N503" s="507"/>
      <c r="O503" s="507"/>
      <c r="P503" s="507"/>
      <c r="Q503" s="507"/>
      <c r="R503" s="507"/>
      <c r="S503" s="507"/>
      <c r="T503" s="507"/>
      <c r="U503" s="507"/>
      <c r="V503" s="507"/>
      <c r="W503" s="507"/>
    </row>
    <row r="504" ht="35.25" customHeight="1">
      <c r="A504" s="22"/>
      <c r="B504" s="547" t="s">
        <v>220</v>
      </c>
      <c r="C504" s="593">
        <v>0.0</v>
      </c>
      <c r="D504" s="22"/>
      <c r="E504" s="525"/>
      <c r="F504" s="525"/>
      <c r="G504" s="525"/>
      <c r="H504" s="525"/>
      <c r="I504" s="507"/>
      <c r="J504" s="507"/>
      <c r="K504" s="507"/>
      <c r="L504" s="507"/>
      <c r="M504" s="507"/>
      <c r="N504" s="507"/>
      <c r="O504" s="507"/>
      <c r="P504" s="507"/>
      <c r="Q504" s="507"/>
      <c r="R504" s="507"/>
      <c r="S504" s="507"/>
      <c r="T504" s="507"/>
      <c r="U504" s="507"/>
      <c r="V504" s="507"/>
      <c r="W504" s="507"/>
    </row>
    <row r="505" ht="35.25" customHeight="1">
      <c r="A505" s="663" t="s">
        <v>211</v>
      </c>
      <c r="B505" s="547" t="s">
        <v>74</v>
      </c>
      <c r="C505" s="593">
        <f>SUM(160472500-45000000-30000000-35000000-35000000)</f>
        <v>15472500</v>
      </c>
      <c r="D505" s="653">
        <f>SUM(C505:C509)</f>
        <v>301199500</v>
      </c>
      <c r="E505" s="525"/>
      <c r="F505" s="525"/>
      <c r="G505" s="525"/>
      <c r="H505" s="525"/>
      <c r="I505" s="507"/>
      <c r="J505" s="507"/>
      <c r="K505" s="507"/>
      <c r="L505" s="507"/>
      <c r="M505" s="507"/>
      <c r="N505" s="507"/>
      <c r="O505" s="507"/>
      <c r="P505" s="507"/>
      <c r="Q505" s="507"/>
      <c r="R505" s="507"/>
      <c r="S505" s="507"/>
      <c r="T505" s="507"/>
      <c r="U505" s="507"/>
      <c r="V505" s="507"/>
      <c r="W505" s="507"/>
    </row>
    <row r="506" ht="35.25" customHeight="1">
      <c r="A506" s="18"/>
      <c r="B506" s="547" t="s">
        <v>88</v>
      </c>
      <c r="C506" s="593">
        <v>8.01514E7</v>
      </c>
      <c r="D506" s="18"/>
      <c r="E506" s="525"/>
      <c r="F506" s="525"/>
      <c r="G506" s="525"/>
      <c r="H506" s="525"/>
      <c r="I506" s="507"/>
      <c r="J506" s="507"/>
      <c r="K506" s="507"/>
      <c r="L506" s="507"/>
      <c r="M506" s="507"/>
      <c r="N506" s="507"/>
      <c r="O506" s="507"/>
      <c r="P506" s="507"/>
      <c r="Q506" s="507"/>
      <c r="R506" s="507"/>
      <c r="S506" s="507"/>
      <c r="T506" s="507"/>
      <c r="U506" s="507"/>
      <c r="V506" s="507"/>
      <c r="W506" s="507"/>
    </row>
    <row r="507" ht="35.25" customHeight="1">
      <c r="A507" s="18"/>
      <c r="B507" s="547" t="s">
        <v>219</v>
      </c>
      <c r="C507" s="593">
        <v>6.98275E7</v>
      </c>
      <c r="D507" s="18"/>
      <c r="E507" s="525"/>
      <c r="F507" s="525"/>
      <c r="G507" s="525"/>
      <c r="H507" s="525"/>
      <c r="I507" s="507"/>
      <c r="J507" s="507"/>
      <c r="K507" s="507"/>
      <c r="L507" s="507"/>
      <c r="M507" s="507"/>
      <c r="N507" s="507"/>
      <c r="O507" s="507"/>
      <c r="P507" s="507"/>
      <c r="Q507" s="507"/>
      <c r="R507" s="507"/>
      <c r="S507" s="507"/>
      <c r="T507" s="507"/>
      <c r="U507" s="507"/>
      <c r="V507" s="507"/>
      <c r="W507" s="507"/>
    </row>
    <row r="508" ht="35.25" customHeight="1">
      <c r="A508" s="18"/>
      <c r="B508" s="547" t="s">
        <v>89</v>
      </c>
      <c r="C508" s="593">
        <v>5.89589E7</v>
      </c>
      <c r="D508" s="18"/>
      <c r="E508" s="556"/>
      <c r="F508" s="525"/>
      <c r="G508" s="525"/>
      <c r="H508" s="525"/>
      <c r="I508" s="507"/>
      <c r="J508" s="507"/>
      <c r="K508" s="507"/>
      <c r="L508" s="507"/>
      <c r="M508" s="507"/>
      <c r="N508" s="507"/>
      <c r="O508" s="507"/>
      <c r="P508" s="507"/>
      <c r="Q508" s="507"/>
      <c r="R508" s="507"/>
      <c r="S508" s="507"/>
      <c r="T508" s="507"/>
      <c r="U508" s="507"/>
      <c r="V508" s="507"/>
      <c r="W508" s="507"/>
    </row>
    <row r="509" ht="35.25" customHeight="1">
      <c r="A509" s="22"/>
      <c r="B509" s="547" t="s">
        <v>220</v>
      </c>
      <c r="C509" s="593">
        <v>7.67892E7</v>
      </c>
      <c r="D509" s="22"/>
      <c r="E509" s="556"/>
      <c r="F509" s="525"/>
      <c r="G509" s="525"/>
      <c r="H509" s="525"/>
      <c r="I509" s="507"/>
      <c r="J509" s="507"/>
      <c r="K509" s="507"/>
      <c r="L509" s="507"/>
      <c r="M509" s="507"/>
      <c r="N509" s="507"/>
      <c r="O509" s="507"/>
      <c r="P509" s="507"/>
      <c r="Q509" s="507"/>
      <c r="R509" s="507"/>
      <c r="S509" s="507"/>
      <c r="T509" s="507"/>
      <c r="U509" s="507"/>
      <c r="V509" s="507"/>
      <c r="W509" s="507"/>
    </row>
    <row r="510" ht="35.25" customHeight="1">
      <c r="A510" s="679" t="s">
        <v>302</v>
      </c>
      <c r="B510" s="547" t="s">
        <v>72</v>
      </c>
      <c r="C510" s="593">
        <v>457000.0</v>
      </c>
      <c r="D510" s="680">
        <f>SUM(C510:C514)</f>
        <v>135506500</v>
      </c>
      <c r="E510" s="525"/>
      <c r="F510" s="525"/>
      <c r="G510" s="525"/>
      <c r="H510" s="525"/>
      <c r="I510" s="507"/>
      <c r="J510" s="507"/>
      <c r="K510" s="507"/>
      <c r="L510" s="507"/>
      <c r="M510" s="507"/>
      <c r="N510" s="507"/>
      <c r="O510" s="507"/>
      <c r="P510" s="507"/>
      <c r="Q510" s="507"/>
      <c r="R510" s="507"/>
      <c r="S510" s="507"/>
      <c r="T510" s="507"/>
      <c r="U510" s="507"/>
      <c r="V510" s="507"/>
      <c r="W510" s="507"/>
    </row>
    <row r="511" ht="35.25" customHeight="1">
      <c r="A511" s="18"/>
      <c r="B511" s="547" t="s">
        <v>88</v>
      </c>
      <c r="C511" s="593">
        <v>4.79E7</v>
      </c>
      <c r="D511" s="18"/>
      <c r="E511" s="525"/>
      <c r="F511" s="525"/>
      <c r="G511" s="525"/>
      <c r="H511" s="525"/>
      <c r="I511" s="507"/>
      <c r="J511" s="507"/>
      <c r="K511" s="507"/>
      <c r="L511" s="507"/>
      <c r="M511" s="507"/>
      <c r="N511" s="507"/>
      <c r="O511" s="507"/>
      <c r="P511" s="507"/>
      <c r="Q511" s="507"/>
      <c r="R511" s="507"/>
      <c r="S511" s="507"/>
      <c r="T511" s="507"/>
      <c r="U511" s="507"/>
      <c r="V511" s="507"/>
      <c r="W511" s="507"/>
    </row>
    <row r="512" ht="35.25" customHeight="1">
      <c r="A512" s="18"/>
      <c r="B512" s="547" t="s">
        <v>219</v>
      </c>
      <c r="C512" s="593">
        <v>2.3003E7</v>
      </c>
      <c r="D512" s="18"/>
      <c r="E512" s="525"/>
      <c r="F512" s="525"/>
      <c r="G512" s="525"/>
      <c r="H512" s="525"/>
      <c r="I512" s="507"/>
      <c r="J512" s="507"/>
      <c r="K512" s="507"/>
      <c r="L512" s="507"/>
      <c r="M512" s="507"/>
      <c r="N512" s="507"/>
      <c r="O512" s="507"/>
      <c r="P512" s="507"/>
      <c r="Q512" s="507"/>
      <c r="R512" s="507"/>
      <c r="S512" s="507"/>
      <c r="T512" s="507"/>
      <c r="U512" s="507"/>
      <c r="V512" s="507"/>
      <c r="W512" s="507"/>
    </row>
    <row r="513" ht="35.25" customHeight="1">
      <c r="A513" s="18"/>
      <c r="B513" s="547" t="s">
        <v>89</v>
      </c>
      <c r="C513" s="593">
        <v>3.2134E7</v>
      </c>
      <c r="D513" s="18"/>
      <c r="E513" s="525"/>
      <c r="F513" s="525"/>
      <c r="G513" s="525"/>
      <c r="H513" s="525"/>
      <c r="I513" s="507"/>
      <c r="J513" s="507"/>
      <c r="K513" s="507"/>
      <c r="L513" s="507"/>
      <c r="M513" s="507"/>
      <c r="N513" s="507"/>
      <c r="O513" s="507"/>
      <c r="P513" s="507"/>
      <c r="Q513" s="507"/>
      <c r="R513" s="507"/>
      <c r="S513" s="507"/>
      <c r="T513" s="507"/>
      <c r="U513" s="507"/>
      <c r="V513" s="507"/>
      <c r="W513" s="507"/>
    </row>
    <row r="514" ht="35.25" customHeight="1">
      <c r="A514" s="22"/>
      <c r="B514" s="547" t="s">
        <v>737</v>
      </c>
      <c r="C514" s="593">
        <v>3.20125E7</v>
      </c>
      <c r="D514" s="22"/>
      <c r="E514" s="525"/>
      <c r="F514" s="525"/>
      <c r="G514" s="525"/>
      <c r="H514" s="525"/>
      <c r="I514" s="507"/>
      <c r="J514" s="507"/>
      <c r="K514" s="507"/>
      <c r="L514" s="507"/>
      <c r="M514" s="507"/>
      <c r="N514" s="507"/>
      <c r="O514" s="507"/>
      <c r="P514" s="507"/>
      <c r="Q514" s="507"/>
      <c r="R514" s="507"/>
      <c r="S514" s="507"/>
      <c r="T514" s="507"/>
      <c r="U514" s="507"/>
      <c r="V514" s="507"/>
      <c r="W514" s="507"/>
    </row>
    <row r="515" ht="35.25" customHeight="1">
      <c r="A515" s="681" t="s">
        <v>215</v>
      </c>
      <c r="B515" s="547" t="s">
        <v>88</v>
      </c>
      <c r="C515" s="593">
        <v>2.92775E7</v>
      </c>
      <c r="D515" s="680">
        <f>SUM(C515:C518)</f>
        <v>32672500</v>
      </c>
      <c r="E515" s="525"/>
      <c r="F515" s="525"/>
      <c r="G515" s="525"/>
      <c r="H515" s="525"/>
      <c r="I515" s="507"/>
      <c r="J515" s="507"/>
      <c r="K515" s="507"/>
      <c r="L515" s="507"/>
      <c r="M515" s="507"/>
      <c r="N515" s="507"/>
      <c r="O515" s="507"/>
      <c r="P515" s="507"/>
      <c r="Q515" s="507"/>
      <c r="R515" s="507"/>
      <c r="S515" s="507"/>
      <c r="T515" s="507"/>
      <c r="U515" s="507"/>
      <c r="V515" s="507"/>
      <c r="W515" s="507"/>
    </row>
    <row r="516" ht="35.25" customHeight="1">
      <c r="A516" s="18"/>
      <c r="B516" s="547" t="s">
        <v>219</v>
      </c>
      <c r="C516" s="593" t="s">
        <v>684</v>
      </c>
      <c r="D516" s="18"/>
      <c r="E516" s="507"/>
      <c r="F516" s="507"/>
      <c r="G516" s="507"/>
      <c r="H516" s="507"/>
      <c r="I516" s="507"/>
      <c r="J516" s="507"/>
      <c r="K516" s="507"/>
      <c r="L516" s="507"/>
      <c r="M516" s="507"/>
      <c r="N516" s="507"/>
      <c r="O516" s="507"/>
      <c r="P516" s="507"/>
      <c r="Q516" s="507"/>
      <c r="R516" s="507"/>
      <c r="S516" s="507"/>
      <c r="T516" s="507"/>
      <c r="U516" s="507"/>
      <c r="V516" s="507"/>
      <c r="W516" s="507"/>
    </row>
    <row r="517" ht="35.25" customHeight="1">
      <c r="A517" s="18"/>
      <c r="B517" s="547" t="s">
        <v>89</v>
      </c>
      <c r="C517" s="593" t="s">
        <v>684</v>
      </c>
      <c r="D517" s="18"/>
      <c r="E517" s="644"/>
      <c r="F517" s="507"/>
      <c r="G517" s="507"/>
      <c r="H517" s="507"/>
      <c r="I517" s="507"/>
      <c r="J517" s="507"/>
      <c r="K517" s="507"/>
      <c r="L517" s="507"/>
      <c r="M517" s="507"/>
      <c r="N517" s="507"/>
      <c r="O517" s="507"/>
      <c r="P517" s="507"/>
      <c r="Q517" s="507"/>
      <c r="R517" s="507"/>
      <c r="S517" s="507"/>
      <c r="T517" s="507"/>
      <c r="U517" s="507"/>
      <c r="V517" s="507"/>
      <c r="W517" s="507"/>
    </row>
    <row r="518" ht="35.25" customHeight="1">
      <c r="A518" s="22"/>
      <c r="B518" s="547" t="s">
        <v>737</v>
      </c>
      <c r="C518" s="593">
        <v>3395000.0</v>
      </c>
      <c r="D518" s="22"/>
      <c r="E518" s="556"/>
      <c r="F518" s="507"/>
      <c r="G518" s="507"/>
      <c r="H518" s="507"/>
      <c r="I518" s="507"/>
      <c r="J518" s="507"/>
      <c r="K518" s="507"/>
      <c r="L518" s="507"/>
      <c r="M518" s="507"/>
      <c r="N518" s="507"/>
      <c r="O518" s="507"/>
      <c r="P518" s="507"/>
      <c r="Q518" s="507"/>
      <c r="R518" s="507"/>
      <c r="S518" s="507"/>
      <c r="T518" s="507"/>
      <c r="U518" s="507"/>
      <c r="V518" s="507"/>
      <c r="W518" s="507"/>
    </row>
    <row r="519" ht="35.25" customHeight="1">
      <c r="A519" s="679" t="s">
        <v>216</v>
      </c>
      <c r="B519" s="547" t="s">
        <v>88</v>
      </c>
      <c r="C519" s="593" t="s">
        <v>684</v>
      </c>
      <c r="D519" s="680">
        <f>SUM(C519:C522)</f>
        <v>61081500</v>
      </c>
      <c r="E519" s="507"/>
      <c r="F519" s="507"/>
      <c r="G519" s="507"/>
      <c r="H519" s="507"/>
      <c r="I519" s="507"/>
      <c r="J519" s="507"/>
      <c r="K519" s="507"/>
      <c r="L519" s="507"/>
      <c r="M519" s="507"/>
      <c r="N519" s="507"/>
      <c r="O519" s="507"/>
      <c r="P519" s="507"/>
      <c r="Q519" s="507"/>
      <c r="R519" s="507"/>
      <c r="S519" s="507"/>
      <c r="T519" s="507"/>
      <c r="U519" s="507"/>
      <c r="V519" s="507"/>
      <c r="W519" s="507"/>
    </row>
    <row r="520" ht="35.25" customHeight="1">
      <c r="A520" s="18"/>
      <c r="B520" s="547" t="s">
        <v>219</v>
      </c>
      <c r="C520" s="593">
        <v>1.184E7</v>
      </c>
      <c r="D520" s="18"/>
      <c r="E520" s="507"/>
      <c r="F520" s="507"/>
      <c r="G520" s="507"/>
      <c r="H520" s="507"/>
      <c r="I520" s="507"/>
      <c r="J520" s="507"/>
      <c r="K520" s="507"/>
      <c r="L520" s="507"/>
      <c r="M520" s="507"/>
      <c r="N520" s="507"/>
      <c r="O520" s="507"/>
      <c r="P520" s="507"/>
      <c r="Q520" s="507"/>
      <c r="R520" s="507"/>
      <c r="S520" s="507"/>
      <c r="T520" s="507"/>
      <c r="U520" s="507"/>
      <c r="V520" s="507"/>
      <c r="W520" s="507"/>
    </row>
    <row r="521" ht="35.25" customHeight="1">
      <c r="A521" s="18"/>
      <c r="B521" s="547" t="s">
        <v>89</v>
      </c>
      <c r="C521" s="593" t="s">
        <v>684</v>
      </c>
      <c r="D521" s="18"/>
      <c r="E521" s="507"/>
      <c r="F521" s="507"/>
      <c r="G521" s="507"/>
      <c r="H521" s="507"/>
      <c r="I521" s="507"/>
      <c r="J521" s="507"/>
      <c r="K521" s="507"/>
      <c r="L521" s="507"/>
      <c r="M521" s="507"/>
      <c r="N521" s="507"/>
      <c r="O521" s="507"/>
      <c r="P521" s="507"/>
      <c r="Q521" s="507"/>
      <c r="R521" s="507"/>
      <c r="S521" s="507"/>
      <c r="T521" s="507"/>
      <c r="U521" s="507"/>
      <c r="V521" s="507"/>
      <c r="W521" s="507"/>
    </row>
    <row r="522" ht="35.25" customHeight="1">
      <c r="A522" s="22"/>
      <c r="B522" s="547" t="s">
        <v>737</v>
      </c>
      <c r="C522" s="593">
        <v>4.92415E7</v>
      </c>
      <c r="D522" s="22"/>
      <c r="E522" s="507"/>
      <c r="F522" s="507"/>
      <c r="G522" s="507"/>
      <c r="H522" s="507"/>
      <c r="I522" s="507"/>
      <c r="J522" s="507"/>
      <c r="K522" s="507"/>
      <c r="L522" s="507"/>
      <c r="M522" s="507"/>
      <c r="N522" s="507"/>
      <c r="O522" s="507"/>
      <c r="P522" s="507"/>
      <c r="Q522" s="507"/>
      <c r="R522" s="507"/>
      <c r="S522" s="507"/>
      <c r="T522" s="507"/>
      <c r="U522" s="507"/>
      <c r="V522" s="507"/>
      <c r="W522" s="507"/>
    </row>
    <row r="523" ht="35.25" customHeight="1">
      <c r="A523" s="679" t="s">
        <v>510</v>
      </c>
      <c r="B523" s="547" t="s">
        <v>88</v>
      </c>
      <c r="C523" s="593" t="s">
        <v>684</v>
      </c>
      <c r="D523" s="682">
        <f>SUM(C523:C526)</f>
        <v>28524500</v>
      </c>
      <c r="E523" s="507"/>
      <c r="F523" s="507"/>
      <c r="G523" s="507"/>
      <c r="H523" s="507"/>
      <c r="I523" s="507"/>
      <c r="J523" s="507"/>
      <c r="K523" s="507"/>
      <c r="L523" s="507"/>
      <c r="M523" s="507"/>
      <c r="N523" s="507"/>
      <c r="O523" s="507"/>
      <c r="P523" s="507"/>
      <c r="Q523" s="507"/>
      <c r="R523" s="507"/>
      <c r="S523" s="507"/>
      <c r="T523" s="507"/>
      <c r="U523" s="507"/>
      <c r="V523" s="507"/>
      <c r="W523" s="507"/>
    </row>
    <row r="524" ht="35.25" customHeight="1">
      <c r="A524" s="18"/>
      <c r="B524" s="547" t="s">
        <v>219</v>
      </c>
      <c r="C524" s="593" t="s">
        <v>684</v>
      </c>
      <c r="D524" s="18"/>
      <c r="E524" s="507"/>
      <c r="F524" s="507"/>
      <c r="G524" s="507"/>
      <c r="H524" s="507"/>
      <c r="I524" s="507"/>
      <c r="J524" s="507"/>
      <c r="K524" s="507"/>
      <c r="L524" s="507"/>
      <c r="M524" s="507"/>
      <c r="N524" s="507"/>
      <c r="O524" s="507"/>
      <c r="P524" s="507"/>
      <c r="Q524" s="507"/>
      <c r="R524" s="507"/>
      <c r="S524" s="507"/>
      <c r="T524" s="507"/>
      <c r="U524" s="507"/>
      <c r="V524" s="507"/>
      <c r="W524" s="507"/>
    </row>
    <row r="525" ht="35.25" customHeight="1">
      <c r="A525" s="18"/>
      <c r="B525" s="547" t="s">
        <v>89</v>
      </c>
      <c r="C525" s="593" t="s">
        <v>684</v>
      </c>
      <c r="D525" s="18"/>
      <c r="E525" s="507"/>
      <c r="F525" s="507"/>
      <c r="G525" s="507"/>
      <c r="H525" s="507"/>
      <c r="I525" s="507"/>
      <c r="J525" s="507"/>
      <c r="K525" s="507"/>
      <c r="L525" s="507"/>
      <c r="M525" s="507"/>
      <c r="N525" s="507"/>
      <c r="O525" s="507"/>
      <c r="P525" s="507"/>
      <c r="Q525" s="507"/>
      <c r="R525" s="507"/>
      <c r="S525" s="507"/>
      <c r="T525" s="507"/>
      <c r="U525" s="507"/>
      <c r="V525" s="507"/>
      <c r="W525" s="507"/>
    </row>
    <row r="526" ht="35.25" customHeight="1">
      <c r="A526" s="22"/>
      <c r="B526" s="547" t="s">
        <v>737</v>
      </c>
      <c r="C526" s="593">
        <v>2.85245E7</v>
      </c>
      <c r="D526" s="22"/>
      <c r="E526" s="507"/>
      <c r="F526" s="507"/>
      <c r="G526" s="507"/>
      <c r="H526" s="507"/>
      <c r="I526" s="507"/>
      <c r="J526" s="507"/>
      <c r="K526" s="507"/>
      <c r="L526" s="507"/>
      <c r="M526" s="507"/>
      <c r="N526" s="507"/>
      <c r="O526" s="507"/>
      <c r="P526" s="507"/>
      <c r="Q526" s="507"/>
      <c r="R526" s="507"/>
      <c r="S526" s="507"/>
      <c r="T526" s="507"/>
      <c r="U526" s="507"/>
      <c r="V526" s="507"/>
      <c r="W526" s="507"/>
    </row>
    <row r="527" ht="35.25" customHeight="1">
      <c r="A527" s="679" t="s">
        <v>513</v>
      </c>
      <c r="B527" s="547" t="s">
        <v>88</v>
      </c>
      <c r="C527" s="593" t="s">
        <v>684</v>
      </c>
      <c r="D527" s="682">
        <f>SUM(C527:C530)</f>
        <v>63893800</v>
      </c>
      <c r="E527" s="507"/>
      <c r="F527" s="507"/>
      <c r="G527" s="507"/>
      <c r="H527" s="507"/>
      <c r="I527" s="507"/>
      <c r="J527" s="507"/>
      <c r="K527" s="507"/>
      <c r="L527" s="507"/>
      <c r="M527" s="507"/>
      <c r="N527" s="507"/>
      <c r="O527" s="507"/>
      <c r="P527" s="507"/>
      <c r="Q527" s="507"/>
      <c r="R527" s="507"/>
      <c r="S527" s="507"/>
      <c r="T527" s="507"/>
      <c r="U527" s="507"/>
      <c r="V527" s="507"/>
      <c r="W527" s="507"/>
    </row>
    <row r="528" ht="35.25" customHeight="1">
      <c r="A528" s="18"/>
      <c r="B528" s="547" t="s">
        <v>219</v>
      </c>
      <c r="C528" s="593" t="s">
        <v>684</v>
      </c>
      <c r="D528" s="18"/>
      <c r="E528" s="556"/>
      <c r="F528" s="507"/>
      <c r="G528" s="507"/>
      <c r="H528" s="507"/>
      <c r="I528" s="507"/>
      <c r="J528" s="507"/>
      <c r="K528" s="507"/>
      <c r="L528" s="507"/>
      <c r="M528" s="507"/>
      <c r="N528" s="507"/>
      <c r="O528" s="507"/>
      <c r="P528" s="507"/>
      <c r="Q528" s="507"/>
      <c r="R528" s="507"/>
      <c r="S528" s="507"/>
      <c r="T528" s="507"/>
      <c r="U528" s="507"/>
      <c r="V528" s="507"/>
      <c r="W528" s="507"/>
    </row>
    <row r="529" ht="35.25" customHeight="1">
      <c r="A529" s="18"/>
      <c r="B529" s="547" t="s">
        <v>89</v>
      </c>
      <c r="C529" s="593" t="s">
        <v>684</v>
      </c>
      <c r="D529" s="18"/>
      <c r="E529" s="507"/>
      <c r="F529" s="507"/>
      <c r="G529" s="507"/>
      <c r="H529" s="507"/>
      <c r="I529" s="507"/>
      <c r="J529" s="507"/>
      <c r="K529" s="507"/>
      <c r="L529" s="507"/>
      <c r="M529" s="507"/>
      <c r="N529" s="507"/>
      <c r="O529" s="507"/>
      <c r="P529" s="507"/>
      <c r="Q529" s="507"/>
      <c r="R529" s="507"/>
      <c r="S529" s="507"/>
      <c r="T529" s="507"/>
      <c r="U529" s="507"/>
      <c r="V529" s="507"/>
      <c r="W529" s="507"/>
    </row>
    <row r="530" ht="35.25" customHeight="1">
      <c r="A530" s="22"/>
      <c r="B530" s="547" t="s">
        <v>737</v>
      </c>
      <c r="C530" s="593">
        <v>6.38938E7</v>
      </c>
      <c r="D530" s="22"/>
      <c r="E530" s="507"/>
      <c r="F530" s="507"/>
      <c r="G530" s="507"/>
      <c r="H530" s="507"/>
      <c r="I530" s="507"/>
      <c r="J530" s="507"/>
      <c r="K530" s="507"/>
      <c r="L530" s="507"/>
      <c r="M530" s="507"/>
      <c r="N530" s="507"/>
      <c r="O530" s="507"/>
      <c r="P530" s="507"/>
      <c r="Q530" s="507"/>
      <c r="R530" s="507"/>
      <c r="S530" s="507"/>
      <c r="T530" s="507"/>
      <c r="U530" s="507"/>
      <c r="V530" s="507"/>
      <c r="W530" s="507"/>
    </row>
    <row r="531" ht="35.25" customHeight="1">
      <c r="A531" s="679" t="s">
        <v>518</v>
      </c>
      <c r="B531" s="547" t="s">
        <v>88</v>
      </c>
      <c r="C531" s="593" t="s">
        <v>7</v>
      </c>
      <c r="D531" s="680">
        <f>SUM(C531:C534)</f>
        <v>251159000</v>
      </c>
      <c r="E531" s="507"/>
      <c r="F531" s="507"/>
      <c r="G531" s="507"/>
      <c r="H531" s="507"/>
      <c r="I531" s="507"/>
      <c r="J531" s="507"/>
      <c r="K531" s="507"/>
      <c r="L531" s="507"/>
      <c r="M531" s="507"/>
      <c r="N531" s="507"/>
      <c r="O531" s="507"/>
      <c r="P531" s="507"/>
      <c r="Q531" s="507"/>
      <c r="R531" s="507"/>
      <c r="S531" s="507"/>
      <c r="T531" s="507"/>
      <c r="U531" s="507"/>
      <c r="V531" s="507"/>
      <c r="W531" s="507"/>
    </row>
    <row r="532" ht="35.25" customHeight="1">
      <c r="A532" s="18"/>
      <c r="B532" s="547" t="s">
        <v>219</v>
      </c>
      <c r="C532" s="593">
        <f>94044000-11800000</f>
        <v>82244000</v>
      </c>
      <c r="D532" s="18"/>
      <c r="E532" s="556"/>
      <c r="F532" s="507"/>
      <c r="G532" s="507"/>
      <c r="H532" s="507"/>
      <c r="I532" s="507"/>
      <c r="J532" s="507"/>
      <c r="K532" s="507"/>
      <c r="L532" s="507"/>
      <c r="M532" s="507"/>
      <c r="N532" s="507"/>
      <c r="O532" s="507"/>
      <c r="P532" s="507"/>
      <c r="Q532" s="507"/>
      <c r="R532" s="507"/>
      <c r="S532" s="507"/>
      <c r="T532" s="507"/>
      <c r="U532" s="507"/>
      <c r="V532" s="507"/>
      <c r="W532" s="507"/>
    </row>
    <row r="533" ht="35.25" customHeight="1">
      <c r="A533" s="18"/>
      <c r="B533" s="547" t="s">
        <v>89</v>
      </c>
      <c r="C533" s="593">
        <v>7.19125E7</v>
      </c>
      <c r="D533" s="18"/>
      <c r="E533" s="507"/>
      <c r="F533" s="507"/>
      <c r="G533" s="507"/>
      <c r="H533" s="507"/>
      <c r="I533" s="507"/>
      <c r="J533" s="507"/>
      <c r="K533" s="507"/>
      <c r="L533" s="507"/>
      <c r="M533" s="507"/>
      <c r="N533" s="507"/>
      <c r="O533" s="507"/>
      <c r="P533" s="507"/>
      <c r="Q533" s="507"/>
      <c r="R533" s="507"/>
      <c r="S533" s="507"/>
      <c r="T533" s="507"/>
      <c r="U533" s="507"/>
      <c r="V533" s="507"/>
      <c r="W533" s="507"/>
    </row>
    <row r="534" ht="35.25" customHeight="1">
      <c r="A534" s="22"/>
      <c r="B534" s="547" t="s">
        <v>737</v>
      </c>
      <c r="C534" s="593">
        <v>9.70025E7</v>
      </c>
      <c r="D534" s="22"/>
      <c r="E534" s="507"/>
      <c r="F534" s="507"/>
      <c r="G534" s="554" t="s">
        <v>1</v>
      </c>
      <c r="H534" s="683" t="s">
        <v>69</v>
      </c>
      <c r="I534" s="524" t="s">
        <v>702</v>
      </c>
      <c r="J534" s="507"/>
      <c r="K534" s="507"/>
      <c r="L534" s="507"/>
      <c r="M534" s="507"/>
      <c r="N534" s="507"/>
      <c r="O534" s="507"/>
      <c r="P534" s="507"/>
      <c r="Q534" s="507"/>
      <c r="R534" s="507"/>
      <c r="S534" s="507"/>
      <c r="T534" s="507"/>
      <c r="U534" s="507"/>
      <c r="V534" s="507"/>
      <c r="W534" s="507"/>
    </row>
    <row r="535" ht="35.25" customHeight="1">
      <c r="A535" s="679" t="s">
        <v>634</v>
      </c>
      <c r="B535" s="547" t="s">
        <v>88</v>
      </c>
      <c r="C535" s="593">
        <v>5.3475E7</v>
      </c>
      <c r="D535" s="680">
        <f>SUM(C535:C538)</f>
        <v>118060000</v>
      </c>
      <c r="E535" s="507"/>
      <c r="F535" s="507"/>
      <c r="G535" s="520" t="s">
        <v>703</v>
      </c>
      <c r="H535" s="684">
        <v>3.996795E8</v>
      </c>
      <c r="I535" s="685" t="s">
        <v>704</v>
      </c>
      <c r="J535" s="507"/>
      <c r="K535" s="507"/>
      <c r="L535" s="507"/>
      <c r="M535" s="507"/>
      <c r="N535" s="507"/>
      <c r="O535" s="507"/>
      <c r="P535" s="507"/>
      <c r="Q535" s="507"/>
      <c r="R535" s="507"/>
      <c r="S535" s="507"/>
      <c r="T535" s="507"/>
      <c r="U535" s="507"/>
      <c r="V535" s="507"/>
      <c r="W535" s="507"/>
    </row>
    <row r="536" ht="35.25" customHeight="1">
      <c r="A536" s="18"/>
      <c r="B536" s="547" t="s">
        <v>219</v>
      </c>
      <c r="C536" s="593">
        <f>35044000-11800000</f>
        <v>23244000</v>
      </c>
      <c r="D536" s="18"/>
      <c r="E536" s="556"/>
      <c r="F536" s="507"/>
      <c r="G536" s="520" t="s">
        <v>93</v>
      </c>
      <c r="H536" s="684">
        <v>1.750635E8</v>
      </c>
      <c r="I536" s="18"/>
      <c r="J536" s="507"/>
      <c r="K536" s="507"/>
      <c r="L536" s="507"/>
      <c r="M536" s="507"/>
      <c r="N536" s="507"/>
      <c r="O536" s="507"/>
      <c r="P536" s="507"/>
      <c r="Q536" s="507"/>
      <c r="R536" s="507"/>
      <c r="S536" s="507"/>
      <c r="T536" s="507"/>
      <c r="U536" s="507"/>
      <c r="V536" s="507"/>
      <c r="W536" s="507"/>
    </row>
    <row r="537" ht="35.25" customHeight="1">
      <c r="A537" s="18"/>
      <c r="B537" s="547" t="s">
        <v>89</v>
      </c>
      <c r="C537" s="593">
        <v>2.28285E7</v>
      </c>
      <c r="D537" s="18"/>
      <c r="E537" s="507"/>
      <c r="F537" s="507"/>
      <c r="G537" s="520" t="s">
        <v>172</v>
      </c>
      <c r="H537" s="684">
        <v>2.146755E8</v>
      </c>
      <c r="I537" s="18"/>
      <c r="J537" s="507"/>
      <c r="K537" s="507"/>
      <c r="L537" s="507"/>
      <c r="M537" s="507"/>
      <c r="N537" s="507"/>
      <c r="O537" s="507"/>
      <c r="P537" s="507"/>
      <c r="Q537" s="507"/>
      <c r="R537" s="507"/>
      <c r="S537" s="507"/>
      <c r="T537" s="507"/>
      <c r="U537" s="507"/>
      <c r="V537" s="507"/>
      <c r="W537" s="507"/>
    </row>
    <row r="538" ht="35.25" customHeight="1">
      <c r="A538" s="22"/>
      <c r="B538" s="547" t="s">
        <v>737</v>
      </c>
      <c r="C538" s="593">
        <v>1.85125E7</v>
      </c>
      <c r="D538" s="22"/>
      <c r="E538" s="507"/>
      <c r="F538" s="507"/>
      <c r="G538" s="520" t="s">
        <v>705</v>
      </c>
      <c r="H538" s="684">
        <v>1.233225E8</v>
      </c>
      <c r="I538" s="22"/>
      <c r="J538" s="507"/>
      <c r="K538" s="507"/>
      <c r="L538" s="507"/>
      <c r="M538" s="507"/>
      <c r="N538" s="507"/>
      <c r="O538" s="507"/>
      <c r="P538" s="507"/>
      <c r="Q538" s="507"/>
      <c r="R538" s="507"/>
      <c r="S538" s="507"/>
      <c r="T538" s="507"/>
      <c r="U538" s="507"/>
      <c r="V538" s="507"/>
      <c r="W538" s="507"/>
    </row>
    <row r="539" ht="35.25" customHeight="1">
      <c r="A539" s="679" t="s">
        <v>635</v>
      </c>
      <c r="B539" s="547" t="s">
        <v>88</v>
      </c>
      <c r="C539" s="593">
        <v>2.3614E7</v>
      </c>
      <c r="D539" s="680">
        <f>SUM(C539:C542)</f>
        <v>48299000</v>
      </c>
      <c r="E539" s="507"/>
      <c r="F539" s="507"/>
      <c r="G539" s="520" t="s">
        <v>101</v>
      </c>
      <c r="H539" s="684">
        <v>1.509935E8</v>
      </c>
      <c r="I539" s="686" t="s">
        <v>706</v>
      </c>
      <c r="J539" s="507"/>
      <c r="K539" s="507"/>
      <c r="L539" s="507"/>
      <c r="M539" s="507"/>
      <c r="N539" s="507"/>
      <c r="O539" s="507"/>
      <c r="P539" s="507"/>
      <c r="Q539" s="507"/>
      <c r="R539" s="507"/>
      <c r="S539" s="507"/>
      <c r="T539" s="507"/>
      <c r="U539" s="507"/>
      <c r="V539" s="507"/>
      <c r="W539" s="507"/>
    </row>
    <row r="540" ht="35.25" customHeight="1">
      <c r="A540" s="18"/>
      <c r="B540" s="547" t="s">
        <v>89</v>
      </c>
      <c r="C540" s="593">
        <v>2.4685E7</v>
      </c>
      <c r="D540" s="18"/>
      <c r="E540" s="507"/>
      <c r="F540" s="507"/>
      <c r="G540" s="687" t="s">
        <v>124</v>
      </c>
      <c r="H540" s="684">
        <v>2.39463E8</v>
      </c>
      <c r="I540" s="18"/>
      <c r="J540" s="507"/>
      <c r="K540" s="507"/>
      <c r="L540" s="507"/>
      <c r="M540" s="507"/>
      <c r="N540" s="507"/>
      <c r="O540" s="507"/>
      <c r="P540" s="507"/>
      <c r="Q540" s="507"/>
      <c r="R540" s="507"/>
      <c r="S540" s="507"/>
      <c r="T540" s="507"/>
      <c r="U540" s="507"/>
      <c r="V540" s="507"/>
      <c r="W540" s="507"/>
    </row>
    <row r="541" ht="35.25" customHeight="1">
      <c r="A541" s="18"/>
      <c r="B541" s="547" t="s">
        <v>737</v>
      </c>
      <c r="C541" s="593">
        <v>0.0</v>
      </c>
      <c r="D541" s="18"/>
      <c r="E541" s="507"/>
      <c r="F541" s="507"/>
      <c r="G541" s="688" t="s">
        <v>128</v>
      </c>
      <c r="H541" s="684">
        <v>1.30292E8</v>
      </c>
      <c r="I541" s="18"/>
      <c r="J541" s="507"/>
      <c r="K541" s="507"/>
      <c r="L541" s="507"/>
      <c r="M541" s="507"/>
      <c r="N541" s="507"/>
      <c r="O541" s="507"/>
      <c r="P541" s="507"/>
      <c r="Q541" s="507"/>
      <c r="R541" s="507"/>
      <c r="S541" s="507"/>
      <c r="T541" s="507"/>
      <c r="U541" s="507"/>
      <c r="V541" s="507"/>
      <c r="W541" s="507"/>
    </row>
    <row r="542" ht="35.25" customHeight="1">
      <c r="A542" s="22"/>
      <c r="B542" s="547"/>
      <c r="C542" s="593"/>
      <c r="D542" s="22"/>
      <c r="E542" s="507"/>
      <c r="F542" s="507"/>
      <c r="G542" s="688" t="s">
        <v>276</v>
      </c>
      <c r="H542" s="587">
        <v>2.312985E8</v>
      </c>
      <c r="I542" s="18"/>
      <c r="J542" s="507"/>
      <c r="K542" s="507"/>
      <c r="L542" s="507"/>
      <c r="M542" s="507"/>
      <c r="N542" s="507"/>
      <c r="O542" s="507"/>
      <c r="P542" s="507"/>
      <c r="Q542" s="507"/>
      <c r="R542" s="507"/>
      <c r="S542" s="507"/>
      <c r="T542" s="507"/>
      <c r="U542" s="507"/>
      <c r="V542" s="507"/>
      <c r="W542" s="507"/>
    </row>
    <row r="543" ht="35.25" customHeight="1">
      <c r="A543" s="679" t="s">
        <v>636</v>
      </c>
      <c r="B543" s="547" t="s">
        <v>738</v>
      </c>
      <c r="C543" s="593" t="s">
        <v>681</v>
      </c>
      <c r="D543" s="680">
        <f>SUM(C543:C546)</f>
        <v>0</v>
      </c>
      <c r="E543" s="507"/>
      <c r="F543" s="507"/>
      <c r="G543" s="514" t="s">
        <v>178</v>
      </c>
      <c r="H543" s="587">
        <v>2.009485E8</v>
      </c>
      <c r="I543" s="18"/>
      <c r="J543" s="507"/>
      <c r="K543" s="507"/>
      <c r="L543" s="507"/>
      <c r="M543" s="507"/>
      <c r="N543" s="507"/>
      <c r="O543" s="507"/>
      <c r="P543" s="507"/>
      <c r="Q543" s="507"/>
      <c r="R543" s="507"/>
      <c r="S543" s="507"/>
      <c r="T543" s="507"/>
      <c r="U543" s="507"/>
      <c r="V543" s="507"/>
      <c r="W543" s="507"/>
    </row>
    <row r="544" ht="35.25" customHeight="1">
      <c r="A544" s="18"/>
      <c r="B544" s="547"/>
      <c r="C544" s="593"/>
      <c r="D544" s="18"/>
      <c r="E544" s="507"/>
      <c r="F544" s="507"/>
      <c r="G544" s="514" t="s">
        <v>154</v>
      </c>
      <c r="H544" s="684">
        <v>1.804788E8</v>
      </c>
      <c r="I544" s="18"/>
      <c r="J544" s="507"/>
      <c r="K544" s="507"/>
      <c r="L544" s="507"/>
      <c r="M544" s="507"/>
      <c r="N544" s="507"/>
      <c r="O544" s="507"/>
      <c r="P544" s="507"/>
      <c r="Q544" s="507"/>
      <c r="R544" s="507"/>
      <c r="S544" s="507"/>
      <c r="T544" s="507"/>
      <c r="U544" s="507"/>
      <c r="V544" s="507"/>
      <c r="W544" s="507"/>
    </row>
    <row r="545" ht="35.25" customHeight="1">
      <c r="A545" s="18"/>
      <c r="B545" s="547"/>
      <c r="C545" s="593"/>
      <c r="D545" s="18"/>
      <c r="E545" s="507"/>
      <c r="F545" s="507"/>
      <c r="G545" s="524" t="s">
        <v>707</v>
      </c>
      <c r="H545" s="684">
        <v>3.667255E8</v>
      </c>
      <c r="I545" s="18"/>
      <c r="J545" s="507"/>
      <c r="K545" s="507"/>
      <c r="L545" s="507"/>
      <c r="M545" s="507"/>
      <c r="N545" s="507"/>
      <c r="O545" s="507"/>
      <c r="P545" s="507"/>
      <c r="Q545" s="507"/>
      <c r="R545" s="507"/>
      <c r="S545" s="507"/>
      <c r="T545" s="507"/>
      <c r="U545" s="507"/>
      <c r="V545" s="507"/>
      <c r="W545" s="507"/>
    </row>
    <row r="546" ht="35.25" customHeight="1">
      <c r="A546" s="22"/>
      <c r="B546" s="547"/>
      <c r="C546" s="593"/>
      <c r="D546" s="22"/>
      <c r="E546" s="507"/>
      <c r="F546" s="507"/>
      <c r="G546" s="524" t="s">
        <v>708</v>
      </c>
      <c r="H546" s="587">
        <v>1.589195E8</v>
      </c>
      <c r="I546" s="18"/>
      <c r="J546" s="507"/>
      <c r="K546" s="507"/>
      <c r="L546" s="507"/>
      <c r="M546" s="507"/>
      <c r="N546" s="507"/>
      <c r="O546" s="507"/>
      <c r="P546" s="507"/>
      <c r="Q546" s="507"/>
      <c r="R546" s="507"/>
      <c r="S546" s="507"/>
      <c r="T546" s="507"/>
      <c r="U546" s="507"/>
      <c r="V546" s="507"/>
      <c r="W546" s="507"/>
    </row>
    <row r="547" ht="35.25" customHeight="1">
      <c r="A547" s="679" t="s">
        <v>640</v>
      </c>
      <c r="B547" s="547" t="s">
        <v>88</v>
      </c>
      <c r="C547" s="593">
        <v>1.57835E8</v>
      </c>
      <c r="D547" s="680">
        <f>SUM(C547:C550)</f>
        <v>320410500</v>
      </c>
      <c r="E547" s="507"/>
      <c r="F547" s="507"/>
      <c r="G547" s="524" t="s">
        <v>108</v>
      </c>
      <c r="H547" s="587">
        <v>7.63693E7</v>
      </c>
      <c r="I547" s="18"/>
      <c r="J547" s="507"/>
      <c r="K547" s="507"/>
      <c r="L547" s="507"/>
      <c r="M547" s="507"/>
      <c r="N547" s="507"/>
      <c r="O547" s="507"/>
      <c r="P547" s="507"/>
      <c r="Q547" s="507"/>
      <c r="R547" s="507"/>
      <c r="S547" s="507"/>
      <c r="T547" s="507"/>
      <c r="U547" s="507"/>
      <c r="V547" s="507"/>
      <c r="W547" s="507"/>
    </row>
    <row r="548" ht="35.25" customHeight="1">
      <c r="A548" s="18"/>
      <c r="B548" s="547" t="s">
        <v>219</v>
      </c>
      <c r="C548" s="593">
        <f>80664500-528000</f>
        <v>80136500</v>
      </c>
      <c r="D548" s="18"/>
      <c r="E548" s="556"/>
      <c r="F548" s="507"/>
      <c r="G548" s="524" t="s">
        <v>29</v>
      </c>
      <c r="H548" s="587">
        <v>1.904365E8</v>
      </c>
      <c r="I548" s="18"/>
      <c r="J548" s="507"/>
      <c r="K548" s="507"/>
      <c r="L548" s="507"/>
      <c r="M548" s="507"/>
      <c r="N548" s="507"/>
      <c r="O548" s="507"/>
      <c r="P548" s="507"/>
      <c r="Q548" s="507"/>
      <c r="R548" s="507"/>
      <c r="S548" s="507"/>
      <c r="T548" s="507"/>
      <c r="U548" s="507"/>
      <c r="V548" s="507"/>
      <c r="W548" s="507"/>
    </row>
    <row r="549" ht="35.25" customHeight="1">
      <c r="A549" s="18"/>
      <c r="B549" s="547" t="s">
        <v>89</v>
      </c>
      <c r="C549" s="593">
        <v>6.3944E7</v>
      </c>
      <c r="D549" s="18"/>
      <c r="E549" s="507"/>
      <c r="F549" s="507"/>
      <c r="G549" s="524" t="s">
        <v>138</v>
      </c>
      <c r="H549" s="587">
        <v>1.08687E8</v>
      </c>
      <c r="I549" s="22"/>
      <c r="J549" s="507"/>
      <c r="K549" s="507"/>
      <c r="L549" s="507"/>
      <c r="M549" s="507"/>
      <c r="N549" s="507"/>
      <c r="O549" s="507"/>
      <c r="P549" s="507"/>
      <c r="Q549" s="507"/>
      <c r="R549" s="507"/>
      <c r="S549" s="507"/>
      <c r="T549" s="507"/>
      <c r="U549" s="507"/>
      <c r="V549" s="507"/>
      <c r="W549" s="507"/>
    </row>
    <row r="550" ht="35.25" customHeight="1">
      <c r="A550" s="22"/>
      <c r="B550" s="547" t="s">
        <v>737</v>
      </c>
      <c r="C550" s="593">
        <v>1.8495E7</v>
      </c>
      <c r="D550" s="22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  <c r="O550" s="507"/>
      <c r="P550" s="507"/>
      <c r="Q550" s="507"/>
      <c r="R550" s="507"/>
      <c r="S550" s="507"/>
      <c r="T550" s="507"/>
      <c r="U550" s="507"/>
      <c r="V550" s="507"/>
      <c r="W550" s="507"/>
    </row>
    <row r="551" ht="35.25" customHeight="1">
      <c r="A551" s="679" t="s">
        <v>642</v>
      </c>
      <c r="B551" s="547" t="s">
        <v>74</v>
      </c>
      <c r="C551" s="593">
        <f>153964000-25749500-50000000-50000000</f>
        <v>28214500</v>
      </c>
      <c r="D551" s="680">
        <f>SUM(C551:C555)</f>
        <v>229454700</v>
      </c>
      <c r="E551" s="507"/>
      <c r="F551" s="507"/>
      <c r="G551" s="507"/>
      <c r="H551" s="507"/>
      <c r="I551" s="507"/>
      <c r="J551" s="507"/>
      <c r="K551" s="507"/>
      <c r="L551" s="507"/>
      <c r="M551" s="507"/>
      <c r="N551" s="507"/>
      <c r="O551" s="507"/>
      <c r="P551" s="507"/>
      <c r="Q551" s="507"/>
      <c r="R551" s="507"/>
      <c r="S551" s="507"/>
      <c r="T551" s="507"/>
      <c r="U551" s="507"/>
      <c r="V551" s="507"/>
      <c r="W551" s="507"/>
    </row>
    <row r="552" ht="35.25" customHeight="1">
      <c r="A552" s="18"/>
      <c r="B552" s="547" t="s">
        <v>88</v>
      </c>
      <c r="C552" s="593">
        <v>7.61192E7</v>
      </c>
      <c r="D552" s="18"/>
      <c r="E552" s="507"/>
      <c r="F552" s="507"/>
      <c r="G552" s="507"/>
      <c r="H552" s="507"/>
      <c r="I552" s="507"/>
      <c r="J552" s="507"/>
      <c r="K552" s="507"/>
      <c r="L552" s="507"/>
      <c r="M552" s="507"/>
      <c r="N552" s="507"/>
      <c r="O552" s="507"/>
      <c r="P552" s="507"/>
      <c r="Q552" s="507"/>
      <c r="R552" s="507"/>
      <c r="S552" s="507"/>
      <c r="T552" s="507"/>
      <c r="U552" s="507"/>
      <c r="V552" s="507"/>
      <c r="W552" s="507"/>
    </row>
    <row r="553" ht="35.25" customHeight="1">
      <c r="A553" s="18"/>
      <c r="B553" s="547" t="s">
        <v>219</v>
      </c>
      <c r="C553" s="593">
        <v>5.46575E7</v>
      </c>
      <c r="D553" s="18"/>
      <c r="E553" s="507"/>
      <c r="F553" s="556">
        <v>7.61192E7</v>
      </c>
      <c r="G553" s="507"/>
      <c r="H553" s="507"/>
      <c r="I553" s="507"/>
      <c r="J553" s="507"/>
      <c r="K553" s="507"/>
      <c r="L553" s="507"/>
      <c r="M553" s="507"/>
      <c r="N553" s="507"/>
      <c r="O553" s="507"/>
      <c r="P553" s="507"/>
      <c r="Q553" s="507"/>
      <c r="R553" s="507"/>
      <c r="S553" s="507"/>
      <c r="T553" s="507"/>
      <c r="U553" s="507"/>
      <c r="V553" s="507"/>
      <c r="W553" s="507"/>
    </row>
    <row r="554" ht="35.25" customHeight="1">
      <c r="A554" s="18"/>
      <c r="B554" s="547" t="s">
        <v>89</v>
      </c>
      <c r="C554" s="593">
        <v>4.43875E7</v>
      </c>
      <c r="D554" s="18"/>
      <c r="E554" s="507"/>
      <c r="F554" s="507"/>
      <c r="G554" s="507"/>
      <c r="H554" s="507"/>
      <c r="I554" s="507"/>
      <c r="J554" s="507"/>
      <c r="K554" s="507"/>
      <c r="L554" s="507"/>
      <c r="M554" s="507"/>
      <c r="N554" s="507"/>
      <c r="O554" s="507"/>
      <c r="P554" s="507"/>
      <c r="Q554" s="507"/>
      <c r="R554" s="507"/>
      <c r="S554" s="507"/>
      <c r="T554" s="507"/>
      <c r="U554" s="507"/>
      <c r="V554" s="507"/>
      <c r="W554" s="507"/>
    </row>
    <row r="555" ht="35.25" customHeight="1">
      <c r="A555" s="22"/>
      <c r="B555" s="547" t="s">
        <v>737</v>
      </c>
      <c r="C555" s="593">
        <v>2.6076E7</v>
      </c>
      <c r="D555" s="22"/>
      <c r="E555" s="507"/>
      <c r="F555" s="507"/>
      <c r="G555" s="507"/>
      <c r="H555" s="507"/>
      <c r="I555" s="507"/>
      <c r="J555" s="507"/>
      <c r="K555" s="507"/>
      <c r="L555" s="507"/>
      <c r="M555" s="507"/>
      <c r="N555" s="507"/>
      <c r="O555" s="507"/>
      <c r="P555" s="507"/>
      <c r="Q555" s="507"/>
      <c r="R555" s="507"/>
      <c r="S555" s="507"/>
      <c r="T555" s="507"/>
      <c r="U555" s="507"/>
      <c r="V555" s="507"/>
      <c r="W555" s="507"/>
    </row>
    <row r="556" ht="35.25" customHeight="1">
      <c r="A556" s="679" t="s">
        <v>643</v>
      </c>
      <c r="B556" s="547" t="s">
        <v>88</v>
      </c>
      <c r="C556" s="593">
        <f>83179000-45000</f>
        <v>83134000</v>
      </c>
      <c r="D556" s="680">
        <f>SUM(C556:C559)</f>
        <v>192065500</v>
      </c>
      <c r="E556" s="507"/>
      <c r="F556" s="507"/>
      <c r="G556" s="507"/>
      <c r="H556" s="507"/>
      <c r="I556" s="507"/>
      <c r="J556" s="507"/>
      <c r="K556" s="507"/>
      <c r="L556" s="507"/>
      <c r="M556" s="507"/>
      <c r="N556" s="507"/>
      <c r="O556" s="507"/>
      <c r="P556" s="507"/>
      <c r="Q556" s="507"/>
      <c r="R556" s="507"/>
      <c r="S556" s="507"/>
      <c r="T556" s="507"/>
      <c r="U556" s="507"/>
      <c r="V556" s="507"/>
      <c r="W556" s="507"/>
    </row>
    <row r="557" ht="35.25" customHeight="1">
      <c r="A557" s="18"/>
      <c r="B557" s="547" t="s">
        <v>219</v>
      </c>
      <c r="C557" s="593">
        <f>31573000-81000</f>
        <v>31492000</v>
      </c>
      <c r="D557" s="18"/>
      <c r="E557" s="556"/>
      <c r="F557" s="507"/>
      <c r="G557" s="507"/>
      <c r="H557" s="507"/>
      <c r="I557" s="507"/>
      <c r="J557" s="507"/>
      <c r="K557" s="507"/>
      <c r="L557" s="507"/>
      <c r="M557" s="507"/>
      <c r="N557" s="507"/>
      <c r="O557" s="507"/>
      <c r="P557" s="507"/>
      <c r="Q557" s="507"/>
      <c r="R557" s="507"/>
      <c r="S557" s="507"/>
      <c r="T557" s="507"/>
      <c r="U557" s="507"/>
      <c r="V557" s="507"/>
      <c r="W557" s="507"/>
    </row>
    <row r="558" ht="35.25" customHeight="1">
      <c r="A558" s="18"/>
      <c r="B558" s="547" t="s">
        <v>89</v>
      </c>
      <c r="C558" s="598">
        <v>4.3949E7</v>
      </c>
      <c r="D558" s="18"/>
      <c r="E558" s="507"/>
      <c r="F558" s="507"/>
      <c r="G558" s="507"/>
      <c r="H558" s="507"/>
      <c r="I558" s="507"/>
      <c r="J558" s="507"/>
      <c r="K558" s="507"/>
      <c r="L558" s="507"/>
      <c r="M558" s="507"/>
      <c r="N558" s="507"/>
      <c r="O558" s="507"/>
      <c r="P558" s="507"/>
      <c r="Q558" s="507"/>
      <c r="R558" s="507"/>
      <c r="S558" s="507"/>
      <c r="T558" s="507"/>
      <c r="U558" s="507"/>
      <c r="V558" s="507"/>
      <c r="W558" s="507"/>
    </row>
    <row r="559" ht="35.25" customHeight="1">
      <c r="A559" s="22"/>
      <c r="B559" s="547" t="s">
        <v>737</v>
      </c>
      <c r="C559" s="598">
        <v>3.34905E7</v>
      </c>
      <c r="D559" s="22"/>
      <c r="E559" s="507"/>
      <c r="F559" s="507"/>
      <c r="G559" s="507"/>
      <c r="H559" s="507"/>
      <c r="I559" s="507"/>
      <c r="J559" s="507"/>
      <c r="K559" s="507"/>
      <c r="L559" s="507"/>
      <c r="M559" s="507"/>
      <c r="N559" s="507"/>
      <c r="O559" s="507"/>
      <c r="P559" s="507"/>
      <c r="Q559" s="507"/>
      <c r="R559" s="507"/>
      <c r="S559" s="507"/>
      <c r="T559" s="507"/>
      <c r="U559" s="507"/>
      <c r="V559" s="507"/>
      <c r="W559" s="507"/>
    </row>
    <row r="560" ht="35.25" customHeight="1">
      <c r="A560" s="679" t="s">
        <v>709</v>
      </c>
      <c r="B560" s="547" t="s">
        <v>88</v>
      </c>
      <c r="C560" s="593" t="s">
        <v>684</v>
      </c>
      <c r="D560" s="680">
        <f>SUM(C560:C563)</f>
        <v>170661500</v>
      </c>
      <c r="E560" s="507"/>
      <c r="F560" s="507"/>
      <c r="G560" s="507"/>
      <c r="H560" s="507"/>
      <c r="I560" s="507"/>
      <c r="J560" s="507"/>
      <c r="K560" s="507"/>
      <c r="L560" s="507"/>
      <c r="M560" s="507"/>
      <c r="N560" s="507"/>
      <c r="O560" s="507"/>
      <c r="P560" s="507"/>
      <c r="Q560" s="507"/>
      <c r="R560" s="507"/>
      <c r="S560" s="507"/>
      <c r="T560" s="507"/>
      <c r="U560" s="507"/>
      <c r="V560" s="507"/>
      <c r="W560" s="507"/>
    </row>
    <row r="561" ht="35.25" customHeight="1">
      <c r="A561" s="18"/>
      <c r="B561" s="547" t="s">
        <v>219</v>
      </c>
      <c r="C561" s="593">
        <v>6.16575E7</v>
      </c>
      <c r="D561" s="18"/>
      <c r="E561" s="556"/>
      <c r="F561" s="507"/>
      <c r="G561" s="507"/>
      <c r="H561" s="507"/>
      <c r="I561" s="507"/>
      <c r="J561" s="507"/>
      <c r="K561" s="507"/>
      <c r="L561" s="507"/>
      <c r="M561" s="507"/>
      <c r="N561" s="507"/>
      <c r="O561" s="507"/>
      <c r="P561" s="507"/>
      <c r="Q561" s="507"/>
      <c r="R561" s="507"/>
      <c r="S561" s="507"/>
      <c r="T561" s="507"/>
      <c r="U561" s="507"/>
      <c r="V561" s="507"/>
      <c r="W561" s="507"/>
    </row>
    <row r="562" ht="35.25" customHeight="1">
      <c r="A562" s="18"/>
      <c r="B562" s="547" t="s">
        <v>89</v>
      </c>
      <c r="C562" s="598">
        <v>6.0235E7</v>
      </c>
      <c r="D562" s="18"/>
      <c r="E562" s="507"/>
      <c r="F562" s="507"/>
      <c r="G562" s="507"/>
      <c r="H562" s="507"/>
      <c r="I562" s="507"/>
      <c r="J562" s="507"/>
      <c r="K562" s="507"/>
      <c r="L562" s="507"/>
      <c r="M562" s="507"/>
      <c r="N562" s="507"/>
      <c r="O562" s="507"/>
      <c r="P562" s="507"/>
      <c r="Q562" s="507"/>
      <c r="R562" s="507"/>
      <c r="S562" s="507"/>
      <c r="T562" s="507"/>
      <c r="U562" s="507"/>
      <c r="V562" s="507"/>
      <c r="W562" s="507"/>
    </row>
    <row r="563" ht="35.25" customHeight="1">
      <c r="A563" s="22"/>
      <c r="B563" s="547" t="s">
        <v>737</v>
      </c>
      <c r="C563" s="598">
        <v>4.8769E7</v>
      </c>
      <c r="D563" s="22"/>
      <c r="E563" s="507"/>
      <c r="F563" s="507"/>
      <c r="G563" s="507"/>
      <c r="H563" s="507"/>
      <c r="I563" s="507"/>
      <c r="J563" s="507"/>
      <c r="K563" s="507"/>
      <c r="L563" s="507"/>
      <c r="M563" s="507"/>
      <c r="N563" s="507"/>
      <c r="O563" s="507"/>
      <c r="P563" s="507"/>
      <c r="Q563" s="507"/>
      <c r="R563" s="507"/>
      <c r="S563" s="507"/>
      <c r="T563" s="507"/>
      <c r="U563" s="507"/>
      <c r="V563" s="507"/>
      <c r="W563" s="507"/>
    </row>
    <row r="564" ht="35.25" customHeight="1">
      <c r="A564" s="679" t="s">
        <v>710</v>
      </c>
      <c r="B564" s="547" t="s">
        <v>88</v>
      </c>
      <c r="C564" s="593">
        <f>61636000-1813000</f>
        <v>59823000</v>
      </c>
      <c r="D564" s="680">
        <f>SUM(C564:C567)</f>
        <v>185461000</v>
      </c>
      <c r="E564" s="507"/>
      <c r="F564" s="507"/>
      <c r="G564" s="507"/>
      <c r="H564" s="507"/>
      <c r="I564" s="507"/>
      <c r="J564" s="507"/>
      <c r="K564" s="507"/>
      <c r="L564" s="507"/>
      <c r="M564" s="507"/>
      <c r="N564" s="507"/>
      <c r="O564" s="507"/>
      <c r="P564" s="507"/>
      <c r="Q564" s="507"/>
      <c r="R564" s="507"/>
      <c r="S564" s="507"/>
      <c r="T564" s="507"/>
      <c r="U564" s="507"/>
      <c r="V564" s="507"/>
      <c r="W564" s="507"/>
    </row>
    <row r="565" ht="35.25" customHeight="1">
      <c r="A565" s="18"/>
      <c r="B565" s="547" t="s">
        <v>219</v>
      </c>
      <c r="C565" s="598">
        <v>2.7195E7</v>
      </c>
      <c r="D565" s="18"/>
      <c r="E565" s="556"/>
      <c r="F565" s="507"/>
      <c r="G565" s="507"/>
      <c r="H565" s="507"/>
      <c r="I565" s="507"/>
      <c r="J565" s="507"/>
      <c r="K565" s="507"/>
      <c r="L565" s="507"/>
      <c r="M565" s="507"/>
      <c r="N565" s="507"/>
      <c r="O565" s="507"/>
      <c r="P565" s="507"/>
      <c r="Q565" s="507"/>
      <c r="R565" s="507"/>
      <c r="S565" s="507"/>
      <c r="T565" s="507"/>
      <c r="U565" s="507"/>
      <c r="V565" s="507"/>
      <c r="W565" s="507"/>
    </row>
    <row r="566" ht="35.25" customHeight="1">
      <c r="A566" s="18"/>
      <c r="B566" s="547" t="s">
        <v>89</v>
      </c>
      <c r="C566" s="598">
        <v>6.3724E7</v>
      </c>
      <c r="D566" s="18"/>
      <c r="E566" s="507"/>
      <c r="F566" s="507"/>
      <c r="G566" s="507"/>
      <c r="H566" s="507"/>
      <c r="I566" s="507"/>
      <c r="J566" s="507"/>
      <c r="K566" s="507"/>
      <c r="L566" s="507"/>
      <c r="M566" s="507"/>
      <c r="N566" s="507"/>
      <c r="O566" s="507"/>
      <c r="P566" s="507"/>
      <c r="Q566" s="507"/>
      <c r="R566" s="507"/>
      <c r="S566" s="507"/>
      <c r="T566" s="507"/>
      <c r="U566" s="507"/>
      <c r="V566" s="507"/>
      <c r="W566" s="507"/>
    </row>
    <row r="567" ht="35.25" customHeight="1">
      <c r="A567" s="22"/>
      <c r="B567" s="547" t="s">
        <v>737</v>
      </c>
      <c r="C567" s="598">
        <v>3.4719E7</v>
      </c>
      <c r="D567" s="22"/>
      <c r="E567" s="507"/>
      <c r="F567" s="507"/>
      <c r="G567" s="507"/>
      <c r="H567" s="507"/>
      <c r="I567" s="507"/>
      <c r="J567" s="507"/>
      <c r="K567" s="507"/>
      <c r="L567" s="507"/>
      <c r="M567" s="507"/>
      <c r="N567" s="507"/>
      <c r="O567" s="507"/>
      <c r="P567" s="507"/>
      <c r="Q567" s="507"/>
      <c r="R567" s="507"/>
      <c r="S567" s="507"/>
      <c r="T567" s="507"/>
      <c r="U567" s="507"/>
      <c r="V567" s="507"/>
      <c r="W567" s="507"/>
    </row>
    <row r="568" ht="35.25" customHeight="1">
      <c r="A568" s="679" t="s">
        <v>711</v>
      </c>
      <c r="B568" s="547" t="s">
        <v>74</v>
      </c>
      <c r="C568" s="593" t="s">
        <v>7</v>
      </c>
      <c r="D568" s="680">
        <f>C572</f>
        <v>55243000</v>
      </c>
      <c r="E568" s="507"/>
      <c r="F568" s="507"/>
      <c r="G568" s="507"/>
      <c r="H568" s="556" t="s">
        <v>739</v>
      </c>
      <c r="I568" s="507"/>
      <c r="J568" s="507"/>
      <c r="K568" s="507"/>
      <c r="L568" s="507"/>
      <c r="M568" s="507"/>
      <c r="N568" s="507"/>
      <c r="O568" s="507"/>
      <c r="P568" s="507"/>
      <c r="Q568" s="507"/>
      <c r="R568" s="507"/>
      <c r="S568" s="507"/>
      <c r="T568" s="507"/>
      <c r="U568" s="507"/>
      <c r="V568" s="507"/>
      <c r="W568" s="507"/>
    </row>
    <row r="569" ht="35.25" customHeight="1">
      <c r="A569" s="18"/>
      <c r="B569" s="547" t="s">
        <v>88</v>
      </c>
      <c r="C569" s="593" t="s">
        <v>7</v>
      </c>
      <c r="D569" s="18"/>
      <c r="E569" s="507"/>
      <c r="F569" s="507"/>
      <c r="G569" s="507"/>
      <c r="H569" s="556" t="s">
        <v>739</v>
      </c>
      <c r="I569" s="507"/>
      <c r="J569" s="507"/>
      <c r="K569" s="507"/>
      <c r="L569" s="507"/>
      <c r="M569" s="507"/>
      <c r="N569" s="507"/>
      <c r="O569" s="507"/>
      <c r="P569" s="507"/>
      <c r="Q569" s="507"/>
      <c r="R569" s="507"/>
      <c r="S569" s="507"/>
      <c r="T569" s="507"/>
      <c r="U569" s="507"/>
      <c r="V569" s="507"/>
      <c r="W569" s="507"/>
    </row>
    <row r="570" ht="35.25" customHeight="1">
      <c r="A570" s="18"/>
      <c r="B570" s="547" t="s">
        <v>219</v>
      </c>
      <c r="C570" s="598" t="s">
        <v>7</v>
      </c>
      <c r="D570" s="18"/>
      <c r="E570" s="507"/>
      <c r="F570" s="507"/>
      <c r="G570" s="507"/>
      <c r="H570" s="556" t="s">
        <v>739</v>
      </c>
      <c r="I570" s="507"/>
      <c r="J570" s="507"/>
      <c r="K570" s="507"/>
      <c r="L570" s="507"/>
      <c r="M570" s="507"/>
      <c r="N570" s="507"/>
      <c r="O570" s="507"/>
      <c r="P570" s="507"/>
      <c r="Q570" s="507"/>
      <c r="R570" s="507"/>
      <c r="S570" s="507"/>
      <c r="T570" s="507"/>
      <c r="U570" s="507"/>
      <c r="V570" s="507"/>
      <c r="W570" s="507"/>
    </row>
    <row r="571" ht="35.25" customHeight="1">
      <c r="A571" s="18"/>
      <c r="B571" s="547" t="s">
        <v>89</v>
      </c>
      <c r="C571" s="598" t="s">
        <v>7</v>
      </c>
      <c r="D571" s="18"/>
      <c r="E571" s="556"/>
      <c r="F571" s="507"/>
      <c r="G571" s="507"/>
      <c r="H571" s="556" t="s">
        <v>739</v>
      </c>
      <c r="I571" s="507"/>
      <c r="J571" s="507"/>
      <c r="K571" s="507"/>
      <c r="L571" s="507"/>
      <c r="M571" s="507"/>
      <c r="N571" s="507"/>
      <c r="O571" s="507"/>
      <c r="P571" s="507"/>
      <c r="Q571" s="507"/>
      <c r="R571" s="507"/>
      <c r="S571" s="507"/>
      <c r="T571" s="507"/>
      <c r="U571" s="507"/>
      <c r="V571" s="507"/>
      <c r="W571" s="507"/>
    </row>
    <row r="572" ht="35.25" customHeight="1">
      <c r="A572" s="22"/>
      <c r="B572" s="547" t="s">
        <v>220</v>
      </c>
      <c r="C572" s="598">
        <v>5.5243E7</v>
      </c>
      <c r="D572" s="22"/>
      <c r="E572" s="556"/>
      <c r="F572" s="507"/>
      <c r="G572" s="507"/>
      <c r="H572" s="556" t="s">
        <v>739</v>
      </c>
      <c r="I572" s="507"/>
      <c r="J572" s="507"/>
      <c r="K572" s="507"/>
      <c r="L572" s="507"/>
      <c r="M572" s="507"/>
      <c r="N572" s="507"/>
      <c r="O572" s="507"/>
      <c r="P572" s="507"/>
      <c r="Q572" s="507"/>
      <c r="R572" s="507"/>
      <c r="S572" s="507"/>
      <c r="T572" s="507"/>
      <c r="U572" s="507"/>
      <c r="V572" s="507"/>
      <c r="W572" s="507"/>
    </row>
    <row r="573" ht="35.25" customHeight="1">
      <c r="A573" s="679" t="s">
        <v>712</v>
      </c>
      <c r="B573" s="547" t="s">
        <v>88</v>
      </c>
      <c r="C573" s="593">
        <f>(163561000-4835000-255000-20000-1250000-250000)-150000000</f>
        <v>6951000</v>
      </c>
      <c r="D573" s="680">
        <f>sum(C573:C576)</f>
        <v>225455000</v>
      </c>
      <c r="E573" s="507"/>
      <c r="F573" s="507"/>
      <c r="G573" s="507"/>
      <c r="H573" s="556" t="s">
        <v>739</v>
      </c>
      <c r="I573" s="507"/>
      <c r="J573" s="507"/>
      <c r="K573" s="507"/>
      <c r="L573" s="507"/>
      <c r="M573" s="507"/>
      <c r="N573" s="507"/>
      <c r="O573" s="507"/>
      <c r="P573" s="507"/>
      <c r="Q573" s="507"/>
      <c r="R573" s="507"/>
      <c r="S573" s="507"/>
      <c r="T573" s="507"/>
      <c r="U573" s="507"/>
      <c r="V573" s="507"/>
      <c r="W573" s="507"/>
    </row>
    <row r="574" ht="35.25" customHeight="1">
      <c r="A574" s="18"/>
      <c r="B574" s="547" t="s">
        <v>219</v>
      </c>
      <c r="C574" s="598">
        <v>9.51375E7</v>
      </c>
      <c r="D574" s="18"/>
      <c r="E574" s="507"/>
      <c r="F574" s="507"/>
      <c r="G574" s="507"/>
      <c r="H574" s="556" t="s">
        <v>739</v>
      </c>
      <c r="I574" s="507"/>
      <c r="J574" s="507"/>
      <c r="K574" s="507"/>
      <c r="L574" s="507"/>
      <c r="M574" s="507"/>
      <c r="N574" s="507"/>
      <c r="O574" s="507"/>
      <c r="P574" s="507"/>
      <c r="Q574" s="507"/>
      <c r="R574" s="507"/>
      <c r="S574" s="507"/>
      <c r="T574" s="507"/>
      <c r="U574" s="507"/>
      <c r="V574" s="507"/>
      <c r="W574" s="507"/>
    </row>
    <row r="575" ht="35.25" customHeight="1">
      <c r="A575" s="18"/>
      <c r="B575" s="547" t="s">
        <v>89</v>
      </c>
      <c r="C575" s="598">
        <v>7.43245E7</v>
      </c>
      <c r="D575" s="18"/>
      <c r="E575" s="507">
        <f>85*3000</f>
        <v>255000</v>
      </c>
      <c r="F575" s="507"/>
      <c r="G575" s="507"/>
      <c r="H575" s="556" t="s">
        <v>739</v>
      </c>
      <c r="I575" s="507"/>
      <c r="J575" s="507"/>
      <c r="K575" s="507"/>
      <c r="L575" s="507"/>
      <c r="M575" s="507"/>
      <c r="N575" s="507"/>
      <c r="O575" s="507"/>
      <c r="P575" s="507"/>
      <c r="Q575" s="507"/>
      <c r="R575" s="507"/>
      <c r="S575" s="507"/>
      <c r="T575" s="507"/>
      <c r="U575" s="507"/>
      <c r="V575" s="507"/>
      <c r="W575" s="507"/>
    </row>
    <row r="576" ht="35.25" customHeight="1">
      <c r="A576" s="22"/>
      <c r="B576" s="547" t="s">
        <v>220</v>
      </c>
      <c r="C576" s="598">
        <v>4.9042E7</v>
      </c>
      <c r="D576" s="22"/>
      <c r="E576" s="556"/>
      <c r="F576" s="507"/>
      <c r="G576" s="507"/>
      <c r="H576" s="556" t="s">
        <v>739</v>
      </c>
      <c r="I576" s="507"/>
      <c r="J576" s="507"/>
      <c r="K576" s="507"/>
      <c r="L576" s="507"/>
      <c r="M576" s="507"/>
      <c r="N576" s="507"/>
      <c r="O576" s="507"/>
      <c r="P576" s="507"/>
      <c r="Q576" s="507"/>
      <c r="R576" s="507"/>
      <c r="S576" s="507"/>
      <c r="T576" s="507"/>
      <c r="U576" s="507"/>
      <c r="V576" s="507"/>
      <c r="W576" s="507"/>
    </row>
    <row r="577" ht="35.25" customHeight="1">
      <c r="A577" s="679" t="s">
        <v>60</v>
      </c>
      <c r="B577" s="547" t="s">
        <v>88</v>
      </c>
      <c r="C577" s="593" t="s">
        <v>7</v>
      </c>
      <c r="D577" s="680">
        <f>sum(C577:C580)</f>
        <v>41846500</v>
      </c>
      <c r="E577" s="507"/>
      <c r="F577" s="507"/>
      <c r="G577" s="507"/>
      <c r="H577" s="556" t="s">
        <v>739</v>
      </c>
      <c r="I577" s="507"/>
      <c r="J577" s="507"/>
      <c r="K577" s="507"/>
      <c r="L577" s="507"/>
      <c r="M577" s="507"/>
      <c r="N577" s="507"/>
      <c r="O577" s="507"/>
      <c r="P577" s="507"/>
      <c r="Q577" s="507"/>
      <c r="R577" s="507"/>
      <c r="S577" s="507"/>
      <c r="T577" s="507"/>
      <c r="U577" s="507"/>
      <c r="V577" s="507"/>
      <c r="W577" s="507"/>
    </row>
    <row r="578" ht="35.25" customHeight="1">
      <c r="A578" s="18"/>
      <c r="B578" s="547" t="s">
        <v>219</v>
      </c>
      <c r="C578" s="593" t="s">
        <v>7</v>
      </c>
      <c r="D578" s="18"/>
      <c r="E578" s="507"/>
      <c r="F578" s="507"/>
      <c r="G578" s="507"/>
      <c r="H578" s="556" t="s">
        <v>739</v>
      </c>
      <c r="I578" s="507"/>
      <c r="J578" s="507"/>
      <c r="K578" s="507"/>
      <c r="L578" s="507"/>
      <c r="M578" s="507"/>
      <c r="N578" s="507"/>
      <c r="O578" s="507"/>
      <c r="P578" s="507"/>
      <c r="Q578" s="507"/>
      <c r="R578" s="507"/>
      <c r="S578" s="507"/>
      <c r="T578" s="507"/>
      <c r="U578" s="507"/>
      <c r="V578" s="507"/>
      <c r="W578" s="507"/>
    </row>
    <row r="579" ht="35.25" customHeight="1">
      <c r="A579" s="18"/>
      <c r="B579" s="547" t="s">
        <v>89</v>
      </c>
      <c r="C579" s="593" t="s">
        <v>7</v>
      </c>
      <c r="D579" s="18"/>
      <c r="E579" s="507"/>
      <c r="F579" s="507"/>
      <c r="G579" s="507"/>
      <c r="H579" s="556" t="s">
        <v>739</v>
      </c>
      <c r="I579" s="507"/>
      <c r="J579" s="507"/>
      <c r="K579" s="507"/>
      <c r="L579" s="507"/>
      <c r="M579" s="507"/>
      <c r="N579" s="507"/>
      <c r="O579" s="507"/>
      <c r="P579" s="507"/>
      <c r="Q579" s="507"/>
      <c r="R579" s="507"/>
      <c r="S579" s="507"/>
      <c r="T579" s="507"/>
      <c r="U579" s="507"/>
      <c r="V579" s="507"/>
      <c r="W579" s="507"/>
    </row>
    <row r="580" ht="35.25" customHeight="1">
      <c r="A580" s="22"/>
      <c r="B580" s="547" t="s">
        <v>220</v>
      </c>
      <c r="C580" s="593">
        <v>4.18465E7</v>
      </c>
      <c r="D580" s="22"/>
      <c r="E580" s="507"/>
      <c r="F580" s="507"/>
      <c r="G580" s="507"/>
      <c r="H580" s="556" t="s">
        <v>739</v>
      </c>
      <c r="I580" s="507"/>
      <c r="J580" s="507"/>
      <c r="K580" s="507"/>
      <c r="L580" s="507"/>
      <c r="M580" s="507"/>
      <c r="N580" s="507"/>
      <c r="O580" s="507"/>
      <c r="P580" s="507"/>
      <c r="Q580" s="507"/>
      <c r="R580" s="507"/>
      <c r="S580" s="507"/>
      <c r="T580" s="507"/>
      <c r="U580" s="507"/>
      <c r="V580" s="507"/>
      <c r="W580" s="507"/>
    </row>
    <row r="581" ht="35.25" customHeight="1">
      <c r="A581" s="679" t="s">
        <v>714</v>
      </c>
      <c r="B581" s="547" t="s">
        <v>88</v>
      </c>
      <c r="C581" s="598" t="s">
        <v>7</v>
      </c>
      <c r="D581" s="680">
        <f>SUM(C581:C584)</f>
        <v>8864500</v>
      </c>
      <c r="E581" s="635"/>
      <c r="F581" s="635"/>
      <c r="G581" s="507"/>
      <c r="H581" s="556" t="s">
        <v>739</v>
      </c>
      <c r="I581" s="507"/>
      <c r="J581" s="507"/>
      <c r="K581" s="507"/>
      <c r="L581" s="507"/>
      <c r="M581" s="507"/>
      <c r="N581" s="507"/>
      <c r="O581" s="507"/>
      <c r="P581" s="507"/>
      <c r="Q581" s="507"/>
      <c r="R581" s="507"/>
      <c r="S581" s="507"/>
      <c r="T581" s="507"/>
      <c r="U581" s="507"/>
      <c r="V581" s="507"/>
      <c r="W581" s="507"/>
    </row>
    <row r="582" ht="35.25" customHeight="1">
      <c r="A582" s="18"/>
      <c r="B582" s="547" t="s">
        <v>219</v>
      </c>
      <c r="C582" s="593" t="s">
        <v>7</v>
      </c>
      <c r="D582" s="18"/>
      <c r="E582" s="635"/>
      <c r="F582" s="556"/>
      <c r="G582" s="507"/>
      <c r="H582" s="556" t="s">
        <v>739</v>
      </c>
      <c r="I582" s="507"/>
      <c r="J582" s="507"/>
      <c r="K582" s="507"/>
      <c r="L582" s="507"/>
      <c r="M582" s="507"/>
      <c r="N582" s="507"/>
      <c r="O582" s="507"/>
      <c r="P582" s="507"/>
      <c r="Q582" s="507"/>
      <c r="R582" s="507"/>
      <c r="S582" s="507"/>
      <c r="T582" s="507"/>
      <c r="U582" s="507"/>
      <c r="V582" s="507"/>
      <c r="W582" s="507"/>
    </row>
    <row r="583" ht="35.25" customHeight="1">
      <c r="A583" s="18"/>
      <c r="B583" s="547" t="s">
        <v>89</v>
      </c>
      <c r="C583" s="593">
        <v>2040500.0</v>
      </c>
      <c r="D583" s="18"/>
      <c r="E583" s="635"/>
      <c r="F583" s="556"/>
      <c r="G583" s="507"/>
      <c r="H583" s="556" t="s">
        <v>739</v>
      </c>
      <c r="I583" s="507"/>
      <c r="J583" s="507"/>
      <c r="K583" s="507"/>
      <c r="L583" s="507"/>
      <c r="M583" s="507"/>
      <c r="N583" s="507"/>
      <c r="O583" s="507"/>
      <c r="P583" s="507"/>
      <c r="Q583" s="507"/>
      <c r="R583" s="507"/>
      <c r="S583" s="507"/>
      <c r="T583" s="507"/>
      <c r="U583" s="507"/>
      <c r="V583" s="507"/>
      <c r="W583" s="507"/>
    </row>
    <row r="584" ht="35.25" customHeight="1">
      <c r="A584" s="22"/>
      <c r="B584" s="547" t="s">
        <v>220</v>
      </c>
      <c r="C584" s="593">
        <f>6945000-121000</f>
        <v>6824000</v>
      </c>
      <c r="D584" s="22"/>
      <c r="E584" s="507">
        <f>27*3000+40000</f>
        <v>121000</v>
      </c>
      <c r="F584" s="635"/>
      <c r="G584" s="507"/>
      <c r="H584" s="556" t="s">
        <v>739</v>
      </c>
      <c r="I584" s="507"/>
      <c r="J584" s="507"/>
      <c r="K584" s="507"/>
      <c r="L584" s="507"/>
      <c r="M584" s="507"/>
      <c r="N584" s="507"/>
      <c r="O584" s="507"/>
      <c r="P584" s="507"/>
      <c r="Q584" s="507"/>
      <c r="R584" s="507"/>
      <c r="S584" s="507"/>
      <c r="T584" s="507"/>
      <c r="U584" s="507"/>
      <c r="V584" s="507"/>
      <c r="W584" s="507"/>
    </row>
    <row r="585" ht="35.25" customHeight="1">
      <c r="A585" s="679" t="s">
        <v>715</v>
      </c>
      <c r="B585" s="547" t="s">
        <v>74</v>
      </c>
      <c r="C585" s="593">
        <v>6.964E7</v>
      </c>
      <c r="D585" s="680">
        <f>sum(C585:C589)</f>
        <v>442291500</v>
      </c>
      <c r="E585" s="507"/>
      <c r="F585" s="507"/>
      <c r="G585" s="507"/>
      <c r="H585" s="556" t="s">
        <v>739</v>
      </c>
      <c r="I585" s="507"/>
      <c r="J585" s="507"/>
      <c r="L585" s="507"/>
      <c r="M585" s="507"/>
      <c r="N585" s="507"/>
      <c r="O585" s="507"/>
      <c r="P585" s="507"/>
      <c r="Q585" s="507"/>
      <c r="R585" s="507"/>
      <c r="S585" s="507"/>
      <c r="T585" s="507"/>
      <c r="U585" s="507"/>
      <c r="V585" s="507"/>
      <c r="W585" s="507"/>
    </row>
    <row r="586" ht="35.25" customHeight="1">
      <c r="A586" s="18"/>
      <c r="B586" s="547" t="s">
        <v>88</v>
      </c>
      <c r="C586" s="593">
        <v>1.27516E8</v>
      </c>
      <c r="D586" s="18"/>
      <c r="E586" s="507"/>
      <c r="F586" s="507"/>
      <c r="G586" s="507"/>
      <c r="H586" s="556" t="s">
        <v>739</v>
      </c>
      <c r="I586" s="507"/>
      <c r="J586" s="507"/>
      <c r="K586" s="507"/>
      <c r="L586" s="507"/>
      <c r="M586" s="507"/>
      <c r="N586" s="507"/>
      <c r="O586" s="507"/>
      <c r="P586" s="507"/>
      <c r="Q586" s="507"/>
      <c r="R586" s="507"/>
      <c r="S586" s="507"/>
      <c r="T586" s="507"/>
      <c r="U586" s="507"/>
      <c r="V586" s="507"/>
      <c r="W586" s="507"/>
    </row>
    <row r="587" ht="35.25" customHeight="1">
      <c r="A587" s="18"/>
      <c r="B587" s="547" t="s">
        <v>219</v>
      </c>
      <c r="C587" s="593">
        <v>9.4705E7</v>
      </c>
      <c r="D587" s="18"/>
      <c r="E587" s="507"/>
      <c r="F587" s="507"/>
      <c r="G587" s="507"/>
      <c r="H587" s="556" t="s">
        <v>739</v>
      </c>
      <c r="I587" s="507"/>
      <c r="J587" s="507"/>
      <c r="K587" s="507"/>
      <c r="L587" s="507"/>
      <c r="M587" s="507"/>
      <c r="N587" s="507"/>
      <c r="O587" s="507"/>
      <c r="P587" s="507"/>
      <c r="Q587" s="507"/>
      <c r="R587" s="507"/>
      <c r="S587" s="507"/>
      <c r="T587" s="507"/>
      <c r="U587" s="507"/>
      <c r="V587" s="507"/>
      <c r="W587" s="507"/>
    </row>
    <row r="588" ht="35.25" customHeight="1">
      <c r="A588" s="18"/>
      <c r="B588" s="547" t="s">
        <v>89</v>
      </c>
      <c r="C588" s="593">
        <v>4.52515E7</v>
      </c>
      <c r="D588" s="18"/>
      <c r="E588" s="507"/>
      <c r="F588" s="507"/>
      <c r="G588" s="507"/>
      <c r="H588" s="556" t="s">
        <v>739</v>
      </c>
      <c r="I588" s="507"/>
      <c r="J588" s="507"/>
      <c r="K588" s="507"/>
      <c r="L588" s="507"/>
      <c r="M588" s="507"/>
      <c r="N588" s="507"/>
      <c r="O588" s="507"/>
      <c r="P588" s="507"/>
      <c r="Q588" s="507"/>
      <c r="R588" s="507"/>
      <c r="S588" s="507"/>
      <c r="T588" s="507"/>
      <c r="U588" s="507"/>
      <c r="V588" s="507"/>
      <c r="W588" s="507"/>
    </row>
    <row r="589" ht="35.25" customHeight="1">
      <c r="A589" s="22"/>
      <c r="B589" s="547" t="s">
        <v>220</v>
      </c>
      <c r="C589" s="593">
        <v>1.05179E8</v>
      </c>
      <c r="D589" s="22"/>
      <c r="E589" s="507"/>
      <c r="F589" s="507"/>
      <c r="G589" s="507"/>
      <c r="H589" s="556" t="s">
        <v>739</v>
      </c>
      <c r="I589" s="507"/>
      <c r="J589" s="507"/>
      <c r="K589" s="507"/>
      <c r="L589" s="507"/>
      <c r="M589" s="507"/>
      <c r="N589" s="507"/>
      <c r="O589" s="507"/>
      <c r="P589" s="507"/>
      <c r="Q589" s="507"/>
      <c r="R589" s="507"/>
      <c r="S589" s="507"/>
      <c r="T589" s="507"/>
      <c r="U589" s="507"/>
      <c r="V589" s="507"/>
      <c r="W589" s="507"/>
    </row>
    <row r="590" ht="35.25" customHeight="1">
      <c r="A590" s="679" t="s">
        <v>716</v>
      </c>
      <c r="B590" s="547" t="s">
        <v>88</v>
      </c>
      <c r="C590" s="593" t="s">
        <v>7</v>
      </c>
      <c r="D590" s="680">
        <f>SUM(C590:C593)</f>
        <v>116531000</v>
      </c>
      <c r="E590" s="507"/>
      <c r="F590" s="507"/>
      <c r="G590" s="507"/>
      <c r="H590" s="556" t="s">
        <v>739</v>
      </c>
      <c r="I590" s="507"/>
      <c r="J590" s="507"/>
      <c r="K590" s="507"/>
      <c r="L590" s="507"/>
      <c r="M590" s="507"/>
      <c r="N590" s="507"/>
      <c r="O590" s="507"/>
      <c r="P590" s="507"/>
      <c r="Q590" s="507"/>
      <c r="R590" s="507"/>
      <c r="S590" s="507"/>
      <c r="T590" s="507"/>
      <c r="U590" s="507"/>
      <c r="V590" s="507"/>
      <c r="W590" s="507"/>
    </row>
    <row r="591" ht="35.25" customHeight="1">
      <c r="A591" s="18"/>
      <c r="B591" s="547" t="s">
        <v>219</v>
      </c>
      <c r="C591" s="593" t="s">
        <v>7</v>
      </c>
      <c r="D591" s="18"/>
      <c r="E591" s="507"/>
      <c r="F591" s="507"/>
      <c r="G591" s="507"/>
      <c r="H591" s="556" t="s">
        <v>739</v>
      </c>
      <c r="I591" s="507"/>
      <c r="J591" s="507"/>
      <c r="K591" s="507"/>
      <c r="L591" s="507"/>
      <c r="M591" s="507"/>
      <c r="N591" s="507"/>
      <c r="O591" s="507"/>
      <c r="P591" s="507"/>
      <c r="Q591" s="507"/>
      <c r="R591" s="507"/>
      <c r="S591" s="507"/>
      <c r="T591" s="507"/>
      <c r="U591" s="507"/>
      <c r="V591" s="507"/>
      <c r="W591" s="507"/>
    </row>
    <row r="592" ht="35.25" customHeight="1">
      <c r="A592" s="18"/>
      <c r="B592" s="547" t="s">
        <v>89</v>
      </c>
      <c r="C592" s="593" t="s">
        <v>7</v>
      </c>
      <c r="D592" s="18"/>
      <c r="E592" s="556"/>
      <c r="F592" s="507"/>
      <c r="G592" s="507"/>
      <c r="H592" s="556" t="s">
        <v>739</v>
      </c>
      <c r="I592" s="507"/>
      <c r="J592" s="507"/>
      <c r="K592" s="507"/>
      <c r="L592" s="507"/>
      <c r="M592" s="507"/>
      <c r="N592" s="507"/>
      <c r="O592" s="507"/>
      <c r="P592" s="507"/>
      <c r="Q592" s="507"/>
      <c r="R592" s="507"/>
      <c r="S592" s="507"/>
      <c r="T592" s="507"/>
      <c r="U592" s="507"/>
      <c r="V592" s="507"/>
      <c r="W592" s="507"/>
    </row>
    <row r="593" ht="35.25" customHeight="1">
      <c r="A593" s="22"/>
      <c r="B593" s="547" t="s">
        <v>220</v>
      </c>
      <c r="C593" s="593">
        <v>1.16531E8</v>
      </c>
      <c r="D593" s="22"/>
      <c r="E593" s="507"/>
      <c r="F593" s="507"/>
      <c r="G593" s="507"/>
      <c r="H593" s="556" t="s">
        <v>739</v>
      </c>
      <c r="I593" s="507"/>
      <c r="J593" s="507"/>
      <c r="K593" s="507"/>
      <c r="L593" s="507"/>
      <c r="M593" s="507"/>
      <c r="N593" s="507"/>
      <c r="O593" s="507"/>
      <c r="P593" s="507"/>
      <c r="Q593" s="507"/>
      <c r="R593" s="507"/>
      <c r="S593" s="507"/>
      <c r="T593" s="507"/>
      <c r="U593" s="507"/>
      <c r="V593" s="507"/>
      <c r="W593" s="507"/>
    </row>
    <row r="594" ht="35.25" customHeight="1">
      <c r="A594" s="679" t="s">
        <v>718</v>
      </c>
      <c r="B594" s="547" t="s">
        <v>88</v>
      </c>
      <c r="C594" s="593">
        <v>3.4201E7</v>
      </c>
      <c r="D594" s="680">
        <f>SUM(C594:C597)</f>
        <v>117470500</v>
      </c>
      <c r="E594" s="507"/>
      <c r="F594" s="507"/>
      <c r="G594" s="507"/>
      <c r="H594" s="556" t="s">
        <v>739</v>
      </c>
      <c r="I594" s="507"/>
      <c r="J594" s="507"/>
      <c r="K594" s="507"/>
      <c r="L594" s="507"/>
      <c r="M594" s="507"/>
      <c r="N594" s="507"/>
      <c r="O594" s="507"/>
      <c r="P594" s="507"/>
      <c r="Q594" s="507"/>
      <c r="R594" s="507"/>
      <c r="S594" s="507"/>
      <c r="T594" s="507"/>
      <c r="U594" s="507"/>
      <c r="V594" s="507"/>
      <c r="W594" s="507"/>
    </row>
    <row r="595" ht="35.25" customHeight="1">
      <c r="A595" s="18"/>
      <c r="B595" s="547" t="s">
        <v>219</v>
      </c>
      <c r="C595" s="593">
        <v>2.8902E7</v>
      </c>
      <c r="D595" s="18"/>
      <c r="E595" s="507"/>
      <c r="F595" s="507"/>
      <c r="G595" s="507"/>
      <c r="H595" s="556" t="s">
        <v>739</v>
      </c>
      <c r="I595" s="507"/>
      <c r="J595" s="507"/>
      <c r="K595" s="507"/>
      <c r="L595" s="507"/>
      <c r="M595" s="507"/>
      <c r="N595" s="507"/>
      <c r="O595" s="507"/>
      <c r="P595" s="507"/>
      <c r="Q595" s="507"/>
      <c r="R595" s="507"/>
      <c r="S595" s="507"/>
      <c r="T595" s="507"/>
      <c r="U595" s="507"/>
      <c r="V595" s="507"/>
      <c r="W595" s="507"/>
    </row>
    <row r="596" ht="35.25" customHeight="1">
      <c r="A596" s="18"/>
      <c r="B596" s="547" t="s">
        <v>89</v>
      </c>
      <c r="C596" s="598">
        <v>2.3619E7</v>
      </c>
      <c r="D596" s="18"/>
      <c r="E596" s="507"/>
      <c r="F596" s="507"/>
      <c r="G596" s="507"/>
      <c r="H596" s="556" t="s">
        <v>739</v>
      </c>
      <c r="I596" s="507"/>
      <c r="J596" s="507"/>
      <c r="K596" s="507"/>
      <c r="L596" s="507"/>
      <c r="M596" s="507"/>
      <c r="N596" s="507"/>
      <c r="O596" s="507"/>
      <c r="P596" s="507"/>
      <c r="Q596" s="507"/>
      <c r="R596" s="507"/>
      <c r="S596" s="507"/>
      <c r="T596" s="507"/>
      <c r="U596" s="507"/>
      <c r="V596" s="507"/>
      <c r="W596" s="507"/>
    </row>
    <row r="597" ht="35.25" customHeight="1">
      <c r="A597" s="22"/>
      <c r="B597" s="547" t="s">
        <v>220</v>
      </c>
      <c r="C597" s="593">
        <f>-120000+30868500</f>
        <v>30748500</v>
      </c>
      <c r="D597" s="22"/>
      <c r="E597" s="507"/>
      <c r="F597" s="507"/>
      <c r="G597" s="507"/>
      <c r="H597" s="556" t="s">
        <v>739</v>
      </c>
      <c r="I597" s="507"/>
      <c r="J597" s="507"/>
      <c r="K597" s="507"/>
      <c r="L597" s="507"/>
      <c r="M597" s="507"/>
      <c r="N597" s="507"/>
      <c r="O597" s="507"/>
      <c r="P597" s="507"/>
      <c r="Q597" s="507"/>
      <c r="R597" s="507"/>
      <c r="S597" s="507"/>
      <c r="T597" s="507"/>
      <c r="U597" s="507"/>
      <c r="V597" s="507"/>
      <c r="W597" s="507"/>
    </row>
    <row r="598" ht="35.25" customHeight="1">
      <c r="A598" s="679" t="s">
        <v>719</v>
      </c>
      <c r="B598" s="547" t="s">
        <v>74</v>
      </c>
      <c r="C598" s="593" t="s">
        <v>7</v>
      </c>
      <c r="D598" s="680">
        <f>SUM(C598:C602)</f>
        <v>87240500</v>
      </c>
      <c r="E598" s="507"/>
      <c r="F598" s="507"/>
      <c r="G598" s="507"/>
      <c r="H598" s="556" t="s">
        <v>739</v>
      </c>
      <c r="I598" s="507"/>
      <c r="J598" s="507"/>
      <c r="K598" s="507"/>
      <c r="L598" s="507"/>
      <c r="M598" s="507"/>
      <c r="N598" s="507"/>
      <c r="O598" s="507"/>
      <c r="P598" s="507"/>
      <c r="Q598" s="507"/>
      <c r="R598" s="507"/>
      <c r="S598" s="507"/>
      <c r="T598" s="507"/>
      <c r="U598" s="507"/>
      <c r="V598" s="507"/>
      <c r="W598" s="507"/>
    </row>
    <row r="599" ht="35.25" customHeight="1">
      <c r="A599" s="18"/>
      <c r="B599" s="547" t="s">
        <v>88</v>
      </c>
      <c r="C599" s="593" t="s">
        <v>7</v>
      </c>
      <c r="D599" s="18"/>
      <c r="E599" s="507"/>
      <c r="F599" s="507"/>
      <c r="G599" s="507"/>
      <c r="H599" s="556" t="s">
        <v>739</v>
      </c>
      <c r="I599" s="507"/>
      <c r="J599" s="507"/>
      <c r="K599" s="507"/>
      <c r="L599" s="507"/>
      <c r="M599" s="507"/>
      <c r="N599" s="507"/>
      <c r="O599" s="507"/>
      <c r="P599" s="507"/>
      <c r="Q599" s="507"/>
      <c r="R599" s="507"/>
      <c r="S599" s="507"/>
      <c r="T599" s="507"/>
      <c r="U599" s="507"/>
      <c r="V599" s="507"/>
      <c r="W599" s="507"/>
    </row>
    <row r="600" ht="35.25" customHeight="1">
      <c r="A600" s="18"/>
      <c r="B600" s="547" t="s">
        <v>219</v>
      </c>
      <c r="C600" s="598" t="s">
        <v>7</v>
      </c>
      <c r="D600" s="18"/>
      <c r="E600" s="507"/>
      <c r="F600" s="507"/>
      <c r="G600" s="507"/>
      <c r="H600" s="556" t="s">
        <v>739</v>
      </c>
      <c r="I600" s="507"/>
      <c r="J600" s="507"/>
      <c r="K600" s="507"/>
      <c r="L600" s="507"/>
      <c r="M600" s="507"/>
      <c r="N600" s="507"/>
      <c r="O600" s="507"/>
      <c r="P600" s="507"/>
      <c r="Q600" s="507"/>
      <c r="R600" s="507"/>
      <c r="S600" s="507"/>
      <c r="T600" s="507"/>
      <c r="U600" s="507"/>
      <c r="V600" s="507"/>
      <c r="W600" s="507"/>
    </row>
    <row r="601" ht="35.25" customHeight="1">
      <c r="A601" s="18"/>
      <c r="B601" s="547" t="s">
        <v>89</v>
      </c>
      <c r="C601" s="593" t="s">
        <v>7</v>
      </c>
      <c r="D601" s="18"/>
      <c r="E601" s="635"/>
      <c r="F601" s="507"/>
      <c r="G601" s="507"/>
      <c r="H601" s="556" t="s">
        <v>739</v>
      </c>
      <c r="I601" s="507"/>
      <c r="J601" s="507"/>
      <c r="K601" s="507"/>
      <c r="L601" s="507"/>
      <c r="M601" s="507"/>
      <c r="N601" s="507"/>
      <c r="O601" s="507"/>
      <c r="P601" s="507"/>
      <c r="Q601" s="507"/>
      <c r="R601" s="507"/>
      <c r="S601" s="507"/>
      <c r="T601" s="507"/>
      <c r="U601" s="507"/>
      <c r="V601" s="507"/>
      <c r="W601" s="507"/>
    </row>
    <row r="602" ht="35.25" customHeight="1">
      <c r="A602" s="22"/>
      <c r="B602" s="547" t="s">
        <v>220</v>
      </c>
      <c r="C602" s="593">
        <f>91245500-2960000-1045000</f>
        <v>87240500</v>
      </c>
      <c r="D602" s="22"/>
      <c r="E602" s="507"/>
      <c r="F602" s="507"/>
      <c r="G602" s="507"/>
      <c r="H602" s="556" t="s">
        <v>739</v>
      </c>
      <c r="I602" s="507"/>
      <c r="J602" s="507"/>
      <c r="K602" s="507"/>
      <c r="L602" s="507"/>
      <c r="M602" s="507"/>
      <c r="N602" s="507"/>
      <c r="O602" s="507"/>
      <c r="P602" s="507"/>
      <c r="Q602" s="507"/>
      <c r="R602" s="507"/>
      <c r="S602" s="507"/>
      <c r="T602" s="507"/>
      <c r="U602" s="507"/>
      <c r="V602" s="507"/>
      <c r="W602" s="507"/>
    </row>
    <row r="603" ht="35.25" customHeight="1">
      <c r="A603" s="679" t="s">
        <v>720</v>
      </c>
      <c r="B603" s="547" t="s">
        <v>74</v>
      </c>
      <c r="C603" s="593"/>
      <c r="D603" s="680">
        <f>SUM(C603:C607)</f>
        <v>232615400</v>
      </c>
      <c r="E603" s="557"/>
      <c r="F603" s="507"/>
      <c r="G603" s="507"/>
      <c r="H603" s="556" t="s">
        <v>739</v>
      </c>
      <c r="I603" s="507"/>
      <c r="J603" s="507"/>
      <c r="K603" s="507"/>
      <c r="L603" s="507"/>
      <c r="M603" s="507"/>
      <c r="N603" s="507"/>
      <c r="O603" s="507"/>
      <c r="P603" s="507"/>
      <c r="Q603" s="507"/>
      <c r="R603" s="507"/>
      <c r="S603" s="507"/>
      <c r="T603" s="507"/>
      <c r="U603" s="507"/>
      <c r="V603" s="507"/>
      <c r="W603" s="507"/>
    </row>
    <row r="604" ht="35.25" customHeight="1">
      <c r="A604" s="18"/>
      <c r="B604" s="547" t="s">
        <v>88</v>
      </c>
      <c r="C604" s="593">
        <f>147838000-112629000</f>
        <v>35209000</v>
      </c>
      <c r="D604" s="18"/>
      <c r="E604" s="507"/>
      <c r="F604" s="507"/>
      <c r="G604" s="507"/>
      <c r="H604" s="556" t="s">
        <v>739</v>
      </c>
      <c r="I604" s="507"/>
      <c r="J604" s="507"/>
      <c r="K604" s="507"/>
      <c r="L604" s="507"/>
      <c r="M604" s="507"/>
      <c r="N604" s="507"/>
      <c r="O604" s="507"/>
      <c r="P604" s="507"/>
      <c r="Q604" s="507"/>
      <c r="R604" s="507"/>
      <c r="S604" s="507"/>
      <c r="T604" s="507"/>
      <c r="U604" s="507"/>
      <c r="V604" s="507"/>
      <c r="W604" s="507"/>
    </row>
    <row r="605" ht="35.25" customHeight="1">
      <c r="A605" s="18"/>
      <c r="B605" s="547" t="s">
        <v>219</v>
      </c>
      <c r="C605" s="598">
        <v>8.20474E7</v>
      </c>
      <c r="D605" s="18"/>
      <c r="E605" s="507"/>
      <c r="F605" s="507"/>
      <c r="G605" s="507"/>
      <c r="H605" s="556" t="s">
        <v>739</v>
      </c>
      <c r="I605" s="507"/>
      <c r="J605" s="507"/>
      <c r="K605" s="507"/>
      <c r="L605" s="507"/>
      <c r="M605" s="507"/>
      <c r="N605" s="507"/>
      <c r="O605" s="507"/>
      <c r="P605" s="507"/>
      <c r="Q605" s="507"/>
      <c r="R605" s="507"/>
      <c r="S605" s="507"/>
      <c r="T605" s="507"/>
      <c r="U605" s="507"/>
      <c r="V605" s="507"/>
      <c r="W605" s="507"/>
    </row>
    <row r="606" ht="35.25" customHeight="1">
      <c r="A606" s="18"/>
      <c r="B606" s="547" t="s">
        <v>89</v>
      </c>
      <c r="C606" s="593">
        <v>3.4858E7</v>
      </c>
      <c r="D606" s="18"/>
      <c r="E606" s="556"/>
      <c r="F606" s="507"/>
      <c r="G606" s="507"/>
      <c r="H606" s="556" t="s">
        <v>739</v>
      </c>
      <c r="I606" s="507"/>
      <c r="J606" s="507"/>
      <c r="K606" s="507"/>
      <c r="L606" s="507"/>
      <c r="M606" s="507"/>
      <c r="N606" s="507"/>
      <c r="O606" s="507"/>
      <c r="P606" s="507"/>
      <c r="Q606" s="507"/>
      <c r="R606" s="507"/>
      <c r="S606" s="507"/>
      <c r="T606" s="507"/>
      <c r="U606" s="507"/>
      <c r="V606" s="507"/>
      <c r="W606" s="507"/>
    </row>
    <row r="607" ht="35.25" customHeight="1">
      <c r="A607" s="22"/>
      <c r="B607" s="547" t="s">
        <v>220</v>
      </c>
      <c r="C607" s="593">
        <v>8.0501E7</v>
      </c>
      <c r="D607" s="22"/>
      <c r="E607" s="507"/>
      <c r="F607" s="507"/>
      <c r="G607" s="507"/>
      <c r="H607" s="556" t="s">
        <v>739</v>
      </c>
      <c r="I607" s="507"/>
      <c r="J607" s="507"/>
      <c r="K607" s="507"/>
      <c r="L607" s="507"/>
      <c r="M607" s="507"/>
      <c r="N607" s="507"/>
      <c r="O607" s="507"/>
      <c r="P607" s="507"/>
      <c r="Q607" s="507"/>
      <c r="R607" s="507"/>
      <c r="S607" s="507"/>
      <c r="T607" s="507"/>
      <c r="U607" s="507"/>
      <c r="V607" s="507"/>
      <c r="W607" s="507"/>
    </row>
    <row r="608" ht="35.25" customHeight="1">
      <c r="A608" s="679" t="s">
        <v>740</v>
      </c>
      <c r="B608" s="547" t="s">
        <v>88</v>
      </c>
      <c r="C608" s="593">
        <v>0.0</v>
      </c>
      <c r="D608" s="680">
        <f>SUM(C608:C611)</f>
        <v>210430000</v>
      </c>
      <c r="E608" s="507"/>
      <c r="F608" s="507"/>
      <c r="G608" s="507"/>
      <c r="H608" s="556" t="s">
        <v>739</v>
      </c>
      <c r="I608" s="507"/>
      <c r="J608" s="507"/>
      <c r="K608" s="507"/>
      <c r="L608" s="507"/>
      <c r="M608" s="507"/>
      <c r="N608" s="507"/>
      <c r="O608" s="507"/>
      <c r="P608" s="507"/>
      <c r="Q608" s="507"/>
      <c r="R608" s="507"/>
      <c r="S608" s="507"/>
      <c r="T608" s="507"/>
      <c r="U608" s="507"/>
      <c r="V608" s="507"/>
      <c r="W608" s="507"/>
    </row>
    <row r="609" ht="35.25" customHeight="1">
      <c r="A609" s="18"/>
      <c r="B609" s="547" t="s">
        <v>219</v>
      </c>
      <c r="C609" s="593">
        <v>9.0013E7</v>
      </c>
      <c r="D609" s="18"/>
      <c r="E609" s="507"/>
      <c r="F609" s="507"/>
      <c r="G609" s="507"/>
      <c r="H609" s="556" t="s">
        <v>739</v>
      </c>
      <c r="I609" s="507"/>
      <c r="J609" s="507"/>
      <c r="K609" s="507"/>
      <c r="L609" s="507"/>
      <c r="M609" s="507"/>
      <c r="N609" s="507"/>
      <c r="O609" s="507"/>
      <c r="P609" s="507"/>
      <c r="Q609" s="507"/>
      <c r="R609" s="507"/>
      <c r="S609" s="507"/>
      <c r="T609" s="507"/>
      <c r="U609" s="507"/>
      <c r="V609" s="507"/>
      <c r="W609" s="507"/>
    </row>
    <row r="610" ht="35.25" customHeight="1">
      <c r="A610" s="18"/>
      <c r="B610" s="547" t="s">
        <v>89</v>
      </c>
      <c r="C610" s="598">
        <v>6.0499E7</v>
      </c>
      <c r="D610" s="18"/>
      <c r="E610" s="507"/>
      <c r="F610" s="507"/>
      <c r="G610" s="507"/>
      <c r="H610" s="556" t="s">
        <v>739</v>
      </c>
      <c r="I610" s="507"/>
      <c r="J610" s="507"/>
      <c r="K610" s="507"/>
      <c r="L610" s="507"/>
      <c r="M610" s="507"/>
      <c r="N610" s="507"/>
      <c r="O610" s="507"/>
      <c r="P610" s="507"/>
      <c r="Q610" s="507"/>
      <c r="R610" s="507"/>
      <c r="S610" s="507"/>
      <c r="T610" s="507"/>
      <c r="U610" s="507"/>
      <c r="V610" s="507"/>
      <c r="W610" s="507"/>
    </row>
    <row r="611" ht="35.25" customHeight="1">
      <c r="A611" s="22"/>
      <c r="B611" s="547" t="s">
        <v>220</v>
      </c>
      <c r="C611" s="593">
        <v>5.9918E7</v>
      </c>
      <c r="D611" s="22"/>
      <c r="E611" s="662" t="s">
        <v>741</v>
      </c>
      <c r="F611" s="507"/>
      <c r="G611" s="507"/>
      <c r="H611" s="556" t="s">
        <v>739</v>
      </c>
      <c r="I611" s="507"/>
      <c r="J611" s="507"/>
      <c r="K611" s="507"/>
      <c r="L611" s="507"/>
      <c r="M611" s="507"/>
      <c r="N611" s="507"/>
      <c r="O611" s="507"/>
      <c r="P611" s="507"/>
      <c r="Q611" s="507"/>
      <c r="R611" s="507"/>
      <c r="S611" s="507"/>
      <c r="T611" s="507"/>
      <c r="U611" s="507"/>
      <c r="V611" s="507"/>
      <c r="W611" s="507"/>
    </row>
    <row r="612" ht="35.25" customHeight="1">
      <c r="A612" s="679" t="s">
        <v>742</v>
      </c>
      <c r="B612" s="547" t="s">
        <v>88</v>
      </c>
      <c r="C612" s="593" t="s">
        <v>7</v>
      </c>
      <c r="D612" s="680">
        <f>SUM(C612:C615)</f>
        <v>0</v>
      </c>
      <c r="E612" s="507"/>
      <c r="F612" s="507"/>
      <c r="G612" s="507"/>
      <c r="H612" s="556" t="s">
        <v>739</v>
      </c>
      <c r="I612" s="507"/>
      <c r="J612" s="507"/>
      <c r="K612" s="507"/>
      <c r="L612" s="507"/>
      <c r="M612" s="507"/>
      <c r="N612" s="507"/>
      <c r="O612" s="507"/>
      <c r="P612" s="507"/>
      <c r="Q612" s="507"/>
      <c r="R612" s="507"/>
      <c r="S612" s="507"/>
      <c r="T612" s="507"/>
      <c r="U612" s="507"/>
      <c r="V612" s="507"/>
      <c r="W612" s="507"/>
    </row>
    <row r="613" ht="35.25" customHeight="1">
      <c r="A613" s="18"/>
      <c r="B613" s="547" t="s">
        <v>219</v>
      </c>
      <c r="C613" s="593" t="s">
        <v>7</v>
      </c>
      <c r="D613" s="18"/>
      <c r="E613" s="507">
        <f>80*3000+70000</f>
        <v>310000</v>
      </c>
      <c r="F613" s="507"/>
      <c r="G613" s="507"/>
      <c r="H613" s="556" t="s">
        <v>739</v>
      </c>
      <c r="I613" s="507"/>
      <c r="J613" s="507"/>
      <c r="K613" s="507"/>
      <c r="L613" s="507"/>
      <c r="M613" s="507"/>
      <c r="N613" s="507"/>
      <c r="O613" s="507"/>
      <c r="P613" s="507"/>
      <c r="Q613" s="507"/>
      <c r="R613" s="507"/>
      <c r="S613" s="507"/>
      <c r="T613" s="507"/>
      <c r="U613" s="507"/>
      <c r="V613" s="507"/>
      <c r="W613" s="507"/>
    </row>
    <row r="614" ht="35.25" customHeight="1">
      <c r="A614" s="18"/>
      <c r="B614" s="547" t="s">
        <v>89</v>
      </c>
      <c r="C614" s="593" t="s">
        <v>7</v>
      </c>
      <c r="D614" s="18"/>
      <c r="E614" s="507"/>
      <c r="F614" s="507"/>
      <c r="G614" s="507"/>
      <c r="H614" s="556" t="s">
        <v>739</v>
      </c>
      <c r="I614" s="507"/>
      <c r="J614" s="507"/>
      <c r="K614" s="507"/>
      <c r="L614" s="507"/>
      <c r="M614" s="507"/>
      <c r="N614" s="507"/>
      <c r="O614" s="507"/>
      <c r="P614" s="507"/>
      <c r="Q614" s="507"/>
      <c r="R614" s="507"/>
      <c r="S614" s="507"/>
      <c r="T614" s="507"/>
      <c r="U614" s="507"/>
      <c r="V614" s="507"/>
      <c r="W614" s="507"/>
    </row>
    <row r="615" ht="35.25" customHeight="1">
      <c r="A615" s="22"/>
      <c r="B615" s="547" t="s">
        <v>220</v>
      </c>
      <c r="C615" s="593"/>
      <c r="D615" s="22"/>
      <c r="E615" s="662" t="s">
        <v>741</v>
      </c>
      <c r="F615" s="507"/>
      <c r="G615" s="507"/>
      <c r="H615" s="556" t="s">
        <v>739</v>
      </c>
      <c r="I615" s="507"/>
      <c r="J615" s="507"/>
      <c r="K615" s="507"/>
      <c r="L615" s="507"/>
      <c r="M615" s="507"/>
      <c r="N615" s="507"/>
      <c r="O615" s="507"/>
      <c r="P615" s="507"/>
      <c r="Q615" s="507"/>
      <c r="R615" s="507"/>
      <c r="S615" s="507"/>
      <c r="T615" s="507"/>
      <c r="U615" s="507"/>
      <c r="V615" s="507"/>
      <c r="W615" s="507"/>
    </row>
    <row r="616" ht="35.25" customHeight="1">
      <c r="A616" s="679" t="s">
        <v>743</v>
      </c>
      <c r="B616" s="547" t="s">
        <v>88</v>
      </c>
      <c r="C616" s="593" t="s">
        <v>7</v>
      </c>
      <c r="D616" s="680">
        <f>SUM(C616:C619)</f>
        <v>85869000</v>
      </c>
      <c r="E616" s="507"/>
      <c r="F616" s="507"/>
      <c r="G616" s="507"/>
      <c r="H616" s="556" t="s">
        <v>739</v>
      </c>
      <c r="I616" s="507"/>
      <c r="J616" s="507"/>
      <c r="K616" s="507"/>
      <c r="L616" s="507"/>
      <c r="M616" s="507"/>
      <c r="N616" s="507"/>
      <c r="O616" s="507"/>
      <c r="P616" s="507"/>
      <c r="Q616" s="507"/>
      <c r="R616" s="507"/>
      <c r="S616" s="507"/>
      <c r="T616" s="507"/>
      <c r="U616" s="507"/>
      <c r="V616" s="507"/>
      <c r="W616" s="507"/>
    </row>
    <row r="617" ht="35.25" customHeight="1">
      <c r="A617" s="18"/>
      <c r="B617" s="547" t="s">
        <v>219</v>
      </c>
      <c r="C617" s="593" t="s">
        <v>7</v>
      </c>
      <c r="D617" s="18"/>
      <c r="E617" s="507"/>
      <c r="F617" s="507"/>
      <c r="G617" s="507"/>
      <c r="H617" s="556" t="s">
        <v>739</v>
      </c>
      <c r="I617" s="507"/>
      <c r="J617" s="507"/>
      <c r="K617" s="507"/>
      <c r="L617" s="507"/>
      <c r="M617" s="507"/>
      <c r="N617" s="507"/>
      <c r="O617" s="507"/>
      <c r="P617" s="507"/>
      <c r="Q617" s="507"/>
      <c r="R617" s="507"/>
      <c r="S617" s="507"/>
      <c r="T617" s="507"/>
      <c r="U617" s="507"/>
      <c r="V617" s="507"/>
      <c r="W617" s="507"/>
    </row>
    <row r="618" ht="35.25" customHeight="1">
      <c r="A618" s="18"/>
      <c r="B618" s="547" t="s">
        <v>89</v>
      </c>
      <c r="C618" s="598" t="s">
        <v>7</v>
      </c>
      <c r="D618" s="18"/>
      <c r="E618" s="507"/>
      <c r="F618" s="507"/>
      <c r="G618" s="507"/>
      <c r="H618" s="556" t="s">
        <v>739</v>
      </c>
      <c r="I618" s="507"/>
      <c r="J618" s="507"/>
      <c r="K618" s="507"/>
      <c r="L618" s="507"/>
      <c r="M618" s="507"/>
      <c r="N618" s="507"/>
      <c r="O618" s="507"/>
      <c r="P618" s="507"/>
      <c r="Q618" s="507"/>
      <c r="R618" s="507"/>
      <c r="S618" s="507"/>
      <c r="T618" s="507"/>
      <c r="U618" s="507"/>
      <c r="V618" s="507"/>
      <c r="W618" s="507"/>
    </row>
    <row r="619" ht="35.25" customHeight="1">
      <c r="A619" s="22"/>
      <c r="B619" s="547" t="s">
        <v>220</v>
      </c>
      <c r="C619" s="593">
        <v>8.5869E7</v>
      </c>
      <c r="D619" s="22"/>
      <c r="E619" s="507"/>
      <c r="F619" s="507"/>
      <c r="G619" s="507"/>
      <c r="H619" s="556" t="s">
        <v>739</v>
      </c>
      <c r="I619" s="507"/>
      <c r="J619" s="507"/>
      <c r="K619" s="507"/>
      <c r="L619" s="507"/>
      <c r="M619" s="507"/>
      <c r="N619" s="507"/>
      <c r="O619" s="507"/>
      <c r="P619" s="507"/>
      <c r="Q619" s="507"/>
      <c r="R619" s="507"/>
      <c r="S619" s="507"/>
      <c r="T619" s="507"/>
      <c r="U619" s="507"/>
      <c r="V619" s="507"/>
      <c r="W619" s="507"/>
    </row>
    <row r="620" ht="35.25" customHeight="1">
      <c r="A620" s="679" t="s">
        <v>744</v>
      </c>
      <c r="B620" s="547" t="s">
        <v>88</v>
      </c>
      <c r="C620" s="593">
        <v>0.0</v>
      </c>
      <c r="D620" s="680">
        <f>SUM(C620:C623)</f>
        <v>95517000</v>
      </c>
      <c r="E620" s="507"/>
      <c r="F620" s="507"/>
      <c r="G620" s="507"/>
      <c r="H620" s="556" t="s">
        <v>739</v>
      </c>
      <c r="I620" s="507"/>
      <c r="J620" s="507"/>
      <c r="K620" s="507"/>
      <c r="L620" s="507"/>
      <c r="M620" s="507"/>
      <c r="N620" s="507"/>
      <c r="O620" s="507"/>
      <c r="P620" s="507"/>
      <c r="Q620" s="507"/>
      <c r="R620" s="507"/>
      <c r="S620" s="507"/>
      <c r="T620" s="507"/>
      <c r="U620" s="507"/>
      <c r="V620" s="507"/>
      <c r="W620" s="507"/>
    </row>
    <row r="621" ht="35.25" customHeight="1">
      <c r="A621" s="18"/>
      <c r="B621" s="547" t="s">
        <v>219</v>
      </c>
      <c r="C621" s="593">
        <v>0.0</v>
      </c>
      <c r="D621" s="18"/>
      <c r="E621" s="507"/>
      <c r="F621" s="507"/>
      <c r="G621" s="507"/>
      <c r="H621" s="556" t="s">
        <v>739</v>
      </c>
      <c r="I621" s="507"/>
      <c r="J621" s="507"/>
      <c r="K621" s="507"/>
      <c r="L621" s="507"/>
      <c r="M621" s="507"/>
      <c r="N621" s="507"/>
      <c r="O621" s="507"/>
      <c r="P621" s="507"/>
      <c r="Q621" s="507"/>
      <c r="R621" s="507"/>
      <c r="S621" s="507"/>
      <c r="T621" s="507"/>
      <c r="U621" s="507"/>
      <c r="V621" s="507"/>
      <c r="W621" s="507"/>
    </row>
    <row r="622" ht="35.25" customHeight="1">
      <c r="A622" s="18"/>
      <c r="B622" s="547" t="s">
        <v>89</v>
      </c>
      <c r="C622" s="598">
        <v>6.1892E7</v>
      </c>
      <c r="D622" s="18"/>
      <c r="E622" s="507"/>
      <c r="F622" s="507"/>
      <c r="G622" s="507"/>
      <c r="H622" s="556" t="s">
        <v>739</v>
      </c>
      <c r="I622" s="507"/>
      <c r="J622" s="507"/>
      <c r="K622" s="507"/>
      <c r="L622" s="507"/>
      <c r="M622" s="507"/>
      <c r="N622" s="507"/>
      <c r="O622" s="507"/>
      <c r="P622" s="507"/>
      <c r="Q622" s="507"/>
      <c r="R622" s="507"/>
      <c r="S622" s="507"/>
      <c r="T622" s="507"/>
      <c r="U622" s="507"/>
      <c r="V622" s="507"/>
      <c r="W622" s="507"/>
    </row>
    <row r="623" ht="35.25" customHeight="1">
      <c r="A623" s="22"/>
      <c r="B623" s="547" t="s">
        <v>220</v>
      </c>
      <c r="C623" s="593">
        <f>33688000-63000</f>
        <v>33625000</v>
      </c>
      <c r="D623" s="22"/>
      <c r="E623" s="507">
        <f>21*3000</f>
        <v>63000</v>
      </c>
      <c r="F623" s="693" t="s">
        <v>171</v>
      </c>
      <c r="G623" s="5"/>
      <c r="H623" s="556" t="s">
        <v>739</v>
      </c>
      <c r="I623" s="507"/>
      <c r="J623" s="507"/>
      <c r="K623" s="507"/>
      <c r="L623" s="507"/>
      <c r="M623" s="507"/>
      <c r="N623" s="507"/>
      <c r="O623" s="507"/>
      <c r="P623" s="507"/>
      <c r="Q623" s="507"/>
      <c r="R623" s="507"/>
      <c r="S623" s="507"/>
      <c r="T623" s="507"/>
      <c r="U623" s="507"/>
      <c r="V623" s="507"/>
      <c r="W623" s="507"/>
    </row>
    <row r="624" ht="35.25" customHeight="1">
      <c r="A624" s="679" t="s">
        <v>745</v>
      </c>
      <c r="B624" s="547" t="s">
        <v>88</v>
      </c>
      <c r="C624" s="593" t="s">
        <v>7</v>
      </c>
      <c r="D624" s="680">
        <f>SUM(C624:C627)</f>
        <v>177978500</v>
      </c>
      <c r="E624" s="507"/>
      <c r="F624" s="547" t="s">
        <v>746</v>
      </c>
      <c r="G624" s="593">
        <f>5*135000</f>
        <v>675000</v>
      </c>
      <c r="H624" s="556" t="s">
        <v>739</v>
      </c>
      <c r="I624" s="507"/>
      <c r="J624" s="507"/>
      <c r="K624" s="507"/>
      <c r="L624" s="507"/>
      <c r="M624" s="507"/>
      <c r="N624" s="507"/>
      <c r="O624" s="507"/>
      <c r="P624" s="507"/>
      <c r="Q624" s="507"/>
      <c r="R624" s="507"/>
      <c r="S624" s="507"/>
      <c r="T624" s="507"/>
      <c r="U624" s="507"/>
      <c r="V624" s="507"/>
      <c r="W624" s="507"/>
    </row>
    <row r="625" ht="35.25" customHeight="1">
      <c r="A625" s="18"/>
      <c r="B625" s="547" t="s">
        <v>219</v>
      </c>
      <c r="C625" s="593">
        <v>7.53575E7</v>
      </c>
      <c r="D625" s="18"/>
      <c r="E625" s="507"/>
      <c r="F625" s="547" t="s">
        <v>747</v>
      </c>
      <c r="G625" s="593">
        <f>3*125000</f>
        <v>375000</v>
      </c>
      <c r="H625" s="556" t="s">
        <v>739</v>
      </c>
      <c r="I625" s="507"/>
      <c r="J625" s="507"/>
      <c r="K625" s="507"/>
      <c r="L625" s="507"/>
      <c r="M625" s="507"/>
      <c r="N625" s="507"/>
      <c r="O625" s="507"/>
      <c r="P625" s="507"/>
      <c r="Q625" s="507"/>
      <c r="R625" s="507"/>
      <c r="S625" s="507"/>
      <c r="T625" s="507"/>
      <c r="U625" s="507"/>
      <c r="V625" s="507"/>
      <c r="W625" s="507"/>
    </row>
    <row r="626" ht="35.25" customHeight="1">
      <c r="A626" s="18"/>
      <c r="B626" s="547" t="s">
        <v>89</v>
      </c>
      <c r="C626" s="598">
        <f>104771000-2150000</f>
        <v>102621000</v>
      </c>
      <c r="D626" s="18"/>
      <c r="E626" s="507"/>
      <c r="F626" s="547" t="s">
        <v>748</v>
      </c>
      <c r="G626" s="598">
        <v>140000.0</v>
      </c>
      <c r="H626" s="556" t="s">
        <v>739</v>
      </c>
      <c r="I626" s="507"/>
      <c r="J626" s="507"/>
      <c r="K626" s="507"/>
      <c r="L626" s="507"/>
      <c r="M626" s="507"/>
      <c r="N626" s="507"/>
      <c r="O626" s="507"/>
      <c r="P626" s="507"/>
      <c r="Q626" s="507"/>
      <c r="R626" s="507"/>
      <c r="S626" s="507"/>
      <c r="T626" s="507"/>
      <c r="U626" s="507"/>
      <c r="V626" s="507"/>
      <c r="W626" s="507"/>
    </row>
    <row r="627" ht="35.25" customHeight="1">
      <c r="A627" s="22"/>
      <c r="B627" s="547" t="s">
        <v>220</v>
      </c>
      <c r="C627" s="593"/>
      <c r="D627" s="22"/>
      <c r="E627" s="662" t="s">
        <v>741</v>
      </c>
      <c r="F627" s="547" t="s">
        <v>749</v>
      </c>
      <c r="G627" s="593">
        <v>700000.0</v>
      </c>
      <c r="H627" s="556" t="s">
        <v>739</v>
      </c>
      <c r="I627" s="507"/>
      <c r="J627" s="507"/>
      <c r="K627" s="507"/>
      <c r="L627" s="507"/>
      <c r="M627" s="507"/>
      <c r="N627" s="507"/>
      <c r="O627" s="507"/>
      <c r="P627" s="507"/>
      <c r="Q627" s="507"/>
      <c r="R627" s="507"/>
      <c r="S627" s="507"/>
      <c r="T627" s="507"/>
      <c r="U627" s="507"/>
      <c r="V627" s="507"/>
      <c r="W627" s="507"/>
    </row>
    <row r="628" ht="35.25" customHeight="1">
      <c r="A628" s="679" t="s">
        <v>750</v>
      </c>
      <c r="B628" s="547" t="s">
        <v>88</v>
      </c>
      <c r="C628" s="593">
        <v>0.0</v>
      </c>
      <c r="D628" s="680">
        <f>SUM(C628:C631)</f>
        <v>323101000</v>
      </c>
      <c r="E628" s="507"/>
      <c r="F628" s="547" t="s">
        <v>751</v>
      </c>
      <c r="G628" s="593">
        <f>4*65000</f>
        <v>260000</v>
      </c>
      <c r="H628" s="556" t="s">
        <v>739</v>
      </c>
      <c r="I628" s="507"/>
      <c r="J628" s="507"/>
      <c r="K628" s="507"/>
      <c r="L628" s="507"/>
      <c r="M628" s="507"/>
      <c r="N628" s="507"/>
      <c r="O628" s="507"/>
      <c r="P628" s="507"/>
      <c r="Q628" s="507"/>
      <c r="R628" s="507"/>
      <c r="S628" s="507"/>
      <c r="T628" s="507"/>
      <c r="U628" s="507"/>
      <c r="V628" s="507"/>
      <c r="W628" s="507"/>
    </row>
    <row r="629" ht="35.25" customHeight="1">
      <c r="A629" s="18"/>
      <c r="B629" s="547" t="s">
        <v>219</v>
      </c>
      <c r="C629" s="593">
        <v>1.633162E8</v>
      </c>
      <c r="D629" s="18"/>
      <c r="E629" s="507"/>
      <c r="F629" s="547" t="s">
        <v>99</v>
      </c>
      <c r="G629" s="593">
        <f>SUM(G624:G628)</f>
        <v>2150000</v>
      </c>
      <c r="H629" s="556" t="s">
        <v>739</v>
      </c>
      <c r="I629" s="507"/>
      <c r="J629" s="507"/>
      <c r="K629" s="507"/>
      <c r="L629" s="507"/>
      <c r="M629" s="507"/>
      <c r="N629" s="507"/>
      <c r="O629" s="507"/>
      <c r="P629" s="507"/>
      <c r="Q629" s="507"/>
      <c r="R629" s="507"/>
      <c r="S629" s="507"/>
      <c r="T629" s="507"/>
      <c r="U629" s="507"/>
      <c r="V629" s="507"/>
      <c r="W629" s="507"/>
    </row>
    <row r="630" ht="35.25" customHeight="1">
      <c r="A630" s="18"/>
      <c r="B630" s="547" t="s">
        <v>89</v>
      </c>
      <c r="C630" s="598">
        <f>82300800-1400000</f>
        <v>80900800</v>
      </c>
      <c r="D630" s="18"/>
      <c r="E630" s="507"/>
      <c r="F630" s="507"/>
      <c r="G630" s="507"/>
      <c r="H630" s="556" t="s">
        <v>739</v>
      </c>
      <c r="I630" s="507"/>
      <c r="J630" s="507"/>
      <c r="K630" s="507"/>
      <c r="L630" s="507"/>
      <c r="M630" s="507"/>
      <c r="N630" s="507"/>
      <c r="O630" s="507"/>
      <c r="P630" s="507"/>
      <c r="Q630" s="507"/>
      <c r="R630" s="507"/>
      <c r="S630" s="507"/>
      <c r="T630" s="507"/>
      <c r="U630" s="507"/>
      <c r="V630" s="507"/>
      <c r="W630" s="507"/>
    </row>
    <row r="631" ht="35.25" customHeight="1">
      <c r="A631" s="22"/>
      <c r="B631" s="547" t="s">
        <v>220</v>
      </c>
      <c r="C631" s="593">
        <v>7.8884E7</v>
      </c>
      <c r="D631" s="22"/>
      <c r="E631" s="662"/>
      <c r="F631" s="507"/>
      <c r="G631" s="507"/>
      <c r="H631" s="556" t="s">
        <v>739</v>
      </c>
      <c r="I631" s="507"/>
      <c r="J631" s="507"/>
      <c r="K631" s="507"/>
      <c r="L631" s="507"/>
      <c r="M631" s="507"/>
      <c r="N631" s="507"/>
      <c r="O631" s="507"/>
      <c r="P631" s="507"/>
      <c r="Q631" s="507"/>
      <c r="R631" s="507"/>
      <c r="S631" s="507"/>
      <c r="T631" s="507"/>
      <c r="U631" s="507"/>
      <c r="V631" s="507"/>
      <c r="W631" s="507"/>
    </row>
    <row r="632" ht="35.25" customHeight="1">
      <c r="A632" s="679" t="s">
        <v>752</v>
      </c>
      <c r="B632" s="547" t="s">
        <v>88</v>
      </c>
      <c r="C632" s="593">
        <v>0.0</v>
      </c>
      <c r="D632" s="680">
        <f>SUM(C632:C635)</f>
        <v>161987000</v>
      </c>
      <c r="E632" s="507"/>
      <c r="F632" s="507"/>
      <c r="G632" s="507"/>
      <c r="H632" s="556" t="s">
        <v>739</v>
      </c>
      <c r="I632" s="507"/>
      <c r="J632" s="507"/>
      <c r="K632" s="507"/>
      <c r="L632" s="507"/>
      <c r="M632" s="507"/>
      <c r="N632" s="507"/>
      <c r="O632" s="507"/>
      <c r="P632" s="507"/>
      <c r="Q632" s="507"/>
      <c r="R632" s="507"/>
      <c r="S632" s="507"/>
      <c r="T632" s="507"/>
      <c r="U632" s="507"/>
      <c r="V632" s="507"/>
      <c r="W632" s="507"/>
    </row>
    <row r="633" ht="35.25" customHeight="1">
      <c r="A633" s="18"/>
      <c r="B633" s="547" t="s">
        <v>219</v>
      </c>
      <c r="C633" s="593">
        <v>0.0</v>
      </c>
      <c r="D633" s="18"/>
      <c r="E633" s="507"/>
      <c r="F633" s="507"/>
      <c r="G633" s="507"/>
      <c r="H633" s="556" t="s">
        <v>739</v>
      </c>
      <c r="I633" s="507"/>
      <c r="J633" s="507"/>
      <c r="K633" s="507"/>
      <c r="L633" s="507"/>
      <c r="M633" s="507"/>
      <c r="N633" s="507"/>
      <c r="O633" s="507"/>
      <c r="P633" s="507"/>
      <c r="Q633" s="507"/>
      <c r="R633" s="507"/>
      <c r="S633" s="507"/>
      <c r="T633" s="507"/>
      <c r="U633" s="507"/>
      <c r="V633" s="507"/>
      <c r="W633" s="507"/>
    </row>
    <row r="634" ht="35.25" customHeight="1">
      <c r="A634" s="18"/>
      <c r="B634" s="547" t="s">
        <v>89</v>
      </c>
      <c r="C634" s="598">
        <v>8.3854E7</v>
      </c>
      <c r="D634" s="18"/>
      <c r="E634" s="507"/>
      <c r="F634" s="507"/>
      <c r="G634" s="507"/>
      <c r="H634" s="556" t="s">
        <v>739</v>
      </c>
      <c r="I634" s="507"/>
      <c r="J634" s="507"/>
      <c r="K634" s="507"/>
      <c r="L634" s="507"/>
      <c r="M634" s="507"/>
      <c r="N634" s="507"/>
      <c r="O634" s="507"/>
      <c r="P634" s="507"/>
      <c r="Q634" s="507"/>
      <c r="R634" s="507"/>
      <c r="S634" s="507"/>
      <c r="T634" s="507"/>
      <c r="U634" s="507"/>
      <c r="V634" s="507"/>
      <c r="W634" s="507"/>
    </row>
    <row r="635" ht="35.25" customHeight="1">
      <c r="A635" s="22"/>
      <c r="B635" s="547" t="s">
        <v>220</v>
      </c>
      <c r="C635" s="593">
        <v>7.8133E7</v>
      </c>
      <c r="D635" s="22"/>
      <c r="E635" s="507"/>
      <c r="F635" s="507"/>
      <c r="G635" s="507"/>
      <c r="H635" s="556" t="s">
        <v>739</v>
      </c>
      <c r="I635" s="507"/>
      <c r="J635" s="507"/>
      <c r="K635" s="507"/>
      <c r="L635" s="507"/>
      <c r="M635" s="507"/>
      <c r="N635" s="507"/>
      <c r="O635" s="507"/>
      <c r="P635" s="507"/>
      <c r="Q635" s="507"/>
      <c r="R635" s="507"/>
      <c r="S635" s="507"/>
      <c r="T635" s="507"/>
      <c r="U635" s="507"/>
      <c r="V635" s="507"/>
      <c r="W635" s="507"/>
    </row>
    <row r="636" ht="35.25" customHeight="1">
      <c r="A636" s="679" t="s">
        <v>753</v>
      </c>
      <c r="B636" s="547" t="s">
        <v>88</v>
      </c>
      <c r="C636" s="593">
        <v>0.0</v>
      </c>
      <c r="D636" s="680">
        <f>SUM(C636:C639)</f>
        <v>57934500</v>
      </c>
      <c r="E636" s="507"/>
      <c r="F636" s="507"/>
      <c r="G636" s="507"/>
      <c r="H636" s="556" t="s">
        <v>739</v>
      </c>
      <c r="I636" s="507"/>
      <c r="J636" s="507"/>
      <c r="K636" s="507"/>
      <c r="L636" s="507"/>
      <c r="M636" s="507"/>
      <c r="N636" s="507"/>
      <c r="O636" s="507"/>
      <c r="P636" s="507"/>
      <c r="Q636" s="507"/>
      <c r="R636" s="507"/>
      <c r="S636" s="507"/>
      <c r="T636" s="507"/>
      <c r="U636" s="507"/>
      <c r="V636" s="507"/>
      <c r="W636" s="507"/>
    </row>
    <row r="637" ht="35.25" customHeight="1">
      <c r="A637" s="18"/>
      <c r="B637" s="547" t="s">
        <v>219</v>
      </c>
      <c r="C637" s="593">
        <v>0.0</v>
      </c>
      <c r="D637" s="18"/>
      <c r="E637" s="507"/>
      <c r="F637" s="507"/>
      <c r="G637" s="507"/>
      <c r="H637" s="556" t="s">
        <v>739</v>
      </c>
      <c r="I637" s="507"/>
      <c r="J637" s="507"/>
      <c r="K637" s="507"/>
      <c r="L637" s="507"/>
      <c r="M637" s="507"/>
      <c r="N637" s="507"/>
      <c r="O637" s="507"/>
      <c r="P637" s="507"/>
      <c r="Q637" s="507"/>
      <c r="R637" s="507"/>
      <c r="S637" s="507"/>
      <c r="T637" s="507"/>
      <c r="U637" s="507"/>
      <c r="V637" s="507"/>
      <c r="W637" s="507"/>
    </row>
    <row r="638" ht="35.25" customHeight="1">
      <c r="A638" s="18"/>
      <c r="B638" s="547" t="s">
        <v>89</v>
      </c>
      <c r="C638" s="598" t="s">
        <v>7</v>
      </c>
      <c r="D638" s="18"/>
      <c r="E638" s="507"/>
      <c r="F638" s="507"/>
      <c r="G638" s="507"/>
      <c r="H638" s="556" t="s">
        <v>739</v>
      </c>
      <c r="I638" s="507"/>
      <c r="J638" s="507"/>
      <c r="K638" s="507"/>
      <c r="L638" s="507"/>
      <c r="M638" s="507"/>
      <c r="N638" s="507"/>
      <c r="O638" s="507"/>
      <c r="P638" s="507"/>
      <c r="Q638" s="507"/>
      <c r="R638" s="507"/>
      <c r="S638" s="507"/>
      <c r="T638" s="507"/>
      <c r="U638" s="507"/>
      <c r="V638" s="507"/>
      <c r="W638" s="507"/>
    </row>
    <row r="639" ht="35.25" customHeight="1">
      <c r="A639" s="22"/>
      <c r="B639" s="547" t="s">
        <v>220</v>
      </c>
      <c r="C639" s="593">
        <v>5.79345E7</v>
      </c>
      <c r="D639" s="22"/>
      <c r="E639" s="507"/>
      <c r="F639" s="507"/>
      <c r="G639" s="507"/>
      <c r="H639" s="556" t="s">
        <v>739</v>
      </c>
      <c r="I639" s="507"/>
      <c r="J639" s="507"/>
      <c r="K639" s="507"/>
      <c r="L639" s="507"/>
      <c r="M639" s="507"/>
      <c r="N639" s="507"/>
      <c r="O639" s="507"/>
      <c r="P639" s="507"/>
      <c r="Q639" s="507"/>
      <c r="R639" s="507"/>
      <c r="S639" s="507"/>
      <c r="T639" s="507"/>
      <c r="U639" s="507"/>
      <c r="V639" s="507"/>
      <c r="W639" s="507"/>
    </row>
    <row r="640" ht="35.25" customHeight="1">
      <c r="A640" s="507"/>
      <c r="B640" s="507"/>
      <c r="C640" s="507"/>
      <c r="D640" s="508"/>
      <c r="E640" s="507"/>
      <c r="F640" s="507"/>
      <c r="G640" s="507"/>
      <c r="H640" s="507"/>
      <c r="I640" s="507"/>
      <c r="J640" s="507"/>
      <c r="K640" s="507"/>
      <c r="L640" s="507"/>
      <c r="M640" s="507"/>
      <c r="N640" s="507"/>
      <c r="O640" s="507"/>
      <c r="P640" s="507"/>
      <c r="Q640" s="507"/>
      <c r="R640" s="507"/>
      <c r="S640" s="507"/>
      <c r="T640" s="507"/>
      <c r="U640" s="507"/>
      <c r="V640" s="507"/>
      <c r="W640" s="507"/>
    </row>
    <row r="641" ht="35.25" customHeight="1">
      <c r="A641" s="507"/>
      <c r="B641" s="507"/>
      <c r="C641" s="507"/>
      <c r="D641" s="508"/>
      <c r="E641" s="507"/>
      <c r="F641" s="507"/>
      <c r="G641" s="507"/>
      <c r="H641" s="507"/>
      <c r="I641" s="507"/>
      <c r="J641" s="507"/>
      <c r="K641" s="507"/>
      <c r="L641" s="507"/>
      <c r="M641" s="507"/>
      <c r="N641" s="507"/>
      <c r="O641" s="507"/>
      <c r="P641" s="507"/>
      <c r="Q641" s="507"/>
      <c r="R641" s="507"/>
      <c r="S641" s="507"/>
      <c r="T641" s="507"/>
      <c r="U641" s="507"/>
      <c r="V641" s="507"/>
      <c r="W641" s="507"/>
    </row>
    <row r="642" ht="35.25" customHeight="1">
      <c r="A642" s="507"/>
      <c r="B642" s="507"/>
      <c r="C642" s="507"/>
      <c r="D642" s="508"/>
      <c r="E642" s="507"/>
      <c r="F642" s="507"/>
      <c r="G642" s="507"/>
      <c r="H642" s="507"/>
      <c r="I642" s="507"/>
      <c r="J642" s="507"/>
      <c r="K642" s="507"/>
      <c r="L642" s="507"/>
      <c r="M642" s="507"/>
      <c r="N642" s="507"/>
      <c r="O642" s="507"/>
      <c r="P642" s="507"/>
      <c r="Q642" s="507"/>
      <c r="R642" s="507"/>
      <c r="S642" s="507"/>
      <c r="T642" s="507"/>
      <c r="U642" s="507"/>
      <c r="V642" s="507"/>
      <c r="W642" s="507"/>
    </row>
    <row r="643" ht="35.25" customHeight="1">
      <c r="A643" s="507"/>
      <c r="B643" s="507"/>
      <c r="C643" s="507"/>
      <c r="D643" s="508"/>
      <c r="E643" s="507"/>
      <c r="F643" s="507"/>
      <c r="G643" s="507"/>
      <c r="H643" s="507"/>
      <c r="I643" s="507"/>
      <c r="J643" s="507"/>
      <c r="K643" s="507"/>
      <c r="L643" s="507"/>
      <c r="M643" s="507"/>
      <c r="N643" s="507"/>
      <c r="O643" s="507"/>
      <c r="P643" s="507"/>
      <c r="Q643" s="507"/>
      <c r="R643" s="507"/>
      <c r="S643" s="507"/>
      <c r="T643" s="507"/>
      <c r="U643" s="507"/>
      <c r="V643" s="507"/>
      <c r="W643" s="507"/>
    </row>
    <row r="644" ht="35.25" customHeight="1">
      <c r="A644" s="507"/>
      <c r="B644" s="507"/>
      <c r="C644" s="507"/>
      <c r="D644" s="508"/>
      <c r="E644" s="507"/>
      <c r="F644" s="507"/>
      <c r="G644" s="507"/>
      <c r="H644" s="507"/>
      <c r="I644" s="507"/>
      <c r="J644" s="507"/>
      <c r="K644" s="507"/>
      <c r="L644" s="507"/>
      <c r="M644" s="507"/>
      <c r="N644" s="507"/>
      <c r="O644" s="507"/>
      <c r="P644" s="507"/>
      <c r="Q644" s="507"/>
      <c r="R644" s="507"/>
      <c r="S644" s="507"/>
      <c r="T644" s="507"/>
      <c r="U644" s="507"/>
      <c r="V644" s="507"/>
      <c r="W644" s="507"/>
    </row>
    <row r="645" ht="35.25" customHeight="1">
      <c r="A645" s="507"/>
      <c r="B645" s="507"/>
      <c r="C645" s="507"/>
      <c r="D645" s="508"/>
      <c r="E645" s="507"/>
      <c r="F645" s="507"/>
      <c r="G645" s="507"/>
      <c r="H645" s="507"/>
      <c r="I645" s="507"/>
      <c r="J645" s="507"/>
      <c r="K645" s="507"/>
      <c r="L645" s="507"/>
      <c r="M645" s="507"/>
      <c r="N645" s="507"/>
      <c r="O645" s="507"/>
      <c r="P645" s="507"/>
      <c r="Q645" s="507"/>
      <c r="R645" s="507"/>
      <c r="S645" s="507"/>
      <c r="T645" s="507"/>
      <c r="U645" s="507"/>
      <c r="V645" s="507"/>
      <c r="W645" s="507"/>
    </row>
    <row r="646" ht="35.25" customHeight="1">
      <c r="A646" s="507"/>
      <c r="B646" s="507"/>
      <c r="C646" s="507"/>
      <c r="D646" s="508"/>
      <c r="E646" s="507"/>
      <c r="F646" s="507"/>
      <c r="G646" s="507"/>
      <c r="H646" s="507"/>
      <c r="I646" s="507"/>
      <c r="J646" s="507"/>
      <c r="K646" s="507"/>
      <c r="L646" s="507"/>
      <c r="M646" s="507"/>
      <c r="N646" s="507"/>
      <c r="O646" s="507"/>
      <c r="P646" s="507"/>
      <c r="Q646" s="507"/>
      <c r="R646" s="507"/>
      <c r="S646" s="507"/>
      <c r="T646" s="507"/>
      <c r="U646" s="507"/>
      <c r="V646" s="507"/>
      <c r="W646" s="507"/>
    </row>
    <row r="647" ht="35.25" customHeight="1">
      <c r="A647" s="507"/>
      <c r="B647" s="507"/>
      <c r="C647" s="507"/>
      <c r="D647" s="508"/>
      <c r="E647" s="507"/>
      <c r="F647" s="507"/>
      <c r="G647" s="507"/>
      <c r="H647" s="507"/>
      <c r="I647" s="507"/>
      <c r="J647" s="507"/>
      <c r="K647" s="507"/>
      <c r="L647" s="507"/>
      <c r="M647" s="507"/>
      <c r="N647" s="507"/>
      <c r="O647" s="507"/>
      <c r="P647" s="507"/>
      <c r="Q647" s="507"/>
      <c r="R647" s="507"/>
      <c r="S647" s="507"/>
      <c r="T647" s="507"/>
      <c r="U647" s="507"/>
      <c r="V647" s="507"/>
      <c r="W647" s="507"/>
    </row>
    <row r="648" ht="35.25" customHeight="1">
      <c r="A648" s="507"/>
      <c r="B648" s="507"/>
      <c r="C648" s="507"/>
      <c r="D648" s="508"/>
      <c r="E648" s="507"/>
      <c r="F648" s="507"/>
      <c r="G648" s="507"/>
      <c r="H648" s="507"/>
      <c r="I648" s="507"/>
      <c r="J648" s="507"/>
      <c r="K648" s="507"/>
      <c r="L648" s="507"/>
      <c r="M648" s="507"/>
      <c r="N648" s="507"/>
      <c r="O648" s="507"/>
      <c r="P648" s="507"/>
      <c r="Q648" s="507"/>
      <c r="R648" s="507"/>
      <c r="S648" s="507"/>
      <c r="T648" s="507"/>
      <c r="U648" s="507"/>
      <c r="V648" s="507"/>
      <c r="W648" s="507"/>
    </row>
    <row r="649" ht="35.25" customHeight="1">
      <c r="A649" s="507"/>
      <c r="B649" s="507"/>
      <c r="C649" s="507"/>
      <c r="D649" s="508"/>
      <c r="E649" s="507"/>
      <c r="F649" s="507"/>
      <c r="G649" s="507"/>
      <c r="H649" s="507"/>
      <c r="I649" s="507"/>
      <c r="J649" s="507"/>
      <c r="K649" s="507"/>
      <c r="L649" s="507"/>
      <c r="M649" s="507"/>
      <c r="N649" s="507"/>
      <c r="O649" s="507"/>
      <c r="P649" s="507"/>
      <c r="Q649" s="507"/>
      <c r="R649" s="507"/>
      <c r="S649" s="507"/>
      <c r="T649" s="507"/>
      <c r="U649" s="507"/>
      <c r="V649" s="507"/>
      <c r="W649" s="507"/>
    </row>
    <row r="650" ht="35.25" customHeight="1">
      <c r="A650" s="507"/>
      <c r="B650" s="507"/>
      <c r="C650" s="507"/>
      <c r="D650" s="508"/>
      <c r="E650" s="507"/>
      <c r="F650" s="507"/>
      <c r="G650" s="507"/>
      <c r="H650" s="507"/>
      <c r="I650" s="507"/>
      <c r="J650" s="507"/>
      <c r="K650" s="507"/>
      <c r="L650" s="507"/>
      <c r="M650" s="507"/>
      <c r="N650" s="507"/>
      <c r="O650" s="507"/>
      <c r="P650" s="507"/>
      <c r="Q650" s="507"/>
      <c r="R650" s="507"/>
      <c r="S650" s="507"/>
      <c r="T650" s="507"/>
      <c r="U650" s="507"/>
      <c r="V650" s="507"/>
      <c r="W650" s="507"/>
    </row>
    <row r="651" ht="35.25" customHeight="1">
      <c r="A651" s="507"/>
      <c r="B651" s="507"/>
      <c r="C651" s="507"/>
      <c r="D651" s="508"/>
      <c r="E651" s="507"/>
      <c r="F651" s="507"/>
      <c r="G651" s="507"/>
      <c r="H651" s="507"/>
      <c r="I651" s="507"/>
      <c r="J651" s="507"/>
      <c r="K651" s="507"/>
      <c r="L651" s="507"/>
      <c r="M651" s="507"/>
      <c r="N651" s="507"/>
      <c r="O651" s="507"/>
      <c r="P651" s="507"/>
      <c r="Q651" s="507"/>
      <c r="R651" s="507"/>
      <c r="S651" s="507"/>
      <c r="T651" s="507"/>
      <c r="U651" s="507"/>
      <c r="V651" s="507"/>
      <c r="W651" s="507"/>
    </row>
    <row r="652" ht="35.25" customHeight="1">
      <c r="A652" s="507"/>
      <c r="B652" s="507"/>
      <c r="C652" s="507"/>
      <c r="D652" s="508"/>
      <c r="E652" s="507"/>
      <c r="F652" s="507"/>
      <c r="G652" s="507"/>
      <c r="H652" s="507"/>
      <c r="I652" s="507"/>
      <c r="J652" s="507"/>
      <c r="K652" s="507"/>
      <c r="L652" s="507"/>
      <c r="M652" s="507"/>
      <c r="N652" s="507"/>
      <c r="O652" s="507"/>
      <c r="P652" s="507"/>
      <c r="Q652" s="507"/>
      <c r="R652" s="507"/>
      <c r="S652" s="507"/>
      <c r="T652" s="507"/>
      <c r="U652" s="507"/>
      <c r="V652" s="507"/>
      <c r="W652" s="507"/>
    </row>
    <row r="653" ht="35.25" customHeight="1">
      <c r="A653" s="507"/>
      <c r="B653" s="507"/>
      <c r="C653" s="507"/>
      <c r="D653" s="508"/>
      <c r="E653" s="507"/>
      <c r="F653" s="507"/>
      <c r="G653" s="507"/>
      <c r="H653" s="507"/>
      <c r="I653" s="507"/>
      <c r="J653" s="507"/>
      <c r="K653" s="507"/>
      <c r="L653" s="507"/>
      <c r="M653" s="507"/>
      <c r="N653" s="507"/>
      <c r="O653" s="507"/>
      <c r="P653" s="507"/>
      <c r="Q653" s="507"/>
      <c r="R653" s="507"/>
      <c r="S653" s="507"/>
      <c r="T653" s="507"/>
      <c r="U653" s="507"/>
      <c r="V653" s="507"/>
      <c r="W653" s="507"/>
    </row>
    <row r="654" ht="35.25" customHeight="1">
      <c r="A654" s="507"/>
      <c r="B654" s="507"/>
      <c r="C654" s="507"/>
      <c r="D654" s="508"/>
      <c r="E654" s="507"/>
      <c r="F654" s="507"/>
      <c r="G654" s="507"/>
      <c r="H654" s="507"/>
      <c r="I654" s="507"/>
      <c r="J654" s="507"/>
      <c r="K654" s="507"/>
      <c r="L654" s="507"/>
      <c r="M654" s="507"/>
      <c r="N654" s="507"/>
      <c r="O654" s="507"/>
      <c r="P654" s="507"/>
      <c r="Q654" s="507"/>
      <c r="R654" s="507"/>
      <c r="S654" s="507"/>
      <c r="T654" s="507"/>
      <c r="U654" s="507"/>
      <c r="V654" s="507"/>
      <c r="W654" s="507"/>
    </row>
    <row r="655" ht="35.25" customHeight="1">
      <c r="A655" s="507"/>
      <c r="B655" s="507"/>
      <c r="C655" s="507"/>
      <c r="D655" s="508"/>
      <c r="E655" s="507"/>
      <c r="F655" s="507"/>
      <c r="G655" s="507"/>
      <c r="H655" s="507"/>
      <c r="I655" s="507"/>
      <c r="J655" s="507"/>
      <c r="K655" s="507"/>
      <c r="L655" s="507"/>
      <c r="M655" s="507"/>
      <c r="N655" s="507"/>
      <c r="O655" s="507"/>
      <c r="P655" s="507"/>
      <c r="Q655" s="507"/>
      <c r="R655" s="507"/>
      <c r="S655" s="507"/>
      <c r="T655" s="507"/>
      <c r="U655" s="507"/>
      <c r="V655" s="507"/>
      <c r="W655" s="507"/>
    </row>
    <row r="656" ht="35.25" customHeight="1">
      <c r="A656" s="507"/>
      <c r="B656" s="507"/>
      <c r="C656" s="507"/>
      <c r="D656" s="508"/>
      <c r="E656" s="507"/>
      <c r="F656" s="507"/>
      <c r="G656" s="507"/>
      <c r="H656" s="507"/>
      <c r="I656" s="507"/>
      <c r="J656" s="507"/>
      <c r="K656" s="507"/>
      <c r="L656" s="507"/>
      <c r="M656" s="507"/>
      <c r="N656" s="507"/>
      <c r="O656" s="507"/>
      <c r="P656" s="507"/>
      <c r="Q656" s="507"/>
      <c r="R656" s="507"/>
      <c r="S656" s="507"/>
      <c r="T656" s="507"/>
      <c r="U656" s="507"/>
      <c r="V656" s="507"/>
      <c r="W656" s="507"/>
    </row>
    <row r="657" ht="35.25" customHeight="1">
      <c r="A657" s="507"/>
      <c r="B657" s="507"/>
      <c r="C657" s="507"/>
      <c r="D657" s="508"/>
      <c r="E657" s="507"/>
      <c r="F657" s="507"/>
      <c r="G657" s="507"/>
      <c r="H657" s="507"/>
      <c r="I657" s="507"/>
      <c r="J657" s="507"/>
      <c r="K657" s="507"/>
      <c r="L657" s="507"/>
      <c r="M657" s="507"/>
      <c r="N657" s="507"/>
      <c r="O657" s="507"/>
      <c r="P657" s="507"/>
      <c r="Q657" s="507"/>
      <c r="R657" s="507"/>
      <c r="S657" s="507"/>
      <c r="T657" s="507"/>
      <c r="U657" s="507"/>
      <c r="V657" s="507"/>
      <c r="W657" s="507"/>
    </row>
    <row r="658" ht="35.25" customHeight="1">
      <c r="A658" s="507"/>
      <c r="B658" s="507"/>
      <c r="C658" s="507"/>
      <c r="D658" s="508"/>
      <c r="E658" s="507"/>
      <c r="F658" s="507"/>
      <c r="G658" s="507"/>
      <c r="H658" s="507"/>
      <c r="I658" s="507"/>
      <c r="J658" s="507"/>
      <c r="K658" s="507"/>
      <c r="L658" s="507"/>
      <c r="M658" s="507"/>
      <c r="N658" s="507"/>
      <c r="O658" s="507"/>
      <c r="P658" s="507"/>
      <c r="Q658" s="507"/>
      <c r="R658" s="507"/>
      <c r="S658" s="507"/>
      <c r="T658" s="507"/>
      <c r="U658" s="507"/>
      <c r="V658" s="507"/>
      <c r="W658" s="507"/>
    </row>
    <row r="659" ht="35.25" customHeight="1">
      <c r="A659" s="507"/>
      <c r="B659" s="507"/>
      <c r="C659" s="507"/>
      <c r="D659" s="508"/>
      <c r="E659" s="507"/>
      <c r="F659" s="507"/>
      <c r="G659" s="507"/>
      <c r="H659" s="507"/>
      <c r="I659" s="507"/>
      <c r="J659" s="507"/>
      <c r="K659" s="507"/>
      <c r="L659" s="507"/>
      <c r="M659" s="507"/>
      <c r="N659" s="507"/>
      <c r="O659" s="507"/>
      <c r="P659" s="507"/>
      <c r="Q659" s="507"/>
      <c r="R659" s="507"/>
      <c r="S659" s="507"/>
      <c r="T659" s="507"/>
      <c r="U659" s="507"/>
      <c r="V659" s="507"/>
      <c r="W659" s="507"/>
    </row>
    <row r="660" ht="35.25" customHeight="1">
      <c r="A660" s="507"/>
      <c r="B660" s="507"/>
      <c r="C660" s="507"/>
      <c r="D660" s="508"/>
      <c r="E660" s="507"/>
      <c r="F660" s="507"/>
      <c r="G660" s="507"/>
      <c r="H660" s="507"/>
      <c r="I660" s="507"/>
      <c r="J660" s="507"/>
      <c r="K660" s="507"/>
      <c r="L660" s="507"/>
      <c r="M660" s="507"/>
      <c r="N660" s="507"/>
      <c r="O660" s="507"/>
      <c r="P660" s="507"/>
      <c r="Q660" s="507"/>
      <c r="R660" s="507"/>
      <c r="S660" s="507"/>
      <c r="T660" s="507"/>
      <c r="U660" s="507"/>
      <c r="V660" s="507"/>
      <c r="W660" s="507"/>
    </row>
    <row r="661" ht="35.25" customHeight="1">
      <c r="A661" s="507"/>
      <c r="B661" s="507"/>
      <c r="C661" s="507"/>
      <c r="D661" s="508"/>
      <c r="E661" s="507"/>
      <c r="F661" s="507"/>
      <c r="G661" s="507"/>
      <c r="H661" s="507"/>
      <c r="I661" s="507"/>
      <c r="J661" s="507"/>
      <c r="K661" s="507"/>
      <c r="L661" s="507"/>
      <c r="M661" s="507"/>
      <c r="N661" s="507"/>
      <c r="O661" s="507"/>
      <c r="P661" s="507"/>
      <c r="Q661" s="507"/>
      <c r="R661" s="507"/>
      <c r="S661" s="507"/>
      <c r="T661" s="507"/>
      <c r="U661" s="507"/>
      <c r="V661" s="507"/>
      <c r="W661" s="507"/>
    </row>
    <row r="662" ht="35.25" customHeight="1">
      <c r="A662" s="507"/>
      <c r="B662" s="507"/>
      <c r="C662" s="507"/>
      <c r="D662" s="508"/>
      <c r="E662" s="507"/>
      <c r="F662" s="507"/>
      <c r="G662" s="507"/>
      <c r="H662" s="507"/>
      <c r="I662" s="507"/>
      <c r="J662" s="507"/>
      <c r="K662" s="507"/>
      <c r="L662" s="507"/>
      <c r="M662" s="507"/>
      <c r="N662" s="507"/>
      <c r="O662" s="507"/>
      <c r="P662" s="507"/>
      <c r="Q662" s="507"/>
      <c r="R662" s="507"/>
      <c r="S662" s="507"/>
      <c r="T662" s="507"/>
      <c r="U662" s="507"/>
      <c r="V662" s="507"/>
      <c r="W662" s="507"/>
    </row>
    <row r="663" ht="35.25" customHeight="1">
      <c r="A663" s="507"/>
      <c r="B663" s="507"/>
      <c r="C663" s="507"/>
      <c r="D663" s="508"/>
      <c r="E663" s="507"/>
      <c r="F663" s="507"/>
      <c r="G663" s="507"/>
      <c r="H663" s="507"/>
      <c r="I663" s="507"/>
      <c r="J663" s="507"/>
      <c r="K663" s="507"/>
      <c r="L663" s="507"/>
      <c r="M663" s="507"/>
      <c r="N663" s="507"/>
      <c r="O663" s="507"/>
      <c r="P663" s="507"/>
      <c r="Q663" s="507"/>
      <c r="R663" s="507"/>
      <c r="S663" s="507"/>
      <c r="T663" s="507"/>
      <c r="U663" s="507"/>
      <c r="V663" s="507"/>
      <c r="W663" s="507"/>
    </row>
    <row r="664" ht="35.25" customHeight="1">
      <c r="A664" s="507"/>
      <c r="B664" s="507"/>
      <c r="C664" s="507"/>
      <c r="D664" s="508"/>
      <c r="E664" s="507"/>
      <c r="F664" s="507"/>
      <c r="G664" s="507"/>
      <c r="H664" s="507"/>
      <c r="I664" s="507"/>
      <c r="J664" s="507"/>
      <c r="K664" s="507"/>
      <c r="L664" s="507"/>
      <c r="M664" s="507"/>
      <c r="N664" s="507"/>
      <c r="O664" s="507"/>
      <c r="P664" s="507"/>
      <c r="Q664" s="507"/>
      <c r="R664" s="507"/>
      <c r="S664" s="507"/>
      <c r="T664" s="507"/>
      <c r="U664" s="507"/>
      <c r="V664" s="507"/>
      <c r="W664" s="507"/>
    </row>
    <row r="665" ht="35.25" customHeight="1">
      <c r="A665" s="507"/>
      <c r="B665" s="507"/>
      <c r="C665" s="507"/>
      <c r="D665" s="508"/>
      <c r="E665" s="507"/>
      <c r="F665" s="507"/>
      <c r="G665" s="507"/>
      <c r="H665" s="507"/>
      <c r="I665" s="507"/>
      <c r="J665" s="507"/>
      <c r="K665" s="507"/>
      <c r="L665" s="507"/>
      <c r="M665" s="507"/>
      <c r="N665" s="507"/>
      <c r="O665" s="507"/>
      <c r="P665" s="507"/>
      <c r="Q665" s="507"/>
      <c r="R665" s="507"/>
      <c r="S665" s="507"/>
      <c r="T665" s="507"/>
      <c r="U665" s="507"/>
      <c r="V665" s="507"/>
      <c r="W665" s="507"/>
    </row>
    <row r="666" ht="35.25" customHeight="1">
      <c r="A666" s="507"/>
      <c r="B666" s="507"/>
      <c r="C666" s="507"/>
      <c r="D666" s="508"/>
      <c r="E666" s="507"/>
      <c r="F666" s="507"/>
      <c r="G666" s="507"/>
      <c r="H666" s="507"/>
      <c r="I666" s="507"/>
      <c r="J666" s="507"/>
      <c r="K666" s="507"/>
      <c r="L666" s="507"/>
      <c r="M666" s="507"/>
      <c r="N666" s="507"/>
      <c r="O666" s="507"/>
      <c r="P666" s="507"/>
      <c r="Q666" s="507"/>
      <c r="R666" s="507"/>
      <c r="S666" s="507"/>
      <c r="T666" s="507"/>
      <c r="U666" s="507"/>
      <c r="V666" s="507"/>
      <c r="W666" s="507"/>
    </row>
    <row r="667" ht="35.25" customHeight="1">
      <c r="A667" s="507"/>
      <c r="B667" s="507"/>
      <c r="C667" s="507"/>
      <c r="D667" s="508"/>
      <c r="E667" s="507"/>
      <c r="F667" s="507"/>
      <c r="G667" s="507"/>
      <c r="H667" s="507"/>
      <c r="I667" s="507"/>
      <c r="J667" s="507"/>
      <c r="K667" s="507"/>
      <c r="L667" s="507"/>
      <c r="M667" s="507"/>
      <c r="N667" s="507"/>
      <c r="O667" s="507"/>
      <c r="P667" s="507"/>
      <c r="Q667" s="507"/>
      <c r="R667" s="507"/>
      <c r="S667" s="507"/>
      <c r="T667" s="507"/>
      <c r="U667" s="507"/>
      <c r="V667" s="507"/>
      <c r="W667" s="507"/>
    </row>
    <row r="668" ht="35.25" customHeight="1">
      <c r="A668" s="507"/>
      <c r="B668" s="507"/>
      <c r="C668" s="507"/>
      <c r="D668" s="508"/>
      <c r="E668" s="507"/>
      <c r="F668" s="507"/>
      <c r="G668" s="507"/>
      <c r="H668" s="507"/>
      <c r="I668" s="507"/>
      <c r="J668" s="507"/>
      <c r="K668" s="507"/>
      <c r="L668" s="507"/>
      <c r="M668" s="507"/>
      <c r="N668" s="507"/>
      <c r="O668" s="507"/>
      <c r="P668" s="507"/>
      <c r="Q668" s="507"/>
      <c r="R668" s="507"/>
      <c r="S668" s="507"/>
      <c r="T668" s="507"/>
      <c r="U668" s="507"/>
      <c r="V668" s="507"/>
      <c r="W668" s="507"/>
    </row>
    <row r="669" ht="35.25" customHeight="1">
      <c r="A669" s="507"/>
      <c r="B669" s="507"/>
      <c r="C669" s="507"/>
      <c r="D669" s="508"/>
      <c r="E669" s="507"/>
      <c r="F669" s="507"/>
      <c r="G669" s="507"/>
      <c r="H669" s="507"/>
      <c r="I669" s="507"/>
      <c r="J669" s="507"/>
      <c r="K669" s="507"/>
      <c r="L669" s="507"/>
      <c r="M669" s="507"/>
      <c r="N669" s="507"/>
      <c r="O669" s="507"/>
      <c r="P669" s="507"/>
      <c r="Q669" s="507"/>
      <c r="R669" s="507"/>
      <c r="S669" s="507"/>
      <c r="T669" s="507"/>
      <c r="U669" s="507"/>
      <c r="V669" s="507"/>
      <c r="W669" s="507"/>
    </row>
    <row r="670" ht="35.25" customHeight="1">
      <c r="A670" s="507"/>
      <c r="B670" s="507"/>
      <c r="C670" s="507"/>
      <c r="D670" s="508"/>
      <c r="E670" s="507"/>
      <c r="F670" s="507"/>
      <c r="G670" s="507"/>
      <c r="H670" s="507"/>
      <c r="I670" s="507"/>
      <c r="J670" s="507"/>
      <c r="K670" s="507"/>
      <c r="L670" s="507"/>
      <c r="M670" s="507"/>
      <c r="N670" s="507"/>
      <c r="O670" s="507"/>
      <c r="P670" s="507"/>
      <c r="Q670" s="507"/>
      <c r="R670" s="507"/>
      <c r="S670" s="507"/>
      <c r="T670" s="507"/>
      <c r="U670" s="507"/>
      <c r="V670" s="507"/>
      <c r="W670" s="507"/>
    </row>
    <row r="671" ht="35.25" customHeight="1">
      <c r="A671" s="507"/>
      <c r="B671" s="507"/>
      <c r="C671" s="507"/>
      <c r="D671" s="508"/>
      <c r="E671" s="507"/>
      <c r="F671" s="507"/>
      <c r="G671" s="507"/>
      <c r="H671" s="507"/>
      <c r="I671" s="507"/>
      <c r="J671" s="507"/>
      <c r="K671" s="507"/>
      <c r="L671" s="507"/>
      <c r="M671" s="507"/>
      <c r="N671" s="507"/>
      <c r="O671" s="507"/>
      <c r="P671" s="507"/>
      <c r="Q671" s="507"/>
      <c r="R671" s="507"/>
      <c r="S671" s="507"/>
      <c r="T671" s="507"/>
      <c r="U671" s="507"/>
      <c r="V671" s="507"/>
      <c r="W671" s="507"/>
    </row>
    <row r="672" ht="35.25" customHeight="1">
      <c r="A672" s="507"/>
      <c r="B672" s="507"/>
      <c r="C672" s="507"/>
      <c r="D672" s="508"/>
      <c r="E672" s="507"/>
      <c r="F672" s="507"/>
      <c r="G672" s="507"/>
      <c r="H672" s="507"/>
      <c r="I672" s="507"/>
      <c r="J672" s="507"/>
      <c r="K672" s="507"/>
      <c r="L672" s="507"/>
      <c r="M672" s="507"/>
      <c r="N672" s="507"/>
      <c r="O672" s="507"/>
      <c r="P672" s="507"/>
      <c r="Q672" s="507"/>
      <c r="R672" s="507"/>
      <c r="S672" s="507"/>
      <c r="T672" s="507"/>
      <c r="U672" s="507"/>
      <c r="V672" s="507"/>
      <c r="W672" s="507"/>
    </row>
    <row r="673" ht="35.25" customHeight="1">
      <c r="A673" s="507"/>
      <c r="B673" s="507"/>
      <c r="C673" s="507"/>
      <c r="D673" s="508"/>
      <c r="E673" s="507"/>
      <c r="F673" s="507"/>
      <c r="G673" s="507"/>
      <c r="H673" s="507"/>
      <c r="I673" s="507"/>
      <c r="J673" s="507"/>
      <c r="K673" s="507"/>
      <c r="L673" s="507"/>
      <c r="M673" s="507"/>
      <c r="N673" s="507"/>
      <c r="O673" s="507"/>
      <c r="P673" s="507"/>
      <c r="Q673" s="507"/>
      <c r="R673" s="507"/>
      <c r="S673" s="507"/>
      <c r="T673" s="507"/>
      <c r="U673" s="507"/>
      <c r="V673" s="507"/>
      <c r="W673" s="507"/>
    </row>
    <row r="674" ht="35.25" customHeight="1">
      <c r="A674" s="507"/>
      <c r="B674" s="507"/>
      <c r="C674" s="507"/>
      <c r="D674" s="508"/>
      <c r="E674" s="507"/>
      <c r="F674" s="507"/>
      <c r="G674" s="507"/>
      <c r="H674" s="507"/>
      <c r="I674" s="507"/>
      <c r="J674" s="507"/>
      <c r="K674" s="507"/>
      <c r="L674" s="507"/>
      <c r="M674" s="507"/>
      <c r="N674" s="507"/>
      <c r="O674" s="507"/>
      <c r="P674" s="507"/>
      <c r="Q674" s="507"/>
      <c r="R674" s="507"/>
      <c r="S674" s="507"/>
      <c r="T674" s="507"/>
      <c r="U674" s="507"/>
      <c r="V674" s="507"/>
      <c r="W674" s="507"/>
    </row>
    <row r="675" ht="35.25" customHeight="1">
      <c r="A675" s="507"/>
      <c r="B675" s="507"/>
      <c r="C675" s="507"/>
      <c r="D675" s="508"/>
      <c r="E675" s="507"/>
      <c r="F675" s="507"/>
      <c r="G675" s="507"/>
      <c r="H675" s="507"/>
      <c r="I675" s="507"/>
      <c r="J675" s="507"/>
      <c r="K675" s="507"/>
      <c r="L675" s="507"/>
      <c r="M675" s="507"/>
      <c r="N675" s="507"/>
      <c r="O675" s="507"/>
      <c r="P675" s="507"/>
      <c r="Q675" s="507"/>
      <c r="R675" s="507"/>
      <c r="S675" s="507"/>
      <c r="T675" s="507"/>
      <c r="U675" s="507"/>
      <c r="V675" s="507"/>
      <c r="W675" s="507"/>
    </row>
    <row r="676" ht="35.25" customHeight="1">
      <c r="A676" s="507"/>
      <c r="B676" s="507"/>
      <c r="C676" s="507"/>
      <c r="D676" s="508"/>
      <c r="E676" s="507"/>
      <c r="F676" s="507"/>
      <c r="G676" s="507"/>
      <c r="H676" s="507"/>
      <c r="I676" s="507"/>
      <c r="J676" s="507"/>
      <c r="K676" s="507"/>
      <c r="L676" s="507"/>
      <c r="M676" s="507"/>
      <c r="N676" s="507"/>
      <c r="O676" s="507"/>
      <c r="P676" s="507"/>
      <c r="Q676" s="507"/>
      <c r="R676" s="507"/>
      <c r="S676" s="507"/>
      <c r="T676" s="507"/>
      <c r="U676" s="507"/>
      <c r="V676" s="507"/>
      <c r="W676" s="507"/>
    </row>
    <row r="677" ht="35.25" customHeight="1">
      <c r="A677" s="507"/>
      <c r="B677" s="507"/>
      <c r="C677" s="507"/>
      <c r="D677" s="508"/>
      <c r="E677" s="507"/>
      <c r="F677" s="507"/>
      <c r="G677" s="507"/>
      <c r="H677" s="507"/>
      <c r="I677" s="507"/>
      <c r="J677" s="507"/>
      <c r="K677" s="507"/>
      <c r="L677" s="507"/>
      <c r="M677" s="507"/>
      <c r="N677" s="507"/>
      <c r="O677" s="507"/>
      <c r="P677" s="507"/>
      <c r="Q677" s="507"/>
      <c r="R677" s="507"/>
      <c r="S677" s="507"/>
      <c r="T677" s="507"/>
      <c r="U677" s="507"/>
      <c r="V677" s="507"/>
      <c r="W677" s="507"/>
    </row>
    <row r="678" ht="35.25" customHeight="1">
      <c r="A678" s="507"/>
      <c r="B678" s="507"/>
      <c r="C678" s="507"/>
      <c r="D678" s="508"/>
      <c r="E678" s="507"/>
      <c r="F678" s="507"/>
      <c r="G678" s="507"/>
      <c r="H678" s="507"/>
      <c r="I678" s="507"/>
      <c r="J678" s="507"/>
      <c r="K678" s="507"/>
      <c r="L678" s="507"/>
      <c r="M678" s="507"/>
      <c r="N678" s="507"/>
      <c r="O678" s="507"/>
      <c r="P678" s="507"/>
      <c r="Q678" s="507"/>
      <c r="R678" s="507"/>
      <c r="S678" s="507"/>
      <c r="T678" s="507"/>
      <c r="U678" s="507"/>
      <c r="V678" s="507"/>
      <c r="W678" s="507"/>
    </row>
    <row r="679" ht="35.25" customHeight="1">
      <c r="A679" s="507"/>
      <c r="B679" s="507"/>
      <c r="C679" s="507"/>
      <c r="D679" s="508"/>
      <c r="E679" s="507"/>
      <c r="F679" s="507"/>
      <c r="G679" s="507"/>
      <c r="H679" s="507"/>
      <c r="I679" s="507"/>
      <c r="J679" s="507"/>
      <c r="K679" s="507"/>
      <c r="L679" s="507"/>
      <c r="M679" s="507"/>
      <c r="N679" s="507"/>
      <c r="O679" s="507"/>
      <c r="P679" s="507"/>
      <c r="Q679" s="507"/>
      <c r="R679" s="507"/>
      <c r="S679" s="507"/>
      <c r="T679" s="507"/>
      <c r="U679" s="507"/>
      <c r="V679" s="507"/>
      <c r="W679" s="507"/>
    </row>
    <row r="680" ht="35.25" customHeight="1">
      <c r="A680" s="507"/>
      <c r="B680" s="507"/>
      <c r="C680" s="507"/>
      <c r="D680" s="508"/>
      <c r="E680" s="507"/>
      <c r="F680" s="507"/>
      <c r="G680" s="507"/>
      <c r="H680" s="507"/>
      <c r="I680" s="507"/>
      <c r="J680" s="507"/>
      <c r="K680" s="507"/>
      <c r="L680" s="507"/>
      <c r="M680" s="507"/>
      <c r="N680" s="507"/>
      <c r="O680" s="507"/>
      <c r="P680" s="507"/>
      <c r="Q680" s="507"/>
      <c r="R680" s="507"/>
      <c r="S680" s="507"/>
      <c r="T680" s="507"/>
      <c r="U680" s="507"/>
      <c r="V680" s="507"/>
      <c r="W680" s="507"/>
    </row>
    <row r="681" ht="35.25" customHeight="1">
      <c r="A681" s="507"/>
      <c r="B681" s="507"/>
      <c r="C681" s="507"/>
      <c r="D681" s="508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  <c r="O681" s="507"/>
      <c r="P681" s="507"/>
      <c r="Q681" s="507"/>
      <c r="R681" s="507"/>
      <c r="S681" s="507"/>
      <c r="T681" s="507"/>
      <c r="U681" s="507"/>
      <c r="V681" s="507"/>
      <c r="W681" s="507"/>
    </row>
    <row r="682" ht="35.25" customHeight="1">
      <c r="A682" s="507"/>
      <c r="B682" s="507"/>
      <c r="C682" s="507"/>
      <c r="D682" s="508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  <c r="O682" s="507"/>
      <c r="P682" s="507"/>
      <c r="Q682" s="507"/>
      <c r="R682" s="507"/>
      <c r="S682" s="507"/>
      <c r="T682" s="507"/>
      <c r="U682" s="507"/>
      <c r="V682" s="507"/>
      <c r="W682" s="507"/>
    </row>
    <row r="683" ht="35.25" customHeight="1">
      <c r="A683" s="507"/>
      <c r="B683" s="507"/>
      <c r="C683" s="507"/>
      <c r="D683" s="508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  <c r="O683" s="507"/>
      <c r="P683" s="507"/>
      <c r="Q683" s="507"/>
      <c r="R683" s="507"/>
      <c r="S683" s="507"/>
      <c r="T683" s="507"/>
      <c r="U683" s="507"/>
      <c r="V683" s="507"/>
      <c r="W683" s="507"/>
    </row>
    <row r="684" ht="35.25" customHeight="1">
      <c r="A684" s="507"/>
      <c r="B684" s="507"/>
      <c r="C684" s="507"/>
      <c r="D684" s="508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  <c r="O684" s="507"/>
      <c r="P684" s="507"/>
      <c r="Q684" s="507"/>
      <c r="R684" s="507"/>
      <c r="S684" s="507"/>
      <c r="T684" s="507"/>
      <c r="U684" s="507"/>
      <c r="V684" s="507"/>
      <c r="W684" s="507"/>
    </row>
    <row r="685" ht="35.25" customHeight="1">
      <c r="A685" s="507"/>
      <c r="B685" s="507"/>
      <c r="C685" s="507"/>
      <c r="D685" s="508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  <c r="O685" s="507"/>
      <c r="P685" s="507"/>
      <c r="Q685" s="507"/>
      <c r="R685" s="507"/>
      <c r="S685" s="507"/>
      <c r="T685" s="507"/>
      <c r="U685" s="507"/>
      <c r="V685" s="507"/>
      <c r="W685" s="507"/>
    </row>
    <row r="686" ht="35.25" customHeight="1">
      <c r="A686" s="507"/>
      <c r="B686" s="507"/>
      <c r="C686" s="507"/>
      <c r="D686" s="508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  <c r="O686" s="507"/>
      <c r="P686" s="507"/>
      <c r="Q686" s="507"/>
      <c r="R686" s="507"/>
      <c r="S686" s="507"/>
      <c r="T686" s="507"/>
      <c r="U686" s="507"/>
      <c r="V686" s="507"/>
      <c r="W686" s="507"/>
    </row>
    <row r="687" ht="35.25" customHeight="1">
      <c r="A687" s="507"/>
      <c r="B687" s="507"/>
      <c r="C687" s="507"/>
      <c r="D687" s="508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  <c r="O687" s="507"/>
      <c r="P687" s="507"/>
      <c r="Q687" s="507"/>
      <c r="R687" s="507"/>
      <c r="S687" s="507"/>
      <c r="T687" s="507"/>
      <c r="U687" s="507"/>
      <c r="V687" s="507"/>
      <c r="W687" s="507"/>
    </row>
    <row r="688" ht="35.25" customHeight="1">
      <c r="A688" s="507"/>
      <c r="B688" s="507"/>
      <c r="C688" s="507"/>
      <c r="D688" s="508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  <c r="O688" s="507"/>
      <c r="P688" s="507"/>
      <c r="Q688" s="507"/>
      <c r="R688" s="507"/>
      <c r="S688" s="507"/>
      <c r="T688" s="507"/>
      <c r="U688" s="507"/>
      <c r="V688" s="507"/>
      <c r="W688" s="507"/>
    </row>
    <row r="689" ht="35.25" customHeight="1">
      <c r="A689" s="507"/>
      <c r="B689" s="507"/>
      <c r="C689" s="507"/>
      <c r="D689" s="508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  <c r="O689" s="507"/>
      <c r="P689" s="507"/>
      <c r="Q689" s="507"/>
      <c r="R689" s="507"/>
      <c r="S689" s="507"/>
      <c r="T689" s="507"/>
      <c r="U689" s="507"/>
      <c r="V689" s="507"/>
      <c r="W689" s="507"/>
    </row>
    <row r="690" ht="35.25" customHeight="1">
      <c r="A690" s="507"/>
      <c r="B690" s="507"/>
      <c r="C690" s="507"/>
      <c r="D690" s="508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  <c r="O690" s="507"/>
      <c r="P690" s="507"/>
      <c r="Q690" s="507"/>
      <c r="R690" s="507"/>
      <c r="S690" s="507"/>
      <c r="T690" s="507"/>
      <c r="U690" s="507"/>
      <c r="V690" s="507"/>
      <c r="W690" s="507"/>
    </row>
    <row r="691" ht="35.25" customHeight="1">
      <c r="A691" s="507"/>
      <c r="B691" s="507"/>
      <c r="C691" s="507"/>
      <c r="D691" s="508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  <c r="O691" s="507"/>
      <c r="P691" s="507"/>
      <c r="Q691" s="507"/>
      <c r="R691" s="507"/>
      <c r="S691" s="507"/>
      <c r="T691" s="507"/>
      <c r="U691" s="507"/>
      <c r="V691" s="507"/>
      <c r="W691" s="507"/>
    </row>
    <row r="692" ht="35.25" customHeight="1">
      <c r="A692" s="507"/>
      <c r="B692" s="507"/>
      <c r="C692" s="507"/>
      <c r="D692" s="508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  <c r="O692" s="507"/>
      <c r="P692" s="507"/>
      <c r="Q692" s="507"/>
      <c r="R692" s="507"/>
      <c r="S692" s="507"/>
      <c r="T692" s="507"/>
      <c r="U692" s="507"/>
      <c r="V692" s="507"/>
      <c r="W692" s="507"/>
    </row>
    <row r="693" ht="35.25" customHeight="1">
      <c r="A693" s="507"/>
      <c r="B693" s="507"/>
      <c r="C693" s="507"/>
      <c r="D693" s="508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  <c r="O693" s="507"/>
      <c r="P693" s="507"/>
      <c r="Q693" s="507"/>
      <c r="R693" s="507"/>
      <c r="S693" s="507"/>
      <c r="T693" s="507"/>
      <c r="U693" s="507"/>
      <c r="V693" s="507"/>
      <c r="W693" s="507"/>
    </row>
    <row r="694" ht="35.25" customHeight="1">
      <c r="A694" s="507"/>
      <c r="B694" s="507"/>
      <c r="C694" s="507"/>
      <c r="D694" s="508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  <c r="O694" s="507"/>
      <c r="P694" s="507"/>
      <c r="Q694" s="507"/>
      <c r="R694" s="507"/>
      <c r="S694" s="507"/>
      <c r="T694" s="507"/>
      <c r="U694" s="507"/>
      <c r="V694" s="507"/>
      <c r="W694" s="507"/>
    </row>
    <row r="695" ht="35.25" customHeight="1">
      <c r="A695" s="507"/>
      <c r="B695" s="507"/>
      <c r="C695" s="507"/>
      <c r="D695" s="508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  <c r="O695" s="507"/>
      <c r="P695" s="507"/>
      <c r="Q695" s="507"/>
      <c r="R695" s="507"/>
      <c r="S695" s="507"/>
      <c r="T695" s="507"/>
      <c r="U695" s="507"/>
      <c r="V695" s="507"/>
      <c r="W695" s="507"/>
    </row>
    <row r="696" ht="35.25" customHeight="1">
      <c r="A696" s="507"/>
      <c r="B696" s="507"/>
      <c r="C696" s="507"/>
      <c r="D696" s="508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  <c r="O696" s="507"/>
      <c r="P696" s="507"/>
      <c r="Q696" s="507"/>
      <c r="R696" s="507"/>
      <c r="S696" s="507"/>
      <c r="T696" s="507"/>
      <c r="U696" s="507"/>
      <c r="V696" s="507"/>
      <c r="W696" s="507"/>
    </row>
    <row r="697" ht="35.25" customHeight="1">
      <c r="A697" s="507"/>
      <c r="B697" s="507"/>
      <c r="C697" s="507"/>
      <c r="D697" s="508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  <c r="O697" s="507"/>
      <c r="P697" s="507"/>
      <c r="Q697" s="507"/>
      <c r="R697" s="507"/>
      <c r="S697" s="507"/>
      <c r="T697" s="507"/>
      <c r="U697" s="507"/>
      <c r="V697" s="507"/>
      <c r="W697" s="507"/>
    </row>
    <row r="698" ht="35.25" customHeight="1">
      <c r="A698" s="507"/>
      <c r="B698" s="507"/>
      <c r="C698" s="507"/>
      <c r="D698" s="508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  <c r="O698" s="507"/>
      <c r="P698" s="507"/>
      <c r="Q698" s="507"/>
      <c r="R698" s="507"/>
      <c r="S698" s="507"/>
      <c r="T698" s="507"/>
      <c r="U698" s="507"/>
      <c r="V698" s="507"/>
      <c r="W698" s="507"/>
    </row>
    <row r="699" ht="35.25" customHeight="1">
      <c r="A699" s="507"/>
      <c r="B699" s="507"/>
      <c r="C699" s="507"/>
      <c r="D699" s="508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  <c r="O699" s="507"/>
      <c r="P699" s="507"/>
      <c r="Q699" s="507"/>
      <c r="R699" s="507"/>
      <c r="S699" s="507"/>
      <c r="T699" s="507"/>
      <c r="U699" s="507"/>
      <c r="V699" s="507"/>
      <c r="W699" s="507"/>
    </row>
    <row r="700" ht="35.25" customHeight="1">
      <c r="A700" s="507"/>
      <c r="B700" s="507"/>
      <c r="C700" s="507"/>
      <c r="D700" s="508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  <c r="O700" s="507"/>
      <c r="P700" s="507"/>
      <c r="Q700" s="507"/>
      <c r="R700" s="507"/>
      <c r="S700" s="507"/>
      <c r="T700" s="507"/>
      <c r="U700" s="507"/>
      <c r="V700" s="507"/>
      <c r="W700" s="507"/>
    </row>
    <row r="701" ht="35.25" customHeight="1">
      <c r="A701" s="507"/>
      <c r="B701" s="507"/>
      <c r="C701" s="507"/>
      <c r="D701" s="508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  <c r="O701" s="507"/>
      <c r="P701" s="507"/>
      <c r="Q701" s="507"/>
      <c r="R701" s="507"/>
      <c r="S701" s="507"/>
      <c r="T701" s="507"/>
      <c r="U701" s="507"/>
      <c r="V701" s="507"/>
      <c r="W701" s="507"/>
    </row>
    <row r="702" ht="35.25" customHeight="1">
      <c r="A702" s="507"/>
      <c r="B702" s="507"/>
      <c r="C702" s="507"/>
      <c r="D702" s="508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  <c r="O702" s="507"/>
      <c r="P702" s="507"/>
      <c r="Q702" s="507"/>
      <c r="R702" s="507"/>
      <c r="S702" s="507"/>
      <c r="T702" s="507"/>
      <c r="U702" s="507"/>
      <c r="V702" s="507"/>
      <c r="W702" s="507"/>
    </row>
    <row r="703" ht="35.25" customHeight="1">
      <c r="A703" s="507"/>
      <c r="B703" s="507"/>
      <c r="C703" s="507"/>
      <c r="D703" s="508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  <c r="O703" s="507"/>
      <c r="P703" s="507"/>
      <c r="Q703" s="507"/>
      <c r="R703" s="507"/>
      <c r="S703" s="507"/>
      <c r="T703" s="507"/>
      <c r="U703" s="507"/>
      <c r="V703" s="507"/>
      <c r="W703" s="507"/>
    </row>
    <row r="704" ht="35.25" customHeight="1">
      <c r="A704" s="507"/>
      <c r="B704" s="507"/>
      <c r="C704" s="507"/>
      <c r="D704" s="508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  <c r="O704" s="507"/>
      <c r="P704" s="507"/>
      <c r="Q704" s="507"/>
      <c r="R704" s="507"/>
      <c r="S704" s="507"/>
      <c r="T704" s="507"/>
      <c r="U704" s="507"/>
      <c r="V704" s="507"/>
      <c r="W704" s="507"/>
    </row>
    <row r="705" ht="35.25" customHeight="1">
      <c r="A705" s="507"/>
      <c r="B705" s="507"/>
      <c r="C705" s="507"/>
      <c r="D705" s="508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  <c r="O705" s="507"/>
      <c r="P705" s="507"/>
      <c r="Q705" s="507"/>
      <c r="R705" s="507"/>
      <c r="S705" s="507"/>
      <c r="T705" s="507"/>
      <c r="U705" s="507"/>
      <c r="V705" s="507"/>
      <c r="W705" s="507"/>
    </row>
    <row r="706" ht="35.25" customHeight="1">
      <c r="A706" s="507"/>
      <c r="B706" s="507"/>
      <c r="C706" s="507"/>
      <c r="D706" s="508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  <c r="O706" s="507"/>
      <c r="P706" s="507"/>
      <c r="Q706" s="507"/>
      <c r="R706" s="507"/>
      <c r="S706" s="507"/>
      <c r="T706" s="507"/>
      <c r="U706" s="507"/>
      <c r="V706" s="507"/>
      <c r="W706" s="507"/>
    </row>
    <row r="707" ht="35.25" customHeight="1">
      <c r="A707" s="507"/>
      <c r="B707" s="507"/>
      <c r="C707" s="507"/>
      <c r="D707" s="508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  <c r="O707" s="507"/>
      <c r="P707" s="507"/>
      <c r="Q707" s="507"/>
      <c r="R707" s="507"/>
      <c r="S707" s="507"/>
      <c r="T707" s="507"/>
      <c r="U707" s="507"/>
      <c r="V707" s="507"/>
      <c r="W707" s="507"/>
    </row>
    <row r="708" ht="35.25" customHeight="1">
      <c r="A708" s="507"/>
      <c r="B708" s="507"/>
      <c r="C708" s="507"/>
      <c r="D708" s="508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  <c r="O708" s="507"/>
      <c r="P708" s="507"/>
      <c r="Q708" s="507"/>
      <c r="R708" s="507"/>
      <c r="S708" s="507"/>
      <c r="T708" s="507"/>
      <c r="U708" s="507"/>
      <c r="V708" s="507"/>
      <c r="W708" s="507"/>
    </row>
    <row r="709" ht="35.25" customHeight="1">
      <c r="A709" s="507"/>
      <c r="B709" s="507"/>
      <c r="C709" s="507"/>
      <c r="D709" s="508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  <c r="O709" s="507"/>
      <c r="P709" s="507"/>
      <c r="Q709" s="507"/>
      <c r="R709" s="507"/>
      <c r="S709" s="507"/>
      <c r="T709" s="507"/>
      <c r="U709" s="507"/>
      <c r="V709" s="507"/>
      <c r="W709" s="507"/>
    </row>
    <row r="710" ht="35.25" customHeight="1">
      <c r="A710" s="507"/>
      <c r="B710" s="507"/>
      <c r="C710" s="507"/>
      <c r="D710" s="508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  <c r="O710" s="507"/>
      <c r="P710" s="507"/>
      <c r="Q710" s="507"/>
      <c r="R710" s="507"/>
      <c r="S710" s="507"/>
      <c r="T710" s="507"/>
      <c r="U710" s="507"/>
      <c r="V710" s="507"/>
      <c r="W710" s="507"/>
    </row>
    <row r="711" ht="35.25" customHeight="1">
      <c r="A711" s="507"/>
      <c r="B711" s="507"/>
      <c r="C711" s="507"/>
      <c r="D711" s="508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  <c r="O711" s="507"/>
      <c r="P711" s="507"/>
      <c r="Q711" s="507"/>
      <c r="R711" s="507"/>
      <c r="S711" s="507"/>
      <c r="T711" s="507"/>
      <c r="U711" s="507"/>
      <c r="V711" s="507"/>
      <c r="W711" s="507"/>
    </row>
    <row r="712" ht="35.25" customHeight="1">
      <c r="A712" s="507"/>
      <c r="B712" s="507"/>
      <c r="C712" s="507"/>
      <c r="D712" s="508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  <c r="O712" s="507"/>
      <c r="P712" s="507"/>
      <c r="Q712" s="507"/>
      <c r="R712" s="507"/>
      <c r="S712" s="507"/>
      <c r="T712" s="507"/>
      <c r="U712" s="507"/>
      <c r="V712" s="507"/>
      <c r="W712" s="507"/>
    </row>
    <row r="713" ht="35.25" customHeight="1">
      <c r="A713" s="507"/>
      <c r="B713" s="507"/>
      <c r="C713" s="507"/>
      <c r="D713" s="508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  <c r="O713" s="507"/>
      <c r="P713" s="507"/>
      <c r="Q713" s="507"/>
      <c r="R713" s="507"/>
      <c r="S713" s="507"/>
      <c r="T713" s="507"/>
      <c r="U713" s="507"/>
      <c r="V713" s="507"/>
      <c r="W713" s="507"/>
    </row>
    <row r="714" ht="35.25" customHeight="1">
      <c r="A714" s="507"/>
      <c r="B714" s="507"/>
      <c r="C714" s="507"/>
      <c r="D714" s="508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  <c r="O714" s="507"/>
      <c r="P714" s="507"/>
      <c r="Q714" s="507"/>
      <c r="R714" s="507"/>
      <c r="S714" s="507"/>
      <c r="T714" s="507"/>
      <c r="U714" s="507"/>
      <c r="V714" s="507"/>
      <c r="W714" s="507"/>
    </row>
    <row r="715" ht="35.25" customHeight="1">
      <c r="A715" s="507"/>
      <c r="B715" s="507"/>
      <c r="C715" s="507"/>
      <c r="D715" s="508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  <c r="O715" s="507"/>
      <c r="P715" s="507"/>
      <c r="Q715" s="507"/>
      <c r="R715" s="507"/>
      <c r="S715" s="507"/>
      <c r="T715" s="507"/>
      <c r="U715" s="507"/>
      <c r="V715" s="507"/>
      <c r="W715" s="507"/>
    </row>
    <row r="716" ht="35.25" customHeight="1">
      <c r="A716" s="507"/>
      <c r="B716" s="507"/>
      <c r="C716" s="507"/>
      <c r="D716" s="508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  <c r="O716" s="507"/>
      <c r="P716" s="507"/>
      <c r="Q716" s="507"/>
      <c r="R716" s="507"/>
      <c r="S716" s="507"/>
      <c r="T716" s="507"/>
      <c r="U716" s="507"/>
      <c r="V716" s="507"/>
      <c r="W716" s="507"/>
    </row>
    <row r="717" ht="35.25" customHeight="1">
      <c r="A717" s="507"/>
      <c r="B717" s="507"/>
      <c r="C717" s="507"/>
      <c r="D717" s="508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  <c r="O717" s="507"/>
      <c r="P717" s="507"/>
      <c r="Q717" s="507"/>
      <c r="R717" s="507"/>
      <c r="S717" s="507"/>
      <c r="T717" s="507"/>
      <c r="U717" s="507"/>
      <c r="V717" s="507"/>
      <c r="W717" s="507"/>
    </row>
    <row r="718" ht="35.25" customHeight="1">
      <c r="A718" s="507"/>
      <c r="B718" s="507"/>
      <c r="C718" s="507"/>
      <c r="D718" s="508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  <c r="O718" s="507"/>
      <c r="P718" s="507"/>
      <c r="Q718" s="507"/>
      <c r="R718" s="507"/>
      <c r="S718" s="507"/>
      <c r="T718" s="507"/>
      <c r="U718" s="507"/>
      <c r="V718" s="507"/>
      <c r="W718" s="507"/>
    </row>
    <row r="719" ht="35.25" customHeight="1">
      <c r="A719" s="507"/>
      <c r="B719" s="507"/>
      <c r="C719" s="507"/>
      <c r="D719" s="508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  <c r="O719" s="507"/>
      <c r="P719" s="507"/>
      <c r="Q719" s="507"/>
      <c r="R719" s="507"/>
      <c r="S719" s="507"/>
      <c r="T719" s="507"/>
      <c r="U719" s="507"/>
      <c r="V719" s="507"/>
      <c r="W719" s="507"/>
    </row>
    <row r="720" ht="35.25" customHeight="1">
      <c r="A720" s="507"/>
      <c r="B720" s="507"/>
      <c r="C720" s="507"/>
      <c r="D720" s="508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  <c r="O720" s="507"/>
      <c r="P720" s="507"/>
      <c r="Q720" s="507"/>
      <c r="R720" s="507"/>
      <c r="S720" s="507"/>
      <c r="T720" s="507"/>
      <c r="U720" s="507"/>
      <c r="V720" s="507"/>
      <c r="W720" s="507"/>
    </row>
    <row r="721" ht="35.25" customHeight="1">
      <c r="A721" s="507"/>
      <c r="B721" s="507"/>
      <c r="C721" s="507"/>
      <c r="D721" s="508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  <c r="O721" s="507"/>
      <c r="P721" s="507"/>
      <c r="Q721" s="507"/>
      <c r="R721" s="507"/>
      <c r="S721" s="507"/>
      <c r="T721" s="507"/>
      <c r="U721" s="507"/>
      <c r="V721" s="507"/>
      <c r="W721" s="507"/>
    </row>
    <row r="722" ht="35.25" customHeight="1">
      <c r="A722" s="507"/>
      <c r="B722" s="507"/>
      <c r="C722" s="507"/>
      <c r="D722" s="508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  <c r="O722" s="507"/>
      <c r="P722" s="507"/>
      <c r="Q722" s="507"/>
      <c r="R722" s="507"/>
      <c r="S722" s="507"/>
      <c r="T722" s="507"/>
      <c r="U722" s="507"/>
      <c r="V722" s="507"/>
      <c r="W722" s="507"/>
    </row>
    <row r="723" ht="35.25" customHeight="1">
      <c r="A723" s="507"/>
      <c r="B723" s="507"/>
      <c r="C723" s="507"/>
      <c r="D723" s="508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  <c r="O723" s="507"/>
      <c r="P723" s="507"/>
      <c r="Q723" s="507"/>
      <c r="R723" s="507"/>
      <c r="S723" s="507"/>
      <c r="T723" s="507"/>
      <c r="U723" s="507"/>
      <c r="V723" s="507"/>
      <c r="W723" s="507"/>
    </row>
    <row r="724" ht="35.25" customHeight="1">
      <c r="A724" s="507"/>
      <c r="B724" s="507"/>
      <c r="C724" s="507"/>
      <c r="D724" s="508"/>
      <c r="E724" s="507"/>
      <c r="F724" s="507"/>
      <c r="G724" s="507"/>
      <c r="H724" s="507"/>
      <c r="I724" s="507"/>
      <c r="J724" s="507"/>
      <c r="K724" s="507"/>
      <c r="L724" s="507"/>
      <c r="M724" s="507"/>
      <c r="N724" s="507"/>
      <c r="O724" s="507"/>
      <c r="P724" s="507"/>
      <c r="Q724" s="507"/>
      <c r="R724" s="507"/>
      <c r="S724" s="507"/>
      <c r="T724" s="507"/>
      <c r="U724" s="507"/>
      <c r="V724" s="507"/>
      <c r="W724" s="507"/>
    </row>
    <row r="725" ht="35.25" customHeight="1">
      <c r="A725" s="507"/>
      <c r="B725" s="507"/>
      <c r="C725" s="507"/>
      <c r="D725" s="508"/>
      <c r="E725" s="507"/>
      <c r="F725" s="507"/>
      <c r="G725" s="507"/>
      <c r="H725" s="507"/>
      <c r="I725" s="507"/>
      <c r="J725" s="507"/>
      <c r="K725" s="507"/>
      <c r="L725" s="507"/>
      <c r="M725" s="507"/>
      <c r="N725" s="507"/>
      <c r="O725" s="507"/>
      <c r="P725" s="507"/>
      <c r="Q725" s="507"/>
      <c r="R725" s="507"/>
      <c r="S725" s="507"/>
      <c r="T725" s="507"/>
      <c r="U725" s="507"/>
      <c r="V725" s="507"/>
      <c r="W725" s="507"/>
    </row>
    <row r="726" ht="35.25" customHeight="1">
      <c r="A726" s="507"/>
      <c r="B726" s="507"/>
      <c r="C726" s="507"/>
      <c r="D726" s="508"/>
      <c r="E726" s="507"/>
      <c r="F726" s="507"/>
      <c r="G726" s="507"/>
      <c r="H726" s="507"/>
      <c r="I726" s="507"/>
      <c r="J726" s="507"/>
      <c r="K726" s="507"/>
      <c r="L726" s="507"/>
      <c r="M726" s="507"/>
      <c r="N726" s="507"/>
      <c r="O726" s="507"/>
      <c r="P726" s="507"/>
      <c r="Q726" s="507"/>
      <c r="R726" s="507"/>
      <c r="S726" s="507"/>
      <c r="T726" s="507"/>
      <c r="U726" s="507"/>
      <c r="V726" s="507"/>
      <c r="W726" s="507"/>
    </row>
    <row r="727" ht="35.25" customHeight="1">
      <c r="A727" s="507"/>
      <c r="B727" s="507"/>
      <c r="C727" s="507"/>
      <c r="D727" s="508"/>
      <c r="E727" s="507"/>
      <c r="F727" s="507"/>
      <c r="G727" s="507"/>
      <c r="H727" s="507"/>
      <c r="I727" s="507"/>
      <c r="J727" s="507"/>
      <c r="K727" s="507"/>
      <c r="L727" s="507"/>
      <c r="M727" s="507"/>
      <c r="N727" s="507"/>
      <c r="O727" s="507"/>
      <c r="P727" s="507"/>
      <c r="Q727" s="507"/>
      <c r="R727" s="507"/>
      <c r="S727" s="507"/>
      <c r="T727" s="507"/>
      <c r="U727" s="507"/>
      <c r="V727" s="507"/>
      <c r="W727" s="507"/>
    </row>
    <row r="728" ht="35.25" customHeight="1">
      <c r="A728" s="507"/>
      <c r="B728" s="507"/>
      <c r="C728" s="507"/>
      <c r="D728" s="508"/>
      <c r="E728" s="507"/>
      <c r="F728" s="507"/>
      <c r="G728" s="507"/>
      <c r="H728" s="507"/>
      <c r="I728" s="507"/>
      <c r="J728" s="507"/>
      <c r="K728" s="507"/>
      <c r="L728" s="507"/>
      <c r="M728" s="507"/>
      <c r="N728" s="507"/>
      <c r="O728" s="507"/>
      <c r="P728" s="507"/>
      <c r="Q728" s="507"/>
      <c r="R728" s="507"/>
      <c r="S728" s="507"/>
      <c r="T728" s="507"/>
      <c r="U728" s="507"/>
      <c r="V728" s="507"/>
      <c r="W728" s="507"/>
    </row>
    <row r="729" ht="35.25" customHeight="1">
      <c r="A729" s="507"/>
      <c r="B729" s="507"/>
      <c r="C729" s="507"/>
      <c r="D729" s="508"/>
      <c r="E729" s="507"/>
      <c r="F729" s="507"/>
      <c r="G729" s="507"/>
      <c r="H729" s="507"/>
      <c r="I729" s="507"/>
      <c r="J729" s="507"/>
      <c r="K729" s="507"/>
      <c r="L729" s="507"/>
      <c r="M729" s="507"/>
      <c r="N729" s="507"/>
      <c r="O729" s="507"/>
      <c r="P729" s="507"/>
      <c r="Q729" s="507"/>
      <c r="R729" s="507"/>
      <c r="S729" s="507"/>
      <c r="T729" s="507"/>
      <c r="U729" s="507"/>
      <c r="V729" s="507"/>
      <c r="W729" s="507"/>
    </row>
    <row r="730" ht="35.25" customHeight="1">
      <c r="A730" s="507"/>
      <c r="B730" s="507"/>
      <c r="C730" s="507"/>
      <c r="D730" s="508"/>
      <c r="E730" s="507"/>
      <c r="F730" s="507"/>
      <c r="G730" s="507"/>
      <c r="H730" s="507"/>
      <c r="I730" s="507"/>
      <c r="J730" s="507"/>
      <c r="K730" s="507"/>
      <c r="L730" s="507"/>
      <c r="M730" s="507"/>
      <c r="N730" s="507"/>
      <c r="O730" s="507"/>
      <c r="P730" s="507"/>
      <c r="Q730" s="507"/>
      <c r="R730" s="507"/>
      <c r="S730" s="507"/>
      <c r="T730" s="507"/>
      <c r="U730" s="507"/>
      <c r="V730" s="507"/>
      <c r="W730" s="507"/>
    </row>
    <row r="731" ht="35.25" customHeight="1">
      <c r="A731" s="507"/>
      <c r="B731" s="507"/>
      <c r="C731" s="507"/>
      <c r="D731" s="508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  <c r="O731" s="507"/>
      <c r="P731" s="507"/>
      <c r="Q731" s="507"/>
      <c r="R731" s="507"/>
      <c r="S731" s="507"/>
      <c r="T731" s="507"/>
      <c r="U731" s="507"/>
      <c r="V731" s="507"/>
      <c r="W731" s="507"/>
    </row>
    <row r="732" ht="35.25" customHeight="1">
      <c r="A732" s="507"/>
      <c r="B732" s="507"/>
      <c r="C732" s="507"/>
      <c r="D732" s="508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  <c r="O732" s="507"/>
      <c r="P732" s="507"/>
      <c r="Q732" s="507"/>
      <c r="R732" s="507"/>
      <c r="S732" s="507"/>
      <c r="T732" s="507"/>
      <c r="U732" s="507"/>
      <c r="V732" s="507"/>
      <c r="W732" s="507"/>
    </row>
    <row r="733" ht="35.25" customHeight="1">
      <c r="A733" s="507"/>
      <c r="B733" s="507"/>
      <c r="C733" s="507"/>
      <c r="D733" s="508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  <c r="O733" s="507"/>
      <c r="P733" s="507"/>
      <c r="Q733" s="507"/>
      <c r="R733" s="507"/>
      <c r="S733" s="507"/>
      <c r="T733" s="507"/>
      <c r="U733" s="507"/>
      <c r="V733" s="507"/>
      <c r="W733" s="507"/>
    </row>
    <row r="734" ht="35.25" customHeight="1">
      <c r="A734" s="507"/>
      <c r="B734" s="507"/>
      <c r="C734" s="507"/>
      <c r="D734" s="508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  <c r="O734" s="507"/>
      <c r="P734" s="507"/>
      <c r="Q734" s="507"/>
      <c r="R734" s="507"/>
      <c r="S734" s="507"/>
      <c r="T734" s="507"/>
      <c r="U734" s="507"/>
      <c r="V734" s="507"/>
      <c r="W734" s="507"/>
    </row>
    <row r="735" ht="35.25" customHeight="1">
      <c r="A735" s="507"/>
      <c r="B735" s="507"/>
      <c r="C735" s="507"/>
      <c r="D735" s="508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  <c r="O735" s="507"/>
      <c r="P735" s="507"/>
      <c r="Q735" s="507"/>
      <c r="R735" s="507"/>
      <c r="S735" s="507"/>
      <c r="T735" s="507"/>
      <c r="U735" s="507"/>
      <c r="V735" s="507"/>
      <c r="W735" s="507"/>
    </row>
    <row r="736" ht="35.25" customHeight="1">
      <c r="A736" s="507"/>
      <c r="B736" s="507"/>
      <c r="C736" s="507"/>
      <c r="D736" s="508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  <c r="O736" s="507"/>
      <c r="P736" s="507"/>
      <c r="Q736" s="507"/>
      <c r="R736" s="507"/>
      <c r="S736" s="507"/>
      <c r="T736" s="507"/>
      <c r="U736" s="507"/>
      <c r="V736" s="507"/>
      <c r="W736" s="507"/>
    </row>
    <row r="737" ht="35.25" customHeight="1">
      <c r="A737" s="507"/>
      <c r="B737" s="507"/>
      <c r="C737" s="507"/>
      <c r="D737" s="508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  <c r="O737" s="507"/>
      <c r="P737" s="507"/>
      <c r="Q737" s="507"/>
      <c r="R737" s="507"/>
      <c r="S737" s="507"/>
      <c r="T737" s="507"/>
      <c r="U737" s="507"/>
      <c r="V737" s="507"/>
      <c r="W737" s="507"/>
    </row>
    <row r="738" ht="35.25" customHeight="1">
      <c r="A738" s="507"/>
      <c r="B738" s="507"/>
      <c r="C738" s="507"/>
      <c r="D738" s="508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  <c r="O738" s="507"/>
      <c r="P738" s="507"/>
      <c r="Q738" s="507"/>
      <c r="R738" s="507"/>
      <c r="S738" s="507"/>
      <c r="T738" s="507"/>
      <c r="U738" s="507"/>
      <c r="V738" s="507"/>
      <c r="W738" s="507"/>
    </row>
    <row r="739" ht="35.25" customHeight="1">
      <c r="A739" s="507"/>
      <c r="B739" s="507"/>
      <c r="C739" s="507"/>
      <c r="D739" s="508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  <c r="O739" s="507"/>
      <c r="P739" s="507"/>
      <c r="Q739" s="507"/>
      <c r="R739" s="507"/>
      <c r="S739" s="507"/>
      <c r="T739" s="507"/>
      <c r="U739" s="507"/>
      <c r="V739" s="507"/>
      <c r="W739" s="507"/>
    </row>
    <row r="740" ht="35.25" customHeight="1">
      <c r="A740" s="507"/>
      <c r="B740" s="507"/>
      <c r="C740" s="507"/>
      <c r="D740" s="508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  <c r="O740" s="507"/>
      <c r="P740" s="507"/>
      <c r="Q740" s="507"/>
      <c r="R740" s="507"/>
      <c r="S740" s="507"/>
      <c r="T740" s="507"/>
      <c r="U740" s="507"/>
      <c r="V740" s="507"/>
      <c r="W740" s="507"/>
    </row>
    <row r="741" ht="35.25" customHeight="1">
      <c r="A741" s="507"/>
      <c r="B741" s="507"/>
      <c r="C741" s="507"/>
      <c r="D741" s="508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  <c r="O741" s="507"/>
      <c r="P741" s="507"/>
      <c r="Q741" s="507"/>
      <c r="R741" s="507"/>
      <c r="S741" s="507"/>
      <c r="T741" s="507"/>
      <c r="U741" s="507"/>
      <c r="V741" s="507"/>
      <c r="W741" s="507"/>
    </row>
    <row r="742" ht="35.25" customHeight="1">
      <c r="A742" s="507"/>
      <c r="B742" s="507"/>
      <c r="C742" s="507"/>
      <c r="D742" s="508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  <c r="O742" s="507"/>
      <c r="P742" s="507"/>
      <c r="Q742" s="507"/>
      <c r="R742" s="507"/>
      <c r="S742" s="507"/>
      <c r="T742" s="507"/>
      <c r="U742" s="507"/>
      <c r="V742" s="507"/>
      <c r="W742" s="507"/>
    </row>
    <row r="743" ht="35.25" customHeight="1">
      <c r="A743" s="507"/>
      <c r="B743" s="507"/>
      <c r="C743" s="507"/>
      <c r="D743" s="508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  <c r="O743" s="507"/>
      <c r="P743" s="507"/>
      <c r="Q743" s="507"/>
      <c r="R743" s="507"/>
      <c r="S743" s="507"/>
      <c r="T743" s="507"/>
      <c r="U743" s="507"/>
      <c r="V743" s="507"/>
      <c r="W743" s="507"/>
    </row>
    <row r="744" ht="35.25" customHeight="1">
      <c r="A744" s="507"/>
      <c r="B744" s="507"/>
      <c r="C744" s="507"/>
      <c r="D744" s="508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  <c r="O744" s="507"/>
      <c r="P744" s="507"/>
      <c r="Q744" s="507"/>
      <c r="R744" s="507"/>
      <c r="S744" s="507"/>
      <c r="T744" s="507"/>
      <c r="U744" s="507"/>
      <c r="V744" s="507"/>
      <c r="W744" s="507"/>
    </row>
    <row r="745" ht="35.25" customHeight="1">
      <c r="A745" s="507"/>
      <c r="B745" s="507"/>
      <c r="C745" s="507"/>
      <c r="D745" s="508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  <c r="O745" s="507"/>
      <c r="P745" s="507"/>
      <c r="Q745" s="507"/>
      <c r="R745" s="507"/>
      <c r="S745" s="507"/>
      <c r="T745" s="507"/>
      <c r="U745" s="507"/>
      <c r="V745" s="507"/>
      <c r="W745" s="507"/>
    </row>
    <row r="746" ht="35.25" customHeight="1">
      <c r="A746" s="507"/>
      <c r="B746" s="507"/>
      <c r="C746" s="507"/>
      <c r="D746" s="508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  <c r="O746" s="507"/>
      <c r="P746" s="507"/>
      <c r="Q746" s="507"/>
      <c r="R746" s="507"/>
      <c r="S746" s="507"/>
      <c r="T746" s="507"/>
      <c r="U746" s="507"/>
      <c r="V746" s="507"/>
      <c r="W746" s="507"/>
    </row>
    <row r="747" ht="35.25" customHeight="1">
      <c r="A747" s="507"/>
      <c r="B747" s="507"/>
      <c r="C747" s="507"/>
      <c r="D747" s="508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  <c r="O747" s="507"/>
      <c r="P747" s="507"/>
      <c r="Q747" s="507"/>
      <c r="R747" s="507"/>
      <c r="S747" s="507"/>
      <c r="T747" s="507"/>
      <c r="U747" s="507"/>
      <c r="V747" s="507"/>
      <c r="W747" s="507"/>
    </row>
    <row r="748" ht="35.25" customHeight="1">
      <c r="A748" s="507"/>
      <c r="B748" s="507"/>
      <c r="C748" s="507"/>
      <c r="D748" s="508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  <c r="O748" s="507"/>
      <c r="P748" s="507"/>
      <c r="Q748" s="507"/>
      <c r="R748" s="507"/>
      <c r="S748" s="507"/>
      <c r="T748" s="507"/>
      <c r="U748" s="507"/>
      <c r="V748" s="507"/>
      <c r="W748" s="507"/>
    </row>
    <row r="749" ht="35.25" customHeight="1">
      <c r="A749" s="507"/>
      <c r="B749" s="507"/>
      <c r="C749" s="507"/>
      <c r="D749" s="508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  <c r="O749" s="507"/>
      <c r="P749" s="507"/>
      <c r="Q749" s="507"/>
      <c r="R749" s="507"/>
      <c r="S749" s="507"/>
      <c r="T749" s="507"/>
      <c r="U749" s="507"/>
      <c r="V749" s="507"/>
      <c r="W749" s="507"/>
    </row>
    <row r="750" ht="35.25" customHeight="1">
      <c r="A750" s="507"/>
      <c r="B750" s="507"/>
      <c r="C750" s="507"/>
      <c r="D750" s="508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  <c r="O750" s="507"/>
      <c r="P750" s="507"/>
      <c r="Q750" s="507"/>
      <c r="R750" s="507"/>
      <c r="S750" s="507"/>
      <c r="T750" s="507"/>
      <c r="U750" s="507"/>
      <c r="V750" s="507"/>
      <c r="W750" s="507"/>
    </row>
    <row r="751" ht="35.25" customHeight="1">
      <c r="A751" s="507"/>
      <c r="B751" s="507"/>
      <c r="C751" s="507"/>
      <c r="D751" s="508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  <c r="O751" s="507"/>
      <c r="P751" s="507"/>
      <c r="Q751" s="507"/>
      <c r="R751" s="507"/>
      <c r="S751" s="507"/>
      <c r="T751" s="507"/>
      <c r="U751" s="507"/>
      <c r="V751" s="507"/>
      <c r="W751" s="507"/>
    </row>
    <row r="752" ht="35.25" customHeight="1">
      <c r="A752" s="507"/>
      <c r="B752" s="507"/>
      <c r="C752" s="507"/>
      <c r="D752" s="508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  <c r="O752" s="507"/>
      <c r="P752" s="507"/>
      <c r="Q752" s="507"/>
      <c r="R752" s="507"/>
      <c r="S752" s="507"/>
      <c r="T752" s="507"/>
      <c r="U752" s="507"/>
      <c r="V752" s="507"/>
      <c r="W752" s="507"/>
    </row>
    <row r="753" ht="35.25" customHeight="1">
      <c r="A753" s="507"/>
      <c r="B753" s="507"/>
      <c r="C753" s="507"/>
      <c r="D753" s="508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  <c r="O753" s="507"/>
      <c r="P753" s="507"/>
      <c r="Q753" s="507"/>
      <c r="R753" s="507"/>
      <c r="S753" s="507"/>
      <c r="T753" s="507"/>
      <c r="U753" s="507"/>
      <c r="V753" s="507"/>
      <c r="W753" s="507"/>
    </row>
    <row r="754" ht="35.25" customHeight="1">
      <c r="A754" s="507"/>
      <c r="B754" s="507"/>
      <c r="C754" s="507"/>
      <c r="D754" s="508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  <c r="O754" s="507"/>
      <c r="P754" s="507"/>
      <c r="Q754" s="507"/>
      <c r="R754" s="507"/>
      <c r="S754" s="507"/>
      <c r="T754" s="507"/>
      <c r="U754" s="507"/>
      <c r="V754" s="507"/>
      <c r="W754" s="507"/>
    </row>
    <row r="755" ht="35.25" customHeight="1">
      <c r="A755" s="507"/>
      <c r="B755" s="507"/>
      <c r="C755" s="507"/>
      <c r="D755" s="508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  <c r="O755" s="507"/>
      <c r="P755" s="507"/>
      <c r="Q755" s="507"/>
      <c r="R755" s="507"/>
      <c r="S755" s="507"/>
      <c r="T755" s="507"/>
      <c r="U755" s="507"/>
      <c r="V755" s="507"/>
      <c r="W755" s="507"/>
    </row>
    <row r="756" ht="35.25" customHeight="1">
      <c r="A756" s="507"/>
      <c r="B756" s="507"/>
      <c r="C756" s="507"/>
      <c r="D756" s="508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  <c r="O756" s="507"/>
      <c r="P756" s="507"/>
      <c r="Q756" s="507"/>
      <c r="R756" s="507"/>
      <c r="S756" s="507"/>
      <c r="T756" s="507"/>
      <c r="U756" s="507"/>
      <c r="V756" s="507"/>
      <c r="W756" s="507"/>
    </row>
    <row r="757" ht="35.25" customHeight="1">
      <c r="A757" s="507"/>
      <c r="B757" s="507"/>
      <c r="C757" s="507"/>
      <c r="D757" s="508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  <c r="O757" s="507"/>
      <c r="P757" s="507"/>
      <c r="Q757" s="507"/>
      <c r="R757" s="507"/>
      <c r="S757" s="507"/>
      <c r="T757" s="507"/>
      <c r="U757" s="507"/>
      <c r="V757" s="507"/>
      <c r="W757" s="507"/>
    </row>
    <row r="758" ht="35.25" customHeight="1">
      <c r="A758" s="507"/>
      <c r="B758" s="507"/>
      <c r="C758" s="507"/>
      <c r="D758" s="508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  <c r="O758" s="507"/>
      <c r="P758" s="507"/>
      <c r="Q758" s="507"/>
      <c r="R758" s="507"/>
      <c r="S758" s="507"/>
      <c r="T758" s="507"/>
      <c r="U758" s="507"/>
      <c r="V758" s="507"/>
      <c r="W758" s="507"/>
    </row>
    <row r="759" ht="35.25" customHeight="1">
      <c r="A759" s="507"/>
      <c r="B759" s="507"/>
      <c r="C759" s="507"/>
      <c r="D759" s="508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  <c r="O759" s="507"/>
      <c r="P759" s="507"/>
      <c r="Q759" s="507"/>
      <c r="R759" s="507"/>
      <c r="S759" s="507"/>
      <c r="T759" s="507"/>
      <c r="U759" s="507"/>
      <c r="V759" s="507"/>
      <c r="W759" s="507"/>
    </row>
    <row r="760" ht="35.25" customHeight="1">
      <c r="A760" s="507"/>
      <c r="B760" s="507"/>
      <c r="C760" s="507"/>
      <c r="D760" s="508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  <c r="O760" s="507"/>
      <c r="P760" s="507"/>
      <c r="Q760" s="507"/>
      <c r="R760" s="507"/>
      <c r="S760" s="507"/>
      <c r="T760" s="507"/>
      <c r="U760" s="507"/>
      <c r="V760" s="507"/>
      <c r="W760" s="507"/>
    </row>
    <row r="761" ht="35.25" customHeight="1">
      <c r="A761" s="507"/>
      <c r="B761" s="507"/>
      <c r="C761" s="507"/>
      <c r="D761" s="508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  <c r="O761" s="507"/>
      <c r="P761" s="507"/>
      <c r="Q761" s="507"/>
      <c r="R761" s="507"/>
      <c r="S761" s="507"/>
      <c r="T761" s="507"/>
      <c r="U761" s="507"/>
      <c r="V761" s="507"/>
      <c r="W761" s="507"/>
    </row>
    <row r="762" ht="35.25" customHeight="1">
      <c r="A762" s="507"/>
      <c r="B762" s="507"/>
      <c r="C762" s="507"/>
      <c r="D762" s="508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  <c r="O762" s="507"/>
      <c r="P762" s="507"/>
      <c r="Q762" s="507"/>
      <c r="R762" s="507"/>
      <c r="S762" s="507"/>
      <c r="T762" s="507"/>
      <c r="U762" s="507"/>
      <c r="V762" s="507"/>
      <c r="W762" s="507"/>
    </row>
    <row r="763" ht="35.25" customHeight="1">
      <c r="A763" s="507"/>
      <c r="B763" s="507"/>
      <c r="C763" s="507"/>
      <c r="D763" s="508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  <c r="O763" s="507"/>
      <c r="P763" s="507"/>
      <c r="Q763" s="507"/>
      <c r="R763" s="507"/>
      <c r="S763" s="507"/>
      <c r="T763" s="507"/>
      <c r="U763" s="507"/>
      <c r="V763" s="507"/>
      <c r="W763" s="507"/>
    </row>
    <row r="764" ht="35.25" customHeight="1">
      <c r="A764" s="507"/>
      <c r="B764" s="507"/>
      <c r="C764" s="507"/>
      <c r="D764" s="508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  <c r="O764" s="507"/>
      <c r="P764" s="507"/>
      <c r="Q764" s="507"/>
      <c r="R764" s="507"/>
      <c r="S764" s="507"/>
      <c r="T764" s="507"/>
      <c r="U764" s="507"/>
      <c r="V764" s="507"/>
      <c r="W764" s="507"/>
    </row>
    <row r="765" ht="35.25" customHeight="1">
      <c r="A765" s="507"/>
      <c r="B765" s="507"/>
      <c r="C765" s="507"/>
      <c r="D765" s="508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  <c r="O765" s="507"/>
      <c r="P765" s="507"/>
      <c r="Q765" s="507"/>
      <c r="R765" s="507"/>
      <c r="S765" s="507"/>
      <c r="T765" s="507"/>
      <c r="U765" s="507"/>
      <c r="V765" s="507"/>
      <c r="W765" s="507"/>
    </row>
    <row r="766" ht="35.25" customHeight="1">
      <c r="A766" s="507"/>
      <c r="B766" s="507"/>
      <c r="C766" s="507"/>
      <c r="D766" s="508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  <c r="O766" s="507"/>
      <c r="P766" s="507"/>
      <c r="Q766" s="507"/>
      <c r="R766" s="507"/>
      <c r="S766" s="507"/>
      <c r="T766" s="507"/>
      <c r="U766" s="507"/>
      <c r="V766" s="507"/>
      <c r="W766" s="507"/>
    </row>
    <row r="767" ht="35.25" customHeight="1">
      <c r="A767" s="507"/>
      <c r="B767" s="507"/>
      <c r="C767" s="507"/>
      <c r="D767" s="508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  <c r="O767" s="507"/>
      <c r="P767" s="507"/>
      <c r="Q767" s="507"/>
      <c r="R767" s="507"/>
      <c r="S767" s="507"/>
      <c r="T767" s="507"/>
      <c r="U767" s="507"/>
      <c r="V767" s="507"/>
      <c r="W767" s="507"/>
    </row>
    <row r="768" ht="35.25" customHeight="1">
      <c r="A768" s="507"/>
      <c r="B768" s="507"/>
      <c r="C768" s="507"/>
      <c r="D768" s="508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  <c r="O768" s="507"/>
      <c r="P768" s="507"/>
      <c r="Q768" s="507"/>
      <c r="R768" s="507"/>
      <c r="S768" s="507"/>
      <c r="T768" s="507"/>
      <c r="U768" s="507"/>
      <c r="V768" s="507"/>
      <c r="W768" s="507"/>
    </row>
    <row r="769" ht="35.25" customHeight="1">
      <c r="A769" s="507"/>
      <c r="B769" s="507"/>
      <c r="C769" s="507"/>
      <c r="D769" s="508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  <c r="O769" s="507"/>
      <c r="P769" s="507"/>
      <c r="Q769" s="507"/>
      <c r="R769" s="507"/>
      <c r="S769" s="507"/>
      <c r="T769" s="507"/>
      <c r="U769" s="507"/>
      <c r="V769" s="507"/>
      <c r="W769" s="507"/>
    </row>
    <row r="770" ht="35.25" customHeight="1">
      <c r="A770" s="507"/>
      <c r="B770" s="507"/>
      <c r="C770" s="507"/>
      <c r="D770" s="508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  <c r="O770" s="507"/>
      <c r="P770" s="507"/>
      <c r="Q770" s="507"/>
      <c r="R770" s="507"/>
      <c r="S770" s="507"/>
      <c r="T770" s="507"/>
      <c r="U770" s="507"/>
      <c r="V770" s="507"/>
      <c r="W770" s="507"/>
    </row>
    <row r="771" ht="35.25" customHeight="1">
      <c r="A771" s="507"/>
      <c r="B771" s="507"/>
      <c r="C771" s="507"/>
      <c r="D771" s="508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  <c r="O771" s="507"/>
      <c r="P771" s="507"/>
      <c r="Q771" s="507"/>
      <c r="R771" s="507"/>
      <c r="S771" s="507"/>
      <c r="T771" s="507"/>
      <c r="U771" s="507"/>
      <c r="V771" s="507"/>
      <c r="W771" s="507"/>
    </row>
    <row r="772" ht="35.25" customHeight="1">
      <c r="A772" s="507"/>
      <c r="B772" s="507"/>
      <c r="C772" s="507"/>
      <c r="D772" s="508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  <c r="O772" s="507"/>
      <c r="P772" s="507"/>
      <c r="Q772" s="507"/>
      <c r="R772" s="507"/>
      <c r="S772" s="507"/>
      <c r="T772" s="507"/>
      <c r="U772" s="507"/>
      <c r="V772" s="507"/>
      <c r="W772" s="507"/>
    </row>
    <row r="773" ht="35.25" customHeight="1">
      <c r="A773" s="507"/>
      <c r="B773" s="507"/>
      <c r="C773" s="507"/>
      <c r="D773" s="508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  <c r="O773" s="507"/>
      <c r="P773" s="507"/>
      <c r="Q773" s="507"/>
      <c r="R773" s="507"/>
      <c r="S773" s="507"/>
      <c r="T773" s="507"/>
      <c r="U773" s="507"/>
      <c r="V773" s="507"/>
      <c r="W773" s="507"/>
    </row>
    <row r="774" ht="35.25" customHeight="1">
      <c r="A774" s="507"/>
      <c r="B774" s="507"/>
      <c r="C774" s="507"/>
      <c r="D774" s="508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  <c r="O774" s="507"/>
      <c r="P774" s="507"/>
      <c r="Q774" s="507"/>
      <c r="R774" s="507"/>
      <c r="S774" s="507"/>
      <c r="T774" s="507"/>
      <c r="U774" s="507"/>
      <c r="V774" s="507"/>
      <c r="W774" s="507"/>
    </row>
    <row r="775" ht="35.25" customHeight="1">
      <c r="A775" s="507"/>
      <c r="B775" s="507"/>
      <c r="C775" s="507"/>
      <c r="D775" s="508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  <c r="O775" s="507"/>
      <c r="P775" s="507"/>
      <c r="Q775" s="507"/>
      <c r="R775" s="507"/>
      <c r="S775" s="507"/>
      <c r="T775" s="507"/>
      <c r="U775" s="507"/>
      <c r="V775" s="507"/>
      <c r="W775" s="507"/>
    </row>
    <row r="776" ht="35.25" customHeight="1">
      <c r="A776" s="507"/>
      <c r="B776" s="507"/>
      <c r="C776" s="507"/>
      <c r="D776" s="508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  <c r="O776" s="507"/>
      <c r="P776" s="507"/>
      <c r="Q776" s="507"/>
      <c r="R776" s="507"/>
      <c r="S776" s="507"/>
      <c r="T776" s="507"/>
      <c r="U776" s="507"/>
      <c r="V776" s="507"/>
      <c r="W776" s="507"/>
    </row>
    <row r="777" ht="35.25" customHeight="1">
      <c r="A777" s="507"/>
      <c r="B777" s="507"/>
      <c r="C777" s="507"/>
      <c r="D777" s="508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  <c r="O777" s="507"/>
      <c r="P777" s="507"/>
      <c r="Q777" s="507"/>
      <c r="R777" s="507"/>
      <c r="S777" s="507"/>
      <c r="T777" s="507"/>
      <c r="U777" s="507"/>
      <c r="V777" s="507"/>
      <c r="W777" s="507"/>
    </row>
    <row r="778" ht="35.25" customHeight="1">
      <c r="A778" s="507"/>
      <c r="B778" s="507"/>
      <c r="C778" s="507"/>
      <c r="D778" s="508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  <c r="O778" s="507"/>
      <c r="P778" s="507"/>
      <c r="Q778" s="507"/>
      <c r="R778" s="507"/>
      <c r="S778" s="507"/>
      <c r="T778" s="507"/>
      <c r="U778" s="507"/>
      <c r="V778" s="507"/>
      <c r="W778" s="507"/>
    </row>
    <row r="779" ht="35.25" customHeight="1">
      <c r="A779" s="507"/>
      <c r="B779" s="507"/>
      <c r="C779" s="507"/>
      <c r="D779" s="508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  <c r="O779" s="507"/>
      <c r="P779" s="507"/>
      <c r="Q779" s="507"/>
      <c r="R779" s="507"/>
      <c r="S779" s="507"/>
      <c r="T779" s="507"/>
      <c r="U779" s="507"/>
      <c r="V779" s="507"/>
      <c r="W779" s="507"/>
    </row>
    <row r="780" ht="35.25" customHeight="1">
      <c r="A780" s="507"/>
      <c r="B780" s="507"/>
      <c r="C780" s="507"/>
      <c r="D780" s="508"/>
      <c r="E780" s="507"/>
      <c r="F780" s="507"/>
      <c r="G780" s="507"/>
      <c r="H780" s="507"/>
      <c r="I780" s="507"/>
      <c r="J780" s="507"/>
      <c r="K780" s="507"/>
      <c r="L780" s="507"/>
      <c r="M780" s="507"/>
      <c r="N780" s="507"/>
      <c r="O780" s="507"/>
      <c r="P780" s="507"/>
      <c r="Q780" s="507"/>
      <c r="R780" s="507"/>
      <c r="S780" s="507"/>
      <c r="T780" s="507"/>
      <c r="U780" s="507"/>
      <c r="V780" s="507"/>
      <c r="W780" s="507"/>
    </row>
    <row r="781" ht="35.25" customHeight="1">
      <c r="A781" s="507"/>
      <c r="B781" s="507"/>
      <c r="C781" s="507"/>
      <c r="D781" s="508"/>
      <c r="E781" s="507"/>
      <c r="F781" s="507"/>
      <c r="G781" s="507"/>
      <c r="H781" s="507"/>
      <c r="I781" s="507"/>
      <c r="J781" s="507"/>
      <c r="K781" s="507"/>
      <c r="L781" s="507"/>
      <c r="M781" s="507"/>
      <c r="N781" s="507"/>
      <c r="O781" s="507"/>
      <c r="P781" s="507"/>
      <c r="Q781" s="507"/>
      <c r="R781" s="507"/>
      <c r="S781" s="507"/>
      <c r="T781" s="507"/>
      <c r="U781" s="507"/>
      <c r="V781" s="507"/>
      <c r="W781" s="507"/>
    </row>
    <row r="782" ht="35.25" customHeight="1">
      <c r="A782" s="507"/>
      <c r="B782" s="507"/>
      <c r="C782" s="507"/>
      <c r="D782" s="508"/>
      <c r="E782" s="507"/>
      <c r="F782" s="507"/>
      <c r="G782" s="507"/>
      <c r="H782" s="507"/>
      <c r="I782" s="507"/>
      <c r="J782" s="507"/>
      <c r="K782" s="507"/>
      <c r="L782" s="507"/>
      <c r="M782" s="507"/>
      <c r="N782" s="507"/>
      <c r="O782" s="507"/>
      <c r="P782" s="507"/>
      <c r="Q782" s="507"/>
      <c r="R782" s="507"/>
      <c r="S782" s="507"/>
      <c r="T782" s="507"/>
      <c r="U782" s="507"/>
      <c r="V782" s="507"/>
      <c r="W782" s="507"/>
    </row>
    <row r="783" ht="35.25" customHeight="1">
      <c r="A783" s="507"/>
      <c r="B783" s="507"/>
      <c r="C783" s="507"/>
      <c r="D783" s="508"/>
      <c r="E783" s="507"/>
      <c r="F783" s="507"/>
      <c r="G783" s="507"/>
      <c r="H783" s="507"/>
      <c r="I783" s="507"/>
      <c r="J783" s="507"/>
      <c r="K783" s="507"/>
      <c r="L783" s="507"/>
      <c r="M783" s="507"/>
      <c r="N783" s="507"/>
      <c r="O783" s="507"/>
      <c r="P783" s="507"/>
      <c r="Q783" s="507"/>
      <c r="R783" s="507"/>
      <c r="S783" s="507"/>
      <c r="T783" s="507"/>
      <c r="U783" s="507"/>
      <c r="V783" s="507"/>
      <c r="W783" s="507"/>
    </row>
    <row r="784" ht="35.25" customHeight="1">
      <c r="A784" s="507"/>
      <c r="B784" s="507"/>
      <c r="C784" s="507"/>
      <c r="D784" s="508"/>
      <c r="E784" s="507"/>
      <c r="F784" s="507"/>
      <c r="G784" s="507"/>
      <c r="H784" s="507"/>
      <c r="I784" s="507"/>
      <c r="J784" s="507"/>
      <c r="K784" s="507"/>
      <c r="L784" s="507"/>
      <c r="M784" s="507"/>
      <c r="N784" s="507"/>
      <c r="O784" s="507"/>
      <c r="P784" s="507"/>
      <c r="Q784" s="507"/>
      <c r="R784" s="507"/>
      <c r="S784" s="507"/>
      <c r="T784" s="507"/>
      <c r="U784" s="507"/>
      <c r="V784" s="507"/>
      <c r="W784" s="507"/>
    </row>
    <row r="785" ht="35.25" customHeight="1">
      <c r="A785" s="507"/>
      <c r="B785" s="507"/>
      <c r="C785" s="507"/>
      <c r="D785" s="508"/>
      <c r="E785" s="507"/>
      <c r="F785" s="507"/>
      <c r="G785" s="507"/>
      <c r="H785" s="507"/>
      <c r="I785" s="507"/>
      <c r="J785" s="507"/>
      <c r="K785" s="507"/>
      <c r="L785" s="507"/>
      <c r="M785" s="507"/>
      <c r="N785" s="507"/>
      <c r="O785" s="507"/>
      <c r="P785" s="507"/>
      <c r="Q785" s="507"/>
      <c r="R785" s="507"/>
      <c r="S785" s="507"/>
      <c r="T785" s="507"/>
      <c r="U785" s="507"/>
      <c r="V785" s="507"/>
      <c r="W785" s="507"/>
    </row>
    <row r="786" ht="35.25" customHeight="1">
      <c r="A786" s="507"/>
      <c r="B786" s="507"/>
      <c r="C786" s="507"/>
      <c r="D786" s="508"/>
      <c r="E786" s="507"/>
      <c r="F786" s="507"/>
      <c r="G786" s="507"/>
      <c r="H786" s="507"/>
      <c r="I786" s="507"/>
      <c r="J786" s="507"/>
      <c r="K786" s="507"/>
      <c r="L786" s="507"/>
      <c r="M786" s="507"/>
      <c r="N786" s="507"/>
      <c r="O786" s="507"/>
      <c r="P786" s="507"/>
      <c r="Q786" s="507"/>
      <c r="R786" s="507"/>
      <c r="S786" s="507"/>
      <c r="T786" s="507"/>
      <c r="U786" s="507"/>
      <c r="V786" s="507"/>
      <c r="W786" s="507"/>
    </row>
    <row r="787" ht="35.25" customHeight="1">
      <c r="A787" s="507"/>
      <c r="B787" s="507"/>
      <c r="C787" s="507"/>
      <c r="D787" s="508"/>
      <c r="E787" s="507"/>
      <c r="F787" s="507"/>
      <c r="G787" s="507"/>
      <c r="H787" s="507"/>
      <c r="I787" s="507"/>
      <c r="J787" s="507"/>
      <c r="K787" s="507"/>
      <c r="L787" s="507"/>
      <c r="M787" s="507"/>
      <c r="N787" s="507"/>
      <c r="O787" s="507"/>
      <c r="P787" s="507"/>
      <c r="Q787" s="507"/>
      <c r="R787" s="507"/>
      <c r="S787" s="507"/>
      <c r="T787" s="507"/>
      <c r="U787" s="507"/>
      <c r="V787" s="507"/>
      <c r="W787" s="507"/>
    </row>
    <row r="788" ht="35.25" customHeight="1">
      <c r="A788" s="507"/>
      <c r="B788" s="507"/>
      <c r="C788" s="507"/>
      <c r="D788" s="508"/>
      <c r="E788" s="507"/>
      <c r="F788" s="507"/>
      <c r="G788" s="507"/>
      <c r="H788" s="507"/>
      <c r="I788" s="507"/>
      <c r="J788" s="507"/>
      <c r="K788" s="507"/>
      <c r="L788" s="507"/>
      <c r="M788" s="507"/>
      <c r="N788" s="507"/>
      <c r="O788" s="507"/>
      <c r="P788" s="507"/>
      <c r="Q788" s="507"/>
      <c r="R788" s="507"/>
      <c r="S788" s="507"/>
      <c r="T788" s="507"/>
      <c r="U788" s="507"/>
      <c r="V788" s="507"/>
      <c r="W788" s="507"/>
    </row>
    <row r="789" ht="35.25" customHeight="1">
      <c r="A789" s="507"/>
      <c r="B789" s="507"/>
      <c r="C789" s="507"/>
      <c r="D789" s="508"/>
      <c r="E789" s="507"/>
      <c r="F789" s="507"/>
      <c r="G789" s="507"/>
      <c r="H789" s="507"/>
      <c r="I789" s="507"/>
      <c r="J789" s="507"/>
      <c r="K789" s="507"/>
      <c r="L789" s="507"/>
      <c r="M789" s="507"/>
      <c r="N789" s="507"/>
      <c r="O789" s="507"/>
      <c r="P789" s="507"/>
      <c r="Q789" s="507"/>
      <c r="R789" s="507"/>
      <c r="S789" s="507"/>
      <c r="T789" s="507"/>
      <c r="U789" s="507"/>
      <c r="V789" s="507"/>
      <c r="W789" s="507"/>
    </row>
    <row r="790" ht="35.25" customHeight="1">
      <c r="A790" s="507"/>
      <c r="B790" s="507"/>
      <c r="C790" s="507"/>
      <c r="D790" s="508"/>
      <c r="E790" s="507"/>
      <c r="F790" s="507"/>
      <c r="G790" s="507"/>
      <c r="H790" s="507"/>
      <c r="I790" s="507"/>
      <c r="J790" s="507"/>
      <c r="K790" s="507"/>
      <c r="L790" s="507"/>
      <c r="M790" s="507"/>
      <c r="N790" s="507"/>
      <c r="O790" s="507"/>
      <c r="P790" s="507"/>
      <c r="Q790" s="507"/>
      <c r="R790" s="507"/>
      <c r="S790" s="507"/>
      <c r="T790" s="507"/>
      <c r="U790" s="507"/>
      <c r="V790" s="507"/>
      <c r="W790" s="507"/>
    </row>
    <row r="791" ht="35.25" customHeight="1">
      <c r="A791" s="507"/>
      <c r="B791" s="507"/>
      <c r="C791" s="507"/>
      <c r="D791" s="508"/>
      <c r="E791" s="507"/>
      <c r="F791" s="507"/>
      <c r="G791" s="507"/>
      <c r="H791" s="507"/>
      <c r="I791" s="507"/>
      <c r="J791" s="507"/>
      <c r="K791" s="507"/>
      <c r="L791" s="507"/>
      <c r="M791" s="507"/>
      <c r="N791" s="507"/>
      <c r="O791" s="507"/>
      <c r="P791" s="507"/>
      <c r="Q791" s="507"/>
      <c r="R791" s="507"/>
      <c r="S791" s="507"/>
      <c r="T791" s="507"/>
      <c r="U791" s="507"/>
      <c r="V791" s="507"/>
      <c r="W791" s="507"/>
    </row>
    <row r="792" ht="35.25" customHeight="1">
      <c r="A792" s="507"/>
      <c r="B792" s="507"/>
      <c r="C792" s="507"/>
      <c r="D792" s="508"/>
      <c r="E792" s="507"/>
      <c r="F792" s="507"/>
      <c r="G792" s="507"/>
      <c r="H792" s="507"/>
      <c r="I792" s="507"/>
      <c r="J792" s="507"/>
      <c r="K792" s="507"/>
      <c r="L792" s="507"/>
      <c r="M792" s="507"/>
      <c r="N792" s="507"/>
      <c r="O792" s="507"/>
      <c r="P792" s="507"/>
      <c r="Q792" s="507"/>
      <c r="R792" s="507"/>
      <c r="S792" s="507"/>
      <c r="T792" s="507"/>
      <c r="U792" s="507"/>
      <c r="V792" s="507"/>
      <c r="W792" s="507"/>
    </row>
    <row r="793" ht="35.25" customHeight="1">
      <c r="A793" s="507"/>
      <c r="B793" s="507"/>
      <c r="C793" s="507"/>
      <c r="D793" s="508"/>
      <c r="E793" s="507"/>
      <c r="F793" s="507"/>
      <c r="G793" s="507"/>
      <c r="H793" s="507"/>
      <c r="I793" s="507"/>
      <c r="J793" s="507"/>
      <c r="K793" s="507"/>
      <c r="L793" s="507"/>
      <c r="M793" s="507"/>
      <c r="N793" s="507"/>
      <c r="O793" s="507"/>
      <c r="P793" s="507"/>
      <c r="Q793" s="507"/>
      <c r="R793" s="507"/>
      <c r="S793" s="507"/>
      <c r="T793" s="507"/>
      <c r="U793" s="507"/>
      <c r="V793" s="507"/>
      <c r="W793" s="507"/>
    </row>
    <row r="794" ht="35.25" customHeight="1">
      <c r="A794" s="507"/>
      <c r="B794" s="507"/>
      <c r="C794" s="507"/>
      <c r="D794" s="508"/>
      <c r="E794" s="507"/>
      <c r="F794" s="507"/>
      <c r="G794" s="507"/>
      <c r="H794" s="507"/>
      <c r="I794" s="507"/>
      <c r="J794" s="507"/>
      <c r="K794" s="507"/>
      <c r="L794" s="507"/>
      <c r="M794" s="507"/>
      <c r="N794" s="507"/>
      <c r="O794" s="507"/>
      <c r="P794" s="507"/>
      <c r="Q794" s="507"/>
      <c r="R794" s="507"/>
      <c r="S794" s="507"/>
      <c r="T794" s="507"/>
      <c r="U794" s="507"/>
      <c r="V794" s="507"/>
      <c r="W794" s="507"/>
    </row>
    <row r="795" ht="35.25" customHeight="1">
      <c r="A795" s="507"/>
      <c r="B795" s="507"/>
      <c r="C795" s="507"/>
      <c r="D795" s="508"/>
      <c r="E795" s="507"/>
      <c r="F795" s="507"/>
      <c r="G795" s="507"/>
      <c r="H795" s="507"/>
      <c r="I795" s="507"/>
      <c r="J795" s="507"/>
      <c r="K795" s="507"/>
      <c r="L795" s="507"/>
      <c r="M795" s="507"/>
      <c r="N795" s="507"/>
      <c r="O795" s="507"/>
      <c r="P795" s="507"/>
      <c r="Q795" s="507"/>
      <c r="R795" s="507"/>
      <c r="S795" s="507"/>
      <c r="T795" s="507"/>
      <c r="U795" s="507"/>
      <c r="V795" s="507"/>
      <c r="W795" s="507"/>
    </row>
    <row r="796" ht="35.25" customHeight="1">
      <c r="A796" s="507"/>
      <c r="B796" s="507"/>
      <c r="C796" s="507"/>
      <c r="D796" s="508"/>
      <c r="E796" s="507"/>
      <c r="F796" s="507"/>
      <c r="G796" s="507"/>
      <c r="H796" s="507"/>
      <c r="I796" s="507"/>
      <c r="J796" s="507"/>
      <c r="K796" s="507"/>
      <c r="L796" s="507"/>
      <c r="M796" s="507"/>
      <c r="N796" s="507"/>
      <c r="O796" s="507"/>
      <c r="P796" s="507"/>
      <c r="Q796" s="507"/>
      <c r="R796" s="507"/>
      <c r="S796" s="507"/>
      <c r="T796" s="507"/>
      <c r="U796" s="507"/>
      <c r="V796" s="507"/>
      <c r="W796" s="507"/>
    </row>
    <row r="797" ht="35.25" customHeight="1">
      <c r="A797" s="507"/>
      <c r="B797" s="507"/>
      <c r="C797" s="507"/>
      <c r="D797" s="508"/>
      <c r="E797" s="507"/>
      <c r="F797" s="507"/>
      <c r="G797" s="507"/>
      <c r="H797" s="507"/>
      <c r="I797" s="507"/>
      <c r="J797" s="507"/>
      <c r="K797" s="507"/>
      <c r="L797" s="507"/>
      <c r="M797" s="507"/>
      <c r="N797" s="507"/>
      <c r="O797" s="507"/>
      <c r="P797" s="507"/>
      <c r="Q797" s="507"/>
      <c r="R797" s="507"/>
      <c r="S797" s="507"/>
      <c r="T797" s="507"/>
      <c r="U797" s="507"/>
      <c r="V797" s="507"/>
      <c r="W797" s="507"/>
    </row>
    <row r="798" ht="35.25" customHeight="1">
      <c r="A798" s="507"/>
      <c r="B798" s="507"/>
      <c r="C798" s="507"/>
      <c r="D798" s="508"/>
      <c r="E798" s="507"/>
      <c r="F798" s="507"/>
      <c r="G798" s="507"/>
      <c r="H798" s="507"/>
      <c r="I798" s="507"/>
      <c r="J798" s="507"/>
      <c r="K798" s="507"/>
      <c r="L798" s="507"/>
      <c r="M798" s="507"/>
      <c r="N798" s="507"/>
      <c r="O798" s="507"/>
      <c r="P798" s="507"/>
      <c r="Q798" s="507"/>
      <c r="R798" s="507"/>
      <c r="S798" s="507"/>
      <c r="T798" s="507"/>
      <c r="U798" s="507"/>
      <c r="V798" s="507"/>
      <c r="W798" s="507"/>
    </row>
    <row r="799" ht="35.25" customHeight="1">
      <c r="A799" s="507"/>
      <c r="B799" s="507"/>
      <c r="C799" s="507"/>
      <c r="D799" s="508"/>
      <c r="E799" s="507"/>
      <c r="F799" s="507"/>
      <c r="G799" s="507"/>
      <c r="H799" s="507"/>
      <c r="I799" s="507"/>
      <c r="J799" s="507"/>
      <c r="K799" s="507"/>
      <c r="L799" s="507"/>
      <c r="M799" s="507"/>
      <c r="N799" s="507"/>
      <c r="O799" s="507"/>
      <c r="P799" s="507"/>
      <c r="Q799" s="507"/>
      <c r="R799" s="507"/>
      <c r="S799" s="507"/>
      <c r="T799" s="507"/>
      <c r="U799" s="507"/>
      <c r="V799" s="507"/>
      <c r="W799" s="507"/>
    </row>
    <row r="800" ht="35.25" customHeight="1">
      <c r="A800" s="507"/>
      <c r="B800" s="507"/>
      <c r="C800" s="507"/>
      <c r="D800" s="508"/>
      <c r="E800" s="507"/>
      <c r="F800" s="507"/>
      <c r="G800" s="507"/>
      <c r="H800" s="507"/>
      <c r="I800" s="507"/>
      <c r="J800" s="507"/>
      <c r="K800" s="507"/>
      <c r="L800" s="507"/>
      <c r="M800" s="507"/>
      <c r="N800" s="507"/>
      <c r="O800" s="507"/>
      <c r="P800" s="507"/>
      <c r="Q800" s="507"/>
      <c r="R800" s="507"/>
      <c r="S800" s="507"/>
      <c r="T800" s="507"/>
      <c r="U800" s="507"/>
      <c r="V800" s="507"/>
      <c r="W800" s="507"/>
    </row>
    <row r="801" ht="35.25" customHeight="1">
      <c r="A801" s="507"/>
      <c r="B801" s="507"/>
      <c r="C801" s="507"/>
      <c r="D801" s="508"/>
      <c r="E801" s="507"/>
      <c r="F801" s="507"/>
      <c r="G801" s="507"/>
      <c r="H801" s="507"/>
      <c r="I801" s="507"/>
      <c r="J801" s="507"/>
      <c r="K801" s="507"/>
      <c r="L801" s="507"/>
      <c r="M801" s="507"/>
      <c r="N801" s="507"/>
      <c r="O801" s="507"/>
      <c r="P801" s="507"/>
      <c r="Q801" s="507"/>
      <c r="R801" s="507"/>
      <c r="S801" s="507"/>
      <c r="T801" s="507"/>
      <c r="U801" s="507"/>
      <c r="V801" s="507"/>
      <c r="W801" s="507"/>
    </row>
    <row r="802" ht="35.25" customHeight="1">
      <c r="A802" s="507"/>
      <c r="B802" s="507"/>
      <c r="C802" s="507"/>
      <c r="D802" s="508"/>
      <c r="E802" s="507"/>
      <c r="F802" s="507"/>
      <c r="G802" s="507"/>
      <c r="H802" s="507"/>
      <c r="I802" s="507"/>
      <c r="J802" s="507"/>
      <c r="K802" s="507"/>
      <c r="L802" s="507"/>
      <c r="M802" s="507"/>
      <c r="N802" s="507"/>
      <c r="O802" s="507"/>
      <c r="P802" s="507"/>
      <c r="Q802" s="507"/>
      <c r="R802" s="507"/>
      <c r="S802" s="507"/>
      <c r="T802" s="507"/>
      <c r="U802" s="507"/>
      <c r="V802" s="507"/>
      <c r="W802" s="507"/>
    </row>
    <row r="803" ht="35.25" customHeight="1">
      <c r="A803" s="507"/>
      <c r="B803" s="507"/>
      <c r="C803" s="507"/>
      <c r="D803" s="508"/>
      <c r="E803" s="507"/>
      <c r="F803" s="507"/>
      <c r="G803" s="507"/>
      <c r="H803" s="507"/>
      <c r="I803" s="507"/>
      <c r="J803" s="507"/>
      <c r="K803" s="507"/>
      <c r="L803" s="507"/>
      <c r="M803" s="507"/>
      <c r="N803" s="507"/>
      <c r="O803" s="507"/>
      <c r="P803" s="507"/>
      <c r="Q803" s="507"/>
      <c r="R803" s="507"/>
      <c r="S803" s="507"/>
      <c r="T803" s="507"/>
      <c r="U803" s="507"/>
      <c r="V803" s="507"/>
      <c r="W803" s="507"/>
    </row>
    <row r="804" ht="35.25" customHeight="1">
      <c r="A804" s="507"/>
      <c r="B804" s="507"/>
      <c r="C804" s="507"/>
      <c r="D804" s="508"/>
      <c r="E804" s="507"/>
      <c r="F804" s="507"/>
      <c r="G804" s="507"/>
      <c r="H804" s="507"/>
      <c r="I804" s="507"/>
      <c r="J804" s="507"/>
      <c r="K804" s="507"/>
      <c r="L804" s="507"/>
      <c r="M804" s="507"/>
      <c r="N804" s="507"/>
      <c r="O804" s="507"/>
      <c r="P804" s="507"/>
      <c r="Q804" s="507"/>
      <c r="R804" s="507"/>
      <c r="S804" s="507"/>
      <c r="T804" s="507"/>
      <c r="U804" s="507"/>
      <c r="V804" s="507"/>
      <c r="W804" s="507"/>
    </row>
    <row r="805" ht="35.25" customHeight="1">
      <c r="A805" s="507"/>
      <c r="B805" s="507"/>
      <c r="C805" s="507"/>
      <c r="D805" s="508"/>
      <c r="E805" s="507"/>
      <c r="F805" s="507"/>
      <c r="G805" s="507"/>
      <c r="H805" s="507"/>
      <c r="I805" s="507"/>
      <c r="J805" s="507"/>
      <c r="K805" s="507"/>
      <c r="L805" s="507"/>
      <c r="M805" s="507"/>
      <c r="N805" s="507"/>
      <c r="O805" s="507"/>
      <c r="P805" s="507"/>
      <c r="Q805" s="507"/>
      <c r="R805" s="507"/>
      <c r="S805" s="507"/>
      <c r="T805" s="507"/>
      <c r="U805" s="507"/>
      <c r="V805" s="507"/>
      <c r="W805" s="507"/>
    </row>
    <row r="806" ht="35.25" customHeight="1">
      <c r="A806" s="507"/>
      <c r="B806" s="507"/>
      <c r="C806" s="507"/>
      <c r="D806" s="508"/>
      <c r="E806" s="507"/>
      <c r="F806" s="507"/>
      <c r="G806" s="507"/>
      <c r="H806" s="507"/>
      <c r="I806" s="507"/>
      <c r="J806" s="507"/>
      <c r="K806" s="507"/>
      <c r="L806" s="507"/>
      <c r="M806" s="507"/>
      <c r="N806" s="507"/>
      <c r="O806" s="507"/>
      <c r="P806" s="507"/>
      <c r="Q806" s="507"/>
      <c r="R806" s="507"/>
      <c r="S806" s="507"/>
      <c r="T806" s="507"/>
      <c r="U806" s="507"/>
      <c r="V806" s="507"/>
      <c r="W806" s="507"/>
    </row>
    <row r="807" ht="35.25" customHeight="1">
      <c r="A807" s="507"/>
      <c r="B807" s="507"/>
      <c r="C807" s="507"/>
      <c r="D807" s="508"/>
      <c r="E807" s="507"/>
      <c r="F807" s="507"/>
      <c r="G807" s="507"/>
      <c r="H807" s="507"/>
      <c r="I807" s="507"/>
      <c r="J807" s="507"/>
      <c r="K807" s="507"/>
      <c r="L807" s="507"/>
      <c r="M807" s="507"/>
      <c r="N807" s="507"/>
      <c r="O807" s="507"/>
      <c r="P807" s="507"/>
      <c r="Q807" s="507"/>
      <c r="R807" s="507"/>
      <c r="S807" s="507"/>
      <c r="T807" s="507"/>
      <c r="U807" s="507"/>
      <c r="V807" s="507"/>
      <c r="W807" s="507"/>
    </row>
    <row r="808" ht="35.25" customHeight="1">
      <c r="A808" s="507"/>
      <c r="B808" s="507"/>
      <c r="C808" s="507"/>
      <c r="D808" s="508"/>
      <c r="E808" s="507"/>
      <c r="F808" s="507"/>
      <c r="G808" s="507"/>
      <c r="H808" s="507"/>
      <c r="I808" s="507"/>
      <c r="J808" s="507"/>
      <c r="K808" s="507"/>
      <c r="L808" s="507"/>
      <c r="M808" s="507"/>
      <c r="N808" s="507"/>
      <c r="O808" s="507"/>
      <c r="P808" s="507"/>
      <c r="Q808" s="507"/>
      <c r="R808" s="507"/>
      <c r="S808" s="507"/>
      <c r="T808" s="507"/>
      <c r="U808" s="507"/>
      <c r="V808" s="507"/>
      <c r="W808" s="507"/>
    </row>
    <row r="809" ht="35.25" customHeight="1">
      <c r="A809" s="507"/>
      <c r="B809" s="507"/>
      <c r="C809" s="507"/>
      <c r="D809" s="508"/>
      <c r="E809" s="507"/>
      <c r="F809" s="507"/>
      <c r="G809" s="507"/>
      <c r="H809" s="507"/>
      <c r="I809" s="507"/>
      <c r="J809" s="507"/>
      <c r="K809" s="507"/>
      <c r="L809" s="507"/>
      <c r="M809" s="507"/>
      <c r="N809" s="507"/>
      <c r="O809" s="507"/>
      <c r="P809" s="507"/>
      <c r="Q809" s="507"/>
      <c r="R809" s="507"/>
      <c r="S809" s="507"/>
      <c r="T809" s="507"/>
      <c r="U809" s="507"/>
      <c r="V809" s="507"/>
      <c r="W809" s="507"/>
    </row>
    <row r="810" ht="35.25" customHeight="1">
      <c r="A810" s="507"/>
      <c r="B810" s="507"/>
      <c r="C810" s="507"/>
      <c r="D810" s="508"/>
      <c r="E810" s="507"/>
      <c r="F810" s="507"/>
      <c r="G810" s="507"/>
      <c r="H810" s="507"/>
      <c r="I810" s="507"/>
      <c r="J810" s="507"/>
      <c r="K810" s="507"/>
      <c r="L810" s="507"/>
      <c r="M810" s="507"/>
      <c r="N810" s="507"/>
      <c r="O810" s="507"/>
      <c r="P810" s="507"/>
      <c r="Q810" s="507"/>
      <c r="R810" s="507"/>
      <c r="S810" s="507"/>
      <c r="T810" s="507"/>
      <c r="U810" s="507"/>
      <c r="V810" s="507"/>
      <c r="W810" s="507"/>
    </row>
    <row r="811" ht="35.25" customHeight="1">
      <c r="A811" s="507"/>
      <c r="B811" s="507"/>
      <c r="C811" s="507"/>
      <c r="D811" s="508"/>
      <c r="E811" s="507"/>
      <c r="F811" s="507"/>
      <c r="G811" s="507"/>
      <c r="H811" s="507"/>
      <c r="I811" s="507"/>
      <c r="J811" s="507"/>
      <c r="K811" s="507"/>
      <c r="L811" s="507"/>
      <c r="M811" s="507"/>
      <c r="N811" s="507"/>
      <c r="O811" s="507"/>
      <c r="P811" s="507"/>
      <c r="Q811" s="507"/>
      <c r="R811" s="507"/>
      <c r="S811" s="507"/>
      <c r="T811" s="507"/>
      <c r="U811" s="507"/>
      <c r="V811" s="507"/>
      <c r="W811" s="507"/>
    </row>
    <row r="812" ht="35.25" customHeight="1">
      <c r="A812" s="507"/>
      <c r="B812" s="507"/>
      <c r="C812" s="507"/>
      <c r="D812" s="508"/>
      <c r="E812" s="507"/>
      <c r="F812" s="507"/>
      <c r="G812" s="507"/>
      <c r="H812" s="507"/>
      <c r="I812" s="507"/>
      <c r="J812" s="507"/>
      <c r="K812" s="507"/>
      <c r="L812" s="507"/>
      <c r="M812" s="507"/>
      <c r="N812" s="507"/>
      <c r="O812" s="507"/>
      <c r="P812" s="507"/>
      <c r="Q812" s="507"/>
      <c r="R812" s="507"/>
      <c r="S812" s="507"/>
      <c r="T812" s="507"/>
      <c r="U812" s="507"/>
      <c r="V812" s="507"/>
      <c r="W812" s="507"/>
    </row>
    <row r="813" ht="35.25" customHeight="1">
      <c r="A813" s="507"/>
      <c r="B813" s="507"/>
      <c r="C813" s="507"/>
      <c r="D813" s="508"/>
      <c r="E813" s="507"/>
      <c r="F813" s="507"/>
      <c r="G813" s="507"/>
      <c r="H813" s="507"/>
      <c r="I813" s="507"/>
      <c r="J813" s="507"/>
      <c r="K813" s="507"/>
      <c r="L813" s="507"/>
      <c r="M813" s="507"/>
      <c r="N813" s="507"/>
      <c r="O813" s="507"/>
      <c r="P813" s="507"/>
      <c r="Q813" s="507"/>
      <c r="R813" s="507"/>
      <c r="S813" s="507"/>
      <c r="T813" s="507"/>
      <c r="U813" s="507"/>
      <c r="V813" s="507"/>
      <c r="W813" s="507"/>
    </row>
    <row r="814" ht="35.25" customHeight="1">
      <c r="A814" s="507"/>
      <c r="B814" s="507"/>
      <c r="C814" s="507"/>
      <c r="D814" s="508"/>
      <c r="E814" s="507"/>
      <c r="F814" s="507"/>
      <c r="G814" s="507"/>
      <c r="H814" s="507"/>
      <c r="I814" s="507"/>
      <c r="J814" s="507"/>
      <c r="K814" s="507"/>
      <c r="L814" s="507"/>
      <c r="M814" s="507"/>
      <c r="N814" s="507"/>
      <c r="O814" s="507"/>
      <c r="P814" s="507"/>
      <c r="Q814" s="507"/>
      <c r="R814" s="507"/>
      <c r="S814" s="507"/>
      <c r="T814" s="507"/>
      <c r="U814" s="507"/>
      <c r="V814" s="507"/>
      <c r="W814" s="507"/>
    </row>
    <row r="815" ht="35.25" customHeight="1">
      <c r="A815" s="507"/>
      <c r="B815" s="507"/>
      <c r="C815" s="507"/>
      <c r="D815" s="508"/>
      <c r="E815" s="507"/>
      <c r="F815" s="507"/>
      <c r="G815" s="507"/>
      <c r="H815" s="507"/>
      <c r="I815" s="507"/>
      <c r="J815" s="507"/>
      <c r="K815" s="507"/>
      <c r="L815" s="507"/>
      <c r="M815" s="507"/>
      <c r="N815" s="507"/>
      <c r="O815" s="507"/>
      <c r="P815" s="507"/>
      <c r="Q815" s="507"/>
      <c r="R815" s="507"/>
      <c r="S815" s="507"/>
      <c r="T815" s="507"/>
      <c r="U815" s="507"/>
      <c r="V815" s="507"/>
      <c r="W815" s="507"/>
    </row>
    <row r="816" ht="35.25" customHeight="1">
      <c r="A816" s="507"/>
      <c r="B816" s="507"/>
      <c r="C816" s="507"/>
      <c r="D816" s="508"/>
      <c r="E816" s="507"/>
      <c r="F816" s="507"/>
      <c r="G816" s="507"/>
      <c r="H816" s="507"/>
      <c r="I816" s="507"/>
      <c r="J816" s="507"/>
      <c r="K816" s="507"/>
      <c r="L816" s="507"/>
      <c r="M816" s="507"/>
      <c r="N816" s="507"/>
      <c r="O816" s="507"/>
      <c r="P816" s="507"/>
      <c r="Q816" s="507"/>
      <c r="R816" s="507"/>
      <c r="S816" s="507"/>
      <c r="T816" s="507"/>
      <c r="U816" s="507"/>
      <c r="V816" s="507"/>
      <c r="W816" s="507"/>
    </row>
    <row r="817" ht="35.25" customHeight="1">
      <c r="A817" s="507"/>
      <c r="B817" s="507"/>
      <c r="C817" s="507"/>
      <c r="D817" s="508"/>
      <c r="E817" s="507"/>
      <c r="F817" s="507"/>
      <c r="G817" s="507"/>
      <c r="H817" s="507"/>
      <c r="I817" s="507"/>
      <c r="J817" s="507"/>
      <c r="K817" s="507"/>
      <c r="L817" s="507"/>
      <c r="M817" s="507"/>
      <c r="N817" s="507"/>
      <c r="O817" s="507"/>
      <c r="P817" s="507"/>
      <c r="Q817" s="507"/>
      <c r="R817" s="507"/>
      <c r="S817" s="507"/>
      <c r="T817" s="507"/>
      <c r="U817" s="507"/>
      <c r="V817" s="507"/>
      <c r="W817" s="507"/>
    </row>
    <row r="818" ht="35.25" customHeight="1">
      <c r="A818" s="507"/>
      <c r="B818" s="507"/>
      <c r="C818" s="507"/>
      <c r="D818" s="508"/>
      <c r="E818" s="507"/>
      <c r="F818" s="507"/>
      <c r="G818" s="507"/>
      <c r="H818" s="507"/>
      <c r="I818" s="507"/>
      <c r="J818" s="507"/>
      <c r="K818" s="507"/>
      <c r="L818" s="507"/>
      <c r="M818" s="507"/>
      <c r="N818" s="507"/>
      <c r="O818" s="507"/>
      <c r="P818" s="507"/>
      <c r="Q818" s="507"/>
      <c r="R818" s="507"/>
      <c r="S818" s="507"/>
      <c r="T818" s="507"/>
      <c r="U818" s="507"/>
      <c r="V818" s="507"/>
      <c r="W818" s="507"/>
    </row>
    <row r="819" ht="35.25" customHeight="1">
      <c r="A819" s="507"/>
      <c r="B819" s="507"/>
      <c r="C819" s="507"/>
      <c r="D819" s="508"/>
      <c r="E819" s="507"/>
      <c r="F819" s="507"/>
      <c r="G819" s="507"/>
      <c r="H819" s="507"/>
      <c r="I819" s="507"/>
      <c r="J819" s="507"/>
      <c r="K819" s="507"/>
      <c r="L819" s="507"/>
      <c r="M819" s="507"/>
      <c r="N819" s="507"/>
      <c r="O819" s="507"/>
      <c r="P819" s="507"/>
      <c r="Q819" s="507"/>
      <c r="R819" s="507"/>
      <c r="S819" s="507"/>
      <c r="T819" s="507"/>
      <c r="U819" s="507"/>
      <c r="V819" s="507"/>
      <c r="W819" s="507"/>
    </row>
    <row r="820" ht="35.25" customHeight="1">
      <c r="A820" s="507"/>
      <c r="B820" s="507"/>
      <c r="C820" s="507"/>
      <c r="D820" s="508"/>
      <c r="E820" s="507"/>
      <c r="F820" s="507"/>
      <c r="G820" s="507"/>
      <c r="H820" s="507"/>
      <c r="I820" s="507"/>
      <c r="J820" s="507"/>
      <c r="K820" s="507"/>
      <c r="L820" s="507"/>
      <c r="M820" s="507"/>
      <c r="N820" s="507"/>
      <c r="O820" s="507"/>
      <c r="P820" s="507"/>
      <c r="Q820" s="507"/>
      <c r="R820" s="507"/>
      <c r="S820" s="507"/>
      <c r="T820" s="507"/>
      <c r="U820" s="507"/>
      <c r="V820" s="507"/>
      <c r="W820" s="507"/>
    </row>
    <row r="821" ht="35.25" customHeight="1">
      <c r="A821" s="507"/>
      <c r="B821" s="507"/>
      <c r="C821" s="507"/>
      <c r="D821" s="508"/>
      <c r="E821" s="507"/>
      <c r="F821" s="507"/>
      <c r="G821" s="507"/>
      <c r="H821" s="507"/>
      <c r="I821" s="507"/>
      <c r="J821" s="507"/>
      <c r="K821" s="507"/>
      <c r="L821" s="507"/>
      <c r="M821" s="507"/>
      <c r="N821" s="507"/>
      <c r="O821" s="507"/>
      <c r="P821" s="507"/>
      <c r="Q821" s="507"/>
      <c r="R821" s="507"/>
      <c r="S821" s="507"/>
      <c r="T821" s="507"/>
      <c r="U821" s="507"/>
      <c r="V821" s="507"/>
      <c r="W821" s="507"/>
    </row>
    <row r="822" ht="35.25" customHeight="1">
      <c r="A822" s="507"/>
      <c r="B822" s="507"/>
      <c r="C822" s="507"/>
      <c r="D822" s="508"/>
      <c r="E822" s="507"/>
      <c r="F822" s="507"/>
      <c r="G822" s="507"/>
      <c r="H822" s="507"/>
      <c r="I822" s="507"/>
      <c r="J822" s="507"/>
      <c r="K822" s="507"/>
      <c r="L822" s="507"/>
      <c r="M822" s="507"/>
      <c r="N822" s="507"/>
      <c r="O822" s="507"/>
      <c r="P822" s="507"/>
      <c r="Q822" s="507"/>
      <c r="R822" s="507"/>
      <c r="S822" s="507"/>
      <c r="T822" s="507"/>
      <c r="U822" s="507"/>
      <c r="V822" s="507"/>
      <c r="W822" s="507"/>
    </row>
    <row r="823" ht="35.25" customHeight="1">
      <c r="A823" s="507"/>
      <c r="B823" s="507"/>
      <c r="C823" s="507"/>
      <c r="D823" s="508"/>
      <c r="E823" s="507"/>
      <c r="F823" s="507"/>
      <c r="G823" s="507"/>
      <c r="H823" s="507"/>
      <c r="I823" s="507"/>
      <c r="J823" s="507"/>
      <c r="K823" s="507"/>
      <c r="L823" s="507"/>
      <c r="M823" s="507"/>
      <c r="N823" s="507"/>
      <c r="O823" s="507"/>
      <c r="P823" s="507"/>
      <c r="Q823" s="507"/>
      <c r="R823" s="507"/>
      <c r="S823" s="507"/>
      <c r="T823" s="507"/>
      <c r="U823" s="507"/>
      <c r="V823" s="507"/>
      <c r="W823" s="507"/>
    </row>
    <row r="824" ht="35.25" customHeight="1">
      <c r="A824" s="507"/>
      <c r="B824" s="507"/>
      <c r="C824" s="507"/>
      <c r="D824" s="508"/>
      <c r="E824" s="507"/>
      <c r="F824" s="507"/>
      <c r="G824" s="507"/>
      <c r="H824" s="507"/>
      <c r="I824" s="507"/>
      <c r="J824" s="507"/>
      <c r="K824" s="507"/>
      <c r="L824" s="507"/>
      <c r="M824" s="507"/>
      <c r="N824" s="507"/>
      <c r="O824" s="507"/>
      <c r="P824" s="507"/>
      <c r="Q824" s="507"/>
      <c r="R824" s="507"/>
      <c r="S824" s="507"/>
      <c r="T824" s="507"/>
      <c r="U824" s="507"/>
      <c r="V824" s="507"/>
      <c r="W824" s="507"/>
    </row>
    <row r="825" ht="35.25" customHeight="1">
      <c r="A825" s="507"/>
      <c r="B825" s="507"/>
      <c r="C825" s="507"/>
      <c r="D825" s="508"/>
      <c r="E825" s="507"/>
      <c r="F825" s="507"/>
      <c r="G825" s="507"/>
      <c r="H825" s="507"/>
      <c r="I825" s="507"/>
      <c r="J825" s="507"/>
      <c r="K825" s="507"/>
      <c r="L825" s="507"/>
      <c r="M825" s="507"/>
      <c r="N825" s="507"/>
      <c r="O825" s="507"/>
      <c r="P825" s="507"/>
      <c r="Q825" s="507"/>
      <c r="R825" s="507"/>
      <c r="S825" s="507"/>
      <c r="T825" s="507"/>
      <c r="U825" s="507"/>
      <c r="V825" s="507"/>
      <c r="W825" s="507"/>
    </row>
    <row r="826" ht="35.25" customHeight="1">
      <c r="A826" s="507"/>
      <c r="B826" s="507"/>
      <c r="C826" s="507"/>
      <c r="D826" s="508"/>
      <c r="E826" s="507"/>
      <c r="F826" s="507"/>
      <c r="G826" s="507"/>
      <c r="H826" s="507"/>
      <c r="I826" s="507"/>
      <c r="J826" s="507"/>
      <c r="K826" s="507"/>
      <c r="L826" s="507"/>
      <c r="M826" s="507"/>
      <c r="N826" s="507"/>
      <c r="O826" s="507"/>
      <c r="P826" s="507"/>
      <c r="Q826" s="507"/>
      <c r="R826" s="507"/>
      <c r="S826" s="507"/>
      <c r="T826" s="507"/>
      <c r="U826" s="507"/>
      <c r="V826" s="507"/>
      <c r="W826" s="507"/>
    </row>
    <row r="827" ht="35.25" customHeight="1">
      <c r="A827" s="507"/>
      <c r="B827" s="507"/>
      <c r="C827" s="507"/>
      <c r="D827" s="508"/>
      <c r="E827" s="507"/>
      <c r="F827" s="507"/>
      <c r="G827" s="507"/>
      <c r="H827" s="507"/>
      <c r="I827" s="507"/>
      <c r="J827" s="507"/>
      <c r="K827" s="507"/>
      <c r="L827" s="507"/>
      <c r="M827" s="507"/>
      <c r="N827" s="507"/>
      <c r="O827" s="507"/>
      <c r="P827" s="507"/>
      <c r="Q827" s="507"/>
      <c r="R827" s="507"/>
      <c r="S827" s="507"/>
      <c r="T827" s="507"/>
      <c r="U827" s="507"/>
      <c r="V827" s="507"/>
      <c r="W827" s="507"/>
    </row>
    <row r="828" ht="35.25" customHeight="1">
      <c r="A828" s="507"/>
      <c r="B828" s="507"/>
      <c r="C828" s="507"/>
      <c r="D828" s="508"/>
      <c r="E828" s="507"/>
      <c r="F828" s="507"/>
      <c r="G828" s="507"/>
      <c r="H828" s="507"/>
      <c r="I828" s="507"/>
      <c r="J828" s="507"/>
      <c r="K828" s="507"/>
      <c r="L828" s="507"/>
      <c r="M828" s="507"/>
      <c r="N828" s="507"/>
      <c r="O828" s="507"/>
      <c r="P828" s="507"/>
      <c r="Q828" s="507"/>
      <c r="R828" s="507"/>
      <c r="S828" s="507"/>
      <c r="T828" s="507"/>
      <c r="U828" s="507"/>
      <c r="V828" s="507"/>
      <c r="W828" s="507"/>
    </row>
    <row r="829" ht="35.25" customHeight="1">
      <c r="A829" s="507"/>
      <c r="B829" s="507"/>
      <c r="C829" s="507"/>
      <c r="D829" s="508"/>
      <c r="E829" s="507"/>
      <c r="F829" s="507"/>
      <c r="G829" s="507"/>
      <c r="H829" s="507"/>
      <c r="I829" s="507"/>
      <c r="J829" s="507"/>
      <c r="K829" s="507"/>
      <c r="L829" s="507"/>
      <c r="M829" s="507"/>
      <c r="N829" s="507"/>
      <c r="O829" s="507"/>
      <c r="P829" s="507"/>
      <c r="Q829" s="507"/>
      <c r="R829" s="507"/>
      <c r="S829" s="507"/>
      <c r="T829" s="507"/>
      <c r="U829" s="507"/>
      <c r="V829" s="507"/>
      <c r="W829" s="507"/>
    </row>
    <row r="830" ht="35.25" customHeight="1">
      <c r="A830" s="507"/>
      <c r="B830" s="507"/>
      <c r="C830" s="507"/>
      <c r="D830" s="508"/>
      <c r="E830" s="507"/>
      <c r="F830" s="507"/>
      <c r="G830" s="507"/>
      <c r="H830" s="507"/>
      <c r="I830" s="507"/>
      <c r="J830" s="507"/>
      <c r="K830" s="507"/>
      <c r="L830" s="507"/>
      <c r="M830" s="507"/>
      <c r="N830" s="507"/>
      <c r="O830" s="507"/>
      <c r="P830" s="507"/>
      <c r="Q830" s="507"/>
      <c r="R830" s="507"/>
      <c r="S830" s="507"/>
      <c r="T830" s="507"/>
      <c r="U830" s="507"/>
      <c r="V830" s="507"/>
      <c r="W830" s="507"/>
    </row>
    <row r="831" ht="35.25" customHeight="1">
      <c r="A831" s="507"/>
      <c r="B831" s="507"/>
      <c r="C831" s="507"/>
      <c r="D831" s="508"/>
      <c r="E831" s="507"/>
      <c r="F831" s="507"/>
      <c r="G831" s="507"/>
      <c r="H831" s="507"/>
      <c r="I831" s="507"/>
      <c r="J831" s="507"/>
      <c r="K831" s="507"/>
      <c r="L831" s="507"/>
      <c r="M831" s="507"/>
      <c r="N831" s="507"/>
      <c r="O831" s="507"/>
      <c r="P831" s="507"/>
      <c r="Q831" s="507"/>
      <c r="R831" s="507"/>
      <c r="S831" s="507"/>
      <c r="T831" s="507"/>
      <c r="U831" s="507"/>
      <c r="V831" s="507"/>
      <c r="W831" s="507"/>
    </row>
    <row r="832" ht="35.25" customHeight="1">
      <c r="A832" s="507"/>
      <c r="B832" s="507"/>
      <c r="C832" s="507"/>
      <c r="D832" s="508"/>
      <c r="E832" s="507"/>
      <c r="F832" s="507"/>
      <c r="G832" s="507"/>
      <c r="H832" s="507"/>
      <c r="I832" s="507"/>
      <c r="J832" s="507"/>
      <c r="K832" s="507"/>
      <c r="L832" s="507"/>
      <c r="M832" s="507"/>
      <c r="N832" s="507"/>
      <c r="O832" s="507"/>
      <c r="P832" s="507"/>
      <c r="Q832" s="507"/>
      <c r="R832" s="507"/>
      <c r="S832" s="507"/>
      <c r="T832" s="507"/>
      <c r="U832" s="507"/>
      <c r="V832" s="507"/>
      <c r="W832" s="507"/>
    </row>
    <row r="833" ht="35.25" customHeight="1">
      <c r="A833" s="507"/>
      <c r="B833" s="507"/>
      <c r="C833" s="507"/>
      <c r="D833" s="508"/>
      <c r="E833" s="507"/>
      <c r="F833" s="507"/>
      <c r="G833" s="507"/>
      <c r="H833" s="507"/>
      <c r="I833" s="507"/>
      <c r="J833" s="507"/>
      <c r="K833" s="507"/>
      <c r="L833" s="507"/>
      <c r="M833" s="507"/>
      <c r="N833" s="507"/>
      <c r="O833" s="507"/>
      <c r="P833" s="507"/>
      <c r="Q833" s="507"/>
      <c r="R833" s="507"/>
      <c r="S833" s="507"/>
      <c r="T833" s="507"/>
      <c r="U833" s="507"/>
      <c r="V833" s="507"/>
      <c r="W833" s="507"/>
    </row>
    <row r="834" ht="35.25" customHeight="1">
      <c r="A834" s="507"/>
      <c r="B834" s="507"/>
      <c r="C834" s="507"/>
      <c r="D834" s="508"/>
      <c r="E834" s="507"/>
      <c r="F834" s="507"/>
      <c r="G834" s="507"/>
      <c r="H834" s="507"/>
      <c r="I834" s="507"/>
      <c r="J834" s="507"/>
      <c r="K834" s="507"/>
      <c r="L834" s="507"/>
      <c r="M834" s="507"/>
      <c r="N834" s="507"/>
      <c r="O834" s="507"/>
      <c r="P834" s="507"/>
      <c r="Q834" s="507"/>
      <c r="R834" s="507"/>
      <c r="S834" s="507"/>
      <c r="T834" s="507"/>
      <c r="U834" s="507"/>
      <c r="V834" s="507"/>
      <c r="W834" s="507"/>
    </row>
    <row r="835" ht="35.25" customHeight="1">
      <c r="A835" s="507"/>
      <c r="B835" s="507"/>
      <c r="C835" s="507"/>
      <c r="D835" s="508"/>
      <c r="E835" s="507"/>
      <c r="F835" s="507"/>
      <c r="G835" s="507"/>
      <c r="H835" s="507"/>
      <c r="I835" s="507"/>
      <c r="J835" s="507"/>
      <c r="K835" s="507"/>
      <c r="L835" s="507"/>
      <c r="M835" s="507"/>
      <c r="N835" s="507"/>
      <c r="O835" s="507"/>
      <c r="P835" s="507"/>
      <c r="Q835" s="507"/>
      <c r="R835" s="507"/>
      <c r="S835" s="507"/>
      <c r="T835" s="507"/>
      <c r="U835" s="507"/>
      <c r="V835" s="507"/>
      <c r="W835" s="507"/>
    </row>
    <row r="836" ht="35.25" customHeight="1">
      <c r="A836" s="507"/>
      <c r="B836" s="507"/>
      <c r="C836" s="507"/>
      <c r="D836" s="508"/>
      <c r="E836" s="507"/>
      <c r="F836" s="507"/>
      <c r="G836" s="507"/>
      <c r="H836" s="507"/>
      <c r="I836" s="507"/>
      <c r="J836" s="507"/>
      <c r="K836" s="507"/>
      <c r="L836" s="507"/>
      <c r="M836" s="507"/>
      <c r="N836" s="507"/>
      <c r="O836" s="507"/>
      <c r="P836" s="507"/>
      <c r="Q836" s="507"/>
      <c r="R836" s="507"/>
      <c r="S836" s="507"/>
      <c r="T836" s="507"/>
      <c r="U836" s="507"/>
      <c r="V836" s="507"/>
      <c r="W836" s="507"/>
    </row>
    <row r="837" ht="35.25" customHeight="1">
      <c r="A837" s="507"/>
      <c r="B837" s="507"/>
      <c r="C837" s="507"/>
      <c r="D837" s="508"/>
      <c r="E837" s="507"/>
      <c r="F837" s="507"/>
      <c r="G837" s="507"/>
      <c r="H837" s="507"/>
      <c r="I837" s="507"/>
      <c r="J837" s="507"/>
      <c r="K837" s="507"/>
      <c r="L837" s="507"/>
      <c r="M837" s="507"/>
      <c r="N837" s="507"/>
      <c r="O837" s="507"/>
      <c r="P837" s="507"/>
      <c r="Q837" s="507"/>
      <c r="R837" s="507"/>
      <c r="S837" s="507"/>
      <c r="T837" s="507"/>
      <c r="U837" s="507"/>
      <c r="V837" s="507"/>
      <c r="W837" s="507"/>
    </row>
    <row r="838" ht="35.25" customHeight="1">
      <c r="A838" s="507"/>
      <c r="B838" s="507"/>
      <c r="C838" s="507"/>
      <c r="D838" s="508"/>
      <c r="E838" s="507"/>
      <c r="F838" s="507"/>
      <c r="G838" s="507"/>
      <c r="H838" s="507"/>
      <c r="I838" s="507"/>
      <c r="J838" s="507"/>
      <c r="K838" s="507"/>
      <c r="L838" s="507"/>
      <c r="M838" s="507"/>
      <c r="N838" s="507"/>
      <c r="O838" s="507"/>
      <c r="P838" s="507"/>
      <c r="Q838" s="507"/>
      <c r="R838" s="507"/>
      <c r="S838" s="507"/>
      <c r="T838" s="507"/>
      <c r="U838" s="507"/>
      <c r="V838" s="507"/>
      <c r="W838" s="507"/>
    </row>
    <row r="839" ht="35.25" customHeight="1">
      <c r="A839" s="507"/>
      <c r="B839" s="507"/>
      <c r="C839" s="507"/>
      <c r="D839" s="508"/>
      <c r="E839" s="507"/>
      <c r="F839" s="507"/>
      <c r="G839" s="507"/>
      <c r="H839" s="507"/>
      <c r="I839" s="507"/>
      <c r="J839" s="507"/>
      <c r="K839" s="507"/>
      <c r="L839" s="507"/>
      <c r="M839" s="507"/>
      <c r="N839" s="507"/>
      <c r="O839" s="507"/>
      <c r="P839" s="507"/>
      <c r="Q839" s="507"/>
      <c r="R839" s="507"/>
      <c r="S839" s="507"/>
      <c r="T839" s="507"/>
      <c r="U839" s="507"/>
      <c r="V839" s="507"/>
      <c r="W839" s="507"/>
    </row>
    <row r="840" ht="35.25" customHeight="1">
      <c r="A840" s="507"/>
      <c r="B840" s="507"/>
      <c r="C840" s="507"/>
      <c r="D840" s="508"/>
      <c r="E840" s="507"/>
      <c r="F840" s="507"/>
      <c r="G840" s="507"/>
      <c r="H840" s="507"/>
      <c r="I840" s="507"/>
      <c r="J840" s="507"/>
      <c r="K840" s="507"/>
      <c r="L840" s="507"/>
      <c r="M840" s="507"/>
      <c r="N840" s="507"/>
      <c r="O840" s="507"/>
      <c r="P840" s="507"/>
      <c r="Q840" s="507"/>
      <c r="R840" s="507"/>
      <c r="S840" s="507"/>
      <c r="T840" s="507"/>
      <c r="U840" s="507"/>
      <c r="V840" s="507"/>
      <c r="W840" s="507"/>
    </row>
    <row r="841" ht="35.25" customHeight="1">
      <c r="A841" s="507"/>
      <c r="B841" s="507"/>
      <c r="C841" s="507"/>
      <c r="D841" s="508"/>
      <c r="E841" s="507"/>
      <c r="F841" s="507"/>
      <c r="G841" s="507"/>
      <c r="H841" s="507"/>
      <c r="I841" s="507"/>
      <c r="J841" s="507"/>
      <c r="K841" s="507"/>
      <c r="L841" s="507"/>
      <c r="M841" s="507"/>
      <c r="N841" s="507"/>
      <c r="O841" s="507"/>
      <c r="P841" s="507"/>
      <c r="Q841" s="507"/>
      <c r="R841" s="507"/>
      <c r="S841" s="507"/>
      <c r="T841" s="507"/>
      <c r="U841" s="507"/>
      <c r="V841" s="507"/>
      <c r="W841" s="507"/>
    </row>
    <row r="842" ht="35.25" customHeight="1">
      <c r="A842" s="507"/>
      <c r="B842" s="507"/>
      <c r="C842" s="507"/>
      <c r="D842" s="508"/>
      <c r="E842" s="507"/>
      <c r="F842" s="507"/>
      <c r="G842" s="507"/>
      <c r="H842" s="507"/>
      <c r="I842" s="507"/>
      <c r="J842" s="507"/>
      <c r="K842" s="507"/>
      <c r="L842" s="507"/>
      <c r="M842" s="507"/>
      <c r="N842" s="507"/>
      <c r="O842" s="507"/>
      <c r="P842" s="507"/>
      <c r="Q842" s="507"/>
      <c r="R842" s="507"/>
      <c r="S842" s="507"/>
      <c r="T842" s="507"/>
      <c r="U842" s="507"/>
      <c r="V842" s="507"/>
      <c r="W842" s="507"/>
    </row>
    <row r="843" ht="35.25" customHeight="1">
      <c r="A843" s="507"/>
      <c r="B843" s="507"/>
      <c r="C843" s="507"/>
      <c r="D843" s="508"/>
      <c r="E843" s="507"/>
      <c r="F843" s="507"/>
      <c r="G843" s="507"/>
      <c r="H843" s="507"/>
      <c r="I843" s="507"/>
      <c r="J843" s="507"/>
      <c r="K843" s="507"/>
      <c r="L843" s="507"/>
      <c r="M843" s="507"/>
      <c r="N843" s="507"/>
      <c r="O843" s="507"/>
      <c r="P843" s="507"/>
      <c r="Q843" s="507"/>
      <c r="R843" s="507"/>
      <c r="S843" s="507"/>
      <c r="T843" s="507"/>
      <c r="U843" s="507"/>
      <c r="V843" s="507"/>
      <c r="W843" s="507"/>
    </row>
    <row r="844" ht="35.25" customHeight="1">
      <c r="A844" s="507"/>
      <c r="B844" s="507"/>
      <c r="C844" s="507"/>
      <c r="D844" s="508"/>
      <c r="E844" s="507"/>
      <c r="F844" s="507"/>
      <c r="G844" s="507"/>
      <c r="H844" s="507"/>
      <c r="I844" s="507"/>
      <c r="J844" s="507"/>
      <c r="K844" s="507"/>
      <c r="L844" s="507"/>
      <c r="M844" s="507"/>
      <c r="N844" s="507"/>
      <c r="O844" s="507"/>
      <c r="P844" s="507"/>
      <c r="Q844" s="507"/>
      <c r="R844" s="507"/>
      <c r="S844" s="507"/>
      <c r="T844" s="507"/>
      <c r="U844" s="507"/>
      <c r="V844" s="507"/>
      <c r="W844" s="507"/>
    </row>
    <row r="845" ht="35.25" customHeight="1">
      <c r="A845" s="507"/>
      <c r="B845" s="507"/>
      <c r="C845" s="507"/>
      <c r="D845" s="508"/>
      <c r="E845" s="507"/>
      <c r="F845" s="507"/>
      <c r="G845" s="507"/>
      <c r="H845" s="507"/>
      <c r="I845" s="507"/>
      <c r="J845" s="507"/>
      <c r="K845" s="507"/>
      <c r="L845" s="507"/>
      <c r="M845" s="507"/>
      <c r="N845" s="507"/>
      <c r="O845" s="507"/>
      <c r="P845" s="507"/>
      <c r="Q845" s="507"/>
      <c r="R845" s="507"/>
      <c r="S845" s="507"/>
      <c r="T845" s="507"/>
      <c r="U845" s="507"/>
      <c r="V845" s="507"/>
      <c r="W845" s="507"/>
    </row>
    <row r="846" ht="35.25" customHeight="1">
      <c r="A846" s="507"/>
      <c r="B846" s="507"/>
      <c r="C846" s="507"/>
      <c r="D846" s="508"/>
      <c r="E846" s="507"/>
      <c r="F846" s="507"/>
      <c r="G846" s="507"/>
      <c r="H846" s="507"/>
      <c r="I846" s="507"/>
      <c r="J846" s="507"/>
      <c r="K846" s="507"/>
      <c r="L846" s="507"/>
      <c r="M846" s="507"/>
      <c r="N846" s="507"/>
      <c r="O846" s="507"/>
      <c r="P846" s="507"/>
      <c r="Q846" s="507"/>
      <c r="R846" s="507"/>
      <c r="S846" s="507"/>
      <c r="T846" s="507"/>
      <c r="U846" s="507"/>
      <c r="V846" s="507"/>
      <c r="W846" s="507"/>
    </row>
    <row r="847" ht="35.25" customHeight="1">
      <c r="A847" s="507"/>
      <c r="B847" s="507"/>
      <c r="C847" s="507"/>
      <c r="D847" s="508"/>
      <c r="E847" s="507"/>
      <c r="F847" s="507"/>
      <c r="G847" s="507"/>
      <c r="H847" s="507"/>
      <c r="I847" s="507"/>
      <c r="J847" s="507"/>
      <c r="K847" s="507"/>
      <c r="L847" s="507"/>
      <c r="M847" s="507"/>
      <c r="N847" s="507"/>
      <c r="O847" s="507"/>
      <c r="P847" s="507"/>
      <c r="Q847" s="507"/>
      <c r="R847" s="507"/>
      <c r="S847" s="507"/>
      <c r="T847" s="507"/>
      <c r="U847" s="507"/>
      <c r="V847" s="507"/>
      <c r="W847" s="507"/>
    </row>
    <row r="848" ht="35.25" customHeight="1">
      <c r="A848" s="507"/>
      <c r="B848" s="507"/>
      <c r="C848" s="507"/>
      <c r="D848" s="508"/>
      <c r="E848" s="507"/>
      <c r="F848" s="507"/>
      <c r="G848" s="507"/>
      <c r="H848" s="507"/>
      <c r="I848" s="507"/>
      <c r="J848" s="507"/>
      <c r="K848" s="507"/>
      <c r="L848" s="507"/>
      <c r="M848" s="507"/>
      <c r="N848" s="507"/>
      <c r="O848" s="507"/>
      <c r="P848" s="507"/>
      <c r="Q848" s="507"/>
      <c r="R848" s="507"/>
      <c r="S848" s="507"/>
      <c r="T848" s="507"/>
      <c r="U848" s="507"/>
      <c r="V848" s="507"/>
      <c r="W848" s="507"/>
    </row>
    <row r="849" ht="35.25" customHeight="1">
      <c r="A849" s="507"/>
      <c r="B849" s="507"/>
      <c r="C849" s="507"/>
      <c r="D849" s="508"/>
      <c r="E849" s="507"/>
      <c r="F849" s="507"/>
      <c r="G849" s="507"/>
      <c r="H849" s="507"/>
      <c r="I849" s="507"/>
      <c r="J849" s="507"/>
      <c r="K849" s="507"/>
      <c r="L849" s="507"/>
      <c r="M849" s="507"/>
      <c r="N849" s="507"/>
      <c r="O849" s="507"/>
      <c r="P849" s="507"/>
      <c r="Q849" s="507"/>
      <c r="R849" s="507"/>
      <c r="S849" s="507"/>
      <c r="T849" s="507"/>
      <c r="U849" s="507"/>
      <c r="V849" s="507"/>
      <c r="W849" s="507"/>
    </row>
    <row r="850" ht="35.25" customHeight="1">
      <c r="A850" s="507"/>
      <c r="B850" s="507"/>
      <c r="C850" s="507"/>
      <c r="D850" s="508"/>
      <c r="E850" s="507"/>
      <c r="F850" s="507"/>
      <c r="G850" s="507"/>
      <c r="H850" s="507"/>
      <c r="I850" s="507"/>
      <c r="J850" s="507"/>
      <c r="K850" s="507"/>
      <c r="L850" s="507"/>
      <c r="M850" s="507"/>
      <c r="N850" s="507"/>
      <c r="O850" s="507"/>
      <c r="P850" s="507"/>
      <c r="Q850" s="507"/>
      <c r="R850" s="507"/>
      <c r="S850" s="507"/>
      <c r="T850" s="507"/>
      <c r="U850" s="507"/>
      <c r="V850" s="507"/>
      <c r="W850" s="507"/>
    </row>
    <row r="851" ht="35.25" customHeight="1">
      <c r="A851" s="507"/>
      <c r="B851" s="507"/>
      <c r="C851" s="507"/>
      <c r="D851" s="508"/>
      <c r="E851" s="507"/>
      <c r="F851" s="507"/>
      <c r="G851" s="507"/>
      <c r="H851" s="507"/>
      <c r="I851" s="507"/>
      <c r="J851" s="507"/>
      <c r="K851" s="507"/>
      <c r="L851" s="507"/>
      <c r="M851" s="507"/>
      <c r="N851" s="507"/>
      <c r="O851" s="507"/>
      <c r="P851" s="507"/>
      <c r="Q851" s="507"/>
      <c r="R851" s="507"/>
      <c r="S851" s="507"/>
      <c r="T851" s="507"/>
      <c r="U851" s="507"/>
      <c r="V851" s="507"/>
      <c r="W851" s="507"/>
    </row>
    <row r="852" ht="35.25" customHeight="1">
      <c r="A852" s="507"/>
      <c r="B852" s="507"/>
      <c r="C852" s="507"/>
      <c r="D852" s="508"/>
      <c r="E852" s="507"/>
      <c r="F852" s="507"/>
      <c r="G852" s="507"/>
      <c r="H852" s="507"/>
      <c r="I852" s="507"/>
      <c r="J852" s="507"/>
      <c r="K852" s="507"/>
      <c r="L852" s="507"/>
      <c r="M852" s="507"/>
      <c r="N852" s="507"/>
      <c r="O852" s="507"/>
      <c r="P852" s="507"/>
      <c r="Q852" s="507"/>
      <c r="R852" s="507"/>
      <c r="S852" s="507"/>
      <c r="T852" s="507"/>
      <c r="U852" s="507"/>
      <c r="V852" s="507"/>
      <c r="W852" s="507"/>
    </row>
    <row r="853" ht="35.25" customHeight="1">
      <c r="A853" s="507"/>
      <c r="B853" s="507"/>
      <c r="C853" s="507"/>
      <c r="D853" s="508"/>
      <c r="E853" s="507"/>
      <c r="F853" s="507"/>
      <c r="G853" s="507"/>
      <c r="H853" s="507"/>
      <c r="I853" s="507"/>
      <c r="J853" s="507"/>
      <c r="K853" s="507"/>
      <c r="L853" s="507"/>
      <c r="M853" s="507"/>
      <c r="N853" s="507"/>
      <c r="O853" s="507"/>
      <c r="P853" s="507"/>
      <c r="Q853" s="507"/>
      <c r="R853" s="507"/>
      <c r="S853" s="507"/>
      <c r="T853" s="507"/>
      <c r="U853" s="507"/>
      <c r="V853" s="507"/>
      <c r="W853" s="507"/>
    </row>
    <row r="854" ht="35.25" customHeight="1">
      <c r="A854" s="507"/>
      <c r="B854" s="507"/>
      <c r="C854" s="507"/>
      <c r="D854" s="508"/>
      <c r="E854" s="507"/>
      <c r="F854" s="507"/>
      <c r="G854" s="507"/>
      <c r="H854" s="507"/>
      <c r="I854" s="507"/>
      <c r="J854" s="507"/>
      <c r="K854" s="507"/>
      <c r="L854" s="507"/>
      <c r="M854" s="507"/>
      <c r="N854" s="507"/>
      <c r="O854" s="507"/>
      <c r="P854" s="507"/>
      <c r="Q854" s="507"/>
      <c r="R854" s="507"/>
      <c r="S854" s="507"/>
      <c r="T854" s="507"/>
      <c r="U854" s="507"/>
      <c r="V854" s="507"/>
      <c r="W854" s="507"/>
    </row>
    <row r="855" ht="35.25" customHeight="1">
      <c r="A855" s="507"/>
      <c r="B855" s="507"/>
      <c r="C855" s="507"/>
      <c r="D855" s="508"/>
      <c r="E855" s="507"/>
      <c r="F855" s="507"/>
      <c r="G855" s="507"/>
      <c r="H855" s="507"/>
      <c r="I855" s="507"/>
      <c r="J855" s="507"/>
      <c r="K855" s="507"/>
      <c r="L855" s="507"/>
      <c r="M855" s="507"/>
      <c r="N855" s="507"/>
      <c r="O855" s="507"/>
      <c r="P855" s="507"/>
      <c r="Q855" s="507"/>
      <c r="R855" s="507"/>
      <c r="S855" s="507"/>
      <c r="T855" s="507"/>
      <c r="U855" s="507"/>
      <c r="V855" s="507"/>
      <c r="W855" s="507"/>
    </row>
    <row r="856" ht="35.25" customHeight="1">
      <c r="A856" s="507"/>
      <c r="B856" s="507"/>
      <c r="C856" s="507"/>
      <c r="D856" s="508"/>
      <c r="E856" s="507"/>
      <c r="F856" s="507"/>
      <c r="G856" s="507"/>
      <c r="H856" s="507"/>
      <c r="I856" s="507"/>
      <c r="J856" s="507"/>
      <c r="K856" s="507"/>
      <c r="L856" s="507"/>
      <c r="M856" s="507"/>
      <c r="N856" s="507"/>
      <c r="O856" s="507"/>
      <c r="P856" s="507"/>
      <c r="Q856" s="507"/>
      <c r="R856" s="507"/>
      <c r="S856" s="507"/>
      <c r="T856" s="507"/>
      <c r="U856" s="507"/>
      <c r="V856" s="507"/>
      <c r="W856" s="507"/>
    </row>
    <row r="857" ht="35.25" customHeight="1">
      <c r="A857" s="507"/>
      <c r="B857" s="507"/>
      <c r="C857" s="507"/>
      <c r="D857" s="508"/>
      <c r="E857" s="507"/>
      <c r="F857" s="507"/>
      <c r="G857" s="507"/>
      <c r="H857" s="507"/>
      <c r="I857" s="507"/>
      <c r="J857" s="507"/>
      <c r="K857" s="507"/>
      <c r="L857" s="507"/>
      <c r="M857" s="507"/>
      <c r="N857" s="507"/>
      <c r="O857" s="507"/>
      <c r="P857" s="507"/>
      <c r="Q857" s="507"/>
      <c r="R857" s="507"/>
      <c r="S857" s="507"/>
      <c r="T857" s="507"/>
      <c r="U857" s="507"/>
      <c r="V857" s="507"/>
      <c r="W857" s="507"/>
    </row>
    <row r="858" ht="35.25" customHeight="1">
      <c r="A858" s="507"/>
      <c r="B858" s="507"/>
      <c r="C858" s="507"/>
      <c r="D858" s="508"/>
      <c r="E858" s="507"/>
      <c r="F858" s="507"/>
      <c r="G858" s="507"/>
      <c r="H858" s="507"/>
      <c r="I858" s="507"/>
      <c r="J858" s="507"/>
      <c r="K858" s="507"/>
      <c r="L858" s="507"/>
      <c r="M858" s="507"/>
      <c r="N858" s="507"/>
      <c r="O858" s="507"/>
      <c r="P858" s="507"/>
      <c r="Q858" s="507"/>
      <c r="R858" s="507"/>
      <c r="S858" s="507"/>
      <c r="T858" s="507"/>
      <c r="U858" s="507"/>
      <c r="V858" s="507"/>
      <c r="W858" s="507"/>
    </row>
    <row r="859" ht="35.25" customHeight="1">
      <c r="A859" s="507"/>
      <c r="B859" s="507"/>
      <c r="C859" s="507"/>
      <c r="D859" s="508"/>
      <c r="E859" s="507"/>
      <c r="F859" s="507"/>
      <c r="G859" s="507"/>
      <c r="H859" s="507"/>
      <c r="I859" s="507"/>
      <c r="J859" s="507"/>
      <c r="K859" s="507"/>
      <c r="L859" s="507"/>
      <c r="M859" s="507"/>
      <c r="N859" s="507"/>
      <c r="O859" s="507"/>
      <c r="P859" s="507"/>
      <c r="Q859" s="507"/>
      <c r="R859" s="507"/>
      <c r="S859" s="507"/>
      <c r="T859" s="507"/>
      <c r="U859" s="507"/>
      <c r="V859" s="507"/>
      <c r="W859" s="507"/>
    </row>
    <row r="860" ht="35.25" customHeight="1">
      <c r="A860" s="507"/>
      <c r="B860" s="507"/>
      <c r="C860" s="507"/>
      <c r="D860" s="508"/>
      <c r="E860" s="507"/>
      <c r="F860" s="507"/>
      <c r="G860" s="507"/>
      <c r="H860" s="507"/>
      <c r="I860" s="507"/>
      <c r="J860" s="507"/>
      <c r="K860" s="507"/>
      <c r="L860" s="507"/>
      <c r="M860" s="507"/>
      <c r="N860" s="507"/>
      <c r="O860" s="507"/>
      <c r="P860" s="507"/>
      <c r="Q860" s="507"/>
      <c r="R860" s="507"/>
      <c r="S860" s="507"/>
      <c r="T860" s="507"/>
      <c r="U860" s="507"/>
      <c r="V860" s="507"/>
      <c r="W860" s="507"/>
    </row>
    <row r="861" ht="35.25" customHeight="1">
      <c r="A861" s="507"/>
      <c r="B861" s="507"/>
      <c r="C861" s="507"/>
      <c r="D861" s="508"/>
      <c r="E861" s="507"/>
      <c r="F861" s="507"/>
      <c r="G861" s="507"/>
      <c r="H861" s="507"/>
      <c r="I861" s="507"/>
      <c r="J861" s="507"/>
      <c r="K861" s="507"/>
      <c r="L861" s="507"/>
      <c r="M861" s="507"/>
      <c r="N861" s="507"/>
      <c r="O861" s="507"/>
      <c r="P861" s="507"/>
      <c r="Q861" s="507"/>
      <c r="R861" s="507"/>
      <c r="S861" s="507"/>
      <c r="T861" s="507"/>
      <c r="U861" s="507"/>
      <c r="V861" s="507"/>
      <c r="W861" s="507"/>
    </row>
    <row r="862" ht="35.25" customHeight="1">
      <c r="A862" s="507"/>
      <c r="B862" s="507"/>
      <c r="C862" s="507"/>
      <c r="D862" s="508"/>
      <c r="E862" s="507"/>
      <c r="F862" s="507"/>
      <c r="G862" s="507"/>
      <c r="H862" s="507"/>
      <c r="I862" s="507"/>
      <c r="J862" s="507"/>
      <c r="K862" s="507"/>
      <c r="L862" s="507"/>
      <c r="M862" s="507"/>
      <c r="N862" s="507"/>
      <c r="O862" s="507"/>
      <c r="P862" s="507"/>
      <c r="Q862" s="507"/>
      <c r="R862" s="507"/>
      <c r="S862" s="507"/>
      <c r="T862" s="507"/>
      <c r="U862" s="507"/>
      <c r="V862" s="507"/>
      <c r="W862" s="507"/>
    </row>
    <row r="863" ht="35.25" customHeight="1">
      <c r="A863" s="507"/>
      <c r="B863" s="507"/>
      <c r="C863" s="507"/>
      <c r="D863" s="508"/>
      <c r="E863" s="507"/>
      <c r="F863" s="507"/>
      <c r="G863" s="507"/>
      <c r="H863" s="507"/>
      <c r="I863" s="507"/>
      <c r="J863" s="507"/>
      <c r="K863" s="507"/>
      <c r="L863" s="507"/>
      <c r="M863" s="507"/>
      <c r="N863" s="507"/>
      <c r="O863" s="507"/>
      <c r="P863" s="507"/>
      <c r="Q863" s="507"/>
      <c r="R863" s="507"/>
      <c r="S863" s="507"/>
      <c r="T863" s="507"/>
      <c r="U863" s="507"/>
      <c r="V863" s="507"/>
      <c r="W863" s="507"/>
    </row>
    <row r="864" ht="35.25" customHeight="1">
      <c r="A864" s="507"/>
      <c r="B864" s="507"/>
      <c r="C864" s="507"/>
      <c r="D864" s="508"/>
      <c r="E864" s="507"/>
      <c r="F864" s="507"/>
      <c r="G864" s="507"/>
      <c r="H864" s="507"/>
      <c r="I864" s="507"/>
      <c r="J864" s="507"/>
      <c r="K864" s="507"/>
      <c r="L864" s="507"/>
      <c r="M864" s="507"/>
      <c r="N864" s="507"/>
      <c r="O864" s="507"/>
      <c r="P864" s="507"/>
      <c r="Q864" s="507"/>
      <c r="R864" s="507"/>
      <c r="S864" s="507"/>
      <c r="T864" s="507"/>
      <c r="U864" s="507"/>
      <c r="V864" s="507"/>
      <c r="W864" s="507"/>
    </row>
    <row r="865" ht="35.25" customHeight="1">
      <c r="A865" s="507"/>
      <c r="B865" s="507"/>
      <c r="C865" s="507"/>
      <c r="D865" s="508"/>
      <c r="E865" s="507"/>
      <c r="F865" s="507"/>
      <c r="G865" s="507"/>
      <c r="H865" s="507"/>
      <c r="I865" s="507"/>
      <c r="J865" s="507"/>
      <c r="K865" s="507"/>
      <c r="L865" s="507"/>
      <c r="M865" s="507"/>
      <c r="N865" s="507"/>
      <c r="O865" s="507"/>
      <c r="P865" s="507"/>
      <c r="Q865" s="507"/>
      <c r="R865" s="507"/>
      <c r="S865" s="507"/>
      <c r="T865" s="507"/>
      <c r="U865" s="507"/>
      <c r="V865" s="507"/>
      <c r="W865" s="507"/>
    </row>
    <row r="866" ht="35.25" customHeight="1">
      <c r="A866" s="507"/>
      <c r="B866" s="507"/>
      <c r="C866" s="507"/>
      <c r="D866" s="508"/>
      <c r="E866" s="507"/>
      <c r="F866" s="507"/>
      <c r="G866" s="507"/>
      <c r="H866" s="507"/>
      <c r="I866" s="507"/>
      <c r="J866" s="507"/>
      <c r="K866" s="507"/>
      <c r="L866" s="507"/>
      <c r="M866" s="507"/>
      <c r="N866" s="507"/>
      <c r="O866" s="507"/>
      <c r="P866" s="507"/>
      <c r="Q866" s="507"/>
      <c r="R866" s="507"/>
      <c r="S866" s="507"/>
      <c r="T866" s="507"/>
      <c r="U866" s="507"/>
      <c r="V866" s="507"/>
      <c r="W866" s="507"/>
    </row>
    <row r="867" ht="35.25" customHeight="1">
      <c r="A867" s="507"/>
      <c r="B867" s="507"/>
      <c r="C867" s="507"/>
      <c r="D867" s="508"/>
      <c r="E867" s="507"/>
      <c r="F867" s="507"/>
      <c r="G867" s="507"/>
      <c r="H867" s="507"/>
      <c r="I867" s="507"/>
      <c r="J867" s="507"/>
      <c r="K867" s="507"/>
      <c r="L867" s="507"/>
      <c r="M867" s="507"/>
      <c r="N867" s="507"/>
      <c r="O867" s="507"/>
      <c r="P867" s="507"/>
      <c r="Q867" s="507"/>
      <c r="R867" s="507"/>
      <c r="S867" s="507"/>
      <c r="T867" s="507"/>
      <c r="U867" s="507"/>
      <c r="V867" s="507"/>
      <c r="W867" s="507"/>
    </row>
    <row r="868" ht="35.25" customHeight="1">
      <c r="A868" s="507"/>
      <c r="B868" s="507"/>
      <c r="C868" s="507"/>
      <c r="D868" s="508"/>
      <c r="E868" s="507"/>
      <c r="F868" s="507"/>
      <c r="G868" s="507"/>
      <c r="H868" s="507"/>
      <c r="I868" s="507"/>
      <c r="J868" s="507"/>
      <c r="K868" s="507"/>
      <c r="L868" s="507"/>
      <c r="M868" s="507"/>
      <c r="N868" s="507"/>
      <c r="O868" s="507"/>
      <c r="P868" s="507"/>
      <c r="Q868" s="507"/>
      <c r="R868" s="507"/>
      <c r="S868" s="507"/>
      <c r="T868" s="507"/>
      <c r="U868" s="507"/>
      <c r="V868" s="507"/>
      <c r="W868" s="507"/>
    </row>
    <row r="869" ht="35.25" customHeight="1">
      <c r="A869" s="507"/>
      <c r="B869" s="507"/>
      <c r="C869" s="507"/>
      <c r="D869" s="508"/>
      <c r="E869" s="507"/>
      <c r="F869" s="507"/>
      <c r="G869" s="507"/>
      <c r="H869" s="507"/>
      <c r="I869" s="507"/>
      <c r="J869" s="507"/>
      <c r="K869" s="507"/>
      <c r="L869" s="507"/>
      <c r="M869" s="507"/>
      <c r="N869" s="507"/>
      <c r="O869" s="507"/>
      <c r="P869" s="507"/>
      <c r="Q869" s="507"/>
      <c r="R869" s="507"/>
      <c r="S869" s="507"/>
      <c r="T869" s="507"/>
      <c r="U869" s="507"/>
      <c r="V869" s="507"/>
      <c r="W869" s="507"/>
    </row>
    <row r="870" ht="35.25" customHeight="1">
      <c r="A870" s="507"/>
      <c r="B870" s="507"/>
      <c r="C870" s="507"/>
      <c r="D870" s="508"/>
      <c r="E870" s="507"/>
      <c r="F870" s="507"/>
      <c r="G870" s="507"/>
      <c r="H870" s="507"/>
      <c r="I870" s="507"/>
      <c r="J870" s="507"/>
      <c r="K870" s="507"/>
      <c r="L870" s="507"/>
      <c r="M870" s="507"/>
      <c r="N870" s="507"/>
      <c r="O870" s="507"/>
      <c r="P870" s="507"/>
      <c r="Q870" s="507"/>
      <c r="R870" s="507"/>
      <c r="S870" s="507"/>
      <c r="T870" s="507"/>
      <c r="U870" s="507"/>
      <c r="V870" s="507"/>
      <c r="W870" s="507"/>
    </row>
    <row r="871" ht="35.25" customHeight="1">
      <c r="A871" s="507"/>
      <c r="B871" s="507"/>
      <c r="C871" s="507"/>
      <c r="D871" s="508"/>
      <c r="E871" s="507"/>
      <c r="F871" s="507"/>
      <c r="G871" s="507"/>
      <c r="H871" s="507"/>
      <c r="I871" s="507"/>
      <c r="J871" s="507"/>
      <c r="K871" s="507"/>
      <c r="L871" s="507"/>
      <c r="M871" s="507"/>
      <c r="N871" s="507"/>
      <c r="O871" s="507"/>
      <c r="P871" s="507"/>
      <c r="Q871" s="507"/>
      <c r="R871" s="507"/>
      <c r="S871" s="507"/>
      <c r="T871" s="507"/>
      <c r="U871" s="507"/>
      <c r="V871" s="507"/>
      <c r="W871" s="507"/>
    </row>
    <row r="872" ht="35.25" customHeight="1">
      <c r="A872" s="507"/>
      <c r="B872" s="507"/>
      <c r="C872" s="507"/>
      <c r="D872" s="508"/>
      <c r="E872" s="507"/>
      <c r="F872" s="507"/>
      <c r="G872" s="507"/>
      <c r="H872" s="507"/>
      <c r="I872" s="507"/>
      <c r="J872" s="507"/>
      <c r="K872" s="507"/>
      <c r="L872" s="507"/>
      <c r="M872" s="507"/>
      <c r="N872" s="507"/>
      <c r="O872" s="507"/>
      <c r="P872" s="507"/>
      <c r="Q872" s="507"/>
      <c r="R872" s="507"/>
      <c r="S872" s="507"/>
      <c r="T872" s="507"/>
      <c r="U872" s="507"/>
      <c r="V872" s="507"/>
      <c r="W872" s="507"/>
    </row>
    <row r="873" ht="35.25" customHeight="1">
      <c r="A873" s="507"/>
      <c r="B873" s="507"/>
      <c r="C873" s="507"/>
      <c r="D873" s="508"/>
      <c r="E873" s="507"/>
      <c r="F873" s="507"/>
      <c r="G873" s="507"/>
      <c r="H873" s="507"/>
      <c r="I873" s="507"/>
      <c r="J873" s="507"/>
      <c r="K873" s="507"/>
      <c r="L873" s="507"/>
      <c r="M873" s="507"/>
      <c r="N873" s="507"/>
      <c r="O873" s="507"/>
      <c r="P873" s="507"/>
      <c r="Q873" s="507"/>
      <c r="R873" s="507"/>
      <c r="S873" s="507"/>
      <c r="T873" s="507"/>
      <c r="U873" s="507"/>
      <c r="V873" s="507"/>
      <c r="W873" s="507"/>
    </row>
    <row r="874" ht="35.25" customHeight="1">
      <c r="A874" s="507"/>
      <c r="B874" s="507"/>
      <c r="C874" s="507"/>
      <c r="D874" s="508"/>
      <c r="E874" s="507"/>
      <c r="F874" s="507"/>
      <c r="G874" s="507"/>
      <c r="H874" s="507"/>
      <c r="I874" s="507"/>
      <c r="J874" s="507"/>
      <c r="K874" s="507"/>
      <c r="L874" s="507"/>
      <c r="M874" s="507"/>
      <c r="N874" s="507"/>
      <c r="O874" s="507"/>
      <c r="P874" s="507"/>
      <c r="Q874" s="507"/>
      <c r="R874" s="507"/>
      <c r="S874" s="507"/>
      <c r="T874" s="507"/>
      <c r="U874" s="507"/>
      <c r="V874" s="507"/>
      <c r="W874" s="507"/>
    </row>
    <row r="875" ht="35.25" customHeight="1">
      <c r="A875" s="507"/>
      <c r="B875" s="507"/>
      <c r="C875" s="507"/>
      <c r="D875" s="508"/>
      <c r="E875" s="507"/>
      <c r="F875" s="507"/>
      <c r="G875" s="507"/>
      <c r="H875" s="507"/>
      <c r="I875" s="507"/>
      <c r="J875" s="507"/>
      <c r="K875" s="507"/>
      <c r="L875" s="507"/>
      <c r="M875" s="507"/>
      <c r="N875" s="507"/>
      <c r="O875" s="507"/>
      <c r="P875" s="507"/>
      <c r="Q875" s="507"/>
      <c r="R875" s="507"/>
      <c r="S875" s="507"/>
      <c r="T875" s="507"/>
      <c r="U875" s="507"/>
      <c r="V875" s="507"/>
      <c r="W875" s="507"/>
    </row>
    <row r="876" ht="35.25" customHeight="1">
      <c r="A876" s="507"/>
      <c r="B876" s="507"/>
      <c r="C876" s="507"/>
      <c r="D876" s="508"/>
      <c r="E876" s="507"/>
      <c r="F876" s="507"/>
      <c r="G876" s="507"/>
      <c r="H876" s="507"/>
      <c r="I876" s="507"/>
      <c r="J876" s="507"/>
      <c r="K876" s="507"/>
      <c r="L876" s="507"/>
      <c r="M876" s="507"/>
      <c r="N876" s="507"/>
      <c r="O876" s="507"/>
      <c r="P876" s="507"/>
      <c r="Q876" s="507"/>
      <c r="R876" s="507"/>
      <c r="S876" s="507"/>
      <c r="T876" s="507"/>
      <c r="U876" s="507"/>
      <c r="V876" s="507"/>
      <c r="W876" s="507"/>
    </row>
    <row r="877" ht="35.25" customHeight="1">
      <c r="A877" s="507"/>
      <c r="B877" s="507"/>
      <c r="C877" s="507"/>
      <c r="D877" s="508"/>
      <c r="E877" s="507"/>
      <c r="F877" s="507"/>
      <c r="G877" s="507"/>
      <c r="H877" s="507"/>
      <c r="I877" s="507"/>
      <c r="J877" s="507"/>
      <c r="K877" s="507"/>
      <c r="L877" s="507"/>
      <c r="M877" s="507"/>
      <c r="N877" s="507"/>
      <c r="O877" s="507"/>
      <c r="P877" s="507"/>
      <c r="Q877" s="507"/>
      <c r="R877" s="507"/>
      <c r="S877" s="507"/>
      <c r="T877" s="507"/>
      <c r="U877" s="507"/>
      <c r="V877" s="507"/>
      <c r="W877" s="507"/>
    </row>
    <row r="878" ht="35.25" customHeight="1">
      <c r="A878" s="507"/>
      <c r="B878" s="507"/>
      <c r="C878" s="507"/>
      <c r="D878" s="508"/>
      <c r="E878" s="507"/>
      <c r="F878" s="507"/>
      <c r="G878" s="507"/>
      <c r="H878" s="507"/>
      <c r="I878" s="507"/>
      <c r="J878" s="507"/>
      <c r="K878" s="507"/>
      <c r="L878" s="507"/>
      <c r="M878" s="507"/>
      <c r="N878" s="507"/>
      <c r="O878" s="507"/>
      <c r="P878" s="507"/>
      <c r="Q878" s="507"/>
      <c r="R878" s="507"/>
      <c r="S878" s="507"/>
      <c r="T878" s="507"/>
      <c r="U878" s="507"/>
      <c r="V878" s="507"/>
      <c r="W878" s="507"/>
    </row>
    <row r="879" ht="35.25" customHeight="1">
      <c r="A879" s="507"/>
      <c r="B879" s="507"/>
      <c r="C879" s="507"/>
      <c r="D879" s="508"/>
      <c r="E879" s="507"/>
      <c r="F879" s="507"/>
      <c r="G879" s="507"/>
      <c r="H879" s="507"/>
      <c r="I879" s="507"/>
      <c r="J879" s="507"/>
      <c r="K879" s="507"/>
      <c r="L879" s="507"/>
      <c r="M879" s="507"/>
      <c r="N879" s="507"/>
      <c r="O879" s="507"/>
      <c r="P879" s="507"/>
      <c r="Q879" s="507"/>
      <c r="R879" s="507"/>
      <c r="S879" s="507"/>
      <c r="T879" s="507"/>
      <c r="U879" s="507"/>
      <c r="V879" s="507"/>
      <c r="W879" s="507"/>
    </row>
    <row r="880" ht="35.25" customHeight="1">
      <c r="A880" s="507"/>
      <c r="B880" s="507"/>
      <c r="C880" s="507"/>
      <c r="D880" s="508"/>
      <c r="E880" s="507"/>
      <c r="F880" s="507"/>
      <c r="G880" s="507"/>
      <c r="H880" s="507"/>
      <c r="I880" s="507"/>
      <c r="J880" s="507"/>
      <c r="K880" s="507"/>
      <c r="L880" s="507"/>
      <c r="M880" s="507"/>
      <c r="N880" s="507"/>
      <c r="O880" s="507"/>
      <c r="P880" s="507"/>
      <c r="Q880" s="507"/>
      <c r="R880" s="507"/>
      <c r="S880" s="507"/>
      <c r="T880" s="507"/>
      <c r="U880" s="507"/>
      <c r="V880" s="507"/>
      <c r="W880" s="507"/>
    </row>
    <row r="881" ht="35.25" customHeight="1">
      <c r="A881" s="507"/>
      <c r="B881" s="507"/>
      <c r="C881" s="507"/>
      <c r="D881" s="508"/>
      <c r="E881" s="507"/>
      <c r="F881" s="507"/>
      <c r="G881" s="507"/>
      <c r="H881" s="507"/>
      <c r="I881" s="507"/>
      <c r="J881" s="507"/>
      <c r="K881" s="507"/>
      <c r="L881" s="507"/>
      <c r="M881" s="507"/>
      <c r="N881" s="507"/>
      <c r="O881" s="507"/>
      <c r="P881" s="507"/>
      <c r="Q881" s="507"/>
      <c r="R881" s="507"/>
      <c r="S881" s="507"/>
      <c r="T881" s="507"/>
      <c r="U881" s="507"/>
      <c r="V881" s="507"/>
      <c r="W881" s="507"/>
    </row>
    <row r="882" ht="35.25" customHeight="1">
      <c r="A882" s="507"/>
      <c r="B882" s="507"/>
      <c r="C882" s="507"/>
      <c r="D882" s="508"/>
      <c r="E882" s="507"/>
      <c r="F882" s="507"/>
      <c r="G882" s="507"/>
      <c r="H882" s="507"/>
      <c r="I882" s="507"/>
      <c r="J882" s="507"/>
      <c r="K882" s="507"/>
      <c r="L882" s="507"/>
      <c r="M882" s="507"/>
      <c r="N882" s="507"/>
      <c r="O882" s="507"/>
      <c r="P882" s="507"/>
      <c r="Q882" s="507"/>
      <c r="R882" s="507"/>
      <c r="S882" s="507"/>
      <c r="T882" s="507"/>
      <c r="U882" s="507"/>
      <c r="V882" s="507"/>
      <c r="W882" s="507"/>
    </row>
    <row r="883" ht="35.25" customHeight="1">
      <c r="A883" s="507"/>
      <c r="B883" s="507"/>
      <c r="C883" s="507"/>
      <c r="D883" s="508"/>
      <c r="E883" s="507"/>
      <c r="F883" s="507"/>
      <c r="G883" s="507"/>
      <c r="H883" s="507"/>
      <c r="I883" s="507"/>
      <c r="J883" s="507"/>
      <c r="K883" s="507"/>
      <c r="L883" s="507"/>
      <c r="M883" s="507"/>
      <c r="N883" s="507"/>
      <c r="O883" s="507"/>
      <c r="P883" s="507"/>
      <c r="Q883" s="507"/>
      <c r="R883" s="507"/>
      <c r="S883" s="507"/>
      <c r="T883" s="507"/>
      <c r="U883" s="507"/>
      <c r="V883" s="507"/>
      <c r="W883" s="507"/>
    </row>
    <row r="884" ht="35.25" customHeight="1">
      <c r="A884" s="507"/>
      <c r="B884" s="507"/>
      <c r="C884" s="507"/>
      <c r="D884" s="508"/>
      <c r="E884" s="507"/>
      <c r="F884" s="507"/>
      <c r="G884" s="507"/>
      <c r="H884" s="507"/>
      <c r="I884" s="507"/>
      <c r="J884" s="507"/>
      <c r="K884" s="507"/>
      <c r="L884" s="507"/>
      <c r="M884" s="507"/>
      <c r="N884" s="507"/>
      <c r="O884" s="507"/>
      <c r="P884" s="507"/>
      <c r="Q884" s="507"/>
      <c r="R884" s="507"/>
      <c r="S884" s="507"/>
      <c r="T884" s="507"/>
      <c r="U884" s="507"/>
      <c r="V884" s="507"/>
      <c r="W884" s="507"/>
    </row>
    <row r="885" ht="35.25" customHeight="1">
      <c r="A885" s="507"/>
      <c r="B885" s="507"/>
      <c r="C885" s="507"/>
      <c r="D885" s="508"/>
      <c r="E885" s="507"/>
      <c r="F885" s="507"/>
      <c r="G885" s="507"/>
      <c r="H885" s="507"/>
      <c r="I885" s="507"/>
      <c r="J885" s="507"/>
      <c r="K885" s="507"/>
      <c r="L885" s="507"/>
      <c r="M885" s="507"/>
      <c r="N885" s="507"/>
      <c r="O885" s="507"/>
      <c r="P885" s="507"/>
      <c r="Q885" s="507"/>
      <c r="R885" s="507"/>
      <c r="S885" s="507"/>
      <c r="T885" s="507"/>
      <c r="U885" s="507"/>
      <c r="V885" s="507"/>
      <c r="W885" s="507"/>
    </row>
    <row r="886" ht="35.25" customHeight="1">
      <c r="A886" s="507"/>
      <c r="B886" s="507"/>
      <c r="C886" s="507"/>
      <c r="D886" s="508"/>
      <c r="E886" s="507"/>
      <c r="F886" s="507"/>
      <c r="G886" s="507"/>
      <c r="H886" s="507"/>
      <c r="I886" s="507"/>
      <c r="J886" s="507"/>
      <c r="K886" s="507"/>
      <c r="L886" s="507"/>
      <c r="M886" s="507"/>
      <c r="N886" s="507"/>
      <c r="O886" s="507"/>
      <c r="P886" s="507"/>
      <c r="Q886" s="507"/>
      <c r="R886" s="507"/>
      <c r="S886" s="507"/>
      <c r="T886" s="507"/>
      <c r="U886" s="507"/>
      <c r="V886" s="507"/>
      <c r="W886" s="507"/>
    </row>
    <row r="887" ht="35.25" customHeight="1">
      <c r="A887" s="507"/>
      <c r="B887" s="507"/>
      <c r="C887" s="507"/>
      <c r="D887" s="508"/>
      <c r="E887" s="507"/>
      <c r="F887" s="507"/>
      <c r="G887" s="507"/>
      <c r="H887" s="507"/>
      <c r="I887" s="507"/>
      <c r="J887" s="507"/>
      <c r="K887" s="507"/>
      <c r="L887" s="507"/>
      <c r="M887" s="507"/>
      <c r="N887" s="507"/>
      <c r="O887" s="507"/>
      <c r="P887" s="507"/>
      <c r="Q887" s="507"/>
      <c r="R887" s="507"/>
      <c r="S887" s="507"/>
      <c r="T887" s="507"/>
      <c r="U887" s="507"/>
      <c r="V887" s="507"/>
      <c r="W887" s="507"/>
    </row>
    <row r="888" ht="35.25" customHeight="1">
      <c r="A888" s="507"/>
      <c r="B888" s="507"/>
      <c r="C888" s="507"/>
      <c r="D888" s="508"/>
      <c r="E888" s="507"/>
      <c r="F888" s="507"/>
      <c r="G888" s="507"/>
      <c r="H888" s="507"/>
      <c r="I888" s="507"/>
      <c r="J888" s="507"/>
      <c r="K888" s="507"/>
      <c r="L888" s="507"/>
      <c r="M888" s="507"/>
      <c r="N888" s="507"/>
      <c r="O888" s="507"/>
      <c r="P888" s="507"/>
      <c r="Q888" s="507"/>
      <c r="R888" s="507"/>
      <c r="S888" s="507"/>
      <c r="T888" s="507"/>
      <c r="U888" s="507"/>
      <c r="V888" s="507"/>
      <c r="W888" s="507"/>
    </row>
    <row r="889" ht="35.25" customHeight="1">
      <c r="A889" s="507"/>
      <c r="B889" s="507"/>
      <c r="C889" s="507"/>
      <c r="D889" s="508"/>
      <c r="E889" s="507"/>
      <c r="F889" s="507"/>
      <c r="G889" s="507"/>
      <c r="H889" s="507"/>
      <c r="I889" s="507"/>
      <c r="J889" s="507"/>
      <c r="K889" s="507"/>
      <c r="L889" s="507"/>
      <c r="M889" s="507"/>
      <c r="N889" s="507"/>
      <c r="O889" s="507"/>
      <c r="P889" s="507"/>
      <c r="Q889" s="507"/>
      <c r="R889" s="507"/>
      <c r="S889" s="507"/>
      <c r="T889" s="507"/>
      <c r="U889" s="507"/>
      <c r="V889" s="507"/>
      <c r="W889" s="507"/>
    </row>
    <row r="890" ht="35.25" customHeight="1">
      <c r="A890" s="507"/>
      <c r="B890" s="507"/>
      <c r="C890" s="507"/>
      <c r="D890" s="508"/>
      <c r="E890" s="507"/>
      <c r="F890" s="507"/>
      <c r="G890" s="507"/>
      <c r="H890" s="507"/>
      <c r="I890" s="507"/>
      <c r="J890" s="507"/>
      <c r="K890" s="507"/>
      <c r="L890" s="507"/>
      <c r="M890" s="507"/>
      <c r="N890" s="507"/>
      <c r="O890" s="507"/>
      <c r="P890" s="507"/>
      <c r="Q890" s="507"/>
      <c r="R890" s="507"/>
      <c r="S890" s="507"/>
      <c r="T890" s="507"/>
      <c r="U890" s="507"/>
      <c r="V890" s="507"/>
      <c r="W890" s="507"/>
    </row>
    <row r="891" ht="35.25" customHeight="1">
      <c r="A891" s="507"/>
      <c r="B891" s="507"/>
      <c r="C891" s="507"/>
      <c r="D891" s="508"/>
      <c r="E891" s="507"/>
      <c r="F891" s="507"/>
      <c r="G891" s="507"/>
      <c r="H891" s="507"/>
      <c r="I891" s="507"/>
      <c r="J891" s="507"/>
      <c r="K891" s="507"/>
      <c r="L891" s="507"/>
      <c r="M891" s="507"/>
      <c r="N891" s="507"/>
      <c r="O891" s="507"/>
      <c r="P891" s="507"/>
      <c r="Q891" s="507"/>
      <c r="R891" s="507"/>
      <c r="S891" s="507"/>
      <c r="T891" s="507"/>
      <c r="U891" s="507"/>
      <c r="V891" s="507"/>
      <c r="W891" s="507"/>
    </row>
    <row r="892" ht="35.25" customHeight="1">
      <c r="A892" s="507"/>
      <c r="B892" s="507"/>
      <c r="C892" s="507"/>
      <c r="D892" s="508"/>
      <c r="E892" s="507"/>
      <c r="F892" s="507"/>
      <c r="G892" s="507"/>
      <c r="H892" s="507"/>
      <c r="I892" s="507"/>
      <c r="J892" s="507"/>
      <c r="K892" s="507"/>
      <c r="L892" s="507"/>
      <c r="M892" s="507"/>
      <c r="N892" s="507"/>
      <c r="O892" s="507"/>
      <c r="P892" s="507"/>
      <c r="Q892" s="507"/>
      <c r="R892" s="507"/>
      <c r="S892" s="507"/>
      <c r="T892" s="507"/>
      <c r="U892" s="507"/>
      <c r="V892" s="507"/>
      <c r="W892" s="507"/>
    </row>
    <row r="893" ht="35.25" customHeight="1">
      <c r="A893" s="507"/>
      <c r="B893" s="507"/>
      <c r="C893" s="507"/>
      <c r="D893" s="508"/>
      <c r="E893" s="507"/>
      <c r="F893" s="507"/>
      <c r="G893" s="507"/>
      <c r="H893" s="507"/>
      <c r="I893" s="507"/>
      <c r="J893" s="507"/>
      <c r="K893" s="507"/>
      <c r="L893" s="507"/>
      <c r="M893" s="507"/>
      <c r="N893" s="507"/>
      <c r="O893" s="507"/>
      <c r="P893" s="507"/>
      <c r="Q893" s="507"/>
      <c r="R893" s="507"/>
      <c r="S893" s="507"/>
      <c r="T893" s="507"/>
      <c r="U893" s="507"/>
      <c r="V893" s="507"/>
      <c r="W893" s="507"/>
    </row>
    <row r="894" ht="35.25" customHeight="1">
      <c r="A894" s="507"/>
      <c r="B894" s="507"/>
      <c r="C894" s="507"/>
      <c r="D894" s="508"/>
      <c r="E894" s="507"/>
      <c r="F894" s="507"/>
      <c r="G894" s="507"/>
      <c r="H894" s="507"/>
      <c r="I894" s="507"/>
      <c r="J894" s="507"/>
      <c r="K894" s="507"/>
      <c r="L894" s="507"/>
      <c r="M894" s="507"/>
      <c r="N894" s="507"/>
      <c r="O894" s="507"/>
      <c r="P894" s="507"/>
      <c r="Q894" s="507"/>
      <c r="R894" s="507"/>
      <c r="S894" s="507"/>
      <c r="T894" s="507"/>
      <c r="U894" s="507"/>
      <c r="V894" s="507"/>
      <c r="W894" s="507"/>
    </row>
    <row r="895" ht="35.25" customHeight="1">
      <c r="A895" s="507"/>
      <c r="B895" s="507"/>
      <c r="C895" s="507"/>
      <c r="D895" s="508"/>
      <c r="E895" s="507"/>
      <c r="F895" s="507"/>
      <c r="G895" s="507"/>
      <c r="H895" s="507"/>
      <c r="I895" s="507"/>
      <c r="J895" s="507"/>
      <c r="K895" s="507"/>
      <c r="L895" s="507"/>
      <c r="M895" s="507"/>
      <c r="N895" s="507"/>
      <c r="O895" s="507"/>
      <c r="P895" s="507"/>
      <c r="Q895" s="507"/>
      <c r="R895" s="507"/>
      <c r="S895" s="507"/>
      <c r="T895" s="507"/>
      <c r="U895" s="507"/>
      <c r="V895" s="507"/>
      <c r="W895" s="507"/>
    </row>
    <row r="896" ht="35.25" customHeight="1">
      <c r="A896" s="507"/>
      <c r="B896" s="507"/>
      <c r="C896" s="507"/>
      <c r="D896" s="508"/>
      <c r="E896" s="507"/>
      <c r="F896" s="507"/>
      <c r="G896" s="507"/>
      <c r="H896" s="507"/>
      <c r="I896" s="507"/>
      <c r="J896" s="507"/>
      <c r="K896" s="507"/>
      <c r="L896" s="507"/>
      <c r="M896" s="507"/>
      <c r="N896" s="507"/>
      <c r="O896" s="507"/>
      <c r="P896" s="507"/>
      <c r="Q896" s="507"/>
      <c r="R896" s="507"/>
      <c r="S896" s="507"/>
      <c r="T896" s="507"/>
      <c r="U896" s="507"/>
      <c r="V896" s="507"/>
      <c r="W896" s="507"/>
    </row>
    <row r="897" ht="35.25" customHeight="1">
      <c r="A897" s="507"/>
      <c r="B897" s="507"/>
      <c r="C897" s="507"/>
      <c r="D897" s="508"/>
      <c r="E897" s="507"/>
      <c r="F897" s="507"/>
      <c r="G897" s="507"/>
      <c r="H897" s="507"/>
      <c r="I897" s="507"/>
      <c r="J897" s="507"/>
      <c r="K897" s="507"/>
      <c r="L897" s="507"/>
      <c r="M897" s="507"/>
      <c r="N897" s="507"/>
      <c r="O897" s="507"/>
      <c r="P897" s="507"/>
      <c r="Q897" s="507"/>
      <c r="R897" s="507"/>
      <c r="S897" s="507"/>
      <c r="T897" s="507"/>
      <c r="U897" s="507"/>
      <c r="V897" s="507"/>
      <c r="W897" s="507"/>
    </row>
    <row r="898" ht="35.25" customHeight="1">
      <c r="A898" s="507"/>
      <c r="B898" s="507"/>
      <c r="C898" s="507"/>
      <c r="D898" s="508"/>
      <c r="E898" s="507"/>
      <c r="F898" s="507"/>
      <c r="G898" s="507"/>
      <c r="H898" s="507"/>
      <c r="I898" s="507"/>
      <c r="J898" s="507"/>
      <c r="K898" s="507"/>
      <c r="L898" s="507"/>
      <c r="M898" s="507"/>
      <c r="N898" s="507"/>
      <c r="O898" s="507"/>
      <c r="P898" s="507"/>
      <c r="Q898" s="507"/>
      <c r="R898" s="507"/>
      <c r="S898" s="507"/>
      <c r="T898" s="507"/>
      <c r="U898" s="507"/>
      <c r="V898" s="507"/>
      <c r="W898" s="507"/>
    </row>
    <row r="899" ht="35.25" customHeight="1">
      <c r="A899" s="507"/>
      <c r="B899" s="507"/>
      <c r="C899" s="507"/>
      <c r="D899" s="508"/>
      <c r="E899" s="507"/>
      <c r="F899" s="507"/>
      <c r="G899" s="507"/>
      <c r="H899" s="507"/>
      <c r="I899" s="507"/>
      <c r="J899" s="507"/>
      <c r="K899" s="507"/>
      <c r="L899" s="507"/>
      <c r="M899" s="507"/>
      <c r="N899" s="507"/>
      <c r="O899" s="507"/>
      <c r="P899" s="507"/>
      <c r="Q899" s="507"/>
      <c r="R899" s="507"/>
      <c r="S899" s="507"/>
      <c r="T899" s="507"/>
      <c r="U899" s="507"/>
      <c r="V899" s="507"/>
      <c r="W899" s="507"/>
    </row>
    <row r="900" ht="35.25" customHeight="1">
      <c r="A900" s="507"/>
      <c r="B900" s="507"/>
      <c r="C900" s="507"/>
      <c r="D900" s="508"/>
      <c r="E900" s="507"/>
      <c r="F900" s="507"/>
      <c r="G900" s="507"/>
      <c r="H900" s="507"/>
      <c r="I900" s="507"/>
      <c r="J900" s="507"/>
      <c r="K900" s="507"/>
      <c r="L900" s="507"/>
      <c r="M900" s="507"/>
      <c r="N900" s="507"/>
      <c r="O900" s="507"/>
      <c r="P900" s="507"/>
      <c r="Q900" s="507"/>
      <c r="R900" s="507"/>
      <c r="S900" s="507"/>
      <c r="T900" s="507"/>
      <c r="U900" s="507"/>
      <c r="V900" s="507"/>
      <c r="W900" s="507"/>
    </row>
    <row r="901" ht="35.25" customHeight="1">
      <c r="A901" s="507"/>
      <c r="B901" s="507"/>
      <c r="C901" s="507"/>
      <c r="D901" s="508"/>
      <c r="E901" s="507"/>
      <c r="F901" s="507"/>
      <c r="G901" s="507"/>
      <c r="H901" s="507"/>
      <c r="I901" s="507"/>
      <c r="J901" s="507"/>
      <c r="K901" s="507"/>
      <c r="L901" s="507"/>
      <c r="M901" s="507"/>
      <c r="N901" s="507"/>
      <c r="O901" s="507"/>
      <c r="P901" s="507"/>
      <c r="Q901" s="507"/>
      <c r="R901" s="507"/>
      <c r="S901" s="507"/>
      <c r="T901" s="507"/>
      <c r="U901" s="507"/>
      <c r="V901" s="507"/>
      <c r="W901" s="507"/>
    </row>
    <row r="902" ht="35.25" customHeight="1">
      <c r="A902" s="507"/>
      <c r="B902" s="507"/>
      <c r="C902" s="507"/>
      <c r="D902" s="508"/>
      <c r="E902" s="507"/>
      <c r="F902" s="507"/>
      <c r="G902" s="507"/>
      <c r="H902" s="507"/>
      <c r="I902" s="507"/>
      <c r="J902" s="507"/>
      <c r="K902" s="507"/>
      <c r="L902" s="507"/>
      <c r="M902" s="507"/>
      <c r="N902" s="507"/>
      <c r="O902" s="507"/>
      <c r="P902" s="507"/>
      <c r="Q902" s="507"/>
      <c r="R902" s="507"/>
      <c r="S902" s="507"/>
      <c r="T902" s="507"/>
      <c r="U902" s="507"/>
      <c r="V902" s="507"/>
      <c r="W902" s="507"/>
    </row>
    <row r="903" ht="35.25" customHeight="1">
      <c r="A903" s="507"/>
      <c r="B903" s="507"/>
      <c r="C903" s="507"/>
      <c r="D903" s="508"/>
      <c r="E903" s="507"/>
      <c r="F903" s="507"/>
      <c r="G903" s="507"/>
      <c r="H903" s="507"/>
      <c r="I903" s="507"/>
      <c r="J903" s="507"/>
      <c r="K903" s="507"/>
      <c r="L903" s="507"/>
      <c r="M903" s="507"/>
      <c r="N903" s="507"/>
      <c r="O903" s="507"/>
      <c r="P903" s="507"/>
      <c r="Q903" s="507"/>
      <c r="R903" s="507"/>
      <c r="S903" s="507"/>
      <c r="T903" s="507"/>
      <c r="U903" s="507"/>
      <c r="V903" s="507"/>
      <c r="W903" s="507"/>
    </row>
    <row r="904" ht="35.25" customHeight="1">
      <c r="A904" s="507"/>
      <c r="B904" s="507"/>
      <c r="C904" s="507"/>
      <c r="D904" s="508"/>
      <c r="E904" s="507"/>
      <c r="F904" s="507"/>
      <c r="G904" s="507"/>
      <c r="H904" s="507"/>
      <c r="I904" s="507"/>
      <c r="J904" s="507"/>
      <c r="K904" s="507"/>
      <c r="L904" s="507"/>
      <c r="M904" s="507"/>
      <c r="N904" s="507"/>
      <c r="O904" s="507"/>
      <c r="P904" s="507"/>
      <c r="Q904" s="507"/>
      <c r="R904" s="507"/>
      <c r="S904" s="507"/>
      <c r="T904" s="507"/>
      <c r="U904" s="507"/>
      <c r="V904" s="507"/>
      <c r="W904" s="507"/>
    </row>
    <row r="905" ht="35.25" customHeight="1">
      <c r="A905" s="507"/>
      <c r="B905" s="507"/>
      <c r="C905" s="507"/>
      <c r="D905" s="508"/>
      <c r="E905" s="507"/>
      <c r="F905" s="507"/>
      <c r="G905" s="507"/>
      <c r="H905" s="507"/>
      <c r="I905" s="507"/>
      <c r="J905" s="507"/>
      <c r="K905" s="507"/>
      <c r="L905" s="507"/>
      <c r="M905" s="507"/>
      <c r="N905" s="507"/>
      <c r="O905" s="507"/>
      <c r="P905" s="507"/>
      <c r="Q905" s="507"/>
      <c r="R905" s="507"/>
      <c r="S905" s="507"/>
      <c r="T905" s="507"/>
      <c r="U905" s="507"/>
      <c r="V905" s="507"/>
      <c r="W905" s="507"/>
    </row>
    <row r="906" ht="35.25" customHeight="1">
      <c r="A906" s="507"/>
      <c r="B906" s="507"/>
      <c r="C906" s="507"/>
      <c r="D906" s="508"/>
      <c r="E906" s="507"/>
      <c r="F906" s="507"/>
      <c r="G906" s="507"/>
      <c r="H906" s="507"/>
      <c r="I906" s="507"/>
      <c r="J906" s="507"/>
      <c r="K906" s="507"/>
      <c r="L906" s="507"/>
      <c r="M906" s="507"/>
      <c r="N906" s="507"/>
      <c r="O906" s="507"/>
      <c r="P906" s="507"/>
      <c r="Q906" s="507"/>
      <c r="R906" s="507"/>
      <c r="S906" s="507"/>
      <c r="T906" s="507"/>
      <c r="U906" s="507"/>
      <c r="V906" s="507"/>
      <c r="W906" s="507"/>
    </row>
    <row r="907" ht="35.25" customHeight="1">
      <c r="A907" s="507"/>
      <c r="B907" s="507"/>
      <c r="C907" s="507"/>
      <c r="D907" s="508"/>
      <c r="E907" s="507"/>
      <c r="F907" s="507"/>
      <c r="G907" s="507"/>
      <c r="H907" s="507"/>
      <c r="I907" s="507"/>
      <c r="J907" s="507"/>
      <c r="K907" s="507"/>
      <c r="L907" s="507"/>
      <c r="M907" s="507"/>
      <c r="N907" s="507"/>
      <c r="O907" s="507"/>
      <c r="P907" s="507"/>
      <c r="Q907" s="507"/>
      <c r="R907" s="507"/>
      <c r="S907" s="507"/>
      <c r="T907" s="507"/>
      <c r="U907" s="507"/>
      <c r="V907" s="507"/>
      <c r="W907" s="507"/>
    </row>
    <row r="908" ht="35.25" customHeight="1">
      <c r="A908" s="507"/>
      <c r="B908" s="507"/>
      <c r="C908" s="507"/>
      <c r="D908" s="508"/>
      <c r="E908" s="507"/>
      <c r="F908" s="507"/>
      <c r="G908" s="507"/>
      <c r="H908" s="507"/>
      <c r="I908" s="507"/>
      <c r="J908" s="507"/>
      <c r="K908" s="507"/>
      <c r="L908" s="507"/>
      <c r="M908" s="507"/>
      <c r="N908" s="507"/>
      <c r="O908" s="507"/>
      <c r="P908" s="507"/>
      <c r="Q908" s="507"/>
      <c r="R908" s="507"/>
      <c r="S908" s="507"/>
      <c r="T908" s="507"/>
      <c r="U908" s="507"/>
      <c r="V908" s="507"/>
      <c r="W908" s="507"/>
    </row>
    <row r="909" ht="35.25" customHeight="1">
      <c r="A909" s="507"/>
      <c r="B909" s="507"/>
      <c r="C909" s="507"/>
      <c r="D909" s="508"/>
      <c r="E909" s="507"/>
      <c r="F909" s="507"/>
      <c r="G909" s="507"/>
      <c r="H909" s="507"/>
      <c r="I909" s="507"/>
      <c r="J909" s="507"/>
      <c r="K909" s="507"/>
      <c r="L909" s="507"/>
      <c r="M909" s="507"/>
      <c r="N909" s="507"/>
      <c r="O909" s="507"/>
      <c r="P909" s="507"/>
      <c r="Q909" s="507"/>
      <c r="R909" s="507"/>
      <c r="S909" s="507"/>
      <c r="T909" s="507"/>
      <c r="U909" s="507"/>
      <c r="V909" s="507"/>
      <c r="W909" s="507"/>
    </row>
    <row r="910" ht="35.25" customHeight="1">
      <c r="A910" s="507"/>
      <c r="B910" s="507"/>
      <c r="C910" s="507"/>
      <c r="D910" s="508"/>
      <c r="E910" s="507"/>
      <c r="F910" s="507"/>
      <c r="G910" s="507"/>
      <c r="H910" s="507"/>
      <c r="I910" s="507"/>
      <c r="J910" s="507"/>
      <c r="K910" s="507"/>
      <c r="L910" s="507"/>
      <c r="M910" s="507"/>
      <c r="N910" s="507"/>
      <c r="O910" s="507"/>
      <c r="P910" s="507"/>
      <c r="Q910" s="507"/>
      <c r="R910" s="507"/>
      <c r="S910" s="507"/>
      <c r="T910" s="507"/>
      <c r="U910" s="507"/>
      <c r="V910" s="507"/>
      <c r="W910" s="507"/>
    </row>
    <row r="911" ht="35.25" customHeight="1">
      <c r="A911" s="507"/>
      <c r="B911" s="507"/>
      <c r="C911" s="507"/>
      <c r="D911" s="508"/>
      <c r="E911" s="507"/>
      <c r="F911" s="507"/>
      <c r="G911" s="507"/>
      <c r="H911" s="507"/>
      <c r="I911" s="507"/>
      <c r="J911" s="507"/>
      <c r="K911" s="507"/>
      <c r="L911" s="507"/>
      <c r="M911" s="507"/>
      <c r="N911" s="507"/>
      <c r="O911" s="507"/>
      <c r="P911" s="507"/>
      <c r="Q911" s="507"/>
      <c r="R911" s="507"/>
      <c r="S911" s="507"/>
      <c r="T911" s="507"/>
      <c r="U911" s="507"/>
      <c r="V911" s="507"/>
      <c r="W911" s="507"/>
    </row>
    <row r="912" ht="35.25" customHeight="1">
      <c r="A912" s="507"/>
      <c r="B912" s="507"/>
      <c r="C912" s="507"/>
      <c r="D912" s="508"/>
      <c r="E912" s="507"/>
      <c r="F912" s="507"/>
      <c r="G912" s="507"/>
      <c r="H912" s="507"/>
      <c r="I912" s="507"/>
      <c r="J912" s="507"/>
      <c r="K912" s="507"/>
      <c r="L912" s="507"/>
      <c r="M912" s="507"/>
      <c r="N912" s="507"/>
      <c r="O912" s="507"/>
      <c r="P912" s="507"/>
      <c r="Q912" s="507"/>
      <c r="R912" s="507"/>
      <c r="S912" s="507"/>
      <c r="T912" s="507"/>
      <c r="U912" s="507"/>
      <c r="V912" s="507"/>
      <c r="W912" s="507"/>
    </row>
    <row r="913" ht="35.25" customHeight="1">
      <c r="A913" s="507"/>
      <c r="B913" s="507"/>
      <c r="C913" s="507"/>
      <c r="D913" s="508"/>
      <c r="E913" s="507"/>
      <c r="F913" s="507"/>
      <c r="G913" s="507"/>
      <c r="H913" s="507"/>
      <c r="I913" s="507"/>
      <c r="J913" s="507"/>
      <c r="K913" s="507"/>
      <c r="L913" s="507"/>
      <c r="M913" s="507"/>
      <c r="N913" s="507"/>
      <c r="O913" s="507"/>
      <c r="P913" s="507"/>
      <c r="Q913" s="507"/>
      <c r="R913" s="507"/>
      <c r="S913" s="507"/>
      <c r="T913" s="507"/>
      <c r="U913" s="507"/>
      <c r="V913" s="507"/>
      <c r="W913" s="507"/>
    </row>
    <row r="914" ht="35.25" customHeight="1">
      <c r="A914" s="507"/>
      <c r="B914" s="507"/>
      <c r="C914" s="507"/>
      <c r="D914" s="508"/>
      <c r="E914" s="507"/>
      <c r="F914" s="507"/>
      <c r="G914" s="507"/>
      <c r="H914" s="507"/>
      <c r="I914" s="507"/>
      <c r="J914" s="507"/>
      <c r="K914" s="507"/>
      <c r="L914" s="507"/>
      <c r="M914" s="507"/>
      <c r="N914" s="507"/>
      <c r="O914" s="507"/>
      <c r="P914" s="507"/>
      <c r="Q914" s="507"/>
      <c r="R914" s="507"/>
      <c r="S914" s="507"/>
      <c r="T914" s="507"/>
      <c r="U914" s="507"/>
      <c r="V914" s="507"/>
      <c r="W914" s="507"/>
    </row>
    <row r="915" ht="35.25" customHeight="1">
      <c r="A915" s="507"/>
      <c r="B915" s="507"/>
      <c r="C915" s="507"/>
      <c r="D915" s="508"/>
      <c r="E915" s="507"/>
      <c r="F915" s="507"/>
      <c r="G915" s="507"/>
      <c r="H915" s="507"/>
      <c r="I915" s="507"/>
      <c r="J915" s="507"/>
      <c r="K915" s="507"/>
      <c r="L915" s="507"/>
      <c r="M915" s="507"/>
      <c r="N915" s="507"/>
      <c r="O915" s="507"/>
      <c r="P915" s="507"/>
      <c r="Q915" s="507"/>
      <c r="R915" s="507"/>
      <c r="S915" s="507"/>
      <c r="T915" s="507"/>
      <c r="U915" s="507"/>
      <c r="V915" s="507"/>
      <c r="W915" s="507"/>
    </row>
    <row r="916" ht="35.25" customHeight="1">
      <c r="A916" s="507"/>
      <c r="B916" s="507"/>
      <c r="C916" s="507"/>
      <c r="D916" s="508"/>
      <c r="E916" s="507"/>
      <c r="F916" s="507"/>
      <c r="G916" s="507"/>
      <c r="H916" s="507"/>
      <c r="I916" s="507"/>
      <c r="J916" s="507"/>
      <c r="K916" s="507"/>
      <c r="L916" s="507"/>
      <c r="M916" s="507"/>
      <c r="N916" s="507"/>
      <c r="O916" s="507"/>
      <c r="P916" s="507"/>
      <c r="Q916" s="507"/>
      <c r="R916" s="507"/>
      <c r="S916" s="507"/>
      <c r="T916" s="507"/>
      <c r="U916" s="507"/>
      <c r="V916" s="507"/>
      <c r="W916" s="507"/>
    </row>
    <row r="917" ht="35.25" customHeight="1">
      <c r="A917" s="507"/>
      <c r="B917" s="507"/>
      <c r="C917" s="507"/>
      <c r="D917" s="508"/>
      <c r="E917" s="507"/>
      <c r="F917" s="507"/>
      <c r="G917" s="507"/>
      <c r="H917" s="507"/>
      <c r="I917" s="507"/>
      <c r="J917" s="507"/>
      <c r="K917" s="507"/>
      <c r="L917" s="507"/>
      <c r="M917" s="507"/>
      <c r="N917" s="507"/>
      <c r="O917" s="507"/>
      <c r="P917" s="507"/>
      <c r="Q917" s="507"/>
      <c r="R917" s="507"/>
      <c r="S917" s="507"/>
      <c r="T917" s="507"/>
      <c r="U917" s="507"/>
      <c r="V917" s="507"/>
      <c r="W917" s="507"/>
    </row>
    <row r="918" ht="35.25" customHeight="1">
      <c r="A918" s="507"/>
      <c r="B918" s="507"/>
      <c r="C918" s="507"/>
      <c r="D918" s="508"/>
      <c r="E918" s="507"/>
      <c r="F918" s="507"/>
      <c r="G918" s="507"/>
      <c r="H918" s="507"/>
      <c r="I918" s="507"/>
      <c r="J918" s="507"/>
      <c r="K918" s="507"/>
      <c r="L918" s="507"/>
      <c r="M918" s="507"/>
      <c r="N918" s="507"/>
      <c r="O918" s="507"/>
      <c r="P918" s="507"/>
      <c r="Q918" s="507"/>
      <c r="R918" s="507"/>
      <c r="S918" s="507"/>
      <c r="T918" s="507"/>
      <c r="U918" s="507"/>
      <c r="V918" s="507"/>
      <c r="W918" s="507"/>
    </row>
    <row r="919" ht="35.25" customHeight="1">
      <c r="A919" s="507"/>
      <c r="B919" s="507"/>
      <c r="C919" s="507"/>
      <c r="D919" s="508"/>
      <c r="E919" s="507"/>
      <c r="F919" s="507"/>
      <c r="G919" s="507"/>
      <c r="H919" s="507"/>
      <c r="I919" s="507"/>
      <c r="J919" s="507"/>
      <c r="K919" s="507"/>
      <c r="L919" s="507"/>
      <c r="M919" s="507"/>
      <c r="N919" s="507"/>
      <c r="O919" s="507"/>
      <c r="P919" s="507"/>
      <c r="Q919" s="507"/>
      <c r="R919" s="507"/>
      <c r="S919" s="507"/>
      <c r="T919" s="507"/>
      <c r="U919" s="507"/>
      <c r="V919" s="507"/>
      <c r="W919" s="507"/>
    </row>
    <row r="920" ht="35.25" customHeight="1">
      <c r="A920" s="507"/>
      <c r="B920" s="507"/>
      <c r="C920" s="507"/>
      <c r="D920" s="508"/>
      <c r="E920" s="507"/>
      <c r="F920" s="507"/>
      <c r="G920" s="507"/>
      <c r="H920" s="507"/>
      <c r="I920" s="507"/>
      <c r="J920" s="507"/>
      <c r="K920" s="507"/>
      <c r="L920" s="507"/>
      <c r="M920" s="507"/>
      <c r="N920" s="507"/>
      <c r="O920" s="507"/>
      <c r="P920" s="507"/>
      <c r="Q920" s="507"/>
      <c r="R920" s="507"/>
      <c r="S920" s="507"/>
      <c r="T920" s="507"/>
      <c r="U920" s="507"/>
      <c r="V920" s="507"/>
      <c r="W920" s="507"/>
    </row>
    <row r="921" ht="35.25" customHeight="1">
      <c r="A921" s="507"/>
      <c r="B921" s="507"/>
      <c r="C921" s="507"/>
      <c r="D921" s="508"/>
      <c r="E921" s="507"/>
      <c r="F921" s="507"/>
      <c r="G921" s="507"/>
      <c r="H921" s="507"/>
      <c r="I921" s="507"/>
      <c r="J921" s="507"/>
      <c r="K921" s="507"/>
      <c r="L921" s="507"/>
      <c r="M921" s="507"/>
      <c r="N921" s="507"/>
      <c r="O921" s="507"/>
      <c r="P921" s="507"/>
      <c r="Q921" s="507"/>
      <c r="R921" s="507"/>
      <c r="S921" s="507"/>
      <c r="T921" s="507"/>
      <c r="U921" s="507"/>
      <c r="V921" s="507"/>
      <c r="W921" s="507"/>
    </row>
    <row r="922" ht="35.25" customHeight="1">
      <c r="A922" s="507"/>
      <c r="B922" s="507"/>
      <c r="C922" s="507"/>
      <c r="D922" s="508"/>
      <c r="E922" s="507"/>
      <c r="F922" s="507"/>
      <c r="G922" s="507"/>
      <c r="H922" s="507"/>
      <c r="I922" s="507"/>
      <c r="J922" s="507"/>
      <c r="K922" s="507"/>
      <c r="L922" s="507"/>
      <c r="M922" s="507"/>
      <c r="N922" s="507"/>
      <c r="O922" s="507"/>
      <c r="P922" s="507"/>
      <c r="Q922" s="507"/>
      <c r="R922" s="507"/>
      <c r="S922" s="507"/>
      <c r="T922" s="507"/>
      <c r="U922" s="507"/>
      <c r="V922" s="507"/>
      <c r="W922" s="507"/>
    </row>
    <row r="923" ht="35.25" customHeight="1">
      <c r="A923" s="507"/>
      <c r="B923" s="507"/>
      <c r="C923" s="507"/>
      <c r="D923" s="508"/>
      <c r="E923" s="507"/>
      <c r="F923" s="507"/>
      <c r="G923" s="507"/>
      <c r="H923" s="507"/>
      <c r="I923" s="507"/>
      <c r="J923" s="507"/>
      <c r="K923" s="507"/>
      <c r="L923" s="507"/>
      <c r="M923" s="507"/>
      <c r="N923" s="507"/>
      <c r="O923" s="507"/>
      <c r="P923" s="507"/>
      <c r="Q923" s="507"/>
      <c r="R923" s="507"/>
      <c r="S923" s="507"/>
      <c r="T923" s="507"/>
      <c r="U923" s="507"/>
      <c r="V923" s="507"/>
      <c r="W923" s="507"/>
    </row>
    <row r="924" ht="35.25" customHeight="1">
      <c r="A924" s="507"/>
      <c r="B924" s="507"/>
      <c r="C924" s="507"/>
      <c r="D924" s="508"/>
      <c r="E924" s="507"/>
      <c r="F924" s="507"/>
      <c r="G924" s="507"/>
      <c r="H924" s="507"/>
      <c r="I924" s="507"/>
      <c r="J924" s="507"/>
      <c r="K924" s="507"/>
      <c r="L924" s="507"/>
      <c r="M924" s="507"/>
      <c r="N924" s="507"/>
      <c r="O924" s="507"/>
      <c r="P924" s="507"/>
      <c r="Q924" s="507"/>
      <c r="R924" s="507"/>
      <c r="S924" s="507"/>
      <c r="T924" s="507"/>
      <c r="U924" s="507"/>
      <c r="V924" s="507"/>
      <c r="W924" s="507"/>
    </row>
    <row r="925" ht="35.25" customHeight="1">
      <c r="A925" s="507"/>
      <c r="B925" s="507"/>
      <c r="C925" s="507"/>
      <c r="D925" s="508"/>
      <c r="E925" s="507"/>
      <c r="F925" s="507"/>
      <c r="G925" s="507"/>
      <c r="H925" s="507"/>
      <c r="I925" s="507"/>
      <c r="J925" s="507"/>
      <c r="K925" s="507"/>
      <c r="L925" s="507"/>
      <c r="M925" s="507"/>
      <c r="N925" s="507"/>
      <c r="O925" s="507"/>
      <c r="P925" s="507"/>
      <c r="Q925" s="507"/>
      <c r="R925" s="507"/>
      <c r="S925" s="507"/>
      <c r="T925" s="507"/>
      <c r="U925" s="507"/>
      <c r="V925" s="507"/>
      <c r="W925" s="507"/>
    </row>
    <row r="926" ht="35.25" customHeight="1">
      <c r="A926" s="507"/>
      <c r="B926" s="507"/>
      <c r="C926" s="507"/>
      <c r="D926" s="508"/>
      <c r="E926" s="507"/>
      <c r="F926" s="507"/>
      <c r="G926" s="507"/>
      <c r="H926" s="507"/>
      <c r="I926" s="507"/>
      <c r="J926" s="507"/>
      <c r="K926" s="507"/>
      <c r="L926" s="507"/>
      <c r="M926" s="507"/>
      <c r="N926" s="507"/>
      <c r="O926" s="507"/>
      <c r="P926" s="507"/>
      <c r="Q926" s="507"/>
      <c r="R926" s="507"/>
      <c r="S926" s="507"/>
      <c r="T926" s="507"/>
      <c r="U926" s="507"/>
      <c r="V926" s="507"/>
      <c r="W926" s="507"/>
    </row>
    <row r="927" ht="35.25" customHeight="1">
      <c r="A927" s="507"/>
      <c r="B927" s="507"/>
      <c r="C927" s="507"/>
      <c r="D927" s="508"/>
      <c r="E927" s="507"/>
      <c r="F927" s="507"/>
      <c r="G927" s="507"/>
      <c r="H927" s="507"/>
      <c r="I927" s="507"/>
      <c r="J927" s="507"/>
      <c r="K927" s="507"/>
      <c r="L927" s="507"/>
      <c r="M927" s="507"/>
      <c r="N927" s="507"/>
      <c r="O927" s="507"/>
      <c r="P927" s="507"/>
      <c r="Q927" s="507"/>
      <c r="R927" s="507"/>
      <c r="S927" s="507"/>
      <c r="T927" s="507"/>
      <c r="U927" s="507"/>
      <c r="V927" s="507"/>
      <c r="W927" s="507"/>
    </row>
    <row r="928" ht="35.25" customHeight="1">
      <c r="A928" s="507"/>
      <c r="B928" s="507"/>
      <c r="C928" s="507"/>
      <c r="D928" s="508"/>
      <c r="E928" s="507"/>
      <c r="F928" s="507"/>
      <c r="G928" s="507"/>
      <c r="H928" s="507"/>
      <c r="I928" s="507"/>
      <c r="J928" s="507"/>
      <c r="K928" s="507"/>
      <c r="L928" s="507"/>
      <c r="M928" s="507"/>
      <c r="N928" s="507"/>
      <c r="O928" s="507"/>
      <c r="P928" s="507"/>
      <c r="Q928" s="507"/>
      <c r="R928" s="507"/>
      <c r="S928" s="507"/>
      <c r="T928" s="507"/>
      <c r="U928" s="507"/>
      <c r="V928" s="507"/>
      <c r="W928" s="507"/>
    </row>
    <row r="929" ht="35.25" customHeight="1">
      <c r="A929" s="507"/>
      <c r="B929" s="507"/>
      <c r="C929" s="507"/>
      <c r="D929" s="508"/>
      <c r="E929" s="507"/>
      <c r="F929" s="507"/>
      <c r="G929" s="507"/>
      <c r="H929" s="507"/>
      <c r="I929" s="507"/>
      <c r="J929" s="507"/>
      <c r="K929" s="507"/>
      <c r="L929" s="507"/>
      <c r="M929" s="507"/>
      <c r="N929" s="507"/>
      <c r="O929" s="507"/>
      <c r="P929" s="507"/>
      <c r="Q929" s="507"/>
      <c r="R929" s="507"/>
      <c r="S929" s="507"/>
      <c r="T929" s="507"/>
      <c r="U929" s="507"/>
      <c r="V929" s="507"/>
      <c r="W929" s="507"/>
    </row>
    <row r="930" ht="35.25" customHeight="1">
      <c r="A930" s="507"/>
      <c r="B930" s="507"/>
      <c r="C930" s="507"/>
      <c r="D930" s="508"/>
      <c r="E930" s="507"/>
      <c r="F930" s="507"/>
      <c r="G930" s="507"/>
      <c r="H930" s="507"/>
      <c r="I930" s="507"/>
      <c r="J930" s="507"/>
      <c r="K930" s="507"/>
      <c r="L930" s="507"/>
      <c r="M930" s="507"/>
      <c r="N930" s="507"/>
      <c r="O930" s="507"/>
      <c r="P930" s="507"/>
      <c r="Q930" s="507"/>
      <c r="R930" s="507"/>
      <c r="S930" s="507"/>
      <c r="T930" s="507"/>
      <c r="U930" s="507"/>
      <c r="V930" s="507"/>
      <c r="W930" s="507"/>
    </row>
    <row r="931" ht="35.25" customHeight="1">
      <c r="A931" s="507"/>
      <c r="B931" s="507"/>
      <c r="C931" s="507"/>
      <c r="D931" s="508"/>
      <c r="E931" s="507"/>
      <c r="F931" s="507"/>
      <c r="G931" s="507"/>
      <c r="H931" s="507"/>
      <c r="I931" s="507"/>
      <c r="J931" s="507"/>
      <c r="K931" s="507"/>
      <c r="L931" s="507"/>
      <c r="M931" s="507"/>
      <c r="N931" s="507"/>
      <c r="O931" s="507"/>
      <c r="P931" s="507"/>
      <c r="Q931" s="507"/>
      <c r="R931" s="507"/>
      <c r="S931" s="507"/>
      <c r="T931" s="507"/>
      <c r="U931" s="507"/>
      <c r="V931" s="507"/>
      <c r="W931" s="507"/>
    </row>
    <row r="932" ht="35.25" customHeight="1">
      <c r="A932" s="507"/>
      <c r="B932" s="507"/>
      <c r="C932" s="507"/>
      <c r="D932" s="508"/>
      <c r="E932" s="507"/>
      <c r="F932" s="507"/>
      <c r="G932" s="507"/>
      <c r="H932" s="507"/>
      <c r="I932" s="507"/>
      <c r="J932" s="507"/>
      <c r="K932" s="507"/>
      <c r="L932" s="507"/>
      <c r="M932" s="507"/>
      <c r="N932" s="507"/>
      <c r="O932" s="507"/>
      <c r="P932" s="507"/>
      <c r="Q932" s="507"/>
      <c r="R932" s="507"/>
      <c r="S932" s="507"/>
      <c r="T932" s="507"/>
      <c r="U932" s="507"/>
      <c r="V932" s="507"/>
      <c r="W932" s="507"/>
    </row>
    <row r="933" ht="35.25" customHeight="1">
      <c r="A933" s="507"/>
      <c r="B933" s="507"/>
      <c r="C933" s="507"/>
      <c r="D933" s="508"/>
      <c r="E933" s="507"/>
      <c r="F933" s="507"/>
      <c r="G933" s="507"/>
      <c r="H933" s="507"/>
      <c r="I933" s="507"/>
      <c r="J933" s="507"/>
      <c r="K933" s="507"/>
      <c r="L933" s="507"/>
      <c r="M933" s="507"/>
      <c r="N933" s="507"/>
      <c r="O933" s="507"/>
      <c r="P933" s="507"/>
      <c r="Q933" s="507"/>
      <c r="R933" s="507"/>
      <c r="S933" s="507"/>
      <c r="T933" s="507"/>
      <c r="U933" s="507"/>
      <c r="V933" s="507"/>
      <c r="W933" s="507"/>
    </row>
    <row r="934" ht="35.25" customHeight="1">
      <c r="A934" s="507"/>
      <c r="B934" s="507"/>
      <c r="C934" s="507"/>
      <c r="D934" s="508"/>
      <c r="E934" s="507"/>
      <c r="F934" s="507"/>
      <c r="G934" s="507"/>
      <c r="H934" s="507"/>
      <c r="I934" s="507"/>
      <c r="J934" s="507"/>
      <c r="K934" s="507"/>
      <c r="L934" s="507"/>
      <c r="M934" s="507"/>
      <c r="N934" s="507"/>
      <c r="O934" s="507"/>
      <c r="P934" s="507"/>
      <c r="Q934" s="507"/>
      <c r="R934" s="507"/>
      <c r="S934" s="507"/>
      <c r="T934" s="507"/>
      <c r="U934" s="507"/>
      <c r="V934" s="507"/>
      <c r="W934" s="507"/>
    </row>
    <row r="935" ht="35.25" customHeight="1">
      <c r="A935" s="507"/>
      <c r="B935" s="507"/>
      <c r="C935" s="507"/>
      <c r="D935" s="508"/>
      <c r="E935" s="507"/>
      <c r="F935" s="507"/>
      <c r="G935" s="507"/>
      <c r="H935" s="507"/>
      <c r="I935" s="507"/>
      <c r="J935" s="507"/>
      <c r="K935" s="507"/>
      <c r="L935" s="507"/>
      <c r="M935" s="507"/>
      <c r="N935" s="507"/>
      <c r="O935" s="507"/>
      <c r="P935" s="507"/>
      <c r="Q935" s="507"/>
      <c r="R935" s="507"/>
      <c r="S935" s="507"/>
      <c r="T935" s="507"/>
      <c r="U935" s="507"/>
      <c r="V935" s="507"/>
      <c r="W935" s="507"/>
    </row>
    <row r="936" ht="35.25" customHeight="1">
      <c r="A936" s="507"/>
      <c r="B936" s="507"/>
      <c r="C936" s="507"/>
      <c r="D936" s="508"/>
      <c r="E936" s="507"/>
      <c r="F936" s="507"/>
      <c r="G936" s="507"/>
      <c r="H936" s="507"/>
      <c r="I936" s="507"/>
      <c r="J936" s="507"/>
      <c r="K936" s="507"/>
      <c r="L936" s="507"/>
      <c r="M936" s="507"/>
      <c r="N936" s="507"/>
      <c r="O936" s="507"/>
      <c r="P936" s="507"/>
      <c r="Q936" s="507"/>
      <c r="R936" s="507"/>
      <c r="S936" s="507"/>
      <c r="T936" s="507"/>
      <c r="U936" s="507"/>
      <c r="V936" s="507"/>
      <c r="W936" s="507"/>
    </row>
    <row r="937" ht="35.25" customHeight="1">
      <c r="A937" s="507"/>
      <c r="B937" s="507"/>
      <c r="C937" s="507"/>
      <c r="D937" s="508"/>
      <c r="E937" s="507"/>
      <c r="F937" s="507"/>
      <c r="G937" s="507"/>
      <c r="H937" s="507"/>
      <c r="I937" s="507"/>
      <c r="J937" s="507"/>
      <c r="K937" s="507"/>
      <c r="L937" s="507"/>
      <c r="M937" s="507"/>
      <c r="N937" s="507"/>
      <c r="O937" s="507"/>
      <c r="P937" s="507"/>
      <c r="Q937" s="507"/>
      <c r="R937" s="507"/>
      <c r="S937" s="507"/>
      <c r="T937" s="507"/>
      <c r="U937" s="507"/>
      <c r="V937" s="507"/>
      <c r="W937" s="507"/>
    </row>
    <row r="938" ht="35.25" customHeight="1">
      <c r="A938" s="507"/>
      <c r="B938" s="507"/>
      <c r="C938" s="507"/>
      <c r="D938" s="508"/>
      <c r="E938" s="507"/>
      <c r="F938" s="507"/>
      <c r="G938" s="507"/>
      <c r="H938" s="507"/>
      <c r="I938" s="507"/>
      <c r="J938" s="507"/>
      <c r="K938" s="507"/>
      <c r="L938" s="507"/>
      <c r="M938" s="507"/>
      <c r="N938" s="507"/>
      <c r="O938" s="507"/>
      <c r="P938" s="507"/>
      <c r="Q938" s="507"/>
      <c r="R938" s="507"/>
      <c r="S938" s="507"/>
      <c r="T938" s="507"/>
      <c r="U938" s="507"/>
      <c r="V938" s="507"/>
      <c r="W938" s="507"/>
    </row>
    <row r="939" ht="35.25" customHeight="1">
      <c r="A939" s="507"/>
      <c r="B939" s="507"/>
      <c r="C939" s="507"/>
      <c r="D939" s="508"/>
      <c r="E939" s="507"/>
      <c r="F939" s="507"/>
      <c r="G939" s="507"/>
      <c r="H939" s="507"/>
      <c r="I939" s="507"/>
      <c r="J939" s="507"/>
      <c r="K939" s="507"/>
      <c r="L939" s="507"/>
      <c r="M939" s="507"/>
      <c r="N939" s="507"/>
      <c r="O939" s="507"/>
      <c r="P939" s="507"/>
      <c r="Q939" s="507"/>
      <c r="R939" s="507"/>
      <c r="S939" s="507"/>
      <c r="T939" s="507"/>
      <c r="U939" s="507"/>
      <c r="V939" s="507"/>
      <c r="W939" s="507"/>
    </row>
    <row r="940" ht="35.25" customHeight="1">
      <c r="A940" s="507"/>
      <c r="B940" s="507"/>
      <c r="C940" s="507"/>
      <c r="D940" s="508"/>
      <c r="E940" s="507"/>
      <c r="F940" s="507"/>
      <c r="G940" s="507"/>
      <c r="H940" s="507"/>
      <c r="I940" s="507"/>
      <c r="J940" s="507"/>
      <c r="K940" s="507"/>
      <c r="L940" s="507"/>
      <c r="M940" s="507"/>
      <c r="N940" s="507"/>
      <c r="O940" s="507"/>
      <c r="P940" s="507"/>
      <c r="Q940" s="507"/>
      <c r="R940" s="507"/>
      <c r="S940" s="507"/>
      <c r="T940" s="507"/>
      <c r="U940" s="507"/>
      <c r="V940" s="507"/>
      <c r="W940" s="507"/>
    </row>
    <row r="941" ht="35.25" customHeight="1">
      <c r="A941" s="507"/>
      <c r="B941" s="507"/>
      <c r="C941" s="507"/>
      <c r="D941" s="508"/>
      <c r="E941" s="507"/>
      <c r="F941" s="507"/>
      <c r="G941" s="507"/>
      <c r="H941" s="507"/>
      <c r="I941" s="507"/>
      <c r="J941" s="507"/>
      <c r="K941" s="507"/>
      <c r="L941" s="507"/>
      <c r="M941" s="507"/>
      <c r="N941" s="507"/>
      <c r="O941" s="507"/>
      <c r="P941" s="507"/>
      <c r="Q941" s="507"/>
      <c r="R941" s="507"/>
      <c r="S941" s="507"/>
      <c r="T941" s="507"/>
      <c r="U941" s="507"/>
      <c r="V941" s="507"/>
      <c r="W941" s="507"/>
    </row>
    <row r="942" ht="35.25" customHeight="1">
      <c r="A942" s="507"/>
      <c r="B942" s="507"/>
      <c r="C942" s="507"/>
      <c r="D942" s="508"/>
      <c r="E942" s="507"/>
      <c r="F942" s="507"/>
      <c r="G942" s="507"/>
      <c r="H942" s="507"/>
      <c r="I942" s="507"/>
      <c r="J942" s="507"/>
      <c r="K942" s="507"/>
      <c r="L942" s="507"/>
      <c r="M942" s="507"/>
      <c r="N942" s="507"/>
      <c r="O942" s="507"/>
      <c r="P942" s="507"/>
      <c r="Q942" s="507"/>
      <c r="R942" s="507"/>
      <c r="S942" s="507"/>
      <c r="T942" s="507"/>
      <c r="U942" s="507"/>
      <c r="V942" s="507"/>
      <c r="W942" s="507"/>
    </row>
    <row r="943" ht="35.25" customHeight="1">
      <c r="A943" s="507"/>
      <c r="B943" s="507"/>
      <c r="C943" s="507"/>
      <c r="D943" s="508"/>
      <c r="E943" s="507"/>
      <c r="F943" s="507"/>
      <c r="G943" s="507"/>
      <c r="H943" s="507"/>
      <c r="I943" s="507"/>
      <c r="J943" s="507"/>
      <c r="K943" s="507"/>
      <c r="L943" s="507"/>
      <c r="M943" s="507"/>
      <c r="N943" s="507"/>
      <c r="O943" s="507"/>
      <c r="P943" s="507"/>
      <c r="Q943" s="507"/>
      <c r="R943" s="507"/>
      <c r="S943" s="507"/>
      <c r="T943" s="507"/>
      <c r="U943" s="507"/>
      <c r="V943" s="507"/>
      <c r="W943" s="507"/>
    </row>
    <row r="944" ht="35.25" customHeight="1">
      <c r="A944" s="507"/>
      <c r="B944" s="507"/>
      <c r="C944" s="507"/>
      <c r="D944" s="508"/>
      <c r="E944" s="507"/>
      <c r="F944" s="507"/>
      <c r="G944" s="507"/>
      <c r="H944" s="507"/>
      <c r="I944" s="507"/>
      <c r="J944" s="507"/>
      <c r="K944" s="507"/>
      <c r="L944" s="507"/>
      <c r="M944" s="507"/>
      <c r="N944" s="507"/>
      <c r="O944" s="507"/>
      <c r="P944" s="507"/>
      <c r="Q944" s="507"/>
      <c r="R944" s="507"/>
      <c r="S944" s="507"/>
      <c r="T944" s="507"/>
      <c r="U944" s="507"/>
      <c r="V944" s="507"/>
      <c r="W944" s="507"/>
    </row>
    <row r="945" ht="35.25" customHeight="1">
      <c r="A945" s="507"/>
      <c r="B945" s="507"/>
      <c r="C945" s="507"/>
      <c r="D945" s="508"/>
      <c r="E945" s="507"/>
      <c r="F945" s="507"/>
      <c r="G945" s="507"/>
      <c r="H945" s="507"/>
      <c r="I945" s="507"/>
      <c r="J945" s="507"/>
      <c r="K945" s="507"/>
      <c r="L945" s="507"/>
      <c r="M945" s="507"/>
      <c r="N945" s="507"/>
      <c r="O945" s="507"/>
      <c r="P945" s="507"/>
      <c r="Q945" s="507"/>
      <c r="R945" s="507"/>
      <c r="S945" s="507"/>
      <c r="T945" s="507"/>
      <c r="U945" s="507"/>
      <c r="V945" s="507"/>
      <c r="W945" s="507"/>
    </row>
    <row r="946" ht="35.25" customHeight="1">
      <c r="A946" s="507"/>
      <c r="B946" s="507"/>
      <c r="C946" s="507"/>
      <c r="D946" s="508"/>
      <c r="E946" s="507"/>
      <c r="F946" s="507"/>
      <c r="G946" s="507"/>
      <c r="H946" s="507"/>
      <c r="I946" s="507"/>
      <c r="J946" s="507"/>
      <c r="K946" s="507"/>
      <c r="L946" s="507"/>
      <c r="M946" s="507"/>
      <c r="N946" s="507"/>
      <c r="O946" s="507"/>
      <c r="P946" s="507"/>
      <c r="Q946" s="507"/>
      <c r="R946" s="507"/>
      <c r="S946" s="507"/>
      <c r="T946" s="507"/>
      <c r="U946" s="507"/>
      <c r="V946" s="507"/>
      <c r="W946" s="507"/>
    </row>
    <row r="947" ht="35.25" customHeight="1">
      <c r="A947" s="507"/>
      <c r="B947" s="507"/>
      <c r="C947" s="507"/>
      <c r="D947" s="508"/>
      <c r="E947" s="507"/>
      <c r="F947" s="507"/>
      <c r="G947" s="507"/>
      <c r="H947" s="507"/>
      <c r="I947" s="507"/>
      <c r="J947" s="507"/>
      <c r="K947" s="507"/>
      <c r="L947" s="507"/>
      <c r="M947" s="507"/>
      <c r="N947" s="507"/>
      <c r="O947" s="507"/>
      <c r="P947" s="507"/>
      <c r="Q947" s="507"/>
      <c r="R947" s="507"/>
      <c r="S947" s="507"/>
      <c r="T947" s="507"/>
      <c r="U947" s="507"/>
      <c r="V947" s="507"/>
      <c r="W947" s="507"/>
    </row>
    <row r="948" ht="35.25" customHeight="1">
      <c r="A948" s="507"/>
      <c r="B948" s="507"/>
      <c r="C948" s="507"/>
      <c r="D948" s="508"/>
      <c r="E948" s="507"/>
      <c r="F948" s="507"/>
      <c r="G948" s="507"/>
      <c r="H948" s="507"/>
      <c r="I948" s="507"/>
      <c r="J948" s="507"/>
      <c r="K948" s="507"/>
      <c r="L948" s="507"/>
      <c r="M948" s="507"/>
      <c r="N948" s="507"/>
      <c r="O948" s="507"/>
      <c r="P948" s="507"/>
      <c r="Q948" s="507"/>
      <c r="R948" s="507"/>
      <c r="S948" s="507"/>
      <c r="T948" s="507"/>
      <c r="U948" s="507"/>
      <c r="V948" s="507"/>
      <c r="W948" s="507"/>
    </row>
    <row r="949" ht="35.25" customHeight="1">
      <c r="A949" s="507"/>
      <c r="B949" s="507"/>
      <c r="C949" s="507"/>
      <c r="D949" s="508"/>
      <c r="E949" s="507"/>
      <c r="F949" s="507"/>
      <c r="G949" s="507"/>
      <c r="H949" s="507"/>
      <c r="I949" s="507"/>
      <c r="J949" s="507"/>
      <c r="K949" s="507"/>
      <c r="L949" s="507"/>
      <c r="M949" s="507"/>
      <c r="N949" s="507"/>
      <c r="O949" s="507"/>
      <c r="P949" s="507"/>
      <c r="Q949" s="507"/>
      <c r="R949" s="507"/>
      <c r="S949" s="507"/>
      <c r="T949" s="507"/>
      <c r="U949" s="507"/>
      <c r="V949" s="507"/>
      <c r="W949" s="507"/>
    </row>
    <row r="950" ht="35.25" customHeight="1">
      <c r="A950" s="507"/>
      <c r="B950" s="507"/>
      <c r="C950" s="507"/>
      <c r="D950" s="508"/>
      <c r="E950" s="507"/>
      <c r="F950" s="507"/>
      <c r="G950" s="507"/>
      <c r="H950" s="507"/>
      <c r="I950" s="507"/>
      <c r="J950" s="507"/>
      <c r="K950" s="507"/>
      <c r="L950" s="507"/>
      <c r="M950" s="507"/>
      <c r="N950" s="507"/>
      <c r="O950" s="507"/>
      <c r="P950" s="507"/>
      <c r="Q950" s="507"/>
      <c r="R950" s="507"/>
      <c r="S950" s="507"/>
      <c r="T950" s="507"/>
      <c r="U950" s="507"/>
      <c r="V950" s="507"/>
      <c r="W950" s="507"/>
    </row>
    <row r="951" ht="35.25" customHeight="1">
      <c r="A951" s="507"/>
      <c r="B951" s="507"/>
      <c r="C951" s="507"/>
      <c r="D951" s="508"/>
      <c r="E951" s="507"/>
      <c r="F951" s="507"/>
      <c r="G951" s="507"/>
      <c r="H951" s="507"/>
      <c r="I951" s="507"/>
      <c r="J951" s="507"/>
      <c r="K951" s="507"/>
      <c r="L951" s="507"/>
      <c r="M951" s="507"/>
      <c r="N951" s="507"/>
      <c r="O951" s="507"/>
      <c r="P951" s="507"/>
      <c r="Q951" s="507"/>
      <c r="R951" s="507"/>
      <c r="S951" s="507"/>
      <c r="T951" s="507"/>
      <c r="U951" s="507"/>
      <c r="V951" s="507"/>
      <c r="W951" s="507"/>
    </row>
    <row r="952" ht="35.25" customHeight="1">
      <c r="A952" s="507"/>
      <c r="B952" s="507"/>
      <c r="C952" s="507"/>
      <c r="D952" s="508"/>
      <c r="E952" s="507"/>
      <c r="F952" s="507"/>
      <c r="G952" s="507"/>
      <c r="H952" s="507"/>
      <c r="I952" s="507"/>
      <c r="J952" s="507"/>
      <c r="K952" s="507"/>
      <c r="L952" s="507"/>
      <c r="M952" s="507"/>
      <c r="N952" s="507"/>
      <c r="O952" s="507"/>
      <c r="P952" s="507"/>
      <c r="Q952" s="507"/>
      <c r="R952" s="507"/>
      <c r="S952" s="507"/>
      <c r="T952" s="507"/>
      <c r="U952" s="507"/>
      <c r="V952" s="507"/>
      <c r="W952" s="507"/>
    </row>
    <row r="953" ht="35.25" customHeight="1">
      <c r="A953" s="507"/>
      <c r="B953" s="507"/>
      <c r="C953" s="507"/>
      <c r="D953" s="508"/>
      <c r="E953" s="507"/>
      <c r="F953" s="507"/>
      <c r="G953" s="507"/>
      <c r="H953" s="507"/>
      <c r="I953" s="507"/>
      <c r="J953" s="507"/>
      <c r="K953" s="507"/>
      <c r="L953" s="507"/>
      <c r="M953" s="507"/>
      <c r="N953" s="507"/>
      <c r="O953" s="507"/>
      <c r="P953" s="507"/>
      <c r="Q953" s="507"/>
      <c r="R953" s="507"/>
      <c r="S953" s="507"/>
      <c r="T953" s="507"/>
      <c r="U953" s="507"/>
      <c r="V953" s="507"/>
      <c r="W953" s="507"/>
    </row>
    <row r="954" ht="35.25" customHeight="1">
      <c r="A954" s="507"/>
      <c r="B954" s="507"/>
      <c r="C954" s="507"/>
      <c r="D954" s="508"/>
      <c r="E954" s="507"/>
      <c r="F954" s="507"/>
      <c r="G954" s="507"/>
      <c r="H954" s="507"/>
      <c r="I954" s="507"/>
      <c r="J954" s="507"/>
      <c r="K954" s="507"/>
      <c r="L954" s="507"/>
      <c r="M954" s="507"/>
      <c r="N954" s="507"/>
      <c r="O954" s="507"/>
      <c r="P954" s="507"/>
      <c r="Q954" s="507"/>
      <c r="R954" s="507"/>
      <c r="S954" s="507"/>
      <c r="T954" s="507"/>
      <c r="U954" s="507"/>
      <c r="V954" s="507"/>
      <c r="W954" s="507"/>
    </row>
    <row r="955" ht="35.25" customHeight="1">
      <c r="A955" s="507"/>
      <c r="B955" s="507"/>
      <c r="C955" s="507"/>
      <c r="D955" s="508"/>
      <c r="E955" s="507"/>
      <c r="F955" s="507"/>
      <c r="G955" s="507"/>
      <c r="H955" s="507"/>
      <c r="I955" s="507"/>
      <c r="J955" s="507"/>
      <c r="K955" s="507"/>
      <c r="L955" s="507"/>
      <c r="M955" s="507"/>
      <c r="N955" s="507"/>
      <c r="O955" s="507"/>
      <c r="P955" s="507"/>
      <c r="Q955" s="507"/>
      <c r="R955" s="507"/>
      <c r="S955" s="507"/>
      <c r="T955" s="507"/>
      <c r="U955" s="507"/>
      <c r="V955" s="507"/>
      <c r="W955" s="507"/>
    </row>
    <row r="956" ht="35.25" customHeight="1">
      <c r="A956" s="507"/>
      <c r="B956" s="507"/>
      <c r="C956" s="507"/>
      <c r="D956" s="508"/>
      <c r="E956" s="507"/>
      <c r="F956" s="507"/>
      <c r="G956" s="507"/>
      <c r="H956" s="507"/>
      <c r="I956" s="507"/>
      <c r="J956" s="507"/>
      <c r="K956" s="507"/>
      <c r="L956" s="507"/>
      <c r="M956" s="507"/>
      <c r="N956" s="507"/>
      <c r="O956" s="507"/>
      <c r="P956" s="507"/>
      <c r="Q956" s="507"/>
      <c r="R956" s="507"/>
      <c r="S956" s="507"/>
      <c r="T956" s="507"/>
      <c r="U956" s="507"/>
      <c r="V956" s="507"/>
      <c r="W956" s="507"/>
    </row>
    <row r="957" ht="35.25" customHeight="1">
      <c r="A957" s="507"/>
      <c r="B957" s="507"/>
      <c r="C957" s="507"/>
      <c r="D957" s="508"/>
      <c r="E957" s="507"/>
      <c r="F957" s="507"/>
      <c r="G957" s="507"/>
      <c r="H957" s="507"/>
      <c r="I957" s="507"/>
      <c r="J957" s="507"/>
      <c r="K957" s="507"/>
      <c r="L957" s="507"/>
      <c r="M957" s="507"/>
      <c r="N957" s="507"/>
      <c r="O957" s="507"/>
      <c r="P957" s="507"/>
      <c r="Q957" s="507"/>
      <c r="R957" s="507"/>
      <c r="S957" s="507"/>
      <c r="T957" s="507"/>
      <c r="U957" s="507"/>
      <c r="V957" s="507"/>
      <c r="W957" s="507"/>
    </row>
    <row r="958" ht="35.25" customHeight="1">
      <c r="A958" s="507"/>
      <c r="B958" s="507"/>
      <c r="C958" s="507"/>
      <c r="D958" s="508"/>
      <c r="E958" s="507"/>
      <c r="F958" s="507"/>
      <c r="G958" s="507"/>
      <c r="H958" s="507"/>
      <c r="I958" s="507"/>
      <c r="J958" s="507"/>
      <c r="K958" s="507"/>
      <c r="L958" s="507"/>
      <c r="M958" s="507"/>
      <c r="N958" s="507"/>
      <c r="O958" s="507"/>
      <c r="P958" s="507"/>
      <c r="Q958" s="507"/>
      <c r="R958" s="507"/>
      <c r="S958" s="507"/>
      <c r="T958" s="507"/>
      <c r="U958" s="507"/>
      <c r="V958" s="507"/>
      <c r="W958" s="507"/>
    </row>
    <row r="959" ht="35.25" customHeight="1">
      <c r="A959" s="507"/>
      <c r="B959" s="507"/>
      <c r="C959" s="507"/>
      <c r="D959" s="508"/>
      <c r="E959" s="507"/>
      <c r="F959" s="507"/>
      <c r="G959" s="507"/>
      <c r="H959" s="507"/>
      <c r="I959" s="507"/>
      <c r="J959" s="507"/>
      <c r="K959" s="507"/>
      <c r="L959" s="507"/>
      <c r="M959" s="507"/>
      <c r="N959" s="507"/>
      <c r="O959" s="507"/>
      <c r="P959" s="507"/>
      <c r="Q959" s="507"/>
      <c r="R959" s="507"/>
      <c r="S959" s="507"/>
      <c r="T959" s="507"/>
      <c r="U959" s="507"/>
      <c r="V959" s="507"/>
      <c r="W959" s="507"/>
    </row>
    <row r="960" ht="35.25" customHeight="1">
      <c r="A960" s="507"/>
      <c r="B960" s="507"/>
      <c r="C960" s="507"/>
      <c r="D960" s="508"/>
      <c r="E960" s="507"/>
      <c r="F960" s="507"/>
      <c r="G960" s="507"/>
      <c r="H960" s="507"/>
      <c r="I960" s="507"/>
      <c r="J960" s="507"/>
      <c r="K960" s="507"/>
      <c r="L960" s="507"/>
      <c r="M960" s="507"/>
      <c r="N960" s="507"/>
      <c r="O960" s="507"/>
      <c r="P960" s="507"/>
      <c r="Q960" s="507"/>
      <c r="R960" s="507"/>
      <c r="S960" s="507"/>
      <c r="T960" s="507"/>
      <c r="U960" s="507"/>
      <c r="V960" s="507"/>
      <c r="W960" s="507"/>
    </row>
    <row r="961" ht="35.25" customHeight="1">
      <c r="A961" s="507"/>
      <c r="B961" s="507"/>
      <c r="C961" s="507"/>
      <c r="D961" s="508"/>
      <c r="E961" s="507"/>
      <c r="F961" s="507"/>
      <c r="G961" s="507"/>
      <c r="H961" s="507"/>
      <c r="I961" s="507"/>
      <c r="J961" s="507"/>
      <c r="K961" s="507"/>
      <c r="L961" s="507"/>
      <c r="M961" s="507"/>
      <c r="N961" s="507"/>
      <c r="O961" s="507"/>
      <c r="P961" s="507"/>
      <c r="Q961" s="507"/>
      <c r="R961" s="507"/>
      <c r="S961" s="507"/>
      <c r="T961" s="507"/>
      <c r="U961" s="507"/>
      <c r="V961" s="507"/>
      <c r="W961" s="507"/>
    </row>
    <row r="962" ht="35.25" customHeight="1">
      <c r="A962" s="507"/>
      <c r="B962" s="507"/>
      <c r="C962" s="507"/>
      <c r="D962" s="508"/>
      <c r="E962" s="507"/>
      <c r="F962" s="507"/>
      <c r="G962" s="507"/>
      <c r="H962" s="507"/>
      <c r="I962" s="507"/>
      <c r="J962" s="507"/>
      <c r="K962" s="507"/>
      <c r="L962" s="507"/>
      <c r="M962" s="507"/>
      <c r="N962" s="507"/>
      <c r="O962" s="507"/>
      <c r="P962" s="507"/>
      <c r="Q962" s="507"/>
      <c r="R962" s="507"/>
      <c r="S962" s="507"/>
      <c r="T962" s="507"/>
      <c r="U962" s="507"/>
      <c r="V962" s="507"/>
      <c r="W962" s="507"/>
    </row>
    <row r="963" ht="35.25" customHeight="1">
      <c r="A963" s="507"/>
      <c r="B963" s="507"/>
      <c r="C963" s="507"/>
      <c r="D963" s="508"/>
      <c r="E963" s="507"/>
      <c r="F963" s="507"/>
      <c r="G963" s="507"/>
      <c r="H963" s="507"/>
      <c r="I963" s="507"/>
      <c r="J963" s="507"/>
      <c r="K963" s="507"/>
      <c r="L963" s="507"/>
      <c r="M963" s="507"/>
      <c r="N963" s="507"/>
      <c r="O963" s="507"/>
      <c r="P963" s="507"/>
      <c r="Q963" s="507"/>
      <c r="R963" s="507"/>
      <c r="S963" s="507"/>
      <c r="T963" s="507"/>
      <c r="U963" s="507"/>
      <c r="V963" s="507"/>
      <c r="W963" s="507"/>
    </row>
    <row r="964" ht="35.25" customHeight="1">
      <c r="A964" s="507"/>
      <c r="B964" s="507"/>
      <c r="C964" s="507"/>
      <c r="D964" s="508"/>
      <c r="E964" s="507"/>
      <c r="F964" s="507"/>
      <c r="G964" s="507"/>
      <c r="H964" s="507"/>
      <c r="I964" s="507"/>
      <c r="J964" s="507"/>
      <c r="K964" s="507"/>
      <c r="L964" s="507"/>
      <c r="M964" s="507"/>
      <c r="N964" s="507"/>
      <c r="O964" s="507"/>
      <c r="P964" s="507"/>
      <c r="Q964" s="507"/>
      <c r="R964" s="507"/>
      <c r="S964" s="507"/>
      <c r="T964" s="507"/>
      <c r="U964" s="507"/>
      <c r="V964" s="507"/>
      <c r="W964" s="507"/>
    </row>
    <row r="965" ht="35.25" customHeight="1">
      <c r="A965" s="507"/>
      <c r="B965" s="507"/>
      <c r="C965" s="507"/>
      <c r="D965" s="508"/>
      <c r="E965" s="507"/>
      <c r="F965" s="507"/>
      <c r="G965" s="507"/>
      <c r="H965" s="507"/>
      <c r="I965" s="507"/>
      <c r="J965" s="507"/>
      <c r="K965" s="507"/>
      <c r="L965" s="507"/>
      <c r="M965" s="507"/>
      <c r="N965" s="507"/>
      <c r="O965" s="507"/>
      <c r="P965" s="507"/>
      <c r="Q965" s="507"/>
      <c r="R965" s="507"/>
      <c r="S965" s="507"/>
      <c r="T965" s="507"/>
      <c r="U965" s="507"/>
      <c r="V965" s="507"/>
      <c r="W965" s="507"/>
    </row>
    <row r="966" ht="35.25" customHeight="1">
      <c r="A966" s="507"/>
      <c r="B966" s="507"/>
      <c r="C966" s="507"/>
      <c r="D966" s="508"/>
      <c r="E966" s="507"/>
      <c r="F966" s="507"/>
      <c r="G966" s="507"/>
      <c r="H966" s="507"/>
      <c r="I966" s="507"/>
      <c r="J966" s="507"/>
      <c r="K966" s="507"/>
      <c r="L966" s="507"/>
      <c r="M966" s="507"/>
      <c r="N966" s="507"/>
      <c r="O966" s="507"/>
      <c r="P966" s="507"/>
      <c r="Q966" s="507"/>
      <c r="R966" s="507"/>
      <c r="S966" s="507"/>
      <c r="T966" s="507"/>
      <c r="U966" s="507"/>
      <c r="V966" s="507"/>
      <c r="W966" s="507"/>
    </row>
    <row r="967" ht="35.25" customHeight="1">
      <c r="A967" s="507"/>
      <c r="B967" s="507"/>
      <c r="C967" s="507"/>
      <c r="D967" s="508"/>
      <c r="E967" s="507"/>
      <c r="F967" s="507"/>
      <c r="G967" s="507"/>
      <c r="H967" s="507"/>
      <c r="I967" s="507"/>
      <c r="J967" s="507"/>
      <c r="K967" s="507"/>
      <c r="L967" s="507"/>
      <c r="M967" s="507"/>
      <c r="N967" s="507"/>
      <c r="O967" s="507"/>
      <c r="P967" s="507"/>
      <c r="Q967" s="507"/>
      <c r="R967" s="507"/>
      <c r="S967" s="507"/>
      <c r="T967" s="507"/>
      <c r="U967" s="507"/>
      <c r="V967" s="507"/>
      <c r="W967" s="507"/>
    </row>
    <row r="968" ht="35.25" customHeight="1">
      <c r="A968" s="507"/>
      <c r="B968" s="507"/>
      <c r="C968" s="507"/>
      <c r="D968" s="508"/>
      <c r="E968" s="507"/>
      <c r="F968" s="507"/>
      <c r="G968" s="507"/>
      <c r="H968" s="507"/>
      <c r="I968" s="507"/>
      <c r="J968" s="507"/>
      <c r="K968" s="507"/>
      <c r="L968" s="507"/>
      <c r="M968" s="507"/>
      <c r="N968" s="507"/>
      <c r="O968" s="507"/>
      <c r="P968" s="507"/>
      <c r="Q968" s="507"/>
      <c r="R968" s="507"/>
      <c r="S968" s="507"/>
      <c r="T968" s="507"/>
      <c r="U968" s="507"/>
      <c r="V968" s="507"/>
      <c r="W968" s="507"/>
    </row>
    <row r="969" ht="35.25" customHeight="1">
      <c r="A969" s="507"/>
      <c r="B969" s="507"/>
      <c r="C969" s="507"/>
      <c r="D969" s="508"/>
      <c r="E969" s="507"/>
      <c r="F969" s="507"/>
      <c r="G969" s="507"/>
      <c r="H969" s="507"/>
      <c r="I969" s="507"/>
      <c r="J969" s="507"/>
      <c r="K969" s="507"/>
      <c r="L969" s="507"/>
      <c r="M969" s="507"/>
      <c r="N969" s="507"/>
      <c r="O969" s="507"/>
      <c r="P969" s="507"/>
      <c r="Q969" s="507"/>
      <c r="R969" s="507"/>
      <c r="S969" s="507"/>
      <c r="T969" s="507"/>
      <c r="U969" s="507"/>
      <c r="V969" s="507"/>
      <c r="W969" s="507"/>
    </row>
    <row r="970" ht="35.25" customHeight="1">
      <c r="A970" s="507"/>
      <c r="B970" s="507"/>
      <c r="C970" s="507"/>
      <c r="D970" s="508"/>
      <c r="E970" s="507"/>
      <c r="F970" s="507"/>
      <c r="G970" s="507"/>
      <c r="H970" s="507"/>
      <c r="I970" s="507"/>
      <c r="J970" s="507"/>
      <c r="K970" s="507"/>
      <c r="L970" s="507"/>
      <c r="M970" s="507"/>
      <c r="N970" s="507"/>
      <c r="O970" s="507"/>
      <c r="P970" s="507"/>
      <c r="Q970" s="507"/>
      <c r="R970" s="507"/>
      <c r="S970" s="507"/>
      <c r="T970" s="507"/>
      <c r="U970" s="507"/>
      <c r="V970" s="507"/>
      <c r="W970" s="507"/>
    </row>
    <row r="971" ht="35.25" customHeight="1">
      <c r="A971" s="507"/>
      <c r="B971" s="507"/>
      <c r="C971" s="507"/>
      <c r="D971" s="508"/>
      <c r="E971" s="507"/>
      <c r="F971" s="507"/>
      <c r="G971" s="507"/>
      <c r="H971" s="507"/>
      <c r="I971" s="507"/>
      <c r="J971" s="507"/>
      <c r="K971" s="507"/>
      <c r="L971" s="507"/>
      <c r="M971" s="507"/>
      <c r="N971" s="507"/>
      <c r="O971" s="507"/>
      <c r="P971" s="507"/>
      <c r="Q971" s="507"/>
      <c r="R971" s="507"/>
      <c r="S971" s="507"/>
      <c r="T971" s="507"/>
      <c r="U971" s="507"/>
      <c r="V971" s="507"/>
      <c r="W971" s="507"/>
    </row>
    <row r="972" ht="35.25" customHeight="1">
      <c r="A972" s="507"/>
      <c r="B972" s="507"/>
      <c r="C972" s="507"/>
      <c r="D972" s="508"/>
      <c r="E972" s="507"/>
      <c r="F972" s="507"/>
      <c r="G972" s="507"/>
      <c r="H972" s="507"/>
      <c r="I972" s="507"/>
      <c r="J972" s="507"/>
      <c r="K972" s="507"/>
      <c r="L972" s="507"/>
      <c r="M972" s="507"/>
      <c r="N972" s="507"/>
      <c r="O972" s="507"/>
      <c r="P972" s="507"/>
      <c r="Q972" s="507"/>
      <c r="R972" s="507"/>
      <c r="S972" s="507"/>
      <c r="T972" s="507"/>
      <c r="U972" s="507"/>
      <c r="V972" s="507"/>
      <c r="W972" s="507"/>
    </row>
    <row r="973" ht="35.25" customHeight="1">
      <c r="A973" s="507"/>
      <c r="B973" s="507"/>
      <c r="C973" s="507"/>
      <c r="D973" s="508"/>
      <c r="E973" s="507"/>
      <c r="F973" s="507"/>
      <c r="G973" s="507"/>
      <c r="H973" s="507"/>
      <c r="I973" s="507"/>
      <c r="J973" s="507"/>
      <c r="K973" s="507"/>
      <c r="L973" s="507"/>
      <c r="M973" s="507"/>
      <c r="N973" s="507"/>
      <c r="O973" s="507"/>
      <c r="P973" s="507"/>
      <c r="Q973" s="507"/>
      <c r="R973" s="507"/>
      <c r="S973" s="507"/>
      <c r="T973" s="507"/>
      <c r="U973" s="507"/>
      <c r="V973" s="507"/>
      <c r="W973" s="507"/>
    </row>
    <row r="974" ht="35.25" customHeight="1">
      <c r="A974" s="507"/>
      <c r="B974" s="507"/>
      <c r="C974" s="507"/>
      <c r="D974" s="508"/>
      <c r="E974" s="507"/>
      <c r="F974" s="507"/>
      <c r="G974" s="507"/>
      <c r="H974" s="507"/>
      <c r="I974" s="507"/>
      <c r="J974" s="507"/>
      <c r="K974" s="507"/>
      <c r="L974" s="507"/>
      <c r="M974" s="507"/>
      <c r="N974" s="507"/>
      <c r="O974" s="507"/>
      <c r="P974" s="507"/>
      <c r="Q974" s="507"/>
      <c r="R974" s="507"/>
      <c r="S974" s="507"/>
      <c r="T974" s="507"/>
      <c r="U974" s="507"/>
      <c r="V974" s="507"/>
      <c r="W974" s="507"/>
    </row>
    <row r="975" ht="35.25" customHeight="1">
      <c r="A975" s="507"/>
      <c r="B975" s="507"/>
      <c r="C975" s="507"/>
      <c r="D975" s="508"/>
      <c r="E975" s="507"/>
      <c r="F975" s="507"/>
      <c r="G975" s="507"/>
      <c r="H975" s="507"/>
      <c r="I975" s="507"/>
      <c r="J975" s="507"/>
      <c r="K975" s="507"/>
      <c r="L975" s="507"/>
      <c r="M975" s="507"/>
      <c r="N975" s="507"/>
      <c r="O975" s="507"/>
      <c r="P975" s="507"/>
      <c r="Q975" s="507"/>
      <c r="R975" s="507"/>
      <c r="S975" s="507"/>
      <c r="T975" s="507"/>
      <c r="U975" s="507"/>
      <c r="V975" s="507"/>
      <c r="W975" s="507"/>
    </row>
    <row r="976" ht="35.25" customHeight="1">
      <c r="A976" s="507"/>
      <c r="B976" s="507"/>
      <c r="C976" s="507"/>
      <c r="D976" s="508"/>
      <c r="E976" s="507"/>
      <c r="F976" s="507"/>
      <c r="G976" s="507"/>
      <c r="H976" s="507"/>
      <c r="I976" s="507"/>
      <c r="J976" s="507"/>
      <c r="K976" s="507"/>
      <c r="L976" s="507"/>
      <c r="M976" s="507"/>
      <c r="N976" s="507"/>
      <c r="O976" s="507"/>
      <c r="P976" s="507"/>
      <c r="Q976" s="507"/>
      <c r="R976" s="507"/>
      <c r="S976" s="507"/>
      <c r="T976" s="507"/>
      <c r="U976" s="507"/>
      <c r="V976" s="507"/>
      <c r="W976" s="507"/>
    </row>
    <row r="977" ht="35.25" customHeight="1">
      <c r="A977" s="507"/>
      <c r="B977" s="507"/>
      <c r="C977" s="507"/>
      <c r="D977" s="508"/>
      <c r="E977" s="507"/>
      <c r="F977" s="507"/>
      <c r="G977" s="507"/>
      <c r="H977" s="507"/>
      <c r="I977" s="507"/>
      <c r="J977" s="507"/>
      <c r="K977" s="507"/>
      <c r="L977" s="507"/>
      <c r="M977" s="507"/>
      <c r="N977" s="507"/>
      <c r="O977" s="507"/>
      <c r="P977" s="507"/>
      <c r="Q977" s="507"/>
      <c r="R977" s="507"/>
      <c r="S977" s="507"/>
      <c r="T977" s="507"/>
      <c r="U977" s="507"/>
      <c r="V977" s="507"/>
      <c r="W977" s="507"/>
    </row>
    <row r="978" ht="35.25" customHeight="1">
      <c r="A978" s="507"/>
      <c r="B978" s="507"/>
      <c r="C978" s="507"/>
      <c r="D978" s="508"/>
      <c r="E978" s="507"/>
      <c r="F978" s="507"/>
      <c r="G978" s="507"/>
      <c r="H978" s="507"/>
      <c r="I978" s="507"/>
      <c r="J978" s="507"/>
      <c r="K978" s="507"/>
      <c r="L978" s="507"/>
      <c r="M978" s="507"/>
      <c r="N978" s="507"/>
      <c r="O978" s="507"/>
      <c r="P978" s="507"/>
      <c r="Q978" s="507"/>
      <c r="R978" s="507"/>
      <c r="S978" s="507"/>
      <c r="T978" s="507"/>
      <c r="U978" s="507"/>
      <c r="V978" s="507"/>
      <c r="W978" s="507"/>
    </row>
    <row r="979" ht="35.25" customHeight="1">
      <c r="A979" s="507"/>
      <c r="B979" s="507"/>
      <c r="C979" s="507"/>
      <c r="D979" s="508"/>
      <c r="E979" s="507"/>
      <c r="F979" s="507"/>
      <c r="G979" s="507"/>
      <c r="H979" s="507"/>
      <c r="I979" s="507"/>
      <c r="J979" s="507"/>
      <c r="K979" s="507"/>
      <c r="L979" s="507"/>
      <c r="M979" s="507"/>
      <c r="N979" s="507"/>
      <c r="O979" s="507"/>
      <c r="P979" s="507"/>
      <c r="Q979" s="507"/>
      <c r="R979" s="507"/>
      <c r="S979" s="507"/>
      <c r="T979" s="507"/>
      <c r="U979" s="507"/>
      <c r="V979" s="507"/>
      <c r="W979" s="507"/>
    </row>
    <row r="980" ht="35.25" customHeight="1">
      <c r="A980" s="507"/>
      <c r="B980" s="507"/>
      <c r="C980" s="507"/>
      <c r="D980" s="508"/>
      <c r="E980" s="507"/>
      <c r="F980" s="507"/>
      <c r="G980" s="507"/>
      <c r="H980" s="507"/>
      <c r="I980" s="507"/>
      <c r="J980" s="507"/>
      <c r="K980" s="507"/>
      <c r="L980" s="507"/>
      <c r="M980" s="507"/>
      <c r="N980" s="507"/>
      <c r="O980" s="507"/>
      <c r="P980" s="507"/>
      <c r="Q980" s="507"/>
      <c r="R980" s="507"/>
      <c r="S980" s="507"/>
      <c r="T980" s="507"/>
      <c r="U980" s="507"/>
      <c r="V980" s="507"/>
      <c r="W980" s="507"/>
    </row>
    <row r="981" ht="35.25" customHeight="1">
      <c r="A981" s="507"/>
      <c r="B981" s="507"/>
      <c r="C981" s="507"/>
      <c r="D981" s="508"/>
      <c r="E981" s="507"/>
      <c r="F981" s="507"/>
      <c r="G981" s="507"/>
      <c r="H981" s="507"/>
      <c r="I981" s="507"/>
      <c r="J981" s="507"/>
      <c r="K981" s="507"/>
      <c r="L981" s="507"/>
      <c r="M981" s="507"/>
      <c r="N981" s="507"/>
      <c r="O981" s="507"/>
      <c r="P981" s="507"/>
      <c r="Q981" s="507"/>
      <c r="R981" s="507"/>
      <c r="S981" s="507"/>
      <c r="T981" s="507"/>
      <c r="U981" s="507"/>
      <c r="V981" s="507"/>
      <c r="W981" s="507"/>
    </row>
    <row r="982" ht="35.25" customHeight="1">
      <c r="A982" s="507"/>
      <c r="B982" s="507"/>
      <c r="C982" s="507"/>
      <c r="D982" s="508"/>
      <c r="E982" s="507"/>
      <c r="F982" s="507"/>
      <c r="G982" s="507"/>
      <c r="H982" s="507"/>
      <c r="I982" s="507"/>
      <c r="J982" s="507"/>
      <c r="K982" s="507"/>
      <c r="L982" s="507"/>
      <c r="M982" s="507"/>
      <c r="N982" s="507"/>
      <c r="O982" s="507"/>
      <c r="P982" s="507"/>
      <c r="Q982" s="507"/>
      <c r="R982" s="507"/>
      <c r="S982" s="507"/>
      <c r="T982" s="507"/>
      <c r="U982" s="507"/>
      <c r="V982" s="507"/>
      <c r="W982" s="507"/>
    </row>
    <row r="983" ht="35.25" customHeight="1">
      <c r="A983" s="507"/>
      <c r="B983" s="507"/>
      <c r="C983" s="507"/>
      <c r="D983" s="508"/>
      <c r="E983" s="507"/>
      <c r="F983" s="507"/>
      <c r="G983" s="507"/>
      <c r="H983" s="507"/>
      <c r="I983" s="507"/>
      <c r="J983" s="507"/>
      <c r="K983" s="507"/>
      <c r="L983" s="507"/>
      <c r="M983" s="507"/>
      <c r="N983" s="507"/>
      <c r="O983" s="507"/>
      <c r="P983" s="507"/>
      <c r="Q983" s="507"/>
      <c r="R983" s="507"/>
      <c r="S983" s="507"/>
      <c r="T983" s="507"/>
      <c r="U983" s="507"/>
      <c r="V983" s="507"/>
      <c r="W983" s="507"/>
    </row>
    <row r="984" ht="35.25" customHeight="1">
      <c r="A984" s="507"/>
      <c r="B984" s="507"/>
      <c r="C984" s="507"/>
      <c r="D984" s="508"/>
      <c r="E984" s="507"/>
      <c r="F984" s="507"/>
      <c r="G984" s="507"/>
      <c r="H984" s="507"/>
      <c r="I984" s="507"/>
      <c r="J984" s="507"/>
      <c r="K984" s="507"/>
      <c r="L984" s="507"/>
      <c r="M984" s="507"/>
      <c r="N984" s="507"/>
      <c r="O984" s="507"/>
      <c r="P984" s="507"/>
      <c r="Q984" s="507"/>
      <c r="R984" s="507"/>
      <c r="S984" s="507"/>
      <c r="T984" s="507"/>
      <c r="U984" s="507"/>
      <c r="V984" s="507"/>
      <c r="W984" s="507"/>
    </row>
    <row r="985" ht="35.25" customHeight="1">
      <c r="A985" s="507"/>
      <c r="B985" s="507"/>
      <c r="C985" s="507"/>
      <c r="D985" s="508"/>
      <c r="E985" s="507"/>
      <c r="F985" s="507"/>
      <c r="G985" s="507"/>
      <c r="H985" s="507"/>
      <c r="I985" s="507"/>
      <c r="J985" s="507"/>
      <c r="K985" s="507"/>
      <c r="L985" s="507"/>
      <c r="M985" s="507"/>
      <c r="N985" s="507"/>
      <c r="O985" s="507"/>
      <c r="P985" s="507"/>
      <c r="Q985" s="507"/>
      <c r="R985" s="507"/>
      <c r="S985" s="507"/>
      <c r="T985" s="507"/>
      <c r="U985" s="507"/>
      <c r="V985" s="507"/>
      <c r="W985" s="507"/>
    </row>
    <row r="986" ht="35.25" customHeight="1">
      <c r="A986" s="507"/>
      <c r="B986" s="507"/>
      <c r="C986" s="507"/>
      <c r="D986" s="508"/>
      <c r="E986" s="507"/>
      <c r="F986" s="507"/>
      <c r="G986" s="507"/>
      <c r="H986" s="507"/>
      <c r="I986" s="507"/>
      <c r="J986" s="507"/>
      <c r="K986" s="507"/>
      <c r="L986" s="507"/>
      <c r="M986" s="507"/>
      <c r="N986" s="507"/>
      <c r="O986" s="507"/>
      <c r="P986" s="507"/>
      <c r="Q986" s="507"/>
      <c r="R986" s="507"/>
      <c r="S986" s="507"/>
      <c r="T986" s="507"/>
      <c r="U986" s="507"/>
      <c r="V986" s="507"/>
      <c r="W986" s="507"/>
    </row>
    <row r="987" ht="35.25" customHeight="1">
      <c r="A987" s="507"/>
      <c r="B987" s="507"/>
      <c r="C987" s="507"/>
      <c r="D987" s="508"/>
      <c r="E987" s="507"/>
      <c r="F987" s="507"/>
      <c r="G987" s="507"/>
      <c r="H987" s="507"/>
      <c r="I987" s="507"/>
      <c r="J987" s="507"/>
      <c r="K987" s="507"/>
      <c r="L987" s="507"/>
      <c r="M987" s="507"/>
      <c r="N987" s="507"/>
      <c r="O987" s="507"/>
      <c r="P987" s="507"/>
      <c r="Q987" s="507"/>
      <c r="R987" s="507"/>
      <c r="S987" s="507"/>
      <c r="T987" s="507"/>
      <c r="U987" s="507"/>
      <c r="V987" s="507"/>
      <c r="W987" s="507"/>
    </row>
    <row r="988" ht="35.25" customHeight="1">
      <c r="A988" s="507"/>
      <c r="B988" s="507"/>
      <c r="C988" s="507"/>
      <c r="D988" s="508"/>
      <c r="E988" s="507"/>
      <c r="F988" s="507"/>
      <c r="G988" s="507"/>
      <c r="H988" s="507"/>
      <c r="I988" s="507"/>
      <c r="J988" s="507"/>
      <c r="K988" s="507"/>
      <c r="L988" s="507"/>
      <c r="M988" s="507"/>
      <c r="N988" s="507"/>
      <c r="O988" s="507"/>
      <c r="P988" s="507"/>
      <c r="Q988" s="507"/>
      <c r="R988" s="507"/>
      <c r="S988" s="507"/>
      <c r="T988" s="507"/>
      <c r="U988" s="507"/>
      <c r="V988" s="507"/>
      <c r="W988" s="507"/>
    </row>
    <row r="989" ht="35.25" customHeight="1">
      <c r="A989" s="507"/>
      <c r="B989" s="507"/>
      <c r="C989" s="507"/>
      <c r="D989" s="508"/>
      <c r="E989" s="507"/>
      <c r="F989" s="507"/>
      <c r="G989" s="507"/>
      <c r="H989" s="507"/>
      <c r="I989" s="507"/>
      <c r="J989" s="507"/>
      <c r="K989" s="507"/>
      <c r="L989" s="507"/>
      <c r="M989" s="507"/>
      <c r="N989" s="507"/>
      <c r="O989" s="507"/>
      <c r="P989" s="507"/>
      <c r="Q989" s="507"/>
      <c r="R989" s="507"/>
      <c r="S989" s="507"/>
      <c r="T989" s="507"/>
      <c r="U989" s="507"/>
      <c r="V989" s="507"/>
      <c r="W989" s="507"/>
    </row>
    <row r="990" ht="35.25" customHeight="1">
      <c r="A990" s="507"/>
      <c r="B990" s="507"/>
      <c r="C990" s="507"/>
      <c r="D990" s="508"/>
      <c r="E990" s="507"/>
      <c r="F990" s="507"/>
      <c r="G990" s="507"/>
      <c r="H990" s="507"/>
      <c r="I990" s="507"/>
      <c r="J990" s="507"/>
      <c r="K990" s="507"/>
      <c r="L990" s="507"/>
      <c r="M990" s="507"/>
      <c r="N990" s="507"/>
      <c r="O990" s="507"/>
      <c r="P990" s="507"/>
      <c r="Q990" s="507"/>
      <c r="R990" s="507"/>
      <c r="S990" s="507"/>
      <c r="T990" s="507"/>
      <c r="U990" s="507"/>
      <c r="V990" s="507"/>
      <c r="W990" s="507"/>
    </row>
    <row r="991" ht="35.25" customHeight="1">
      <c r="A991" s="507"/>
      <c r="B991" s="507"/>
      <c r="C991" s="507"/>
      <c r="D991" s="508"/>
      <c r="E991" s="507"/>
      <c r="F991" s="507"/>
      <c r="G991" s="507"/>
      <c r="H991" s="507"/>
      <c r="I991" s="507"/>
      <c r="J991" s="507"/>
      <c r="K991" s="507"/>
      <c r="L991" s="507"/>
      <c r="M991" s="507"/>
      <c r="N991" s="507"/>
      <c r="O991" s="507"/>
      <c r="P991" s="507"/>
      <c r="Q991" s="507"/>
      <c r="R991" s="507"/>
      <c r="S991" s="507"/>
      <c r="T991" s="507"/>
      <c r="U991" s="507"/>
      <c r="V991" s="507"/>
      <c r="W991" s="507"/>
    </row>
    <row r="992" ht="35.25" customHeight="1">
      <c r="A992" s="507"/>
      <c r="B992" s="507"/>
      <c r="C992" s="507"/>
      <c r="D992" s="508"/>
      <c r="E992" s="507"/>
      <c r="F992" s="507"/>
      <c r="G992" s="507"/>
      <c r="H992" s="507"/>
      <c r="I992" s="507"/>
      <c r="J992" s="507"/>
      <c r="K992" s="507"/>
      <c r="L992" s="507"/>
      <c r="M992" s="507"/>
      <c r="N992" s="507"/>
      <c r="O992" s="507"/>
      <c r="P992" s="507"/>
      <c r="Q992" s="507"/>
      <c r="R992" s="507"/>
      <c r="S992" s="507"/>
      <c r="T992" s="507"/>
      <c r="U992" s="507"/>
      <c r="V992" s="507"/>
      <c r="W992" s="507"/>
    </row>
    <row r="993" ht="35.25" customHeight="1">
      <c r="A993" s="507"/>
      <c r="B993" s="507"/>
      <c r="C993" s="507"/>
      <c r="D993" s="508"/>
      <c r="E993" s="507"/>
      <c r="F993" s="507"/>
      <c r="G993" s="507"/>
      <c r="H993" s="507"/>
      <c r="I993" s="507"/>
      <c r="J993" s="507"/>
      <c r="K993" s="507"/>
      <c r="L993" s="507"/>
      <c r="M993" s="507"/>
      <c r="N993" s="507"/>
      <c r="O993" s="507"/>
      <c r="P993" s="507"/>
      <c r="Q993" s="507"/>
      <c r="R993" s="507"/>
      <c r="S993" s="507"/>
      <c r="T993" s="507"/>
      <c r="U993" s="507"/>
      <c r="V993" s="507"/>
      <c r="W993" s="507"/>
    </row>
    <row r="994" ht="35.25" customHeight="1">
      <c r="A994" s="507"/>
      <c r="B994" s="507"/>
      <c r="C994" s="507"/>
      <c r="D994" s="508"/>
      <c r="E994" s="507"/>
      <c r="F994" s="507"/>
      <c r="G994" s="507"/>
      <c r="H994" s="507"/>
      <c r="I994" s="507"/>
      <c r="J994" s="507"/>
      <c r="K994" s="507"/>
      <c r="L994" s="507"/>
      <c r="M994" s="507"/>
      <c r="N994" s="507"/>
      <c r="O994" s="507"/>
      <c r="P994" s="507"/>
      <c r="Q994" s="507"/>
      <c r="R994" s="507"/>
      <c r="S994" s="507"/>
      <c r="T994" s="507"/>
      <c r="U994" s="507"/>
      <c r="V994" s="507"/>
      <c r="W994" s="507"/>
    </row>
    <row r="995" ht="35.25" customHeight="1">
      <c r="A995" s="507"/>
      <c r="B995" s="507"/>
      <c r="C995" s="507"/>
      <c r="D995" s="508"/>
      <c r="E995" s="507"/>
      <c r="F995" s="507"/>
      <c r="G995" s="507"/>
      <c r="H995" s="507"/>
      <c r="I995" s="507"/>
      <c r="J995" s="507"/>
      <c r="K995" s="507"/>
      <c r="L995" s="507"/>
      <c r="M995" s="507"/>
      <c r="N995" s="507"/>
      <c r="O995" s="507"/>
      <c r="P995" s="507"/>
      <c r="Q995" s="507"/>
      <c r="R995" s="507"/>
      <c r="S995" s="507"/>
      <c r="T995" s="507"/>
      <c r="U995" s="507"/>
      <c r="V995" s="507"/>
      <c r="W995" s="507"/>
    </row>
    <row r="996" ht="35.25" customHeight="1">
      <c r="A996" s="507"/>
      <c r="B996" s="507"/>
      <c r="C996" s="507"/>
      <c r="D996" s="508"/>
      <c r="E996" s="507"/>
      <c r="F996" s="507"/>
      <c r="G996" s="507"/>
      <c r="H996" s="507"/>
      <c r="I996" s="507"/>
      <c r="J996" s="507"/>
      <c r="K996" s="507"/>
      <c r="L996" s="507"/>
      <c r="M996" s="507"/>
      <c r="N996" s="507"/>
      <c r="O996" s="507"/>
      <c r="P996" s="507"/>
      <c r="Q996" s="507"/>
      <c r="R996" s="507"/>
      <c r="S996" s="507"/>
      <c r="T996" s="507"/>
      <c r="U996" s="507"/>
      <c r="V996" s="507"/>
      <c r="W996" s="507"/>
    </row>
    <row r="997" ht="35.25" customHeight="1">
      <c r="A997" s="507"/>
      <c r="B997" s="507"/>
      <c r="C997" s="507"/>
      <c r="D997" s="508"/>
      <c r="E997" s="507"/>
      <c r="F997" s="507"/>
      <c r="G997" s="507"/>
      <c r="H997" s="507"/>
      <c r="I997" s="507"/>
      <c r="J997" s="507"/>
      <c r="K997" s="507"/>
      <c r="L997" s="507"/>
      <c r="M997" s="507"/>
      <c r="N997" s="507"/>
      <c r="O997" s="507"/>
      <c r="P997" s="507"/>
      <c r="Q997" s="507"/>
      <c r="R997" s="507"/>
      <c r="S997" s="507"/>
      <c r="T997" s="507"/>
      <c r="U997" s="507"/>
      <c r="V997" s="507"/>
      <c r="W997" s="507"/>
    </row>
    <row r="998" ht="35.25" customHeight="1">
      <c r="A998" s="507"/>
      <c r="B998" s="507"/>
      <c r="C998" s="507"/>
      <c r="D998" s="508"/>
      <c r="E998" s="507"/>
      <c r="F998" s="507"/>
      <c r="G998" s="507"/>
      <c r="H998" s="507"/>
      <c r="I998" s="507"/>
      <c r="J998" s="507"/>
      <c r="K998" s="507"/>
      <c r="L998" s="507"/>
      <c r="M998" s="507"/>
      <c r="N998" s="507"/>
      <c r="O998" s="507"/>
      <c r="P998" s="507"/>
      <c r="Q998" s="507"/>
      <c r="R998" s="507"/>
      <c r="S998" s="507"/>
      <c r="T998" s="507"/>
      <c r="U998" s="507"/>
      <c r="V998" s="507"/>
      <c r="W998" s="507"/>
    </row>
    <row r="999" ht="35.25" customHeight="1">
      <c r="A999" s="507"/>
      <c r="B999" s="507"/>
      <c r="C999" s="507"/>
      <c r="D999" s="508"/>
      <c r="E999" s="507"/>
      <c r="F999" s="507"/>
      <c r="G999" s="507"/>
      <c r="H999" s="507"/>
      <c r="I999" s="507"/>
      <c r="J999" s="507"/>
      <c r="K999" s="507"/>
      <c r="L999" s="507"/>
      <c r="M999" s="507"/>
      <c r="N999" s="507"/>
      <c r="O999" s="507"/>
      <c r="P999" s="507"/>
      <c r="Q999" s="507"/>
      <c r="R999" s="507"/>
      <c r="S999" s="507"/>
      <c r="T999" s="507"/>
      <c r="U999" s="507"/>
      <c r="V999" s="507"/>
      <c r="W999" s="507"/>
    </row>
    <row r="1000" ht="35.25" customHeight="1">
      <c r="A1000" s="507"/>
      <c r="B1000" s="507"/>
      <c r="C1000" s="507"/>
      <c r="D1000" s="508"/>
      <c r="E1000" s="507"/>
      <c r="F1000" s="507"/>
      <c r="G1000" s="507"/>
      <c r="H1000" s="507"/>
      <c r="I1000" s="507"/>
      <c r="J1000" s="507"/>
      <c r="K1000" s="507"/>
      <c r="L1000" s="507"/>
      <c r="M1000" s="507"/>
      <c r="N1000" s="507"/>
      <c r="O1000" s="507"/>
      <c r="P1000" s="507"/>
      <c r="Q1000" s="507"/>
      <c r="R1000" s="507"/>
      <c r="S1000" s="507"/>
      <c r="T1000" s="507"/>
      <c r="U1000" s="507"/>
      <c r="V1000" s="507"/>
      <c r="W1000" s="507"/>
    </row>
    <row r="1001" ht="35.25" customHeight="1">
      <c r="A1001" s="507"/>
      <c r="B1001" s="507"/>
      <c r="C1001" s="507"/>
      <c r="D1001" s="508"/>
      <c r="E1001" s="507"/>
      <c r="F1001" s="507"/>
      <c r="G1001" s="507"/>
      <c r="H1001" s="507"/>
      <c r="I1001" s="507"/>
      <c r="J1001" s="507"/>
      <c r="K1001" s="507"/>
      <c r="L1001" s="507"/>
      <c r="M1001" s="507"/>
      <c r="N1001" s="507"/>
      <c r="O1001" s="507"/>
      <c r="P1001" s="507"/>
      <c r="Q1001" s="507"/>
      <c r="R1001" s="507"/>
      <c r="S1001" s="507"/>
      <c r="T1001" s="507"/>
      <c r="U1001" s="507"/>
      <c r="V1001" s="507"/>
      <c r="W1001" s="507"/>
    </row>
    <row r="1002" ht="35.25" customHeight="1">
      <c r="A1002" s="507"/>
      <c r="B1002" s="507"/>
      <c r="C1002" s="507"/>
      <c r="D1002" s="508"/>
      <c r="E1002" s="507"/>
      <c r="F1002" s="507"/>
      <c r="G1002" s="507"/>
      <c r="H1002" s="507"/>
      <c r="I1002" s="507"/>
      <c r="J1002" s="507"/>
      <c r="K1002" s="507"/>
      <c r="L1002" s="507"/>
      <c r="M1002" s="507"/>
      <c r="N1002" s="507"/>
      <c r="O1002" s="507"/>
      <c r="P1002" s="507"/>
      <c r="Q1002" s="507"/>
      <c r="R1002" s="507"/>
      <c r="S1002" s="507"/>
      <c r="T1002" s="507"/>
      <c r="U1002" s="507"/>
      <c r="V1002" s="507"/>
      <c r="W1002" s="507"/>
    </row>
    <row r="1003" ht="35.25" customHeight="1">
      <c r="A1003" s="507"/>
      <c r="B1003" s="507"/>
      <c r="C1003" s="507"/>
      <c r="D1003" s="508"/>
      <c r="E1003" s="507"/>
      <c r="F1003" s="507"/>
      <c r="G1003" s="507"/>
      <c r="H1003" s="507"/>
      <c r="I1003" s="507"/>
      <c r="J1003" s="507"/>
      <c r="K1003" s="507"/>
      <c r="L1003" s="507"/>
      <c r="M1003" s="507"/>
      <c r="N1003" s="507"/>
      <c r="O1003" s="507"/>
      <c r="P1003" s="507"/>
      <c r="Q1003" s="507"/>
      <c r="R1003" s="507"/>
      <c r="S1003" s="507"/>
      <c r="T1003" s="507"/>
      <c r="U1003" s="507"/>
      <c r="V1003" s="507"/>
      <c r="W1003" s="507"/>
    </row>
    <row r="1004" ht="35.25" customHeight="1">
      <c r="A1004" s="507"/>
      <c r="B1004" s="507"/>
      <c r="C1004" s="507"/>
      <c r="D1004" s="508"/>
      <c r="E1004" s="507"/>
      <c r="F1004" s="507"/>
      <c r="G1004" s="507"/>
      <c r="H1004" s="507"/>
      <c r="I1004" s="507"/>
      <c r="J1004" s="507"/>
      <c r="K1004" s="507"/>
      <c r="L1004" s="507"/>
      <c r="M1004" s="507"/>
      <c r="N1004" s="507"/>
      <c r="O1004" s="507"/>
      <c r="P1004" s="507"/>
      <c r="Q1004" s="507"/>
      <c r="R1004" s="507"/>
      <c r="S1004" s="507"/>
      <c r="T1004" s="507"/>
      <c r="U1004" s="507"/>
      <c r="V1004" s="507"/>
      <c r="W1004" s="507"/>
    </row>
    <row r="1005" ht="35.25" customHeight="1">
      <c r="A1005" s="507"/>
      <c r="B1005" s="507"/>
      <c r="C1005" s="507"/>
      <c r="D1005" s="508"/>
      <c r="E1005" s="507"/>
      <c r="F1005" s="507"/>
      <c r="G1005" s="507"/>
      <c r="H1005" s="507"/>
      <c r="I1005" s="507"/>
      <c r="J1005" s="507"/>
      <c r="K1005" s="507"/>
      <c r="L1005" s="507"/>
      <c r="M1005" s="507"/>
      <c r="N1005" s="507"/>
      <c r="O1005" s="507"/>
      <c r="P1005" s="507"/>
      <c r="Q1005" s="507"/>
      <c r="R1005" s="507"/>
      <c r="S1005" s="507"/>
      <c r="T1005" s="507"/>
      <c r="U1005" s="507"/>
      <c r="V1005" s="507"/>
      <c r="W1005" s="507"/>
    </row>
    <row r="1006" ht="35.25" customHeight="1">
      <c r="A1006" s="507"/>
      <c r="B1006" s="507"/>
      <c r="C1006" s="507"/>
      <c r="D1006" s="508"/>
      <c r="E1006" s="507"/>
      <c r="F1006" s="507"/>
      <c r="G1006" s="507"/>
      <c r="H1006" s="507"/>
      <c r="I1006" s="507"/>
      <c r="J1006" s="507"/>
      <c r="K1006" s="507"/>
      <c r="L1006" s="507"/>
      <c r="M1006" s="507"/>
      <c r="N1006" s="507"/>
      <c r="O1006" s="507"/>
      <c r="P1006" s="507"/>
      <c r="Q1006" s="507"/>
      <c r="R1006" s="507"/>
      <c r="S1006" s="507"/>
      <c r="T1006" s="507"/>
      <c r="U1006" s="507"/>
      <c r="V1006" s="507"/>
      <c r="W1006" s="507"/>
    </row>
    <row r="1007" ht="35.25" customHeight="1">
      <c r="A1007" s="507"/>
      <c r="B1007" s="507"/>
      <c r="C1007" s="507"/>
      <c r="D1007" s="508"/>
      <c r="E1007" s="507"/>
      <c r="F1007" s="507"/>
      <c r="G1007" s="507"/>
      <c r="H1007" s="507"/>
      <c r="I1007" s="507"/>
      <c r="J1007" s="507"/>
      <c r="K1007" s="507"/>
      <c r="L1007" s="507"/>
      <c r="M1007" s="507"/>
      <c r="N1007" s="507"/>
      <c r="O1007" s="507"/>
      <c r="P1007" s="507"/>
      <c r="Q1007" s="507"/>
      <c r="R1007" s="507"/>
      <c r="S1007" s="507"/>
      <c r="T1007" s="507"/>
      <c r="U1007" s="507"/>
      <c r="V1007" s="507"/>
      <c r="W1007" s="507"/>
    </row>
    <row r="1008" ht="35.25" customHeight="1">
      <c r="A1008" s="507"/>
      <c r="B1008" s="507"/>
      <c r="C1008" s="507"/>
      <c r="D1008" s="508"/>
      <c r="E1008" s="507"/>
      <c r="F1008" s="507"/>
      <c r="G1008" s="507"/>
      <c r="H1008" s="507"/>
      <c r="I1008" s="507"/>
      <c r="J1008" s="507"/>
      <c r="K1008" s="507"/>
      <c r="L1008" s="507"/>
      <c r="M1008" s="507"/>
      <c r="N1008" s="507"/>
      <c r="O1008" s="507"/>
      <c r="P1008" s="507"/>
      <c r="Q1008" s="507"/>
      <c r="R1008" s="507"/>
      <c r="S1008" s="507"/>
      <c r="T1008" s="507"/>
      <c r="U1008" s="507"/>
      <c r="V1008" s="507"/>
      <c r="W1008" s="507"/>
    </row>
    <row r="1009" ht="35.25" customHeight="1">
      <c r="A1009" s="507"/>
      <c r="B1009" s="507"/>
      <c r="C1009" s="507"/>
      <c r="D1009" s="508"/>
      <c r="E1009" s="507"/>
      <c r="F1009" s="507"/>
      <c r="G1009" s="507"/>
      <c r="H1009" s="507"/>
      <c r="I1009" s="507"/>
      <c r="J1009" s="507"/>
      <c r="K1009" s="507"/>
      <c r="L1009" s="507"/>
      <c r="M1009" s="507"/>
      <c r="N1009" s="507"/>
      <c r="O1009" s="507"/>
      <c r="P1009" s="507"/>
      <c r="Q1009" s="507"/>
      <c r="R1009" s="507"/>
      <c r="S1009" s="507"/>
      <c r="T1009" s="507"/>
      <c r="U1009" s="507"/>
      <c r="V1009" s="507"/>
      <c r="W1009" s="507"/>
    </row>
    <row r="1010" ht="35.25" customHeight="1">
      <c r="A1010" s="507"/>
      <c r="B1010" s="507"/>
      <c r="C1010" s="507"/>
      <c r="D1010" s="508"/>
      <c r="E1010" s="507"/>
      <c r="F1010" s="507"/>
      <c r="G1010" s="507"/>
      <c r="H1010" s="507"/>
      <c r="I1010" s="507"/>
      <c r="J1010" s="507"/>
      <c r="K1010" s="507"/>
      <c r="L1010" s="507"/>
      <c r="M1010" s="507"/>
      <c r="N1010" s="507"/>
      <c r="O1010" s="507"/>
      <c r="P1010" s="507"/>
      <c r="Q1010" s="507"/>
      <c r="R1010" s="507"/>
      <c r="S1010" s="507"/>
      <c r="T1010" s="507"/>
      <c r="U1010" s="507"/>
      <c r="V1010" s="507"/>
      <c r="W1010" s="507"/>
    </row>
    <row r="1011" ht="35.25" customHeight="1">
      <c r="A1011" s="507"/>
      <c r="B1011" s="507"/>
      <c r="C1011" s="507"/>
      <c r="D1011" s="508"/>
      <c r="E1011" s="507"/>
      <c r="F1011" s="507"/>
      <c r="G1011" s="507"/>
      <c r="H1011" s="507"/>
      <c r="I1011" s="507"/>
      <c r="J1011" s="507"/>
      <c r="K1011" s="507"/>
      <c r="L1011" s="507"/>
      <c r="M1011" s="507"/>
      <c r="N1011" s="507"/>
      <c r="O1011" s="507"/>
      <c r="P1011" s="507"/>
      <c r="Q1011" s="507"/>
      <c r="R1011" s="507"/>
      <c r="S1011" s="507"/>
      <c r="T1011" s="507"/>
      <c r="U1011" s="507"/>
      <c r="V1011" s="507"/>
      <c r="W1011" s="507"/>
    </row>
    <row r="1012" ht="35.25" customHeight="1">
      <c r="A1012" s="507"/>
      <c r="B1012" s="507"/>
      <c r="C1012" s="507"/>
      <c r="D1012" s="508"/>
      <c r="E1012" s="507"/>
      <c r="F1012" s="507"/>
      <c r="G1012" s="507"/>
      <c r="H1012" s="507"/>
      <c r="I1012" s="507"/>
      <c r="J1012" s="507"/>
      <c r="K1012" s="507"/>
      <c r="L1012" s="507"/>
      <c r="M1012" s="507"/>
      <c r="N1012" s="507"/>
      <c r="O1012" s="507"/>
      <c r="P1012" s="507"/>
      <c r="Q1012" s="507"/>
      <c r="R1012" s="507"/>
      <c r="S1012" s="507"/>
      <c r="T1012" s="507"/>
      <c r="U1012" s="507"/>
      <c r="V1012" s="507"/>
      <c r="W1012" s="507"/>
    </row>
    <row r="1013" ht="35.25" customHeight="1">
      <c r="A1013" s="507"/>
      <c r="B1013" s="507"/>
      <c r="C1013" s="507"/>
      <c r="D1013" s="508"/>
      <c r="E1013" s="507"/>
      <c r="F1013" s="507"/>
      <c r="G1013" s="507"/>
      <c r="H1013" s="507"/>
      <c r="I1013" s="507"/>
      <c r="J1013" s="507"/>
      <c r="K1013" s="507"/>
      <c r="L1013" s="507"/>
      <c r="M1013" s="507"/>
      <c r="N1013" s="507"/>
      <c r="O1013" s="507"/>
      <c r="P1013" s="507"/>
      <c r="Q1013" s="507"/>
      <c r="R1013" s="507"/>
      <c r="S1013" s="507"/>
      <c r="T1013" s="507"/>
      <c r="U1013" s="507"/>
      <c r="V1013" s="507"/>
      <c r="W1013" s="507"/>
    </row>
    <row r="1014" ht="35.25" customHeight="1">
      <c r="A1014" s="507"/>
      <c r="B1014" s="507"/>
      <c r="C1014" s="507"/>
      <c r="D1014" s="508"/>
      <c r="E1014" s="507"/>
      <c r="F1014" s="507"/>
      <c r="G1014" s="507"/>
      <c r="H1014" s="507"/>
      <c r="I1014" s="507"/>
      <c r="J1014" s="507"/>
      <c r="K1014" s="507"/>
      <c r="L1014" s="507"/>
      <c r="M1014" s="507"/>
      <c r="N1014" s="507"/>
      <c r="O1014" s="507"/>
      <c r="P1014" s="507"/>
      <c r="Q1014" s="507"/>
      <c r="R1014" s="507"/>
      <c r="S1014" s="507"/>
      <c r="T1014" s="507"/>
      <c r="U1014" s="507"/>
      <c r="V1014" s="507"/>
      <c r="W1014" s="507"/>
    </row>
    <row r="1015" ht="35.25" customHeight="1">
      <c r="A1015" s="507"/>
      <c r="B1015" s="507"/>
      <c r="C1015" s="507"/>
      <c r="D1015" s="508"/>
      <c r="E1015" s="507"/>
      <c r="F1015" s="507"/>
      <c r="G1015" s="507"/>
      <c r="H1015" s="507"/>
      <c r="I1015" s="507"/>
      <c r="J1015" s="507"/>
      <c r="K1015" s="507"/>
      <c r="L1015" s="507"/>
      <c r="M1015" s="507"/>
      <c r="N1015" s="507"/>
      <c r="O1015" s="507"/>
      <c r="P1015" s="507"/>
      <c r="Q1015" s="507"/>
      <c r="R1015" s="507"/>
      <c r="S1015" s="507"/>
      <c r="T1015" s="507"/>
      <c r="U1015" s="507"/>
      <c r="V1015" s="507"/>
      <c r="W1015" s="507"/>
    </row>
    <row r="1016" ht="35.25" customHeight="1">
      <c r="A1016" s="507"/>
      <c r="B1016" s="507"/>
      <c r="C1016" s="507"/>
      <c r="D1016" s="508"/>
      <c r="E1016" s="507"/>
      <c r="F1016" s="507"/>
      <c r="G1016" s="507"/>
      <c r="H1016" s="507"/>
      <c r="I1016" s="507"/>
      <c r="J1016" s="507"/>
      <c r="K1016" s="507"/>
      <c r="L1016" s="507"/>
      <c r="M1016" s="507"/>
      <c r="N1016" s="507"/>
      <c r="O1016" s="507"/>
      <c r="P1016" s="507"/>
      <c r="Q1016" s="507"/>
      <c r="R1016" s="507"/>
      <c r="S1016" s="507"/>
      <c r="T1016" s="507"/>
      <c r="U1016" s="507"/>
      <c r="V1016" s="507"/>
      <c r="W1016" s="507"/>
    </row>
    <row r="1017" ht="35.25" customHeight="1">
      <c r="A1017" s="507"/>
      <c r="B1017" s="507"/>
      <c r="C1017" s="507"/>
      <c r="D1017" s="508"/>
      <c r="E1017" s="507"/>
      <c r="F1017" s="507"/>
      <c r="G1017" s="507"/>
      <c r="H1017" s="507"/>
      <c r="I1017" s="507"/>
      <c r="J1017" s="507"/>
      <c r="K1017" s="507"/>
      <c r="L1017" s="507"/>
      <c r="M1017" s="507"/>
      <c r="N1017" s="507"/>
      <c r="O1017" s="507"/>
      <c r="P1017" s="507"/>
      <c r="Q1017" s="507"/>
      <c r="R1017" s="507"/>
      <c r="S1017" s="507"/>
      <c r="T1017" s="507"/>
      <c r="U1017" s="507"/>
      <c r="V1017" s="507"/>
      <c r="W1017" s="507"/>
    </row>
    <row r="1018" ht="35.25" customHeight="1">
      <c r="A1018" s="507"/>
      <c r="B1018" s="507"/>
      <c r="C1018" s="507"/>
      <c r="D1018" s="508"/>
      <c r="E1018" s="507"/>
      <c r="F1018" s="507"/>
      <c r="G1018" s="507"/>
      <c r="H1018" s="507"/>
      <c r="I1018" s="507"/>
      <c r="J1018" s="507"/>
      <c r="K1018" s="507"/>
      <c r="L1018" s="507"/>
      <c r="M1018" s="507"/>
      <c r="N1018" s="507"/>
      <c r="O1018" s="507"/>
      <c r="P1018" s="507"/>
      <c r="Q1018" s="507"/>
      <c r="R1018" s="507"/>
      <c r="S1018" s="507"/>
      <c r="T1018" s="507"/>
      <c r="U1018" s="507"/>
      <c r="V1018" s="507"/>
      <c r="W1018" s="507"/>
    </row>
    <row r="1019" ht="35.25" customHeight="1">
      <c r="A1019" s="507"/>
      <c r="B1019" s="507"/>
      <c r="C1019" s="507"/>
      <c r="D1019" s="508"/>
      <c r="E1019" s="507"/>
      <c r="F1019" s="507"/>
      <c r="G1019" s="507"/>
      <c r="H1019" s="507"/>
      <c r="I1019" s="507"/>
      <c r="J1019" s="507"/>
      <c r="K1019" s="507"/>
      <c r="L1019" s="507"/>
      <c r="M1019" s="507"/>
      <c r="N1019" s="507"/>
      <c r="O1019" s="507"/>
      <c r="P1019" s="507"/>
      <c r="Q1019" s="507"/>
      <c r="R1019" s="507"/>
      <c r="S1019" s="507"/>
      <c r="T1019" s="507"/>
      <c r="U1019" s="507"/>
      <c r="V1019" s="507"/>
      <c r="W1019" s="507"/>
    </row>
    <row r="1020" ht="35.25" customHeight="1">
      <c r="A1020" s="507"/>
      <c r="B1020" s="507"/>
      <c r="C1020" s="507"/>
      <c r="D1020" s="508"/>
      <c r="E1020" s="507"/>
      <c r="F1020" s="507"/>
      <c r="G1020" s="507"/>
      <c r="H1020" s="507"/>
      <c r="I1020" s="507"/>
      <c r="J1020" s="507"/>
      <c r="K1020" s="507"/>
      <c r="L1020" s="507"/>
      <c r="M1020" s="507"/>
      <c r="N1020" s="507"/>
      <c r="O1020" s="507"/>
      <c r="P1020" s="507"/>
      <c r="Q1020" s="507"/>
      <c r="R1020" s="507"/>
      <c r="S1020" s="507"/>
      <c r="T1020" s="507"/>
      <c r="U1020" s="507"/>
      <c r="V1020" s="507"/>
      <c r="W1020" s="507"/>
    </row>
    <row r="1021" ht="35.25" customHeight="1">
      <c r="A1021" s="507"/>
      <c r="B1021" s="507"/>
      <c r="C1021" s="507"/>
      <c r="D1021" s="508"/>
      <c r="E1021" s="507"/>
      <c r="F1021" s="507"/>
      <c r="G1021" s="507"/>
      <c r="H1021" s="507"/>
      <c r="I1021" s="507"/>
      <c r="J1021" s="507"/>
      <c r="K1021" s="507"/>
      <c r="L1021" s="507"/>
      <c r="M1021" s="507"/>
      <c r="N1021" s="507"/>
      <c r="O1021" s="507"/>
      <c r="P1021" s="507"/>
      <c r="Q1021" s="507"/>
      <c r="R1021" s="507"/>
      <c r="S1021" s="507"/>
      <c r="T1021" s="507"/>
      <c r="U1021" s="507"/>
      <c r="V1021" s="507"/>
      <c r="W1021" s="507"/>
    </row>
    <row r="1022" ht="35.25" customHeight="1">
      <c r="A1022" s="507"/>
      <c r="B1022" s="507"/>
      <c r="C1022" s="507"/>
      <c r="D1022" s="508"/>
      <c r="E1022" s="507"/>
      <c r="F1022" s="507"/>
      <c r="G1022" s="507"/>
      <c r="H1022" s="507"/>
      <c r="I1022" s="507"/>
      <c r="J1022" s="507"/>
      <c r="K1022" s="507"/>
      <c r="L1022" s="507"/>
      <c r="M1022" s="507"/>
      <c r="N1022" s="507"/>
      <c r="O1022" s="507"/>
      <c r="P1022" s="507"/>
      <c r="Q1022" s="507"/>
      <c r="R1022" s="507"/>
      <c r="S1022" s="507"/>
      <c r="T1022" s="507"/>
      <c r="U1022" s="507"/>
      <c r="V1022" s="507"/>
      <c r="W1022" s="507"/>
    </row>
    <row r="1023" ht="35.25" customHeight="1">
      <c r="A1023" s="507"/>
      <c r="B1023" s="507"/>
      <c r="C1023" s="507"/>
      <c r="D1023" s="508"/>
      <c r="E1023" s="507"/>
      <c r="F1023" s="507"/>
      <c r="G1023" s="507"/>
      <c r="H1023" s="507"/>
      <c r="I1023" s="507"/>
      <c r="J1023" s="507"/>
      <c r="K1023" s="507"/>
      <c r="L1023" s="507"/>
      <c r="M1023" s="507"/>
      <c r="N1023" s="507"/>
      <c r="O1023" s="507"/>
      <c r="P1023" s="507"/>
      <c r="Q1023" s="507"/>
      <c r="R1023" s="507"/>
      <c r="S1023" s="507"/>
      <c r="T1023" s="507"/>
      <c r="U1023" s="507"/>
      <c r="V1023" s="507"/>
      <c r="W1023" s="507"/>
    </row>
    <row r="1024" ht="35.25" customHeight="1">
      <c r="A1024" s="507"/>
      <c r="B1024" s="507"/>
      <c r="C1024" s="507"/>
      <c r="D1024" s="508"/>
      <c r="E1024" s="507"/>
      <c r="F1024" s="507"/>
      <c r="G1024" s="507"/>
      <c r="H1024" s="507"/>
      <c r="I1024" s="507"/>
      <c r="J1024" s="507"/>
      <c r="K1024" s="507"/>
      <c r="L1024" s="507"/>
      <c r="M1024" s="507"/>
      <c r="N1024" s="507"/>
      <c r="O1024" s="507"/>
      <c r="P1024" s="507"/>
      <c r="Q1024" s="507"/>
      <c r="R1024" s="507"/>
      <c r="S1024" s="507"/>
      <c r="T1024" s="507"/>
      <c r="U1024" s="507"/>
      <c r="V1024" s="507"/>
      <c r="W1024" s="507"/>
    </row>
    <row r="1025" ht="35.25" customHeight="1">
      <c r="A1025" s="507"/>
      <c r="B1025" s="507"/>
      <c r="C1025" s="507"/>
      <c r="D1025" s="508"/>
      <c r="E1025" s="507"/>
      <c r="F1025" s="507"/>
      <c r="G1025" s="507"/>
      <c r="H1025" s="507"/>
      <c r="I1025" s="507"/>
      <c r="J1025" s="507"/>
      <c r="K1025" s="507"/>
      <c r="L1025" s="507"/>
      <c r="M1025" s="507"/>
      <c r="N1025" s="507"/>
      <c r="O1025" s="507"/>
      <c r="P1025" s="507"/>
      <c r="Q1025" s="507"/>
      <c r="R1025" s="507"/>
      <c r="S1025" s="507"/>
      <c r="T1025" s="507"/>
      <c r="U1025" s="507"/>
      <c r="V1025" s="507"/>
      <c r="W1025" s="507"/>
    </row>
    <row r="1026" ht="35.25" customHeight="1">
      <c r="A1026" s="507"/>
      <c r="B1026" s="507"/>
      <c r="C1026" s="507"/>
      <c r="D1026" s="508"/>
      <c r="E1026" s="507"/>
      <c r="F1026" s="507"/>
      <c r="G1026" s="507"/>
      <c r="H1026" s="507"/>
      <c r="I1026" s="507"/>
      <c r="J1026" s="507"/>
      <c r="K1026" s="507"/>
      <c r="L1026" s="507"/>
      <c r="M1026" s="507"/>
      <c r="N1026" s="507"/>
      <c r="O1026" s="507"/>
      <c r="P1026" s="507"/>
      <c r="Q1026" s="507"/>
      <c r="R1026" s="507"/>
      <c r="S1026" s="507"/>
      <c r="T1026" s="507"/>
      <c r="U1026" s="507"/>
      <c r="V1026" s="507"/>
      <c r="W1026" s="507"/>
    </row>
    <row r="1027" ht="35.25" customHeight="1">
      <c r="A1027" s="507"/>
      <c r="B1027" s="507"/>
      <c r="C1027" s="507"/>
      <c r="D1027" s="508"/>
      <c r="E1027" s="507"/>
      <c r="F1027" s="507"/>
      <c r="G1027" s="507"/>
      <c r="H1027" s="507"/>
      <c r="I1027" s="507"/>
      <c r="J1027" s="507"/>
      <c r="K1027" s="507"/>
      <c r="L1027" s="507"/>
      <c r="M1027" s="507"/>
      <c r="N1027" s="507"/>
      <c r="O1027" s="507"/>
      <c r="P1027" s="507"/>
      <c r="Q1027" s="507"/>
      <c r="R1027" s="507"/>
      <c r="S1027" s="507"/>
      <c r="T1027" s="507"/>
      <c r="U1027" s="507"/>
      <c r="V1027" s="507"/>
      <c r="W1027" s="507"/>
    </row>
    <row r="1028" ht="35.25" customHeight="1">
      <c r="A1028" s="507"/>
      <c r="B1028" s="507"/>
      <c r="C1028" s="507"/>
      <c r="D1028" s="508"/>
      <c r="E1028" s="507"/>
      <c r="F1028" s="507"/>
      <c r="G1028" s="507"/>
      <c r="H1028" s="507"/>
      <c r="I1028" s="507"/>
      <c r="J1028" s="507"/>
      <c r="K1028" s="507"/>
      <c r="L1028" s="507"/>
      <c r="M1028" s="507"/>
      <c r="N1028" s="507"/>
      <c r="O1028" s="507"/>
      <c r="P1028" s="507"/>
      <c r="Q1028" s="507"/>
      <c r="R1028" s="507"/>
      <c r="S1028" s="507"/>
      <c r="T1028" s="507"/>
      <c r="U1028" s="507"/>
      <c r="V1028" s="507"/>
      <c r="W1028" s="507"/>
    </row>
    <row r="1029" ht="35.25" customHeight="1">
      <c r="A1029" s="507"/>
      <c r="B1029" s="507"/>
      <c r="C1029" s="507"/>
      <c r="D1029" s="508"/>
      <c r="E1029" s="507"/>
      <c r="F1029" s="507"/>
      <c r="G1029" s="507"/>
      <c r="H1029" s="507"/>
      <c r="I1029" s="507"/>
      <c r="J1029" s="507"/>
      <c r="K1029" s="507"/>
      <c r="L1029" s="507"/>
      <c r="M1029" s="507"/>
      <c r="N1029" s="507"/>
      <c r="O1029" s="507"/>
      <c r="P1029" s="507"/>
      <c r="Q1029" s="507"/>
      <c r="R1029" s="507"/>
      <c r="S1029" s="507"/>
      <c r="T1029" s="507"/>
      <c r="U1029" s="507"/>
      <c r="V1029" s="507"/>
      <c r="W1029" s="507"/>
    </row>
    <row r="1030" ht="35.25" customHeight="1">
      <c r="A1030" s="507"/>
      <c r="B1030" s="507"/>
      <c r="C1030" s="507"/>
      <c r="D1030" s="508"/>
      <c r="E1030" s="507"/>
      <c r="F1030" s="507"/>
      <c r="G1030" s="507"/>
      <c r="H1030" s="507"/>
      <c r="I1030" s="507"/>
      <c r="J1030" s="507"/>
      <c r="K1030" s="507"/>
      <c r="L1030" s="507"/>
      <c r="M1030" s="507"/>
      <c r="N1030" s="507"/>
      <c r="O1030" s="507"/>
      <c r="P1030" s="507"/>
      <c r="Q1030" s="507"/>
      <c r="R1030" s="507"/>
      <c r="S1030" s="507"/>
      <c r="T1030" s="507"/>
      <c r="U1030" s="507"/>
      <c r="V1030" s="507"/>
      <c r="W1030" s="507"/>
    </row>
    <row r="1031" ht="35.25" customHeight="1">
      <c r="A1031" s="507"/>
      <c r="B1031" s="507"/>
      <c r="C1031" s="507"/>
      <c r="D1031" s="508"/>
      <c r="E1031" s="507"/>
      <c r="F1031" s="507"/>
      <c r="G1031" s="507"/>
      <c r="H1031" s="507"/>
      <c r="I1031" s="507"/>
      <c r="J1031" s="507"/>
      <c r="K1031" s="507"/>
      <c r="L1031" s="507"/>
      <c r="M1031" s="507"/>
      <c r="N1031" s="507"/>
      <c r="O1031" s="507"/>
      <c r="P1031" s="507"/>
      <c r="Q1031" s="507"/>
      <c r="R1031" s="507"/>
      <c r="S1031" s="507"/>
      <c r="T1031" s="507"/>
      <c r="U1031" s="507"/>
      <c r="V1031" s="507"/>
      <c r="W1031" s="507"/>
    </row>
    <row r="1032" ht="35.25" customHeight="1">
      <c r="A1032" s="507"/>
      <c r="B1032" s="507"/>
      <c r="C1032" s="507"/>
      <c r="D1032" s="508"/>
      <c r="E1032" s="507"/>
      <c r="F1032" s="507"/>
      <c r="G1032" s="507"/>
      <c r="H1032" s="507"/>
      <c r="I1032" s="507"/>
      <c r="J1032" s="507"/>
      <c r="K1032" s="507"/>
      <c r="L1032" s="507"/>
      <c r="M1032" s="507"/>
      <c r="N1032" s="507"/>
      <c r="O1032" s="507"/>
      <c r="P1032" s="507"/>
      <c r="Q1032" s="507"/>
      <c r="R1032" s="507"/>
      <c r="S1032" s="507"/>
      <c r="T1032" s="507"/>
      <c r="U1032" s="507"/>
      <c r="V1032" s="507"/>
      <c r="W1032" s="507"/>
    </row>
    <row r="1033" ht="35.25" customHeight="1">
      <c r="A1033" s="507"/>
      <c r="B1033" s="507"/>
      <c r="C1033" s="507"/>
      <c r="D1033" s="508"/>
      <c r="E1033" s="507"/>
      <c r="F1033" s="507"/>
      <c r="G1033" s="507"/>
      <c r="H1033" s="507"/>
      <c r="I1033" s="507"/>
      <c r="J1033" s="507"/>
      <c r="K1033" s="507"/>
      <c r="L1033" s="507"/>
      <c r="M1033" s="507"/>
      <c r="N1033" s="507"/>
      <c r="O1033" s="507"/>
      <c r="P1033" s="507"/>
      <c r="Q1033" s="507"/>
      <c r="R1033" s="507"/>
      <c r="S1033" s="507"/>
      <c r="T1033" s="507"/>
      <c r="U1033" s="507"/>
      <c r="V1033" s="507"/>
      <c r="W1033" s="507"/>
    </row>
    <row r="1034" ht="35.25" customHeight="1">
      <c r="A1034" s="507"/>
      <c r="B1034" s="507"/>
      <c r="C1034" s="507"/>
      <c r="D1034" s="508"/>
      <c r="E1034" s="507"/>
      <c r="F1034" s="507"/>
      <c r="G1034" s="507"/>
      <c r="H1034" s="507"/>
      <c r="I1034" s="507"/>
      <c r="J1034" s="507"/>
      <c r="K1034" s="507"/>
      <c r="L1034" s="507"/>
      <c r="M1034" s="507"/>
      <c r="N1034" s="507"/>
      <c r="O1034" s="507"/>
      <c r="P1034" s="507"/>
      <c r="Q1034" s="507"/>
      <c r="R1034" s="507"/>
      <c r="S1034" s="507"/>
      <c r="T1034" s="507"/>
      <c r="U1034" s="507"/>
      <c r="V1034" s="507"/>
      <c r="W1034" s="507"/>
    </row>
    <row r="1035" ht="35.25" customHeight="1">
      <c r="A1035" s="507"/>
      <c r="B1035" s="507"/>
      <c r="C1035" s="507"/>
      <c r="D1035" s="508"/>
      <c r="E1035" s="507"/>
      <c r="F1035" s="507"/>
      <c r="G1035" s="507"/>
      <c r="H1035" s="507"/>
      <c r="I1035" s="507"/>
      <c r="J1035" s="507"/>
      <c r="K1035" s="507"/>
      <c r="L1035" s="507"/>
      <c r="M1035" s="507"/>
      <c r="N1035" s="507"/>
      <c r="O1035" s="507"/>
      <c r="P1035" s="507"/>
      <c r="Q1035" s="507"/>
      <c r="R1035" s="507"/>
      <c r="S1035" s="507"/>
      <c r="T1035" s="507"/>
      <c r="U1035" s="507"/>
      <c r="V1035" s="507"/>
      <c r="W1035" s="507"/>
    </row>
    <row r="1036" ht="35.25" customHeight="1">
      <c r="A1036" s="507"/>
      <c r="B1036" s="507"/>
      <c r="C1036" s="507"/>
      <c r="D1036" s="508"/>
      <c r="E1036" s="507"/>
      <c r="F1036" s="507"/>
      <c r="G1036" s="507"/>
      <c r="H1036" s="507"/>
      <c r="I1036" s="507"/>
      <c r="J1036" s="507"/>
      <c r="K1036" s="507"/>
      <c r="L1036" s="507"/>
      <c r="M1036" s="507"/>
      <c r="N1036" s="507"/>
      <c r="O1036" s="507"/>
      <c r="P1036" s="507"/>
      <c r="Q1036" s="507"/>
      <c r="R1036" s="507"/>
      <c r="S1036" s="507"/>
      <c r="T1036" s="507"/>
      <c r="U1036" s="507"/>
      <c r="V1036" s="507"/>
      <c r="W1036" s="507"/>
    </row>
    <row r="1037" ht="35.25" customHeight="1">
      <c r="A1037" s="507"/>
      <c r="B1037" s="507"/>
      <c r="C1037" s="507"/>
      <c r="D1037" s="508"/>
      <c r="E1037" s="507"/>
      <c r="F1037" s="507"/>
      <c r="G1037" s="507"/>
      <c r="H1037" s="507"/>
      <c r="I1037" s="507"/>
      <c r="J1037" s="507"/>
      <c r="K1037" s="507"/>
      <c r="L1037" s="507"/>
      <c r="M1037" s="507"/>
      <c r="N1037" s="507"/>
      <c r="O1037" s="507"/>
      <c r="P1037" s="507"/>
      <c r="Q1037" s="507"/>
      <c r="R1037" s="507"/>
      <c r="S1037" s="507"/>
      <c r="T1037" s="507"/>
      <c r="U1037" s="507"/>
      <c r="V1037" s="507"/>
      <c r="W1037" s="507"/>
    </row>
    <row r="1038" ht="35.25" customHeight="1">
      <c r="A1038" s="507"/>
      <c r="B1038" s="507"/>
      <c r="C1038" s="507"/>
      <c r="D1038" s="508"/>
      <c r="E1038" s="507"/>
      <c r="F1038" s="507"/>
      <c r="G1038" s="507"/>
      <c r="H1038" s="507"/>
      <c r="I1038" s="507"/>
      <c r="J1038" s="507"/>
      <c r="K1038" s="507"/>
      <c r="L1038" s="507"/>
      <c r="M1038" s="507"/>
      <c r="N1038" s="507"/>
      <c r="O1038" s="507"/>
      <c r="P1038" s="507"/>
      <c r="Q1038" s="507"/>
      <c r="R1038" s="507"/>
      <c r="S1038" s="507"/>
      <c r="T1038" s="507"/>
      <c r="U1038" s="507"/>
      <c r="V1038" s="507"/>
      <c r="W1038" s="507"/>
    </row>
    <row r="1039" ht="35.25" customHeight="1">
      <c r="A1039" s="507"/>
      <c r="B1039" s="507"/>
      <c r="C1039" s="507"/>
      <c r="D1039" s="508"/>
      <c r="E1039" s="507"/>
      <c r="F1039" s="507"/>
      <c r="G1039" s="507"/>
      <c r="H1039" s="507"/>
      <c r="I1039" s="507"/>
      <c r="J1039" s="507"/>
      <c r="K1039" s="507"/>
      <c r="L1039" s="507"/>
      <c r="M1039" s="507"/>
      <c r="N1039" s="507"/>
      <c r="O1039" s="507"/>
      <c r="P1039" s="507"/>
      <c r="Q1039" s="507"/>
      <c r="R1039" s="507"/>
      <c r="S1039" s="507"/>
      <c r="T1039" s="507"/>
      <c r="U1039" s="507"/>
      <c r="V1039" s="507"/>
      <c r="W1039" s="507"/>
    </row>
    <row r="1040" ht="35.25" customHeight="1">
      <c r="A1040" s="507"/>
      <c r="B1040" s="507"/>
      <c r="C1040" s="507"/>
      <c r="D1040" s="508"/>
      <c r="E1040" s="507"/>
      <c r="F1040" s="507"/>
      <c r="G1040" s="507"/>
      <c r="H1040" s="507"/>
      <c r="I1040" s="507"/>
      <c r="J1040" s="507"/>
      <c r="K1040" s="507"/>
      <c r="L1040" s="507"/>
      <c r="M1040" s="507"/>
      <c r="N1040" s="507"/>
      <c r="O1040" s="507"/>
      <c r="P1040" s="507"/>
      <c r="Q1040" s="507"/>
      <c r="R1040" s="507"/>
      <c r="S1040" s="507"/>
      <c r="T1040" s="507"/>
      <c r="U1040" s="507"/>
      <c r="V1040" s="507"/>
      <c r="W1040" s="507"/>
    </row>
    <row r="1041" ht="35.25" customHeight="1">
      <c r="A1041" s="507"/>
      <c r="B1041" s="507"/>
      <c r="C1041" s="507"/>
      <c r="D1041" s="508"/>
      <c r="E1041" s="507"/>
      <c r="F1041" s="507"/>
      <c r="G1041" s="507"/>
      <c r="H1041" s="507"/>
      <c r="I1041" s="507"/>
      <c r="J1041" s="507"/>
      <c r="K1041" s="507"/>
      <c r="L1041" s="507"/>
      <c r="M1041" s="507"/>
      <c r="N1041" s="507"/>
      <c r="O1041" s="507"/>
      <c r="P1041" s="507"/>
      <c r="Q1041" s="507"/>
      <c r="R1041" s="507"/>
      <c r="S1041" s="507"/>
      <c r="T1041" s="507"/>
      <c r="U1041" s="507"/>
      <c r="V1041" s="507"/>
      <c r="W1041" s="507"/>
    </row>
    <row r="1042" ht="35.25" customHeight="1">
      <c r="A1042" s="507"/>
      <c r="B1042" s="507"/>
      <c r="C1042" s="507"/>
      <c r="D1042" s="508"/>
      <c r="E1042" s="507"/>
      <c r="F1042" s="507"/>
      <c r="G1042" s="507"/>
      <c r="H1042" s="507"/>
      <c r="I1042" s="507"/>
      <c r="J1042" s="507"/>
      <c r="K1042" s="507"/>
      <c r="L1042" s="507"/>
      <c r="M1042" s="507"/>
      <c r="N1042" s="507"/>
      <c r="O1042" s="507"/>
      <c r="P1042" s="507"/>
      <c r="Q1042" s="507"/>
      <c r="R1042" s="507"/>
      <c r="S1042" s="507"/>
      <c r="T1042" s="507"/>
      <c r="U1042" s="507"/>
      <c r="V1042" s="507"/>
      <c r="W1042" s="507"/>
    </row>
    <row r="1043" ht="35.25" customHeight="1">
      <c r="A1043" s="507"/>
      <c r="B1043" s="507"/>
      <c r="C1043" s="507"/>
      <c r="D1043" s="508"/>
      <c r="E1043" s="507"/>
      <c r="F1043" s="507"/>
      <c r="G1043" s="507"/>
      <c r="H1043" s="507"/>
      <c r="I1043" s="507"/>
      <c r="J1043" s="507"/>
      <c r="K1043" s="507"/>
      <c r="L1043" s="507"/>
      <c r="M1043" s="507"/>
      <c r="N1043" s="507"/>
      <c r="O1043" s="507"/>
      <c r="P1043" s="507"/>
      <c r="Q1043" s="507"/>
      <c r="R1043" s="507"/>
      <c r="S1043" s="507"/>
      <c r="T1043" s="507"/>
      <c r="U1043" s="507"/>
      <c r="V1043" s="507"/>
      <c r="W1043" s="507"/>
    </row>
    <row r="1044" ht="35.25" customHeight="1">
      <c r="A1044" s="507"/>
      <c r="B1044" s="507"/>
      <c r="C1044" s="507"/>
      <c r="D1044" s="508"/>
      <c r="E1044" s="507"/>
      <c r="F1044" s="507"/>
      <c r="G1044" s="507"/>
      <c r="H1044" s="507"/>
      <c r="I1044" s="507"/>
      <c r="J1044" s="507"/>
      <c r="K1044" s="507"/>
      <c r="L1044" s="507"/>
      <c r="M1044" s="507"/>
      <c r="N1044" s="507"/>
      <c r="O1044" s="507"/>
      <c r="P1044" s="507"/>
      <c r="Q1044" s="507"/>
      <c r="R1044" s="507"/>
      <c r="S1044" s="507"/>
      <c r="T1044" s="507"/>
      <c r="U1044" s="507"/>
      <c r="V1044" s="507"/>
      <c r="W1044" s="507"/>
    </row>
    <row r="1045" ht="35.25" customHeight="1">
      <c r="A1045" s="507"/>
      <c r="B1045" s="507"/>
      <c r="C1045" s="507"/>
      <c r="D1045" s="508"/>
      <c r="E1045" s="507"/>
      <c r="F1045" s="507"/>
      <c r="G1045" s="507"/>
      <c r="H1045" s="507"/>
      <c r="I1045" s="507"/>
      <c r="J1045" s="507"/>
      <c r="K1045" s="507"/>
      <c r="L1045" s="507"/>
      <c r="M1045" s="507"/>
      <c r="N1045" s="507"/>
      <c r="O1045" s="507"/>
      <c r="P1045" s="507"/>
      <c r="Q1045" s="507"/>
      <c r="R1045" s="507"/>
      <c r="S1045" s="507"/>
      <c r="T1045" s="507"/>
      <c r="U1045" s="507"/>
      <c r="V1045" s="507"/>
      <c r="W1045" s="507"/>
    </row>
    <row r="1046" ht="35.25" customHeight="1">
      <c r="A1046" s="507"/>
      <c r="B1046" s="507"/>
      <c r="C1046" s="507"/>
      <c r="D1046" s="508"/>
      <c r="E1046" s="507"/>
      <c r="F1046" s="507"/>
      <c r="G1046" s="507"/>
      <c r="H1046" s="507"/>
      <c r="I1046" s="507"/>
      <c r="J1046" s="507"/>
      <c r="K1046" s="507"/>
      <c r="L1046" s="507"/>
      <c r="M1046" s="507"/>
      <c r="N1046" s="507"/>
      <c r="O1046" s="507"/>
      <c r="P1046" s="507"/>
      <c r="Q1046" s="507"/>
      <c r="R1046" s="507"/>
      <c r="S1046" s="507"/>
      <c r="T1046" s="507"/>
      <c r="U1046" s="507"/>
      <c r="V1046" s="507"/>
      <c r="W1046" s="507"/>
    </row>
    <row r="1047" ht="35.25" customHeight="1">
      <c r="A1047" s="507"/>
      <c r="B1047" s="507"/>
      <c r="C1047" s="507"/>
      <c r="D1047" s="508"/>
      <c r="E1047" s="507"/>
      <c r="F1047" s="507"/>
      <c r="G1047" s="507"/>
      <c r="H1047" s="507"/>
      <c r="I1047" s="507"/>
      <c r="J1047" s="507"/>
      <c r="K1047" s="507"/>
      <c r="L1047" s="507"/>
      <c r="M1047" s="507"/>
      <c r="N1047" s="507"/>
      <c r="O1047" s="507"/>
      <c r="P1047" s="507"/>
      <c r="Q1047" s="507"/>
      <c r="R1047" s="507"/>
      <c r="S1047" s="507"/>
      <c r="T1047" s="507"/>
      <c r="U1047" s="507"/>
      <c r="V1047" s="507"/>
      <c r="W1047" s="507"/>
    </row>
    <row r="1048" ht="35.25" customHeight="1">
      <c r="A1048" s="507"/>
      <c r="B1048" s="507"/>
      <c r="C1048" s="507"/>
      <c r="D1048" s="508"/>
      <c r="E1048" s="507"/>
      <c r="F1048" s="507"/>
      <c r="G1048" s="507"/>
      <c r="H1048" s="507"/>
      <c r="I1048" s="507"/>
      <c r="J1048" s="507"/>
      <c r="K1048" s="507"/>
      <c r="L1048" s="507"/>
      <c r="M1048" s="507"/>
      <c r="N1048" s="507"/>
      <c r="O1048" s="507"/>
      <c r="P1048" s="507"/>
      <c r="Q1048" s="507"/>
      <c r="R1048" s="507"/>
      <c r="S1048" s="507"/>
      <c r="T1048" s="507"/>
      <c r="U1048" s="507"/>
      <c r="V1048" s="507"/>
      <c r="W1048" s="507"/>
    </row>
    <row r="1049" ht="35.25" customHeight="1">
      <c r="A1049" s="507"/>
      <c r="B1049" s="507"/>
      <c r="C1049" s="507"/>
      <c r="D1049" s="508"/>
      <c r="E1049" s="507"/>
      <c r="F1049" s="507"/>
      <c r="G1049" s="507"/>
      <c r="H1049" s="507"/>
      <c r="I1049" s="507"/>
      <c r="J1049" s="507"/>
      <c r="K1049" s="507"/>
      <c r="L1049" s="507"/>
      <c r="M1049" s="507"/>
      <c r="N1049" s="507"/>
      <c r="O1049" s="507"/>
      <c r="P1049" s="507"/>
      <c r="Q1049" s="507"/>
      <c r="R1049" s="507"/>
      <c r="S1049" s="507"/>
      <c r="T1049" s="507"/>
      <c r="U1049" s="507"/>
      <c r="V1049" s="507"/>
      <c r="W1049" s="507"/>
    </row>
    <row r="1050" ht="35.25" customHeight="1">
      <c r="A1050" s="507"/>
      <c r="B1050" s="507"/>
      <c r="C1050" s="507"/>
      <c r="D1050" s="508"/>
      <c r="E1050" s="507"/>
      <c r="F1050" s="507"/>
      <c r="G1050" s="507"/>
      <c r="H1050" s="507"/>
      <c r="I1050" s="507"/>
      <c r="J1050" s="507"/>
      <c r="K1050" s="507"/>
      <c r="L1050" s="507"/>
      <c r="M1050" s="507"/>
      <c r="N1050" s="507"/>
      <c r="O1050" s="507"/>
      <c r="P1050" s="507"/>
      <c r="Q1050" s="507"/>
      <c r="R1050" s="507"/>
      <c r="S1050" s="507"/>
      <c r="T1050" s="507"/>
      <c r="U1050" s="507"/>
      <c r="V1050" s="507"/>
      <c r="W1050" s="507"/>
    </row>
    <row r="1051" ht="35.25" customHeight="1">
      <c r="A1051" s="507"/>
      <c r="B1051" s="507"/>
      <c r="C1051" s="507"/>
      <c r="D1051" s="508"/>
      <c r="E1051" s="507"/>
      <c r="F1051" s="507"/>
      <c r="G1051" s="507"/>
      <c r="H1051" s="507"/>
      <c r="I1051" s="507"/>
      <c r="J1051" s="507"/>
      <c r="K1051" s="507"/>
      <c r="L1051" s="507"/>
      <c r="M1051" s="507"/>
      <c r="N1051" s="507"/>
      <c r="O1051" s="507"/>
      <c r="P1051" s="507"/>
      <c r="Q1051" s="507"/>
      <c r="R1051" s="507"/>
      <c r="S1051" s="507"/>
      <c r="T1051" s="507"/>
      <c r="U1051" s="507"/>
      <c r="V1051" s="507"/>
      <c r="W1051" s="507"/>
    </row>
    <row r="1052" ht="35.25" customHeight="1">
      <c r="A1052" s="507"/>
      <c r="B1052" s="507"/>
      <c r="C1052" s="507"/>
      <c r="D1052" s="508"/>
      <c r="E1052" s="507"/>
      <c r="F1052" s="507"/>
      <c r="G1052" s="507"/>
      <c r="H1052" s="507"/>
      <c r="I1052" s="507"/>
      <c r="J1052" s="507"/>
      <c r="K1052" s="507"/>
      <c r="L1052" s="507"/>
      <c r="M1052" s="507"/>
      <c r="N1052" s="507"/>
      <c r="O1052" s="507"/>
      <c r="P1052" s="507"/>
      <c r="Q1052" s="507"/>
      <c r="R1052" s="507"/>
      <c r="S1052" s="507"/>
      <c r="T1052" s="507"/>
      <c r="U1052" s="507"/>
      <c r="V1052" s="507"/>
      <c r="W1052" s="507"/>
    </row>
    <row r="1053" ht="35.25" customHeight="1">
      <c r="A1053" s="507"/>
      <c r="B1053" s="507"/>
      <c r="C1053" s="507"/>
      <c r="D1053" s="508"/>
      <c r="E1053" s="507"/>
      <c r="F1053" s="507"/>
      <c r="G1053" s="507"/>
      <c r="H1053" s="507"/>
      <c r="I1053" s="507"/>
      <c r="J1053" s="507"/>
      <c r="K1053" s="507"/>
      <c r="L1053" s="507"/>
      <c r="M1053" s="507"/>
      <c r="N1053" s="507"/>
      <c r="O1053" s="507"/>
      <c r="P1053" s="507"/>
      <c r="Q1053" s="507"/>
      <c r="R1053" s="507"/>
      <c r="S1053" s="507"/>
      <c r="T1053" s="507"/>
      <c r="U1053" s="507"/>
      <c r="V1053" s="507"/>
      <c r="W1053" s="507"/>
    </row>
    <row r="1054" ht="35.25" customHeight="1">
      <c r="A1054" s="507"/>
      <c r="B1054" s="507"/>
      <c r="C1054" s="507"/>
      <c r="D1054" s="508"/>
      <c r="E1054" s="507"/>
      <c r="F1054" s="507"/>
      <c r="G1054" s="507"/>
      <c r="H1054" s="507"/>
      <c r="I1054" s="507"/>
      <c r="J1054" s="507"/>
      <c r="K1054" s="507"/>
      <c r="L1054" s="507"/>
      <c r="M1054" s="507"/>
      <c r="N1054" s="507"/>
      <c r="O1054" s="507"/>
      <c r="P1054" s="507"/>
      <c r="Q1054" s="507"/>
      <c r="R1054" s="507"/>
      <c r="S1054" s="507"/>
      <c r="T1054" s="507"/>
      <c r="U1054" s="507"/>
      <c r="V1054" s="507"/>
      <c r="W1054" s="507"/>
    </row>
    <row r="1055" ht="35.25" customHeight="1">
      <c r="A1055" s="507"/>
      <c r="B1055" s="507"/>
      <c r="C1055" s="507"/>
      <c r="D1055" s="508"/>
      <c r="E1055" s="507"/>
      <c r="F1055" s="507"/>
      <c r="G1055" s="507"/>
      <c r="H1055" s="507"/>
      <c r="I1055" s="507"/>
      <c r="J1055" s="507"/>
      <c r="K1055" s="507"/>
      <c r="L1055" s="507"/>
      <c r="M1055" s="507"/>
      <c r="N1055" s="507"/>
      <c r="O1055" s="507"/>
      <c r="P1055" s="507"/>
      <c r="Q1055" s="507"/>
      <c r="R1055" s="507"/>
      <c r="S1055" s="507"/>
      <c r="T1055" s="507"/>
      <c r="U1055" s="507"/>
      <c r="V1055" s="507"/>
      <c r="W1055" s="507"/>
    </row>
    <row r="1056" ht="35.25" customHeight="1">
      <c r="A1056" s="507"/>
      <c r="B1056" s="507"/>
      <c r="C1056" s="507"/>
      <c r="D1056" s="508"/>
      <c r="E1056" s="507"/>
      <c r="F1056" s="507"/>
      <c r="G1056" s="507"/>
      <c r="H1056" s="507"/>
      <c r="I1056" s="507"/>
      <c r="J1056" s="507"/>
      <c r="K1056" s="507"/>
      <c r="L1056" s="507"/>
      <c r="M1056" s="507"/>
      <c r="N1056" s="507"/>
      <c r="O1056" s="507"/>
      <c r="P1056" s="507"/>
      <c r="Q1056" s="507"/>
      <c r="R1056" s="507"/>
      <c r="S1056" s="507"/>
      <c r="T1056" s="507"/>
      <c r="U1056" s="507"/>
      <c r="V1056" s="507"/>
      <c r="W1056" s="507"/>
    </row>
    <row r="1057" ht="35.25" customHeight="1">
      <c r="A1057" s="507"/>
      <c r="B1057" s="507"/>
      <c r="C1057" s="507"/>
      <c r="D1057" s="508"/>
      <c r="E1057" s="507"/>
      <c r="F1057" s="507"/>
      <c r="G1057" s="507"/>
      <c r="H1057" s="507"/>
      <c r="I1057" s="507"/>
      <c r="J1057" s="507"/>
      <c r="K1057" s="507"/>
      <c r="L1057" s="507"/>
      <c r="M1057" s="507"/>
      <c r="N1057" s="507"/>
      <c r="O1057" s="507"/>
      <c r="P1057" s="507"/>
      <c r="Q1057" s="507"/>
      <c r="R1057" s="507"/>
      <c r="S1057" s="507"/>
      <c r="T1057" s="507"/>
      <c r="U1057" s="507"/>
      <c r="V1057" s="507"/>
      <c r="W1057" s="507"/>
    </row>
    <row r="1058" ht="35.25" customHeight="1">
      <c r="A1058" s="507"/>
      <c r="B1058" s="507"/>
      <c r="C1058" s="507"/>
      <c r="D1058" s="508"/>
      <c r="E1058" s="507"/>
      <c r="F1058" s="507"/>
      <c r="G1058" s="507"/>
      <c r="H1058" s="507"/>
      <c r="I1058" s="507"/>
      <c r="J1058" s="507"/>
      <c r="K1058" s="507"/>
      <c r="L1058" s="507"/>
      <c r="M1058" s="507"/>
      <c r="N1058" s="507"/>
      <c r="O1058" s="507"/>
      <c r="P1058" s="507"/>
      <c r="Q1058" s="507"/>
      <c r="R1058" s="507"/>
      <c r="S1058" s="507"/>
      <c r="T1058" s="507"/>
      <c r="U1058" s="507"/>
      <c r="V1058" s="507"/>
      <c r="W1058" s="507"/>
    </row>
    <row r="1059" ht="35.25" customHeight="1">
      <c r="A1059" s="507"/>
      <c r="B1059" s="507"/>
      <c r="C1059" s="507"/>
      <c r="D1059" s="508"/>
      <c r="E1059" s="507"/>
      <c r="F1059" s="507"/>
      <c r="G1059" s="507"/>
      <c r="H1059" s="507"/>
      <c r="I1059" s="507"/>
      <c r="J1059" s="507"/>
      <c r="K1059" s="507"/>
      <c r="L1059" s="507"/>
      <c r="M1059" s="507"/>
      <c r="N1059" s="507"/>
      <c r="O1059" s="507"/>
      <c r="P1059" s="507"/>
      <c r="Q1059" s="507"/>
      <c r="R1059" s="507"/>
      <c r="S1059" s="507"/>
      <c r="T1059" s="507"/>
      <c r="U1059" s="507"/>
      <c r="V1059" s="507"/>
      <c r="W1059" s="507"/>
    </row>
    <row r="1060" ht="35.25" customHeight="1">
      <c r="A1060" s="507"/>
      <c r="B1060" s="507"/>
      <c r="C1060" s="507"/>
      <c r="D1060" s="508"/>
      <c r="E1060" s="507"/>
      <c r="F1060" s="507"/>
      <c r="G1060" s="507"/>
      <c r="H1060" s="507"/>
      <c r="I1060" s="507"/>
      <c r="J1060" s="507"/>
      <c r="K1060" s="507"/>
      <c r="L1060" s="507"/>
      <c r="M1060" s="507"/>
      <c r="N1060" s="507"/>
      <c r="O1060" s="507"/>
      <c r="P1060" s="507"/>
      <c r="Q1060" s="507"/>
      <c r="R1060" s="507"/>
      <c r="S1060" s="507"/>
      <c r="T1060" s="507"/>
      <c r="U1060" s="507"/>
      <c r="V1060" s="507"/>
      <c r="W1060" s="507"/>
    </row>
    <row r="1061" ht="35.25" customHeight="1">
      <c r="A1061" s="507"/>
      <c r="B1061" s="507"/>
      <c r="C1061" s="507"/>
      <c r="D1061" s="508"/>
      <c r="E1061" s="507"/>
      <c r="F1061" s="507"/>
      <c r="G1061" s="507"/>
      <c r="H1061" s="507"/>
      <c r="I1061" s="507"/>
      <c r="J1061" s="507"/>
      <c r="K1061" s="507"/>
      <c r="L1061" s="507"/>
      <c r="M1061" s="507"/>
      <c r="N1061" s="507"/>
      <c r="O1061" s="507"/>
      <c r="P1061" s="507"/>
      <c r="Q1061" s="507"/>
      <c r="R1061" s="507"/>
      <c r="S1061" s="507"/>
      <c r="T1061" s="507"/>
      <c r="U1061" s="507"/>
      <c r="V1061" s="507"/>
      <c r="W1061" s="507"/>
    </row>
    <row r="1062" ht="35.25" customHeight="1">
      <c r="A1062" s="507"/>
      <c r="B1062" s="507"/>
      <c r="C1062" s="507"/>
      <c r="D1062" s="508"/>
      <c r="E1062" s="507"/>
      <c r="F1062" s="507"/>
      <c r="G1062" s="507"/>
      <c r="H1062" s="507"/>
      <c r="I1062" s="507"/>
      <c r="J1062" s="507"/>
      <c r="K1062" s="507"/>
      <c r="L1062" s="507"/>
      <c r="M1062" s="507"/>
      <c r="N1062" s="507"/>
      <c r="O1062" s="507"/>
      <c r="P1062" s="507"/>
      <c r="Q1062" s="507"/>
      <c r="R1062" s="507"/>
      <c r="S1062" s="507"/>
      <c r="T1062" s="507"/>
      <c r="U1062" s="507"/>
      <c r="V1062" s="507"/>
      <c r="W1062" s="507"/>
    </row>
    <row r="1063" ht="35.25" customHeight="1">
      <c r="A1063" s="507"/>
      <c r="B1063" s="507"/>
      <c r="C1063" s="507"/>
      <c r="D1063" s="508"/>
      <c r="E1063" s="507"/>
      <c r="F1063" s="507"/>
      <c r="G1063" s="507"/>
      <c r="H1063" s="507"/>
      <c r="I1063" s="507"/>
      <c r="J1063" s="507"/>
      <c r="K1063" s="507"/>
      <c r="L1063" s="507"/>
      <c r="M1063" s="507"/>
      <c r="N1063" s="507"/>
      <c r="O1063" s="507"/>
      <c r="P1063" s="507"/>
      <c r="Q1063" s="507"/>
      <c r="R1063" s="507"/>
      <c r="S1063" s="507"/>
      <c r="T1063" s="507"/>
      <c r="U1063" s="507"/>
      <c r="V1063" s="507"/>
      <c r="W1063" s="507"/>
    </row>
    <row r="1064" ht="35.25" customHeight="1">
      <c r="A1064" s="507"/>
      <c r="B1064" s="507"/>
      <c r="C1064" s="507"/>
      <c r="D1064" s="508"/>
      <c r="E1064" s="507"/>
      <c r="F1064" s="507"/>
      <c r="G1064" s="507"/>
      <c r="H1064" s="507"/>
      <c r="I1064" s="507"/>
      <c r="J1064" s="507"/>
      <c r="K1064" s="507"/>
      <c r="L1064" s="507"/>
      <c r="M1064" s="507"/>
      <c r="N1064" s="507"/>
      <c r="O1064" s="507"/>
      <c r="P1064" s="507"/>
      <c r="Q1064" s="507"/>
      <c r="R1064" s="507"/>
      <c r="S1064" s="507"/>
      <c r="T1064" s="507"/>
      <c r="U1064" s="507"/>
      <c r="V1064" s="507"/>
      <c r="W1064" s="507"/>
    </row>
    <row r="1065" ht="35.25" customHeight="1">
      <c r="A1065" s="507"/>
      <c r="B1065" s="507"/>
      <c r="C1065" s="507"/>
      <c r="D1065" s="508"/>
      <c r="E1065" s="507"/>
      <c r="F1065" s="507"/>
      <c r="G1065" s="507"/>
      <c r="H1065" s="507"/>
      <c r="I1065" s="507"/>
      <c r="J1065" s="507"/>
      <c r="K1065" s="507"/>
      <c r="L1065" s="507"/>
      <c r="M1065" s="507"/>
      <c r="N1065" s="507"/>
      <c r="O1065" s="507"/>
      <c r="P1065" s="507"/>
      <c r="Q1065" s="507"/>
      <c r="R1065" s="507"/>
      <c r="S1065" s="507"/>
      <c r="T1065" s="507"/>
      <c r="U1065" s="507"/>
      <c r="V1065" s="507"/>
      <c r="W1065" s="507"/>
    </row>
    <row r="1066" ht="35.25" customHeight="1">
      <c r="A1066" s="507"/>
      <c r="B1066" s="507"/>
      <c r="C1066" s="507"/>
      <c r="D1066" s="508"/>
      <c r="E1066" s="507"/>
      <c r="F1066" s="507"/>
      <c r="G1066" s="507"/>
      <c r="H1066" s="507"/>
      <c r="I1066" s="507"/>
      <c r="J1066" s="507"/>
      <c r="K1066" s="507"/>
      <c r="L1066" s="507"/>
      <c r="M1066" s="507"/>
      <c r="N1066" s="507"/>
      <c r="O1066" s="507"/>
      <c r="P1066" s="507"/>
      <c r="Q1066" s="507"/>
      <c r="R1066" s="507"/>
      <c r="S1066" s="507"/>
      <c r="T1066" s="507"/>
      <c r="U1066" s="507"/>
      <c r="V1066" s="507"/>
      <c r="W1066" s="507"/>
    </row>
    <row r="1067" ht="35.25" customHeight="1">
      <c r="A1067" s="507"/>
      <c r="B1067" s="507"/>
      <c r="C1067" s="507"/>
      <c r="D1067" s="508"/>
      <c r="E1067" s="507"/>
      <c r="F1067" s="507"/>
      <c r="G1067" s="507"/>
      <c r="H1067" s="507"/>
      <c r="I1067" s="507"/>
      <c r="J1067" s="507"/>
      <c r="K1067" s="507"/>
      <c r="L1067" s="507"/>
      <c r="M1067" s="507"/>
      <c r="N1067" s="507"/>
      <c r="O1067" s="507"/>
      <c r="P1067" s="507"/>
      <c r="Q1067" s="507"/>
      <c r="R1067" s="507"/>
      <c r="S1067" s="507"/>
      <c r="T1067" s="507"/>
      <c r="U1067" s="507"/>
      <c r="V1067" s="507"/>
      <c r="W1067" s="507"/>
    </row>
    <row r="1068" ht="35.25" customHeight="1">
      <c r="A1068" s="507"/>
      <c r="B1068" s="507"/>
      <c r="C1068" s="507"/>
      <c r="D1068" s="508"/>
      <c r="E1068" s="507"/>
      <c r="F1068" s="507"/>
      <c r="G1068" s="507"/>
      <c r="H1068" s="507"/>
      <c r="I1068" s="507"/>
      <c r="J1068" s="507"/>
      <c r="K1068" s="507"/>
      <c r="L1068" s="507"/>
      <c r="M1068" s="507"/>
      <c r="N1068" s="507"/>
      <c r="O1068" s="507"/>
      <c r="P1068" s="507"/>
      <c r="Q1068" s="507"/>
      <c r="R1068" s="507"/>
      <c r="S1068" s="507"/>
      <c r="T1068" s="507"/>
      <c r="U1068" s="507"/>
      <c r="V1068" s="507"/>
      <c r="W1068" s="507"/>
    </row>
    <row r="1069" ht="35.25" customHeight="1">
      <c r="A1069" s="507"/>
      <c r="B1069" s="507"/>
      <c r="C1069" s="507"/>
      <c r="D1069" s="508"/>
      <c r="E1069" s="507"/>
      <c r="F1069" s="507"/>
      <c r="G1069" s="507"/>
      <c r="H1069" s="507"/>
      <c r="I1069" s="507"/>
      <c r="J1069" s="507"/>
      <c r="K1069" s="507"/>
      <c r="L1069" s="507"/>
      <c r="M1069" s="507"/>
      <c r="N1069" s="507"/>
      <c r="O1069" s="507"/>
      <c r="P1069" s="507"/>
      <c r="Q1069" s="507"/>
      <c r="R1069" s="507"/>
      <c r="S1069" s="507"/>
      <c r="T1069" s="507"/>
      <c r="U1069" s="507"/>
      <c r="V1069" s="507"/>
      <c r="W1069" s="507"/>
    </row>
    <row r="1070" ht="35.25" customHeight="1">
      <c r="A1070" s="507"/>
      <c r="B1070" s="507"/>
      <c r="C1070" s="507"/>
      <c r="D1070" s="508"/>
      <c r="E1070" s="507"/>
      <c r="F1070" s="507"/>
      <c r="G1070" s="507"/>
      <c r="H1070" s="507"/>
      <c r="I1070" s="507"/>
      <c r="J1070" s="507"/>
      <c r="K1070" s="507"/>
      <c r="L1070" s="507"/>
      <c r="M1070" s="507"/>
      <c r="N1070" s="507"/>
      <c r="O1070" s="507"/>
      <c r="P1070" s="507"/>
      <c r="Q1070" s="507"/>
      <c r="R1070" s="507"/>
      <c r="S1070" s="507"/>
      <c r="T1070" s="507"/>
      <c r="U1070" s="507"/>
      <c r="V1070" s="507"/>
      <c r="W1070" s="507"/>
    </row>
    <row r="1071" ht="35.25" customHeight="1">
      <c r="A1071" s="507"/>
      <c r="B1071" s="507"/>
      <c r="C1071" s="507"/>
      <c r="D1071" s="508"/>
      <c r="E1071" s="507"/>
      <c r="F1071" s="507"/>
      <c r="G1071" s="507"/>
      <c r="H1071" s="507"/>
      <c r="I1071" s="507"/>
      <c r="J1071" s="507"/>
      <c r="K1071" s="507"/>
      <c r="L1071" s="507"/>
      <c r="M1071" s="507"/>
      <c r="N1071" s="507"/>
      <c r="O1071" s="507"/>
      <c r="P1071" s="507"/>
      <c r="Q1071" s="507"/>
      <c r="R1071" s="507"/>
      <c r="S1071" s="507"/>
      <c r="T1071" s="507"/>
      <c r="U1071" s="507"/>
      <c r="V1071" s="507"/>
      <c r="W1071" s="507"/>
    </row>
    <row r="1072" ht="35.25" customHeight="1">
      <c r="A1072" s="507"/>
      <c r="B1072" s="507"/>
      <c r="C1072" s="507"/>
      <c r="D1072" s="508"/>
      <c r="E1072" s="507"/>
      <c r="F1072" s="507"/>
      <c r="G1072" s="507"/>
      <c r="H1072" s="507"/>
      <c r="I1072" s="507"/>
      <c r="J1072" s="507"/>
      <c r="K1072" s="507"/>
      <c r="L1072" s="507"/>
      <c r="M1072" s="507"/>
      <c r="N1072" s="507"/>
      <c r="O1072" s="507"/>
      <c r="P1072" s="507"/>
      <c r="Q1072" s="507"/>
      <c r="R1072" s="507"/>
      <c r="S1072" s="507"/>
      <c r="T1072" s="507"/>
      <c r="U1072" s="507"/>
      <c r="V1072" s="507"/>
      <c r="W1072" s="507"/>
    </row>
    <row r="1073" ht="35.25" customHeight="1">
      <c r="A1073" s="507"/>
      <c r="B1073" s="507"/>
      <c r="C1073" s="507"/>
      <c r="D1073" s="508"/>
      <c r="E1073" s="507"/>
      <c r="F1073" s="507"/>
      <c r="G1073" s="507"/>
      <c r="H1073" s="507"/>
      <c r="I1073" s="507"/>
      <c r="J1073" s="507"/>
      <c r="K1073" s="507"/>
      <c r="L1073" s="507"/>
      <c r="M1073" s="507"/>
      <c r="N1073" s="507"/>
      <c r="O1073" s="507"/>
      <c r="P1073" s="507"/>
      <c r="Q1073" s="507"/>
      <c r="R1073" s="507"/>
      <c r="S1073" s="507"/>
      <c r="T1073" s="507"/>
      <c r="U1073" s="507"/>
      <c r="V1073" s="507"/>
      <c r="W1073" s="507"/>
    </row>
    <row r="1074" ht="35.25" customHeight="1">
      <c r="A1074" s="507"/>
      <c r="B1074" s="507"/>
      <c r="C1074" s="507"/>
      <c r="D1074" s="508"/>
      <c r="E1074" s="507"/>
      <c r="F1074" s="507"/>
      <c r="G1074" s="507"/>
      <c r="H1074" s="507"/>
      <c r="I1074" s="507"/>
      <c r="J1074" s="507"/>
      <c r="K1074" s="507"/>
      <c r="L1074" s="507"/>
      <c r="M1074" s="507"/>
      <c r="N1074" s="507"/>
      <c r="O1074" s="507"/>
      <c r="P1074" s="507"/>
      <c r="Q1074" s="507"/>
      <c r="R1074" s="507"/>
      <c r="S1074" s="507"/>
      <c r="T1074" s="507"/>
      <c r="U1074" s="507"/>
      <c r="V1074" s="507"/>
      <c r="W1074" s="507"/>
    </row>
    <row r="1075" ht="35.25" customHeight="1">
      <c r="A1075" s="507"/>
      <c r="B1075" s="507"/>
      <c r="C1075" s="507"/>
      <c r="D1075" s="508"/>
      <c r="E1075" s="507"/>
      <c r="F1075" s="507"/>
      <c r="G1075" s="507"/>
      <c r="H1075" s="507"/>
      <c r="I1075" s="507"/>
      <c r="J1075" s="507"/>
      <c r="K1075" s="507"/>
      <c r="L1075" s="507"/>
      <c r="M1075" s="507"/>
      <c r="N1075" s="507"/>
      <c r="O1075" s="507"/>
      <c r="P1075" s="507"/>
      <c r="Q1075" s="507"/>
      <c r="R1075" s="507"/>
      <c r="S1075" s="507"/>
      <c r="T1075" s="507"/>
      <c r="U1075" s="507"/>
      <c r="V1075" s="507"/>
      <c r="W1075" s="507"/>
    </row>
    <row r="1076" ht="35.25" customHeight="1">
      <c r="A1076" s="507"/>
      <c r="B1076" s="507"/>
      <c r="C1076" s="507"/>
      <c r="D1076" s="508"/>
      <c r="E1076" s="507"/>
      <c r="F1076" s="507"/>
      <c r="G1076" s="507"/>
      <c r="H1076" s="507"/>
      <c r="I1076" s="507"/>
      <c r="J1076" s="507"/>
      <c r="K1076" s="507"/>
      <c r="L1076" s="507"/>
      <c r="M1076" s="507"/>
      <c r="N1076" s="507"/>
      <c r="O1076" s="507"/>
      <c r="P1076" s="507"/>
      <c r="Q1076" s="507"/>
      <c r="R1076" s="507"/>
      <c r="S1076" s="507"/>
      <c r="T1076" s="507"/>
      <c r="U1076" s="507"/>
      <c r="V1076" s="507"/>
      <c r="W1076" s="507"/>
    </row>
    <row r="1077" ht="35.25" customHeight="1">
      <c r="A1077" s="507"/>
      <c r="B1077" s="507"/>
      <c r="C1077" s="507"/>
      <c r="D1077" s="508"/>
      <c r="E1077" s="507"/>
      <c r="F1077" s="507"/>
      <c r="G1077" s="507"/>
      <c r="H1077" s="507"/>
      <c r="I1077" s="507"/>
      <c r="J1077" s="507"/>
      <c r="K1077" s="507"/>
      <c r="L1077" s="507"/>
      <c r="M1077" s="507"/>
      <c r="N1077" s="507"/>
      <c r="O1077" s="507"/>
      <c r="P1077" s="507"/>
      <c r="Q1077" s="507"/>
      <c r="R1077" s="507"/>
      <c r="S1077" s="507"/>
      <c r="T1077" s="507"/>
      <c r="U1077" s="507"/>
      <c r="V1077" s="507"/>
      <c r="W1077" s="507"/>
    </row>
    <row r="1078" ht="35.25" customHeight="1">
      <c r="A1078" s="507"/>
      <c r="B1078" s="507"/>
      <c r="C1078" s="507"/>
      <c r="D1078" s="507"/>
      <c r="E1078" s="507"/>
      <c r="F1078" s="507"/>
      <c r="G1078" s="507"/>
      <c r="H1078" s="507"/>
      <c r="I1078" s="507"/>
      <c r="J1078" s="507"/>
      <c r="K1078" s="507"/>
      <c r="L1078" s="507"/>
      <c r="M1078" s="507"/>
      <c r="N1078" s="507"/>
      <c r="O1078" s="507"/>
      <c r="P1078" s="507"/>
      <c r="Q1078" s="507"/>
      <c r="R1078" s="507"/>
      <c r="S1078" s="507"/>
      <c r="T1078" s="507"/>
      <c r="U1078" s="507"/>
      <c r="V1078" s="507"/>
      <c r="W1078" s="507"/>
    </row>
    <row r="1079" ht="35.25" customHeight="1">
      <c r="A1079" s="507"/>
      <c r="B1079" s="507"/>
      <c r="C1079" s="507"/>
      <c r="D1079" s="507"/>
      <c r="E1079" s="507"/>
      <c r="F1079" s="507"/>
      <c r="G1079" s="507"/>
      <c r="H1079" s="507"/>
      <c r="I1079" s="507"/>
      <c r="J1079" s="507"/>
      <c r="K1079" s="507"/>
      <c r="L1079" s="507"/>
      <c r="M1079" s="507"/>
      <c r="N1079" s="507"/>
      <c r="O1079" s="507"/>
      <c r="P1079" s="507"/>
      <c r="Q1079" s="507"/>
      <c r="R1079" s="507"/>
      <c r="S1079" s="507"/>
      <c r="T1079" s="507"/>
      <c r="U1079" s="507"/>
      <c r="V1079" s="507"/>
      <c r="W1079" s="507"/>
    </row>
    <row r="1080" ht="35.25" customHeight="1">
      <c r="A1080" s="507"/>
      <c r="B1080" s="507"/>
      <c r="C1080" s="507"/>
      <c r="D1080" s="507"/>
      <c r="E1080" s="507"/>
      <c r="F1080" s="507"/>
      <c r="G1080" s="507"/>
      <c r="H1080" s="507"/>
      <c r="I1080" s="507"/>
      <c r="J1080" s="507"/>
      <c r="K1080" s="507"/>
      <c r="L1080" s="507"/>
      <c r="M1080" s="507"/>
      <c r="N1080" s="507"/>
      <c r="O1080" s="507"/>
      <c r="P1080" s="507"/>
      <c r="Q1080" s="507"/>
      <c r="R1080" s="507"/>
      <c r="S1080" s="507"/>
      <c r="T1080" s="507"/>
      <c r="U1080" s="507"/>
      <c r="V1080" s="507"/>
      <c r="W1080" s="507"/>
    </row>
    <row r="1081" ht="35.25" customHeight="1">
      <c r="A1081" s="507"/>
      <c r="B1081" s="507"/>
      <c r="C1081" s="507"/>
      <c r="D1081" s="507"/>
      <c r="E1081" s="507"/>
      <c r="F1081" s="507"/>
      <c r="G1081" s="507"/>
      <c r="H1081" s="507"/>
      <c r="I1081" s="507"/>
      <c r="J1081" s="507"/>
      <c r="K1081" s="507"/>
      <c r="L1081" s="507"/>
      <c r="M1081" s="507"/>
      <c r="N1081" s="507"/>
      <c r="O1081" s="507"/>
      <c r="P1081" s="507"/>
      <c r="Q1081" s="507"/>
      <c r="R1081" s="507"/>
      <c r="S1081" s="507"/>
      <c r="T1081" s="507"/>
      <c r="U1081" s="507"/>
      <c r="V1081" s="507"/>
      <c r="W1081" s="507"/>
    </row>
  </sheetData>
  <mergeCells count="307">
    <mergeCell ref="A70:A78"/>
    <mergeCell ref="A79:A82"/>
    <mergeCell ref="A83:A87"/>
    <mergeCell ref="A88:A91"/>
    <mergeCell ref="A92:A97"/>
    <mergeCell ref="A98:A104"/>
    <mergeCell ref="A105:A109"/>
    <mergeCell ref="A110:A115"/>
    <mergeCell ref="A116:A120"/>
    <mergeCell ref="A121:A124"/>
    <mergeCell ref="A125:A128"/>
    <mergeCell ref="A129:A132"/>
    <mergeCell ref="A133:A138"/>
    <mergeCell ref="A139:A145"/>
    <mergeCell ref="A184:A187"/>
    <mergeCell ref="A188:A191"/>
    <mergeCell ref="A192:A196"/>
    <mergeCell ref="A146:A150"/>
    <mergeCell ref="A151:A156"/>
    <mergeCell ref="A161:A164"/>
    <mergeCell ref="A165:A168"/>
    <mergeCell ref="A169:A172"/>
    <mergeCell ref="A173:A179"/>
    <mergeCell ref="A180:A183"/>
    <mergeCell ref="A2:D2"/>
    <mergeCell ref="A4:A9"/>
    <mergeCell ref="D4:D9"/>
    <mergeCell ref="E4:E5"/>
    <mergeCell ref="A10:A15"/>
    <mergeCell ref="F10:F16"/>
    <mergeCell ref="A16:A22"/>
    <mergeCell ref="I28:I30"/>
    <mergeCell ref="I32:I37"/>
    <mergeCell ref="A23:A26"/>
    <mergeCell ref="D23:D26"/>
    <mergeCell ref="F24:G30"/>
    <mergeCell ref="A27:A30"/>
    <mergeCell ref="D27:D30"/>
    <mergeCell ref="D31:D35"/>
    <mergeCell ref="D36:D41"/>
    <mergeCell ref="D110:D115"/>
    <mergeCell ref="D116:D120"/>
    <mergeCell ref="D121:D124"/>
    <mergeCell ref="F122:H122"/>
    <mergeCell ref="F123:H123"/>
    <mergeCell ref="F124:H124"/>
    <mergeCell ref="D125:D128"/>
    <mergeCell ref="D129:D132"/>
    <mergeCell ref="D157:D160"/>
    <mergeCell ref="D197:D201"/>
    <mergeCell ref="D202:D206"/>
    <mergeCell ref="F33:F39"/>
    <mergeCell ref="F43:F46"/>
    <mergeCell ref="F48:F51"/>
    <mergeCell ref="F58:F60"/>
    <mergeCell ref="F80:F83"/>
    <mergeCell ref="F86:F91"/>
    <mergeCell ref="F142:F149"/>
    <mergeCell ref="L249:L253"/>
    <mergeCell ref="L255:L259"/>
    <mergeCell ref="L261:L267"/>
    <mergeCell ref="F151:F161"/>
    <mergeCell ref="F173:F181"/>
    <mergeCell ref="I181:I186"/>
    <mergeCell ref="H182:H184"/>
    <mergeCell ref="F183:F184"/>
    <mergeCell ref="F190:F191"/>
    <mergeCell ref="I192:I205"/>
    <mergeCell ref="D10:D15"/>
    <mergeCell ref="D16:D22"/>
    <mergeCell ref="D42:D46"/>
    <mergeCell ref="D48:D51"/>
    <mergeCell ref="D52:D57"/>
    <mergeCell ref="D58:D63"/>
    <mergeCell ref="D64:D69"/>
    <mergeCell ref="D70:D78"/>
    <mergeCell ref="D79:D82"/>
    <mergeCell ref="D83:D87"/>
    <mergeCell ref="D88:D91"/>
    <mergeCell ref="D92:D97"/>
    <mergeCell ref="D98:D104"/>
    <mergeCell ref="D105:D109"/>
    <mergeCell ref="D133:D138"/>
    <mergeCell ref="D139:D145"/>
    <mergeCell ref="D146:D150"/>
    <mergeCell ref="D151:D156"/>
    <mergeCell ref="D161:D164"/>
    <mergeCell ref="D165:D168"/>
    <mergeCell ref="D169:D172"/>
    <mergeCell ref="D173:D179"/>
    <mergeCell ref="D180:D183"/>
    <mergeCell ref="D184:D187"/>
    <mergeCell ref="D188:D191"/>
    <mergeCell ref="D192:D196"/>
    <mergeCell ref="D207:D211"/>
    <mergeCell ref="D212:D216"/>
    <mergeCell ref="D217:D221"/>
    <mergeCell ref="D222:D226"/>
    <mergeCell ref="D227:D233"/>
    <mergeCell ref="D234:D240"/>
    <mergeCell ref="D241:D244"/>
    <mergeCell ref="D245:D250"/>
    <mergeCell ref="D251:D255"/>
    <mergeCell ref="D256:D260"/>
    <mergeCell ref="D261:D265"/>
    <mergeCell ref="D266:D269"/>
    <mergeCell ref="D270:D273"/>
    <mergeCell ref="D274:D278"/>
    <mergeCell ref="D279:D283"/>
    <mergeCell ref="D284:D287"/>
    <mergeCell ref="D288:D292"/>
    <mergeCell ref="D293:D297"/>
    <mergeCell ref="D298:D302"/>
    <mergeCell ref="D303:D306"/>
    <mergeCell ref="D307:D310"/>
    <mergeCell ref="D311:D314"/>
    <mergeCell ref="D315:D318"/>
    <mergeCell ref="A31:A35"/>
    <mergeCell ref="A36:A41"/>
    <mergeCell ref="A42:A46"/>
    <mergeCell ref="A47:A51"/>
    <mergeCell ref="A52:A57"/>
    <mergeCell ref="A58:A63"/>
    <mergeCell ref="A64:A69"/>
    <mergeCell ref="A157:A160"/>
    <mergeCell ref="A197:A201"/>
    <mergeCell ref="A202:A206"/>
    <mergeCell ref="A207:A211"/>
    <mergeCell ref="A212:A216"/>
    <mergeCell ref="A217:A221"/>
    <mergeCell ref="A222:A226"/>
    <mergeCell ref="A227:A233"/>
    <mergeCell ref="A234:A240"/>
    <mergeCell ref="A241:A244"/>
    <mergeCell ref="A245:A250"/>
    <mergeCell ref="A251:A255"/>
    <mergeCell ref="A256:A260"/>
    <mergeCell ref="A261:A265"/>
    <mergeCell ref="A266:A269"/>
    <mergeCell ref="A270:A273"/>
    <mergeCell ref="A274:A278"/>
    <mergeCell ref="A279:A283"/>
    <mergeCell ref="A284:A287"/>
    <mergeCell ref="A288:A292"/>
    <mergeCell ref="A293:A297"/>
    <mergeCell ref="A298:A302"/>
    <mergeCell ref="A303:A306"/>
    <mergeCell ref="A307:A310"/>
    <mergeCell ref="A311:A314"/>
    <mergeCell ref="A315:A318"/>
    <mergeCell ref="A319:A322"/>
    <mergeCell ref="A323:A327"/>
    <mergeCell ref="A328:A331"/>
    <mergeCell ref="A332:A335"/>
    <mergeCell ref="A336:A340"/>
    <mergeCell ref="A341:A344"/>
    <mergeCell ref="A345:A348"/>
    <mergeCell ref="A349:A352"/>
    <mergeCell ref="A353:A357"/>
    <mergeCell ref="A358:A362"/>
    <mergeCell ref="A363:A366"/>
    <mergeCell ref="A367:A370"/>
    <mergeCell ref="A371:A374"/>
    <mergeCell ref="A375:A378"/>
    <mergeCell ref="A379:A385"/>
    <mergeCell ref="A386:A389"/>
    <mergeCell ref="D488:D491"/>
    <mergeCell ref="D492:D495"/>
    <mergeCell ref="D496:D499"/>
    <mergeCell ref="D500:D504"/>
    <mergeCell ref="D505:D509"/>
    <mergeCell ref="D510:D514"/>
    <mergeCell ref="D515:D518"/>
    <mergeCell ref="D539:D542"/>
    <mergeCell ref="D519:D522"/>
    <mergeCell ref="D523:D526"/>
    <mergeCell ref="D527:D530"/>
    <mergeCell ref="D531:D534"/>
    <mergeCell ref="D535:D538"/>
    <mergeCell ref="I535:I538"/>
    <mergeCell ref="I539:I549"/>
    <mergeCell ref="D543:D546"/>
    <mergeCell ref="D547:D550"/>
    <mergeCell ref="D551:D555"/>
    <mergeCell ref="D556:D559"/>
    <mergeCell ref="D560:D563"/>
    <mergeCell ref="D564:D567"/>
    <mergeCell ref="D568:D572"/>
    <mergeCell ref="D573:D576"/>
    <mergeCell ref="D577:D580"/>
    <mergeCell ref="D581:D584"/>
    <mergeCell ref="D585:D589"/>
    <mergeCell ref="D590:D593"/>
    <mergeCell ref="D594:D597"/>
    <mergeCell ref="D598:D602"/>
    <mergeCell ref="D628:D631"/>
    <mergeCell ref="D632:D635"/>
    <mergeCell ref="D636:D639"/>
    <mergeCell ref="D603:D607"/>
    <mergeCell ref="D608:D611"/>
    <mergeCell ref="D612:D615"/>
    <mergeCell ref="D616:D619"/>
    <mergeCell ref="D620:D623"/>
    <mergeCell ref="F623:G623"/>
    <mergeCell ref="D624:D627"/>
    <mergeCell ref="D319:D322"/>
    <mergeCell ref="D323:D327"/>
    <mergeCell ref="D328:D331"/>
    <mergeCell ref="D332:D335"/>
    <mergeCell ref="D336:D340"/>
    <mergeCell ref="D341:D344"/>
    <mergeCell ref="D345:D348"/>
    <mergeCell ref="D349:D352"/>
    <mergeCell ref="D353:D357"/>
    <mergeCell ref="D358:D362"/>
    <mergeCell ref="D363:D366"/>
    <mergeCell ref="D367:D370"/>
    <mergeCell ref="D371:D374"/>
    <mergeCell ref="D375:D378"/>
    <mergeCell ref="G423:I423"/>
    <mergeCell ref="G424:I424"/>
    <mergeCell ref="D411:D414"/>
    <mergeCell ref="D415:D418"/>
    <mergeCell ref="D419:D423"/>
    <mergeCell ref="G419:I419"/>
    <mergeCell ref="G420:I420"/>
    <mergeCell ref="G421:I421"/>
    <mergeCell ref="G422:I422"/>
    <mergeCell ref="D379:D385"/>
    <mergeCell ref="D386:D389"/>
    <mergeCell ref="D390:D393"/>
    <mergeCell ref="D394:D397"/>
    <mergeCell ref="D398:D401"/>
    <mergeCell ref="D402:D406"/>
    <mergeCell ref="D407:D410"/>
    <mergeCell ref="D424:D427"/>
    <mergeCell ref="D428:D432"/>
    <mergeCell ref="D433:D437"/>
    <mergeCell ref="D438:D443"/>
    <mergeCell ref="D444:D448"/>
    <mergeCell ref="D449:D452"/>
    <mergeCell ref="D453:D456"/>
    <mergeCell ref="D457:D460"/>
    <mergeCell ref="D461:D464"/>
    <mergeCell ref="D465:D469"/>
    <mergeCell ref="D470:D474"/>
    <mergeCell ref="D475:D479"/>
    <mergeCell ref="D480:D483"/>
    <mergeCell ref="D484:D487"/>
    <mergeCell ref="A632:A635"/>
    <mergeCell ref="A636:A639"/>
    <mergeCell ref="A603:A607"/>
    <mergeCell ref="A608:A611"/>
    <mergeCell ref="A612:A615"/>
    <mergeCell ref="A616:A619"/>
    <mergeCell ref="A620:A623"/>
    <mergeCell ref="A624:A627"/>
    <mergeCell ref="A628:A631"/>
    <mergeCell ref="A390:A393"/>
    <mergeCell ref="A394:A397"/>
    <mergeCell ref="A398:A401"/>
    <mergeCell ref="A402:A406"/>
    <mergeCell ref="A407:A410"/>
    <mergeCell ref="A411:A414"/>
    <mergeCell ref="A415:A418"/>
    <mergeCell ref="A419:A423"/>
    <mergeCell ref="A424:A427"/>
    <mergeCell ref="A428:A432"/>
    <mergeCell ref="A433:A437"/>
    <mergeCell ref="A438:A443"/>
    <mergeCell ref="A444:A448"/>
    <mergeCell ref="A449:A452"/>
    <mergeCell ref="A453:A456"/>
    <mergeCell ref="A457:A460"/>
    <mergeCell ref="A461:A464"/>
    <mergeCell ref="A465:A469"/>
    <mergeCell ref="A470:A474"/>
    <mergeCell ref="A475:A479"/>
    <mergeCell ref="A480:A483"/>
    <mergeCell ref="A484:A487"/>
    <mergeCell ref="A488:A491"/>
    <mergeCell ref="A492:A495"/>
    <mergeCell ref="A496:A499"/>
    <mergeCell ref="A500:A504"/>
    <mergeCell ref="A505:A509"/>
    <mergeCell ref="A510:A514"/>
    <mergeCell ref="A515:A518"/>
    <mergeCell ref="A519:A522"/>
    <mergeCell ref="A523:A526"/>
    <mergeCell ref="A527:A530"/>
    <mergeCell ref="A531:A534"/>
    <mergeCell ref="A535:A538"/>
    <mergeCell ref="A539:A542"/>
    <mergeCell ref="A543:A546"/>
    <mergeCell ref="A547:A550"/>
    <mergeCell ref="A551:A555"/>
    <mergeCell ref="A556:A559"/>
    <mergeCell ref="A560:A563"/>
    <mergeCell ref="A564:A567"/>
    <mergeCell ref="A568:A572"/>
    <mergeCell ref="A573:A576"/>
    <mergeCell ref="A577:A580"/>
    <mergeCell ref="A581:A584"/>
    <mergeCell ref="A585:A589"/>
    <mergeCell ref="A590:A593"/>
    <mergeCell ref="A594:A597"/>
    <mergeCell ref="A598:A60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23.0"/>
    <col customWidth="1" min="3" max="3" width="25.57"/>
    <col customWidth="1" min="4" max="4" width="34.29"/>
    <col customWidth="1" min="5" max="5" width="38.71"/>
    <col customWidth="1" min="6" max="6" width="51.29"/>
    <col customWidth="1" min="7" max="7" width="27.57"/>
    <col customWidth="1" min="8" max="8" width="18.57"/>
    <col customWidth="1" min="9" max="9" width="27.86"/>
    <col customWidth="1" min="10" max="10" width="39.0"/>
    <col customWidth="1" min="11" max="11" width="26.0"/>
    <col customWidth="1" min="12" max="12" width="30.14"/>
    <col customWidth="1" min="13" max="23" width="8.71"/>
  </cols>
  <sheetData>
    <row r="1" ht="35.25" customHeight="1">
      <c r="A1" s="506">
        <v>0.0</v>
      </c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</row>
    <row r="2" ht="35.25" customHeight="1">
      <c r="A2" s="509" t="s">
        <v>754</v>
      </c>
      <c r="B2" s="4"/>
      <c r="C2" s="4"/>
      <c r="D2" s="5"/>
      <c r="E2" s="507"/>
      <c r="F2" s="510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</row>
    <row r="3" ht="35.25" customHeight="1">
      <c r="A3" s="511" t="s">
        <v>1</v>
      </c>
      <c r="B3" s="511"/>
      <c r="C3" s="511" t="s">
        <v>2</v>
      </c>
      <c r="D3" s="511" t="s">
        <v>4</v>
      </c>
      <c r="E3" s="507"/>
      <c r="F3" s="507"/>
      <c r="G3" s="508"/>
      <c r="H3" s="512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</row>
    <row r="4" ht="35.25" customHeight="1">
      <c r="A4" s="513" t="s">
        <v>646</v>
      </c>
      <c r="B4" s="514" t="s">
        <v>755</v>
      </c>
      <c r="C4" s="515">
        <v>3557500.0</v>
      </c>
      <c r="D4" s="516">
        <f>sum(C4:C6)</f>
        <v>46902500</v>
      </c>
      <c r="E4" s="506"/>
      <c r="F4" s="507"/>
      <c r="G4" s="508"/>
      <c r="H4" s="512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</row>
    <row r="5" ht="35.25" customHeight="1">
      <c r="A5" s="18"/>
      <c r="B5" s="514" t="s">
        <v>756</v>
      </c>
      <c r="C5" s="515">
        <v>6412500.0</v>
      </c>
      <c r="D5" s="18"/>
      <c r="F5" s="507"/>
      <c r="G5" s="508"/>
      <c r="H5" s="512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</row>
    <row r="6" ht="35.25" customHeight="1">
      <c r="A6" s="18"/>
      <c r="B6" s="514" t="s">
        <v>757</v>
      </c>
      <c r="C6" s="515">
        <v>3.69325E7</v>
      </c>
      <c r="D6" s="18"/>
      <c r="E6" s="507"/>
      <c r="F6" s="507"/>
      <c r="G6" s="508"/>
      <c r="H6" s="512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</row>
    <row r="7" ht="35.25" customHeight="1">
      <c r="A7" s="18"/>
      <c r="B7" s="514"/>
      <c r="C7" s="515"/>
      <c r="D7" s="18"/>
      <c r="E7" s="517"/>
      <c r="F7" s="507"/>
      <c r="G7" s="517"/>
      <c r="H7" s="518"/>
      <c r="I7" s="50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7"/>
      <c r="W7" s="517"/>
    </row>
    <row r="8" ht="35.25" customHeight="1">
      <c r="A8" s="18"/>
      <c r="B8" s="519"/>
      <c r="C8" s="515"/>
      <c r="D8" s="18"/>
      <c r="E8" s="517"/>
      <c r="F8" s="507"/>
      <c r="G8" s="517"/>
      <c r="H8" s="518"/>
      <c r="I8" s="507"/>
      <c r="J8" s="517"/>
      <c r="K8" s="517"/>
      <c r="L8" s="517"/>
      <c r="M8" s="517"/>
      <c r="N8" s="517"/>
      <c r="O8" s="517"/>
      <c r="P8" s="517"/>
      <c r="Q8" s="517"/>
      <c r="R8" s="517"/>
      <c r="S8" s="517"/>
      <c r="T8" s="517"/>
      <c r="U8" s="517"/>
      <c r="V8" s="517"/>
      <c r="W8" s="517"/>
    </row>
    <row r="9" ht="35.25" customHeight="1">
      <c r="A9" s="22"/>
      <c r="B9" s="520"/>
      <c r="C9" s="515"/>
      <c r="D9" s="22"/>
      <c r="E9" s="517"/>
      <c r="F9" s="507"/>
      <c r="G9" s="517"/>
      <c r="H9" s="518"/>
      <c r="I9" s="50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</row>
    <row r="10" ht="35.25" customHeight="1">
      <c r="A10" s="513" t="s">
        <v>650</v>
      </c>
      <c r="B10" s="514"/>
      <c r="C10" s="514"/>
      <c r="D10" s="521">
        <f>sum(C12:C16)</f>
        <v>89959000</v>
      </c>
      <c r="E10" s="507"/>
      <c r="F10" s="522"/>
      <c r="G10" s="508"/>
      <c r="H10" s="512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</row>
    <row r="11" ht="35.25" customHeight="1">
      <c r="A11" s="18"/>
      <c r="B11" s="514"/>
      <c r="C11" s="515"/>
      <c r="D11" s="18"/>
      <c r="E11" s="507"/>
      <c r="G11" s="508"/>
      <c r="H11" s="512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</row>
    <row r="12" ht="35.25" customHeight="1">
      <c r="A12" s="18"/>
      <c r="B12" s="514" t="s">
        <v>758</v>
      </c>
      <c r="C12" s="514">
        <v>5.1119E7</v>
      </c>
      <c r="D12" s="18"/>
      <c r="E12" s="523"/>
      <c r="G12" s="508"/>
      <c r="H12" s="512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</row>
    <row r="13" ht="35.25" customHeight="1">
      <c r="A13" s="18"/>
      <c r="B13" s="514" t="s">
        <v>759</v>
      </c>
      <c r="C13" s="514">
        <v>1.0495E7</v>
      </c>
      <c r="D13" s="18"/>
      <c r="E13" s="523"/>
      <c r="G13" s="508"/>
      <c r="H13" s="512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</row>
    <row r="14" ht="35.25" customHeight="1">
      <c r="A14" s="18"/>
      <c r="B14" s="514" t="s">
        <v>755</v>
      </c>
      <c r="C14" s="514">
        <v>9095000.0</v>
      </c>
      <c r="D14" s="18"/>
      <c r="E14" s="523"/>
      <c r="G14" s="508"/>
      <c r="H14" s="512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7"/>
      <c r="V14" s="507"/>
      <c r="W14" s="507"/>
    </row>
    <row r="15" ht="35.25" customHeight="1">
      <c r="A15" s="18"/>
      <c r="B15" s="514" t="s">
        <v>756</v>
      </c>
      <c r="C15" s="514">
        <v>7260000.0</v>
      </c>
      <c r="D15" s="18"/>
      <c r="E15" s="523"/>
      <c r="G15" s="508"/>
      <c r="H15" s="512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  <c r="T15" s="507"/>
      <c r="U15" s="507"/>
      <c r="V15" s="507"/>
      <c r="W15" s="507"/>
    </row>
    <row r="16" ht="35.25" customHeight="1">
      <c r="A16" s="22"/>
      <c r="B16" s="514" t="s">
        <v>757</v>
      </c>
      <c r="C16" s="514">
        <v>1.199E7</v>
      </c>
      <c r="D16" s="22"/>
      <c r="E16" s="523"/>
      <c r="G16" s="508"/>
      <c r="H16" s="512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</row>
    <row r="17" ht="35.25" customHeight="1">
      <c r="A17" s="513" t="s">
        <v>654</v>
      </c>
      <c r="B17" s="514"/>
      <c r="C17" s="514"/>
      <c r="D17" s="521">
        <f>sum(C18:C23)</f>
        <v>81450000</v>
      </c>
      <c r="E17" s="507"/>
      <c r="G17" s="508"/>
      <c r="H17" s="512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</row>
    <row r="18" ht="35.25" customHeight="1">
      <c r="A18" s="18"/>
      <c r="B18" s="524" t="s">
        <v>655</v>
      </c>
      <c r="C18" s="514">
        <v>1.685E7</v>
      </c>
      <c r="D18" s="18"/>
      <c r="E18" s="507"/>
      <c r="F18" s="525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</row>
    <row r="19" ht="35.25" customHeight="1">
      <c r="A19" s="18"/>
      <c r="B19" s="514" t="s">
        <v>651</v>
      </c>
      <c r="C19" s="514">
        <v>1.52E7</v>
      </c>
      <c r="D19" s="18"/>
      <c r="E19" s="507"/>
      <c r="F19" s="525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</row>
    <row r="20" ht="35.25" customHeight="1">
      <c r="A20" s="18"/>
      <c r="B20" s="514" t="s">
        <v>723</v>
      </c>
      <c r="C20" s="514">
        <v>1.52E7</v>
      </c>
      <c r="D20" s="18"/>
      <c r="E20" s="507"/>
      <c r="F20" s="525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</row>
    <row r="21" ht="35.25" customHeight="1">
      <c r="A21" s="18"/>
      <c r="B21" s="514" t="s">
        <v>760</v>
      </c>
      <c r="C21" s="514">
        <v>1.9E7</v>
      </c>
      <c r="D21" s="18"/>
      <c r="E21" s="507"/>
      <c r="F21" s="525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</row>
    <row r="22" ht="35.25" customHeight="1">
      <c r="A22" s="18"/>
      <c r="B22" s="514" t="s">
        <v>755</v>
      </c>
      <c r="C22" s="514">
        <v>7600000.0</v>
      </c>
      <c r="D22" s="18"/>
      <c r="E22" s="507"/>
      <c r="F22" s="525"/>
      <c r="G22" s="507"/>
      <c r="H22" s="507"/>
      <c r="I22" s="507"/>
      <c r="J22" s="507"/>
      <c r="K22" s="507"/>
      <c r="L22" s="507"/>
      <c r="M22" s="507"/>
      <c r="N22" s="507"/>
      <c r="O22" s="507"/>
      <c r="P22" s="507"/>
      <c r="Q22" s="507"/>
      <c r="R22" s="507"/>
      <c r="S22" s="507"/>
      <c r="T22" s="507"/>
      <c r="U22" s="507"/>
      <c r="V22" s="507"/>
      <c r="W22" s="507"/>
    </row>
    <row r="23" ht="35.25" customHeight="1">
      <c r="A23" s="22"/>
      <c r="B23" s="514" t="s">
        <v>757</v>
      </c>
      <c r="C23" s="514">
        <v>7600000.0</v>
      </c>
      <c r="D23" s="22"/>
      <c r="E23" s="507"/>
      <c r="F23" s="525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</row>
    <row r="24" ht="35.25" customHeight="1">
      <c r="A24" s="513" t="s">
        <v>18</v>
      </c>
      <c r="B24" s="514" t="s">
        <v>756</v>
      </c>
      <c r="C24" s="515">
        <v>5.211E7</v>
      </c>
      <c r="D24" s="516">
        <f>sum(C24:C25)</f>
        <v>125610000</v>
      </c>
      <c r="E24" s="525"/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</row>
    <row r="25" ht="35.25" customHeight="1">
      <c r="A25" s="18"/>
      <c r="B25" s="514" t="s">
        <v>757</v>
      </c>
      <c r="C25" s="515">
        <v>7.35E7</v>
      </c>
      <c r="D25" s="18"/>
      <c r="E25" s="507"/>
      <c r="F25" s="526"/>
      <c r="H25" s="518"/>
      <c r="I25" s="507"/>
      <c r="J25" s="507"/>
      <c r="K25" s="507"/>
      <c r="L25" s="507"/>
      <c r="M25" s="507"/>
      <c r="N25" s="507"/>
      <c r="O25" s="507"/>
      <c r="P25" s="507"/>
      <c r="Q25" s="507"/>
      <c r="R25" s="507"/>
      <c r="S25" s="507"/>
      <c r="T25" s="507"/>
      <c r="U25" s="507"/>
      <c r="V25" s="507"/>
      <c r="W25" s="507"/>
    </row>
    <row r="26" ht="35.25" customHeight="1">
      <c r="A26" s="18"/>
      <c r="B26" s="514"/>
      <c r="C26" s="515"/>
      <c r="D26" s="18"/>
      <c r="E26" s="507"/>
      <c r="H26" s="518"/>
      <c r="I26" s="507"/>
      <c r="J26" s="507"/>
      <c r="K26" s="507"/>
      <c r="L26" s="507"/>
      <c r="M26" s="507"/>
      <c r="N26" s="507"/>
      <c r="O26" s="507"/>
      <c r="P26" s="507"/>
      <c r="Q26" s="507"/>
      <c r="R26" s="507"/>
      <c r="S26" s="507"/>
      <c r="T26" s="507"/>
      <c r="U26" s="507"/>
      <c r="V26" s="507"/>
      <c r="W26" s="507"/>
    </row>
    <row r="27" ht="35.25" customHeight="1">
      <c r="A27" s="22"/>
      <c r="B27" s="514"/>
      <c r="C27" s="515"/>
      <c r="D27" s="22"/>
      <c r="E27" s="507"/>
      <c r="H27" s="518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507"/>
      <c r="W27" s="507"/>
    </row>
    <row r="28" ht="35.25" customHeight="1">
      <c r="A28" s="527" t="s">
        <v>19</v>
      </c>
      <c r="B28" s="514"/>
      <c r="C28" s="514"/>
      <c r="D28" s="516">
        <f>sum(C28:C29)</f>
        <v>13000000</v>
      </c>
      <c r="E28" s="507"/>
      <c r="H28" s="518"/>
      <c r="I28" s="507"/>
      <c r="J28" s="507"/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507"/>
      <c r="V28" s="507"/>
      <c r="W28" s="507"/>
    </row>
    <row r="29" ht="35.25" customHeight="1">
      <c r="A29" s="18"/>
      <c r="B29" s="514" t="s">
        <v>756</v>
      </c>
      <c r="C29" s="515">
        <v>1.3E7</v>
      </c>
      <c r="D29" s="18"/>
      <c r="E29" s="507"/>
      <c r="H29" s="518"/>
      <c r="I29" s="528" t="str">
        <f>#REF!</f>
        <v>#REF!</v>
      </c>
      <c r="J29" s="507"/>
      <c r="K29" s="507"/>
      <c r="L29" s="507"/>
      <c r="M29" s="507"/>
      <c r="N29" s="507"/>
      <c r="O29" s="507"/>
      <c r="P29" s="507"/>
      <c r="Q29" s="507"/>
      <c r="R29" s="507"/>
      <c r="S29" s="507"/>
      <c r="T29" s="507"/>
      <c r="U29" s="507"/>
      <c r="V29" s="507"/>
      <c r="W29" s="507"/>
    </row>
    <row r="30" ht="35.25" customHeight="1">
      <c r="A30" s="18"/>
      <c r="B30" s="514"/>
      <c r="C30" s="514"/>
      <c r="D30" s="18"/>
      <c r="E30" s="525"/>
      <c r="H30" s="518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</row>
    <row r="31" ht="35.25" customHeight="1">
      <c r="A31" s="22"/>
      <c r="B31" s="519"/>
      <c r="C31" s="515"/>
      <c r="D31" s="22"/>
      <c r="E31" s="507"/>
      <c r="H31" s="518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</row>
    <row r="32" ht="35.25" customHeight="1">
      <c r="A32" s="513" t="s">
        <v>20</v>
      </c>
      <c r="B32" s="514" t="s">
        <v>757</v>
      </c>
      <c r="C32" s="529">
        <v>7.0469E7</v>
      </c>
      <c r="D32" s="516">
        <v>7.0469E7</v>
      </c>
      <c r="E32" s="694"/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</row>
    <row r="33" ht="35.25" customHeight="1">
      <c r="A33" s="18"/>
      <c r="B33" s="514"/>
      <c r="C33" s="529"/>
      <c r="D33" s="18"/>
      <c r="E33" s="507"/>
      <c r="F33" s="507"/>
      <c r="G33" s="507"/>
      <c r="H33" s="507"/>
      <c r="I33" s="528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</row>
    <row r="34" ht="35.25" customHeight="1">
      <c r="A34" s="18"/>
      <c r="B34" s="514"/>
      <c r="C34" s="529"/>
      <c r="D34" s="18"/>
      <c r="E34" s="507"/>
      <c r="F34" s="530"/>
      <c r="G34" s="508"/>
      <c r="H34" s="531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7"/>
      <c r="V34" s="507"/>
      <c r="W34" s="507"/>
    </row>
    <row r="35" ht="35.25" customHeight="1">
      <c r="A35" s="18"/>
      <c r="B35" s="514"/>
      <c r="C35" s="529"/>
      <c r="D35" s="18"/>
      <c r="E35" s="507"/>
      <c r="G35" s="508"/>
      <c r="H35" s="531"/>
      <c r="J35" s="507"/>
      <c r="K35" s="507"/>
      <c r="L35" s="507"/>
      <c r="M35" s="507"/>
      <c r="N35" s="507"/>
      <c r="O35" s="507"/>
      <c r="P35" s="507"/>
      <c r="Q35" s="507"/>
      <c r="R35" s="507"/>
      <c r="S35" s="507"/>
      <c r="T35" s="507"/>
      <c r="U35" s="507"/>
      <c r="V35" s="507"/>
      <c r="W35" s="507"/>
    </row>
    <row r="36" ht="35.25" customHeight="1">
      <c r="A36" s="22"/>
      <c r="B36" s="514"/>
      <c r="C36" s="529" t="s">
        <v>761</v>
      </c>
      <c r="D36" s="22"/>
      <c r="E36" s="695"/>
      <c r="G36" s="508"/>
      <c r="H36" s="531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</row>
    <row r="37" ht="35.25" customHeight="1">
      <c r="A37" s="527" t="s">
        <v>22</v>
      </c>
      <c r="B37" s="514"/>
      <c r="C37" s="529"/>
      <c r="D37" s="516">
        <f>sum(C39:C41)</f>
        <v>49090500</v>
      </c>
      <c r="E37" s="507"/>
      <c r="G37" s="508"/>
      <c r="H37" s="531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7"/>
      <c r="W37" s="507"/>
    </row>
    <row r="38" ht="35.25" customHeight="1">
      <c r="A38" s="18"/>
      <c r="B38" s="514"/>
      <c r="C38" s="515"/>
      <c r="D38" s="18"/>
      <c r="E38" s="507"/>
      <c r="G38" s="532"/>
      <c r="H38" s="531"/>
      <c r="J38" s="507"/>
      <c r="K38" s="507"/>
      <c r="L38" s="507"/>
      <c r="M38" s="507"/>
      <c r="N38" s="507"/>
      <c r="O38" s="507"/>
      <c r="P38" s="507"/>
      <c r="Q38" s="507"/>
      <c r="R38" s="507"/>
      <c r="S38" s="507"/>
      <c r="T38" s="507"/>
      <c r="U38" s="507"/>
      <c r="V38" s="507"/>
      <c r="W38" s="507"/>
    </row>
    <row r="39" ht="35.25" customHeight="1">
      <c r="A39" s="18"/>
      <c r="B39" s="514" t="s">
        <v>755</v>
      </c>
      <c r="C39" s="529">
        <v>1.0215E7</v>
      </c>
      <c r="D39" s="18"/>
      <c r="E39" s="507"/>
      <c r="G39" s="508"/>
      <c r="H39" s="512"/>
      <c r="I39" s="533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</row>
    <row r="40" ht="35.25" customHeight="1">
      <c r="A40" s="18"/>
      <c r="B40" s="514" t="s">
        <v>756</v>
      </c>
      <c r="C40" s="529">
        <v>6388500.0</v>
      </c>
      <c r="D40" s="18"/>
      <c r="E40" s="507"/>
      <c r="G40" s="508"/>
      <c r="H40" s="508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</row>
    <row r="41" ht="35.25" customHeight="1">
      <c r="A41" s="18"/>
      <c r="B41" s="514" t="s">
        <v>762</v>
      </c>
      <c r="C41" s="529">
        <v>3.2487E7</v>
      </c>
      <c r="D41" s="18"/>
      <c r="E41" s="507"/>
      <c r="F41" s="530"/>
      <c r="G41" s="508"/>
      <c r="H41" s="508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</row>
    <row r="42" ht="35.25" customHeight="1">
      <c r="A42" s="22"/>
      <c r="B42" s="524"/>
      <c r="C42" s="529"/>
      <c r="D42" s="22"/>
      <c r="E42" s="507"/>
      <c r="F42" s="530"/>
      <c r="G42" s="508"/>
      <c r="H42" s="508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  <c r="T42" s="507"/>
      <c r="U42" s="507"/>
      <c r="V42" s="507"/>
      <c r="W42" s="507"/>
    </row>
    <row r="43" ht="35.25" customHeight="1">
      <c r="A43" s="527" t="s">
        <v>23</v>
      </c>
      <c r="B43" s="514" t="s">
        <v>757</v>
      </c>
      <c r="C43" s="514">
        <v>2.5902E7</v>
      </c>
      <c r="D43" s="516">
        <f>sum(C43:C44)</f>
        <v>54672400</v>
      </c>
      <c r="E43" s="507"/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R43" s="507"/>
      <c r="S43" s="507"/>
      <c r="T43" s="507"/>
      <c r="U43" s="507"/>
      <c r="V43" s="507"/>
      <c r="W43" s="507"/>
    </row>
    <row r="44" ht="35.25" customHeight="1">
      <c r="A44" s="18"/>
      <c r="B44" s="514" t="s">
        <v>762</v>
      </c>
      <c r="C44" s="514">
        <v>2.87704E7</v>
      </c>
      <c r="D44" s="18"/>
      <c r="E44" s="507"/>
      <c r="F44" s="526"/>
      <c r="G44" s="534"/>
      <c r="H44" s="535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</row>
    <row r="45" ht="35.25" customHeight="1">
      <c r="A45" s="18"/>
      <c r="B45" s="514"/>
      <c r="C45" s="514"/>
      <c r="D45" s="18"/>
      <c r="E45" s="507"/>
      <c r="G45" s="534"/>
      <c r="H45" s="535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</row>
    <row r="46" ht="35.25" customHeight="1">
      <c r="A46" s="18"/>
      <c r="B46" s="514"/>
      <c r="C46" s="514"/>
      <c r="D46" s="18"/>
      <c r="E46" s="507"/>
      <c r="G46" s="534"/>
      <c r="H46" s="535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</row>
    <row r="47" ht="35.25" customHeight="1">
      <c r="A47" s="22"/>
      <c r="B47" s="514"/>
      <c r="C47" s="514"/>
      <c r="D47" s="22"/>
      <c r="E47" s="507"/>
      <c r="G47" s="534"/>
      <c r="H47" s="535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</row>
    <row r="48" ht="35.25" hidden="1" customHeight="1">
      <c r="A48" s="536" t="s">
        <v>26</v>
      </c>
      <c r="B48" s="514" t="s">
        <v>656</v>
      </c>
      <c r="C48" s="515" t="s">
        <v>657</v>
      </c>
      <c r="D48" s="514">
        <v>7.96643E7</v>
      </c>
      <c r="E48" s="507"/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7"/>
      <c r="R48" s="507"/>
      <c r="S48" s="507"/>
      <c r="T48" s="507"/>
      <c r="U48" s="507"/>
      <c r="V48" s="507"/>
      <c r="W48" s="507"/>
    </row>
    <row r="49" ht="35.25" customHeight="1">
      <c r="A49" s="18"/>
      <c r="B49" s="514"/>
      <c r="C49" s="514"/>
      <c r="D49" s="516">
        <v>1.411927E8</v>
      </c>
      <c r="E49" s="525"/>
      <c r="F49" s="537"/>
      <c r="G49" s="538"/>
      <c r="H49" s="539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</row>
    <row r="50" ht="35.25" customHeight="1">
      <c r="A50" s="18"/>
      <c r="B50" s="514"/>
      <c r="C50" s="514"/>
      <c r="D50" s="18"/>
      <c r="E50" s="507"/>
      <c r="F50" s="18"/>
      <c r="G50" s="540"/>
      <c r="H50" s="541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</row>
    <row r="51" ht="35.25" customHeight="1">
      <c r="A51" s="18"/>
      <c r="B51" s="514" t="s">
        <v>757</v>
      </c>
      <c r="C51" s="514">
        <v>1.411927E8</v>
      </c>
      <c r="D51" s="18"/>
      <c r="E51" s="507"/>
      <c r="F51" s="18"/>
      <c r="G51" s="542"/>
      <c r="H51" s="539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</row>
    <row r="52" ht="35.25" customHeight="1">
      <c r="A52" s="22"/>
      <c r="B52" s="514"/>
      <c r="C52" s="514"/>
      <c r="D52" s="22"/>
      <c r="E52" s="507"/>
      <c r="F52" s="22"/>
      <c r="G52" s="542"/>
      <c r="H52" s="539"/>
      <c r="I52" s="507"/>
      <c r="J52" s="507"/>
      <c r="K52" s="507"/>
      <c r="L52" s="507"/>
      <c r="M52" s="507"/>
      <c r="N52" s="507"/>
      <c r="O52" s="507"/>
      <c r="P52" s="507"/>
      <c r="Q52" s="507"/>
      <c r="R52" s="507"/>
      <c r="S52" s="507"/>
      <c r="T52" s="507"/>
      <c r="U52" s="507"/>
      <c r="V52" s="507"/>
      <c r="W52" s="507"/>
    </row>
    <row r="53" ht="35.25" customHeight="1">
      <c r="A53" s="513" t="s">
        <v>659</v>
      </c>
      <c r="B53" s="514"/>
      <c r="C53" s="514"/>
      <c r="D53" s="516">
        <f>sum(C55:C59)</f>
        <v>271025500</v>
      </c>
      <c r="E53" s="507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  <c r="T53" s="507"/>
      <c r="U53" s="507"/>
      <c r="V53" s="507"/>
      <c r="W53" s="507"/>
    </row>
    <row r="54" ht="35.25" customHeight="1">
      <c r="A54" s="18"/>
      <c r="B54" s="514"/>
      <c r="C54" s="514"/>
      <c r="D54" s="18"/>
      <c r="E54" s="507"/>
      <c r="F54" s="507"/>
      <c r="G54" s="507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</row>
    <row r="55" ht="35.25" customHeight="1">
      <c r="A55" s="18"/>
      <c r="B55" s="514" t="s">
        <v>760</v>
      </c>
      <c r="C55" s="514">
        <v>8.2391E7</v>
      </c>
      <c r="D55" s="18"/>
      <c r="E55" s="507"/>
      <c r="F55" s="507"/>
      <c r="G55" s="507"/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</row>
    <row r="56" ht="35.25" customHeight="1">
      <c r="A56" s="18"/>
      <c r="B56" s="514" t="s">
        <v>759</v>
      </c>
      <c r="C56" s="514">
        <v>4.77491E7</v>
      </c>
      <c r="D56" s="18"/>
      <c r="E56" s="507"/>
      <c r="F56" s="507"/>
      <c r="G56" s="507"/>
      <c r="H56" s="507"/>
      <c r="I56" s="507"/>
      <c r="J56" s="507"/>
      <c r="K56" s="507"/>
      <c r="L56" s="507"/>
      <c r="M56" s="507"/>
      <c r="N56" s="507"/>
      <c r="O56" s="507"/>
      <c r="P56" s="507"/>
      <c r="Q56" s="507"/>
      <c r="R56" s="507"/>
      <c r="S56" s="507"/>
      <c r="T56" s="507"/>
      <c r="U56" s="507"/>
      <c r="V56" s="507"/>
      <c r="W56" s="507"/>
    </row>
    <row r="57" ht="35.25" customHeight="1">
      <c r="A57" s="18"/>
      <c r="B57" s="514" t="s">
        <v>755</v>
      </c>
      <c r="C57" s="514">
        <v>3.89209E7</v>
      </c>
      <c r="D57" s="18"/>
      <c r="E57" s="507"/>
      <c r="F57" s="507"/>
      <c r="G57" s="507"/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</row>
    <row r="58" ht="35.25" customHeight="1">
      <c r="A58" s="18"/>
      <c r="B58" s="514" t="s">
        <v>756</v>
      </c>
      <c r="C58" s="514">
        <v>3.21042E7</v>
      </c>
      <c r="D58" s="18"/>
      <c r="E58" s="507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</row>
    <row r="59" ht="35.25" customHeight="1">
      <c r="A59" s="22"/>
      <c r="B59" s="514" t="s">
        <v>757</v>
      </c>
      <c r="C59" s="514">
        <v>6.98603E7</v>
      </c>
      <c r="D59" s="22"/>
      <c r="E59" s="507"/>
      <c r="F59" s="507"/>
      <c r="G59" s="507"/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</row>
    <row r="60" ht="35.25" customHeight="1">
      <c r="A60" s="513" t="s">
        <v>30</v>
      </c>
      <c r="B60" s="514"/>
      <c r="C60" s="529"/>
      <c r="D60" s="516">
        <v>5.40875E7</v>
      </c>
      <c r="E60" s="507"/>
      <c r="F60" s="530"/>
      <c r="G60" s="508"/>
      <c r="H60" s="531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</row>
    <row r="61" ht="35.25" customHeight="1">
      <c r="A61" s="18"/>
      <c r="B61" s="514"/>
      <c r="C61" s="515"/>
      <c r="D61" s="18"/>
      <c r="E61" s="507"/>
      <c r="G61" s="508"/>
      <c r="H61" s="531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</row>
    <row r="62" ht="35.25" customHeight="1">
      <c r="A62" s="18"/>
      <c r="B62" s="514" t="s">
        <v>757</v>
      </c>
      <c r="C62" s="529">
        <v>5.40875E7</v>
      </c>
      <c r="D62" s="18"/>
      <c r="E62" s="507"/>
      <c r="G62" s="532"/>
      <c r="H62" s="531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</row>
    <row r="63" ht="35.25" customHeight="1">
      <c r="A63" s="18"/>
      <c r="B63" s="514"/>
      <c r="C63" s="529"/>
      <c r="D63" s="18"/>
      <c r="E63" s="507"/>
      <c r="F63" s="530"/>
      <c r="G63" s="532"/>
      <c r="H63" s="531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</row>
    <row r="64" ht="35.25" customHeight="1">
      <c r="A64" s="18"/>
      <c r="B64" s="514"/>
      <c r="C64" s="529"/>
      <c r="D64" s="18"/>
      <c r="E64" s="507"/>
      <c r="F64" s="530"/>
      <c r="G64" s="532"/>
      <c r="H64" s="531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</row>
    <row r="65" ht="35.25" customHeight="1">
      <c r="A65" s="22"/>
      <c r="B65" s="514"/>
      <c r="C65" s="529"/>
      <c r="D65" s="22"/>
      <c r="E65" s="507"/>
      <c r="F65" s="530"/>
      <c r="G65" s="532"/>
      <c r="H65" s="531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</row>
    <row r="66" ht="35.25" customHeight="1">
      <c r="A66" s="513" t="s">
        <v>660</v>
      </c>
      <c r="B66" s="524"/>
      <c r="C66" s="515"/>
      <c r="D66" s="521">
        <f>sum(C67:C71)</f>
        <v>184222000</v>
      </c>
      <c r="E66" s="525"/>
      <c r="F66" s="507"/>
      <c r="G66" s="507"/>
      <c r="H66" s="507"/>
      <c r="I66" s="507"/>
      <c r="J66" s="543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</row>
    <row r="67" ht="35.25" customHeight="1">
      <c r="A67" s="18"/>
      <c r="B67" s="514" t="s">
        <v>651</v>
      </c>
      <c r="C67" s="544">
        <v>4.5658E7</v>
      </c>
      <c r="D67" s="18"/>
      <c r="E67" s="525"/>
      <c r="F67" s="507"/>
      <c r="G67" s="507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</row>
    <row r="68" ht="35.25" customHeight="1">
      <c r="A68" s="18"/>
      <c r="B68" s="514" t="s">
        <v>723</v>
      </c>
      <c r="C68" s="544">
        <v>3.7208E7</v>
      </c>
      <c r="D68" s="18"/>
      <c r="E68" s="525"/>
      <c r="F68" s="507"/>
      <c r="G68" s="507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</row>
    <row r="69" ht="35.25" customHeight="1">
      <c r="A69" s="18"/>
      <c r="B69" s="514" t="s">
        <v>760</v>
      </c>
      <c r="C69" s="544">
        <v>6.3547E7</v>
      </c>
      <c r="D69" s="18"/>
      <c r="E69" s="525"/>
      <c r="F69" s="507"/>
      <c r="G69" s="507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</row>
    <row r="70" ht="35.25" customHeight="1">
      <c r="A70" s="18"/>
      <c r="B70" s="514" t="s">
        <v>759</v>
      </c>
      <c r="C70" s="544">
        <v>2.1472E7</v>
      </c>
      <c r="D70" s="18"/>
      <c r="E70" s="525"/>
      <c r="F70" s="507"/>
      <c r="G70" s="507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</row>
    <row r="71" ht="35.25" customHeight="1">
      <c r="A71" s="18"/>
      <c r="B71" s="514" t="s">
        <v>756</v>
      </c>
      <c r="C71" s="544">
        <v>1.6337E7</v>
      </c>
      <c r="D71" s="18"/>
      <c r="E71" s="525"/>
      <c r="F71" s="507"/>
      <c r="G71" s="507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</row>
    <row r="72" ht="35.25" customHeight="1">
      <c r="A72" s="22"/>
      <c r="B72" s="514"/>
      <c r="C72" s="544"/>
      <c r="D72" s="22"/>
      <c r="E72" s="525"/>
      <c r="F72" s="507"/>
      <c r="G72" s="507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</row>
    <row r="73" ht="35.25" customHeight="1">
      <c r="A73" s="513" t="s">
        <v>661</v>
      </c>
      <c r="B73" s="514"/>
      <c r="C73" s="529"/>
      <c r="D73" s="521">
        <f>sum(C75:C79)</f>
        <v>285279000</v>
      </c>
      <c r="E73" s="507"/>
      <c r="F73" s="530"/>
      <c r="G73" s="508"/>
      <c r="H73" s="508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</row>
    <row r="74" ht="35.25" customHeight="1">
      <c r="A74" s="18"/>
      <c r="B74" s="514"/>
      <c r="C74" s="529"/>
      <c r="D74" s="18"/>
      <c r="E74" s="507"/>
      <c r="F74" s="530"/>
      <c r="G74" s="508"/>
      <c r="H74" s="508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</row>
    <row r="75" ht="35.25" customHeight="1">
      <c r="A75" s="18"/>
      <c r="B75" s="524" t="s">
        <v>760</v>
      </c>
      <c r="C75" s="529">
        <v>2.00141E8</v>
      </c>
      <c r="D75" s="18"/>
      <c r="E75" s="507"/>
      <c r="F75" s="530"/>
      <c r="G75" s="508"/>
      <c r="H75" s="508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</row>
    <row r="76" ht="35.25" customHeight="1">
      <c r="A76" s="18"/>
      <c r="B76" s="514" t="s">
        <v>759</v>
      </c>
      <c r="C76" s="529">
        <v>2.2544E7</v>
      </c>
      <c r="D76" s="18"/>
      <c r="E76" s="507"/>
      <c r="F76" s="530"/>
      <c r="G76" s="508"/>
      <c r="H76" s="508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</row>
    <row r="77" ht="35.25" customHeight="1">
      <c r="A77" s="18"/>
      <c r="B77" s="514" t="s">
        <v>755</v>
      </c>
      <c r="C77" s="529">
        <v>2.1279E7</v>
      </c>
      <c r="D77" s="18"/>
      <c r="E77" s="507"/>
      <c r="F77" s="530"/>
      <c r="G77" s="508"/>
      <c r="H77" s="508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</row>
    <row r="78" ht="35.25" customHeight="1">
      <c r="A78" s="18"/>
      <c r="B78" s="514" t="s">
        <v>756</v>
      </c>
      <c r="C78" s="529">
        <v>1.6036E7</v>
      </c>
      <c r="D78" s="18"/>
      <c r="E78" s="507"/>
      <c r="F78" s="530"/>
      <c r="G78" s="508"/>
      <c r="H78" s="508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  <c r="T78" s="507"/>
      <c r="U78" s="507"/>
      <c r="V78" s="507"/>
      <c r="W78" s="507"/>
    </row>
    <row r="79" ht="35.25" customHeight="1">
      <c r="A79" s="18"/>
      <c r="B79" s="514" t="s">
        <v>757</v>
      </c>
      <c r="C79" s="529">
        <v>2.5279E7</v>
      </c>
      <c r="D79" s="18"/>
      <c r="E79" s="507"/>
      <c r="F79" s="530"/>
      <c r="G79" s="508"/>
      <c r="H79" s="508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/>
      <c r="V79" s="507"/>
      <c r="W79" s="507"/>
    </row>
    <row r="80" ht="35.25" customHeight="1">
      <c r="A80" s="18"/>
      <c r="B80" s="514"/>
      <c r="C80" s="529"/>
      <c r="D80" s="18"/>
      <c r="E80" s="507"/>
      <c r="F80" s="530"/>
      <c r="G80" s="508"/>
      <c r="H80" s="508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</row>
    <row r="81" ht="35.25" customHeight="1">
      <c r="A81" s="22"/>
      <c r="B81" s="514"/>
      <c r="C81" s="529"/>
      <c r="D81" s="22"/>
      <c r="E81" s="507"/>
      <c r="F81" s="530"/>
      <c r="G81" s="508"/>
      <c r="H81" s="508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</row>
    <row r="82" ht="35.25" customHeight="1">
      <c r="A82" s="513" t="s">
        <v>33</v>
      </c>
      <c r="B82" s="514"/>
      <c r="C82" s="529"/>
      <c r="D82" s="516">
        <v>5.51078E7</v>
      </c>
      <c r="E82" s="507"/>
      <c r="F82" s="530"/>
      <c r="G82" s="547"/>
      <c r="H82" s="546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  <c r="T82" s="507"/>
      <c r="U82" s="507"/>
      <c r="V82" s="507"/>
      <c r="W82" s="507"/>
    </row>
    <row r="83" ht="35.25" customHeight="1">
      <c r="A83" s="18"/>
      <c r="B83" s="514"/>
      <c r="C83" s="529"/>
      <c r="D83" s="18"/>
      <c r="E83" s="507"/>
      <c r="F83" s="530"/>
      <c r="G83" s="547"/>
      <c r="H83" s="546"/>
      <c r="I83" s="507"/>
      <c r="J83" s="507"/>
      <c r="K83" s="507"/>
      <c r="L83" s="507"/>
      <c r="M83" s="507"/>
      <c r="N83" s="507"/>
      <c r="O83" s="507"/>
      <c r="P83" s="507"/>
      <c r="Q83" s="507"/>
      <c r="R83" s="507"/>
      <c r="S83" s="507"/>
      <c r="T83" s="507"/>
      <c r="U83" s="507"/>
      <c r="V83" s="507"/>
      <c r="W83" s="507"/>
    </row>
    <row r="84" ht="35.25" customHeight="1">
      <c r="A84" s="18"/>
      <c r="B84" s="514" t="s">
        <v>757</v>
      </c>
      <c r="C84" s="529">
        <v>5.51078E7</v>
      </c>
      <c r="D84" s="18"/>
      <c r="E84" s="507"/>
      <c r="G84" s="547"/>
      <c r="H84" s="546"/>
      <c r="I84" s="507"/>
      <c r="J84" s="507"/>
      <c r="K84" s="507"/>
      <c r="L84" s="507"/>
      <c r="M84" s="507"/>
      <c r="N84" s="507"/>
      <c r="O84" s="507"/>
      <c r="P84" s="507"/>
      <c r="Q84" s="507"/>
      <c r="R84" s="507"/>
      <c r="S84" s="507"/>
      <c r="T84" s="507"/>
      <c r="U84" s="507"/>
      <c r="V84" s="507"/>
      <c r="W84" s="507"/>
    </row>
    <row r="85" ht="35.25" customHeight="1">
      <c r="A85" s="22"/>
      <c r="B85" s="514" t="s">
        <v>763</v>
      </c>
      <c r="C85" s="529"/>
      <c r="D85" s="22"/>
      <c r="E85" s="507"/>
      <c r="G85" s="547"/>
      <c r="H85" s="546"/>
      <c r="I85" s="507"/>
      <c r="J85" s="507"/>
      <c r="K85" s="507"/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507"/>
      <c r="W85" s="507"/>
    </row>
    <row r="86" ht="35.25" customHeight="1">
      <c r="A86" s="527" t="s">
        <v>35</v>
      </c>
      <c r="B86" s="514"/>
      <c r="C86" s="514"/>
      <c r="D86" s="516">
        <v>1.57717E7</v>
      </c>
      <c r="E86" s="507"/>
      <c r="G86" s="547"/>
      <c r="H86" s="546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507"/>
      <c r="W86" s="507"/>
    </row>
    <row r="87" ht="35.25" customHeight="1">
      <c r="A87" s="18"/>
      <c r="B87" s="514"/>
      <c r="C87" s="514"/>
      <c r="D87" s="18"/>
      <c r="E87" s="507"/>
      <c r="F87" s="530"/>
      <c r="G87" s="547"/>
      <c r="H87" s="546"/>
      <c r="I87" s="507"/>
      <c r="J87" s="507"/>
      <c r="K87" s="5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507"/>
      <c r="W87" s="507"/>
    </row>
    <row r="88" ht="35.25" customHeight="1">
      <c r="A88" s="18"/>
      <c r="B88" s="514"/>
      <c r="C88" s="514"/>
      <c r="D88" s="18"/>
      <c r="E88" s="525"/>
      <c r="F88" s="507"/>
      <c r="G88" s="524"/>
      <c r="H88" s="546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  <c r="V88" s="507"/>
      <c r="W88" s="507"/>
    </row>
    <row r="89" ht="35.25" customHeight="1">
      <c r="A89" s="18"/>
      <c r="B89" s="514" t="s">
        <v>757</v>
      </c>
      <c r="C89" s="514">
        <v>1.57717E7</v>
      </c>
      <c r="D89" s="18"/>
      <c r="E89" s="507"/>
      <c r="F89" s="548"/>
      <c r="G89" s="549"/>
      <c r="H89" s="546"/>
      <c r="I89" s="507"/>
      <c r="J89" s="507"/>
      <c r="K89" s="507"/>
      <c r="L89" s="507"/>
      <c r="M89" s="507"/>
      <c r="N89" s="507"/>
      <c r="O89" s="507"/>
      <c r="P89" s="507"/>
      <c r="Q89" s="507"/>
      <c r="R89" s="507"/>
      <c r="S89" s="507"/>
      <c r="T89" s="507"/>
      <c r="U89" s="507"/>
      <c r="V89" s="507"/>
      <c r="W89" s="507"/>
    </row>
    <row r="90" ht="35.25" customHeight="1">
      <c r="A90" s="22"/>
      <c r="B90" s="524"/>
      <c r="C90" s="514"/>
      <c r="D90" s="22"/>
      <c r="E90" s="507"/>
      <c r="G90" s="550"/>
      <c r="H90" s="546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  <c r="V90" s="507"/>
      <c r="W90" s="507"/>
    </row>
    <row r="91" ht="35.25" customHeight="1">
      <c r="A91" s="527" t="s">
        <v>36</v>
      </c>
      <c r="B91" s="514"/>
      <c r="C91" s="529"/>
      <c r="D91" s="516">
        <v>3.33476E7</v>
      </c>
      <c r="E91" s="507"/>
      <c r="G91" s="550"/>
      <c r="H91" s="546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  <c r="T91" s="507"/>
      <c r="U91" s="507"/>
      <c r="V91" s="507"/>
      <c r="W91" s="507"/>
    </row>
    <row r="92" ht="35.25" customHeight="1">
      <c r="A92" s="18"/>
      <c r="B92" s="514"/>
      <c r="C92" s="529"/>
      <c r="D92" s="18"/>
      <c r="E92" s="507"/>
      <c r="G92" s="551"/>
      <c r="H92" s="531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  <c r="T92" s="507"/>
      <c r="U92" s="507"/>
      <c r="V92" s="507"/>
      <c r="W92" s="507"/>
    </row>
    <row r="93" ht="35.25" customHeight="1">
      <c r="A93" s="18"/>
      <c r="B93" s="514"/>
      <c r="C93" s="529"/>
      <c r="D93" s="18"/>
      <c r="E93" s="525"/>
      <c r="G93" s="532"/>
      <c r="H93" s="531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  <c r="T93" s="507"/>
      <c r="U93" s="507"/>
      <c r="V93" s="507"/>
      <c r="W93" s="507"/>
    </row>
    <row r="94" ht="35.25" customHeight="1">
      <c r="A94" s="22"/>
      <c r="B94" s="514" t="s">
        <v>757</v>
      </c>
      <c r="C94" s="529">
        <v>3.33476E7</v>
      </c>
      <c r="D94" s="22"/>
      <c r="E94" s="507"/>
      <c r="G94" s="551"/>
      <c r="H94" s="531"/>
      <c r="I94" s="507"/>
      <c r="J94" s="507"/>
      <c r="K94" s="507"/>
      <c r="L94" s="507"/>
      <c r="M94" s="507"/>
      <c r="N94" s="507"/>
      <c r="O94" s="507"/>
      <c r="P94" s="507"/>
      <c r="Q94" s="507"/>
      <c r="R94" s="507"/>
      <c r="S94" s="507"/>
      <c r="T94" s="507"/>
      <c r="U94" s="507"/>
      <c r="V94" s="507"/>
      <c r="W94" s="507"/>
    </row>
    <row r="95" ht="35.25" customHeight="1">
      <c r="A95" s="513" t="s">
        <v>37</v>
      </c>
      <c r="B95" s="514"/>
      <c r="C95" s="552"/>
      <c r="D95" s="521">
        <f>sum(C96:C100)</f>
        <v>201862500</v>
      </c>
      <c r="E95" s="507"/>
      <c r="F95" s="530"/>
      <c r="G95" s="508"/>
      <c r="H95" s="531"/>
      <c r="I95" s="507"/>
      <c r="J95" s="507"/>
      <c r="K95" s="507"/>
      <c r="L95" s="507"/>
      <c r="M95" s="507"/>
      <c r="N95" s="507"/>
      <c r="O95" s="507"/>
      <c r="P95" s="507"/>
      <c r="Q95" s="507"/>
      <c r="R95" s="507"/>
      <c r="S95" s="507"/>
      <c r="T95" s="507"/>
      <c r="U95" s="507"/>
      <c r="V95" s="507"/>
      <c r="W95" s="507"/>
    </row>
    <row r="96" ht="35.25" customHeight="1">
      <c r="A96" s="18"/>
      <c r="B96" s="514" t="s">
        <v>760</v>
      </c>
      <c r="C96" s="552">
        <v>5.2336E7</v>
      </c>
      <c r="D96" s="18"/>
      <c r="E96" s="507"/>
      <c r="F96" s="530"/>
      <c r="G96" s="508"/>
      <c r="H96" s="531"/>
      <c r="I96" s="507"/>
      <c r="J96" s="507"/>
      <c r="K96" s="507"/>
      <c r="L96" s="507"/>
      <c r="M96" s="507"/>
      <c r="N96" s="507"/>
      <c r="O96" s="507"/>
      <c r="P96" s="507"/>
      <c r="Q96" s="507"/>
      <c r="R96" s="507"/>
      <c r="S96" s="507"/>
      <c r="T96" s="507"/>
      <c r="U96" s="507"/>
      <c r="V96" s="507"/>
      <c r="W96" s="507"/>
    </row>
    <row r="97" ht="35.25" customHeight="1">
      <c r="A97" s="18"/>
      <c r="B97" s="514" t="s">
        <v>759</v>
      </c>
      <c r="C97" s="552">
        <v>3.58405E7</v>
      </c>
      <c r="D97" s="18"/>
      <c r="E97" s="507"/>
      <c r="F97" s="530"/>
      <c r="G97" s="508"/>
      <c r="H97" s="531"/>
      <c r="I97" s="507"/>
      <c r="J97" s="507"/>
      <c r="K97" s="507"/>
      <c r="L97" s="507"/>
      <c r="M97" s="507"/>
      <c r="N97" s="507"/>
      <c r="O97" s="507"/>
      <c r="P97" s="507"/>
      <c r="Q97" s="507"/>
      <c r="R97" s="507"/>
      <c r="S97" s="507"/>
      <c r="T97" s="507"/>
      <c r="U97" s="507"/>
      <c r="V97" s="507"/>
      <c r="W97" s="507"/>
    </row>
    <row r="98" ht="35.25" customHeight="1">
      <c r="A98" s="18"/>
      <c r="B98" s="514" t="s">
        <v>755</v>
      </c>
      <c r="C98" s="552">
        <v>3.9E7</v>
      </c>
      <c r="D98" s="18"/>
      <c r="E98" s="507"/>
      <c r="F98" s="530"/>
      <c r="G98" s="508"/>
      <c r="H98" s="531"/>
      <c r="I98" s="507"/>
      <c r="J98" s="507"/>
      <c r="K98" s="507"/>
      <c r="L98" s="507"/>
      <c r="M98" s="507"/>
      <c r="N98" s="507"/>
      <c r="O98" s="507"/>
      <c r="P98" s="507"/>
      <c r="Q98" s="507"/>
      <c r="R98" s="507"/>
      <c r="S98" s="507"/>
      <c r="T98" s="507"/>
      <c r="U98" s="507"/>
      <c r="V98" s="507"/>
      <c r="W98" s="507"/>
    </row>
    <row r="99" ht="35.25" customHeight="1">
      <c r="A99" s="18"/>
      <c r="B99" s="514" t="s">
        <v>756</v>
      </c>
      <c r="C99" s="552">
        <v>3.8321E7</v>
      </c>
      <c r="D99" s="18"/>
      <c r="E99" s="507"/>
      <c r="F99" s="530"/>
      <c r="G99" s="508"/>
      <c r="H99" s="531"/>
      <c r="I99" s="507"/>
      <c r="J99" s="507"/>
      <c r="K99" s="507"/>
      <c r="L99" s="507"/>
      <c r="M99" s="507"/>
      <c r="N99" s="507"/>
      <c r="O99" s="507"/>
      <c r="P99" s="507"/>
      <c r="Q99" s="507"/>
      <c r="R99" s="507"/>
      <c r="S99" s="507"/>
      <c r="T99" s="507"/>
      <c r="U99" s="507"/>
      <c r="V99" s="507"/>
      <c r="W99" s="507"/>
    </row>
    <row r="100" ht="35.25" customHeight="1">
      <c r="A100" s="22"/>
      <c r="B100" s="514" t="s">
        <v>757</v>
      </c>
      <c r="C100" s="552">
        <v>3.6365E7</v>
      </c>
      <c r="D100" s="22"/>
      <c r="E100" s="507"/>
      <c r="F100" s="530"/>
      <c r="G100" s="508"/>
      <c r="H100" s="531"/>
      <c r="I100" s="507"/>
      <c r="J100" s="507"/>
      <c r="K100" s="507"/>
      <c r="L100" s="507"/>
      <c r="M100" s="507"/>
      <c r="N100" s="507"/>
      <c r="O100" s="507"/>
      <c r="P100" s="507"/>
      <c r="Q100" s="507"/>
      <c r="R100" s="507"/>
      <c r="S100" s="507"/>
      <c r="T100" s="507"/>
      <c r="U100" s="507"/>
      <c r="V100" s="507"/>
      <c r="W100" s="507"/>
    </row>
    <row r="101" ht="35.25" customHeight="1">
      <c r="A101" s="553" t="s">
        <v>663</v>
      </c>
      <c r="B101" s="514"/>
      <c r="C101" s="552"/>
      <c r="D101" s="521">
        <f>sum(C103:C105)</f>
        <v>195306500</v>
      </c>
      <c r="E101" s="507"/>
      <c r="F101" s="530"/>
      <c r="G101" s="508"/>
      <c r="H101" s="531"/>
      <c r="I101" s="507"/>
      <c r="J101" s="507"/>
      <c r="K101" s="507"/>
      <c r="L101" s="507"/>
      <c r="M101" s="507"/>
      <c r="N101" s="507"/>
      <c r="O101" s="507"/>
      <c r="P101" s="507"/>
      <c r="Q101" s="507"/>
      <c r="R101" s="507"/>
      <c r="S101" s="507"/>
      <c r="T101" s="507"/>
      <c r="U101" s="507"/>
      <c r="V101" s="507"/>
      <c r="W101" s="507"/>
    </row>
    <row r="102" ht="35.25" customHeight="1">
      <c r="A102" s="18"/>
      <c r="B102" s="514"/>
      <c r="C102" s="552"/>
      <c r="D102" s="18"/>
      <c r="E102" s="507"/>
      <c r="F102" s="530"/>
      <c r="G102" s="508"/>
      <c r="H102" s="531"/>
      <c r="I102" s="507"/>
      <c r="J102" s="507"/>
      <c r="K102" s="507"/>
      <c r="L102" s="507"/>
      <c r="M102" s="507"/>
      <c r="N102" s="507"/>
      <c r="O102" s="507"/>
      <c r="P102" s="507"/>
      <c r="Q102" s="507"/>
      <c r="R102" s="507"/>
      <c r="S102" s="507"/>
      <c r="T102" s="507"/>
      <c r="U102" s="507"/>
      <c r="V102" s="507"/>
      <c r="W102" s="507"/>
    </row>
    <row r="103" ht="35.25" customHeight="1">
      <c r="A103" s="18"/>
      <c r="B103" s="514" t="s">
        <v>760</v>
      </c>
      <c r="C103" s="552">
        <v>1.52555E8</v>
      </c>
      <c r="D103" s="18"/>
      <c r="E103" s="507"/>
      <c r="F103" s="530"/>
      <c r="G103" s="508"/>
      <c r="H103" s="531"/>
      <c r="I103" s="507"/>
      <c r="J103" s="507"/>
      <c r="K103" s="507"/>
      <c r="L103" s="507"/>
      <c r="M103" s="507"/>
      <c r="N103" s="507"/>
      <c r="O103" s="507"/>
      <c r="P103" s="507"/>
      <c r="Q103" s="507"/>
      <c r="R103" s="507"/>
      <c r="S103" s="507"/>
      <c r="T103" s="507"/>
      <c r="U103" s="507"/>
      <c r="V103" s="507"/>
      <c r="W103" s="507"/>
    </row>
    <row r="104" ht="35.25" customHeight="1">
      <c r="A104" s="18"/>
      <c r="B104" s="514" t="s">
        <v>759</v>
      </c>
      <c r="C104" s="552">
        <v>1530000.0</v>
      </c>
      <c r="D104" s="18"/>
      <c r="E104" s="507"/>
      <c r="F104" s="530"/>
      <c r="G104" s="508"/>
      <c r="H104" s="531"/>
      <c r="I104" s="507"/>
      <c r="J104" s="507"/>
      <c r="K104" s="507"/>
      <c r="L104" s="507"/>
      <c r="M104" s="507"/>
      <c r="N104" s="507"/>
      <c r="O104" s="507"/>
      <c r="P104" s="507"/>
      <c r="Q104" s="507"/>
      <c r="R104" s="507"/>
      <c r="S104" s="507"/>
      <c r="T104" s="507"/>
      <c r="U104" s="507"/>
      <c r="V104" s="507"/>
      <c r="W104" s="507"/>
    </row>
    <row r="105" ht="35.25" customHeight="1">
      <c r="A105" s="18"/>
      <c r="B105" s="514" t="s">
        <v>756</v>
      </c>
      <c r="C105" s="552">
        <v>4.12215E7</v>
      </c>
      <c r="D105" s="18"/>
      <c r="E105" s="507"/>
      <c r="F105" s="530"/>
      <c r="G105" s="508"/>
      <c r="H105" s="531"/>
      <c r="I105" s="507"/>
      <c r="J105" s="507"/>
      <c r="K105" s="507"/>
      <c r="L105" s="507"/>
      <c r="M105" s="507"/>
      <c r="N105" s="507"/>
      <c r="O105" s="507"/>
      <c r="P105" s="507"/>
      <c r="Q105" s="507"/>
      <c r="R105" s="507"/>
      <c r="S105" s="507"/>
      <c r="T105" s="507"/>
      <c r="U105" s="507"/>
      <c r="V105" s="507"/>
      <c r="W105" s="507"/>
    </row>
    <row r="106" ht="35.25" customHeight="1">
      <c r="A106" s="18"/>
      <c r="B106" s="514"/>
      <c r="C106" s="552"/>
      <c r="D106" s="18"/>
      <c r="E106" s="507"/>
      <c r="F106" s="530"/>
      <c r="G106" s="508"/>
      <c r="H106" s="531"/>
      <c r="I106" s="507"/>
      <c r="J106" s="507"/>
      <c r="K106" s="507"/>
      <c r="L106" s="507"/>
      <c r="M106" s="507"/>
      <c r="N106" s="507"/>
      <c r="O106" s="507"/>
      <c r="P106" s="507"/>
      <c r="Q106" s="507"/>
      <c r="R106" s="507"/>
      <c r="S106" s="507"/>
      <c r="T106" s="507"/>
      <c r="U106" s="507"/>
      <c r="V106" s="507"/>
      <c r="W106" s="507"/>
    </row>
    <row r="107" ht="35.25" customHeight="1">
      <c r="A107" s="22"/>
      <c r="B107" s="514"/>
      <c r="C107" s="552"/>
      <c r="D107" s="22"/>
      <c r="E107" s="507"/>
      <c r="F107" s="530"/>
      <c r="G107" s="508"/>
      <c r="H107" s="531"/>
      <c r="I107" s="507"/>
      <c r="J107" s="507"/>
      <c r="K107" s="507"/>
      <c r="L107" s="507"/>
      <c r="M107" s="507"/>
      <c r="N107" s="507"/>
      <c r="O107" s="507"/>
      <c r="P107" s="507"/>
      <c r="Q107" s="507"/>
      <c r="R107" s="507"/>
      <c r="S107" s="507"/>
      <c r="T107" s="507"/>
      <c r="U107" s="507"/>
      <c r="V107" s="507"/>
      <c r="W107" s="507"/>
    </row>
    <row r="108" ht="35.25" customHeight="1">
      <c r="A108" s="527" t="s">
        <v>40</v>
      </c>
      <c r="B108" s="514"/>
      <c r="C108" s="529"/>
      <c r="D108" s="516">
        <f>sum(C110:C113)</f>
        <v>134615200</v>
      </c>
      <c r="E108" s="507"/>
      <c r="F108" s="530"/>
      <c r="G108" s="512"/>
      <c r="H108" s="512"/>
      <c r="I108" s="507"/>
      <c r="J108" s="507"/>
      <c r="K108" s="507"/>
      <c r="L108" s="507"/>
      <c r="M108" s="507"/>
      <c r="N108" s="507"/>
      <c r="O108" s="507"/>
      <c r="P108" s="507"/>
      <c r="Q108" s="507"/>
      <c r="R108" s="507"/>
      <c r="S108" s="507"/>
      <c r="T108" s="507"/>
      <c r="U108" s="507"/>
      <c r="V108" s="507"/>
      <c r="W108" s="507"/>
    </row>
    <row r="109" ht="35.25" customHeight="1">
      <c r="A109" s="18"/>
      <c r="B109" s="514"/>
      <c r="C109" s="529"/>
      <c r="D109" s="18"/>
      <c r="E109" s="507"/>
      <c r="F109" s="530"/>
      <c r="G109" s="508"/>
      <c r="H109" s="512"/>
      <c r="I109" s="507"/>
      <c r="J109" s="507"/>
      <c r="K109" s="507"/>
      <c r="L109" s="507"/>
      <c r="M109" s="507"/>
      <c r="N109" s="507"/>
      <c r="O109" s="507"/>
      <c r="P109" s="507"/>
      <c r="Q109" s="507"/>
      <c r="R109" s="507"/>
      <c r="S109" s="507"/>
      <c r="T109" s="507"/>
      <c r="U109" s="507"/>
      <c r="V109" s="507"/>
      <c r="W109" s="507"/>
    </row>
    <row r="110" ht="35.25" customHeight="1">
      <c r="A110" s="18"/>
      <c r="B110" s="514" t="s">
        <v>759</v>
      </c>
      <c r="C110" s="529">
        <v>3.3873E7</v>
      </c>
      <c r="D110" s="18"/>
      <c r="E110" s="507"/>
      <c r="F110" s="530"/>
      <c r="G110" s="508"/>
      <c r="H110" s="512"/>
      <c r="I110" s="507"/>
      <c r="J110" s="507"/>
      <c r="K110" s="507"/>
      <c r="L110" s="507"/>
      <c r="M110" s="507"/>
      <c r="N110" s="507"/>
      <c r="O110" s="507"/>
      <c r="P110" s="507"/>
      <c r="Q110" s="507"/>
      <c r="R110" s="507"/>
      <c r="S110" s="507"/>
      <c r="T110" s="507"/>
      <c r="U110" s="507"/>
      <c r="V110" s="507"/>
      <c r="W110" s="507"/>
    </row>
    <row r="111" ht="35.25" customHeight="1">
      <c r="A111" s="18"/>
      <c r="B111" s="514" t="s">
        <v>755</v>
      </c>
      <c r="C111" s="529">
        <v>3.88042E7</v>
      </c>
      <c r="D111" s="18"/>
      <c r="E111" s="507"/>
      <c r="F111" s="530"/>
      <c r="G111" s="508"/>
      <c r="H111" s="512"/>
      <c r="I111" s="507"/>
      <c r="J111" s="507"/>
      <c r="K111" s="507"/>
      <c r="L111" s="507"/>
      <c r="M111" s="507"/>
      <c r="N111" s="507"/>
      <c r="O111" s="507"/>
      <c r="P111" s="507"/>
      <c r="Q111" s="507"/>
      <c r="R111" s="507"/>
      <c r="S111" s="507"/>
      <c r="T111" s="507"/>
      <c r="U111" s="507"/>
      <c r="V111" s="507"/>
      <c r="W111" s="507"/>
    </row>
    <row r="112" ht="35.25" customHeight="1">
      <c r="A112" s="18"/>
      <c r="B112" s="514" t="s">
        <v>756</v>
      </c>
      <c r="C112" s="529">
        <v>2.9737E7</v>
      </c>
      <c r="D112" s="18"/>
      <c r="E112" s="507"/>
      <c r="F112" s="530"/>
      <c r="G112" s="508"/>
      <c r="H112" s="512"/>
      <c r="I112" s="507"/>
      <c r="J112" s="507"/>
      <c r="K112" s="507"/>
      <c r="L112" s="507"/>
      <c r="M112" s="507"/>
      <c r="N112" s="507"/>
      <c r="O112" s="507"/>
      <c r="P112" s="507"/>
      <c r="Q112" s="507"/>
      <c r="R112" s="507"/>
      <c r="S112" s="507"/>
      <c r="T112" s="507"/>
      <c r="U112" s="507"/>
      <c r="V112" s="507"/>
      <c r="W112" s="507"/>
    </row>
    <row r="113" ht="35.25" customHeight="1">
      <c r="A113" s="22"/>
      <c r="B113" s="514" t="s">
        <v>757</v>
      </c>
      <c r="C113" s="529">
        <v>3.2201E7</v>
      </c>
      <c r="D113" s="22"/>
      <c r="E113" s="507"/>
      <c r="F113" s="530"/>
      <c r="G113" s="508"/>
      <c r="H113" s="512"/>
      <c r="I113" s="507"/>
      <c r="J113" s="507"/>
      <c r="K113" s="507"/>
      <c r="L113" s="507"/>
      <c r="M113" s="507"/>
      <c r="N113" s="507"/>
      <c r="O113" s="507"/>
      <c r="P113" s="507"/>
      <c r="Q113" s="507"/>
      <c r="R113" s="507"/>
      <c r="S113" s="507"/>
      <c r="T113" s="507"/>
      <c r="U113" s="507"/>
      <c r="V113" s="507"/>
      <c r="W113" s="507"/>
    </row>
    <row r="114" ht="35.25" customHeight="1">
      <c r="A114" s="513" t="s">
        <v>665</v>
      </c>
      <c r="B114" s="514"/>
      <c r="C114" s="529"/>
      <c r="D114" s="521">
        <f>sum(C115:C119)</f>
        <v>161272000</v>
      </c>
      <c r="E114" s="507"/>
      <c r="F114" s="556"/>
      <c r="G114" s="508"/>
      <c r="H114" s="531"/>
      <c r="I114" s="507"/>
      <c r="J114" s="507"/>
      <c r="K114" s="507"/>
      <c r="L114" s="507"/>
      <c r="M114" s="507"/>
      <c r="N114" s="507"/>
      <c r="O114" s="507"/>
      <c r="P114" s="507"/>
      <c r="Q114" s="507"/>
      <c r="R114" s="507"/>
      <c r="S114" s="507"/>
      <c r="T114" s="507"/>
      <c r="U114" s="507"/>
      <c r="V114" s="507"/>
      <c r="W114" s="507"/>
    </row>
    <row r="115" ht="35.25" customHeight="1">
      <c r="A115" s="18"/>
      <c r="B115" s="514" t="s">
        <v>760</v>
      </c>
      <c r="C115" s="529">
        <v>4.2608E7</v>
      </c>
      <c r="D115" s="18"/>
      <c r="E115" s="507"/>
      <c r="F115" s="556"/>
      <c r="G115" s="508"/>
      <c r="H115" s="531"/>
      <c r="I115" s="507"/>
      <c r="J115" s="507"/>
      <c r="K115" s="507"/>
      <c r="L115" s="507"/>
      <c r="M115" s="507"/>
      <c r="N115" s="507"/>
      <c r="O115" s="507"/>
      <c r="P115" s="507"/>
      <c r="Q115" s="507"/>
      <c r="R115" s="507"/>
      <c r="S115" s="507"/>
      <c r="T115" s="507"/>
      <c r="U115" s="507"/>
      <c r="V115" s="507"/>
      <c r="W115" s="507"/>
    </row>
    <row r="116" ht="35.25" customHeight="1">
      <c r="A116" s="18"/>
      <c r="B116" s="514" t="s">
        <v>759</v>
      </c>
      <c r="C116" s="529">
        <v>2.3404E7</v>
      </c>
      <c r="D116" s="18"/>
      <c r="E116" s="507"/>
      <c r="F116" s="556"/>
      <c r="G116" s="508"/>
      <c r="H116" s="531"/>
      <c r="I116" s="507"/>
      <c r="J116" s="507"/>
      <c r="K116" s="507"/>
      <c r="L116" s="507"/>
      <c r="M116" s="507"/>
      <c r="N116" s="507"/>
      <c r="O116" s="507"/>
      <c r="P116" s="507"/>
      <c r="Q116" s="507"/>
      <c r="R116" s="507"/>
      <c r="S116" s="507"/>
      <c r="T116" s="507"/>
      <c r="U116" s="507"/>
      <c r="V116" s="507"/>
      <c r="W116" s="507"/>
    </row>
    <row r="117" ht="35.25" customHeight="1">
      <c r="A117" s="18"/>
      <c r="B117" s="514" t="s">
        <v>755</v>
      </c>
      <c r="C117" s="529">
        <v>3.27085E7</v>
      </c>
      <c r="D117" s="18"/>
      <c r="E117" s="507"/>
      <c r="F117" s="507"/>
      <c r="G117" s="508"/>
      <c r="H117" s="531"/>
      <c r="I117" s="507"/>
      <c r="J117" s="507"/>
      <c r="K117" s="507"/>
      <c r="L117" s="507"/>
      <c r="M117" s="507"/>
      <c r="N117" s="507"/>
      <c r="O117" s="507"/>
      <c r="P117" s="507"/>
      <c r="Q117" s="507"/>
      <c r="R117" s="507"/>
      <c r="S117" s="507"/>
      <c r="T117" s="507"/>
      <c r="U117" s="507"/>
      <c r="V117" s="507"/>
      <c r="W117" s="507"/>
    </row>
    <row r="118" ht="35.25" customHeight="1">
      <c r="A118" s="18"/>
      <c r="B118" s="514" t="s">
        <v>756</v>
      </c>
      <c r="C118" s="529">
        <v>2.5645E7</v>
      </c>
      <c r="D118" s="18"/>
      <c r="E118" s="507"/>
      <c r="F118" s="507"/>
      <c r="G118" s="508"/>
      <c r="H118" s="531"/>
      <c r="I118" s="507"/>
      <c r="J118" s="507"/>
      <c r="K118" s="507"/>
      <c r="L118" s="507"/>
      <c r="M118" s="507"/>
      <c r="N118" s="507"/>
      <c r="O118" s="507"/>
      <c r="P118" s="507"/>
      <c r="Q118" s="507"/>
      <c r="R118" s="507"/>
      <c r="S118" s="507"/>
      <c r="T118" s="507"/>
      <c r="U118" s="507"/>
      <c r="V118" s="507"/>
      <c r="W118" s="507"/>
    </row>
    <row r="119" ht="35.25" customHeight="1">
      <c r="A119" s="22"/>
      <c r="B119" s="514" t="s">
        <v>757</v>
      </c>
      <c r="C119" s="529">
        <v>3.69065E7</v>
      </c>
      <c r="D119" s="22"/>
      <c r="E119" s="507"/>
      <c r="F119" s="507"/>
      <c r="G119" s="508"/>
      <c r="H119" s="531"/>
      <c r="I119" s="507"/>
      <c r="J119" s="507"/>
      <c r="K119" s="507"/>
      <c r="L119" s="507"/>
      <c r="M119" s="507"/>
      <c r="N119" s="507"/>
      <c r="O119" s="507"/>
      <c r="P119" s="507"/>
      <c r="Q119" s="507"/>
      <c r="R119" s="507"/>
      <c r="S119" s="507"/>
      <c r="T119" s="507"/>
      <c r="U119" s="507"/>
      <c r="V119" s="507"/>
      <c r="W119" s="507"/>
    </row>
    <row r="120" ht="35.25" customHeight="1">
      <c r="A120" s="527" t="s">
        <v>42</v>
      </c>
      <c r="B120" s="514"/>
      <c r="C120" s="514"/>
      <c r="D120" s="516">
        <f>sum(C121:C125)</f>
        <v>207788000</v>
      </c>
      <c r="E120" s="557"/>
      <c r="F120" s="507"/>
      <c r="G120" s="508"/>
      <c r="H120" s="531"/>
      <c r="I120" s="507"/>
      <c r="J120" s="507"/>
      <c r="K120" s="507"/>
      <c r="L120" s="507"/>
      <c r="M120" s="507"/>
      <c r="N120" s="507"/>
      <c r="O120" s="507"/>
      <c r="P120" s="507"/>
      <c r="Q120" s="507"/>
      <c r="R120" s="507"/>
      <c r="S120" s="507"/>
      <c r="T120" s="507"/>
      <c r="U120" s="507"/>
      <c r="V120" s="507"/>
      <c r="W120" s="507"/>
    </row>
    <row r="121" ht="35.25" customHeight="1">
      <c r="A121" s="18"/>
      <c r="B121" s="514" t="s">
        <v>722</v>
      </c>
      <c r="C121" s="515">
        <v>3.879E7</v>
      </c>
      <c r="D121" s="18"/>
      <c r="E121" s="507"/>
      <c r="F121" s="507"/>
      <c r="G121" s="508"/>
      <c r="H121" s="531"/>
      <c r="I121" s="507"/>
      <c r="J121" s="507"/>
      <c r="K121" s="507"/>
      <c r="L121" s="507"/>
      <c r="M121" s="507"/>
      <c r="N121" s="507"/>
      <c r="O121" s="507"/>
      <c r="P121" s="507"/>
      <c r="Q121" s="507"/>
      <c r="R121" s="507"/>
      <c r="S121" s="507"/>
      <c r="T121" s="507"/>
      <c r="U121" s="507"/>
      <c r="V121" s="507"/>
      <c r="W121" s="507"/>
    </row>
    <row r="122" ht="35.25" customHeight="1">
      <c r="A122" s="18"/>
      <c r="B122" s="514" t="s">
        <v>759</v>
      </c>
      <c r="C122" s="514">
        <v>4.3426E7</v>
      </c>
      <c r="D122" s="18"/>
      <c r="E122" s="507"/>
      <c r="F122" s="507"/>
      <c r="G122" s="508"/>
      <c r="H122" s="531"/>
      <c r="I122" s="507"/>
      <c r="J122" s="507"/>
      <c r="K122" s="507"/>
      <c r="L122" s="507"/>
      <c r="M122" s="507"/>
      <c r="N122" s="507"/>
      <c r="O122" s="507"/>
      <c r="P122" s="507"/>
      <c r="Q122" s="507"/>
      <c r="R122" s="507"/>
      <c r="S122" s="507"/>
      <c r="T122" s="507"/>
      <c r="U122" s="507"/>
      <c r="V122" s="507"/>
      <c r="W122" s="507"/>
    </row>
    <row r="123" ht="35.25" customHeight="1">
      <c r="A123" s="18"/>
      <c r="B123" s="514" t="s">
        <v>755</v>
      </c>
      <c r="C123" s="515">
        <v>4.2569E7</v>
      </c>
      <c r="D123" s="18"/>
      <c r="E123" s="556"/>
      <c r="F123" s="507"/>
      <c r="G123" s="508"/>
      <c r="H123" s="512"/>
      <c r="I123" s="507"/>
      <c r="J123" s="507"/>
      <c r="K123" s="507"/>
      <c r="L123" s="507"/>
      <c r="M123" s="507"/>
      <c r="N123" s="507"/>
      <c r="O123" s="507"/>
      <c r="P123" s="507"/>
      <c r="Q123" s="507"/>
      <c r="R123" s="507"/>
      <c r="S123" s="507"/>
      <c r="T123" s="507"/>
      <c r="U123" s="507"/>
      <c r="V123" s="507"/>
      <c r="W123" s="507"/>
    </row>
    <row r="124" ht="35.25" customHeight="1">
      <c r="A124" s="18"/>
      <c r="B124" s="514" t="s">
        <v>756</v>
      </c>
      <c r="C124" s="515">
        <v>2.471E7</v>
      </c>
      <c r="D124" s="18"/>
      <c r="E124" s="556"/>
      <c r="F124" s="507"/>
      <c r="G124" s="508"/>
      <c r="H124" s="512"/>
      <c r="I124" s="507"/>
      <c r="J124" s="507"/>
      <c r="K124" s="507"/>
      <c r="L124" s="507"/>
      <c r="M124" s="507"/>
      <c r="N124" s="507"/>
      <c r="O124" s="507"/>
      <c r="P124" s="507"/>
      <c r="Q124" s="507"/>
      <c r="R124" s="507"/>
      <c r="S124" s="507"/>
      <c r="T124" s="507"/>
      <c r="U124" s="507"/>
      <c r="V124" s="507"/>
      <c r="W124" s="507"/>
    </row>
    <row r="125" ht="35.25" customHeight="1">
      <c r="A125" s="22"/>
      <c r="B125" s="514" t="s">
        <v>757</v>
      </c>
      <c r="C125" s="544">
        <v>5.8293E7</v>
      </c>
      <c r="D125" s="22"/>
      <c r="E125" s="556"/>
      <c r="F125" s="507"/>
      <c r="G125" s="508"/>
      <c r="H125" s="512"/>
      <c r="I125" s="507"/>
      <c r="J125" s="507"/>
      <c r="K125" s="507"/>
      <c r="L125" s="507"/>
      <c r="M125" s="507"/>
      <c r="N125" s="507"/>
      <c r="O125" s="507"/>
      <c r="P125" s="507"/>
      <c r="Q125" s="507"/>
      <c r="R125" s="507"/>
      <c r="S125" s="507"/>
      <c r="T125" s="507"/>
      <c r="U125" s="507"/>
      <c r="V125" s="507"/>
      <c r="W125" s="507"/>
    </row>
    <row r="126" ht="35.25" customHeight="1">
      <c r="A126" s="527" t="s">
        <v>43</v>
      </c>
      <c r="B126" s="514" t="s">
        <v>680</v>
      </c>
      <c r="C126" s="564">
        <v>2.424E7</v>
      </c>
      <c r="D126" s="558">
        <f>sum(C126:C129)</f>
        <v>89260000</v>
      </c>
      <c r="E126" s="559"/>
      <c r="F126" s="507"/>
      <c r="G126" s="560"/>
      <c r="H126" s="561"/>
      <c r="I126" s="561"/>
      <c r="J126" s="561"/>
      <c r="K126" s="561"/>
      <c r="L126" s="562"/>
      <c r="M126" s="563"/>
      <c r="N126" s="507"/>
      <c r="O126" s="507"/>
      <c r="P126" s="507"/>
      <c r="Q126" s="507"/>
      <c r="R126" s="507"/>
      <c r="S126" s="507"/>
      <c r="T126" s="507"/>
      <c r="U126" s="507"/>
      <c r="V126" s="507"/>
      <c r="W126" s="507"/>
    </row>
    <row r="127" ht="35.25" customHeight="1">
      <c r="A127" s="18"/>
      <c r="B127" s="514" t="s">
        <v>759</v>
      </c>
      <c r="C127" s="564">
        <v>3.6415E7</v>
      </c>
      <c r="D127" s="86"/>
      <c r="E127" s="565"/>
      <c r="F127" s="566"/>
      <c r="I127" s="567"/>
      <c r="J127" s="568"/>
      <c r="K127" s="568"/>
      <c r="L127" s="569"/>
      <c r="M127" s="568"/>
      <c r="N127" s="507"/>
      <c r="O127" s="507"/>
      <c r="P127" s="507"/>
      <c r="Q127" s="507"/>
      <c r="R127" s="507"/>
      <c r="S127" s="507"/>
      <c r="T127" s="507"/>
      <c r="U127" s="507"/>
      <c r="V127" s="507"/>
      <c r="W127" s="507"/>
    </row>
    <row r="128" ht="35.25" customHeight="1">
      <c r="A128" s="18"/>
      <c r="B128" s="514" t="s">
        <v>756</v>
      </c>
      <c r="C128" s="564">
        <v>2600000.0</v>
      </c>
      <c r="D128" s="86"/>
      <c r="E128" s="570"/>
      <c r="F128" s="571"/>
      <c r="I128" s="569"/>
      <c r="J128" s="569"/>
      <c r="K128" s="569"/>
      <c r="L128" s="569"/>
      <c r="M128" s="569"/>
      <c r="N128" s="507"/>
      <c r="O128" s="507"/>
      <c r="P128" s="507"/>
      <c r="Q128" s="507"/>
      <c r="R128" s="507"/>
      <c r="S128" s="507"/>
      <c r="T128" s="507"/>
      <c r="U128" s="507"/>
      <c r="V128" s="507"/>
      <c r="W128" s="507"/>
    </row>
    <row r="129" ht="35.25" customHeight="1">
      <c r="A129" s="22"/>
      <c r="B129" s="514" t="s">
        <v>757</v>
      </c>
      <c r="C129" s="564">
        <v>2.6005E7</v>
      </c>
      <c r="D129" s="89"/>
      <c r="E129" s="570"/>
      <c r="F129" s="572"/>
      <c r="I129" s="573"/>
      <c r="J129" s="573"/>
      <c r="K129" s="574"/>
      <c r="L129" s="574"/>
      <c r="M129" s="575"/>
      <c r="N129" s="507"/>
      <c r="O129" s="507"/>
      <c r="P129" s="507"/>
      <c r="Q129" s="507"/>
      <c r="R129" s="507"/>
      <c r="S129" s="507"/>
      <c r="T129" s="507"/>
      <c r="U129" s="507"/>
      <c r="V129" s="507"/>
      <c r="W129" s="507"/>
    </row>
    <row r="130" ht="35.25" customHeight="1">
      <c r="A130" s="527" t="s">
        <v>44</v>
      </c>
      <c r="B130" s="514"/>
      <c r="C130" s="529"/>
      <c r="D130" s="516">
        <f>sum(C130:C132)</f>
        <v>35354300</v>
      </c>
      <c r="E130" s="576"/>
      <c r="F130" s="577"/>
      <c r="G130" s="577"/>
      <c r="H130" s="577"/>
      <c r="I130" s="578"/>
      <c r="J130" s="578"/>
      <c r="K130" s="578"/>
      <c r="L130" s="579"/>
      <c r="M130" s="580"/>
      <c r="N130" s="507"/>
      <c r="O130" s="507"/>
      <c r="P130" s="507"/>
      <c r="Q130" s="507"/>
      <c r="R130" s="507"/>
      <c r="S130" s="507"/>
      <c r="T130" s="507"/>
      <c r="U130" s="507"/>
      <c r="V130" s="507"/>
      <c r="W130" s="507"/>
    </row>
    <row r="131" ht="35.25" customHeight="1">
      <c r="A131" s="18"/>
      <c r="B131" s="514"/>
      <c r="C131" s="529"/>
      <c r="D131" s="18"/>
      <c r="E131" s="576"/>
      <c r="F131" s="577"/>
      <c r="G131" s="577"/>
      <c r="H131" s="577"/>
      <c r="I131" s="578"/>
      <c r="J131" s="578"/>
      <c r="K131" s="578"/>
      <c r="L131" s="579"/>
      <c r="M131" s="580"/>
      <c r="N131" s="507"/>
      <c r="O131" s="507"/>
      <c r="P131" s="507"/>
      <c r="Q131" s="507"/>
      <c r="R131" s="507"/>
      <c r="S131" s="507"/>
      <c r="T131" s="507"/>
      <c r="U131" s="507"/>
      <c r="V131" s="507"/>
      <c r="W131" s="507"/>
    </row>
    <row r="132" ht="35.25" customHeight="1">
      <c r="A132" s="18"/>
      <c r="B132" s="514" t="s">
        <v>757</v>
      </c>
      <c r="C132" s="529">
        <v>3.53543E7</v>
      </c>
      <c r="D132" s="18"/>
      <c r="E132" s="582"/>
      <c r="F132" s="577"/>
      <c r="G132" s="577"/>
      <c r="H132" s="583"/>
      <c r="I132" s="578"/>
      <c r="J132" s="578"/>
      <c r="K132" s="578"/>
      <c r="L132" s="579"/>
      <c r="M132" s="580"/>
      <c r="N132" s="507"/>
      <c r="O132" s="507"/>
      <c r="P132" s="507"/>
      <c r="Q132" s="507"/>
      <c r="R132" s="507"/>
      <c r="S132" s="507"/>
      <c r="T132" s="507"/>
      <c r="U132" s="507"/>
      <c r="V132" s="507"/>
      <c r="W132" s="507"/>
    </row>
    <row r="133" ht="35.25" customHeight="1">
      <c r="A133" s="22"/>
      <c r="B133" s="514" t="s">
        <v>50</v>
      </c>
      <c r="C133" s="529"/>
      <c r="D133" s="22"/>
      <c r="E133" s="584"/>
      <c r="F133" s="577"/>
      <c r="G133" s="577"/>
      <c r="H133" s="583"/>
      <c r="I133" s="578"/>
      <c r="J133" s="578"/>
      <c r="K133" s="578"/>
      <c r="L133" s="579"/>
      <c r="M133" s="585"/>
      <c r="N133" s="507"/>
      <c r="O133" s="507"/>
      <c r="P133" s="507"/>
      <c r="Q133" s="507"/>
      <c r="R133" s="507"/>
      <c r="S133" s="507"/>
      <c r="T133" s="507"/>
      <c r="U133" s="507"/>
      <c r="V133" s="507"/>
      <c r="W133" s="507"/>
    </row>
    <row r="134" ht="35.25" customHeight="1">
      <c r="A134" s="527" t="s">
        <v>45</v>
      </c>
      <c r="B134" s="514"/>
      <c r="C134" s="529"/>
      <c r="D134" s="516">
        <f>sum(C135:C138)</f>
        <v>88190800</v>
      </c>
      <c r="E134" s="507"/>
      <c r="F134" s="586"/>
      <c r="G134" s="507"/>
      <c r="H134" s="507"/>
      <c r="I134" s="507"/>
      <c r="J134" s="507"/>
      <c r="K134" s="507"/>
      <c r="L134" s="507"/>
      <c r="M134" s="507"/>
      <c r="N134" s="507"/>
      <c r="O134" s="507"/>
      <c r="P134" s="507"/>
      <c r="Q134" s="507"/>
      <c r="R134" s="507"/>
      <c r="S134" s="507"/>
      <c r="T134" s="507"/>
      <c r="U134" s="507"/>
      <c r="V134" s="507"/>
      <c r="W134" s="507"/>
    </row>
    <row r="135" ht="35.25" customHeight="1">
      <c r="A135" s="18"/>
      <c r="B135" s="514" t="s">
        <v>759</v>
      </c>
      <c r="C135" s="587">
        <v>3.4182E7</v>
      </c>
      <c r="D135" s="18"/>
      <c r="E135" s="507"/>
      <c r="F135" s="507"/>
      <c r="G135" s="507"/>
      <c r="H135" s="507"/>
      <c r="I135" s="507"/>
      <c r="J135" s="507"/>
      <c r="K135" s="507"/>
      <c r="L135" s="507"/>
      <c r="M135" s="507"/>
      <c r="N135" s="507"/>
      <c r="O135" s="507"/>
      <c r="P135" s="507"/>
      <c r="Q135" s="507"/>
      <c r="R135" s="507"/>
      <c r="S135" s="507"/>
      <c r="T135" s="507"/>
      <c r="U135" s="507"/>
      <c r="V135" s="507"/>
      <c r="W135" s="507"/>
    </row>
    <row r="136" ht="35.25" customHeight="1">
      <c r="A136" s="18"/>
      <c r="B136" s="514" t="s">
        <v>755</v>
      </c>
      <c r="C136" s="514">
        <v>1.54548E7</v>
      </c>
      <c r="D136" s="18"/>
      <c r="E136" s="507"/>
      <c r="F136" s="586"/>
      <c r="G136" s="586"/>
      <c r="H136" s="586"/>
      <c r="I136" s="507"/>
      <c r="J136" s="507"/>
      <c r="K136" s="507"/>
      <c r="L136" s="507"/>
      <c r="M136" s="507"/>
      <c r="N136" s="507"/>
      <c r="O136" s="507"/>
      <c r="P136" s="507"/>
      <c r="Q136" s="507"/>
      <c r="R136" s="507"/>
      <c r="S136" s="507"/>
      <c r="T136" s="507"/>
      <c r="U136" s="507"/>
      <c r="V136" s="507"/>
      <c r="W136" s="507"/>
    </row>
    <row r="137" ht="35.25" customHeight="1">
      <c r="A137" s="18"/>
      <c r="B137" s="514" t="s">
        <v>756</v>
      </c>
      <c r="C137" s="546">
        <v>1.1149E7</v>
      </c>
      <c r="D137" s="18"/>
      <c r="E137" s="507"/>
      <c r="F137" s="586"/>
      <c r="G137" s="586"/>
      <c r="H137" s="586"/>
      <c r="I137" s="507"/>
      <c r="J137" s="507"/>
      <c r="K137" s="507"/>
      <c r="L137" s="507"/>
      <c r="M137" s="507"/>
      <c r="N137" s="507"/>
      <c r="O137" s="507"/>
      <c r="P137" s="507"/>
      <c r="Q137" s="507"/>
      <c r="R137" s="507"/>
      <c r="S137" s="507"/>
      <c r="T137" s="507"/>
      <c r="U137" s="507"/>
      <c r="V137" s="507"/>
      <c r="W137" s="507"/>
    </row>
    <row r="138" ht="35.25" customHeight="1">
      <c r="A138" s="22"/>
      <c r="B138" s="514" t="s">
        <v>757</v>
      </c>
      <c r="C138" s="546">
        <v>2.7405E7</v>
      </c>
      <c r="D138" s="22"/>
      <c r="E138" s="507"/>
      <c r="F138" s="586"/>
      <c r="G138" s="586"/>
      <c r="H138" s="586"/>
      <c r="I138" s="507"/>
      <c r="J138" s="507"/>
      <c r="K138" s="507"/>
      <c r="L138" s="507"/>
      <c r="M138" s="507"/>
      <c r="N138" s="507"/>
      <c r="O138" s="507"/>
      <c r="P138" s="507"/>
      <c r="Q138" s="507"/>
      <c r="R138" s="507"/>
      <c r="S138" s="507"/>
      <c r="T138" s="507"/>
      <c r="U138" s="507"/>
      <c r="V138" s="507"/>
      <c r="W138" s="507"/>
    </row>
    <row r="139" ht="35.25" customHeight="1">
      <c r="A139" s="513" t="s">
        <v>666</v>
      </c>
      <c r="B139" s="514"/>
      <c r="C139" s="514"/>
      <c r="D139" s="516">
        <f>sum(C140:C143)</f>
        <v>109520000</v>
      </c>
      <c r="E139" s="507"/>
      <c r="F139" s="507"/>
      <c r="G139" s="507"/>
      <c r="H139" s="507"/>
      <c r="I139" s="507"/>
      <c r="J139" s="507"/>
      <c r="K139" s="507"/>
      <c r="L139" s="507"/>
      <c r="M139" s="507"/>
      <c r="N139" s="507"/>
      <c r="O139" s="507"/>
      <c r="P139" s="507"/>
      <c r="Q139" s="507"/>
      <c r="R139" s="507"/>
      <c r="S139" s="507"/>
      <c r="T139" s="507"/>
      <c r="U139" s="507"/>
      <c r="V139" s="507"/>
      <c r="W139" s="507"/>
    </row>
    <row r="140" ht="35.25" customHeight="1">
      <c r="A140" s="18"/>
      <c r="B140" s="514" t="s">
        <v>723</v>
      </c>
      <c r="C140" s="514">
        <v>3.0665E7</v>
      </c>
      <c r="D140" s="18"/>
      <c r="E140" s="507"/>
      <c r="F140" s="507"/>
      <c r="G140" s="507"/>
      <c r="H140" s="507"/>
      <c r="I140" s="507"/>
      <c r="J140" s="507"/>
      <c r="K140" s="507"/>
      <c r="L140" s="507"/>
      <c r="M140" s="507"/>
      <c r="N140" s="507"/>
      <c r="O140" s="507"/>
      <c r="P140" s="507"/>
      <c r="Q140" s="507"/>
      <c r="R140" s="507"/>
      <c r="S140" s="507"/>
      <c r="T140" s="507"/>
      <c r="U140" s="507"/>
      <c r="V140" s="507"/>
      <c r="W140" s="507"/>
    </row>
    <row r="141" ht="35.25" customHeight="1">
      <c r="A141" s="18"/>
      <c r="B141" s="514" t="s">
        <v>760</v>
      </c>
      <c r="C141" s="514">
        <v>6.088E7</v>
      </c>
      <c r="D141" s="18"/>
      <c r="E141" s="507"/>
      <c r="F141" s="507"/>
      <c r="G141" s="507"/>
      <c r="H141" s="507"/>
      <c r="I141" s="507"/>
      <c r="J141" s="507"/>
      <c r="K141" s="507"/>
      <c r="L141" s="507"/>
      <c r="M141" s="507"/>
      <c r="N141" s="507"/>
      <c r="O141" s="507"/>
      <c r="P141" s="507"/>
      <c r="Q141" s="507"/>
      <c r="R141" s="507"/>
      <c r="S141" s="507"/>
      <c r="T141" s="507"/>
      <c r="U141" s="507"/>
      <c r="V141" s="507"/>
      <c r="W141" s="507"/>
    </row>
    <row r="142" ht="35.25" customHeight="1">
      <c r="A142" s="18"/>
      <c r="B142" s="514" t="s">
        <v>759</v>
      </c>
      <c r="C142" s="514">
        <v>2960000.0</v>
      </c>
      <c r="D142" s="18"/>
      <c r="E142" s="507"/>
      <c r="F142" s="507"/>
      <c r="G142" s="507"/>
      <c r="H142" s="507"/>
      <c r="I142" s="507"/>
      <c r="J142" s="507"/>
      <c r="K142" s="507"/>
      <c r="L142" s="507"/>
      <c r="M142" s="507"/>
      <c r="N142" s="507"/>
      <c r="O142" s="507"/>
      <c r="P142" s="507"/>
      <c r="Q142" s="507"/>
      <c r="R142" s="507"/>
      <c r="S142" s="507"/>
      <c r="T142" s="507"/>
      <c r="U142" s="507"/>
      <c r="V142" s="507"/>
      <c r="W142" s="507"/>
    </row>
    <row r="143" ht="35.25" customHeight="1">
      <c r="A143" s="18"/>
      <c r="B143" s="514" t="s">
        <v>755</v>
      </c>
      <c r="C143" s="514">
        <v>1.5015E7</v>
      </c>
      <c r="D143" s="18"/>
      <c r="E143" s="507"/>
      <c r="F143" s="507"/>
      <c r="G143" s="507"/>
      <c r="H143" s="507"/>
      <c r="I143" s="507"/>
      <c r="J143" s="507"/>
      <c r="K143" s="507"/>
      <c r="L143" s="507"/>
      <c r="M143" s="507"/>
      <c r="N143" s="507"/>
      <c r="O143" s="507"/>
      <c r="P143" s="507"/>
      <c r="Q143" s="507"/>
      <c r="R143" s="507"/>
      <c r="S143" s="507"/>
      <c r="T143" s="507"/>
      <c r="U143" s="507"/>
      <c r="V143" s="507"/>
      <c r="W143" s="507"/>
    </row>
    <row r="144" ht="35.25" customHeight="1">
      <c r="A144" s="18"/>
      <c r="B144" s="514"/>
      <c r="C144" s="514"/>
      <c r="D144" s="18"/>
      <c r="E144" s="507"/>
      <c r="F144" s="507"/>
      <c r="G144" s="507"/>
      <c r="H144" s="507"/>
      <c r="I144" s="507"/>
      <c r="J144" s="507"/>
      <c r="K144" s="507"/>
      <c r="L144" s="507"/>
      <c r="M144" s="507"/>
      <c r="N144" s="507"/>
      <c r="O144" s="507"/>
      <c r="P144" s="507"/>
      <c r="Q144" s="507"/>
      <c r="R144" s="507"/>
      <c r="S144" s="507"/>
      <c r="T144" s="507"/>
      <c r="U144" s="507"/>
      <c r="V144" s="507"/>
      <c r="W144" s="507"/>
    </row>
    <row r="145" ht="35.25" customHeight="1">
      <c r="A145" s="22"/>
      <c r="B145" s="514"/>
      <c r="C145" s="514"/>
      <c r="D145" s="22"/>
      <c r="E145" s="507"/>
      <c r="F145" s="507"/>
      <c r="G145" s="507"/>
      <c r="H145" s="507"/>
      <c r="I145" s="507"/>
      <c r="J145" s="507"/>
      <c r="K145" s="507"/>
      <c r="L145" s="507"/>
      <c r="M145" s="507"/>
      <c r="N145" s="507"/>
      <c r="O145" s="507"/>
      <c r="P145" s="507"/>
      <c r="Q145" s="507"/>
      <c r="R145" s="507"/>
      <c r="S145" s="507"/>
      <c r="T145" s="507"/>
      <c r="U145" s="507"/>
      <c r="V145" s="507"/>
      <c r="W145" s="507"/>
    </row>
    <row r="146" ht="35.25" customHeight="1">
      <c r="A146" s="527" t="s">
        <v>47</v>
      </c>
      <c r="B146" s="588" t="s">
        <v>605</v>
      </c>
      <c r="C146" s="515">
        <v>4.0E7</v>
      </c>
      <c r="D146" s="516">
        <f>sum(C146:C150)</f>
        <v>107044000</v>
      </c>
      <c r="E146" s="507"/>
      <c r="F146" s="507"/>
      <c r="G146" s="507"/>
      <c r="H146" s="507"/>
      <c r="I146" s="507"/>
      <c r="J146" s="507"/>
      <c r="K146" s="507"/>
      <c r="L146" s="507"/>
      <c r="M146" s="507"/>
      <c r="N146" s="507"/>
      <c r="O146" s="507"/>
      <c r="P146" s="507"/>
      <c r="Q146" s="507"/>
      <c r="R146" s="507"/>
      <c r="S146" s="507"/>
      <c r="T146" s="507"/>
      <c r="U146" s="507"/>
      <c r="V146" s="507"/>
      <c r="W146" s="507"/>
    </row>
    <row r="147" ht="35.25" customHeight="1">
      <c r="A147" s="18"/>
      <c r="B147" s="524" t="s">
        <v>727</v>
      </c>
      <c r="C147" s="515">
        <v>1.5315E7</v>
      </c>
      <c r="D147" s="18"/>
      <c r="E147" s="507"/>
      <c r="F147" s="507"/>
      <c r="G147" s="507"/>
      <c r="H147" s="507"/>
      <c r="I147" s="507"/>
      <c r="J147" s="507"/>
      <c r="K147" s="507"/>
      <c r="L147" s="507"/>
      <c r="M147" s="507"/>
      <c r="N147" s="507"/>
      <c r="O147" s="507"/>
      <c r="P147" s="507"/>
      <c r="Q147" s="507"/>
      <c r="R147" s="507"/>
      <c r="S147" s="507"/>
      <c r="T147" s="507"/>
      <c r="U147" s="507"/>
      <c r="V147" s="507"/>
      <c r="W147" s="507"/>
    </row>
    <row r="148" ht="35.25" customHeight="1">
      <c r="A148" s="18"/>
      <c r="B148" s="514" t="s">
        <v>728</v>
      </c>
      <c r="C148" s="515">
        <v>1.806E7</v>
      </c>
      <c r="D148" s="18"/>
      <c r="E148" s="507"/>
      <c r="F148" s="507"/>
      <c r="G148" s="507"/>
      <c r="H148" s="507"/>
      <c r="I148" s="507"/>
      <c r="J148" s="507"/>
      <c r="K148" s="507"/>
      <c r="L148" s="507"/>
      <c r="M148" s="507"/>
      <c r="N148" s="507"/>
      <c r="O148" s="507"/>
      <c r="P148" s="507"/>
      <c r="Q148" s="507"/>
      <c r="R148" s="507"/>
      <c r="S148" s="507"/>
      <c r="T148" s="507"/>
      <c r="U148" s="507"/>
      <c r="V148" s="507"/>
      <c r="W148" s="507"/>
    </row>
    <row r="149" ht="35.25" customHeight="1">
      <c r="A149" s="18"/>
      <c r="B149" s="524" t="s">
        <v>764</v>
      </c>
      <c r="C149" s="515">
        <v>1.5789E7</v>
      </c>
      <c r="D149" s="18"/>
      <c r="E149" s="507"/>
      <c r="F149" s="589" t="s">
        <v>50</v>
      </c>
      <c r="G149" s="538" t="s">
        <v>51</v>
      </c>
      <c r="H149" s="540">
        <v>3.58355E7</v>
      </c>
      <c r="I149" s="507"/>
      <c r="J149" s="507"/>
      <c r="K149" s="507"/>
      <c r="L149" s="507"/>
      <c r="M149" s="507"/>
      <c r="N149" s="507"/>
      <c r="O149" s="507"/>
      <c r="P149" s="507"/>
      <c r="Q149" s="507"/>
      <c r="R149" s="507"/>
      <c r="S149" s="507"/>
      <c r="T149" s="507"/>
      <c r="U149" s="507"/>
      <c r="V149" s="507"/>
      <c r="W149" s="507"/>
    </row>
    <row r="150" ht="35.25" customHeight="1">
      <c r="A150" s="18"/>
      <c r="B150" s="524" t="s">
        <v>765</v>
      </c>
      <c r="C150" s="515">
        <v>1.788E7</v>
      </c>
      <c r="D150" s="18"/>
      <c r="E150" s="507"/>
      <c r="F150" s="18"/>
      <c r="G150" s="538"/>
      <c r="H150" s="540"/>
      <c r="I150" s="507"/>
      <c r="J150" s="507"/>
      <c r="K150" s="507"/>
      <c r="L150" s="507"/>
      <c r="M150" s="507"/>
      <c r="N150" s="507"/>
      <c r="O150" s="507"/>
      <c r="P150" s="507"/>
      <c r="Q150" s="507"/>
      <c r="R150" s="507"/>
      <c r="S150" s="507"/>
      <c r="T150" s="507"/>
      <c r="U150" s="507"/>
      <c r="V150" s="507"/>
      <c r="W150" s="507"/>
    </row>
    <row r="151" ht="35.25" customHeight="1">
      <c r="A151" s="18"/>
      <c r="B151" s="524"/>
      <c r="C151" s="515"/>
      <c r="D151" s="18"/>
      <c r="E151" s="507"/>
      <c r="F151" s="18"/>
      <c r="G151" s="538"/>
      <c r="H151" s="540"/>
      <c r="I151" s="507"/>
      <c r="J151" s="507"/>
      <c r="K151" s="507"/>
      <c r="L151" s="507"/>
      <c r="M151" s="507"/>
      <c r="N151" s="507"/>
      <c r="O151" s="507"/>
      <c r="P151" s="507"/>
      <c r="Q151" s="507"/>
      <c r="R151" s="507"/>
      <c r="S151" s="507"/>
      <c r="T151" s="507"/>
      <c r="U151" s="507"/>
      <c r="V151" s="507"/>
      <c r="W151" s="507"/>
    </row>
    <row r="152" ht="35.25" customHeight="1">
      <c r="A152" s="22"/>
      <c r="B152" s="524"/>
      <c r="C152" s="515"/>
      <c r="D152" s="22"/>
      <c r="E152" s="507"/>
      <c r="F152" s="18"/>
      <c r="G152" s="538"/>
      <c r="H152" s="540"/>
      <c r="I152" s="507"/>
      <c r="J152" s="507"/>
      <c r="K152" s="507"/>
      <c r="L152" s="507"/>
      <c r="M152" s="507"/>
      <c r="N152" s="507"/>
      <c r="O152" s="507"/>
      <c r="P152" s="507"/>
      <c r="Q152" s="507"/>
      <c r="R152" s="507"/>
      <c r="S152" s="507"/>
      <c r="T152" s="507"/>
      <c r="U152" s="507"/>
      <c r="V152" s="507"/>
      <c r="W152" s="507"/>
    </row>
    <row r="153" ht="35.25" customHeight="1">
      <c r="A153" s="527" t="s">
        <v>56</v>
      </c>
      <c r="B153" s="514" t="s">
        <v>759</v>
      </c>
      <c r="C153" s="587">
        <v>4.37135E7</v>
      </c>
      <c r="D153" s="516">
        <f>sum(C153:C156)</f>
        <v>176297000</v>
      </c>
      <c r="E153" s="590"/>
      <c r="F153" s="18"/>
      <c r="G153" s="538"/>
      <c r="H153" s="540"/>
      <c r="I153" s="507"/>
      <c r="J153" s="507"/>
      <c r="K153" s="507"/>
      <c r="L153" s="507"/>
      <c r="M153" s="507"/>
      <c r="N153" s="507"/>
      <c r="O153" s="507"/>
      <c r="P153" s="507"/>
      <c r="Q153" s="507"/>
      <c r="R153" s="507"/>
      <c r="S153" s="507"/>
      <c r="T153" s="507"/>
      <c r="U153" s="507"/>
      <c r="V153" s="507"/>
      <c r="W153" s="507"/>
    </row>
    <row r="154" ht="35.25" customHeight="1">
      <c r="A154" s="18"/>
      <c r="B154" s="514" t="s">
        <v>755</v>
      </c>
      <c r="C154" s="587">
        <v>5.10655E7</v>
      </c>
      <c r="D154" s="18"/>
      <c r="E154" s="590"/>
      <c r="F154" s="18"/>
      <c r="G154" s="538" t="s">
        <v>57</v>
      </c>
      <c r="H154" s="540">
        <v>6.7791E7</v>
      </c>
      <c r="I154" s="507"/>
      <c r="J154" s="507"/>
      <c r="K154" s="507"/>
      <c r="L154" s="507"/>
      <c r="M154" s="507"/>
      <c r="N154" s="507"/>
      <c r="O154" s="507"/>
      <c r="P154" s="507"/>
      <c r="Q154" s="507"/>
      <c r="R154" s="507"/>
      <c r="S154" s="507"/>
      <c r="T154" s="507"/>
      <c r="U154" s="507"/>
      <c r="V154" s="507"/>
      <c r="W154" s="507"/>
    </row>
    <row r="155" ht="35.25" customHeight="1">
      <c r="A155" s="18"/>
      <c r="B155" s="514" t="s">
        <v>756</v>
      </c>
      <c r="C155" s="514">
        <v>4.1226E7</v>
      </c>
      <c r="D155" s="18"/>
      <c r="E155" s="590"/>
      <c r="F155" s="18"/>
      <c r="G155" s="507"/>
      <c r="H155" s="507"/>
      <c r="I155" s="507"/>
      <c r="J155" s="507"/>
      <c r="K155" s="507"/>
      <c r="L155" s="507"/>
      <c r="M155" s="507"/>
      <c r="N155" s="507"/>
      <c r="O155" s="507"/>
      <c r="P155" s="507"/>
      <c r="Q155" s="507"/>
      <c r="R155" s="507"/>
      <c r="S155" s="507"/>
      <c r="T155" s="507"/>
      <c r="U155" s="507"/>
      <c r="V155" s="507"/>
      <c r="W155" s="507"/>
    </row>
    <row r="156" ht="35.25" customHeight="1">
      <c r="A156" s="18"/>
      <c r="B156" s="514" t="s">
        <v>757</v>
      </c>
      <c r="C156" s="587">
        <v>4.0292E7</v>
      </c>
      <c r="D156" s="18"/>
      <c r="E156" s="507"/>
      <c r="F156" s="18"/>
      <c r="G156" s="507"/>
      <c r="H156" s="557">
        <f>SUM(H166:H167)</f>
        <v>146720000</v>
      </c>
      <c r="I156" s="507"/>
      <c r="J156" s="507"/>
      <c r="K156" s="507"/>
      <c r="L156" s="507"/>
      <c r="M156" s="507"/>
      <c r="N156" s="507"/>
      <c r="O156" s="507"/>
      <c r="P156" s="507"/>
      <c r="Q156" s="507"/>
      <c r="R156" s="507"/>
      <c r="S156" s="507"/>
      <c r="T156" s="507"/>
      <c r="U156" s="507"/>
      <c r="V156" s="507"/>
      <c r="W156" s="507"/>
    </row>
    <row r="157" ht="35.25" customHeight="1">
      <c r="A157" s="22"/>
      <c r="B157" s="514"/>
      <c r="C157" s="587"/>
      <c r="D157" s="22"/>
      <c r="E157" s="507"/>
      <c r="F157" s="589"/>
      <c r="G157" s="507"/>
      <c r="H157" s="557"/>
      <c r="I157" s="507"/>
      <c r="J157" s="507"/>
      <c r="K157" s="507"/>
      <c r="L157" s="507"/>
      <c r="M157" s="507"/>
      <c r="N157" s="507"/>
      <c r="O157" s="507"/>
      <c r="P157" s="507"/>
      <c r="Q157" s="507"/>
      <c r="R157" s="507"/>
      <c r="S157" s="507"/>
      <c r="T157" s="507"/>
      <c r="U157" s="507"/>
      <c r="V157" s="507"/>
      <c r="W157" s="507"/>
    </row>
    <row r="158" ht="35.25" customHeight="1">
      <c r="A158" s="553" t="s">
        <v>670</v>
      </c>
      <c r="B158" s="514" t="s">
        <v>760</v>
      </c>
      <c r="C158" s="591">
        <v>7.1032E7</v>
      </c>
      <c r="D158" s="516">
        <f>sum(C158:C162)</f>
        <v>359742500</v>
      </c>
      <c r="E158" s="507"/>
      <c r="F158" s="592"/>
      <c r="G158" s="538"/>
      <c r="H158" s="539"/>
      <c r="I158" s="507"/>
      <c r="J158" s="507"/>
      <c r="K158" s="507"/>
      <c r="L158" s="507"/>
      <c r="M158" s="507"/>
      <c r="N158" s="507"/>
      <c r="O158" s="507"/>
      <c r="P158" s="507"/>
      <c r="Q158" s="507"/>
      <c r="R158" s="507"/>
      <c r="S158" s="507"/>
      <c r="T158" s="507"/>
      <c r="U158" s="507"/>
      <c r="V158" s="507"/>
      <c r="W158" s="507"/>
    </row>
    <row r="159" ht="35.25" customHeight="1">
      <c r="A159" s="18"/>
      <c r="B159" s="514" t="s">
        <v>759</v>
      </c>
      <c r="C159" s="591">
        <v>9.1789E7</v>
      </c>
      <c r="D159" s="18"/>
      <c r="E159" s="507"/>
      <c r="F159" s="18"/>
      <c r="G159" s="538"/>
      <c r="H159" s="539"/>
      <c r="I159" s="507"/>
      <c r="J159" s="507"/>
      <c r="K159" s="507"/>
      <c r="L159" s="507"/>
      <c r="M159" s="507"/>
      <c r="N159" s="507"/>
      <c r="O159" s="507"/>
      <c r="P159" s="507"/>
      <c r="Q159" s="507"/>
      <c r="R159" s="507"/>
      <c r="S159" s="507"/>
      <c r="T159" s="507"/>
      <c r="U159" s="507"/>
      <c r="V159" s="507"/>
      <c r="W159" s="507"/>
    </row>
    <row r="160" ht="35.25" customHeight="1">
      <c r="A160" s="18"/>
      <c r="B160" s="514" t="s">
        <v>755</v>
      </c>
      <c r="C160" s="591">
        <v>8.0648E7</v>
      </c>
      <c r="D160" s="18"/>
      <c r="E160" s="507"/>
      <c r="F160" s="18"/>
      <c r="G160" s="538"/>
      <c r="H160" s="539"/>
      <c r="I160" s="507"/>
      <c r="J160" s="507"/>
      <c r="K160" s="507"/>
      <c r="L160" s="507"/>
      <c r="M160" s="507"/>
      <c r="N160" s="507"/>
      <c r="O160" s="507"/>
      <c r="P160" s="507"/>
      <c r="Q160" s="507"/>
      <c r="R160" s="507"/>
      <c r="S160" s="507"/>
      <c r="T160" s="507"/>
      <c r="U160" s="507"/>
      <c r="V160" s="507"/>
      <c r="W160" s="507"/>
    </row>
    <row r="161" ht="35.25" customHeight="1">
      <c r="A161" s="18"/>
      <c r="B161" s="514" t="s">
        <v>756</v>
      </c>
      <c r="C161" s="591">
        <v>4.09835E7</v>
      </c>
      <c r="D161" s="18"/>
      <c r="E161" s="507"/>
      <c r="F161" s="18"/>
      <c r="G161" s="538"/>
      <c r="H161" s="539"/>
      <c r="I161" s="507"/>
      <c r="J161" s="507"/>
      <c r="K161" s="507"/>
      <c r="L161" s="507"/>
      <c r="M161" s="507"/>
      <c r="N161" s="507"/>
      <c r="O161" s="507"/>
      <c r="P161" s="507"/>
      <c r="Q161" s="507"/>
      <c r="R161" s="507"/>
      <c r="S161" s="507"/>
      <c r="T161" s="507"/>
      <c r="U161" s="507"/>
      <c r="V161" s="507"/>
      <c r="W161" s="507"/>
    </row>
    <row r="162" ht="35.25" customHeight="1">
      <c r="A162" s="18"/>
      <c r="B162" s="514" t="s">
        <v>757</v>
      </c>
      <c r="C162" s="591">
        <v>7.529E7</v>
      </c>
      <c r="D162" s="18"/>
      <c r="E162" s="507"/>
      <c r="F162" s="18"/>
      <c r="G162" s="538"/>
      <c r="H162" s="539"/>
      <c r="I162" s="507"/>
      <c r="J162" s="507"/>
      <c r="K162" s="507"/>
      <c r="L162" s="507"/>
      <c r="M162" s="507"/>
      <c r="N162" s="507"/>
      <c r="O162" s="507"/>
      <c r="P162" s="507"/>
      <c r="Q162" s="507"/>
      <c r="R162" s="507"/>
      <c r="S162" s="507"/>
      <c r="T162" s="507"/>
      <c r="U162" s="507"/>
      <c r="V162" s="507"/>
      <c r="W162" s="507"/>
    </row>
    <row r="163" ht="35.25" customHeight="1">
      <c r="A163" s="22"/>
      <c r="B163" s="514"/>
      <c r="C163" s="591"/>
      <c r="D163" s="22"/>
      <c r="E163" s="507"/>
      <c r="F163" s="18"/>
      <c r="G163" s="538"/>
      <c r="H163" s="539"/>
      <c r="I163" s="507"/>
      <c r="J163" s="507"/>
      <c r="K163" s="507"/>
      <c r="L163" s="507"/>
      <c r="M163" s="507"/>
      <c r="N163" s="507"/>
      <c r="O163" s="507"/>
      <c r="P163" s="507"/>
      <c r="Q163" s="507"/>
      <c r="R163" s="507"/>
      <c r="S163" s="507"/>
      <c r="T163" s="507"/>
      <c r="U163" s="507"/>
      <c r="V163" s="507"/>
      <c r="W163" s="507"/>
    </row>
    <row r="164" ht="35.25" customHeight="1">
      <c r="A164" s="553" t="s">
        <v>671</v>
      </c>
      <c r="B164" s="588"/>
      <c r="C164" s="591"/>
      <c r="D164" s="516"/>
      <c r="E164" s="507"/>
      <c r="F164" s="18"/>
      <c r="G164" s="538"/>
      <c r="H164" s="539"/>
      <c r="I164" s="507"/>
      <c r="J164" s="507"/>
      <c r="K164" s="507"/>
      <c r="L164" s="507"/>
      <c r="M164" s="507"/>
      <c r="N164" s="507"/>
      <c r="O164" s="507"/>
      <c r="P164" s="507"/>
      <c r="Q164" s="507"/>
      <c r="R164" s="507"/>
      <c r="S164" s="507"/>
      <c r="T164" s="507"/>
      <c r="U164" s="507"/>
      <c r="V164" s="507"/>
      <c r="W164" s="507"/>
    </row>
    <row r="165" ht="35.25" customHeight="1">
      <c r="A165" s="18"/>
      <c r="B165" s="588"/>
      <c r="C165" s="546"/>
      <c r="D165" s="18"/>
      <c r="E165" s="507"/>
      <c r="F165" s="18"/>
      <c r="G165" s="538"/>
      <c r="H165" s="539"/>
      <c r="I165" s="507"/>
      <c r="J165" s="507"/>
      <c r="K165" s="507"/>
      <c r="L165" s="507"/>
      <c r="M165" s="507"/>
      <c r="N165" s="507"/>
      <c r="O165" s="507"/>
      <c r="P165" s="507"/>
      <c r="Q165" s="507"/>
      <c r="R165" s="507"/>
      <c r="S165" s="507"/>
      <c r="T165" s="507"/>
      <c r="U165" s="507"/>
      <c r="V165" s="507"/>
      <c r="W165" s="507"/>
    </row>
    <row r="166" ht="35.25" customHeight="1">
      <c r="A166" s="18"/>
      <c r="B166" s="514"/>
      <c r="C166" s="591"/>
      <c r="D166" s="18"/>
      <c r="E166" s="507"/>
      <c r="F166" s="18"/>
      <c r="G166" s="538"/>
      <c r="H166" s="539">
        <v>9.8639E7</v>
      </c>
      <c r="I166" s="507"/>
      <c r="J166" s="507"/>
      <c r="K166" s="507"/>
      <c r="L166" s="507"/>
      <c r="M166" s="507"/>
      <c r="N166" s="507"/>
      <c r="O166" s="507"/>
      <c r="P166" s="507"/>
      <c r="Q166" s="507"/>
      <c r="R166" s="507"/>
      <c r="S166" s="507"/>
      <c r="T166" s="507"/>
      <c r="U166" s="507"/>
      <c r="V166" s="507"/>
      <c r="W166" s="507"/>
    </row>
    <row r="167" ht="35.25" customHeight="1">
      <c r="A167" s="22"/>
      <c r="B167" s="588"/>
      <c r="C167" s="587"/>
      <c r="D167" s="22"/>
      <c r="E167" s="507"/>
      <c r="F167" s="18"/>
      <c r="G167" s="538"/>
      <c r="H167" s="539">
        <v>4.8081E7</v>
      </c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507"/>
      <c r="U167" s="507"/>
      <c r="V167" s="507"/>
      <c r="W167" s="507"/>
    </row>
    <row r="168" ht="35.25" customHeight="1">
      <c r="A168" s="513" t="s">
        <v>61</v>
      </c>
      <c r="B168" s="514" t="s">
        <v>756</v>
      </c>
      <c r="C168" s="593">
        <v>6634000.0</v>
      </c>
      <c r="D168" s="516">
        <f>sum(C168:C169)</f>
        <v>22475000</v>
      </c>
      <c r="E168" s="507"/>
      <c r="F168" s="18"/>
      <c r="G168" s="538"/>
      <c r="H168" s="594">
        <f>SUM(H158:H167)</f>
        <v>146720000</v>
      </c>
      <c r="I168" s="507"/>
      <c r="J168" s="507"/>
      <c r="K168" s="507"/>
      <c r="L168" s="507"/>
      <c r="M168" s="507"/>
      <c r="N168" s="507"/>
      <c r="O168" s="507"/>
      <c r="P168" s="507"/>
      <c r="Q168" s="507"/>
      <c r="R168" s="507"/>
      <c r="S168" s="507"/>
      <c r="T168" s="507"/>
      <c r="U168" s="507"/>
      <c r="V168" s="507"/>
      <c r="W168" s="507"/>
    </row>
    <row r="169" ht="35.25" customHeight="1">
      <c r="A169" s="18"/>
      <c r="B169" s="514" t="s">
        <v>757</v>
      </c>
      <c r="C169" s="593">
        <v>1.5841E7</v>
      </c>
      <c r="D169" s="18"/>
      <c r="E169" s="507"/>
      <c r="F169" s="586"/>
      <c r="G169" s="508"/>
      <c r="H169" s="595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507"/>
      <c r="W169" s="507"/>
    </row>
    <row r="170" ht="35.25" customHeight="1">
      <c r="A170" s="18"/>
      <c r="B170" s="514"/>
      <c r="C170" s="593"/>
      <c r="D170" s="18"/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  <c r="O170" s="507"/>
      <c r="P170" s="507"/>
      <c r="Q170" s="507"/>
      <c r="R170" s="507"/>
      <c r="S170" s="507"/>
      <c r="T170" s="507"/>
      <c r="U170" s="507"/>
      <c r="V170" s="507"/>
      <c r="W170" s="507"/>
    </row>
    <row r="171" ht="35.25" customHeight="1">
      <c r="A171" s="18"/>
      <c r="B171" s="514"/>
      <c r="C171" s="593"/>
      <c r="D171" s="18"/>
      <c r="E171" s="507"/>
      <c r="F171" s="507"/>
      <c r="G171" s="507"/>
      <c r="H171" s="507"/>
      <c r="I171" s="507"/>
      <c r="J171" s="507"/>
      <c r="K171" s="507"/>
      <c r="L171" s="507"/>
      <c r="M171" s="507"/>
      <c r="N171" s="507"/>
      <c r="O171" s="507"/>
      <c r="P171" s="507"/>
      <c r="Q171" s="507"/>
      <c r="R171" s="507"/>
      <c r="S171" s="507"/>
      <c r="T171" s="507"/>
      <c r="U171" s="507"/>
      <c r="V171" s="507"/>
      <c r="W171" s="507"/>
    </row>
    <row r="172" ht="35.25" customHeight="1">
      <c r="A172" s="18"/>
      <c r="B172" s="514"/>
      <c r="C172" s="593"/>
      <c r="D172" s="18"/>
      <c r="E172" s="507"/>
      <c r="F172" s="507"/>
      <c r="G172" s="507"/>
      <c r="H172" s="507"/>
      <c r="I172" s="507"/>
      <c r="J172" s="507"/>
      <c r="K172" s="507"/>
      <c r="L172" s="507"/>
      <c r="M172" s="507"/>
      <c r="N172" s="507"/>
      <c r="O172" s="507"/>
      <c r="P172" s="507"/>
      <c r="Q172" s="507"/>
      <c r="R172" s="507"/>
      <c r="S172" s="507"/>
      <c r="T172" s="507"/>
      <c r="U172" s="507"/>
      <c r="V172" s="507"/>
      <c r="W172" s="507"/>
    </row>
    <row r="173" ht="35.25" customHeight="1">
      <c r="A173" s="18"/>
      <c r="B173" s="514"/>
      <c r="C173" s="593"/>
      <c r="D173" s="18"/>
      <c r="E173" s="507"/>
      <c r="F173" s="507"/>
      <c r="G173" s="507"/>
      <c r="H173" s="507"/>
      <c r="I173" s="507"/>
      <c r="J173" s="507"/>
      <c r="K173" s="507"/>
      <c r="L173" s="507"/>
      <c r="M173" s="507"/>
      <c r="N173" s="507"/>
      <c r="O173" s="507"/>
      <c r="P173" s="507"/>
      <c r="Q173" s="507"/>
      <c r="R173" s="507"/>
      <c r="S173" s="507"/>
      <c r="T173" s="507"/>
      <c r="U173" s="507"/>
      <c r="V173" s="507"/>
      <c r="W173" s="507"/>
    </row>
    <row r="174" ht="35.25" customHeight="1">
      <c r="A174" s="22"/>
      <c r="B174" s="514"/>
      <c r="C174" s="593"/>
      <c r="D174" s="22"/>
      <c r="E174" s="507"/>
      <c r="F174" s="507"/>
      <c r="G174" s="507"/>
      <c r="H174" s="507"/>
      <c r="I174" s="507"/>
      <c r="J174" s="507"/>
      <c r="K174" s="507"/>
      <c r="L174" s="507"/>
      <c r="M174" s="507"/>
      <c r="N174" s="507"/>
      <c r="O174" s="507"/>
      <c r="P174" s="507"/>
      <c r="Q174" s="507"/>
      <c r="R174" s="507"/>
      <c r="S174" s="507"/>
      <c r="T174" s="507"/>
      <c r="U174" s="507"/>
      <c r="V174" s="507"/>
      <c r="W174" s="507"/>
    </row>
    <row r="175" ht="35.25" customHeight="1">
      <c r="A175" s="536" t="s">
        <v>63</v>
      </c>
      <c r="B175" s="514"/>
      <c r="C175" s="596"/>
      <c r="D175" s="516">
        <f>sum(C176:C177)</f>
        <v>63447000</v>
      </c>
      <c r="E175" s="507"/>
      <c r="F175" s="507"/>
      <c r="G175" s="507"/>
      <c r="H175" s="507"/>
      <c r="I175" s="507"/>
      <c r="J175" s="507"/>
      <c r="K175" s="507"/>
      <c r="L175" s="507"/>
      <c r="M175" s="507"/>
      <c r="N175" s="507"/>
      <c r="O175" s="507"/>
      <c r="P175" s="507"/>
      <c r="Q175" s="507"/>
      <c r="R175" s="507"/>
      <c r="S175" s="507"/>
      <c r="T175" s="507"/>
      <c r="U175" s="507"/>
      <c r="V175" s="507"/>
      <c r="W175" s="507"/>
    </row>
    <row r="176" ht="35.25" customHeight="1">
      <c r="A176" s="18"/>
      <c r="B176" s="514" t="s">
        <v>756</v>
      </c>
      <c r="C176" s="596">
        <v>3.29795E7</v>
      </c>
      <c r="D176" s="18"/>
      <c r="E176" s="507"/>
      <c r="F176" s="507"/>
      <c r="G176" s="507"/>
      <c r="H176" s="507"/>
      <c r="I176" s="507"/>
      <c r="J176" s="507"/>
      <c r="K176" s="507"/>
      <c r="L176" s="507"/>
      <c r="M176" s="507"/>
      <c r="N176" s="507"/>
      <c r="O176" s="507"/>
      <c r="P176" s="507"/>
      <c r="Q176" s="507"/>
      <c r="R176" s="507"/>
      <c r="S176" s="507"/>
      <c r="T176" s="507"/>
      <c r="U176" s="507"/>
      <c r="V176" s="507"/>
      <c r="W176" s="507"/>
    </row>
    <row r="177" ht="35.25" customHeight="1">
      <c r="A177" s="18"/>
      <c r="B177" s="514" t="s">
        <v>757</v>
      </c>
      <c r="C177" s="593">
        <v>3.04675E7</v>
      </c>
      <c r="D177" s="18"/>
      <c r="E177" s="507"/>
      <c r="F177" s="507"/>
      <c r="G177" s="507"/>
      <c r="H177" s="507"/>
      <c r="I177" s="507"/>
      <c r="J177" s="507"/>
      <c r="K177" s="507"/>
      <c r="L177" s="507"/>
      <c r="M177" s="507"/>
      <c r="N177" s="507"/>
      <c r="O177" s="507"/>
      <c r="P177" s="507"/>
      <c r="Q177" s="507"/>
      <c r="R177" s="507"/>
      <c r="S177" s="507"/>
      <c r="T177" s="507"/>
      <c r="U177" s="507"/>
      <c r="V177" s="507"/>
      <c r="W177" s="507"/>
    </row>
    <row r="178" ht="35.25" customHeight="1">
      <c r="A178" s="22"/>
      <c r="B178" s="514"/>
      <c r="C178" s="593"/>
      <c r="D178" s="22"/>
      <c r="E178" s="507"/>
      <c r="F178" s="507"/>
      <c r="G178" s="507"/>
      <c r="H178" s="507"/>
      <c r="I178" s="507"/>
      <c r="J178" s="507"/>
      <c r="K178" s="507"/>
      <c r="L178" s="507"/>
      <c r="M178" s="507"/>
      <c r="N178" s="507"/>
      <c r="O178" s="507"/>
      <c r="P178" s="507"/>
      <c r="Q178" s="507"/>
      <c r="R178" s="507"/>
      <c r="S178" s="507"/>
      <c r="T178" s="507"/>
      <c r="U178" s="507"/>
      <c r="V178" s="507"/>
      <c r="W178" s="507"/>
    </row>
    <row r="179" ht="35.25" customHeight="1">
      <c r="A179" s="597" t="s">
        <v>64</v>
      </c>
      <c r="B179" s="514"/>
      <c r="C179" s="596"/>
      <c r="D179" s="516">
        <v>6.4312E7</v>
      </c>
      <c r="E179" s="507"/>
      <c r="F179" s="507"/>
      <c r="G179" s="507"/>
      <c r="H179" s="507"/>
      <c r="I179" s="507"/>
      <c r="J179" s="507"/>
      <c r="K179" s="507"/>
      <c r="L179" s="507"/>
      <c r="M179" s="507"/>
      <c r="N179" s="507"/>
      <c r="O179" s="507"/>
      <c r="P179" s="507"/>
      <c r="Q179" s="507"/>
      <c r="R179" s="507"/>
      <c r="S179" s="507"/>
      <c r="T179" s="507"/>
      <c r="U179" s="507"/>
      <c r="V179" s="507"/>
      <c r="W179" s="507"/>
    </row>
    <row r="180" ht="35.25" customHeight="1">
      <c r="A180" s="18"/>
      <c r="B180" s="514"/>
      <c r="C180" s="596"/>
      <c r="D180" s="18"/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  <c r="O180" s="507"/>
      <c r="P180" s="507"/>
      <c r="Q180" s="507"/>
      <c r="R180" s="507"/>
      <c r="S180" s="507"/>
      <c r="T180" s="507"/>
      <c r="U180" s="507"/>
      <c r="V180" s="507"/>
      <c r="W180" s="507"/>
    </row>
    <row r="181" ht="35.25" customHeight="1">
      <c r="A181" s="18"/>
      <c r="B181" s="514" t="s">
        <v>757</v>
      </c>
      <c r="C181" s="596">
        <v>6.4312E7</v>
      </c>
      <c r="D181" s="18"/>
      <c r="E181" s="507"/>
      <c r="F181" s="507"/>
      <c r="G181" s="507"/>
      <c r="H181" s="507"/>
      <c r="I181" s="507"/>
      <c r="J181" s="507"/>
      <c r="K181" s="507"/>
      <c r="L181" s="507"/>
      <c r="M181" s="507"/>
      <c r="N181" s="507"/>
      <c r="O181" s="507"/>
      <c r="P181" s="507"/>
      <c r="Q181" s="507"/>
      <c r="R181" s="507"/>
      <c r="S181" s="507"/>
      <c r="T181" s="507"/>
      <c r="U181" s="507"/>
      <c r="V181" s="507"/>
      <c r="W181" s="507"/>
    </row>
    <row r="182" ht="35.25" customHeight="1">
      <c r="A182" s="22"/>
      <c r="B182" s="514"/>
      <c r="C182" s="596"/>
      <c r="D182" s="22"/>
      <c r="E182" s="507"/>
      <c r="F182" s="507"/>
      <c r="G182" s="507"/>
      <c r="H182" s="507"/>
      <c r="I182" s="507"/>
      <c r="J182" s="507"/>
      <c r="K182" s="525">
        <f>SUM(H182)</f>
        <v>0</v>
      </c>
      <c r="L182" s="507"/>
      <c r="M182" s="507"/>
      <c r="N182" s="507"/>
      <c r="O182" s="507"/>
      <c r="P182" s="507"/>
      <c r="Q182" s="507"/>
      <c r="R182" s="507"/>
      <c r="S182" s="507"/>
      <c r="T182" s="507"/>
      <c r="U182" s="507"/>
      <c r="V182" s="507"/>
      <c r="W182" s="507"/>
    </row>
    <row r="183" ht="35.25" customHeight="1">
      <c r="A183" s="553" t="s">
        <v>673</v>
      </c>
      <c r="B183" s="514"/>
      <c r="C183" s="598"/>
      <c r="D183" s="516">
        <f>sum(C185:C188)</f>
        <v>130063500</v>
      </c>
      <c r="E183" s="507"/>
      <c r="F183" s="599"/>
      <c r="G183" s="538"/>
      <c r="H183" s="600"/>
      <c r="I183" s="507"/>
      <c r="J183" s="507"/>
      <c r="K183" s="507"/>
      <c r="L183" s="507"/>
      <c r="M183" s="507"/>
      <c r="N183" s="507"/>
      <c r="O183" s="507"/>
      <c r="P183" s="507"/>
      <c r="Q183" s="507"/>
      <c r="R183" s="507"/>
      <c r="S183" s="507"/>
      <c r="T183" s="507"/>
      <c r="U183" s="507"/>
      <c r="V183" s="507"/>
      <c r="W183" s="507"/>
    </row>
    <row r="184" ht="35.25" customHeight="1">
      <c r="A184" s="18"/>
      <c r="B184" s="514"/>
      <c r="C184" s="598"/>
      <c r="D184" s="18"/>
      <c r="E184" s="507"/>
      <c r="F184" s="18"/>
      <c r="G184" s="538"/>
      <c r="H184" s="600"/>
      <c r="I184" s="507"/>
      <c r="J184" s="507"/>
      <c r="K184" s="507"/>
      <c r="L184" s="507"/>
      <c r="M184" s="507"/>
      <c r="N184" s="507"/>
      <c r="O184" s="507"/>
      <c r="P184" s="507"/>
      <c r="Q184" s="507"/>
      <c r="R184" s="507"/>
      <c r="S184" s="507"/>
      <c r="T184" s="507"/>
      <c r="U184" s="507"/>
      <c r="V184" s="507"/>
      <c r="W184" s="507"/>
    </row>
    <row r="185" ht="35.25" customHeight="1">
      <c r="A185" s="18"/>
      <c r="B185" s="514" t="s">
        <v>760</v>
      </c>
      <c r="C185" s="598">
        <v>8.20375E7</v>
      </c>
      <c r="D185" s="18"/>
      <c r="E185" s="507"/>
      <c r="F185" s="18"/>
      <c r="G185" s="538"/>
      <c r="H185" s="600"/>
      <c r="I185" s="507"/>
      <c r="J185" s="507"/>
      <c r="K185" s="507"/>
      <c r="L185" s="507"/>
      <c r="M185" s="507"/>
      <c r="N185" s="507"/>
      <c r="O185" s="507"/>
      <c r="P185" s="507"/>
      <c r="Q185" s="507"/>
      <c r="R185" s="507"/>
      <c r="S185" s="507"/>
      <c r="T185" s="507"/>
      <c r="U185" s="507"/>
      <c r="V185" s="507"/>
      <c r="W185" s="507"/>
    </row>
    <row r="186" ht="35.25" customHeight="1">
      <c r="A186" s="18"/>
      <c r="B186" s="514" t="s">
        <v>759</v>
      </c>
      <c r="C186" s="598">
        <v>2.3993E7</v>
      </c>
      <c r="D186" s="18"/>
      <c r="E186" s="507"/>
      <c r="F186" s="18"/>
      <c r="G186" s="538"/>
      <c r="H186" s="600"/>
      <c r="I186" s="507"/>
      <c r="J186" s="507"/>
      <c r="K186" s="507"/>
      <c r="L186" s="507"/>
      <c r="M186" s="507"/>
      <c r="N186" s="507"/>
      <c r="O186" s="507"/>
      <c r="P186" s="507"/>
      <c r="Q186" s="507"/>
      <c r="R186" s="507"/>
      <c r="S186" s="507"/>
      <c r="T186" s="507"/>
      <c r="U186" s="507"/>
      <c r="V186" s="507"/>
      <c r="W186" s="507"/>
    </row>
    <row r="187" ht="35.25" customHeight="1">
      <c r="A187" s="18"/>
      <c r="B187" s="514" t="s">
        <v>756</v>
      </c>
      <c r="C187" s="598">
        <v>2.0408E7</v>
      </c>
      <c r="D187" s="18"/>
      <c r="E187" s="507"/>
      <c r="F187" s="18"/>
      <c r="G187" s="538"/>
      <c r="H187" s="600"/>
      <c r="I187" s="507"/>
      <c r="J187" s="507"/>
      <c r="K187" s="507"/>
      <c r="L187" s="507"/>
      <c r="M187" s="507"/>
      <c r="N187" s="507"/>
      <c r="O187" s="507"/>
      <c r="P187" s="507"/>
      <c r="Q187" s="507"/>
      <c r="R187" s="507"/>
      <c r="S187" s="507"/>
      <c r="T187" s="507"/>
      <c r="U187" s="507"/>
      <c r="V187" s="507"/>
      <c r="W187" s="507"/>
    </row>
    <row r="188" ht="35.25" customHeight="1">
      <c r="A188" s="18"/>
      <c r="B188" s="514" t="s">
        <v>757</v>
      </c>
      <c r="C188" s="598">
        <v>3625000.0</v>
      </c>
      <c r="D188" s="18"/>
      <c r="E188" s="507"/>
      <c r="F188" s="18"/>
      <c r="G188" s="538"/>
      <c r="H188" s="600"/>
      <c r="I188" s="507"/>
      <c r="J188" s="507"/>
      <c r="K188" s="507"/>
      <c r="L188" s="507"/>
      <c r="M188" s="507"/>
      <c r="N188" s="507"/>
      <c r="O188" s="507"/>
      <c r="P188" s="507"/>
      <c r="Q188" s="507"/>
      <c r="R188" s="507"/>
      <c r="S188" s="507"/>
      <c r="T188" s="507"/>
      <c r="U188" s="507"/>
      <c r="V188" s="507"/>
      <c r="W188" s="507"/>
    </row>
    <row r="189" ht="35.25" customHeight="1">
      <c r="A189" s="22"/>
      <c r="B189" s="514"/>
      <c r="C189" s="598"/>
      <c r="D189" s="22"/>
      <c r="E189" s="507"/>
      <c r="F189" s="18"/>
      <c r="G189" s="538"/>
      <c r="H189" s="600"/>
      <c r="I189" s="507"/>
      <c r="J189" s="507"/>
      <c r="K189" s="507"/>
      <c r="L189" s="507"/>
      <c r="M189" s="507"/>
      <c r="N189" s="507"/>
      <c r="O189" s="507"/>
      <c r="P189" s="507"/>
      <c r="Q189" s="507"/>
      <c r="R189" s="507"/>
      <c r="S189" s="507"/>
      <c r="T189" s="507"/>
      <c r="U189" s="507"/>
      <c r="V189" s="507"/>
      <c r="W189" s="507"/>
    </row>
    <row r="190" ht="35.25" customHeight="1">
      <c r="A190" s="536" t="s">
        <v>68</v>
      </c>
      <c r="B190" s="514"/>
      <c r="C190" s="598"/>
      <c r="D190" s="516">
        <v>4.09785E7</v>
      </c>
      <c r="E190" s="507"/>
      <c r="F190" s="18"/>
      <c r="G190" s="538"/>
      <c r="H190" s="594"/>
      <c r="I190" s="601"/>
      <c r="J190" s="602"/>
      <c r="K190" s="603"/>
      <c r="L190" s="507"/>
      <c r="M190" s="507"/>
      <c r="N190" s="507"/>
      <c r="O190" s="507"/>
      <c r="P190" s="507"/>
      <c r="Q190" s="507"/>
      <c r="R190" s="507"/>
      <c r="S190" s="507"/>
      <c r="T190" s="507"/>
      <c r="U190" s="507"/>
      <c r="V190" s="507"/>
      <c r="W190" s="507"/>
    </row>
    <row r="191" ht="35.25" customHeight="1">
      <c r="A191" s="18"/>
      <c r="B191" s="514"/>
      <c r="C191" s="598"/>
      <c r="D191" s="18"/>
      <c r="E191" s="507"/>
      <c r="F191" s="22"/>
      <c r="G191" s="538"/>
      <c r="H191" s="594"/>
      <c r="I191" s="604"/>
      <c r="J191" s="605"/>
      <c r="K191" s="606"/>
      <c r="L191" s="507"/>
      <c r="M191" s="507"/>
      <c r="N191" s="507"/>
      <c r="O191" s="507"/>
      <c r="P191" s="507"/>
      <c r="Q191" s="507"/>
      <c r="R191" s="507"/>
      <c r="S191" s="507"/>
      <c r="T191" s="507"/>
      <c r="U191" s="507"/>
      <c r="V191" s="507"/>
      <c r="W191" s="507"/>
    </row>
    <row r="192" ht="35.25" customHeight="1">
      <c r="A192" s="18"/>
      <c r="B192" s="514" t="s">
        <v>757</v>
      </c>
      <c r="C192" s="598">
        <v>4.09785E7</v>
      </c>
      <c r="D192" s="18"/>
      <c r="E192" s="507"/>
      <c r="F192" s="507"/>
      <c r="G192" s="507"/>
      <c r="H192" s="507"/>
      <c r="I192" s="18"/>
      <c r="J192" s="607"/>
      <c r="K192" s="608"/>
      <c r="L192" s="507"/>
      <c r="M192" s="507"/>
      <c r="N192" s="507"/>
      <c r="O192" s="507"/>
      <c r="P192" s="507"/>
      <c r="Q192" s="507"/>
      <c r="R192" s="507"/>
      <c r="S192" s="507"/>
      <c r="T192" s="507"/>
      <c r="U192" s="507"/>
      <c r="V192" s="507"/>
      <c r="W192" s="507"/>
    </row>
    <row r="193" ht="35.25" customHeight="1">
      <c r="A193" s="22"/>
      <c r="B193" s="514"/>
      <c r="C193" s="598"/>
      <c r="D193" s="22"/>
      <c r="E193" s="507"/>
      <c r="F193" s="609"/>
      <c r="G193" s="538"/>
      <c r="I193" s="18"/>
      <c r="J193" s="607"/>
      <c r="K193" s="608"/>
      <c r="L193" s="507"/>
      <c r="M193" s="507"/>
      <c r="N193" s="507"/>
      <c r="O193" s="507"/>
      <c r="P193" s="507"/>
      <c r="Q193" s="507"/>
      <c r="R193" s="507"/>
      <c r="S193" s="507"/>
      <c r="T193" s="507"/>
      <c r="U193" s="507"/>
      <c r="V193" s="507"/>
      <c r="W193" s="507"/>
    </row>
    <row r="194" ht="35.25" customHeight="1">
      <c r="A194" s="536" t="s">
        <v>75</v>
      </c>
      <c r="B194" s="514"/>
      <c r="C194" s="598"/>
      <c r="D194" s="516">
        <v>1.9394E7</v>
      </c>
      <c r="E194" s="507"/>
      <c r="F194" s="22"/>
      <c r="G194" s="538"/>
      <c r="I194" s="18"/>
      <c r="J194" s="607"/>
      <c r="K194" s="610"/>
      <c r="L194" s="507"/>
      <c r="M194" s="507"/>
      <c r="N194" s="507"/>
      <c r="O194" s="507"/>
      <c r="P194" s="507"/>
      <c r="Q194" s="507"/>
      <c r="R194" s="507"/>
      <c r="S194" s="507"/>
      <c r="T194" s="507"/>
      <c r="U194" s="507"/>
      <c r="V194" s="507"/>
      <c r="W194" s="507"/>
    </row>
    <row r="195" ht="35.25" customHeight="1">
      <c r="A195" s="18"/>
      <c r="B195" s="514"/>
      <c r="C195" s="598"/>
      <c r="D195" s="18"/>
      <c r="E195" s="507"/>
      <c r="F195" s="507"/>
      <c r="G195" s="507"/>
      <c r="H195" s="507"/>
      <c r="I195" s="18"/>
      <c r="J195" s="607"/>
      <c r="K195" s="610"/>
      <c r="L195" s="507"/>
      <c r="M195" s="507"/>
      <c r="N195" s="507"/>
      <c r="O195" s="507"/>
      <c r="P195" s="507"/>
      <c r="Q195" s="507"/>
      <c r="R195" s="507"/>
      <c r="S195" s="507"/>
      <c r="T195" s="507"/>
      <c r="U195" s="507"/>
      <c r="V195" s="507"/>
      <c r="W195" s="507"/>
    </row>
    <row r="196" ht="35.25" customHeight="1">
      <c r="A196" s="18"/>
      <c r="B196" s="514"/>
      <c r="C196" s="598"/>
      <c r="D196" s="18"/>
      <c r="E196" s="507"/>
      <c r="F196" s="507"/>
      <c r="G196" s="507"/>
      <c r="H196" s="507"/>
      <c r="I196" s="22"/>
      <c r="J196" s="607"/>
      <c r="K196" s="611"/>
      <c r="L196" s="507"/>
      <c r="M196" s="507"/>
      <c r="N196" s="507"/>
      <c r="O196" s="507"/>
      <c r="P196" s="507"/>
      <c r="Q196" s="507"/>
      <c r="R196" s="507"/>
      <c r="S196" s="507"/>
      <c r="T196" s="507"/>
      <c r="U196" s="507"/>
      <c r="V196" s="507"/>
      <c r="W196" s="507"/>
    </row>
    <row r="197" ht="35.25" customHeight="1">
      <c r="A197" s="22"/>
      <c r="B197" s="514" t="s">
        <v>757</v>
      </c>
      <c r="C197" s="598">
        <v>1.9394E7</v>
      </c>
      <c r="D197" s="22"/>
      <c r="E197" s="507"/>
      <c r="F197" s="507"/>
      <c r="G197" s="525"/>
      <c r="H197" s="507"/>
      <c r="I197" s="507"/>
      <c r="J197" s="507"/>
      <c r="K197" s="507"/>
      <c r="L197" s="507"/>
      <c r="M197" s="507"/>
      <c r="N197" s="507"/>
      <c r="O197" s="507"/>
      <c r="P197" s="507"/>
      <c r="Q197" s="507"/>
      <c r="R197" s="507"/>
      <c r="S197" s="507"/>
      <c r="T197" s="507"/>
      <c r="U197" s="507"/>
      <c r="V197" s="507"/>
      <c r="W197" s="507"/>
    </row>
    <row r="198" ht="35.25" customHeight="1">
      <c r="A198" s="536" t="s">
        <v>79</v>
      </c>
      <c r="B198" s="514"/>
      <c r="C198" s="598"/>
      <c r="D198" s="516">
        <f>sum(C199:C200)</f>
        <v>115392000</v>
      </c>
      <c r="E198" s="507"/>
      <c r="F198" s="507"/>
      <c r="G198" s="507"/>
      <c r="H198" s="507"/>
      <c r="I198" s="507"/>
      <c r="J198" s="507"/>
      <c r="K198" s="507"/>
      <c r="L198" s="507"/>
      <c r="M198" s="507"/>
      <c r="N198" s="507"/>
      <c r="O198" s="507"/>
      <c r="P198" s="507"/>
      <c r="Q198" s="507"/>
      <c r="R198" s="507"/>
      <c r="S198" s="507"/>
      <c r="T198" s="507"/>
      <c r="U198" s="507"/>
      <c r="V198" s="507"/>
      <c r="W198" s="507"/>
    </row>
    <row r="199" ht="35.25" customHeight="1">
      <c r="A199" s="18"/>
      <c r="B199" s="514" t="s">
        <v>756</v>
      </c>
      <c r="C199" s="612">
        <v>5.7114E7</v>
      </c>
      <c r="D199" s="18"/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  <c r="O199" s="507"/>
      <c r="P199" s="507"/>
      <c r="Q199" s="507"/>
      <c r="R199" s="507"/>
      <c r="S199" s="507"/>
      <c r="T199" s="507"/>
      <c r="U199" s="507"/>
      <c r="V199" s="507"/>
      <c r="W199" s="507"/>
    </row>
    <row r="200" ht="35.25" customHeight="1">
      <c r="A200" s="18"/>
      <c r="B200" s="514" t="s">
        <v>757</v>
      </c>
      <c r="C200" s="598">
        <v>5.8278E7</v>
      </c>
      <c r="D200" s="18"/>
      <c r="E200" s="507"/>
      <c r="F200" s="613"/>
      <c r="G200" s="614"/>
      <c r="H200" s="615"/>
      <c r="I200" s="507"/>
      <c r="J200" s="507"/>
      <c r="K200" s="507"/>
      <c r="L200" s="507"/>
      <c r="M200" s="507"/>
      <c r="N200" s="507"/>
      <c r="O200" s="507"/>
      <c r="P200" s="507"/>
      <c r="Q200" s="507"/>
      <c r="R200" s="507"/>
      <c r="S200" s="507"/>
      <c r="T200" s="507"/>
      <c r="U200" s="507"/>
      <c r="V200" s="507"/>
      <c r="W200" s="507"/>
    </row>
    <row r="201" ht="35.25" customHeight="1">
      <c r="A201" s="22"/>
      <c r="B201" s="514"/>
      <c r="C201" s="612"/>
      <c r="D201" s="22"/>
      <c r="E201" s="507"/>
      <c r="F201" s="18"/>
      <c r="G201" s="614"/>
      <c r="H201" s="615"/>
      <c r="I201" s="507"/>
      <c r="J201" s="507"/>
      <c r="K201" s="507"/>
      <c r="L201" s="507"/>
      <c r="M201" s="507"/>
      <c r="N201" s="507"/>
      <c r="O201" s="507"/>
      <c r="P201" s="507"/>
      <c r="Q201" s="507"/>
      <c r="R201" s="507"/>
      <c r="S201" s="507"/>
      <c r="T201" s="507"/>
      <c r="U201" s="507"/>
      <c r="V201" s="507"/>
      <c r="W201" s="507"/>
    </row>
    <row r="202" ht="35.25" customHeight="1">
      <c r="A202" s="553" t="s">
        <v>675</v>
      </c>
      <c r="B202" s="514"/>
      <c r="C202" s="616"/>
      <c r="D202" s="516">
        <f>sum(C203:C206)</f>
        <v>158247500</v>
      </c>
      <c r="E202" s="507"/>
      <c r="F202" s="507"/>
      <c r="G202" s="507"/>
      <c r="H202" s="507"/>
      <c r="I202" s="599"/>
      <c r="J202" s="538"/>
      <c r="K202" s="600"/>
      <c r="L202" s="507"/>
      <c r="M202" s="507"/>
      <c r="N202" s="507"/>
      <c r="O202" s="507"/>
      <c r="P202" s="507"/>
      <c r="Q202" s="507"/>
      <c r="R202" s="507"/>
      <c r="S202" s="507"/>
      <c r="T202" s="507"/>
      <c r="U202" s="507"/>
      <c r="V202" s="507"/>
      <c r="W202" s="507"/>
    </row>
    <row r="203" ht="35.25" customHeight="1">
      <c r="A203" s="18"/>
      <c r="B203" s="514" t="s">
        <v>759</v>
      </c>
      <c r="C203" s="616">
        <v>4.938E7</v>
      </c>
      <c r="D203" s="18"/>
      <c r="E203" s="507"/>
      <c r="F203" s="507"/>
      <c r="G203" s="507"/>
      <c r="H203" s="507"/>
      <c r="I203" s="18"/>
      <c r="J203" s="538"/>
      <c r="K203" s="600"/>
      <c r="L203" s="507"/>
      <c r="M203" s="507"/>
      <c r="N203" s="507"/>
      <c r="O203" s="507"/>
      <c r="P203" s="507"/>
      <c r="Q203" s="507"/>
      <c r="R203" s="507"/>
      <c r="S203" s="507"/>
      <c r="T203" s="507"/>
      <c r="U203" s="507"/>
      <c r="V203" s="507"/>
      <c r="W203" s="507"/>
    </row>
    <row r="204" ht="35.25" customHeight="1">
      <c r="A204" s="18"/>
      <c r="B204" s="514" t="s">
        <v>755</v>
      </c>
      <c r="C204" s="616">
        <v>4.0092E7</v>
      </c>
      <c r="D204" s="18"/>
      <c r="E204" s="507"/>
      <c r="F204" s="507"/>
      <c r="G204" s="507"/>
      <c r="H204" s="507"/>
      <c r="I204" s="18"/>
      <c r="J204" s="538"/>
      <c r="K204" s="600"/>
      <c r="L204" s="507"/>
      <c r="M204" s="507"/>
      <c r="N204" s="507"/>
      <c r="O204" s="507"/>
      <c r="P204" s="507"/>
      <c r="Q204" s="507"/>
      <c r="R204" s="507"/>
      <c r="S204" s="507"/>
      <c r="T204" s="507"/>
      <c r="U204" s="507"/>
      <c r="V204" s="507"/>
      <c r="W204" s="507"/>
    </row>
    <row r="205" ht="35.25" customHeight="1">
      <c r="A205" s="18"/>
      <c r="B205" s="514" t="s">
        <v>756</v>
      </c>
      <c r="C205" s="616">
        <v>4.1746E7</v>
      </c>
      <c r="D205" s="18"/>
      <c r="E205" s="507"/>
      <c r="F205" s="507"/>
      <c r="G205" s="507"/>
      <c r="H205" s="507"/>
      <c r="I205" s="18"/>
      <c r="J205" s="538"/>
      <c r="K205" s="600"/>
      <c r="L205" s="507"/>
      <c r="M205" s="507"/>
      <c r="N205" s="507"/>
      <c r="O205" s="507"/>
      <c r="P205" s="507"/>
      <c r="Q205" s="507"/>
      <c r="R205" s="507"/>
      <c r="S205" s="507"/>
      <c r="T205" s="507"/>
      <c r="U205" s="507"/>
      <c r="V205" s="507"/>
      <c r="W205" s="507"/>
    </row>
    <row r="206" ht="35.25" customHeight="1">
      <c r="A206" s="22"/>
      <c r="B206" s="514" t="s">
        <v>757</v>
      </c>
      <c r="C206" s="616">
        <v>2.70295E7</v>
      </c>
      <c r="D206" s="22"/>
      <c r="E206" s="507"/>
      <c r="F206" s="507"/>
      <c r="G206" s="507"/>
      <c r="H206" s="507"/>
      <c r="I206" s="18"/>
      <c r="J206" s="538"/>
      <c r="K206" s="600"/>
      <c r="L206" s="507"/>
      <c r="M206" s="507"/>
      <c r="N206" s="507"/>
      <c r="O206" s="507"/>
      <c r="P206" s="507"/>
      <c r="Q206" s="507"/>
      <c r="R206" s="507"/>
      <c r="S206" s="507"/>
      <c r="T206" s="507"/>
      <c r="U206" s="507"/>
      <c r="V206" s="507"/>
      <c r="W206" s="507"/>
    </row>
    <row r="207" ht="35.25" customHeight="1">
      <c r="A207" s="609" t="s">
        <v>86</v>
      </c>
      <c r="B207" s="514" t="s">
        <v>766</v>
      </c>
      <c r="C207" s="617"/>
      <c r="D207" s="618">
        <f>sum(C209:C211)</f>
        <v>0</v>
      </c>
      <c r="E207" s="507"/>
      <c r="F207" s="507"/>
      <c r="G207" s="507"/>
      <c r="H207" s="507"/>
      <c r="I207" s="18"/>
      <c r="J207" s="542"/>
      <c r="K207" s="539"/>
      <c r="L207" s="507"/>
      <c r="M207" s="507"/>
      <c r="N207" s="507"/>
      <c r="O207" s="507"/>
      <c r="P207" s="507"/>
      <c r="Q207" s="507"/>
      <c r="R207" s="507"/>
      <c r="S207" s="507"/>
      <c r="T207" s="507"/>
      <c r="U207" s="507"/>
      <c r="V207" s="507"/>
      <c r="W207" s="507"/>
    </row>
    <row r="208" ht="35.25" customHeight="1">
      <c r="A208" s="18"/>
      <c r="B208" s="514" t="s">
        <v>767</v>
      </c>
      <c r="C208" s="617"/>
      <c r="D208" s="18"/>
      <c r="E208" s="507"/>
      <c r="F208" s="507"/>
      <c r="G208" s="507"/>
      <c r="H208" s="507"/>
      <c r="I208" s="18"/>
      <c r="J208" s="542"/>
      <c r="K208" s="539"/>
      <c r="L208" s="507"/>
      <c r="M208" s="507"/>
      <c r="N208" s="507"/>
      <c r="O208" s="507"/>
      <c r="P208" s="507"/>
      <c r="Q208" s="507"/>
      <c r="R208" s="507"/>
      <c r="S208" s="507"/>
      <c r="T208" s="507"/>
      <c r="U208" s="507"/>
      <c r="V208" s="507"/>
      <c r="W208" s="507"/>
    </row>
    <row r="209" ht="35.25" customHeight="1">
      <c r="A209" s="18"/>
      <c r="B209" s="524" t="s">
        <v>768</v>
      </c>
      <c r="C209" s="619"/>
      <c r="D209" s="18"/>
      <c r="E209" s="635"/>
      <c r="F209" s="507"/>
      <c r="G209" s="507"/>
      <c r="H209" s="507"/>
      <c r="I209" s="18"/>
      <c r="J209" s="538"/>
      <c r="K209" s="600"/>
      <c r="L209" s="507"/>
      <c r="M209" s="507"/>
      <c r="N209" s="507"/>
      <c r="O209" s="507"/>
      <c r="P209" s="507"/>
      <c r="Q209" s="507"/>
      <c r="R209" s="507"/>
      <c r="S209" s="507"/>
      <c r="T209" s="507"/>
      <c r="U209" s="507"/>
      <c r="V209" s="507"/>
      <c r="W209" s="507"/>
    </row>
    <row r="210" ht="35.25" customHeight="1">
      <c r="A210" s="18"/>
      <c r="B210" s="524" t="s">
        <v>769</v>
      </c>
      <c r="C210" s="620"/>
      <c r="D210" s="18"/>
      <c r="E210" s="507"/>
      <c r="F210" s="507"/>
      <c r="G210" s="507"/>
      <c r="H210" s="507"/>
      <c r="I210" s="18"/>
      <c r="J210" s="538"/>
      <c r="K210" s="600"/>
      <c r="L210" s="507"/>
      <c r="M210" s="507"/>
      <c r="N210" s="507"/>
      <c r="O210" s="507"/>
      <c r="P210" s="507"/>
      <c r="Q210" s="507"/>
      <c r="R210" s="507"/>
      <c r="S210" s="507"/>
      <c r="T210" s="507"/>
      <c r="U210" s="507"/>
      <c r="V210" s="507"/>
      <c r="W210" s="507"/>
    </row>
    <row r="211" ht="35.25" customHeight="1">
      <c r="A211" s="22"/>
      <c r="C211" s="620"/>
      <c r="D211" s="22"/>
      <c r="E211" s="507"/>
      <c r="F211" s="507"/>
      <c r="G211" s="507"/>
      <c r="H211" s="507"/>
      <c r="I211" s="18"/>
      <c r="J211" s="538"/>
      <c r="K211" s="600"/>
      <c r="L211" s="507"/>
      <c r="M211" s="507"/>
      <c r="N211" s="507"/>
      <c r="O211" s="507"/>
      <c r="P211" s="507"/>
      <c r="Q211" s="507"/>
      <c r="R211" s="507"/>
      <c r="S211" s="507"/>
      <c r="T211" s="507"/>
      <c r="U211" s="507"/>
      <c r="V211" s="507"/>
      <c r="W211" s="507"/>
    </row>
    <row r="212" ht="35.25" customHeight="1">
      <c r="A212" s="599" t="s">
        <v>87</v>
      </c>
      <c r="B212" s="514" t="s">
        <v>766</v>
      </c>
      <c r="C212" s="621"/>
      <c r="D212" s="618">
        <f>sum(C215:C216)</f>
        <v>0</v>
      </c>
      <c r="E212" s="507"/>
      <c r="F212" s="507"/>
      <c r="G212" s="507"/>
      <c r="H212" s="507"/>
      <c r="I212" s="18"/>
      <c r="J212" s="542"/>
      <c r="K212" s="539"/>
      <c r="L212" s="507"/>
      <c r="M212" s="507"/>
      <c r="N212" s="507"/>
      <c r="O212" s="507"/>
      <c r="P212" s="507"/>
      <c r="Q212" s="507"/>
      <c r="R212" s="507"/>
      <c r="S212" s="507"/>
      <c r="T212" s="507"/>
      <c r="U212" s="507"/>
      <c r="V212" s="507"/>
      <c r="W212" s="507"/>
    </row>
    <row r="213" ht="35.25" customHeight="1">
      <c r="A213" s="18"/>
      <c r="B213" s="514" t="s">
        <v>767</v>
      </c>
      <c r="C213" s="622"/>
      <c r="D213" s="18"/>
      <c r="E213" s="507"/>
      <c r="F213" s="507"/>
      <c r="G213" s="507"/>
      <c r="H213" s="507"/>
      <c r="I213" s="18"/>
      <c r="J213" s="542"/>
      <c r="K213" s="539"/>
      <c r="L213" s="507"/>
      <c r="M213" s="507"/>
      <c r="N213" s="507"/>
      <c r="O213" s="507"/>
      <c r="P213" s="507"/>
      <c r="Q213" s="507"/>
      <c r="R213" s="507"/>
      <c r="S213" s="507"/>
      <c r="T213" s="507"/>
      <c r="U213" s="507"/>
      <c r="V213" s="507"/>
      <c r="W213" s="507"/>
    </row>
    <row r="214" ht="35.25" customHeight="1">
      <c r="A214" s="18"/>
      <c r="B214" s="588" t="s">
        <v>768</v>
      </c>
      <c r="C214" s="622"/>
      <c r="D214" s="18"/>
      <c r="E214" s="507"/>
      <c r="F214" s="507"/>
      <c r="G214" s="507"/>
      <c r="H214" s="507"/>
      <c r="I214" s="18"/>
      <c r="J214" s="542"/>
      <c r="K214" s="539"/>
      <c r="L214" s="507"/>
      <c r="M214" s="507"/>
      <c r="N214" s="507"/>
      <c r="O214" s="507"/>
      <c r="P214" s="507"/>
      <c r="Q214" s="507"/>
      <c r="R214" s="507"/>
      <c r="S214" s="507"/>
      <c r="T214" s="507"/>
      <c r="U214" s="507"/>
      <c r="V214" s="507"/>
      <c r="W214" s="507"/>
    </row>
    <row r="215" ht="35.25" customHeight="1">
      <c r="A215" s="18"/>
      <c r="B215" s="588" t="s">
        <v>769</v>
      </c>
      <c r="C215" s="622"/>
      <c r="D215" s="18"/>
      <c r="E215" s="507"/>
      <c r="F215" s="507"/>
      <c r="G215" s="507"/>
      <c r="H215" s="507"/>
      <c r="I215" s="22"/>
      <c r="J215" s="542"/>
      <c r="K215" s="594"/>
      <c r="L215" s="507"/>
      <c r="M215" s="507"/>
      <c r="N215" s="507"/>
      <c r="O215" s="507"/>
      <c r="P215" s="507"/>
      <c r="Q215" s="507"/>
      <c r="R215" s="507"/>
      <c r="S215" s="507"/>
      <c r="T215" s="507"/>
      <c r="U215" s="507"/>
      <c r="V215" s="507"/>
      <c r="W215" s="507"/>
    </row>
    <row r="216" ht="35.25" customHeight="1">
      <c r="A216" s="22"/>
      <c r="C216" s="622"/>
      <c r="D216" s="22"/>
      <c r="E216" s="507"/>
      <c r="F216" s="507"/>
      <c r="G216" s="507"/>
      <c r="H216" s="507"/>
      <c r="I216" s="623"/>
      <c r="J216" s="525"/>
      <c r="K216" s="595"/>
      <c r="L216" s="507"/>
      <c r="M216" s="507"/>
      <c r="N216" s="507"/>
      <c r="O216" s="507"/>
      <c r="P216" s="507"/>
      <c r="Q216" s="507"/>
      <c r="R216" s="507"/>
      <c r="S216" s="507"/>
      <c r="T216" s="507"/>
      <c r="U216" s="507"/>
      <c r="V216" s="507"/>
      <c r="W216" s="507"/>
    </row>
    <row r="217" ht="35.25" customHeight="1">
      <c r="A217" s="599" t="s">
        <v>90</v>
      </c>
      <c r="B217" s="514" t="s">
        <v>770</v>
      </c>
      <c r="C217" s="622">
        <v>1.05772E8</v>
      </c>
      <c r="D217" s="618">
        <f>sum(C217:C219)</f>
        <v>105772000</v>
      </c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  <c r="O217" s="507"/>
      <c r="P217" s="507"/>
      <c r="Q217" s="507"/>
      <c r="R217" s="507"/>
      <c r="S217" s="507"/>
      <c r="T217" s="507"/>
      <c r="U217" s="507"/>
      <c r="V217" s="507"/>
      <c r="W217" s="507"/>
    </row>
    <row r="218" ht="35.25" customHeight="1">
      <c r="A218" s="18"/>
      <c r="B218" s="514" t="s">
        <v>766</v>
      </c>
      <c r="C218" s="627"/>
      <c r="D218" s="18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  <c r="O218" s="507"/>
      <c r="P218" s="507"/>
      <c r="Q218" s="507"/>
      <c r="R218" s="507"/>
      <c r="S218" s="507"/>
      <c r="T218" s="507"/>
      <c r="U218" s="507"/>
      <c r="V218" s="507"/>
      <c r="W218" s="507"/>
    </row>
    <row r="219" ht="35.25" customHeight="1">
      <c r="A219" s="18"/>
      <c r="B219" s="514" t="s">
        <v>767</v>
      </c>
      <c r="C219" s="627"/>
      <c r="D219" s="18"/>
      <c r="E219" s="626"/>
      <c r="F219" s="507"/>
      <c r="G219" s="507"/>
      <c r="H219" s="507"/>
      <c r="I219" s="507"/>
      <c r="J219" s="507"/>
      <c r="K219" s="507"/>
      <c r="L219" s="507"/>
      <c r="M219" s="507"/>
      <c r="N219" s="507"/>
      <c r="O219" s="507"/>
      <c r="P219" s="507"/>
      <c r="Q219" s="507"/>
      <c r="R219" s="507"/>
      <c r="S219" s="507"/>
      <c r="T219" s="507"/>
      <c r="U219" s="507"/>
      <c r="V219" s="507"/>
      <c r="W219" s="507"/>
    </row>
    <row r="220" ht="35.25" customHeight="1">
      <c r="A220" s="18"/>
      <c r="B220" s="514" t="s">
        <v>768</v>
      </c>
      <c r="D220" s="18"/>
      <c r="E220" s="507"/>
      <c r="F220" s="507"/>
      <c r="G220" s="507"/>
      <c r="H220" s="507"/>
      <c r="I220" s="507"/>
      <c r="J220" s="507"/>
      <c r="K220" s="507"/>
      <c r="L220" s="507"/>
      <c r="M220" s="507"/>
      <c r="N220" s="507"/>
      <c r="O220" s="507"/>
      <c r="P220" s="507"/>
      <c r="Q220" s="507"/>
      <c r="R220" s="507"/>
      <c r="S220" s="507"/>
      <c r="T220" s="507"/>
      <c r="U220" s="507"/>
      <c r="V220" s="507"/>
      <c r="W220" s="507"/>
    </row>
    <row r="221" ht="35.25" customHeight="1">
      <c r="A221" s="22"/>
      <c r="B221" s="514" t="s">
        <v>769</v>
      </c>
      <c r="C221" s="622"/>
      <c r="D221" s="22"/>
      <c r="E221" s="507"/>
      <c r="F221" s="507"/>
      <c r="G221" s="507"/>
      <c r="H221" s="507"/>
      <c r="I221" s="507"/>
      <c r="J221" s="507"/>
      <c r="K221" s="507"/>
      <c r="L221" s="507"/>
      <c r="M221" s="507"/>
      <c r="N221" s="507"/>
      <c r="O221" s="507"/>
      <c r="P221" s="507"/>
      <c r="Q221" s="507"/>
      <c r="R221" s="507"/>
      <c r="S221" s="507"/>
      <c r="T221" s="507"/>
      <c r="U221" s="507"/>
      <c r="V221" s="507"/>
      <c r="W221" s="507"/>
    </row>
    <row r="222" ht="35.25" customHeight="1">
      <c r="A222" s="609" t="s">
        <v>610</v>
      </c>
      <c r="B222" s="514" t="s">
        <v>766</v>
      </c>
      <c r="C222" s="696"/>
      <c r="D222" s="618">
        <f>sum(C225:C226)</f>
        <v>0</v>
      </c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  <c r="O222" s="507"/>
      <c r="P222" s="507"/>
      <c r="Q222" s="507"/>
      <c r="R222" s="507"/>
      <c r="S222" s="507"/>
      <c r="T222" s="507"/>
      <c r="U222" s="507"/>
      <c r="V222" s="507"/>
      <c r="W222" s="507"/>
    </row>
    <row r="223" ht="35.25" customHeight="1">
      <c r="A223" s="18"/>
      <c r="B223" s="514" t="s">
        <v>767</v>
      </c>
      <c r="C223" s="627"/>
      <c r="D223" s="18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  <c r="O223" s="507"/>
      <c r="P223" s="507"/>
      <c r="Q223" s="507"/>
      <c r="R223" s="507"/>
      <c r="S223" s="507"/>
      <c r="T223" s="507"/>
      <c r="U223" s="507"/>
      <c r="V223" s="507"/>
      <c r="W223" s="507"/>
    </row>
    <row r="224" ht="35.25" customHeight="1">
      <c r="A224" s="18"/>
      <c r="B224" s="514" t="s">
        <v>768</v>
      </c>
      <c r="C224" s="627"/>
      <c r="D224" s="18"/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  <c r="O224" s="507"/>
      <c r="P224" s="507"/>
      <c r="Q224" s="507"/>
      <c r="R224" s="507"/>
      <c r="S224" s="507"/>
      <c r="T224" s="507"/>
      <c r="U224" s="507"/>
      <c r="V224" s="507"/>
      <c r="W224" s="507"/>
    </row>
    <row r="225" ht="35.25" customHeight="1">
      <c r="A225" s="18"/>
      <c r="B225" s="636" t="s">
        <v>769</v>
      </c>
      <c r="C225" s="627"/>
      <c r="D225" s="18"/>
      <c r="E225" s="628"/>
      <c r="F225" s="628"/>
      <c r="G225" s="507"/>
      <c r="H225" s="507"/>
      <c r="I225" s="507"/>
      <c r="J225" s="507"/>
      <c r="K225" s="507"/>
      <c r="L225" s="507"/>
      <c r="M225" s="507"/>
      <c r="N225" s="507"/>
      <c r="O225" s="507"/>
      <c r="P225" s="507"/>
      <c r="Q225" s="507"/>
      <c r="R225" s="507"/>
      <c r="S225" s="507"/>
      <c r="T225" s="507"/>
      <c r="U225" s="507"/>
      <c r="V225" s="507"/>
      <c r="W225" s="507"/>
    </row>
    <row r="226" ht="35.25" customHeight="1">
      <c r="A226" s="22"/>
      <c r="C226" s="637"/>
      <c r="D226" s="22"/>
      <c r="E226" s="628"/>
      <c r="F226" s="628"/>
      <c r="G226" s="507"/>
      <c r="H226" s="507"/>
      <c r="I226" s="507"/>
      <c r="J226" s="507"/>
      <c r="K226" s="507"/>
      <c r="L226" s="507"/>
      <c r="M226" s="507"/>
      <c r="N226" s="507"/>
      <c r="O226" s="507"/>
      <c r="P226" s="507"/>
      <c r="Q226" s="507"/>
      <c r="R226" s="507"/>
      <c r="S226" s="507"/>
      <c r="T226" s="507"/>
      <c r="U226" s="507"/>
      <c r="V226" s="507"/>
      <c r="W226" s="507"/>
    </row>
    <row r="227" ht="35.25" customHeight="1">
      <c r="A227" s="599" t="s">
        <v>93</v>
      </c>
      <c r="B227" s="514" t="s">
        <v>729</v>
      </c>
      <c r="C227" s="637">
        <v>7.86005E7</v>
      </c>
      <c r="D227" s="632">
        <f>sum(C227:C228)</f>
        <v>176632000</v>
      </c>
      <c r="E227" s="628"/>
      <c r="F227" s="628"/>
      <c r="G227" s="507"/>
      <c r="H227" s="507"/>
      <c r="I227" s="507"/>
      <c r="J227" s="507"/>
      <c r="K227" s="507"/>
      <c r="L227" s="507"/>
      <c r="M227" s="507"/>
      <c r="N227" s="507"/>
      <c r="O227" s="507"/>
      <c r="P227" s="507"/>
      <c r="Q227" s="507"/>
      <c r="R227" s="507"/>
      <c r="S227" s="507"/>
      <c r="T227" s="507"/>
      <c r="U227" s="507"/>
      <c r="V227" s="507"/>
      <c r="W227" s="507"/>
    </row>
    <row r="228" ht="35.25" customHeight="1">
      <c r="A228" s="18"/>
      <c r="B228" s="514" t="s">
        <v>771</v>
      </c>
      <c r="C228" s="627">
        <v>9.80315E7</v>
      </c>
      <c r="D228" s="18"/>
      <c r="E228" s="628"/>
      <c r="F228" s="628"/>
      <c r="G228" s="507"/>
      <c r="H228" s="507"/>
      <c r="I228" s="507"/>
      <c r="J228" s="507"/>
      <c r="K228" s="507"/>
      <c r="L228" s="507"/>
      <c r="M228" s="507"/>
      <c r="N228" s="507"/>
      <c r="O228" s="507"/>
      <c r="P228" s="507"/>
      <c r="Q228" s="507"/>
      <c r="R228" s="507"/>
      <c r="S228" s="507"/>
      <c r="T228" s="507"/>
      <c r="U228" s="507"/>
      <c r="V228" s="507"/>
      <c r="W228" s="507"/>
    </row>
    <row r="229" ht="35.25" customHeight="1">
      <c r="A229" s="18"/>
      <c r="B229" s="514" t="s">
        <v>766</v>
      </c>
      <c r="C229" s="627"/>
      <c r="D229" s="18"/>
      <c r="E229" s="633" t="s">
        <v>772</v>
      </c>
      <c r="F229" s="628"/>
      <c r="G229" s="507"/>
      <c r="H229" s="507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  <c r="T229" s="507"/>
      <c r="U229" s="507"/>
      <c r="V229" s="507"/>
      <c r="W229" s="507"/>
    </row>
    <row r="230" ht="35.25" customHeight="1">
      <c r="A230" s="18"/>
      <c r="B230" s="514" t="s">
        <v>767</v>
      </c>
      <c r="C230" s="627"/>
      <c r="D230" s="18"/>
      <c r="E230" s="633"/>
      <c r="F230" s="628"/>
      <c r="G230" s="507"/>
      <c r="H230" s="507"/>
      <c r="I230" s="507"/>
      <c r="J230" s="507"/>
      <c r="K230" s="507"/>
      <c r="L230" s="507"/>
      <c r="M230" s="507"/>
      <c r="N230" s="507"/>
      <c r="O230" s="507"/>
      <c r="P230" s="507"/>
      <c r="Q230" s="507"/>
      <c r="R230" s="507"/>
      <c r="S230" s="507"/>
      <c r="T230" s="507"/>
      <c r="U230" s="507"/>
      <c r="V230" s="507"/>
      <c r="W230" s="507"/>
    </row>
    <row r="231" ht="35.25" customHeight="1">
      <c r="A231" s="18"/>
      <c r="B231" s="514" t="s">
        <v>768</v>
      </c>
      <c r="C231" s="627"/>
      <c r="D231" s="18"/>
      <c r="E231" s="628"/>
      <c r="F231" s="628"/>
      <c r="G231" s="507"/>
      <c r="H231" s="507"/>
      <c r="I231" s="507"/>
      <c r="J231" s="507"/>
      <c r="K231" s="507"/>
      <c r="L231" s="507"/>
      <c r="M231" s="507"/>
      <c r="N231" s="507"/>
      <c r="O231" s="507"/>
      <c r="P231" s="507"/>
      <c r="Q231" s="507"/>
      <c r="R231" s="507"/>
      <c r="S231" s="507"/>
      <c r="T231" s="507"/>
      <c r="U231" s="507"/>
      <c r="V231" s="507"/>
      <c r="W231" s="507"/>
    </row>
    <row r="232" ht="35.25" customHeight="1">
      <c r="A232" s="18"/>
      <c r="B232" s="636" t="s">
        <v>769</v>
      </c>
      <c r="C232" s="620"/>
      <c r="D232" s="18"/>
      <c r="E232" s="628"/>
      <c r="F232" s="628"/>
      <c r="G232" s="507"/>
      <c r="H232" s="507"/>
      <c r="I232" s="507"/>
      <c r="J232" s="507"/>
      <c r="K232" s="507"/>
      <c r="L232" s="507"/>
      <c r="M232" s="507"/>
      <c r="N232" s="507"/>
      <c r="O232" s="507"/>
      <c r="P232" s="507"/>
      <c r="Q232" s="507"/>
      <c r="R232" s="507"/>
      <c r="S232" s="507"/>
      <c r="T232" s="507"/>
      <c r="U232" s="507"/>
      <c r="V232" s="507"/>
      <c r="W232" s="507"/>
    </row>
    <row r="233" ht="35.25" customHeight="1">
      <c r="A233" s="618" t="s">
        <v>96</v>
      </c>
      <c r="B233" s="634" t="s">
        <v>771</v>
      </c>
      <c r="C233" s="641">
        <v>1.128825E8</v>
      </c>
      <c r="D233" s="618">
        <f>sum(C233:C236)</f>
        <v>112882500</v>
      </c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  <c r="O233" s="507"/>
      <c r="P233" s="507"/>
      <c r="Q233" s="507"/>
      <c r="R233" s="507"/>
      <c r="S233" s="507"/>
      <c r="T233" s="507"/>
      <c r="U233" s="507"/>
      <c r="V233" s="507"/>
      <c r="W233" s="507"/>
    </row>
    <row r="234" ht="35.25" customHeight="1">
      <c r="A234" s="18"/>
      <c r="B234" s="697" t="s">
        <v>766</v>
      </c>
      <c r="C234" s="598"/>
      <c r="D234" s="18"/>
      <c r="E234" s="556" t="s">
        <v>773</v>
      </c>
      <c r="F234" s="507"/>
      <c r="G234" s="507"/>
      <c r="H234" s="507"/>
      <c r="I234" s="507"/>
      <c r="J234" s="507"/>
      <c r="K234" s="507"/>
      <c r="L234" s="507"/>
      <c r="M234" s="507"/>
      <c r="N234" s="507"/>
      <c r="O234" s="507"/>
      <c r="P234" s="507"/>
      <c r="Q234" s="507"/>
      <c r="R234" s="507"/>
      <c r="S234" s="507"/>
      <c r="T234" s="507"/>
      <c r="U234" s="507"/>
      <c r="V234" s="507"/>
      <c r="W234" s="507"/>
    </row>
    <row r="235" ht="35.25" customHeight="1">
      <c r="A235" s="18"/>
      <c r="B235" s="547" t="s">
        <v>767</v>
      </c>
      <c r="C235" s="598"/>
      <c r="D235" s="18"/>
      <c r="E235" s="556"/>
      <c r="F235" s="507"/>
      <c r="G235" s="507"/>
      <c r="H235" s="507"/>
      <c r="I235" s="507"/>
      <c r="J235" s="507"/>
      <c r="K235" s="507"/>
      <c r="L235" s="507"/>
      <c r="M235" s="507"/>
      <c r="N235" s="507"/>
      <c r="O235" s="507"/>
      <c r="P235" s="507"/>
      <c r="Q235" s="507"/>
      <c r="R235" s="507"/>
      <c r="S235" s="507"/>
      <c r="T235" s="507"/>
      <c r="U235" s="507"/>
      <c r="V235" s="507"/>
      <c r="W235" s="507"/>
    </row>
    <row r="236" ht="35.25" customHeight="1">
      <c r="A236" s="18"/>
      <c r="B236" s="524" t="s">
        <v>768</v>
      </c>
      <c r="C236" s="593"/>
      <c r="D236" s="18"/>
      <c r="E236" s="507"/>
      <c r="F236" s="507"/>
      <c r="G236" s="507"/>
      <c r="H236" s="507"/>
      <c r="I236" s="507"/>
      <c r="J236" s="507"/>
      <c r="K236" s="507"/>
      <c r="L236" s="507"/>
      <c r="M236" s="507"/>
      <c r="N236" s="507"/>
      <c r="O236" s="507"/>
      <c r="P236" s="507"/>
      <c r="Q236" s="507"/>
      <c r="R236" s="507"/>
      <c r="S236" s="507"/>
      <c r="T236" s="507"/>
      <c r="U236" s="507"/>
      <c r="V236" s="507"/>
      <c r="W236" s="507"/>
    </row>
    <row r="237" ht="35.25" customHeight="1">
      <c r="A237" s="18"/>
      <c r="B237" s="634" t="s">
        <v>769</v>
      </c>
      <c r="C237" s="593"/>
      <c r="D237" s="18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507"/>
      <c r="W237" s="507"/>
    </row>
    <row r="238" ht="35.25" customHeight="1">
      <c r="A238" s="618" t="s">
        <v>100</v>
      </c>
      <c r="B238" s="698" t="s">
        <v>774</v>
      </c>
      <c r="C238" s="637">
        <v>6.21412E7</v>
      </c>
      <c r="D238" s="618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  <c r="O238" s="507"/>
      <c r="P238" s="507"/>
      <c r="Q238" s="507"/>
      <c r="R238" s="507"/>
      <c r="S238" s="507"/>
      <c r="T238" s="507"/>
      <c r="U238" s="507"/>
      <c r="V238" s="507"/>
      <c r="W238" s="507"/>
    </row>
    <row r="239" ht="35.25" customHeight="1">
      <c r="A239" s="18"/>
      <c r="B239" s="698" t="s">
        <v>775</v>
      </c>
      <c r="C239" s="637">
        <v>1.531027E8</v>
      </c>
      <c r="D239" s="18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  <c r="O239" s="507"/>
      <c r="P239" s="507"/>
      <c r="Q239" s="507"/>
      <c r="R239" s="507"/>
      <c r="S239" s="507"/>
      <c r="T239" s="507"/>
      <c r="U239" s="507"/>
      <c r="V239" s="507"/>
      <c r="W239" s="507"/>
    </row>
    <row r="240" ht="35.25" customHeight="1">
      <c r="A240" s="18"/>
      <c r="B240" s="636" t="s">
        <v>776</v>
      </c>
      <c r="C240" s="637">
        <v>1.858656E8</v>
      </c>
      <c r="D240" s="18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  <c r="O240" s="507"/>
      <c r="P240" s="507"/>
      <c r="Q240" s="507"/>
      <c r="R240" s="507"/>
      <c r="S240" s="507"/>
      <c r="T240" s="507"/>
      <c r="U240" s="507"/>
      <c r="V240" s="507"/>
      <c r="W240" s="507"/>
    </row>
    <row r="241" ht="35.25" customHeight="1">
      <c r="A241" s="18"/>
      <c r="B241" s="636" t="s">
        <v>777</v>
      </c>
      <c r="C241" s="637">
        <v>1.467628E8</v>
      </c>
      <c r="D241" s="18"/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  <c r="O241" s="507"/>
      <c r="P241" s="507"/>
      <c r="Q241" s="507"/>
      <c r="R241" s="507"/>
      <c r="S241" s="507"/>
      <c r="T241" s="507"/>
      <c r="U241" s="507"/>
      <c r="V241" s="507"/>
      <c r="W241" s="507"/>
    </row>
    <row r="242" ht="35.25" customHeight="1">
      <c r="A242" s="18"/>
      <c r="B242" s="636" t="s">
        <v>99</v>
      </c>
      <c r="C242" s="638">
        <f>sum(C238:C241)</f>
        <v>547872300</v>
      </c>
      <c r="D242" s="18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  <c r="O242" s="507"/>
      <c r="P242" s="507"/>
      <c r="Q242" s="507"/>
      <c r="R242" s="507"/>
      <c r="S242" s="507"/>
      <c r="T242" s="507"/>
      <c r="U242" s="507"/>
      <c r="V242" s="507"/>
      <c r="W242" s="507"/>
    </row>
    <row r="243" ht="35.25" customHeight="1">
      <c r="A243" s="18"/>
      <c r="B243" s="157"/>
      <c r="C243" s="157"/>
      <c r="D243" s="18"/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  <c r="O243" s="507"/>
      <c r="P243" s="507"/>
      <c r="Q243" s="507"/>
      <c r="R243" s="507"/>
      <c r="S243" s="507"/>
      <c r="T243" s="507"/>
      <c r="U243" s="507"/>
      <c r="V243" s="507"/>
      <c r="W243" s="507"/>
    </row>
    <row r="244" ht="35.25" customHeight="1">
      <c r="A244" s="18"/>
      <c r="B244" s="157"/>
      <c r="C244" s="157"/>
      <c r="D244" s="18"/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  <c r="O244" s="507"/>
      <c r="P244" s="507"/>
      <c r="Q244" s="507"/>
      <c r="R244" s="507"/>
      <c r="S244" s="507"/>
      <c r="T244" s="507"/>
      <c r="U244" s="507"/>
      <c r="V244" s="507"/>
      <c r="W244" s="507"/>
    </row>
    <row r="245" ht="35.25" customHeight="1">
      <c r="A245" s="618" t="s">
        <v>101</v>
      </c>
      <c r="B245" s="629" t="s">
        <v>770</v>
      </c>
      <c r="C245" s="620">
        <v>9.3576E7</v>
      </c>
      <c r="D245" s="618">
        <f>SUM(C245)</f>
        <v>93576000</v>
      </c>
      <c r="E245" s="507"/>
      <c r="F245" s="507"/>
      <c r="G245" s="507"/>
      <c r="H245" s="507"/>
      <c r="I245" s="507"/>
      <c r="J245" s="507"/>
      <c r="K245" s="507"/>
      <c r="L245" s="507"/>
      <c r="M245" s="507"/>
      <c r="N245" s="507"/>
      <c r="O245" s="507"/>
      <c r="P245" s="507"/>
      <c r="Q245" s="507"/>
      <c r="R245" s="507"/>
      <c r="S245" s="507"/>
      <c r="T245" s="507"/>
      <c r="U245" s="507"/>
      <c r="V245" s="507"/>
      <c r="W245" s="507"/>
    </row>
    <row r="246" ht="35.25" customHeight="1">
      <c r="A246" s="18"/>
      <c r="B246" s="524" t="s">
        <v>766</v>
      </c>
      <c r="C246" s="593"/>
      <c r="D246" s="18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  <c r="O246" s="507"/>
      <c r="P246" s="507"/>
      <c r="Q246" s="507"/>
      <c r="R246" s="507"/>
      <c r="S246" s="507"/>
      <c r="T246" s="507"/>
      <c r="U246" s="507"/>
      <c r="V246" s="507"/>
      <c r="W246" s="507"/>
    </row>
    <row r="247" ht="35.25" customHeight="1">
      <c r="A247" s="18"/>
      <c r="B247" s="524" t="s">
        <v>767</v>
      </c>
      <c r="C247" s="593"/>
      <c r="D247" s="18"/>
      <c r="E247" s="556"/>
      <c r="F247" s="507"/>
      <c r="G247" s="507"/>
      <c r="H247" s="507"/>
      <c r="I247" s="507"/>
      <c r="J247" s="507"/>
      <c r="K247" s="507"/>
      <c r="L247" s="507"/>
      <c r="M247" s="507"/>
      <c r="N247" s="507"/>
      <c r="O247" s="507"/>
      <c r="P247" s="507"/>
      <c r="Q247" s="507"/>
      <c r="R247" s="507"/>
      <c r="S247" s="507"/>
      <c r="T247" s="507"/>
      <c r="U247" s="507"/>
      <c r="V247" s="507"/>
      <c r="W247" s="507"/>
    </row>
    <row r="248" ht="35.25" customHeight="1">
      <c r="A248" s="18"/>
      <c r="B248" s="524" t="s">
        <v>768</v>
      </c>
      <c r="C248" s="593"/>
      <c r="D248" s="18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  <c r="O248" s="507"/>
      <c r="P248" s="507"/>
      <c r="Q248" s="507"/>
      <c r="R248" s="507"/>
      <c r="S248" s="507"/>
      <c r="T248" s="507"/>
      <c r="U248" s="507"/>
      <c r="V248" s="507"/>
      <c r="W248" s="507"/>
    </row>
    <row r="249" ht="35.25" customHeight="1">
      <c r="A249" s="18"/>
      <c r="B249" s="524" t="s">
        <v>769</v>
      </c>
      <c r="C249" s="593"/>
      <c r="D249" s="18"/>
      <c r="E249" s="507"/>
      <c r="F249" s="507"/>
      <c r="G249" s="507"/>
      <c r="H249" s="507"/>
      <c r="I249" s="507"/>
      <c r="J249" s="507"/>
      <c r="K249" s="507"/>
      <c r="L249" s="507"/>
      <c r="M249" s="507"/>
      <c r="N249" s="507"/>
      <c r="O249" s="507"/>
      <c r="P249" s="507"/>
      <c r="Q249" s="507"/>
      <c r="R249" s="507"/>
      <c r="S249" s="507"/>
      <c r="T249" s="507"/>
      <c r="U249" s="507"/>
      <c r="V249" s="507"/>
      <c r="W249" s="507"/>
    </row>
    <row r="250" ht="35.25" customHeight="1">
      <c r="A250" s="18"/>
      <c r="D250" s="18"/>
      <c r="E250" s="507"/>
      <c r="F250" s="507"/>
      <c r="G250" s="507"/>
      <c r="H250" s="507"/>
      <c r="I250" s="507"/>
      <c r="J250" s="507"/>
      <c r="K250" s="507"/>
      <c r="L250" s="507"/>
      <c r="M250" s="507"/>
      <c r="N250" s="507"/>
      <c r="O250" s="507"/>
      <c r="P250" s="507"/>
      <c r="Q250" s="507"/>
      <c r="R250" s="507"/>
      <c r="S250" s="507"/>
      <c r="T250" s="507"/>
      <c r="U250" s="507"/>
      <c r="V250" s="507"/>
      <c r="W250" s="507"/>
    </row>
    <row r="251" ht="35.25" customHeight="1">
      <c r="A251" s="18"/>
      <c r="B251" s="636"/>
      <c r="C251" s="620"/>
      <c r="D251" s="18"/>
      <c r="E251" s="507"/>
      <c r="F251" s="507"/>
      <c r="G251" s="507"/>
      <c r="H251" s="507"/>
      <c r="I251" s="507"/>
      <c r="J251" s="507"/>
      <c r="K251" s="507"/>
      <c r="L251" s="507"/>
      <c r="M251" s="507"/>
      <c r="N251" s="507"/>
      <c r="O251" s="507"/>
      <c r="P251" s="507"/>
      <c r="Q251" s="507"/>
      <c r="R251" s="507"/>
      <c r="S251" s="507"/>
      <c r="T251" s="507"/>
      <c r="U251" s="507"/>
      <c r="V251" s="507"/>
      <c r="W251" s="507"/>
    </row>
    <row r="252" ht="35.25" customHeight="1">
      <c r="A252" s="618" t="s">
        <v>107</v>
      </c>
      <c r="B252" s="524" t="s">
        <v>771</v>
      </c>
      <c r="C252" s="637">
        <v>2.62234E7</v>
      </c>
      <c r="D252" s="618">
        <f>SUM(C252)</f>
        <v>26223400</v>
      </c>
      <c r="E252" s="507"/>
      <c r="F252" s="507"/>
      <c r="G252" s="507"/>
      <c r="H252" s="507"/>
      <c r="I252" s="507"/>
      <c r="J252" s="507"/>
      <c r="K252" s="507"/>
      <c r="L252" s="507"/>
      <c r="M252" s="507"/>
      <c r="N252" s="507"/>
      <c r="O252" s="507"/>
      <c r="P252" s="507"/>
      <c r="Q252" s="507"/>
      <c r="R252" s="507"/>
      <c r="S252" s="507"/>
      <c r="T252" s="507"/>
      <c r="U252" s="507"/>
      <c r="V252" s="507"/>
      <c r="W252" s="507"/>
    </row>
    <row r="253" ht="35.25" customHeight="1">
      <c r="A253" s="18"/>
      <c r="B253" s="524" t="s">
        <v>766</v>
      </c>
      <c r="C253" s="641"/>
      <c r="D253" s="18"/>
      <c r="E253" s="507"/>
      <c r="F253" s="507"/>
      <c r="G253" s="507"/>
      <c r="H253" s="507"/>
      <c r="I253" s="507"/>
      <c r="J253" s="507"/>
      <c r="K253" s="507"/>
      <c r="L253" s="507"/>
      <c r="M253" s="507"/>
      <c r="N253" s="507"/>
      <c r="O253" s="507"/>
      <c r="P253" s="507"/>
      <c r="Q253" s="507"/>
      <c r="R253" s="507"/>
      <c r="S253" s="507"/>
      <c r="T253" s="507"/>
      <c r="U253" s="507"/>
      <c r="V253" s="507"/>
      <c r="W253" s="507"/>
    </row>
    <row r="254" ht="35.25" customHeight="1">
      <c r="A254" s="18"/>
      <c r="B254" s="639" t="s">
        <v>767</v>
      </c>
      <c r="C254" s="696"/>
      <c r="D254" s="18"/>
      <c r="E254" s="507"/>
      <c r="F254" s="507"/>
      <c r="G254" s="507"/>
      <c r="H254" s="507"/>
      <c r="I254" s="507"/>
      <c r="J254" s="507"/>
      <c r="K254" s="507"/>
      <c r="L254" s="507"/>
      <c r="M254" s="507"/>
      <c r="N254" s="507"/>
      <c r="O254" s="507"/>
      <c r="P254" s="507"/>
      <c r="Q254" s="507"/>
      <c r="R254" s="507"/>
      <c r="S254" s="507"/>
      <c r="T254" s="507"/>
      <c r="U254" s="507"/>
      <c r="V254" s="507"/>
      <c r="W254" s="507"/>
    </row>
    <row r="255" ht="35.25" customHeight="1">
      <c r="A255" s="18"/>
      <c r="B255" s="639" t="s">
        <v>768</v>
      </c>
      <c r="D255" s="18"/>
      <c r="E255" s="507"/>
      <c r="F255" s="507"/>
      <c r="G255" s="507"/>
      <c r="H255" s="507"/>
      <c r="I255" s="507"/>
      <c r="J255" s="507"/>
      <c r="K255" s="507"/>
      <c r="L255" s="507"/>
      <c r="M255" s="507"/>
      <c r="N255" s="507"/>
      <c r="O255" s="507"/>
      <c r="P255" s="507"/>
      <c r="Q255" s="507"/>
      <c r="R255" s="507"/>
      <c r="S255" s="507"/>
      <c r="T255" s="507"/>
      <c r="U255" s="507"/>
      <c r="V255" s="507"/>
      <c r="W255" s="507"/>
    </row>
    <row r="256" ht="35.25" customHeight="1">
      <c r="A256" s="618" t="s">
        <v>108</v>
      </c>
      <c r="B256" s="524" t="s">
        <v>770</v>
      </c>
      <c r="C256" s="641">
        <v>9.07243E7</v>
      </c>
      <c r="D256" s="618">
        <f>sum(C256)</f>
        <v>90724300</v>
      </c>
      <c r="E256" s="507"/>
      <c r="F256" s="507"/>
      <c r="G256" s="507"/>
      <c r="H256" s="507"/>
      <c r="I256" s="507"/>
      <c r="J256" s="507"/>
      <c r="K256" s="507"/>
      <c r="L256" s="507"/>
      <c r="M256" s="507"/>
      <c r="N256" s="507"/>
      <c r="O256" s="507"/>
      <c r="P256" s="507"/>
      <c r="Q256" s="507"/>
      <c r="R256" s="507"/>
      <c r="S256" s="507"/>
      <c r="T256" s="507"/>
      <c r="U256" s="507"/>
      <c r="V256" s="507"/>
      <c r="W256" s="507"/>
    </row>
    <row r="257" ht="35.25" customHeight="1">
      <c r="A257" s="18"/>
      <c r="B257" s="524" t="s">
        <v>766</v>
      </c>
      <c r="C257" s="593"/>
      <c r="D257" s="18"/>
      <c r="E257" s="507"/>
      <c r="F257" s="507"/>
      <c r="G257" s="507"/>
      <c r="H257" s="507"/>
      <c r="I257" s="507"/>
      <c r="J257" s="507"/>
      <c r="K257" s="507"/>
      <c r="L257" s="507"/>
      <c r="M257" s="507"/>
      <c r="N257" s="507"/>
      <c r="O257" s="507"/>
      <c r="P257" s="507"/>
      <c r="Q257" s="507"/>
      <c r="R257" s="507"/>
      <c r="S257" s="507"/>
      <c r="T257" s="507"/>
      <c r="U257" s="507"/>
      <c r="V257" s="507"/>
      <c r="W257" s="507"/>
    </row>
    <row r="258" ht="35.25" customHeight="1">
      <c r="A258" s="18"/>
      <c r="B258" s="639" t="s">
        <v>767</v>
      </c>
      <c r="C258" s="699"/>
      <c r="D258" s="18"/>
      <c r="E258" s="556"/>
      <c r="F258" s="507"/>
      <c r="G258" s="507"/>
      <c r="H258" s="507"/>
      <c r="I258" s="507"/>
      <c r="J258" s="507"/>
      <c r="K258" s="507"/>
      <c r="L258" s="507"/>
      <c r="M258" s="507"/>
      <c r="N258" s="507"/>
      <c r="O258" s="507"/>
      <c r="P258" s="507"/>
      <c r="Q258" s="507"/>
      <c r="R258" s="507"/>
      <c r="S258" s="507"/>
      <c r="T258" s="507"/>
      <c r="U258" s="507"/>
      <c r="V258" s="507"/>
      <c r="W258" s="507"/>
    </row>
    <row r="259" ht="35.25" customHeight="1">
      <c r="A259" s="18"/>
      <c r="B259" s="639" t="s">
        <v>768</v>
      </c>
      <c r="C259" s="637"/>
      <c r="D259" s="18"/>
      <c r="E259" s="507"/>
      <c r="F259" s="507"/>
      <c r="G259" s="507"/>
      <c r="H259" s="507"/>
      <c r="I259" s="507"/>
      <c r="J259" s="507"/>
      <c r="K259" s="507"/>
      <c r="L259" s="507"/>
      <c r="M259" s="507"/>
      <c r="N259" s="507"/>
      <c r="O259" s="507"/>
      <c r="P259" s="507"/>
      <c r="Q259" s="507"/>
      <c r="R259" s="507"/>
      <c r="S259" s="507"/>
      <c r="T259" s="507"/>
      <c r="U259" s="507"/>
      <c r="V259" s="507"/>
      <c r="W259" s="507"/>
    </row>
    <row r="260" ht="35.25" customHeight="1">
      <c r="A260" s="18"/>
      <c r="B260" s="636" t="s">
        <v>769</v>
      </c>
      <c r="C260" s="637"/>
      <c r="D260" s="18"/>
      <c r="E260" s="507"/>
      <c r="F260" s="507"/>
      <c r="G260" s="507"/>
      <c r="H260" s="643"/>
      <c r="I260" s="556"/>
      <c r="J260" s="644"/>
      <c r="K260" s="644"/>
      <c r="L260" s="643"/>
      <c r="M260" s="507"/>
      <c r="N260" s="507"/>
      <c r="O260" s="507"/>
      <c r="P260" s="507"/>
      <c r="Q260" s="507"/>
      <c r="R260" s="507"/>
      <c r="S260" s="507"/>
      <c r="T260" s="507"/>
      <c r="U260" s="507"/>
      <c r="V260" s="507"/>
      <c r="W260" s="507"/>
    </row>
    <row r="261" ht="35.25" customHeight="1">
      <c r="A261" s="18"/>
      <c r="B261" s="157"/>
      <c r="C261" s="157"/>
      <c r="D261" s="18"/>
      <c r="E261" s="507"/>
      <c r="F261" s="507"/>
      <c r="G261" s="507"/>
      <c r="H261" s="643"/>
      <c r="I261" s="525"/>
      <c r="J261" s="644"/>
      <c r="K261" s="644"/>
      <c r="M261" s="507"/>
      <c r="N261" s="507"/>
      <c r="O261" s="507"/>
      <c r="P261" s="507"/>
      <c r="Q261" s="507"/>
      <c r="R261" s="507"/>
      <c r="S261" s="507"/>
      <c r="T261" s="507"/>
      <c r="U261" s="507"/>
      <c r="V261" s="507"/>
      <c r="W261" s="507"/>
    </row>
    <row r="262" ht="35.25" customHeight="1">
      <c r="A262" s="618" t="s">
        <v>620</v>
      </c>
      <c r="B262" s="639" t="s">
        <v>76</v>
      </c>
      <c r="C262" s="642">
        <v>4.25393E8</v>
      </c>
      <c r="D262" s="618">
        <f>SUM(C262:C263)</f>
        <v>713119500</v>
      </c>
      <c r="E262" s="556">
        <v>4.25393E8</v>
      </c>
      <c r="F262" s="507"/>
      <c r="G262" s="507"/>
      <c r="H262" s="643"/>
      <c r="I262" s="525"/>
      <c r="J262" s="644"/>
      <c r="K262" s="644"/>
      <c r="M262" s="507"/>
      <c r="N262" s="507"/>
      <c r="O262" s="507"/>
      <c r="P262" s="507"/>
      <c r="Q262" s="507"/>
      <c r="R262" s="507"/>
      <c r="S262" s="507"/>
      <c r="T262" s="507"/>
      <c r="U262" s="507"/>
      <c r="V262" s="507"/>
      <c r="W262" s="507"/>
    </row>
    <row r="263" ht="35.25" customHeight="1">
      <c r="A263" s="18"/>
      <c r="B263" s="524" t="s">
        <v>770</v>
      </c>
      <c r="C263" s="620">
        <v>2.877265E8</v>
      </c>
      <c r="D263" s="18"/>
      <c r="E263" s="507"/>
      <c r="F263" s="507"/>
      <c r="G263" s="507"/>
      <c r="H263" s="643"/>
      <c r="I263" s="525"/>
      <c r="J263" s="644"/>
      <c r="K263" s="535"/>
      <c r="M263" s="507"/>
      <c r="N263" s="507"/>
      <c r="O263" s="507"/>
      <c r="P263" s="507"/>
      <c r="Q263" s="507"/>
      <c r="R263" s="507"/>
      <c r="S263" s="507"/>
      <c r="T263" s="507"/>
      <c r="U263" s="507"/>
      <c r="V263" s="507"/>
      <c r="W263" s="507"/>
    </row>
    <row r="264" ht="35.25" customHeight="1">
      <c r="A264" s="18"/>
      <c r="B264" s="639" t="s">
        <v>766</v>
      </c>
      <c r="C264" s="645"/>
      <c r="D264" s="18"/>
      <c r="E264" s="556"/>
      <c r="F264" s="507"/>
      <c r="G264" s="507"/>
      <c r="H264" s="643"/>
      <c r="I264" s="525"/>
      <c r="J264" s="644"/>
      <c r="K264" s="535"/>
      <c r="M264" s="507"/>
      <c r="N264" s="507"/>
      <c r="O264" s="507"/>
      <c r="P264" s="507"/>
      <c r="Q264" s="507"/>
      <c r="R264" s="507"/>
      <c r="S264" s="507"/>
      <c r="T264" s="507"/>
      <c r="U264" s="507"/>
      <c r="V264" s="507"/>
      <c r="W264" s="507"/>
    </row>
    <row r="265" ht="35.25" customHeight="1">
      <c r="A265" s="18"/>
      <c r="B265" s="639" t="s">
        <v>767</v>
      </c>
      <c r="C265" s="620"/>
      <c r="D265" s="18"/>
      <c r="E265" s="507"/>
      <c r="F265" s="507"/>
      <c r="G265" s="507"/>
      <c r="H265" s="643"/>
      <c r="I265" s="507"/>
      <c r="J265" s="507"/>
      <c r="K265" s="507"/>
      <c r="L265" s="507"/>
      <c r="M265" s="507"/>
      <c r="N265" s="507"/>
      <c r="O265" s="507"/>
      <c r="P265" s="507"/>
      <c r="Q265" s="507"/>
      <c r="R265" s="507"/>
      <c r="S265" s="507"/>
      <c r="T265" s="507"/>
      <c r="U265" s="507"/>
      <c r="V265" s="507"/>
      <c r="W265" s="507"/>
    </row>
    <row r="266" ht="35.25" customHeight="1">
      <c r="A266" s="22"/>
      <c r="B266" s="636" t="s">
        <v>768</v>
      </c>
      <c r="C266" s="630"/>
      <c r="D266" s="18"/>
      <c r="E266" s="507"/>
      <c r="F266" s="507"/>
      <c r="G266" s="507"/>
      <c r="H266" s="643"/>
      <c r="I266" s="581"/>
      <c r="J266" s="646"/>
      <c r="K266" s="635"/>
      <c r="L266" s="643"/>
      <c r="M266" s="507"/>
      <c r="N266" s="507"/>
      <c r="O266" s="507"/>
      <c r="P266" s="507"/>
      <c r="Q266" s="507"/>
      <c r="R266" s="507"/>
      <c r="S266" s="507"/>
      <c r="T266" s="507"/>
      <c r="U266" s="507"/>
      <c r="V266" s="507"/>
      <c r="W266" s="507"/>
    </row>
    <row r="267" ht="35.25" customHeight="1">
      <c r="A267" s="618" t="s">
        <v>112</v>
      </c>
      <c r="B267" s="547" t="s">
        <v>770</v>
      </c>
      <c r="C267" s="593">
        <v>1.762575E8</v>
      </c>
      <c r="D267" s="618">
        <f>SUM(C267)</f>
        <v>176257500</v>
      </c>
      <c r="E267" s="507"/>
      <c r="F267" s="507"/>
      <c r="G267" s="507"/>
      <c r="H267" s="643"/>
      <c r="I267" s="581"/>
      <c r="J267" s="581"/>
      <c r="K267" s="635"/>
      <c r="M267" s="507"/>
      <c r="N267" s="507"/>
      <c r="O267" s="507"/>
      <c r="P267" s="507"/>
      <c r="Q267" s="507"/>
      <c r="R267" s="507"/>
      <c r="S267" s="507"/>
      <c r="T267" s="507"/>
      <c r="U267" s="507"/>
      <c r="V267" s="507"/>
      <c r="W267" s="507"/>
    </row>
    <row r="268" ht="35.25" customHeight="1">
      <c r="A268" s="18"/>
      <c r="B268" s="524" t="s">
        <v>766</v>
      </c>
      <c r="C268" s="598"/>
      <c r="D268" s="18"/>
      <c r="E268" s="507"/>
      <c r="F268" s="507"/>
      <c r="G268" s="507"/>
      <c r="H268" s="643"/>
      <c r="I268" s="581"/>
      <c r="J268" s="581"/>
      <c r="K268" s="635"/>
      <c r="M268" s="507"/>
      <c r="N268" s="507"/>
      <c r="O268" s="507"/>
      <c r="P268" s="507"/>
      <c r="Q268" s="507"/>
      <c r="R268" s="507"/>
      <c r="S268" s="507"/>
      <c r="T268" s="507"/>
      <c r="U268" s="507"/>
      <c r="V268" s="507"/>
      <c r="W268" s="507"/>
    </row>
    <row r="269" ht="35.25" customHeight="1">
      <c r="A269" s="18"/>
      <c r="B269" s="639" t="s">
        <v>767</v>
      </c>
      <c r="C269" s="598"/>
      <c r="D269" s="18"/>
      <c r="E269" s="507"/>
      <c r="F269" s="507"/>
      <c r="G269" s="507"/>
      <c r="H269" s="643"/>
      <c r="I269" s="581"/>
      <c r="J269" s="581"/>
      <c r="K269" s="635"/>
      <c r="M269" s="507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</row>
    <row r="270" ht="35.25" customHeight="1">
      <c r="A270" s="18"/>
      <c r="B270" s="639" t="s">
        <v>768</v>
      </c>
      <c r="C270" s="593"/>
      <c r="D270" s="18"/>
      <c r="E270" s="507"/>
      <c r="F270" s="507"/>
      <c r="G270" s="507"/>
      <c r="H270" s="643"/>
      <c r="I270" s="556"/>
      <c r="J270" s="581"/>
      <c r="K270" s="635"/>
      <c r="M270" s="507"/>
      <c r="N270" s="507"/>
      <c r="O270" s="507"/>
      <c r="P270" s="507"/>
      <c r="Q270" s="507"/>
      <c r="R270" s="507"/>
      <c r="S270" s="507"/>
      <c r="T270" s="507"/>
      <c r="U270" s="507"/>
      <c r="V270" s="507"/>
      <c r="W270" s="507"/>
    </row>
    <row r="271" ht="35.25" customHeight="1">
      <c r="A271" s="18"/>
      <c r="B271" s="636" t="s">
        <v>769</v>
      </c>
      <c r="C271" s="650"/>
      <c r="D271" s="18"/>
      <c r="E271" s="507"/>
      <c r="F271" s="556" t="s">
        <v>50</v>
      </c>
      <c r="G271" s="507"/>
      <c r="H271" s="643"/>
      <c r="I271" s="507"/>
      <c r="J271" s="507"/>
      <c r="K271" s="507"/>
      <c r="L271" s="507"/>
      <c r="M271" s="507"/>
      <c r="N271" s="507"/>
      <c r="O271" s="507"/>
      <c r="P271" s="507"/>
      <c r="Q271" s="507"/>
      <c r="R271" s="507"/>
      <c r="S271" s="507"/>
      <c r="T271" s="507"/>
      <c r="U271" s="507"/>
      <c r="V271" s="507"/>
      <c r="W271" s="507"/>
    </row>
    <row r="272" ht="35.25" customHeight="1">
      <c r="A272" s="618" t="s">
        <v>115</v>
      </c>
      <c r="B272" s="547" t="s">
        <v>76</v>
      </c>
      <c r="C272" s="598">
        <v>9.6688E7</v>
      </c>
      <c r="D272" s="618">
        <f>SUM(C272:C273)</f>
        <v>241961000</v>
      </c>
      <c r="E272" s="507"/>
      <c r="F272" s="507"/>
      <c r="G272" s="507"/>
      <c r="H272" s="643"/>
      <c r="I272" s="647"/>
      <c r="J272" s="644"/>
      <c r="K272" s="644"/>
      <c r="L272" s="643"/>
      <c r="M272" s="507"/>
      <c r="N272" s="507"/>
      <c r="O272" s="507"/>
      <c r="P272" s="507"/>
      <c r="Q272" s="507"/>
      <c r="R272" s="507"/>
      <c r="S272" s="507"/>
      <c r="T272" s="507"/>
      <c r="U272" s="507"/>
      <c r="V272" s="507"/>
      <c r="W272" s="507"/>
    </row>
    <row r="273" ht="35.25" customHeight="1">
      <c r="A273" s="18"/>
      <c r="B273" s="524" t="s">
        <v>770</v>
      </c>
      <c r="C273" s="598">
        <v>1.45273E8</v>
      </c>
      <c r="D273" s="18"/>
      <c r="E273" s="556"/>
      <c r="F273" s="507"/>
      <c r="G273" s="507"/>
      <c r="H273" s="643"/>
      <c r="I273" s="647"/>
      <c r="J273" s="646"/>
      <c r="K273" s="535"/>
      <c r="M273" s="507"/>
      <c r="N273" s="507"/>
      <c r="O273" s="507"/>
      <c r="P273" s="507"/>
      <c r="Q273" s="507"/>
      <c r="R273" s="507"/>
      <c r="S273" s="507"/>
      <c r="T273" s="507"/>
      <c r="U273" s="507"/>
      <c r="V273" s="507"/>
      <c r="W273" s="507"/>
    </row>
    <row r="274" ht="35.25" customHeight="1">
      <c r="A274" s="18"/>
      <c r="B274" s="636" t="s">
        <v>766</v>
      </c>
      <c r="C274" s="598"/>
      <c r="D274" s="18"/>
      <c r="E274" s="507"/>
      <c r="F274" s="507"/>
      <c r="G274" s="507"/>
      <c r="H274" s="643"/>
      <c r="I274" s="647"/>
      <c r="J274" s="646"/>
      <c r="K274" s="535"/>
      <c r="M274" s="507"/>
      <c r="N274" s="507"/>
      <c r="O274" s="507"/>
      <c r="P274" s="507"/>
      <c r="Q274" s="507"/>
      <c r="R274" s="507"/>
      <c r="S274" s="507"/>
      <c r="T274" s="507"/>
      <c r="U274" s="507"/>
      <c r="V274" s="507"/>
      <c r="W274" s="507"/>
    </row>
    <row r="275" ht="35.25" customHeight="1">
      <c r="A275" s="18"/>
      <c r="B275" s="639" t="s">
        <v>767</v>
      </c>
      <c r="C275" s="598"/>
      <c r="D275" s="18"/>
      <c r="E275" s="507"/>
      <c r="F275" s="507"/>
      <c r="G275" s="507"/>
      <c r="H275" s="643"/>
      <c r="I275" s="556"/>
      <c r="J275" s="646"/>
      <c r="K275" s="535"/>
      <c r="M275" s="507"/>
      <c r="N275" s="507"/>
      <c r="O275" s="507"/>
      <c r="P275" s="507"/>
      <c r="Q275" s="507"/>
      <c r="R275" s="507"/>
      <c r="S275" s="507"/>
      <c r="T275" s="507"/>
      <c r="U275" s="507"/>
      <c r="V275" s="507"/>
      <c r="W275" s="507"/>
    </row>
    <row r="276" ht="35.25" customHeight="1">
      <c r="A276" s="18"/>
      <c r="B276" s="700" t="s">
        <v>768</v>
      </c>
      <c r="C276" s="598"/>
      <c r="D276" s="18"/>
      <c r="E276" s="507"/>
      <c r="F276" s="507"/>
      <c r="G276" s="507"/>
      <c r="H276" s="643"/>
      <c r="I276" s="556"/>
      <c r="J276" s="646"/>
      <c r="K276" s="535"/>
      <c r="M276" s="507"/>
      <c r="N276" s="507"/>
      <c r="O276" s="507"/>
      <c r="P276" s="507"/>
      <c r="Q276" s="507"/>
      <c r="R276" s="507"/>
      <c r="S276" s="507"/>
      <c r="T276" s="507"/>
      <c r="U276" s="507"/>
      <c r="V276" s="507"/>
      <c r="W276" s="507"/>
    </row>
    <row r="277" ht="35.25" customHeight="1">
      <c r="A277" s="618" t="s">
        <v>116</v>
      </c>
      <c r="B277" s="547" t="s">
        <v>770</v>
      </c>
      <c r="C277" s="620">
        <v>2.9915E7</v>
      </c>
      <c r="D277" s="618">
        <f>SUM(C277)</f>
        <v>29915000</v>
      </c>
      <c r="E277" s="507"/>
      <c r="F277" s="507"/>
      <c r="G277" s="507"/>
      <c r="H277" s="643"/>
      <c r="I277" s="648"/>
      <c r="J277" s="646"/>
      <c r="K277" s="644"/>
      <c r="M277" s="507"/>
      <c r="N277" s="507"/>
      <c r="O277" s="507"/>
      <c r="P277" s="507"/>
      <c r="Q277" s="507"/>
      <c r="R277" s="507"/>
      <c r="S277" s="507"/>
      <c r="T277" s="507"/>
      <c r="U277" s="507"/>
      <c r="V277" s="507"/>
      <c r="W277" s="507"/>
    </row>
    <row r="278" ht="35.25" customHeight="1">
      <c r="A278" s="18"/>
      <c r="B278" s="524" t="s">
        <v>766</v>
      </c>
      <c r="C278" s="617"/>
      <c r="D278" s="18"/>
      <c r="E278" s="507"/>
      <c r="F278" s="507"/>
      <c r="G278" s="507"/>
      <c r="H278" s="643"/>
      <c r="I278" s="649"/>
      <c r="J278" s="646"/>
      <c r="K278" s="507"/>
      <c r="M278" s="507"/>
      <c r="N278" s="507"/>
      <c r="O278" s="507"/>
      <c r="P278" s="507"/>
      <c r="Q278" s="507"/>
      <c r="R278" s="507"/>
      <c r="S278" s="507"/>
      <c r="T278" s="507"/>
      <c r="U278" s="507"/>
      <c r="V278" s="507"/>
      <c r="W278" s="507"/>
    </row>
    <row r="279" ht="35.25" customHeight="1">
      <c r="A279" s="18"/>
      <c r="B279" s="639" t="s">
        <v>767</v>
      </c>
      <c r="C279" s="617"/>
      <c r="D279" s="18"/>
      <c r="E279" s="556"/>
      <c r="F279" s="507"/>
      <c r="G279" s="507"/>
      <c r="H279" s="507"/>
      <c r="I279" s="507"/>
      <c r="J279" s="507"/>
      <c r="K279" s="507"/>
      <c r="L279" s="507"/>
      <c r="M279" s="507"/>
      <c r="N279" s="507"/>
      <c r="O279" s="507"/>
      <c r="P279" s="507"/>
      <c r="Q279" s="507"/>
      <c r="R279" s="507"/>
      <c r="S279" s="507"/>
      <c r="T279" s="507"/>
      <c r="U279" s="507"/>
      <c r="V279" s="507"/>
      <c r="W279" s="507"/>
    </row>
    <row r="280" ht="35.25" customHeight="1">
      <c r="A280" s="18"/>
      <c r="B280" s="639" t="s">
        <v>768</v>
      </c>
      <c r="C280" s="696"/>
      <c r="D280" s="18"/>
      <c r="E280" s="507"/>
      <c r="F280" s="507"/>
      <c r="G280" s="507"/>
      <c r="H280" s="507"/>
      <c r="I280" s="507"/>
      <c r="J280" s="507"/>
      <c r="K280" s="507"/>
      <c r="L280" s="507"/>
      <c r="M280" s="507"/>
      <c r="N280" s="507"/>
      <c r="O280" s="507"/>
      <c r="P280" s="507"/>
      <c r="Q280" s="507"/>
      <c r="R280" s="507"/>
      <c r="S280" s="507"/>
      <c r="T280" s="507"/>
      <c r="U280" s="507"/>
      <c r="V280" s="507"/>
      <c r="W280" s="507"/>
    </row>
    <row r="281" ht="35.25" customHeight="1">
      <c r="A281" s="18"/>
      <c r="B281" s="639" t="s">
        <v>769</v>
      </c>
      <c r="D281" s="18"/>
      <c r="E281" s="507"/>
      <c r="F281" s="507"/>
      <c r="G281" s="507"/>
      <c r="H281" s="507"/>
      <c r="I281" s="507"/>
      <c r="J281" s="507"/>
      <c r="K281" s="507"/>
      <c r="L281" s="507"/>
      <c r="M281" s="507"/>
      <c r="N281" s="507"/>
      <c r="O281" s="507"/>
      <c r="P281" s="507"/>
      <c r="Q281" s="507"/>
      <c r="R281" s="507"/>
      <c r="S281" s="507"/>
      <c r="T281" s="507"/>
      <c r="U281" s="507"/>
      <c r="V281" s="507"/>
      <c r="W281" s="507"/>
    </row>
    <row r="282" ht="35.25" customHeight="1">
      <c r="A282" s="618" t="s">
        <v>117</v>
      </c>
      <c r="B282" s="524" t="s">
        <v>766</v>
      </c>
      <c r="C282" s="622"/>
      <c r="D282" s="618">
        <f>SUM(C285:C286)</f>
        <v>0</v>
      </c>
      <c r="E282" s="507"/>
      <c r="F282" s="507"/>
      <c r="G282" s="507"/>
      <c r="H282" s="507"/>
      <c r="I282" s="507"/>
      <c r="J282" s="507"/>
      <c r="K282" s="507"/>
      <c r="L282" s="507"/>
      <c r="M282" s="507"/>
      <c r="N282" s="507"/>
      <c r="O282" s="507"/>
      <c r="P282" s="507"/>
      <c r="Q282" s="507"/>
      <c r="R282" s="507"/>
      <c r="S282" s="507"/>
      <c r="T282" s="507"/>
      <c r="U282" s="507"/>
      <c r="V282" s="507"/>
      <c r="W282" s="507"/>
    </row>
    <row r="283" ht="35.25" customHeight="1">
      <c r="A283" s="18"/>
      <c r="B283" s="639" t="s">
        <v>767</v>
      </c>
      <c r="C283" s="598"/>
      <c r="D283" s="18"/>
      <c r="E283" s="651"/>
      <c r="F283" s="507"/>
      <c r="G283" s="507"/>
      <c r="H283" s="507"/>
      <c r="I283" s="507"/>
      <c r="J283" s="507"/>
      <c r="K283" s="507"/>
      <c r="L283" s="507"/>
      <c r="M283" s="507"/>
      <c r="N283" s="507"/>
      <c r="O283" s="507"/>
      <c r="P283" s="507"/>
      <c r="Q283" s="507"/>
      <c r="R283" s="507"/>
      <c r="S283" s="507"/>
      <c r="T283" s="507"/>
      <c r="U283" s="507"/>
      <c r="V283" s="507"/>
      <c r="W283" s="507"/>
    </row>
    <row r="284" ht="35.25" customHeight="1">
      <c r="A284" s="18"/>
      <c r="B284" s="639" t="s">
        <v>768</v>
      </c>
      <c r="C284" s="598"/>
      <c r="D284" s="18"/>
      <c r="E284" s="556"/>
      <c r="F284" s="507"/>
      <c r="G284" s="507"/>
      <c r="H284" s="507"/>
      <c r="I284" s="507"/>
      <c r="J284" s="507"/>
      <c r="K284" s="507"/>
      <c r="L284" s="507"/>
      <c r="M284" s="507"/>
      <c r="N284" s="507"/>
      <c r="O284" s="507"/>
      <c r="P284" s="507"/>
      <c r="Q284" s="507"/>
      <c r="R284" s="507"/>
      <c r="S284" s="507"/>
      <c r="T284" s="507"/>
      <c r="U284" s="507"/>
      <c r="V284" s="507"/>
      <c r="W284" s="507"/>
    </row>
    <row r="285" ht="35.25" customHeight="1">
      <c r="A285" s="18"/>
      <c r="B285" s="639" t="s">
        <v>769</v>
      </c>
      <c r="C285" s="637"/>
      <c r="D285" s="18"/>
      <c r="E285" s="556"/>
      <c r="F285" s="507"/>
      <c r="G285" s="507"/>
      <c r="H285" s="507"/>
      <c r="I285" s="507"/>
      <c r="J285" s="507"/>
      <c r="K285" s="507"/>
      <c r="L285" s="507"/>
      <c r="M285" s="507"/>
      <c r="N285" s="507"/>
      <c r="O285" s="507"/>
      <c r="P285" s="507"/>
      <c r="Q285" s="507"/>
      <c r="R285" s="507"/>
      <c r="S285" s="507"/>
      <c r="T285" s="507"/>
      <c r="U285" s="507"/>
      <c r="V285" s="507"/>
      <c r="W285" s="507"/>
    </row>
    <row r="286" ht="35.25" customHeight="1">
      <c r="A286" s="18"/>
      <c r="C286" s="637"/>
      <c r="D286" s="18"/>
      <c r="E286" s="556"/>
      <c r="F286" s="507"/>
      <c r="G286" s="507"/>
      <c r="H286" s="507"/>
      <c r="I286" s="507"/>
      <c r="J286" s="507"/>
      <c r="K286" s="507"/>
      <c r="L286" s="507"/>
      <c r="M286" s="507"/>
      <c r="N286" s="507"/>
      <c r="O286" s="507"/>
      <c r="P286" s="507"/>
      <c r="Q286" s="507"/>
      <c r="R286" s="507"/>
      <c r="S286" s="507"/>
      <c r="T286" s="507"/>
      <c r="U286" s="507"/>
      <c r="V286" s="507"/>
      <c r="W286" s="507"/>
    </row>
    <row r="287" ht="35.25" customHeight="1">
      <c r="A287" s="618" t="s">
        <v>118</v>
      </c>
      <c r="B287" s="524" t="s">
        <v>766</v>
      </c>
      <c r="C287" s="625"/>
      <c r="D287" s="618">
        <f>sum(C290:C291)</f>
        <v>0</v>
      </c>
      <c r="E287" s="507"/>
      <c r="F287" s="507"/>
      <c r="G287" s="507"/>
      <c r="H287" s="507"/>
      <c r="I287" s="507"/>
      <c r="J287" s="507"/>
      <c r="K287" s="507"/>
      <c r="L287" s="507"/>
      <c r="M287" s="507"/>
      <c r="N287" s="507"/>
      <c r="O287" s="507"/>
      <c r="P287" s="507"/>
      <c r="Q287" s="507"/>
      <c r="R287" s="507"/>
      <c r="S287" s="507"/>
      <c r="T287" s="507"/>
      <c r="U287" s="507"/>
      <c r="V287" s="507"/>
      <c r="W287" s="507"/>
    </row>
    <row r="288" ht="35.25" customHeight="1">
      <c r="A288" s="18"/>
      <c r="B288" s="639" t="s">
        <v>767</v>
      </c>
      <c r="C288" s="625"/>
      <c r="D288" s="18"/>
      <c r="E288" s="556"/>
      <c r="F288" s="507"/>
      <c r="G288" s="507"/>
      <c r="H288" s="507"/>
      <c r="I288" s="507"/>
      <c r="J288" s="507"/>
      <c r="K288" s="507"/>
      <c r="L288" s="507"/>
      <c r="M288" s="507"/>
      <c r="N288" s="507"/>
      <c r="O288" s="507"/>
      <c r="P288" s="507"/>
      <c r="Q288" s="507"/>
      <c r="R288" s="507"/>
      <c r="S288" s="507"/>
      <c r="T288" s="507"/>
      <c r="U288" s="507"/>
      <c r="V288" s="507"/>
      <c r="W288" s="507"/>
    </row>
    <row r="289" ht="35.25" customHeight="1">
      <c r="A289" s="18"/>
      <c r="B289" s="639" t="s">
        <v>768</v>
      </c>
      <c r="C289" s="625"/>
      <c r="D289" s="18"/>
      <c r="E289" s="556"/>
      <c r="F289" s="507"/>
      <c r="G289" s="507"/>
      <c r="H289" s="507"/>
      <c r="I289" s="507"/>
      <c r="J289" s="507"/>
      <c r="K289" s="507"/>
      <c r="L289" s="507"/>
      <c r="M289" s="507"/>
      <c r="N289" s="507"/>
      <c r="O289" s="507"/>
      <c r="P289" s="507"/>
      <c r="Q289" s="507"/>
      <c r="R289" s="507"/>
      <c r="S289" s="507"/>
      <c r="T289" s="507"/>
      <c r="U289" s="507"/>
      <c r="V289" s="507"/>
      <c r="W289" s="507"/>
    </row>
    <row r="290" ht="35.25" customHeight="1">
      <c r="A290" s="18"/>
      <c r="B290" s="547" t="s">
        <v>769</v>
      </c>
      <c r="C290" s="625"/>
      <c r="D290" s="18"/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  <c r="O290" s="507"/>
      <c r="P290" s="507"/>
      <c r="Q290" s="507"/>
      <c r="R290" s="507"/>
      <c r="S290" s="507"/>
      <c r="T290" s="507"/>
      <c r="U290" s="507"/>
      <c r="V290" s="507"/>
      <c r="W290" s="507"/>
    </row>
    <row r="291" ht="35.25" customHeight="1">
      <c r="A291" s="18"/>
      <c r="C291" s="598"/>
      <c r="D291" s="18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7"/>
    </row>
    <row r="292" ht="35.25" customHeight="1">
      <c r="A292" s="618" t="s">
        <v>119</v>
      </c>
      <c r="B292" s="524" t="s">
        <v>770</v>
      </c>
      <c r="C292" s="598">
        <v>3.2185E7</v>
      </c>
      <c r="D292" s="618">
        <f>SUM(C292)</f>
        <v>32185000</v>
      </c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07"/>
      <c r="U292" s="507"/>
      <c r="V292" s="507"/>
      <c r="W292" s="507"/>
    </row>
    <row r="293" ht="35.25" customHeight="1">
      <c r="A293" s="18"/>
      <c r="B293" s="524" t="s">
        <v>766</v>
      </c>
      <c r="C293" s="627"/>
      <c r="D293" s="18"/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  <c r="O293" s="507"/>
      <c r="P293" s="507"/>
      <c r="Q293" s="507"/>
      <c r="R293" s="507"/>
      <c r="S293" s="507"/>
      <c r="T293" s="507"/>
      <c r="U293" s="507"/>
      <c r="V293" s="507"/>
      <c r="W293" s="507"/>
    </row>
    <row r="294" ht="35.25" customHeight="1">
      <c r="A294" s="18"/>
      <c r="B294" s="639" t="s">
        <v>767</v>
      </c>
      <c r="C294" s="627"/>
      <c r="D294" s="18"/>
      <c r="E294" s="507"/>
      <c r="F294" s="507"/>
      <c r="G294" s="507"/>
      <c r="H294" s="507"/>
      <c r="I294" s="507"/>
      <c r="J294" s="507"/>
      <c r="K294" s="507"/>
      <c r="L294" s="507"/>
      <c r="M294" s="507"/>
      <c r="N294" s="507"/>
      <c r="O294" s="507"/>
      <c r="P294" s="507"/>
      <c r="Q294" s="507"/>
      <c r="R294" s="507"/>
      <c r="S294" s="507"/>
      <c r="T294" s="507"/>
      <c r="U294" s="507"/>
      <c r="V294" s="507"/>
      <c r="W294" s="507"/>
    </row>
    <row r="295" ht="35.25" customHeight="1">
      <c r="A295" s="18"/>
      <c r="B295" s="639" t="s">
        <v>768</v>
      </c>
      <c r="D295" s="18"/>
      <c r="E295" s="556"/>
      <c r="F295" s="507"/>
      <c r="G295" s="507"/>
      <c r="H295" s="507"/>
      <c r="I295" s="507"/>
      <c r="J295" s="507"/>
      <c r="K295" s="507"/>
      <c r="L295" s="507"/>
      <c r="M295" s="507"/>
      <c r="N295" s="507"/>
      <c r="O295" s="507"/>
      <c r="P295" s="507"/>
      <c r="Q295" s="507"/>
      <c r="R295" s="507"/>
      <c r="S295" s="507"/>
      <c r="T295" s="507"/>
      <c r="U295" s="507"/>
      <c r="V295" s="507"/>
      <c r="W295" s="507"/>
    </row>
    <row r="296" ht="35.25" customHeight="1">
      <c r="A296" s="18"/>
      <c r="B296" s="547" t="s">
        <v>769</v>
      </c>
      <c r="C296" s="630"/>
      <c r="D296" s="18"/>
      <c r="E296" s="556"/>
      <c r="F296" s="507"/>
      <c r="G296" s="507"/>
      <c r="H296" s="507"/>
      <c r="I296" s="507"/>
      <c r="J296" s="507"/>
      <c r="K296" s="507"/>
      <c r="L296" s="507"/>
      <c r="M296" s="507"/>
      <c r="N296" s="507"/>
      <c r="O296" s="507"/>
      <c r="P296" s="507"/>
      <c r="Q296" s="507"/>
      <c r="R296" s="507"/>
      <c r="S296" s="507"/>
      <c r="T296" s="507"/>
      <c r="U296" s="507"/>
      <c r="V296" s="507"/>
      <c r="W296" s="507"/>
    </row>
    <row r="297" ht="35.25" customHeight="1">
      <c r="A297" s="618" t="s">
        <v>120</v>
      </c>
      <c r="B297" s="639" t="s">
        <v>766</v>
      </c>
      <c r="C297" s="622"/>
      <c r="D297" s="618">
        <f>SUM(C298)</f>
        <v>0</v>
      </c>
      <c r="E297" s="556" t="s">
        <v>778</v>
      </c>
      <c r="F297" s="507"/>
      <c r="G297" s="507"/>
      <c r="H297" s="507"/>
      <c r="I297" s="507"/>
      <c r="J297" s="507"/>
      <c r="K297" s="507"/>
      <c r="L297" s="507"/>
      <c r="M297" s="507"/>
      <c r="N297" s="507"/>
      <c r="O297" s="507"/>
      <c r="P297" s="507"/>
      <c r="Q297" s="507"/>
      <c r="R297" s="507"/>
      <c r="S297" s="507"/>
      <c r="T297" s="507"/>
      <c r="U297" s="507"/>
      <c r="V297" s="507"/>
      <c r="W297" s="507"/>
    </row>
    <row r="298" ht="35.25" customHeight="1">
      <c r="A298" s="18"/>
      <c r="B298" s="524" t="s">
        <v>767</v>
      </c>
      <c r="C298" s="617"/>
      <c r="D298" s="18"/>
      <c r="E298" s="556"/>
      <c r="F298" s="507"/>
      <c r="G298" s="507"/>
      <c r="H298" s="507"/>
      <c r="I298" s="507"/>
      <c r="J298" s="507"/>
      <c r="K298" s="507"/>
      <c r="L298" s="507"/>
      <c r="M298" s="507"/>
      <c r="N298" s="507"/>
      <c r="O298" s="507"/>
      <c r="P298" s="507"/>
      <c r="Q298" s="507"/>
      <c r="R298" s="507"/>
      <c r="S298" s="507"/>
      <c r="T298" s="507"/>
      <c r="U298" s="507"/>
      <c r="V298" s="507"/>
      <c r="W298" s="507"/>
    </row>
    <row r="299" ht="35.25" customHeight="1">
      <c r="A299" s="18"/>
      <c r="B299" s="636" t="s">
        <v>768</v>
      </c>
      <c r="C299" s="157"/>
      <c r="D299" s="18"/>
      <c r="E299" s="507"/>
      <c r="F299" s="507"/>
      <c r="G299" s="507"/>
      <c r="H299" s="507"/>
      <c r="I299" s="507"/>
      <c r="J299" s="507"/>
      <c r="K299" s="507"/>
      <c r="L299" s="507"/>
      <c r="M299" s="507"/>
      <c r="N299" s="507"/>
      <c r="O299" s="507"/>
      <c r="P299" s="507"/>
      <c r="Q299" s="507"/>
      <c r="R299" s="507"/>
      <c r="S299" s="507"/>
      <c r="T299" s="507"/>
      <c r="U299" s="507"/>
      <c r="V299" s="507"/>
      <c r="W299" s="507"/>
    </row>
    <row r="300" ht="35.25" customHeight="1">
      <c r="A300" s="18"/>
      <c r="B300" s="636" t="s">
        <v>769</v>
      </c>
      <c r="C300" s="157"/>
      <c r="D300" s="18"/>
      <c r="E300" s="556"/>
      <c r="F300" s="507"/>
      <c r="G300" s="507"/>
      <c r="H300" s="507"/>
      <c r="I300" s="507"/>
      <c r="J300" s="507"/>
      <c r="K300" s="507"/>
      <c r="L300" s="507"/>
      <c r="M300" s="507"/>
      <c r="N300" s="507"/>
      <c r="O300" s="507"/>
      <c r="P300" s="507"/>
      <c r="Q300" s="507"/>
      <c r="R300" s="507"/>
      <c r="S300" s="507"/>
      <c r="T300" s="507"/>
      <c r="U300" s="507"/>
      <c r="V300" s="507"/>
      <c r="W300" s="507"/>
    </row>
    <row r="301" ht="35.25" customHeight="1">
      <c r="A301" s="618" t="s">
        <v>121</v>
      </c>
      <c r="B301" s="547" t="s">
        <v>770</v>
      </c>
      <c r="C301" s="598"/>
      <c r="D301" s="618">
        <f>SUM(C302:C305)</f>
        <v>0</v>
      </c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  <c r="O301" s="507"/>
      <c r="P301" s="507"/>
      <c r="Q301" s="507"/>
      <c r="R301" s="507"/>
      <c r="S301" s="507"/>
      <c r="T301" s="507"/>
      <c r="U301" s="507"/>
      <c r="V301" s="507"/>
      <c r="W301" s="507"/>
    </row>
    <row r="302" ht="35.25" customHeight="1">
      <c r="A302" s="18"/>
      <c r="B302" s="524" t="s">
        <v>766</v>
      </c>
      <c r="C302" s="591"/>
      <c r="D302" s="18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  <c r="O302" s="507"/>
      <c r="P302" s="507"/>
      <c r="Q302" s="507"/>
      <c r="R302" s="507"/>
      <c r="S302" s="507"/>
      <c r="T302" s="507"/>
      <c r="U302" s="507"/>
      <c r="V302" s="507"/>
      <c r="W302" s="507"/>
    </row>
    <row r="303" ht="35.25" customHeight="1">
      <c r="A303" s="18"/>
      <c r="B303" s="639" t="s">
        <v>767</v>
      </c>
      <c r="C303" s="593"/>
      <c r="D303" s="18"/>
      <c r="E303" s="556"/>
      <c r="F303" s="507"/>
      <c r="G303" s="507"/>
      <c r="H303" s="507"/>
      <c r="I303" s="507"/>
      <c r="J303" s="507"/>
      <c r="K303" s="507"/>
      <c r="L303" s="507"/>
      <c r="M303" s="507"/>
      <c r="N303" s="507"/>
      <c r="O303" s="507"/>
      <c r="P303" s="507"/>
      <c r="Q303" s="507"/>
      <c r="R303" s="507"/>
      <c r="S303" s="507"/>
      <c r="T303" s="507"/>
      <c r="U303" s="507"/>
      <c r="V303" s="507"/>
      <c r="W303" s="507"/>
    </row>
    <row r="304" ht="35.25" customHeight="1">
      <c r="A304" s="18"/>
      <c r="B304" s="639" t="s">
        <v>768</v>
      </c>
      <c r="C304" s="637"/>
      <c r="D304" s="18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  <c r="O304" s="507"/>
      <c r="P304" s="507"/>
      <c r="Q304" s="507"/>
      <c r="R304" s="507"/>
      <c r="S304" s="507"/>
      <c r="T304" s="507"/>
      <c r="U304" s="507"/>
      <c r="V304" s="507"/>
      <c r="W304" s="507"/>
    </row>
    <row r="305" ht="35.25" customHeight="1">
      <c r="A305" s="18"/>
      <c r="B305" s="547" t="s">
        <v>769</v>
      </c>
      <c r="C305" s="637"/>
      <c r="D305" s="18"/>
      <c r="E305" s="507"/>
      <c r="F305" s="507"/>
      <c r="G305" s="507"/>
      <c r="H305" s="507"/>
      <c r="I305" s="507"/>
      <c r="J305" s="507"/>
      <c r="K305" s="507"/>
      <c r="L305" s="507"/>
      <c r="M305" s="507"/>
      <c r="N305" s="507"/>
      <c r="O305" s="507"/>
      <c r="P305" s="507"/>
      <c r="Q305" s="507"/>
      <c r="R305" s="507"/>
      <c r="S305" s="507"/>
      <c r="T305" s="507"/>
      <c r="U305" s="507"/>
      <c r="V305" s="507"/>
      <c r="W305" s="507"/>
    </row>
    <row r="306" ht="35.25" customHeight="1">
      <c r="A306" s="618" t="s">
        <v>122</v>
      </c>
      <c r="B306" s="547" t="s">
        <v>770</v>
      </c>
      <c r="C306" s="617">
        <v>2.129252E8</v>
      </c>
      <c r="D306" s="618">
        <f>SUM(C307:C310)</f>
        <v>0</v>
      </c>
      <c r="E306" s="556"/>
      <c r="F306" s="507"/>
      <c r="G306" s="507"/>
      <c r="H306" s="507"/>
      <c r="I306" s="507"/>
      <c r="J306" s="507"/>
      <c r="K306" s="507"/>
      <c r="L306" s="507"/>
      <c r="M306" s="507"/>
      <c r="N306" s="507"/>
      <c r="O306" s="507"/>
      <c r="P306" s="507"/>
      <c r="Q306" s="507"/>
      <c r="R306" s="507"/>
      <c r="S306" s="507"/>
      <c r="T306" s="507"/>
      <c r="U306" s="507"/>
      <c r="V306" s="507"/>
      <c r="W306" s="507"/>
    </row>
    <row r="307" ht="35.25" customHeight="1">
      <c r="A307" s="18"/>
      <c r="B307" s="524" t="s">
        <v>766</v>
      </c>
      <c r="C307" s="620"/>
      <c r="D307" s="18"/>
      <c r="E307" s="190"/>
      <c r="F307" s="507"/>
      <c r="G307" s="507"/>
      <c r="H307" s="507"/>
      <c r="I307" s="507"/>
      <c r="J307" s="507"/>
      <c r="K307" s="507"/>
      <c r="L307" s="507"/>
      <c r="M307" s="507"/>
      <c r="N307" s="507"/>
      <c r="O307" s="507"/>
      <c r="P307" s="507"/>
      <c r="Q307" s="507"/>
      <c r="R307" s="507"/>
      <c r="S307" s="507"/>
      <c r="T307" s="507"/>
      <c r="U307" s="507"/>
      <c r="V307" s="507"/>
      <c r="W307" s="507"/>
    </row>
    <row r="308" ht="35.25" customHeight="1">
      <c r="A308" s="18"/>
      <c r="B308" s="639" t="s">
        <v>767</v>
      </c>
      <c r="C308" s="622"/>
      <c r="D308" s="18"/>
      <c r="E308" s="556"/>
      <c r="F308" s="507"/>
      <c r="G308" s="507"/>
      <c r="H308" s="507"/>
      <c r="I308" s="507"/>
      <c r="J308" s="507"/>
      <c r="K308" s="507"/>
      <c r="L308" s="507"/>
      <c r="M308" s="507"/>
      <c r="N308" s="507"/>
      <c r="O308" s="507"/>
      <c r="P308" s="507"/>
      <c r="Q308" s="507"/>
      <c r="R308" s="507"/>
      <c r="S308" s="507"/>
      <c r="T308" s="507"/>
      <c r="U308" s="507"/>
      <c r="V308" s="507"/>
      <c r="W308" s="507"/>
    </row>
    <row r="309" ht="35.25" customHeight="1">
      <c r="A309" s="18"/>
      <c r="B309" s="639" t="s">
        <v>768</v>
      </c>
      <c r="C309" s="598"/>
      <c r="D309" s="18"/>
      <c r="E309" s="556" t="s">
        <v>690</v>
      </c>
      <c r="F309" s="507"/>
      <c r="G309" s="507"/>
      <c r="H309" s="507"/>
      <c r="I309" s="507"/>
      <c r="J309" s="507"/>
      <c r="K309" s="507"/>
      <c r="L309" s="507"/>
      <c r="M309" s="507"/>
      <c r="N309" s="507"/>
      <c r="O309" s="507"/>
      <c r="P309" s="507"/>
      <c r="Q309" s="507"/>
      <c r="R309" s="507"/>
      <c r="S309" s="507"/>
      <c r="T309" s="507"/>
      <c r="U309" s="507"/>
      <c r="V309" s="507"/>
      <c r="W309" s="507"/>
    </row>
    <row r="310" ht="35.25" customHeight="1">
      <c r="A310" s="18"/>
      <c r="B310" s="700" t="s">
        <v>769</v>
      </c>
      <c r="C310" s="620"/>
      <c r="D310" s="18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07"/>
      <c r="S310" s="507"/>
      <c r="T310" s="507"/>
      <c r="U310" s="507"/>
      <c r="V310" s="507"/>
      <c r="W310" s="507"/>
    </row>
    <row r="311" ht="35.25" customHeight="1">
      <c r="A311" s="653" t="s">
        <v>123</v>
      </c>
      <c r="B311" s="547" t="s">
        <v>76</v>
      </c>
      <c r="C311" s="598" t="s">
        <v>684</v>
      </c>
      <c r="D311" s="653">
        <f>SUM(C311:C315)</f>
        <v>40194200</v>
      </c>
      <c r="E311" s="701" t="s">
        <v>779</v>
      </c>
      <c r="F311" s="507"/>
      <c r="G311" s="507"/>
      <c r="H311" s="507"/>
      <c r="I311" s="507"/>
      <c r="J311" s="507"/>
      <c r="K311" s="507"/>
      <c r="L311" s="507"/>
      <c r="M311" s="507"/>
      <c r="N311" s="507"/>
      <c r="O311" s="507"/>
      <c r="P311" s="507"/>
      <c r="Q311" s="507"/>
      <c r="R311" s="507"/>
      <c r="S311" s="507"/>
      <c r="T311" s="507"/>
      <c r="U311" s="507"/>
      <c r="V311" s="507"/>
      <c r="W311" s="507"/>
    </row>
    <row r="312" ht="35.25" customHeight="1">
      <c r="A312" s="18"/>
      <c r="B312" s="547" t="s">
        <v>88</v>
      </c>
      <c r="C312" s="598" t="s">
        <v>684</v>
      </c>
      <c r="D312" s="18"/>
      <c r="E312" s="701"/>
      <c r="F312" s="507"/>
      <c r="G312" s="507"/>
      <c r="H312" s="507"/>
      <c r="I312" s="507"/>
      <c r="J312" s="507"/>
      <c r="K312" s="507"/>
      <c r="L312" s="507"/>
      <c r="M312" s="507"/>
      <c r="N312" s="507"/>
      <c r="O312" s="507"/>
      <c r="P312" s="507"/>
      <c r="Q312" s="507"/>
      <c r="R312" s="507"/>
      <c r="S312" s="507"/>
      <c r="T312" s="507"/>
      <c r="U312" s="507"/>
      <c r="V312" s="507"/>
      <c r="W312" s="507"/>
    </row>
    <row r="313" ht="35.25" customHeight="1">
      <c r="A313" s="18"/>
      <c r="B313" s="547" t="s">
        <v>219</v>
      </c>
      <c r="C313" s="598" t="s">
        <v>684</v>
      </c>
      <c r="D313" s="18"/>
      <c r="E313" s="701"/>
      <c r="F313" s="507"/>
      <c r="G313" s="507"/>
      <c r="H313" s="507"/>
      <c r="I313" s="507"/>
      <c r="J313" s="507"/>
      <c r="K313" s="507"/>
      <c r="L313" s="507"/>
      <c r="M313" s="507"/>
      <c r="N313" s="507"/>
      <c r="O313" s="507"/>
      <c r="P313" s="507"/>
      <c r="Q313" s="507"/>
      <c r="R313" s="507"/>
      <c r="S313" s="507"/>
      <c r="T313" s="507"/>
      <c r="U313" s="507"/>
      <c r="V313" s="507"/>
      <c r="W313" s="507"/>
    </row>
    <row r="314" ht="35.25" customHeight="1">
      <c r="A314" s="18"/>
      <c r="B314" s="547" t="s">
        <v>89</v>
      </c>
      <c r="C314" s="598">
        <v>1.9035E7</v>
      </c>
      <c r="D314" s="18"/>
      <c r="E314" s="701"/>
      <c r="F314" s="507"/>
      <c r="G314" s="507"/>
      <c r="H314" s="507"/>
      <c r="I314" s="507"/>
      <c r="J314" s="507"/>
      <c r="K314" s="507"/>
      <c r="L314" s="507"/>
      <c r="M314" s="507"/>
      <c r="N314" s="507"/>
      <c r="O314" s="507"/>
      <c r="P314" s="507"/>
      <c r="Q314" s="507"/>
      <c r="R314" s="507"/>
      <c r="S314" s="507"/>
      <c r="T314" s="507"/>
      <c r="U314" s="507"/>
      <c r="V314" s="507"/>
      <c r="W314" s="507"/>
    </row>
    <row r="315" ht="35.25" customHeight="1">
      <c r="A315" s="18"/>
      <c r="B315" s="547" t="s">
        <v>220</v>
      </c>
      <c r="C315" s="598">
        <v>2.11592E7</v>
      </c>
      <c r="D315" s="18"/>
      <c r="E315" s="701"/>
      <c r="F315" s="507"/>
      <c r="G315" s="507"/>
      <c r="H315" s="507"/>
      <c r="I315" s="507"/>
      <c r="J315" s="507"/>
      <c r="K315" s="507"/>
      <c r="L315" s="507"/>
      <c r="M315" s="507"/>
      <c r="N315" s="507"/>
      <c r="O315" s="507"/>
      <c r="P315" s="507"/>
      <c r="Q315" s="507"/>
      <c r="R315" s="507"/>
      <c r="S315" s="507"/>
      <c r="T315" s="507"/>
      <c r="U315" s="507"/>
      <c r="V315" s="507"/>
      <c r="W315" s="507"/>
    </row>
    <row r="316" ht="35.25" customHeight="1">
      <c r="A316" s="653" t="s">
        <v>124</v>
      </c>
      <c r="B316" s="547" t="s">
        <v>76</v>
      </c>
      <c r="C316" s="598">
        <v>2.05832E8</v>
      </c>
      <c r="D316" s="653">
        <f>SUM(C316:C320)</f>
        <v>358390500</v>
      </c>
      <c r="E316" s="701"/>
      <c r="F316" s="507"/>
      <c r="G316" s="507"/>
      <c r="H316" s="507"/>
      <c r="I316" s="525"/>
      <c r="J316" s="507"/>
      <c r="K316" s="507"/>
      <c r="L316" s="507"/>
      <c r="M316" s="507"/>
      <c r="N316" s="507"/>
      <c r="O316" s="507"/>
      <c r="P316" s="507"/>
      <c r="Q316" s="507"/>
      <c r="R316" s="507"/>
      <c r="S316" s="507"/>
      <c r="T316" s="507"/>
      <c r="U316" s="507"/>
      <c r="V316" s="507"/>
      <c r="W316" s="507"/>
    </row>
    <row r="317" ht="35.25" customHeight="1">
      <c r="A317" s="18"/>
      <c r="B317" s="547" t="s">
        <v>88</v>
      </c>
      <c r="C317" s="598">
        <v>5.3018E7</v>
      </c>
      <c r="D317" s="18"/>
      <c r="E317" s="701"/>
      <c r="F317" s="507"/>
      <c r="G317" s="507"/>
      <c r="H317" s="507"/>
      <c r="I317" s="507"/>
      <c r="J317" s="507"/>
      <c r="K317" s="507"/>
      <c r="L317" s="507"/>
      <c r="M317" s="507"/>
      <c r="N317" s="507"/>
      <c r="O317" s="507"/>
      <c r="P317" s="507"/>
      <c r="Q317" s="507"/>
      <c r="R317" s="507"/>
      <c r="S317" s="507"/>
      <c r="T317" s="507"/>
      <c r="U317" s="507"/>
      <c r="V317" s="507"/>
      <c r="W317" s="507"/>
    </row>
    <row r="318" ht="35.25" customHeight="1">
      <c r="A318" s="18"/>
      <c r="B318" s="547" t="s">
        <v>219</v>
      </c>
      <c r="C318" s="598">
        <v>3.4153E7</v>
      </c>
      <c r="D318" s="18"/>
      <c r="E318" s="701"/>
      <c r="F318" s="507"/>
      <c r="G318" s="507"/>
      <c r="H318" s="507"/>
      <c r="I318" s="507"/>
      <c r="J318" s="507"/>
      <c r="K318" s="507"/>
      <c r="L318" s="507"/>
      <c r="M318" s="507"/>
      <c r="N318" s="507"/>
      <c r="O318" s="507"/>
      <c r="P318" s="507"/>
      <c r="Q318" s="507"/>
      <c r="R318" s="507"/>
      <c r="S318" s="507"/>
      <c r="T318" s="507"/>
      <c r="U318" s="507"/>
      <c r="V318" s="507"/>
      <c r="W318" s="507"/>
    </row>
    <row r="319" ht="35.25" customHeight="1">
      <c r="A319" s="18"/>
      <c r="B319" s="547" t="s">
        <v>89</v>
      </c>
      <c r="C319" s="622">
        <v>2.92665E7</v>
      </c>
      <c r="D319" s="18"/>
      <c r="E319" s="701"/>
      <c r="F319" s="507"/>
      <c r="G319" s="507"/>
      <c r="H319" s="507"/>
      <c r="I319" s="507"/>
      <c r="J319" s="507"/>
      <c r="K319" s="507"/>
      <c r="L319" s="507"/>
      <c r="M319" s="507"/>
      <c r="N319" s="507"/>
      <c r="O319" s="507"/>
      <c r="P319" s="507"/>
      <c r="Q319" s="507"/>
      <c r="R319" s="507"/>
      <c r="S319" s="507"/>
      <c r="T319" s="507"/>
      <c r="U319" s="507"/>
      <c r="V319" s="507"/>
      <c r="W319" s="507"/>
    </row>
    <row r="320" ht="35.25" customHeight="1">
      <c r="A320" s="18"/>
      <c r="B320" s="547" t="s">
        <v>220</v>
      </c>
      <c r="C320" s="622">
        <v>3.6121E7</v>
      </c>
      <c r="D320" s="18"/>
      <c r="E320" s="701" t="s">
        <v>780</v>
      </c>
      <c r="F320" s="507"/>
      <c r="G320" s="507"/>
      <c r="H320" s="507"/>
      <c r="I320" s="507"/>
      <c r="J320" s="507"/>
      <c r="K320" s="507"/>
      <c r="L320" s="507"/>
      <c r="M320" s="507"/>
      <c r="N320" s="507"/>
      <c r="O320" s="507"/>
      <c r="P320" s="507"/>
      <c r="Q320" s="507"/>
      <c r="R320" s="507"/>
      <c r="S320" s="507"/>
      <c r="T320" s="507"/>
      <c r="U320" s="507"/>
      <c r="V320" s="507"/>
      <c r="W320" s="507"/>
    </row>
    <row r="321" ht="35.25" customHeight="1">
      <c r="A321" s="653" t="s">
        <v>126</v>
      </c>
      <c r="B321" s="547" t="s">
        <v>88</v>
      </c>
      <c r="C321" s="598" t="s">
        <v>684</v>
      </c>
      <c r="D321" s="653">
        <f>SUM(C321:C324)</f>
        <v>50408000</v>
      </c>
      <c r="E321" s="701"/>
      <c r="F321" s="507"/>
      <c r="G321" s="507"/>
      <c r="H321" s="507"/>
      <c r="I321" s="507"/>
      <c r="J321" s="507"/>
      <c r="K321" s="507"/>
      <c r="L321" s="507"/>
      <c r="M321" s="507"/>
      <c r="N321" s="507"/>
      <c r="O321" s="507"/>
      <c r="P321" s="507"/>
      <c r="Q321" s="507"/>
      <c r="R321" s="507"/>
      <c r="S321" s="507"/>
      <c r="T321" s="507"/>
      <c r="U321" s="507"/>
      <c r="V321" s="507"/>
      <c r="W321" s="507"/>
    </row>
    <row r="322" ht="35.25" customHeight="1">
      <c r="A322" s="18"/>
      <c r="B322" s="547" t="s">
        <v>219</v>
      </c>
      <c r="C322" s="598" t="s">
        <v>684</v>
      </c>
      <c r="D322" s="18"/>
      <c r="E322" s="701"/>
      <c r="F322" s="507"/>
      <c r="G322" s="507"/>
      <c r="H322" s="507"/>
      <c r="I322" s="507"/>
      <c r="J322" s="507"/>
      <c r="K322" s="507"/>
      <c r="L322" s="507"/>
      <c r="M322" s="507"/>
      <c r="N322" s="507"/>
      <c r="O322" s="507"/>
      <c r="P322" s="507"/>
      <c r="Q322" s="507"/>
      <c r="R322" s="507"/>
      <c r="S322" s="507"/>
      <c r="T322" s="507"/>
      <c r="U322" s="507"/>
      <c r="V322" s="507"/>
      <c r="W322" s="507"/>
    </row>
    <row r="323" ht="35.25" customHeight="1">
      <c r="A323" s="18"/>
      <c r="B323" s="547" t="s">
        <v>89</v>
      </c>
      <c r="C323" s="598" t="s">
        <v>684</v>
      </c>
      <c r="D323" s="18"/>
      <c r="E323" s="701"/>
      <c r="F323" s="507"/>
      <c r="G323" s="507"/>
      <c r="H323" s="507"/>
      <c r="I323" s="507"/>
      <c r="J323" s="507"/>
      <c r="K323" s="507"/>
      <c r="L323" s="507"/>
      <c r="M323" s="507"/>
      <c r="N323" s="507"/>
      <c r="O323" s="507"/>
      <c r="P323" s="507"/>
      <c r="Q323" s="507"/>
      <c r="R323" s="507"/>
      <c r="S323" s="507"/>
      <c r="T323" s="507"/>
      <c r="U323" s="507"/>
      <c r="V323" s="507"/>
      <c r="W323" s="507"/>
    </row>
    <row r="324" ht="35.25" customHeight="1">
      <c r="A324" s="18"/>
      <c r="B324" s="547" t="s">
        <v>220</v>
      </c>
      <c r="C324" s="598">
        <v>5.0408E7</v>
      </c>
      <c r="D324" s="18"/>
      <c r="E324" s="701"/>
      <c r="F324" s="507"/>
      <c r="G324" s="507"/>
      <c r="H324" s="507"/>
      <c r="I324" s="507"/>
      <c r="J324" s="507"/>
      <c r="K324" s="507"/>
      <c r="L324" s="507"/>
      <c r="M324" s="507"/>
      <c r="N324" s="507"/>
      <c r="O324" s="507"/>
      <c r="P324" s="507"/>
      <c r="Q324" s="507"/>
      <c r="R324" s="507"/>
      <c r="S324" s="507"/>
      <c r="T324" s="507"/>
      <c r="U324" s="507"/>
      <c r="V324" s="507"/>
      <c r="W324" s="507"/>
    </row>
    <row r="325" ht="35.25" customHeight="1">
      <c r="A325" s="653" t="s">
        <v>621</v>
      </c>
      <c r="B325" s="547" t="s">
        <v>76</v>
      </c>
      <c r="C325" s="598" t="s">
        <v>684</v>
      </c>
      <c r="D325" s="653">
        <f>SUM(C325:C329)</f>
        <v>20985500</v>
      </c>
      <c r="E325" s="701"/>
      <c r="F325" s="507"/>
      <c r="G325" s="507"/>
      <c r="H325" s="507"/>
      <c r="I325" s="507"/>
      <c r="J325" s="507"/>
      <c r="K325" s="507"/>
      <c r="L325" s="507"/>
      <c r="M325" s="507"/>
      <c r="N325" s="507"/>
      <c r="O325" s="507"/>
      <c r="P325" s="507"/>
      <c r="Q325" s="507"/>
      <c r="R325" s="507"/>
      <c r="S325" s="507"/>
      <c r="T325" s="507"/>
      <c r="U325" s="507"/>
      <c r="V325" s="507"/>
      <c r="W325" s="507"/>
    </row>
    <row r="326" ht="35.25" customHeight="1">
      <c r="A326" s="18"/>
      <c r="B326" s="547" t="s">
        <v>88</v>
      </c>
      <c r="C326" s="598" t="s">
        <v>684</v>
      </c>
      <c r="D326" s="18"/>
      <c r="E326" s="701"/>
      <c r="F326" s="507"/>
      <c r="G326" s="507"/>
      <c r="H326" s="507"/>
      <c r="I326" s="507"/>
      <c r="J326" s="507"/>
      <c r="K326" s="507"/>
      <c r="L326" s="507"/>
      <c r="M326" s="507"/>
      <c r="N326" s="507"/>
      <c r="O326" s="507"/>
      <c r="P326" s="507"/>
      <c r="Q326" s="507"/>
      <c r="R326" s="507"/>
      <c r="S326" s="507"/>
      <c r="T326" s="507"/>
      <c r="U326" s="507"/>
      <c r="V326" s="507"/>
      <c r="W326" s="507"/>
    </row>
    <row r="327" ht="35.25" customHeight="1">
      <c r="A327" s="18"/>
      <c r="B327" s="547" t="s">
        <v>219</v>
      </c>
      <c r="C327" s="598" t="s">
        <v>684</v>
      </c>
      <c r="D327" s="18"/>
      <c r="E327" s="701"/>
      <c r="F327" s="507"/>
      <c r="G327" s="507"/>
      <c r="H327" s="507"/>
      <c r="I327" s="507"/>
      <c r="J327" s="507"/>
      <c r="K327" s="507"/>
      <c r="L327" s="507"/>
      <c r="M327" s="507"/>
      <c r="N327" s="507"/>
      <c r="O327" s="507"/>
      <c r="P327" s="507"/>
      <c r="Q327" s="507"/>
      <c r="R327" s="507"/>
      <c r="S327" s="507"/>
      <c r="T327" s="507"/>
      <c r="U327" s="507"/>
      <c r="V327" s="507"/>
      <c r="W327" s="507"/>
    </row>
    <row r="328" ht="35.25" customHeight="1">
      <c r="A328" s="18"/>
      <c r="B328" s="547" t="s">
        <v>89</v>
      </c>
      <c r="C328" s="598" t="s">
        <v>684</v>
      </c>
      <c r="D328" s="18"/>
      <c r="E328" s="701"/>
      <c r="F328" s="507"/>
      <c r="G328" s="507"/>
      <c r="H328" s="507"/>
      <c r="I328" s="507"/>
      <c r="J328" s="507"/>
      <c r="K328" s="507"/>
      <c r="L328" s="507"/>
      <c r="M328" s="507"/>
      <c r="N328" s="507"/>
      <c r="O328" s="507"/>
      <c r="P328" s="507"/>
      <c r="Q328" s="507"/>
      <c r="R328" s="507"/>
      <c r="S328" s="507"/>
      <c r="T328" s="507"/>
      <c r="U328" s="507"/>
      <c r="V328" s="507"/>
      <c r="W328" s="507"/>
    </row>
    <row r="329" ht="35.25" customHeight="1">
      <c r="A329" s="18"/>
      <c r="B329" s="547" t="s">
        <v>220</v>
      </c>
      <c r="C329" s="622">
        <v>2.09855E7</v>
      </c>
      <c r="D329" s="18"/>
      <c r="E329" s="701" t="s">
        <v>781</v>
      </c>
      <c r="F329" s="507"/>
      <c r="G329" s="507"/>
      <c r="H329" s="507"/>
      <c r="I329" s="507"/>
      <c r="J329" s="507"/>
      <c r="K329" s="507"/>
      <c r="L329" s="507"/>
      <c r="M329" s="507"/>
      <c r="N329" s="507"/>
      <c r="O329" s="507"/>
      <c r="P329" s="507"/>
      <c r="Q329" s="507"/>
      <c r="R329" s="507"/>
      <c r="S329" s="507"/>
      <c r="T329" s="507"/>
      <c r="U329" s="507"/>
      <c r="V329" s="507"/>
      <c r="W329" s="507"/>
    </row>
    <row r="330" ht="35.25" customHeight="1">
      <c r="A330" s="653" t="s">
        <v>128</v>
      </c>
      <c r="B330" s="547" t="s">
        <v>76</v>
      </c>
      <c r="C330" s="622">
        <v>1.12547E8</v>
      </c>
      <c r="D330" s="653">
        <f>SUM(C330:C334)</f>
        <v>207729500</v>
      </c>
      <c r="E330" s="701"/>
      <c r="F330" s="507"/>
      <c r="G330" s="507"/>
      <c r="H330" s="507"/>
      <c r="I330" s="507"/>
      <c r="J330" s="507"/>
      <c r="K330" s="507"/>
      <c r="L330" s="507"/>
      <c r="M330" s="507"/>
      <c r="N330" s="507"/>
      <c r="O330" s="507"/>
      <c r="P330" s="507"/>
      <c r="Q330" s="507"/>
      <c r="R330" s="507"/>
      <c r="S330" s="507"/>
      <c r="T330" s="507"/>
      <c r="U330" s="507"/>
      <c r="V330" s="507"/>
      <c r="W330" s="507"/>
    </row>
    <row r="331" ht="35.25" customHeight="1">
      <c r="A331" s="18"/>
      <c r="B331" s="547" t="s">
        <v>88</v>
      </c>
      <c r="C331" s="622">
        <v>2.85925E7</v>
      </c>
      <c r="D331" s="18"/>
      <c r="E331" s="701"/>
      <c r="F331" s="507"/>
      <c r="G331" s="507"/>
      <c r="H331" s="507"/>
      <c r="I331" s="507"/>
      <c r="J331" s="507"/>
      <c r="K331" s="507"/>
      <c r="L331" s="507"/>
      <c r="M331" s="507"/>
      <c r="N331" s="507"/>
      <c r="O331" s="507"/>
      <c r="P331" s="507"/>
      <c r="Q331" s="507"/>
      <c r="R331" s="507"/>
      <c r="S331" s="507"/>
      <c r="T331" s="507"/>
      <c r="U331" s="507"/>
      <c r="V331" s="507"/>
      <c r="W331" s="507"/>
    </row>
    <row r="332" ht="35.25" customHeight="1">
      <c r="A332" s="18"/>
      <c r="B332" s="547" t="s">
        <v>219</v>
      </c>
      <c r="C332" s="598">
        <v>2.3756E7</v>
      </c>
      <c r="D332" s="18"/>
      <c r="E332" s="701"/>
      <c r="F332" s="507"/>
      <c r="G332" s="507"/>
      <c r="H332" s="507"/>
      <c r="I332" s="507"/>
      <c r="J332" s="507"/>
      <c r="K332" s="507"/>
      <c r="L332" s="507"/>
      <c r="M332" s="507"/>
      <c r="N332" s="507"/>
      <c r="O332" s="507"/>
      <c r="P332" s="507"/>
      <c r="Q332" s="507"/>
      <c r="R332" s="507"/>
      <c r="S332" s="507"/>
      <c r="T332" s="507"/>
      <c r="U332" s="507"/>
      <c r="V332" s="507"/>
      <c r="W332" s="507"/>
    </row>
    <row r="333" ht="35.25" customHeight="1">
      <c r="A333" s="18"/>
      <c r="B333" s="547" t="s">
        <v>89</v>
      </c>
      <c r="C333" s="622">
        <v>1.5208E7</v>
      </c>
      <c r="D333" s="18"/>
      <c r="E333" s="701"/>
      <c r="F333" s="507"/>
      <c r="G333" s="507"/>
      <c r="H333" s="507"/>
      <c r="I333" s="507"/>
      <c r="J333" s="507"/>
      <c r="K333" s="507"/>
      <c r="L333" s="507"/>
      <c r="M333" s="507"/>
      <c r="N333" s="507"/>
      <c r="O333" s="507"/>
      <c r="P333" s="507"/>
      <c r="Q333" s="507"/>
      <c r="R333" s="507"/>
      <c r="S333" s="507"/>
      <c r="T333" s="507"/>
      <c r="U333" s="507"/>
      <c r="V333" s="507"/>
      <c r="W333" s="507"/>
    </row>
    <row r="334" ht="35.25" customHeight="1">
      <c r="A334" s="18"/>
      <c r="B334" s="547" t="s">
        <v>220</v>
      </c>
      <c r="C334" s="622">
        <v>2.7626E7</v>
      </c>
      <c r="D334" s="18"/>
      <c r="E334" s="701"/>
      <c r="F334" s="507"/>
      <c r="G334" s="507"/>
      <c r="H334" s="507"/>
      <c r="I334" s="507"/>
      <c r="J334" s="507"/>
      <c r="K334" s="507"/>
      <c r="L334" s="507"/>
      <c r="M334" s="507"/>
      <c r="N334" s="507"/>
      <c r="O334" s="507"/>
      <c r="P334" s="507"/>
      <c r="Q334" s="507"/>
      <c r="R334" s="507"/>
      <c r="S334" s="507"/>
      <c r="T334" s="507"/>
      <c r="U334" s="507"/>
      <c r="V334" s="507"/>
      <c r="W334" s="507"/>
    </row>
    <row r="335" ht="35.25" customHeight="1">
      <c r="A335" s="653" t="s">
        <v>129</v>
      </c>
      <c r="B335" s="547" t="s">
        <v>88</v>
      </c>
      <c r="C335" s="598" t="s">
        <v>684</v>
      </c>
      <c r="D335" s="653">
        <f>SUM(C335:C338)</f>
        <v>43445000</v>
      </c>
      <c r="E335" s="701"/>
      <c r="F335" s="507"/>
      <c r="G335" s="507"/>
      <c r="H335" s="507"/>
      <c r="I335" s="507"/>
      <c r="J335" s="507"/>
      <c r="K335" s="507"/>
      <c r="L335" s="507"/>
      <c r="M335" s="507"/>
      <c r="N335" s="507"/>
      <c r="O335" s="507"/>
      <c r="P335" s="507"/>
      <c r="Q335" s="507"/>
      <c r="R335" s="507"/>
      <c r="S335" s="507"/>
      <c r="T335" s="507"/>
      <c r="U335" s="507"/>
      <c r="V335" s="507"/>
      <c r="W335" s="507"/>
    </row>
    <row r="336" ht="35.25" customHeight="1">
      <c r="A336" s="18"/>
      <c r="B336" s="547" t="s">
        <v>219</v>
      </c>
      <c r="C336" s="598" t="s">
        <v>684</v>
      </c>
      <c r="D336" s="18"/>
      <c r="E336" s="701"/>
      <c r="F336" s="507"/>
      <c r="G336" s="507"/>
      <c r="H336" s="507"/>
      <c r="I336" s="507"/>
      <c r="J336" s="507"/>
      <c r="K336" s="507"/>
      <c r="L336" s="654"/>
      <c r="M336" s="507"/>
      <c r="N336" s="507"/>
      <c r="O336" s="507"/>
      <c r="P336" s="507"/>
      <c r="Q336" s="507"/>
      <c r="R336" s="507"/>
      <c r="S336" s="507"/>
      <c r="T336" s="507"/>
      <c r="U336" s="507"/>
      <c r="V336" s="507"/>
      <c r="W336" s="507"/>
    </row>
    <row r="337" ht="35.25" customHeight="1">
      <c r="A337" s="18"/>
      <c r="B337" s="547" t="s">
        <v>89</v>
      </c>
      <c r="C337" s="598" t="s">
        <v>684</v>
      </c>
      <c r="D337" s="18"/>
      <c r="E337" s="701"/>
      <c r="F337" s="507"/>
      <c r="G337" s="507"/>
      <c r="H337" s="507"/>
      <c r="I337" s="507"/>
      <c r="J337" s="507"/>
      <c r="K337" s="507"/>
      <c r="L337" s="507"/>
      <c r="M337" s="507"/>
      <c r="N337" s="507"/>
      <c r="O337" s="507"/>
      <c r="P337" s="507"/>
      <c r="Q337" s="507"/>
      <c r="R337" s="507"/>
      <c r="S337" s="507"/>
      <c r="T337" s="507"/>
      <c r="U337" s="507"/>
      <c r="V337" s="507"/>
      <c r="W337" s="507"/>
    </row>
    <row r="338" ht="35.25" customHeight="1">
      <c r="A338" s="18"/>
      <c r="B338" s="547" t="s">
        <v>220</v>
      </c>
      <c r="C338" s="598">
        <v>4.3445E7</v>
      </c>
      <c r="D338" s="18"/>
      <c r="E338" s="701"/>
      <c r="F338" s="507"/>
      <c r="G338" s="507"/>
      <c r="H338" s="507"/>
      <c r="I338" s="507"/>
      <c r="J338" s="507"/>
      <c r="K338" s="507"/>
      <c r="L338" s="507"/>
      <c r="M338" s="507"/>
      <c r="N338" s="507"/>
      <c r="O338" s="507"/>
      <c r="P338" s="507"/>
      <c r="Q338" s="507"/>
      <c r="R338" s="507"/>
      <c r="S338" s="507"/>
      <c r="T338" s="507"/>
      <c r="U338" s="507"/>
      <c r="V338" s="507"/>
      <c r="W338" s="507"/>
    </row>
    <row r="339" ht="35.25" customHeight="1">
      <c r="A339" s="655" t="s">
        <v>131</v>
      </c>
      <c r="B339" s="547" t="s">
        <v>88</v>
      </c>
      <c r="C339" s="656" t="s">
        <v>684</v>
      </c>
      <c r="D339" s="657">
        <f>SUM(C339:C342)</f>
        <v>58482000</v>
      </c>
      <c r="E339" s="701"/>
      <c r="F339" s="507"/>
      <c r="G339" s="507"/>
      <c r="H339" s="507"/>
      <c r="I339" s="507"/>
      <c r="J339" s="507"/>
      <c r="K339" s="507"/>
      <c r="L339" s="507"/>
      <c r="M339" s="507"/>
      <c r="N339" s="507"/>
      <c r="O339" s="507"/>
      <c r="P339" s="507"/>
      <c r="Q339" s="507"/>
      <c r="R339" s="507"/>
      <c r="S339" s="507"/>
      <c r="T339" s="507"/>
      <c r="U339" s="507"/>
      <c r="V339" s="507"/>
      <c r="W339" s="507"/>
    </row>
    <row r="340" ht="35.25" customHeight="1">
      <c r="A340" s="18"/>
      <c r="B340" s="547" t="s">
        <v>219</v>
      </c>
      <c r="C340" s="656" t="s">
        <v>684</v>
      </c>
      <c r="D340" s="18"/>
      <c r="E340" s="701"/>
      <c r="F340" s="507"/>
      <c r="G340" s="507"/>
      <c r="H340" s="507"/>
      <c r="I340" s="507"/>
      <c r="J340" s="507"/>
      <c r="K340" s="507"/>
      <c r="L340" s="507"/>
      <c r="M340" s="507"/>
      <c r="N340" s="507"/>
      <c r="O340" s="507"/>
      <c r="P340" s="507"/>
      <c r="Q340" s="507"/>
      <c r="R340" s="507"/>
      <c r="S340" s="507"/>
      <c r="T340" s="507"/>
      <c r="U340" s="507"/>
      <c r="V340" s="507"/>
      <c r="W340" s="507"/>
    </row>
    <row r="341" ht="35.25" customHeight="1">
      <c r="A341" s="18"/>
      <c r="B341" s="547" t="s">
        <v>89</v>
      </c>
      <c r="C341" s="656" t="s">
        <v>684</v>
      </c>
      <c r="D341" s="18"/>
      <c r="E341" s="701"/>
      <c r="G341" s="507"/>
      <c r="H341" s="507"/>
      <c r="I341" s="507"/>
      <c r="J341" s="507"/>
      <c r="K341" s="507"/>
      <c r="L341" s="507"/>
      <c r="M341" s="507"/>
      <c r="N341" s="507"/>
      <c r="O341" s="507"/>
      <c r="P341" s="507"/>
      <c r="Q341" s="507"/>
      <c r="R341" s="507"/>
      <c r="S341" s="507"/>
      <c r="T341" s="507"/>
      <c r="U341" s="507"/>
      <c r="V341" s="507"/>
      <c r="W341" s="507"/>
    </row>
    <row r="342" ht="35.25" customHeight="1">
      <c r="A342" s="22"/>
      <c r="B342" s="547" t="s">
        <v>220</v>
      </c>
      <c r="C342" s="656">
        <v>5.8482E7</v>
      </c>
      <c r="D342" s="18"/>
      <c r="E342" s="701" t="s">
        <v>782</v>
      </c>
      <c r="G342" s="507"/>
      <c r="H342" s="507"/>
      <c r="I342" s="507"/>
      <c r="J342" s="507"/>
      <c r="K342" s="507"/>
      <c r="L342" s="507"/>
      <c r="M342" s="507"/>
      <c r="N342" s="507"/>
      <c r="O342" s="507"/>
      <c r="P342" s="507"/>
      <c r="Q342" s="507"/>
      <c r="R342" s="507"/>
      <c r="S342" s="507"/>
      <c r="T342" s="507"/>
      <c r="U342" s="507"/>
      <c r="V342" s="507"/>
      <c r="W342" s="507"/>
    </row>
    <row r="343" ht="35.25" customHeight="1">
      <c r="A343" s="655" t="s">
        <v>130</v>
      </c>
      <c r="B343" s="547" t="s">
        <v>76</v>
      </c>
      <c r="C343" s="659" t="s">
        <v>684</v>
      </c>
      <c r="D343" s="653">
        <f>SUM(C343:C347)</f>
        <v>52119800</v>
      </c>
      <c r="E343" s="701"/>
      <c r="F343" s="507"/>
      <c r="G343" s="507"/>
      <c r="H343" s="507"/>
      <c r="I343" s="507"/>
      <c r="J343" s="507"/>
      <c r="K343" s="507"/>
      <c r="L343" s="507"/>
      <c r="M343" s="507"/>
      <c r="N343" s="507"/>
      <c r="O343" s="507"/>
      <c r="P343" s="507"/>
      <c r="Q343" s="507"/>
      <c r="R343" s="507"/>
      <c r="S343" s="507"/>
      <c r="T343" s="507"/>
      <c r="U343" s="507"/>
      <c r="V343" s="507"/>
      <c r="W343" s="507"/>
    </row>
    <row r="344" ht="35.25" customHeight="1">
      <c r="A344" s="18"/>
      <c r="B344" s="547" t="s">
        <v>88</v>
      </c>
      <c r="C344" s="659" t="s">
        <v>684</v>
      </c>
      <c r="D344" s="18"/>
      <c r="E344" s="701"/>
      <c r="F344" s="507"/>
      <c r="G344" s="507"/>
      <c r="H344" s="507"/>
      <c r="I344" s="507"/>
      <c r="J344" s="507"/>
      <c r="K344" s="507"/>
      <c r="L344" s="507"/>
      <c r="M344" s="507"/>
      <c r="N344" s="507"/>
      <c r="O344" s="507"/>
      <c r="P344" s="507"/>
      <c r="Q344" s="507"/>
      <c r="R344" s="507"/>
      <c r="S344" s="507"/>
      <c r="T344" s="507"/>
      <c r="U344" s="507"/>
      <c r="V344" s="507"/>
      <c r="W344" s="507"/>
    </row>
    <row r="345" ht="35.25" customHeight="1">
      <c r="A345" s="18"/>
      <c r="B345" s="547" t="s">
        <v>219</v>
      </c>
      <c r="C345" s="659" t="s">
        <v>684</v>
      </c>
      <c r="D345" s="18"/>
      <c r="E345" s="701"/>
      <c r="F345" s="507"/>
      <c r="G345" s="507"/>
      <c r="H345" s="507"/>
      <c r="I345" s="507"/>
      <c r="J345" s="507"/>
      <c r="K345" s="507"/>
      <c r="L345" s="507"/>
      <c r="M345" s="507"/>
      <c r="N345" s="507"/>
      <c r="O345" s="507"/>
      <c r="P345" s="507"/>
      <c r="Q345" s="507"/>
      <c r="R345" s="507"/>
      <c r="S345" s="507"/>
      <c r="T345" s="507"/>
      <c r="U345" s="507"/>
      <c r="V345" s="507"/>
      <c r="W345" s="507"/>
    </row>
    <row r="346" ht="35.25" customHeight="1">
      <c r="A346" s="18"/>
      <c r="B346" s="547" t="s">
        <v>89</v>
      </c>
      <c r="C346" s="659">
        <v>2.74923E7</v>
      </c>
      <c r="D346" s="18"/>
      <c r="E346" s="701"/>
      <c r="F346" s="507"/>
      <c r="G346" s="556"/>
      <c r="H346" s="507"/>
      <c r="I346" s="507"/>
      <c r="J346" s="507"/>
      <c r="K346" s="507"/>
      <c r="L346" s="507"/>
      <c r="M346" s="507"/>
      <c r="N346" s="507"/>
      <c r="O346" s="507"/>
      <c r="P346" s="507"/>
      <c r="Q346" s="507"/>
      <c r="R346" s="507"/>
      <c r="S346" s="507"/>
      <c r="T346" s="507"/>
      <c r="U346" s="507"/>
      <c r="V346" s="507"/>
      <c r="W346" s="507"/>
    </row>
    <row r="347" ht="35.25" customHeight="1">
      <c r="A347" s="22"/>
      <c r="B347" s="547" t="s">
        <v>220</v>
      </c>
      <c r="C347" s="659">
        <v>2.46275E7</v>
      </c>
      <c r="D347" s="18"/>
      <c r="E347" s="701" t="s">
        <v>783</v>
      </c>
      <c r="F347" s="507"/>
      <c r="G347" s="556"/>
      <c r="H347" s="507"/>
      <c r="I347" s="507"/>
      <c r="J347" s="507"/>
      <c r="K347" s="507"/>
      <c r="L347" s="507"/>
      <c r="M347" s="507"/>
      <c r="N347" s="507"/>
      <c r="O347" s="507"/>
      <c r="P347" s="507"/>
      <c r="Q347" s="507"/>
      <c r="R347" s="507"/>
      <c r="S347" s="507"/>
      <c r="T347" s="507"/>
      <c r="U347" s="507"/>
      <c r="V347" s="507"/>
      <c r="W347" s="507"/>
    </row>
    <row r="348" ht="35.25" customHeight="1">
      <c r="A348" s="655" t="s">
        <v>136</v>
      </c>
      <c r="B348" s="547" t="s">
        <v>76</v>
      </c>
      <c r="C348" s="659" t="s">
        <v>684</v>
      </c>
      <c r="D348" s="657">
        <f>sum(C348:C352)</f>
        <v>144514500</v>
      </c>
      <c r="E348" s="701"/>
      <c r="F348" s="507"/>
      <c r="G348" s="507"/>
      <c r="H348" s="507"/>
      <c r="I348" s="507"/>
      <c r="J348" s="507"/>
      <c r="K348" s="507"/>
      <c r="L348" s="507"/>
      <c r="M348" s="507"/>
      <c r="N348" s="507"/>
      <c r="O348" s="507"/>
      <c r="P348" s="507"/>
      <c r="Q348" s="507"/>
      <c r="R348" s="507"/>
      <c r="S348" s="507"/>
      <c r="T348" s="507"/>
      <c r="U348" s="507"/>
      <c r="V348" s="507"/>
      <c r="W348" s="507"/>
    </row>
    <row r="349" ht="35.25" customHeight="1">
      <c r="A349" s="18"/>
      <c r="B349" s="547" t="s">
        <v>88</v>
      </c>
      <c r="C349" s="659">
        <f>SUM(27625000-4357500)</f>
        <v>23267500</v>
      </c>
      <c r="D349" s="18"/>
      <c r="E349" s="701"/>
      <c r="F349" s="507"/>
      <c r="G349" s="507"/>
      <c r="H349" s="507"/>
      <c r="I349" s="507"/>
      <c r="J349" s="507"/>
      <c r="K349" s="507"/>
      <c r="L349" s="507"/>
      <c r="M349" s="507"/>
      <c r="N349" s="507"/>
      <c r="O349" s="507"/>
      <c r="P349" s="507"/>
      <c r="Q349" s="507"/>
      <c r="R349" s="507"/>
      <c r="S349" s="507"/>
      <c r="T349" s="507"/>
      <c r="U349" s="507"/>
      <c r="V349" s="507"/>
      <c r="W349" s="507"/>
    </row>
    <row r="350" ht="35.25" customHeight="1">
      <c r="A350" s="18"/>
      <c r="B350" s="547" t="s">
        <v>219</v>
      </c>
      <c r="C350" s="659">
        <v>3.0336E7</v>
      </c>
      <c r="D350" s="18"/>
      <c r="E350" s="701"/>
      <c r="F350" s="507"/>
      <c r="G350" s="507"/>
      <c r="H350" s="507"/>
      <c r="I350" s="507"/>
      <c r="J350" s="507"/>
      <c r="K350" s="507"/>
      <c r="L350" s="507"/>
      <c r="M350" s="507"/>
      <c r="N350" s="507"/>
      <c r="O350" s="507"/>
      <c r="P350" s="507"/>
      <c r="Q350" s="507"/>
      <c r="R350" s="507"/>
      <c r="S350" s="507"/>
      <c r="T350" s="507"/>
      <c r="U350" s="507"/>
      <c r="V350" s="507"/>
      <c r="W350" s="507"/>
    </row>
    <row r="351" ht="35.25" customHeight="1">
      <c r="A351" s="18"/>
      <c r="B351" s="547" t="s">
        <v>89</v>
      </c>
      <c r="C351" s="659">
        <v>4.97225E7</v>
      </c>
      <c r="D351" s="18"/>
      <c r="E351" s="701"/>
      <c r="F351" s="507"/>
      <c r="G351" s="507"/>
      <c r="H351" s="507"/>
      <c r="I351" s="507"/>
      <c r="J351" s="507"/>
      <c r="K351" s="507"/>
      <c r="L351" s="507"/>
      <c r="M351" s="507"/>
      <c r="N351" s="507"/>
      <c r="O351" s="507"/>
      <c r="P351" s="507"/>
      <c r="Q351" s="507"/>
      <c r="R351" s="507"/>
      <c r="S351" s="507"/>
      <c r="T351" s="507"/>
      <c r="U351" s="507"/>
      <c r="V351" s="507"/>
      <c r="W351" s="507"/>
    </row>
    <row r="352" ht="35.25" customHeight="1">
      <c r="A352" s="22"/>
      <c r="B352" s="547" t="s">
        <v>220</v>
      </c>
      <c r="C352" s="659">
        <v>4.11885E7</v>
      </c>
      <c r="D352" s="22"/>
      <c r="E352" s="701" t="s">
        <v>784</v>
      </c>
      <c r="F352" s="507"/>
      <c r="G352" s="507"/>
      <c r="H352" s="507"/>
      <c r="I352" s="507"/>
      <c r="J352" s="507"/>
      <c r="K352" s="507"/>
      <c r="L352" s="507"/>
      <c r="M352" s="507"/>
      <c r="N352" s="507"/>
      <c r="O352" s="507"/>
      <c r="P352" s="507"/>
      <c r="Q352" s="507"/>
      <c r="R352" s="507"/>
      <c r="S352" s="507"/>
      <c r="T352" s="507"/>
      <c r="U352" s="507"/>
      <c r="V352" s="507"/>
      <c r="W352" s="507"/>
    </row>
    <row r="353" ht="35.25" customHeight="1">
      <c r="A353" s="655" t="s">
        <v>138</v>
      </c>
      <c r="B353" s="547" t="s">
        <v>74</v>
      </c>
      <c r="C353" s="656">
        <f>SUM(110787000-10107000-50000000)</f>
        <v>50680000</v>
      </c>
      <c r="D353" s="657">
        <f>sum(C353:C358)</f>
        <v>181755000</v>
      </c>
      <c r="E353" s="701"/>
      <c r="F353" s="507"/>
      <c r="G353" s="507"/>
      <c r="H353" s="507"/>
      <c r="I353" s="507"/>
      <c r="J353" s="507"/>
      <c r="K353" s="507"/>
      <c r="L353" s="507"/>
      <c r="M353" s="507"/>
      <c r="N353" s="507"/>
      <c r="O353" s="507"/>
      <c r="P353" s="507"/>
      <c r="Q353" s="507"/>
      <c r="R353" s="507"/>
      <c r="S353" s="507"/>
      <c r="T353" s="507"/>
      <c r="U353" s="507"/>
      <c r="V353" s="507"/>
      <c r="W353" s="507"/>
    </row>
    <row r="354" ht="35.25" customHeight="1">
      <c r="A354" s="18"/>
      <c r="B354" s="547" t="s">
        <v>76</v>
      </c>
      <c r="C354" s="656">
        <v>7.8181E7</v>
      </c>
      <c r="D354" s="18"/>
      <c r="E354" s="701"/>
      <c r="F354" s="507"/>
      <c r="G354" s="507"/>
      <c r="H354" s="507"/>
      <c r="I354" s="507"/>
      <c r="J354" s="507"/>
      <c r="K354" s="507"/>
      <c r="L354" s="507"/>
      <c r="M354" s="507"/>
      <c r="N354" s="507"/>
      <c r="O354" s="507"/>
      <c r="P354" s="507"/>
      <c r="Q354" s="507"/>
      <c r="R354" s="507"/>
      <c r="S354" s="507"/>
      <c r="T354" s="507"/>
      <c r="U354" s="507"/>
      <c r="V354" s="507"/>
      <c r="W354" s="507"/>
    </row>
    <row r="355" ht="35.25" customHeight="1">
      <c r="A355" s="18"/>
      <c r="B355" s="547" t="s">
        <v>88</v>
      </c>
      <c r="C355" s="656">
        <v>2.8085E7</v>
      </c>
      <c r="D355" s="18"/>
      <c r="E355" s="701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  <c r="T355" s="507"/>
      <c r="U355" s="507"/>
      <c r="V355" s="507"/>
      <c r="W355" s="507"/>
    </row>
    <row r="356" ht="35.25" customHeight="1">
      <c r="A356" s="18"/>
      <c r="B356" s="547" t="s">
        <v>219</v>
      </c>
      <c r="C356" s="656">
        <v>0.0</v>
      </c>
      <c r="D356" s="18"/>
      <c r="E356" s="701"/>
      <c r="F356" s="507"/>
      <c r="G356" s="507"/>
      <c r="H356" s="507"/>
      <c r="I356" s="507"/>
      <c r="J356" s="507"/>
      <c r="K356" s="507"/>
      <c r="L356" s="507"/>
      <c r="M356" s="507"/>
      <c r="N356" s="507"/>
      <c r="O356" s="507"/>
      <c r="P356" s="507"/>
      <c r="Q356" s="507"/>
      <c r="R356" s="507"/>
      <c r="S356" s="507"/>
      <c r="T356" s="507"/>
      <c r="U356" s="507"/>
      <c r="V356" s="507"/>
      <c r="W356" s="507"/>
    </row>
    <row r="357" ht="35.25" customHeight="1">
      <c r="A357" s="18"/>
      <c r="B357" s="547" t="s">
        <v>89</v>
      </c>
      <c r="C357" s="656">
        <v>2.4809E7</v>
      </c>
      <c r="D357" s="18"/>
      <c r="E357" s="701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07"/>
      <c r="W357" s="507"/>
    </row>
    <row r="358" ht="35.25" customHeight="1">
      <c r="A358" s="22"/>
      <c r="B358" s="547" t="s">
        <v>220</v>
      </c>
      <c r="C358" s="656"/>
      <c r="D358" s="18"/>
      <c r="E358" s="701" t="s">
        <v>785</v>
      </c>
      <c r="F358" s="507"/>
      <c r="G358" s="507"/>
      <c r="H358" s="507"/>
      <c r="I358" s="507"/>
      <c r="J358" s="507"/>
      <c r="K358" s="507"/>
      <c r="L358" s="507"/>
      <c r="M358" s="507"/>
      <c r="N358" s="507"/>
      <c r="O358" s="507"/>
      <c r="P358" s="507"/>
      <c r="Q358" s="507"/>
      <c r="R358" s="507"/>
      <c r="S358" s="507"/>
      <c r="T358" s="507"/>
      <c r="U358" s="507"/>
      <c r="V358" s="507"/>
      <c r="W358" s="507"/>
    </row>
    <row r="359" ht="35.25" customHeight="1">
      <c r="A359" s="655" t="s">
        <v>139</v>
      </c>
      <c r="B359" s="674">
        <v>45909.0</v>
      </c>
      <c r="C359" s="598">
        <v>2.3095E7</v>
      </c>
      <c r="D359" s="653">
        <f>SUM(C359:C364)</f>
        <v>111492500</v>
      </c>
      <c r="E359" s="701"/>
      <c r="F359" s="507"/>
      <c r="G359" s="507"/>
      <c r="H359" s="507"/>
      <c r="I359" s="507"/>
      <c r="J359" s="507"/>
      <c r="K359" s="507"/>
      <c r="L359" s="507"/>
      <c r="M359" s="507"/>
      <c r="N359" s="507"/>
      <c r="O359" s="507"/>
      <c r="P359" s="507"/>
      <c r="Q359" s="507"/>
      <c r="R359" s="507"/>
      <c r="S359" s="507"/>
      <c r="T359" s="507"/>
      <c r="U359" s="507"/>
      <c r="V359" s="507"/>
      <c r="W359" s="507"/>
    </row>
    <row r="360" ht="35.25" customHeight="1">
      <c r="A360" s="18"/>
      <c r="B360" s="674">
        <v>45916.0</v>
      </c>
      <c r="C360" s="598">
        <v>2.9375E7</v>
      </c>
      <c r="D360" s="18"/>
      <c r="E360" s="701" t="s">
        <v>342</v>
      </c>
      <c r="F360" s="507"/>
      <c r="G360" s="507"/>
      <c r="H360" s="507"/>
      <c r="I360" s="507"/>
      <c r="J360" s="507"/>
      <c r="K360" s="507"/>
      <c r="L360" s="507"/>
      <c r="M360" s="507"/>
      <c r="N360" s="507"/>
      <c r="O360" s="507"/>
      <c r="P360" s="507"/>
      <c r="Q360" s="507"/>
      <c r="R360" s="507"/>
      <c r="S360" s="507"/>
      <c r="T360" s="507"/>
      <c r="U360" s="507"/>
      <c r="V360" s="507"/>
      <c r="W360" s="507"/>
    </row>
    <row r="361" ht="35.25" customHeight="1">
      <c r="A361" s="18"/>
      <c r="B361" s="674">
        <v>45916.0</v>
      </c>
      <c r="C361" s="598">
        <v>1000000.0</v>
      </c>
      <c r="D361" s="18"/>
      <c r="E361" s="701"/>
      <c r="F361" s="507"/>
      <c r="G361" s="507"/>
      <c r="H361" s="507"/>
      <c r="I361" s="507"/>
      <c r="J361" s="507"/>
      <c r="K361" s="507"/>
      <c r="L361" s="507"/>
      <c r="M361" s="507"/>
      <c r="N361" s="507"/>
      <c r="O361" s="507"/>
      <c r="P361" s="507"/>
      <c r="Q361" s="507"/>
      <c r="R361" s="507"/>
      <c r="S361" s="507"/>
      <c r="T361" s="507"/>
      <c r="U361" s="507"/>
      <c r="V361" s="507"/>
      <c r="W361" s="507"/>
    </row>
    <row r="362" ht="35.25" customHeight="1">
      <c r="A362" s="18"/>
      <c r="B362" s="674">
        <v>45923.0</v>
      </c>
      <c r="C362" s="598">
        <v>3.17725E7</v>
      </c>
      <c r="D362" s="18"/>
      <c r="E362" s="701"/>
      <c r="F362" s="507"/>
      <c r="G362" s="507"/>
      <c r="H362" s="507"/>
      <c r="I362" s="507"/>
      <c r="J362" s="507"/>
      <c r="K362" s="507"/>
      <c r="L362" s="507"/>
      <c r="M362" s="507"/>
      <c r="N362" s="507"/>
      <c r="O362" s="507"/>
      <c r="P362" s="507"/>
      <c r="Q362" s="507"/>
      <c r="R362" s="507"/>
      <c r="S362" s="507"/>
      <c r="T362" s="507"/>
      <c r="U362" s="507"/>
      <c r="V362" s="507"/>
      <c r="W362" s="507"/>
    </row>
    <row r="363" ht="35.25" customHeight="1">
      <c r="A363" s="18"/>
      <c r="B363" s="674">
        <v>45930.0</v>
      </c>
      <c r="C363" s="598">
        <v>2.625E7</v>
      </c>
      <c r="D363" s="18"/>
      <c r="E363" s="701" t="s">
        <v>786</v>
      </c>
      <c r="F363" s="507"/>
      <c r="G363" s="507"/>
      <c r="H363" s="507"/>
      <c r="I363" s="507"/>
      <c r="J363" s="507"/>
      <c r="K363" s="507"/>
      <c r="L363" s="507"/>
      <c r="M363" s="507"/>
      <c r="N363" s="507"/>
      <c r="O363" s="507"/>
      <c r="P363" s="507"/>
      <c r="Q363" s="507"/>
      <c r="R363" s="507"/>
      <c r="S363" s="507"/>
      <c r="T363" s="507"/>
      <c r="U363" s="507"/>
      <c r="V363" s="507"/>
      <c r="W363" s="507"/>
    </row>
    <row r="364" ht="35.25" customHeight="1">
      <c r="A364" s="22"/>
      <c r="B364" s="674"/>
      <c r="C364" s="598"/>
      <c r="D364" s="22"/>
      <c r="E364" s="701"/>
      <c r="F364" s="507"/>
      <c r="G364" s="507"/>
      <c r="H364" s="507"/>
      <c r="I364" s="507"/>
      <c r="J364" s="507"/>
      <c r="K364" s="507"/>
      <c r="L364" s="507"/>
      <c r="M364" s="507"/>
      <c r="N364" s="507"/>
      <c r="O364" s="507"/>
      <c r="P364" s="507"/>
      <c r="Q364" s="507"/>
      <c r="R364" s="507"/>
      <c r="S364" s="507"/>
      <c r="T364" s="507"/>
      <c r="U364" s="507"/>
      <c r="V364" s="507"/>
      <c r="W364" s="507"/>
    </row>
    <row r="365" ht="35.25" customHeight="1">
      <c r="A365" s="663" t="s">
        <v>140</v>
      </c>
      <c r="B365" s="547" t="s">
        <v>76</v>
      </c>
      <c r="C365" s="656" t="s">
        <v>684</v>
      </c>
      <c r="D365" s="657">
        <f>sum(C365:C369)</f>
        <v>75178500</v>
      </c>
      <c r="E365" s="701"/>
      <c r="F365" s="507"/>
      <c r="G365" s="507"/>
      <c r="H365" s="507"/>
      <c r="I365" s="507"/>
      <c r="J365" s="507"/>
      <c r="K365" s="507"/>
      <c r="L365" s="507"/>
      <c r="M365" s="507"/>
      <c r="N365" s="507"/>
      <c r="O365" s="507"/>
      <c r="P365" s="507"/>
      <c r="Q365" s="507"/>
      <c r="R365" s="507"/>
      <c r="S365" s="507"/>
      <c r="T365" s="507"/>
      <c r="U365" s="507"/>
      <c r="V365" s="507"/>
      <c r="W365" s="507"/>
    </row>
    <row r="366" ht="35.25" customHeight="1">
      <c r="A366" s="18"/>
      <c r="B366" s="547" t="s">
        <v>88</v>
      </c>
      <c r="C366" s="656">
        <v>1.76105E7</v>
      </c>
      <c r="D366" s="18"/>
      <c r="E366" s="701"/>
      <c r="F366" s="507"/>
      <c r="G366" s="507"/>
      <c r="H366" s="507"/>
      <c r="I366" s="507"/>
      <c r="J366" s="507"/>
      <c r="K366" s="507"/>
      <c r="L366" s="507"/>
      <c r="M366" s="507"/>
      <c r="N366" s="507"/>
      <c r="O366" s="507"/>
      <c r="P366" s="507"/>
      <c r="Q366" s="507"/>
      <c r="R366" s="507"/>
      <c r="S366" s="507"/>
      <c r="T366" s="507"/>
      <c r="U366" s="507"/>
      <c r="V366" s="507"/>
      <c r="W366" s="507"/>
    </row>
    <row r="367" ht="35.25" customHeight="1">
      <c r="A367" s="18"/>
      <c r="B367" s="547" t="s">
        <v>219</v>
      </c>
      <c r="C367" s="656">
        <v>2.7815E7</v>
      </c>
      <c r="D367" s="18"/>
      <c r="E367" s="701"/>
      <c r="F367" s="507"/>
      <c r="G367" s="507"/>
      <c r="H367" s="507"/>
      <c r="I367" s="507"/>
      <c r="J367" s="507"/>
      <c r="K367" s="507"/>
      <c r="L367" s="507"/>
      <c r="M367" s="507"/>
      <c r="N367" s="507"/>
      <c r="O367" s="507"/>
      <c r="P367" s="507"/>
      <c r="Q367" s="507"/>
      <c r="R367" s="507"/>
      <c r="S367" s="507"/>
      <c r="T367" s="507"/>
      <c r="U367" s="507"/>
      <c r="V367" s="507"/>
      <c r="W367" s="507"/>
    </row>
    <row r="368" ht="35.25" customHeight="1">
      <c r="A368" s="18"/>
      <c r="B368" s="547" t="s">
        <v>89</v>
      </c>
      <c r="C368" s="656">
        <v>1.95685E7</v>
      </c>
      <c r="D368" s="18"/>
      <c r="E368" s="701"/>
      <c r="F368" s="507"/>
      <c r="G368" s="507"/>
      <c r="H368" s="507"/>
      <c r="I368" s="507"/>
      <c r="J368" s="507"/>
      <c r="K368" s="507"/>
      <c r="L368" s="507"/>
      <c r="M368" s="507"/>
      <c r="N368" s="507"/>
      <c r="O368" s="507"/>
      <c r="P368" s="507"/>
      <c r="Q368" s="507"/>
      <c r="R368" s="507"/>
      <c r="S368" s="507"/>
      <c r="T368" s="507"/>
      <c r="U368" s="507"/>
      <c r="V368" s="507"/>
      <c r="W368" s="507"/>
    </row>
    <row r="369" ht="35.25" customHeight="1">
      <c r="A369" s="22"/>
      <c r="B369" s="547" t="s">
        <v>220</v>
      </c>
      <c r="C369" s="656">
        <v>1.01845E7</v>
      </c>
      <c r="D369" s="22"/>
      <c r="E369" s="701"/>
      <c r="F369" s="507"/>
      <c r="G369" s="507"/>
      <c r="H369" s="507"/>
      <c r="I369" s="507"/>
      <c r="J369" s="507"/>
      <c r="K369" s="507"/>
      <c r="L369" s="507"/>
      <c r="M369" s="507"/>
      <c r="N369" s="507"/>
      <c r="O369" s="507"/>
      <c r="P369" s="507"/>
      <c r="Q369" s="507"/>
      <c r="R369" s="507"/>
      <c r="S369" s="507"/>
      <c r="T369" s="507"/>
      <c r="U369" s="507"/>
      <c r="V369" s="507"/>
      <c r="W369" s="507"/>
    </row>
    <row r="370" ht="35.25" customHeight="1">
      <c r="A370" s="663" t="s">
        <v>141</v>
      </c>
      <c r="B370" s="547" t="s">
        <v>76</v>
      </c>
      <c r="C370" s="622" t="s">
        <v>684</v>
      </c>
      <c r="D370" s="653">
        <f>SUM(C370:C374)</f>
        <v>32162000</v>
      </c>
      <c r="E370" s="701"/>
      <c r="F370" s="507"/>
      <c r="G370" s="507"/>
      <c r="H370" s="507"/>
      <c r="I370" s="507"/>
      <c r="J370" s="507"/>
      <c r="K370" s="507"/>
      <c r="L370" s="507"/>
      <c r="M370" s="507"/>
      <c r="N370" s="507"/>
      <c r="O370" s="507"/>
      <c r="P370" s="507"/>
      <c r="Q370" s="507"/>
      <c r="R370" s="507"/>
      <c r="S370" s="507"/>
      <c r="T370" s="507"/>
      <c r="U370" s="507"/>
      <c r="V370" s="507"/>
      <c r="W370" s="507"/>
    </row>
    <row r="371" ht="35.25" customHeight="1">
      <c r="A371" s="18"/>
      <c r="B371" s="547" t="s">
        <v>88</v>
      </c>
      <c r="C371" s="622" t="s">
        <v>684</v>
      </c>
      <c r="D371" s="18"/>
      <c r="E371" s="701"/>
      <c r="F371" s="507"/>
      <c r="G371" s="507"/>
      <c r="H371" s="507"/>
      <c r="I371" s="507"/>
      <c r="J371" s="507"/>
      <c r="K371" s="507"/>
      <c r="L371" s="507"/>
      <c r="M371" s="507"/>
      <c r="N371" s="507"/>
      <c r="O371" s="507"/>
      <c r="P371" s="507"/>
      <c r="Q371" s="507"/>
      <c r="R371" s="507"/>
      <c r="S371" s="507"/>
      <c r="T371" s="507"/>
      <c r="U371" s="507"/>
      <c r="V371" s="507"/>
      <c r="W371" s="507"/>
    </row>
    <row r="372" ht="35.25" customHeight="1">
      <c r="A372" s="18"/>
      <c r="B372" s="547" t="s">
        <v>219</v>
      </c>
      <c r="C372" s="622" t="s">
        <v>684</v>
      </c>
      <c r="D372" s="18"/>
      <c r="E372" s="701"/>
      <c r="F372" s="507"/>
      <c r="G372" s="507"/>
      <c r="H372" s="507"/>
      <c r="I372" s="507"/>
      <c r="J372" s="507"/>
      <c r="K372" s="507"/>
      <c r="L372" s="507"/>
      <c r="M372" s="507"/>
      <c r="N372" s="507"/>
      <c r="O372" s="507"/>
      <c r="P372" s="507"/>
      <c r="Q372" s="507"/>
      <c r="R372" s="507"/>
      <c r="S372" s="507"/>
      <c r="T372" s="507"/>
      <c r="U372" s="507"/>
      <c r="V372" s="507"/>
      <c r="W372" s="507"/>
    </row>
    <row r="373" ht="35.25" customHeight="1">
      <c r="A373" s="18"/>
      <c r="B373" s="547" t="s">
        <v>89</v>
      </c>
      <c r="C373" s="622" t="s">
        <v>684</v>
      </c>
      <c r="D373" s="18"/>
      <c r="E373" s="701"/>
      <c r="F373" s="507"/>
      <c r="G373" s="507"/>
      <c r="H373" s="507"/>
      <c r="I373" s="507"/>
      <c r="J373" s="507"/>
      <c r="K373" s="507"/>
      <c r="L373" s="507"/>
      <c r="M373" s="507"/>
      <c r="N373" s="507"/>
      <c r="O373" s="507"/>
      <c r="P373" s="507"/>
      <c r="Q373" s="507"/>
      <c r="R373" s="507"/>
      <c r="S373" s="507"/>
      <c r="T373" s="507"/>
      <c r="U373" s="507"/>
      <c r="V373" s="507"/>
      <c r="W373" s="507"/>
    </row>
    <row r="374" ht="35.25" customHeight="1">
      <c r="A374" s="22"/>
      <c r="B374" s="547" t="s">
        <v>220</v>
      </c>
      <c r="C374" s="622">
        <v>3.2162E7</v>
      </c>
      <c r="D374" s="22"/>
      <c r="E374" s="701"/>
      <c r="F374" s="507"/>
      <c r="G374" s="507"/>
      <c r="H374" s="507"/>
      <c r="I374" s="507"/>
      <c r="J374" s="507"/>
      <c r="K374" s="507"/>
      <c r="L374" s="507"/>
      <c r="M374" s="507"/>
      <c r="N374" s="507"/>
      <c r="O374" s="507"/>
      <c r="P374" s="507"/>
      <c r="Q374" s="507"/>
      <c r="R374" s="507"/>
      <c r="S374" s="507"/>
      <c r="T374" s="507"/>
      <c r="U374" s="507"/>
      <c r="V374" s="507"/>
      <c r="W374" s="507"/>
    </row>
    <row r="375" ht="35.25" customHeight="1">
      <c r="A375" s="655" t="s">
        <v>142</v>
      </c>
      <c r="B375" s="547" t="s">
        <v>76</v>
      </c>
      <c r="C375" s="659">
        <v>2.5114E8</v>
      </c>
      <c r="D375" s="657">
        <f>SUM(C375:C379)</f>
        <v>554366000</v>
      </c>
      <c r="E375" s="701"/>
      <c r="F375" s="507"/>
      <c r="G375" s="507"/>
      <c r="H375" s="507"/>
      <c r="I375" s="507"/>
      <c r="J375" s="507"/>
      <c r="K375" s="507"/>
      <c r="L375" s="507"/>
      <c r="M375" s="507"/>
      <c r="N375" s="507"/>
      <c r="O375" s="507"/>
      <c r="P375" s="507"/>
      <c r="Q375" s="507"/>
      <c r="R375" s="507"/>
      <c r="S375" s="507"/>
      <c r="T375" s="507"/>
      <c r="U375" s="507"/>
      <c r="V375" s="507"/>
      <c r="W375" s="507"/>
    </row>
    <row r="376" ht="35.25" customHeight="1">
      <c r="A376" s="18"/>
      <c r="B376" s="547" t="s">
        <v>88</v>
      </c>
      <c r="C376" s="659">
        <v>7.3933E7</v>
      </c>
      <c r="D376" s="18"/>
      <c r="E376" s="701"/>
      <c r="F376" s="507"/>
      <c r="G376" s="507"/>
      <c r="H376" s="507"/>
      <c r="I376" s="507"/>
      <c r="J376" s="507"/>
      <c r="K376" s="507"/>
      <c r="L376" s="507"/>
      <c r="M376" s="507"/>
      <c r="N376" s="507"/>
      <c r="O376" s="507"/>
      <c r="P376" s="507"/>
      <c r="Q376" s="507"/>
      <c r="R376" s="507"/>
      <c r="S376" s="507"/>
      <c r="T376" s="507"/>
      <c r="U376" s="507"/>
      <c r="V376" s="507"/>
      <c r="W376" s="507"/>
    </row>
    <row r="377" ht="35.25" customHeight="1">
      <c r="A377" s="18"/>
      <c r="B377" s="547" t="s">
        <v>219</v>
      </c>
      <c r="C377" s="659">
        <v>5.866E7</v>
      </c>
      <c r="D377" s="18"/>
      <c r="E377" s="701"/>
      <c r="F377" s="507"/>
      <c r="G377" s="507"/>
      <c r="H377" s="507"/>
      <c r="I377" s="507"/>
      <c r="J377" s="507"/>
      <c r="K377" s="507"/>
      <c r="L377" s="507"/>
      <c r="M377" s="507"/>
      <c r="N377" s="507"/>
      <c r="O377" s="507"/>
      <c r="P377" s="507"/>
      <c r="Q377" s="507"/>
      <c r="R377" s="507"/>
      <c r="S377" s="507"/>
      <c r="T377" s="507"/>
      <c r="U377" s="507"/>
      <c r="V377" s="507"/>
      <c r="W377" s="507"/>
    </row>
    <row r="378" ht="35.25" customHeight="1">
      <c r="A378" s="18"/>
      <c r="B378" s="547" t="s">
        <v>89</v>
      </c>
      <c r="C378" s="659">
        <v>5.9803E7</v>
      </c>
      <c r="D378" s="18"/>
      <c r="E378" s="701"/>
      <c r="F378" s="507"/>
      <c r="G378" s="507"/>
      <c r="H378" s="507"/>
      <c r="I378" s="507"/>
      <c r="J378" s="507"/>
      <c r="K378" s="507"/>
      <c r="L378" s="507"/>
      <c r="M378" s="507"/>
      <c r="N378" s="507"/>
      <c r="O378" s="507"/>
      <c r="P378" s="507"/>
      <c r="Q378" s="507"/>
      <c r="R378" s="507"/>
      <c r="S378" s="507"/>
      <c r="T378" s="507"/>
      <c r="U378" s="507"/>
      <c r="V378" s="507"/>
      <c r="W378" s="507"/>
    </row>
    <row r="379" ht="35.25" customHeight="1">
      <c r="A379" s="22"/>
      <c r="B379" s="547" t="s">
        <v>220</v>
      </c>
      <c r="C379" s="622">
        <v>1.1083E8</v>
      </c>
      <c r="D379" s="18"/>
      <c r="E379" s="701" t="s">
        <v>787</v>
      </c>
      <c r="F379" s="507"/>
      <c r="G379" s="507"/>
      <c r="H379" s="507"/>
      <c r="I379" s="507"/>
      <c r="J379" s="507"/>
      <c r="K379" s="507"/>
      <c r="L379" s="507"/>
      <c r="M379" s="507"/>
      <c r="N379" s="507"/>
      <c r="O379" s="507"/>
      <c r="P379" s="507"/>
      <c r="Q379" s="507"/>
      <c r="R379" s="507"/>
      <c r="S379" s="507"/>
      <c r="T379" s="507"/>
      <c r="U379" s="507"/>
      <c r="V379" s="507"/>
      <c r="W379" s="507"/>
    </row>
    <row r="380" ht="35.25" customHeight="1">
      <c r="A380" s="655" t="s">
        <v>143</v>
      </c>
      <c r="B380" s="547" t="s">
        <v>76</v>
      </c>
      <c r="C380" s="659">
        <v>3.1942E7</v>
      </c>
      <c r="D380" s="657">
        <f>SUM(C380:C384)</f>
        <v>142874000</v>
      </c>
      <c r="E380" s="701"/>
      <c r="F380" s="507"/>
      <c r="G380" s="507"/>
      <c r="H380" s="507"/>
      <c r="I380" s="507"/>
      <c r="J380" s="507"/>
      <c r="K380" s="507"/>
      <c r="L380" s="507"/>
      <c r="M380" s="507"/>
      <c r="N380" s="507"/>
      <c r="O380" s="507"/>
      <c r="P380" s="507"/>
      <c r="Q380" s="507"/>
      <c r="R380" s="507"/>
      <c r="S380" s="507"/>
      <c r="T380" s="507"/>
      <c r="U380" s="507"/>
      <c r="V380" s="507"/>
      <c r="W380" s="507"/>
    </row>
    <row r="381" ht="35.25" customHeight="1">
      <c r="A381" s="18"/>
      <c r="B381" s="547" t="s">
        <v>88</v>
      </c>
      <c r="C381" s="659">
        <v>3.7442E7</v>
      </c>
      <c r="D381" s="18"/>
      <c r="E381" s="701"/>
      <c r="F381" s="507"/>
      <c r="G381" s="507"/>
      <c r="H381" s="507"/>
      <c r="I381" s="557"/>
      <c r="J381" s="507"/>
      <c r="K381" s="507"/>
      <c r="L381" s="507"/>
      <c r="M381" s="507"/>
      <c r="N381" s="507"/>
      <c r="O381" s="507"/>
      <c r="P381" s="507"/>
      <c r="Q381" s="507"/>
      <c r="R381" s="507"/>
      <c r="S381" s="507"/>
      <c r="T381" s="507"/>
      <c r="U381" s="507"/>
      <c r="V381" s="507"/>
      <c r="W381" s="507"/>
    </row>
    <row r="382" ht="35.25" customHeight="1">
      <c r="A382" s="18"/>
      <c r="B382" s="547" t="s">
        <v>219</v>
      </c>
      <c r="C382" s="659">
        <v>2.6293E7</v>
      </c>
      <c r="D382" s="18"/>
      <c r="E382" s="701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07"/>
      <c r="R382" s="507"/>
      <c r="S382" s="507"/>
      <c r="T382" s="507"/>
      <c r="U382" s="507"/>
      <c r="V382" s="507"/>
      <c r="W382" s="507"/>
    </row>
    <row r="383" ht="35.25" customHeight="1">
      <c r="A383" s="18"/>
      <c r="B383" s="547" t="s">
        <v>89</v>
      </c>
      <c r="C383" s="659">
        <v>2.2552E7</v>
      </c>
      <c r="D383" s="18"/>
      <c r="E383" s="701" t="s">
        <v>788</v>
      </c>
      <c r="F383" s="507"/>
      <c r="G383" s="507"/>
      <c r="H383" s="507"/>
      <c r="I383" s="507"/>
      <c r="J383" s="507"/>
      <c r="K383" s="507"/>
      <c r="L383" s="507"/>
      <c r="M383" s="507"/>
      <c r="N383" s="507"/>
      <c r="O383" s="507"/>
      <c r="P383" s="507"/>
      <c r="Q383" s="507"/>
      <c r="R383" s="507"/>
      <c r="S383" s="507"/>
      <c r="T383" s="507"/>
      <c r="U383" s="507"/>
      <c r="V383" s="507"/>
      <c r="W383" s="507"/>
    </row>
    <row r="384" ht="35.25" customHeight="1">
      <c r="A384" s="22"/>
      <c r="B384" s="547" t="s">
        <v>220</v>
      </c>
      <c r="C384" s="659">
        <v>2.4645E7</v>
      </c>
      <c r="D384" s="18"/>
      <c r="E384" s="701" t="s">
        <v>789</v>
      </c>
      <c r="F384" s="507"/>
      <c r="G384" s="507"/>
      <c r="H384" s="507"/>
      <c r="I384" s="507"/>
      <c r="J384" s="507"/>
      <c r="K384" s="507"/>
      <c r="L384" s="507"/>
      <c r="M384" s="507"/>
      <c r="N384" s="507"/>
      <c r="O384" s="507"/>
      <c r="P384" s="507"/>
      <c r="Q384" s="507"/>
      <c r="R384" s="507"/>
      <c r="S384" s="507"/>
      <c r="T384" s="507"/>
      <c r="U384" s="507"/>
      <c r="V384" s="507"/>
      <c r="W384" s="507"/>
    </row>
    <row r="385" ht="35.25" customHeight="1">
      <c r="A385" s="655" t="s">
        <v>144</v>
      </c>
      <c r="B385" s="547" t="s">
        <v>76</v>
      </c>
      <c r="C385" s="656" t="s">
        <v>684</v>
      </c>
      <c r="D385" s="653">
        <f>SUM(C385:C388)</f>
        <v>80610000</v>
      </c>
      <c r="E385" s="701"/>
      <c r="F385" s="507"/>
      <c r="G385" s="507"/>
      <c r="H385" s="507"/>
      <c r="I385" s="507"/>
      <c r="J385" s="507"/>
      <c r="K385" s="507"/>
      <c r="L385" s="507"/>
      <c r="M385" s="507"/>
      <c r="N385" s="507"/>
      <c r="O385" s="507"/>
      <c r="P385" s="507"/>
      <c r="Q385" s="507"/>
      <c r="R385" s="507"/>
      <c r="S385" s="507"/>
      <c r="T385" s="507"/>
      <c r="U385" s="507"/>
      <c r="V385" s="507"/>
      <c r="W385" s="507"/>
    </row>
    <row r="386" ht="35.25" customHeight="1">
      <c r="A386" s="18"/>
      <c r="B386" s="547" t="s">
        <v>219</v>
      </c>
      <c r="C386" s="656" t="s">
        <v>684</v>
      </c>
      <c r="D386" s="18"/>
      <c r="E386" s="701"/>
      <c r="F386" s="507"/>
      <c r="G386" s="507"/>
      <c r="H386" s="507"/>
      <c r="I386" s="507"/>
      <c r="J386" s="507"/>
      <c r="K386" s="507"/>
      <c r="L386" s="507"/>
      <c r="M386" s="507"/>
      <c r="N386" s="507"/>
      <c r="O386" s="507"/>
      <c r="P386" s="507"/>
      <c r="Q386" s="507"/>
      <c r="R386" s="507"/>
      <c r="S386" s="507"/>
      <c r="T386" s="507"/>
      <c r="U386" s="507"/>
      <c r="V386" s="507"/>
      <c r="W386" s="507"/>
    </row>
    <row r="387" ht="35.25" customHeight="1">
      <c r="A387" s="18"/>
      <c r="B387" s="547" t="s">
        <v>89</v>
      </c>
      <c r="C387" s="598" t="s">
        <v>684</v>
      </c>
      <c r="D387" s="18"/>
      <c r="E387" s="701" t="s">
        <v>790</v>
      </c>
      <c r="F387" s="507"/>
      <c r="G387" s="507"/>
      <c r="H387" s="507"/>
      <c r="I387" s="507"/>
      <c r="J387" s="507"/>
      <c r="K387" s="507"/>
      <c r="L387" s="507"/>
      <c r="M387" s="507"/>
      <c r="N387" s="507"/>
      <c r="O387" s="507"/>
      <c r="P387" s="507"/>
      <c r="Q387" s="507"/>
      <c r="R387" s="507"/>
      <c r="S387" s="507"/>
      <c r="T387" s="507"/>
      <c r="U387" s="507"/>
      <c r="V387" s="507"/>
      <c r="W387" s="507"/>
    </row>
    <row r="388" ht="35.25" customHeight="1">
      <c r="A388" s="22"/>
      <c r="B388" s="547" t="s">
        <v>220</v>
      </c>
      <c r="C388" s="598">
        <v>8.061E7</v>
      </c>
      <c r="D388" s="22"/>
      <c r="E388" s="701"/>
      <c r="F388" s="507"/>
      <c r="G388" s="507"/>
      <c r="H388" s="507"/>
      <c r="I388" s="507"/>
      <c r="J388" s="507"/>
      <c r="K388" s="507"/>
      <c r="L388" s="507"/>
      <c r="M388" s="507"/>
      <c r="N388" s="507"/>
      <c r="O388" s="507"/>
      <c r="P388" s="507"/>
      <c r="Q388" s="507"/>
      <c r="R388" s="507"/>
      <c r="S388" s="507"/>
      <c r="T388" s="507"/>
      <c r="U388" s="507"/>
      <c r="V388" s="507"/>
      <c r="W388" s="507"/>
    </row>
    <row r="389" ht="35.25" customHeight="1">
      <c r="A389" s="655" t="s">
        <v>145</v>
      </c>
      <c r="B389" s="547" t="s">
        <v>88</v>
      </c>
      <c r="C389" s="656" t="s">
        <v>684</v>
      </c>
      <c r="D389" s="665">
        <f>SUM(C389:C392)</f>
        <v>31091700</v>
      </c>
      <c r="E389" s="701"/>
      <c r="F389" s="507"/>
      <c r="G389" s="507"/>
      <c r="H389" s="507"/>
      <c r="I389" s="507"/>
      <c r="J389" s="507"/>
      <c r="K389" s="507"/>
      <c r="L389" s="507"/>
      <c r="M389" s="507"/>
      <c r="N389" s="507"/>
      <c r="O389" s="507"/>
      <c r="P389" s="507"/>
      <c r="Q389" s="507"/>
      <c r="R389" s="507"/>
      <c r="S389" s="507"/>
      <c r="T389" s="507"/>
      <c r="U389" s="507"/>
      <c r="V389" s="507"/>
      <c r="W389" s="507"/>
    </row>
    <row r="390" ht="35.25" customHeight="1">
      <c r="A390" s="18"/>
      <c r="B390" s="547" t="s">
        <v>219</v>
      </c>
      <c r="C390" s="656" t="s">
        <v>684</v>
      </c>
      <c r="D390" s="18"/>
      <c r="E390" s="701"/>
      <c r="F390" s="507"/>
      <c r="G390" s="507"/>
      <c r="H390" s="507"/>
      <c r="I390" s="507"/>
      <c r="J390" s="507"/>
      <c r="K390" s="507"/>
      <c r="L390" s="507"/>
      <c r="M390" s="507"/>
      <c r="N390" s="507"/>
      <c r="O390" s="507"/>
      <c r="P390" s="507"/>
      <c r="Q390" s="507"/>
      <c r="R390" s="507"/>
      <c r="S390" s="507"/>
      <c r="T390" s="507"/>
      <c r="U390" s="507"/>
      <c r="V390" s="507"/>
      <c r="W390" s="507"/>
    </row>
    <row r="391" ht="35.25" customHeight="1">
      <c r="A391" s="18"/>
      <c r="B391" s="547" t="s">
        <v>89</v>
      </c>
      <c r="C391" s="656" t="s">
        <v>684</v>
      </c>
      <c r="D391" s="18"/>
      <c r="E391" s="701"/>
      <c r="F391" s="507"/>
      <c r="G391" s="507"/>
      <c r="H391" s="507"/>
      <c r="I391" s="507"/>
      <c r="J391" s="507"/>
      <c r="K391" s="507"/>
      <c r="L391" s="507"/>
      <c r="M391" s="507"/>
      <c r="N391" s="507"/>
      <c r="O391" s="507"/>
      <c r="P391" s="507"/>
      <c r="Q391" s="507"/>
      <c r="R391" s="507"/>
      <c r="S391" s="507"/>
      <c r="T391" s="507"/>
      <c r="U391" s="507"/>
      <c r="V391" s="507"/>
      <c r="W391" s="507"/>
    </row>
    <row r="392" ht="35.25" customHeight="1">
      <c r="A392" s="22"/>
      <c r="B392" s="547" t="s">
        <v>220</v>
      </c>
      <c r="C392" s="656">
        <v>3.10917E7</v>
      </c>
      <c r="D392" s="18"/>
      <c r="E392" s="701"/>
      <c r="F392" s="507"/>
      <c r="G392" s="507"/>
      <c r="H392" s="507"/>
      <c r="I392" s="507"/>
      <c r="J392" s="507"/>
      <c r="K392" s="507"/>
      <c r="L392" s="507"/>
      <c r="M392" s="507"/>
      <c r="N392" s="507"/>
      <c r="O392" s="507"/>
      <c r="P392" s="507"/>
      <c r="Q392" s="507"/>
      <c r="R392" s="507"/>
      <c r="S392" s="507"/>
      <c r="T392" s="507"/>
      <c r="U392" s="507"/>
      <c r="V392" s="507"/>
      <c r="W392" s="507"/>
    </row>
    <row r="393" ht="35.25" customHeight="1">
      <c r="A393" s="663" t="s">
        <v>146</v>
      </c>
      <c r="B393" s="547" t="s">
        <v>76</v>
      </c>
      <c r="C393" s="666" t="s">
        <v>684</v>
      </c>
      <c r="D393" s="667">
        <f>sum(C393:C397)</f>
        <v>244436500</v>
      </c>
      <c r="E393" s="701"/>
      <c r="F393" s="507"/>
      <c r="G393" s="507"/>
      <c r="H393" s="507"/>
      <c r="I393" s="507"/>
      <c r="J393" s="507"/>
      <c r="K393" s="507"/>
      <c r="L393" s="507"/>
      <c r="M393" s="507"/>
      <c r="N393" s="507"/>
      <c r="O393" s="507"/>
      <c r="P393" s="507"/>
      <c r="Q393" s="507"/>
      <c r="R393" s="507"/>
      <c r="S393" s="507"/>
      <c r="T393" s="507"/>
      <c r="U393" s="507"/>
      <c r="V393" s="507"/>
      <c r="W393" s="507"/>
    </row>
    <row r="394" ht="35.25" customHeight="1">
      <c r="A394" s="18"/>
      <c r="B394" s="547" t="s">
        <v>88</v>
      </c>
      <c r="C394" s="666">
        <f>SUM(111454000-703000)</f>
        <v>110751000</v>
      </c>
      <c r="D394" s="18"/>
      <c r="E394" s="701"/>
      <c r="F394" s="507"/>
      <c r="G394" s="507"/>
      <c r="H394" s="507"/>
      <c r="I394" s="507"/>
      <c r="J394" s="507"/>
      <c r="K394" s="507"/>
      <c r="L394" s="507"/>
      <c r="M394" s="507"/>
      <c r="N394" s="507"/>
      <c r="O394" s="507"/>
      <c r="P394" s="507"/>
      <c r="Q394" s="507"/>
      <c r="R394" s="507"/>
      <c r="S394" s="507"/>
      <c r="T394" s="507"/>
      <c r="U394" s="507"/>
      <c r="V394" s="507"/>
      <c r="W394" s="507"/>
    </row>
    <row r="395" ht="35.25" customHeight="1">
      <c r="A395" s="18"/>
      <c r="B395" s="547" t="s">
        <v>219</v>
      </c>
      <c r="C395" s="666">
        <v>1.9249E7</v>
      </c>
      <c r="D395" s="18"/>
      <c r="E395" s="701"/>
      <c r="F395" s="507"/>
      <c r="G395" s="507"/>
      <c r="H395" s="507"/>
      <c r="I395" s="507"/>
      <c r="J395" s="507"/>
      <c r="K395" s="507"/>
      <c r="L395" s="507"/>
      <c r="M395" s="507"/>
      <c r="N395" s="507"/>
      <c r="O395" s="507"/>
      <c r="P395" s="507"/>
      <c r="Q395" s="507"/>
      <c r="R395" s="507"/>
      <c r="S395" s="507"/>
      <c r="T395" s="507"/>
      <c r="U395" s="507"/>
      <c r="V395" s="507"/>
      <c r="W395" s="507"/>
    </row>
    <row r="396" ht="35.25" customHeight="1">
      <c r="A396" s="18"/>
      <c r="B396" s="547" t="s">
        <v>89</v>
      </c>
      <c r="C396" s="666">
        <v>6.88055E7</v>
      </c>
      <c r="D396" s="18"/>
      <c r="E396" s="701" t="s">
        <v>791</v>
      </c>
      <c r="F396" s="507"/>
      <c r="G396" s="507"/>
      <c r="H396" s="507"/>
      <c r="I396" s="507"/>
      <c r="J396" s="507"/>
      <c r="K396" s="507"/>
      <c r="L396" s="507"/>
      <c r="M396" s="507"/>
      <c r="N396" s="507"/>
      <c r="O396" s="507"/>
      <c r="P396" s="507"/>
      <c r="Q396" s="507"/>
      <c r="R396" s="507"/>
      <c r="S396" s="507"/>
      <c r="T396" s="507"/>
      <c r="U396" s="507"/>
      <c r="V396" s="507"/>
      <c r="W396" s="507"/>
    </row>
    <row r="397" ht="35.25" customHeight="1">
      <c r="A397" s="22"/>
      <c r="B397" s="547" t="s">
        <v>220</v>
      </c>
      <c r="C397" s="666">
        <v>4.5631E7</v>
      </c>
      <c r="D397" s="22"/>
      <c r="E397" s="701"/>
      <c r="F397" s="507"/>
      <c r="G397" s="507"/>
      <c r="H397" s="507"/>
      <c r="I397" s="507"/>
      <c r="J397" s="507"/>
      <c r="K397" s="507"/>
      <c r="L397" s="507"/>
      <c r="M397" s="507"/>
      <c r="N397" s="507"/>
      <c r="O397" s="507"/>
      <c r="P397" s="507"/>
      <c r="Q397" s="507"/>
      <c r="R397" s="507"/>
      <c r="S397" s="507"/>
      <c r="T397" s="507"/>
      <c r="U397" s="507"/>
      <c r="V397" s="507"/>
      <c r="W397" s="507"/>
    </row>
    <row r="398" ht="35.25" customHeight="1">
      <c r="A398" s="655" t="s">
        <v>148</v>
      </c>
      <c r="B398" s="547" t="s">
        <v>88</v>
      </c>
      <c r="C398" s="659" t="s">
        <v>684</v>
      </c>
      <c r="D398" s="653">
        <f>SUM(C398:C401)</f>
        <v>169006000</v>
      </c>
      <c r="E398" s="701"/>
      <c r="F398" s="507"/>
      <c r="G398" s="507"/>
      <c r="H398" s="507"/>
      <c r="I398" s="507"/>
      <c r="J398" s="507"/>
      <c r="K398" s="507"/>
      <c r="L398" s="507"/>
      <c r="M398" s="507"/>
      <c r="N398" s="507"/>
      <c r="O398" s="507"/>
      <c r="P398" s="507"/>
      <c r="Q398" s="507"/>
      <c r="R398" s="507"/>
      <c r="S398" s="507"/>
      <c r="T398" s="507"/>
      <c r="U398" s="507"/>
      <c r="V398" s="507"/>
      <c r="W398" s="507"/>
    </row>
    <row r="399" ht="35.25" customHeight="1">
      <c r="A399" s="18"/>
      <c r="B399" s="547" t="s">
        <v>219</v>
      </c>
      <c r="C399" s="659"/>
      <c r="D399" s="18"/>
      <c r="E399" s="701"/>
      <c r="F399" s="507"/>
      <c r="G399" s="507"/>
      <c r="H399" s="507"/>
      <c r="I399" s="507"/>
      <c r="J399" s="507"/>
      <c r="K399" s="507"/>
      <c r="L399" s="507"/>
      <c r="M399" s="507"/>
      <c r="N399" s="507"/>
      <c r="O399" s="507"/>
      <c r="P399" s="507"/>
      <c r="Q399" s="507"/>
      <c r="R399" s="507"/>
      <c r="S399" s="507"/>
      <c r="T399" s="507"/>
      <c r="U399" s="507"/>
      <c r="V399" s="507"/>
      <c r="W399" s="507"/>
    </row>
    <row r="400" ht="35.25" customHeight="1">
      <c r="A400" s="18"/>
      <c r="B400" s="547" t="s">
        <v>89</v>
      </c>
      <c r="C400" s="666">
        <v>1.69006E8</v>
      </c>
      <c r="D400" s="18"/>
      <c r="E400" s="701"/>
      <c r="F400" s="507"/>
      <c r="G400" s="507"/>
      <c r="H400" s="507"/>
      <c r="I400" s="507"/>
      <c r="J400" s="507"/>
      <c r="K400" s="507"/>
      <c r="L400" s="507"/>
      <c r="M400" s="507"/>
      <c r="N400" s="507"/>
      <c r="O400" s="507"/>
      <c r="P400" s="507"/>
      <c r="Q400" s="507"/>
      <c r="R400" s="507"/>
      <c r="S400" s="507"/>
      <c r="T400" s="507"/>
      <c r="U400" s="507"/>
      <c r="V400" s="507"/>
      <c r="W400" s="507"/>
    </row>
    <row r="401" ht="35.25" customHeight="1">
      <c r="A401" s="18"/>
      <c r="B401" s="547" t="s">
        <v>220</v>
      </c>
      <c r="C401" s="666">
        <v>0.0</v>
      </c>
      <c r="D401" s="18"/>
      <c r="E401" s="701"/>
      <c r="F401" s="507"/>
      <c r="G401" s="507"/>
      <c r="H401" s="507"/>
      <c r="I401" s="507"/>
      <c r="J401" s="507"/>
      <c r="K401" s="507"/>
      <c r="L401" s="507"/>
      <c r="M401" s="507"/>
      <c r="N401" s="507"/>
      <c r="O401" s="507"/>
      <c r="P401" s="507"/>
      <c r="Q401" s="507"/>
      <c r="R401" s="507"/>
      <c r="S401" s="507"/>
      <c r="T401" s="507"/>
      <c r="U401" s="507"/>
      <c r="V401" s="507"/>
      <c r="W401" s="507"/>
    </row>
    <row r="402" ht="35.25" customHeight="1">
      <c r="A402" s="655" t="s">
        <v>149</v>
      </c>
      <c r="B402" s="547" t="s">
        <v>73</v>
      </c>
      <c r="C402" s="656">
        <f>SUM(73410800-15738100-20000000)</f>
        <v>37672700</v>
      </c>
      <c r="D402" s="667">
        <f>SUM(C402:C408)</f>
        <v>245774100</v>
      </c>
      <c r="E402" s="701"/>
      <c r="F402" s="507"/>
      <c r="G402" s="662"/>
      <c r="H402" s="507"/>
      <c r="I402" s="507"/>
      <c r="J402" s="507"/>
      <c r="K402" s="507"/>
      <c r="L402" s="507"/>
      <c r="M402" s="507"/>
      <c r="N402" s="507"/>
      <c r="O402" s="507"/>
      <c r="P402" s="507"/>
      <c r="Q402" s="507"/>
      <c r="R402" s="507"/>
      <c r="S402" s="507"/>
      <c r="T402" s="507"/>
      <c r="U402" s="507"/>
      <c r="V402" s="507"/>
      <c r="W402" s="507"/>
    </row>
    <row r="403" ht="35.25" customHeight="1">
      <c r="A403" s="18"/>
      <c r="B403" s="547" t="s">
        <v>74</v>
      </c>
      <c r="C403" s="656">
        <v>4.85774E7</v>
      </c>
      <c r="D403" s="18"/>
      <c r="E403" s="701"/>
      <c r="F403" s="507"/>
      <c r="G403" s="507"/>
      <c r="H403" s="507"/>
      <c r="I403" s="507"/>
      <c r="J403" s="507"/>
      <c r="K403" s="507"/>
      <c r="L403" s="507"/>
      <c r="M403" s="507"/>
      <c r="N403" s="507"/>
      <c r="O403" s="507"/>
      <c r="P403" s="507"/>
      <c r="Q403" s="507"/>
      <c r="R403" s="507"/>
      <c r="S403" s="507"/>
      <c r="T403" s="507"/>
      <c r="U403" s="507"/>
      <c r="V403" s="507"/>
      <c r="W403" s="507"/>
    </row>
    <row r="404" ht="35.25" customHeight="1">
      <c r="A404" s="18"/>
      <c r="B404" s="547" t="s">
        <v>76</v>
      </c>
      <c r="C404" s="656">
        <v>6.51574E7</v>
      </c>
      <c r="D404" s="18"/>
      <c r="E404" s="701"/>
      <c r="F404" s="507"/>
      <c r="G404" s="507"/>
      <c r="H404" s="507"/>
      <c r="I404" s="507"/>
      <c r="J404" s="507"/>
      <c r="K404" s="507"/>
      <c r="L404" s="507"/>
      <c r="M404" s="507"/>
      <c r="N404" s="507"/>
      <c r="O404" s="507"/>
      <c r="P404" s="507"/>
      <c r="Q404" s="507"/>
      <c r="R404" s="507"/>
      <c r="S404" s="507"/>
      <c r="T404" s="507"/>
      <c r="U404" s="507"/>
      <c r="V404" s="507"/>
      <c r="W404" s="507"/>
    </row>
    <row r="405" ht="35.25" customHeight="1">
      <c r="A405" s="18"/>
      <c r="B405" s="547" t="s">
        <v>88</v>
      </c>
      <c r="C405" s="656">
        <v>2.14663E7</v>
      </c>
      <c r="D405" s="18"/>
      <c r="E405" s="701"/>
      <c r="F405" s="507"/>
      <c r="G405" s="507"/>
      <c r="H405" s="507"/>
      <c r="I405" s="507"/>
      <c r="J405" s="507"/>
      <c r="K405" s="507"/>
      <c r="L405" s="507"/>
      <c r="M405" s="507"/>
      <c r="N405" s="507"/>
      <c r="O405" s="507"/>
      <c r="P405" s="507"/>
      <c r="Q405" s="507"/>
      <c r="R405" s="507"/>
      <c r="S405" s="507"/>
      <c r="T405" s="507"/>
      <c r="U405" s="507"/>
      <c r="V405" s="507"/>
      <c r="W405" s="507"/>
    </row>
    <row r="406" ht="35.25" customHeight="1">
      <c r="A406" s="18"/>
      <c r="B406" s="547" t="s">
        <v>219</v>
      </c>
      <c r="C406" s="656">
        <v>2.27763E7</v>
      </c>
      <c r="D406" s="18"/>
      <c r="E406" s="701"/>
      <c r="F406" s="507"/>
      <c r="G406" s="507"/>
      <c r="H406" s="507"/>
      <c r="I406" s="507"/>
      <c r="J406" s="507"/>
      <c r="K406" s="507"/>
      <c r="L406" s="507"/>
      <c r="M406" s="507"/>
      <c r="N406" s="507"/>
      <c r="O406" s="507"/>
      <c r="P406" s="507"/>
      <c r="Q406" s="507"/>
      <c r="R406" s="507"/>
      <c r="S406" s="507"/>
      <c r="T406" s="507"/>
      <c r="U406" s="507"/>
      <c r="V406" s="507"/>
      <c r="W406" s="507"/>
    </row>
    <row r="407" ht="35.25" customHeight="1">
      <c r="A407" s="18"/>
      <c r="B407" s="547" t="s">
        <v>89</v>
      </c>
      <c r="C407" s="656">
        <v>1.6085E7</v>
      </c>
      <c r="D407" s="18"/>
      <c r="E407" s="701"/>
      <c r="F407" s="507"/>
      <c r="G407" s="507"/>
      <c r="H407" s="507"/>
      <c r="I407" s="507"/>
      <c r="J407" s="507"/>
      <c r="K407" s="507"/>
      <c r="L407" s="507"/>
      <c r="M407" s="507"/>
      <c r="N407" s="507"/>
      <c r="O407" s="507"/>
      <c r="P407" s="507"/>
      <c r="Q407" s="507"/>
      <c r="R407" s="507"/>
      <c r="S407" s="507"/>
      <c r="T407" s="507"/>
      <c r="U407" s="507"/>
      <c r="V407" s="507"/>
      <c r="W407" s="507"/>
    </row>
    <row r="408" ht="35.25" customHeight="1">
      <c r="A408" s="22"/>
      <c r="B408" s="547" t="s">
        <v>220</v>
      </c>
      <c r="C408" s="666">
        <v>3.4039E7</v>
      </c>
      <c r="D408" s="22"/>
      <c r="E408" s="701"/>
      <c r="F408" s="507"/>
      <c r="G408" s="507"/>
      <c r="H408" s="507"/>
      <c r="I408" s="507"/>
      <c r="J408" s="507"/>
      <c r="K408" s="507"/>
      <c r="L408" s="507"/>
      <c r="M408" s="507"/>
      <c r="N408" s="507"/>
      <c r="O408" s="507"/>
      <c r="P408" s="507"/>
      <c r="Q408" s="507"/>
      <c r="R408" s="507"/>
      <c r="S408" s="507"/>
      <c r="T408" s="507"/>
      <c r="U408" s="507"/>
      <c r="V408" s="507"/>
      <c r="W408" s="507"/>
    </row>
    <row r="409" ht="35.25" customHeight="1">
      <c r="A409" s="655" t="s">
        <v>150</v>
      </c>
      <c r="B409" s="547" t="s">
        <v>88</v>
      </c>
      <c r="C409" s="659" t="s">
        <v>684</v>
      </c>
      <c r="D409" s="665">
        <f>SUM(C409:C412)</f>
        <v>88904000</v>
      </c>
      <c r="E409" s="701"/>
      <c r="F409" s="507"/>
      <c r="G409" s="507"/>
      <c r="H409" s="507"/>
      <c r="I409" s="507"/>
      <c r="J409" s="507"/>
      <c r="K409" s="507"/>
      <c r="L409" s="507"/>
      <c r="M409" s="507"/>
      <c r="N409" s="507"/>
      <c r="O409" s="507"/>
      <c r="P409" s="507"/>
      <c r="Q409" s="507"/>
      <c r="R409" s="507"/>
      <c r="S409" s="507"/>
      <c r="T409" s="507"/>
      <c r="U409" s="507"/>
      <c r="V409" s="507"/>
      <c r="W409" s="507"/>
    </row>
    <row r="410" ht="35.25" customHeight="1">
      <c r="A410" s="18"/>
      <c r="B410" s="547" t="s">
        <v>219</v>
      </c>
      <c r="C410" s="659" t="s">
        <v>684</v>
      </c>
      <c r="D410" s="18"/>
      <c r="E410" s="701"/>
      <c r="F410" s="507"/>
      <c r="G410" s="507"/>
      <c r="H410" s="507"/>
      <c r="I410" s="507"/>
      <c r="J410" s="507"/>
      <c r="K410" s="507"/>
      <c r="L410" s="507"/>
      <c r="M410" s="507"/>
      <c r="N410" s="507"/>
      <c r="O410" s="507"/>
      <c r="P410" s="507"/>
      <c r="Q410" s="507"/>
      <c r="R410" s="507"/>
      <c r="S410" s="507"/>
      <c r="T410" s="507"/>
      <c r="U410" s="507"/>
      <c r="V410" s="507"/>
      <c r="W410" s="507"/>
    </row>
    <row r="411" ht="35.25" customHeight="1">
      <c r="A411" s="18"/>
      <c r="B411" s="547" t="s">
        <v>89</v>
      </c>
      <c r="C411" s="659">
        <v>4.45635E7</v>
      </c>
      <c r="D411" s="18"/>
      <c r="E411" s="701"/>
      <c r="F411" s="507"/>
      <c r="G411" s="507"/>
      <c r="H411" s="507"/>
      <c r="I411" s="507"/>
      <c r="J411" s="507"/>
      <c r="K411" s="507"/>
      <c r="L411" s="507"/>
      <c r="M411" s="507"/>
      <c r="N411" s="507"/>
      <c r="O411" s="507"/>
      <c r="P411" s="507"/>
      <c r="Q411" s="507"/>
      <c r="R411" s="507"/>
      <c r="S411" s="507"/>
      <c r="T411" s="507"/>
      <c r="U411" s="507"/>
      <c r="V411" s="507"/>
      <c r="W411" s="507"/>
    </row>
    <row r="412" ht="35.25" customHeight="1">
      <c r="A412" s="22"/>
      <c r="B412" s="547" t="s">
        <v>220</v>
      </c>
      <c r="C412" s="659">
        <v>4.43405E7</v>
      </c>
      <c r="D412" s="22"/>
      <c r="E412" s="701"/>
      <c r="F412" s="507"/>
      <c r="G412" s="507"/>
      <c r="H412" s="507"/>
      <c r="I412" s="507"/>
      <c r="J412" s="507"/>
      <c r="K412" s="507"/>
      <c r="L412" s="507"/>
      <c r="M412" s="507"/>
      <c r="N412" s="507"/>
      <c r="O412" s="507"/>
      <c r="P412" s="507"/>
      <c r="Q412" s="507"/>
      <c r="R412" s="507"/>
      <c r="S412" s="507"/>
      <c r="T412" s="507"/>
      <c r="U412" s="507"/>
      <c r="V412" s="507"/>
      <c r="W412" s="507"/>
    </row>
    <row r="413" ht="35.25" customHeight="1">
      <c r="A413" s="655" t="s">
        <v>153</v>
      </c>
      <c r="B413" s="547" t="s">
        <v>88</v>
      </c>
      <c r="C413" s="656" t="s">
        <v>684</v>
      </c>
      <c r="D413" s="653">
        <f>SUM(C413:C416)</f>
        <v>200215000</v>
      </c>
      <c r="E413" s="701"/>
      <c r="F413" s="507"/>
      <c r="G413" s="507"/>
      <c r="H413" s="507"/>
      <c r="I413" s="507"/>
      <c r="J413" s="507"/>
      <c r="K413" s="507"/>
      <c r="L413" s="507"/>
      <c r="M413" s="507"/>
      <c r="N413" s="507"/>
      <c r="O413" s="507"/>
      <c r="P413" s="507"/>
      <c r="Q413" s="507"/>
      <c r="R413" s="507"/>
      <c r="S413" s="507"/>
      <c r="T413" s="507"/>
      <c r="U413" s="507"/>
      <c r="V413" s="507"/>
      <c r="W413" s="507"/>
    </row>
    <row r="414" ht="35.25" customHeight="1">
      <c r="A414" s="18"/>
      <c r="B414" s="547" t="s">
        <v>219</v>
      </c>
      <c r="C414" s="656" t="s">
        <v>684</v>
      </c>
      <c r="D414" s="18"/>
      <c r="E414" s="701"/>
      <c r="F414" s="507"/>
      <c r="G414" s="507"/>
      <c r="H414" s="507"/>
      <c r="I414" s="507"/>
      <c r="J414" s="507"/>
      <c r="K414" s="507"/>
      <c r="L414" s="507"/>
      <c r="M414" s="507"/>
      <c r="N414" s="507"/>
      <c r="O414" s="507"/>
      <c r="P414" s="507"/>
      <c r="Q414" s="507"/>
      <c r="R414" s="507"/>
      <c r="S414" s="507"/>
      <c r="T414" s="507"/>
      <c r="U414" s="507"/>
      <c r="V414" s="507"/>
      <c r="W414" s="507"/>
    </row>
    <row r="415" ht="35.25" customHeight="1">
      <c r="A415" s="18"/>
      <c r="B415" s="547" t="s">
        <v>89</v>
      </c>
      <c r="C415" s="656" t="s">
        <v>684</v>
      </c>
      <c r="D415" s="18"/>
      <c r="E415" s="701"/>
      <c r="F415" s="507"/>
      <c r="G415" s="507"/>
      <c r="H415" s="507"/>
      <c r="I415" s="507"/>
      <c r="J415" s="507"/>
      <c r="K415" s="507"/>
      <c r="L415" s="507"/>
      <c r="M415" s="507"/>
      <c r="N415" s="507"/>
      <c r="O415" s="507"/>
      <c r="P415" s="507"/>
      <c r="Q415" s="507"/>
      <c r="R415" s="507"/>
      <c r="S415" s="507"/>
      <c r="T415" s="507"/>
      <c r="U415" s="507"/>
      <c r="V415" s="507"/>
      <c r="W415" s="507"/>
    </row>
    <row r="416" ht="35.25" customHeight="1">
      <c r="A416" s="22"/>
      <c r="B416" s="547" t="s">
        <v>220</v>
      </c>
      <c r="C416" s="656">
        <v>2.00215E8</v>
      </c>
      <c r="D416" s="18"/>
      <c r="E416" s="701" t="s">
        <v>792</v>
      </c>
      <c r="F416" s="507"/>
      <c r="G416" s="507"/>
      <c r="H416" s="507"/>
      <c r="I416" s="507"/>
      <c r="J416" s="507"/>
      <c r="K416" s="507"/>
      <c r="L416" s="507"/>
      <c r="M416" s="507"/>
      <c r="N416" s="507"/>
      <c r="O416" s="507"/>
      <c r="P416" s="507"/>
      <c r="Q416" s="507"/>
      <c r="R416" s="507"/>
      <c r="S416" s="507"/>
      <c r="T416" s="507"/>
      <c r="U416" s="507"/>
      <c r="V416" s="507"/>
      <c r="W416" s="507"/>
    </row>
    <row r="417" ht="35.25" customHeight="1">
      <c r="A417" s="663" t="s">
        <v>154</v>
      </c>
      <c r="B417" s="547" t="s">
        <v>76</v>
      </c>
      <c r="C417" s="666" t="s">
        <v>684</v>
      </c>
      <c r="D417" s="653">
        <f>SUM(C417:C421)</f>
        <v>104014900</v>
      </c>
      <c r="E417" s="701"/>
      <c r="F417" s="507"/>
      <c r="G417" s="507"/>
      <c r="H417" s="507"/>
      <c r="I417" s="507"/>
      <c r="J417" s="507"/>
      <c r="K417" s="507"/>
      <c r="L417" s="507"/>
      <c r="M417" s="507"/>
      <c r="N417" s="507"/>
      <c r="O417" s="507"/>
      <c r="P417" s="507"/>
      <c r="Q417" s="507"/>
      <c r="R417" s="507"/>
      <c r="S417" s="507"/>
      <c r="T417" s="507"/>
      <c r="U417" s="507"/>
      <c r="V417" s="507"/>
      <c r="W417" s="507"/>
    </row>
    <row r="418" ht="35.25" customHeight="1">
      <c r="A418" s="18"/>
      <c r="B418" s="547" t="s">
        <v>88</v>
      </c>
      <c r="C418" s="593" t="s">
        <v>684</v>
      </c>
      <c r="D418" s="18"/>
      <c r="E418" s="701"/>
      <c r="F418" s="507"/>
      <c r="G418" s="507"/>
      <c r="H418" s="507"/>
      <c r="I418" s="507"/>
      <c r="J418" s="507"/>
      <c r="K418" s="507"/>
      <c r="L418" s="507"/>
      <c r="M418" s="507"/>
      <c r="N418" s="507"/>
      <c r="O418" s="507"/>
      <c r="P418" s="507"/>
      <c r="Q418" s="507"/>
      <c r="R418" s="507"/>
      <c r="S418" s="507"/>
      <c r="T418" s="507"/>
      <c r="U418" s="507"/>
      <c r="V418" s="507"/>
      <c r="W418" s="507"/>
    </row>
    <row r="419" ht="35.25" customHeight="1">
      <c r="A419" s="18"/>
      <c r="B419" s="547" t="s">
        <v>219</v>
      </c>
      <c r="C419" s="593" t="s">
        <v>684</v>
      </c>
      <c r="D419" s="18"/>
      <c r="E419" s="701"/>
      <c r="F419" s="507"/>
      <c r="G419" s="507"/>
      <c r="H419" s="507"/>
      <c r="I419" s="507"/>
      <c r="J419" s="507"/>
      <c r="K419" s="507"/>
      <c r="L419" s="507"/>
      <c r="M419" s="507"/>
      <c r="N419" s="507"/>
      <c r="O419" s="507"/>
      <c r="P419" s="507"/>
      <c r="Q419" s="507"/>
      <c r="R419" s="507"/>
      <c r="S419" s="507"/>
      <c r="T419" s="507"/>
      <c r="U419" s="507"/>
      <c r="V419" s="507"/>
      <c r="W419" s="507"/>
    </row>
    <row r="420" ht="35.25" customHeight="1">
      <c r="A420" s="18"/>
      <c r="B420" s="547" t="s">
        <v>89</v>
      </c>
      <c r="C420" s="593" t="s">
        <v>684</v>
      </c>
      <c r="D420" s="18"/>
      <c r="E420" s="701"/>
      <c r="F420" s="507"/>
      <c r="G420" s="507"/>
      <c r="H420" s="507"/>
      <c r="I420" s="507"/>
      <c r="J420" s="507"/>
      <c r="K420" s="507"/>
      <c r="L420" s="507"/>
      <c r="M420" s="507"/>
      <c r="N420" s="507"/>
      <c r="O420" s="507"/>
      <c r="P420" s="507"/>
      <c r="Q420" s="507"/>
      <c r="R420" s="507"/>
      <c r="S420" s="507"/>
      <c r="T420" s="507"/>
      <c r="U420" s="507"/>
      <c r="V420" s="507"/>
      <c r="W420" s="507"/>
    </row>
    <row r="421" ht="35.25" customHeight="1">
      <c r="A421" s="22"/>
      <c r="B421" s="547" t="s">
        <v>220</v>
      </c>
      <c r="C421" s="666">
        <v>1.040149E8</v>
      </c>
      <c r="D421" s="18"/>
      <c r="E421" s="701"/>
      <c r="F421" s="507"/>
      <c r="G421" s="507"/>
      <c r="H421" s="507"/>
      <c r="I421" s="507"/>
      <c r="J421" s="507"/>
      <c r="K421" s="507"/>
      <c r="L421" s="507"/>
      <c r="M421" s="507"/>
      <c r="N421" s="507"/>
      <c r="O421" s="507"/>
      <c r="P421" s="507"/>
      <c r="Q421" s="507"/>
      <c r="R421" s="507"/>
      <c r="S421" s="507"/>
      <c r="T421" s="507"/>
      <c r="U421" s="507"/>
      <c r="V421" s="507"/>
      <c r="W421" s="507"/>
    </row>
    <row r="422" ht="35.25" customHeight="1">
      <c r="A422" s="655" t="s">
        <v>155</v>
      </c>
      <c r="B422" s="547" t="s">
        <v>88</v>
      </c>
      <c r="C422" s="593" t="s">
        <v>684</v>
      </c>
      <c r="D422" s="653">
        <f>sum(C422:C425)</f>
        <v>31218500</v>
      </c>
      <c r="E422" s="701"/>
      <c r="F422" s="507"/>
      <c r="G422" s="507"/>
      <c r="H422" s="507"/>
      <c r="I422" s="507"/>
      <c r="J422" s="507"/>
      <c r="K422" s="507"/>
      <c r="L422" s="507"/>
      <c r="M422" s="507"/>
      <c r="N422" s="507"/>
      <c r="O422" s="507"/>
      <c r="P422" s="507"/>
      <c r="Q422" s="507"/>
      <c r="R422" s="507"/>
      <c r="S422" s="507"/>
      <c r="T422" s="507"/>
      <c r="U422" s="507"/>
      <c r="V422" s="507"/>
      <c r="W422" s="507"/>
    </row>
    <row r="423" ht="35.25" customHeight="1">
      <c r="A423" s="18"/>
      <c r="B423" s="547" t="s">
        <v>219</v>
      </c>
      <c r="C423" s="593" t="s">
        <v>684</v>
      </c>
      <c r="D423" s="18"/>
      <c r="E423" s="701"/>
      <c r="F423" s="507"/>
      <c r="G423" s="507"/>
      <c r="H423" s="507"/>
      <c r="I423" s="507"/>
      <c r="J423" s="507"/>
      <c r="K423" s="507"/>
      <c r="L423" s="507"/>
      <c r="M423" s="507"/>
      <c r="N423" s="507"/>
      <c r="O423" s="507"/>
      <c r="P423" s="507"/>
      <c r="Q423" s="507"/>
      <c r="R423" s="507"/>
      <c r="S423" s="507"/>
      <c r="T423" s="507"/>
      <c r="U423" s="507"/>
      <c r="V423" s="507"/>
      <c r="W423" s="507"/>
    </row>
    <row r="424" ht="35.25" customHeight="1">
      <c r="A424" s="18"/>
      <c r="B424" s="547" t="s">
        <v>89</v>
      </c>
      <c r="C424" s="593" t="s">
        <v>684</v>
      </c>
      <c r="D424" s="18"/>
      <c r="E424" s="701"/>
      <c r="F424" s="507"/>
      <c r="G424" s="507"/>
      <c r="H424" s="507"/>
      <c r="I424" s="507"/>
      <c r="J424" s="507"/>
      <c r="K424" s="507"/>
      <c r="L424" s="507"/>
      <c r="M424" s="507"/>
      <c r="N424" s="507"/>
      <c r="O424" s="507"/>
      <c r="P424" s="507"/>
      <c r="Q424" s="507"/>
      <c r="R424" s="507"/>
      <c r="S424" s="507"/>
      <c r="T424" s="507"/>
      <c r="U424" s="507"/>
      <c r="V424" s="507"/>
      <c r="W424" s="507"/>
    </row>
    <row r="425" ht="35.25" customHeight="1">
      <c r="A425" s="22"/>
      <c r="B425" s="547" t="s">
        <v>220</v>
      </c>
      <c r="C425" s="593">
        <v>3.12185E7</v>
      </c>
      <c r="D425" s="18"/>
      <c r="E425" s="701" t="s">
        <v>793</v>
      </c>
      <c r="F425" s="507"/>
      <c r="G425" s="507"/>
      <c r="H425" s="507"/>
      <c r="I425" s="507"/>
      <c r="J425" s="507"/>
      <c r="K425" s="507"/>
      <c r="L425" s="507"/>
      <c r="M425" s="507"/>
      <c r="N425" s="507"/>
      <c r="O425" s="507"/>
      <c r="P425" s="507"/>
      <c r="Q425" s="507"/>
      <c r="R425" s="507"/>
      <c r="S425" s="507"/>
      <c r="T425" s="507"/>
      <c r="U425" s="507"/>
      <c r="V425" s="507"/>
      <c r="W425" s="507"/>
    </row>
    <row r="426" ht="35.25" customHeight="1">
      <c r="A426" s="655" t="s">
        <v>156</v>
      </c>
      <c r="B426" s="547" t="s">
        <v>74</v>
      </c>
      <c r="C426" s="656" t="s">
        <v>684</v>
      </c>
      <c r="D426" s="653">
        <f>SUM(C426:C431)</f>
        <v>120976500</v>
      </c>
      <c r="E426" s="701"/>
      <c r="F426" s="507"/>
      <c r="G426" s="507"/>
      <c r="H426" s="507"/>
      <c r="I426" s="507"/>
      <c r="J426" s="507"/>
      <c r="K426" s="507"/>
      <c r="L426" s="507"/>
      <c r="M426" s="507"/>
      <c r="N426" s="507"/>
      <c r="O426" s="507"/>
      <c r="P426" s="507"/>
      <c r="Q426" s="507"/>
      <c r="R426" s="507"/>
      <c r="S426" s="507"/>
      <c r="T426" s="507"/>
      <c r="U426" s="507"/>
      <c r="V426" s="507"/>
      <c r="W426" s="507"/>
    </row>
    <row r="427" ht="35.25" customHeight="1">
      <c r="A427" s="18"/>
      <c r="B427" s="547" t="s">
        <v>76</v>
      </c>
      <c r="C427" s="656">
        <f>SUM(95286000-16866000-38673000-11943000)</f>
        <v>27804000</v>
      </c>
      <c r="D427" s="18"/>
      <c r="E427" s="701"/>
      <c r="F427" s="507"/>
      <c r="G427" s="507"/>
      <c r="H427" s="507"/>
      <c r="I427" s="507"/>
      <c r="J427" s="507"/>
      <c r="K427" s="507"/>
      <c r="L427" s="507"/>
      <c r="M427" s="507"/>
      <c r="N427" s="507"/>
      <c r="O427" s="507"/>
      <c r="P427" s="507"/>
      <c r="Q427" s="507"/>
      <c r="R427" s="507"/>
      <c r="S427" s="507"/>
      <c r="T427" s="507"/>
      <c r="U427" s="507"/>
      <c r="V427" s="507"/>
      <c r="W427" s="507"/>
    </row>
    <row r="428" ht="35.25" customHeight="1">
      <c r="A428" s="18"/>
      <c r="B428" s="547" t="s">
        <v>88</v>
      </c>
      <c r="C428" s="656">
        <v>2.5284E7</v>
      </c>
      <c r="D428" s="18"/>
      <c r="E428" s="701"/>
      <c r="F428" s="507"/>
      <c r="G428" s="507"/>
      <c r="H428" s="507"/>
      <c r="I428" s="507"/>
      <c r="J428" s="507"/>
      <c r="K428" s="507"/>
      <c r="L428" s="507"/>
      <c r="M428" s="507"/>
      <c r="N428" s="507"/>
      <c r="O428" s="507"/>
      <c r="P428" s="507"/>
      <c r="Q428" s="507"/>
      <c r="R428" s="507"/>
      <c r="S428" s="507"/>
      <c r="T428" s="507"/>
      <c r="U428" s="507"/>
      <c r="V428" s="507"/>
      <c r="W428" s="507"/>
    </row>
    <row r="429" ht="35.25" customHeight="1">
      <c r="A429" s="18"/>
      <c r="B429" s="547" t="s">
        <v>219</v>
      </c>
      <c r="C429" s="656">
        <v>2.5625E7</v>
      </c>
      <c r="D429" s="18"/>
      <c r="E429" s="701" t="s">
        <v>794</v>
      </c>
      <c r="F429" s="507"/>
      <c r="G429" s="507"/>
      <c r="H429" s="507"/>
      <c r="I429" s="507"/>
      <c r="J429" s="507"/>
      <c r="K429" s="507"/>
      <c r="L429" s="507"/>
      <c r="M429" s="507"/>
      <c r="N429" s="507"/>
      <c r="O429" s="507"/>
      <c r="P429" s="507"/>
      <c r="Q429" s="507"/>
      <c r="R429" s="507"/>
      <c r="S429" s="507"/>
      <c r="T429" s="507"/>
      <c r="U429" s="507"/>
      <c r="V429" s="507"/>
      <c r="W429" s="507"/>
    </row>
    <row r="430" ht="35.25" customHeight="1">
      <c r="A430" s="18"/>
      <c r="B430" s="547" t="s">
        <v>89</v>
      </c>
      <c r="C430" s="656">
        <v>2.20185E7</v>
      </c>
      <c r="D430" s="18"/>
      <c r="E430" s="701"/>
      <c r="F430" s="507"/>
      <c r="G430" s="507"/>
      <c r="H430" s="507"/>
      <c r="I430" s="507"/>
      <c r="J430" s="507"/>
      <c r="K430" s="507"/>
      <c r="L430" s="507"/>
      <c r="M430" s="507"/>
      <c r="N430" s="507"/>
      <c r="O430" s="507"/>
      <c r="P430" s="507"/>
      <c r="Q430" s="507"/>
      <c r="R430" s="507"/>
      <c r="S430" s="507"/>
      <c r="T430" s="507"/>
      <c r="U430" s="507"/>
      <c r="V430" s="507"/>
      <c r="W430" s="507"/>
    </row>
    <row r="431" ht="35.25" customHeight="1">
      <c r="A431" s="22"/>
      <c r="B431" s="547" t="s">
        <v>220</v>
      </c>
      <c r="C431" s="666">
        <v>2.0245E7</v>
      </c>
      <c r="D431" s="22"/>
      <c r="E431" s="701"/>
      <c r="F431" s="507"/>
      <c r="G431" s="507"/>
      <c r="H431" s="507"/>
      <c r="I431" s="507"/>
      <c r="J431" s="507"/>
      <c r="K431" s="507"/>
      <c r="L431" s="507"/>
      <c r="M431" s="507"/>
      <c r="N431" s="507"/>
      <c r="O431" s="507"/>
      <c r="P431" s="507"/>
      <c r="Q431" s="507"/>
      <c r="R431" s="507"/>
      <c r="S431" s="507"/>
      <c r="T431" s="507"/>
      <c r="U431" s="507"/>
      <c r="V431" s="507"/>
      <c r="W431" s="507"/>
    </row>
    <row r="432" ht="35.25" customHeight="1">
      <c r="A432" s="655" t="s">
        <v>158</v>
      </c>
      <c r="B432" s="547" t="s">
        <v>88</v>
      </c>
      <c r="C432" s="593">
        <v>2.66805E7</v>
      </c>
      <c r="D432" s="670">
        <f>SUM(C432:C435)</f>
        <v>90933000</v>
      </c>
      <c r="E432" s="701"/>
      <c r="F432" s="507"/>
      <c r="G432" s="507"/>
      <c r="H432" s="507"/>
      <c r="I432" s="507"/>
      <c r="J432" s="507"/>
      <c r="K432" s="507"/>
      <c r="L432" s="507"/>
      <c r="M432" s="507"/>
      <c r="N432" s="507"/>
      <c r="O432" s="507"/>
      <c r="P432" s="507"/>
      <c r="Q432" s="507"/>
      <c r="R432" s="507"/>
      <c r="S432" s="507"/>
      <c r="T432" s="507"/>
      <c r="U432" s="507"/>
      <c r="V432" s="507"/>
      <c r="W432" s="507"/>
    </row>
    <row r="433" ht="35.25" customHeight="1">
      <c r="A433" s="18"/>
      <c r="B433" s="547" t="s">
        <v>219</v>
      </c>
      <c r="C433" s="593">
        <v>1.8486E7</v>
      </c>
      <c r="D433" s="18"/>
      <c r="E433" s="701"/>
      <c r="F433" s="507"/>
      <c r="G433" s="507"/>
      <c r="H433" s="507"/>
      <c r="I433" s="507"/>
      <c r="J433" s="507"/>
      <c r="K433" s="507"/>
      <c r="L433" s="507"/>
      <c r="M433" s="507"/>
      <c r="N433" s="507"/>
      <c r="O433" s="507"/>
      <c r="P433" s="507"/>
      <c r="Q433" s="507"/>
      <c r="R433" s="507"/>
      <c r="S433" s="507"/>
      <c r="T433" s="507"/>
      <c r="U433" s="507"/>
      <c r="V433" s="507"/>
      <c r="W433" s="507"/>
    </row>
    <row r="434" ht="35.25" customHeight="1">
      <c r="A434" s="18"/>
      <c r="B434" s="547" t="s">
        <v>89</v>
      </c>
      <c r="C434" s="593">
        <v>1.9366E7</v>
      </c>
      <c r="D434" s="18"/>
      <c r="E434" s="701"/>
      <c r="F434" s="507"/>
      <c r="G434" s="507"/>
      <c r="H434" s="507"/>
      <c r="I434" s="507"/>
      <c r="J434" s="507"/>
      <c r="K434" s="507"/>
      <c r="L434" s="507"/>
      <c r="M434" s="507"/>
      <c r="N434" s="507"/>
      <c r="O434" s="507"/>
      <c r="P434" s="507"/>
      <c r="Q434" s="507"/>
      <c r="R434" s="507"/>
      <c r="S434" s="507"/>
      <c r="T434" s="507"/>
      <c r="U434" s="507"/>
      <c r="V434" s="507"/>
      <c r="W434" s="507"/>
    </row>
    <row r="435" ht="35.25" customHeight="1">
      <c r="A435" s="22"/>
      <c r="B435" s="547" t="s">
        <v>220</v>
      </c>
      <c r="C435" s="666">
        <v>2.64005E7</v>
      </c>
      <c r="D435" s="18"/>
      <c r="E435" s="701" t="s">
        <v>795</v>
      </c>
      <c r="F435" s="507"/>
      <c r="G435" s="507"/>
      <c r="H435" s="507"/>
      <c r="I435" s="507"/>
      <c r="J435" s="507"/>
      <c r="K435" s="507"/>
      <c r="L435" s="507"/>
      <c r="M435" s="507"/>
      <c r="N435" s="507"/>
      <c r="O435" s="507"/>
      <c r="P435" s="507"/>
      <c r="Q435" s="507"/>
      <c r="R435" s="507"/>
      <c r="S435" s="507"/>
      <c r="T435" s="507"/>
      <c r="U435" s="507"/>
      <c r="V435" s="507"/>
      <c r="W435" s="507"/>
    </row>
    <row r="436" ht="35.25" customHeight="1">
      <c r="A436" s="655" t="s">
        <v>159</v>
      </c>
      <c r="B436" s="547" t="s">
        <v>88</v>
      </c>
      <c r="C436" s="593" t="s">
        <v>684</v>
      </c>
      <c r="D436" s="653">
        <f>SUM(C436:C439)</f>
        <v>40297000</v>
      </c>
      <c r="E436" s="701"/>
      <c r="F436" s="507"/>
      <c r="G436" s="507"/>
      <c r="H436" s="507"/>
      <c r="I436" s="507"/>
      <c r="J436" s="507"/>
      <c r="K436" s="507"/>
      <c r="L436" s="507"/>
      <c r="M436" s="507"/>
      <c r="N436" s="507"/>
      <c r="O436" s="507"/>
      <c r="P436" s="507"/>
      <c r="Q436" s="507"/>
      <c r="R436" s="507"/>
      <c r="S436" s="507"/>
      <c r="T436" s="507"/>
      <c r="U436" s="507"/>
      <c r="V436" s="507"/>
      <c r="W436" s="507"/>
    </row>
    <row r="437" ht="35.25" customHeight="1">
      <c r="A437" s="18"/>
      <c r="B437" s="547" t="s">
        <v>219</v>
      </c>
      <c r="C437" s="593" t="s">
        <v>684</v>
      </c>
      <c r="D437" s="18"/>
      <c r="E437" s="701"/>
      <c r="F437" s="507"/>
      <c r="G437" s="507"/>
      <c r="H437" s="507"/>
      <c r="I437" s="507"/>
      <c r="J437" s="507"/>
      <c r="K437" s="507"/>
      <c r="L437" s="507"/>
      <c r="M437" s="507"/>
      <c r="N437" s="507"/>
      <c r="O437" s="507"/>
      <c r="P437" s="507"/>
      <c r="Q437" s="507"/>
      <c r="R437" s="507"/>
      <c r="S437" s="507"/>
      <c r="T437" s="507"/>
      <c r="U437" s="507"/>
      <c r="V437" s="507"/>
      <c r="W437" s="507"/>
    </row>
    <row r="438" ht="35.25" customHeight="1">
      <c r="A438" s="18"/>
      <c r="B438" s="547" t="s">
        <v>89</v>
      </c>
      <c r="C438" s="593" t="s">
        <v>684</v>
      </c>
      <c r="D438" s="18"/>
      <c r="E438" s="701"/>
      <c r="F438" s="507"/>
      <c r="G438" s="507"/>
      <c r="H438" s="507"/>
      <c r="I438" s="507"/>
      <c r="J438" s="507"/>
      <c r="K438" s="507"/>
      <c r="L438" s="507"/>
      <c r="M438" s="507"/>
      <c r="N438" s="507"/>
      <c r="O438" s="507"/>
      <c r="P438" s="507"/>
      <c r="Q438" s="507"/>
      <c r="R438" s="507"/>
      <c r="S438" s="507"/>
      <c r="T438" s="507"/>
      <c r="U438" s="507"/>
      <c r="V438" s="507"/>
      <c r="W438" s="507"/>
    </row>
    <row r="439" ht="35.25" customHeight="1">
      <c r="A439" s="22"/>
      <c r="B439" s="547" t="s">
        <v>220</v>
      </c>
      <c r="C439" s="593">
        <f>SUM(61756500-21459500)</f>
        <v>40297000</v>
      </c>
      <c r="D439" s="22"/>
      <c r="E439" s="701"/>
      <c r="F439" s="507"/>
      <c r="G439" s="507"/>
      <c r="H439" s="507"/>
      <c r="I439" s="507"/>
      <c r="J439" s="507"/>
      <c r="K439" s="507"/>
      <c r="L439" s="507"/>
      <c r="M439" s="507"/>
      <c r="N439" s="507"/>
      <c r="O439" s="507"/>
      <c r="P439" s="507"/>
      <c r="Q439" s="507"/>
      <c r="R439" s="507"/>
      <c r="S439" s="507"/>
      <c r="T439" s="507"/>
      <c r="U439" s="507"/>
      <c r="V439" s="507"/>
      <c r="W439" s="507"/>
    </row>
    <row r="440" ht="35.25" customHeight="1">
      <c r="A440" s="655" t="s">
        <v>160</v>
      </c>
      <c r="B440" s="673" t="s">
        <v>76</v>
      </c>
      <c r="C440" s="593">
        <v>1.844135E8</v>
      </c>
      <c r="D440" s="657">
        <f>SUM(C440:C444)</f>
        <v>399912000</v>
      </c>
      <c r="E440" s="701"/>
      <c r="F440" s="507"/>
      <c r="G440" s="507"/>
      <c r="H440" s="507"/>
      <c r="I440" s="507"/>
      <c r="J440" s="507"/>
      <c r="K440" s="507"/>
      <c r="L440" s="507"/>
      <c r="M440" s="507"/>
      <c r="N440" s="507"/>
      <c r="O440" s="507"/>
      <c r="P440" s="507"/>
      <c r="Q440" s="507"/>
      <c r="R440" s="507"/>
      <c r="S440" s="507"/>
      <c r="T440" s="507"/>
      <c r="U440" s="507"/>
      <c r="V440" s="507"/>
      <c r="W440" s="507"/>
    </row>
    <row r="441" ht="35.25" customHeight="1">
      <c r="A441" s="18"/>
      <c r="B441" s="674">
        <v>45902.0</v>
      </c>
      <c r="C441" s="593">
        <v>4.1436E7</v>
      </c>
      <c r="D441" s="18"/>
      <c r="E441" s="701"/>
      <c r="F441" s="507"/>
      <c r="G441" s="507"/>
      <c r="H441" s="507"/>
      <c r="I441" s="507"/>
      <c r="J441" s="507"/>
      <c r="K441" s="507"/>
      <c r="L441" s="507"/>
      <c r="M441" s="507"/>
      <c r="N441" s="507"/>
      <c r="O441" s="507"/>
      <c r="P441" s="507"/>
      <c r="Q441" s="507"/>
      <c r="R441" s="507"/>
      <c r="S441" s="507"/>
      <c r="T441" s="507"/>
      <c r="U441" s="507"/>
      <c r="V441" s="507"/>
      <c r="W441" s="507"/>
    </row>
    <row r="442" ht="35.25" customHeight="1">
      <c r="A442" s="18"/>
      <c r="B442" s="674">
        <v>45909.0</v>
      </c>
      <c r="C442" s="593">
        <v>7.0141E7</v>
      </c>
      <c r="D442" s="18"/>
      <c r="E442" s="701"/>
      <c r="F442" s="507"/>
      <c r="G442" s="507"/>
      <c r="H442" s="507"/>
      <c r="I442" s="507"/>
      <c r="J442" s="507"/>
      <c r="K442" s="507"/>
      <c r="L442" s="507"/>
      <c r="M442" s="507"/>
      <c r="N442" s="507"/>
      <c r="O442" s="507"/>
      <c r="P442" s="507"/>
      <c r="Q442" s="507"/>
      <c r="R442" s="507"/>
      <c r="S442" s="507"/>
      <c r="T442" s="507"/>
      <c r="U442" s="507"/>
      <c r="V442" s="507"/>
      <c r="W442" s="507"/>
    </row>
    <row r="443" ht="35.25" customHeight="1">
      <c r="A443" s="18"/>
      <c r="B443" s="674">
        <v>45917.0</v>
      </c>
      <c r="C443" s="593">
        <v>4.86365E7</v>
      </c>
      <c r="D443" s="18"/>
      <c r="E443" s="701"/>
      <c r="F443" s="507"/>
      <c r="G443" s="507"/>
      <c r="H443" s="507"/>
      <c r="I443" s="507"/>
      <c r="J443" s="507"/>
      <c r="K443" s="507"/>
      <c r="L443" s="507"/>
      <c r="M443" s="507"/>
      <c r="N443" s="507"/>
      <c r="O443" s="507"/>
      <c r="P443" s="507"/>
      <c r="Q443" s="507"/>
      <c r="R443" s="507"/>
      <c r="S443" s="507"/>
      <c r="T443" s="507"/>
      <c r="U443" s="507"/>
      <c r="V443" s="507"/>
      <c r="W443" s="507"/>
    </row>
    <row r="444" ht="35.25" customHeight="1">
      <c r="A444" s="22"/>
      <c r="B444" s="674">
        <v>45924.0</v>
      </c>
      <c r="C444" s="593">
        <v>5.5285E7</v>
      </c>
      <c r="D444" s="22"/>
      <c r="E444" s="701"/>
      <c r="F444" s="507"/>
      <c r="G444" s="507"/>
      <c r="H444" s="507"/>
      <c r="I444" s="507"/>
      <c r="J444" s="507"/>
      <c r="K444" s="507"/>
      <c r="L444" s="507"/>
      <c r="M444" s="507"/>
      <c r="N444" s="507"/>
      <c r="O444" s="507"/>
      <c r="P444" s="507"/>
      <c r="Q444" s="507"/>
      <c r="R444" s="507"/>
      <c r="S444" s="507"/>
      <c r="T444" s="507"/>
      <c r="U444" s="507"/>
      <c r="V444" s="507"/>
      <c r="W444" s="507"/>
    </row>
    <row r="445" ht="35.25" customHeight="1">
      <c r="A445" s="663" t="s">
        <v>386</v>
      </c>
      <c r="B445" s="674">
        <v>45907.0</v>
      </c>
      <c r="C445" s="593">
        <v>4630000.0</v>
      </c>
      <c r="D445" s="657">
        <f>SUM(C445:C449)</f>
        <v>22413000</v>
      </c>
      <c r="E445" s="701"/>
      <c r="F445" s="507"/>
      <c r="G445" s="692"/>
      <c r="J445" s="635"/>
      <c r="K445" s="507"/>
      <c r="L445" s="507"/>
      <c r="M445" s="507"/>
      <c r="N445" s="507"/>
      <c r="O445" s="507"/>
      <c r="P445" s="507"/>
      <c r="Q445" s="507"/>
      <c r="R445" s="507"/>
      <c r="S445" s="507"/>
      <c r="T445" s="507"/>
      <c r="U445" s="507"/>
      <c r="V445" s="507"/>
      <c r="W445" s="507"/>
    </row>
    <row r="446" ht="35.25" customHeight="1">
      <c r="A446" s="18"/>
      <c r="B446" s="674">
        <v>45912.0</v>
      </c>
      <c r="C446" s="593">
        <v>5445000.0</v>
      </c>
      <c r="D446" s="18"/>
      <c r="E446" s="701"/>
      <c r="F446" s="507"/>
      <c r="G446" s="692"/>
      <c r="J446" s="635"/>
      <c r="K446" s="507"/>
      <c r="L446" s="507"/>
      <c r="M446" s="507"/>
      <c r="N446" s="507"/>
      <c r="O446" s="507"/>
      <c r="P446" s="507"/>
      <c r="Q446" s="507"/>
      <c r="R446" s="507"/>
      <c r="S446" s="507"/>
      <c r="T446" s="507"/>
      <c r="U446" s="507"/>
      <c r="V446" s="507"/>
      <c r="W446" s="507"/>
    </row>
    <row r="447" ht="35.25" customHeight="1">
      <c r="A447" s="18"/>
      <c r="B447" s="674">
        <v>45922.0</v>
      </c>
      <c r="C447" s="593">
        <v>3828000.0</v>
      </c>
      <c r="D447" s="18"/>
      <c r="E447" s="701"/>
      <c r="F447" s="507"/>
      <c r="G447" s="692"/>
      <c r="J447" s="635"/>
      <c r="K447" s="507"/>
      <c r="L447" s="507"/>
      <c r="M447" s="507"/>
      <c r="N447" s="507"/>
      <c r="O447" s="507"/>
      <c r="P447" s="507"/>
      <c r="Q447" s="507"/>
      <c r="R447" s="507"/>
      <c r="S447" s="507"/>
      <c r="T447" s="507"/>
      <c r="U447" s="507"/>
      <c r="V447" s="507"/>
      <c r="W447" s="507"/>
    </row>
    <row r="448" ht="35.25" customHeight="1">
      <c r="A448" s="18"/>
      <c r="B448" s="674">
        <v>45929.0</v>
      </c>
      <c r="C448" s="593">
        <v>8510000.0</v>
      </c>
      <c r="D448" s="18"/>
      <c r="E448" s="701"/>
      <c r="F448" s="507"/>
      <c r="G448" s="692"/>
      <c r="H448" s="692"/>
      <c r="I448" s="692"/>
      <c r="J448" s="635"/>
      <c r="K448" s="507"/>
      <c r="L448" s="507"/>
      <c r="M448" s="507"/>
      <c r="N448" s="507"/>
      <c r="O448" s="507"/>
      <c r="P448" s="507"/>
      <c r="Q448" s="507"/>
      <c r="R448" s="507"/>
      <c r="S448" s="507"/>
      <c r="T448" s="507"/>
      <c r="U448" s="507"/>
      <c r="V448" s="507"/>
      <c r="W448" s="507"/>
    </row>
    <row r="449" ht="35.25" customHeight="1">
      <c r="A449" s="22"/>
      <c r="B449" s="674"/>
      <c r="C449" s="593"/>
      <c r="D449" s="22"/>
      <c r="E449" s="701" t="s">
        <v>796</v>
      </c>
      <c r="F449" s="507"/>
      <c r="G449" s="692"/>
      <c r="H449" s="692"/>
      <c r="I449" s="692"/>
      <c r="J449" s="635"/>
      <c r="K449" s="507"/>
      <c r="L449" s="507"/>
      <c r="M449" s="507"/>
      <c r="N449" s="507"/>
      <c r="O449" s="507"/>
      <c r="P449" s="507"/>
      <c r="Q449" s="507"/>
      <c r="R449" s="507"/>
      <c r="S449" s="507"/>
      <c r="T449" s="507"/>
      <c r="U449" s="507"/>
      <c r="V449" s="507"/>
      <c r="W449" s="507"/>
    </row>
    <row r="450" ht="35.25" customHeight="1">
      <c r="A450" s="655" t="s">
        <v>167</v>
      </c>
      <c r="B450" s="547" t="s">
        <v>88</v>
      </c>
      <c r="C450" s="593" t="s">
        <v>684</v>
      </c>
      <c r="D450" s="653">
        <f>SUM(C450:C453)</f>
        <v>34416500</v>
      </c>
      <c r="E450" s="701"/>
      <c r="F450" s="507"/>
      <c r="G450" s="692"/>
      <c r="J450" s="635"/>
      <c r="K450" s="507"/>
      <c r="L450" s="507"/>
      <c r="M450" s="507"/>
      <c r="N450" s="507"/>
      <c r="O450" s="507"/>
      <c r="P450" s="507"/>
      <c r="Q450" s="507"/>
      <c r="R450" s="507"/>
      <c r="S450" s="507"/>
      <c r="T450" s="507"/>
      <c r="U450" s="507"/>
      <c r="V450" s="507"/>
      <c r="W450" s="507"/>
    </row>
    <row r="451" ht="35.25" customHeight="1">
      <c r="A451" s="18"/>
      <c r="B451" s="547" t="s">
        <v>219</v>
      </c>
      <c r="C451" s="593" t="s">
        <v>684</v>
      </c>
      <c r="D451" s="18"/>
      <c r="E451" s="701"/>
      <c r="F451" s="507"/>
      <c r="G451" s="507"/>
      <c r="H451" s="507"/>
      <c r="I451" s="507"/>
      <c r="J451" s="507"/>
      <c r="K451" s="507"/>
      <c r="L451" s="507"/>
      <c r="M451" s="507"/>
      <c r="N451" s="507"/>
      <c r="O451" s="507"/>
      <c r="P451" s="507"/>
      <c r="Q451" s="507"/>
      <c r="R451" s="507"/>
      <c r="S451" s="507"/>
      <c r="T451" s="507"/>
      <c r="U451" s="507"/>
      <c r="V451" s="507"/>
      <c r="W451" s="507"/>
    </row>
    <row r="452" ht="35.25" customHeight="1">
      <c r="A452" s="18"/>
      <c r="B452" s="547" t="s">
        <v>89</v>
      </c>
      <c r="C452" s="593" t="s">
        <v>684</v>
      </c>
      <c r="D452" s="18"/>
      <c r="E452" s="701"/>
      <c r="F452" s="507"/>
      <c r="G452" s="507"/>
      <c r="H452" s="507"/>
      <c r="I452" s="507"/>
      <c r="J452" s="507"/>
      <c r="K452" s="507"/>
      <c r="L452" s="507"/>
      <c r="M452" s="507"/>
      <c r="N452" s="507"/>
      <c r="O452" s="507"/>
      <c r="P452" s="507"/>
      <c r="Q452" s="507"/>
      <c r="R452" s="507"/>
      <c r="S452" s="507"/>
      <c r="T452" s="507"/>
      <c r="U452" s="507"/>
      <c r="V452" s="507"/>
      <c r="W452" s="507"/>
    </row>
    <row r="453" ht="35.25" customHeight="1">
      <c r="A453" s="22"/>
      <c r="B453" s="547" t="s">
        <v>220</v>
      </c>
      <c r="C453" s="593">
        <v>3.44165E7</v>
      </c>
      <c r="D453" s="22"/>
      <c r="E453" s="701" t="s">
        <v>797</v>
      </c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07"/>
      <c r="W453" s="507"/>
    </row>
    <row r="454" ht="35.25" customHeight="1">
      <c r="A454" s="655" t="s">
        <v>172</v>
      </c>
      <c r="B454" s="673" t="s">
        <v>76</v>
      </c>
      <c r="C454" s="515">
        <f>sum(147292500-15656500)</f>
        <v>131636000</v>
      </c>
      <c r="D454" s="657">
        <f>SUM(C454:C459)</f>
        <v>262481500</v>
      </c>
      <c r="E454" s="701"/>
      <c r="F454" s="556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07"/>
      <c r="W454" s="507"/>
    </row>
    <row r="455" ht="35.25" customHeight="1">
      <c r="A455" s="18"/>
      <c r="B455" s="547" t="s">
        <v>88</v>
      </c>
      <c r="C455" s="515">
        <v>2.2648E7</v>
      </c>
      <c r="D455" s="18"/>
      <c r="E455" s="701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507"/>
      <c r="W455" s="507"/>
    </row>
    <row r="456" ht="35.25" customHeight="1">
      <c r="A456" s="18"/>
      <c r="B456" s="547" t="s">
        <v>219</v>
      </c>
      <c r="C456" s="515">
        <v>2.913E7</v>
      </c>
      <c r="D456" s="18"/>
      <c r="E456" s="701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07"/>
      <c r="W456" s="507"/>
    </row>
    <row r="457" ht="35.25" customHeight="1">
      <c r="A457" s="18"/>
      <c r="B457" s="547" t="s">
        <v>89</v>
      </c>
      <c r="C457" s="515">
        <v>2.5735E7</v>
      </c>
      <c r="D457" s="18"/>
      <c r="E457" s="515">
        <v>2.587E7</v>
      </c>
      <c r="F457" s="556" t="s">
        <v>798</v>
      </c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507"/>
      <c r="W457" s="507"/>
    </row>
    <row r="458" ht="35.25" customHeight="1">
      <c r="A458" s="18"/>
      <c r="B458" s="702" t="s">
        <v>799</v>
      </c>
      <c r="C458" s="515">
        <v>486000.0</v>
      </c>
      <c r="D458" s="18"/>
      <c r="E458" s="701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07"/>
      <c r="W458" s="507"/>
    </row>
    <row r="459" ht="35.25" customHeight="1">
      <c r="A459" s="22"/>
      <c r="B459" s="547" t="s">
        <v>220</v>
      </c>
      <c r="C459" s="515">
        <v>5.28465E7</v>
      </c>
      <c r="D459" s="22"/>
      <c r="E459" s="701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07"/>
      <c r="W459" s="507"/>
    </row>
    <row r="460" ht="35.25" customHeight="1">
      <c r="A460" s="663" t="s">
        <v>178</v>
      </c>
      <c r="B460" s="673" t="s">
        <v>76</v>
      </c>
      <c r="C460" s="515">
        <v>1.92339E8</v>
      </c>
      <c r="D460" s="657">
        <f>SUM(C460:C464)</f>
        <v>479017000</v>
      </c>
      <c r="E460" s="701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507"/>
      <c r="W460" s="507"/>
    </row>
    <row r="461" ht="35.25" customHeight="1">
      <c r="A461" s="18"/>
      <c r="B461" s="547" t="s">
        <v>88</v>
      </c>
      <c r="C461" s="515">
        <v>7.0393E7</v>
      </c>
      <c r="D461" s="18"/>
      <c r="E461" s="701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507"/>
      <c r="V461" s="507"/>
      <c r="W461" s="507"/>
    </row>
    <row r="462" ht="35.25" customHeight="1">
      <c r="A462" s="18"/>
      <c r="B462" s="547" t="s">
        <v>219</v>
      </c>
      <c r="C462" s="515">
        <v>6.1983E7</v>
      </c>
      <c r="D462" s="18"/>
      <c r="E462" s="701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507"/>
      <c r="V462" s="507"/>
      <c r="W462" s="507"/>
    </row>
    <row r="463" ht="35.25" customHeight="1">
      <c r="A463" s="18"/>
      <c r="B463" s="547" t="s">
        <v>89</v>
      </c>
      <c r="C463" s="515">
        <v>7.3925E7</v>
      </c>
      <c r="D463" s="18"/>
      <c r="E463" s="701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507"/>
      <c r="V463" s="507"/>
      <c r="W463" s="507"/>
    </row>
    <row r="464" ht="35.25" customHeight="1">
      <c r="A464" s="22"/>
      <c r="B464" s="547" t="s">
        <v>220</v>
      </c>
      <c r="C464" s="659">
        <v>8.0377E7</v>
      </c>
      <c r="D464" s="22"/>
      <c r="E464" s="701" t="s">
        <v>800</v>
      </c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507"/>
      <c r="V464" s="507"/>
      <c r="W464" s="507"/>
    </row>
    <row r="465" ht="35.25" customHeight="1">
      <c r="A465" s="663" t="s">
        <v>182</v>
      </c>
      <c r="B465" s="673" t="s">
        <v>76</v>
      </c>
      <c r="C465" s="515">
        <f>SUM(119130100-7193000-22000000-25000000)</f>
        <v>64937100</v>
      </c>
      <c r="D465" s="653">
        <f>SUM(C465:C469)</f>
        <v>168370100</v>
      </c>
      <c r="E465" s="701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07"/>
      <c r="W465" s="507"/>
    </row>
    <row r="466" ht="35.25" customHeight="1">
      <c r="A466" s="18"/>
      <c r="B466" s="547" t="s">
        <v>88</v>
      </c>
      <c r="C466" s="515">
        <v>1.9888E7</v>
      </c>
      <c r="D466" s="18"/>
      <c r="E466" s="701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507"/>
      <c r="W466" s="507"/>
    </row>
    <row r="467" ht="35.25" customHeight="1">
      <c r="A467" s="18"/>
      <c r="B467" s="547" t="s">
        <v>219</v>
      </c>
      <c r="C467" s="515">
        <v>2.2999E7</v>
      </c>
      <c r="D467" s="18"/>
      <c r="E467" s="701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07"/>
      <c r="W467" s="507"/>
    </row>
    <row r="468" ht="35.25" customHeight="1">
      <c r="A468" s="18"/>
      <c r="B468" s="547" t="s">
        <v>89</v>
      </c>
      <c r="C468" s="515">
        <v>2.0738E7</v>
      </c>
      <c r="D468" s="18"/>
      <c r="E468" s="701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507"/>
      <c r="W468" s="507"/>
    </row>
    <row r="469" ht="35.25" customHeight="1">
      <c r="A469" s="22"/>
      <c r="B469" s="547" t="s">
        <v>220</v>
      </c>
      <c r="C469" s="515">
        <v>3.9808E7</v>
      </c>
      <c r="D469" s="22"/>
      <c r="E469" s="701" t="s">
        <v>801</v>
      </c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07"/>
      <c r="W469" s="507"/>
    </row>
    <row r="470" ht="35.25" customHeight="1">
      <c r="A470" s="655" t="s">
        <v>184</v>
      </c>
      <c r="B470" s="674" t="s">
        <v>74</v>
      </c>
      <c r="C470" s="515">
        <f>SUM(108332000-9456000-40000000-50000000)</f>
        <v>8876000</v>
      </c>
      <c r="D470" s="653">
        <f>sum(C470:C475)</f>
        <v>182476000</v>
      </c>
      <c r="E470" s="701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07"/>
      <c r="W470" s="507"/>
    </row>
    <row r="471" ht="35.25" customHeight="1">
      <c r="A471" s="18"/>
      <c r="B471" s="673" t="s">
        <v>76</v>
      </c>
      <c r="C471" s="515">
        <v>1.029225E8</v>
      </c>
      <c r="D471" s="18"/>
      <c r="E471" s="701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07"/>
      <c r="W471" s="507"/>
    </row>
    <row r="472" ht="35.25" customHeight="1">
      <c r="A472" s="18"/>
      <c r="B472" s="547" t="s">
        <v>88</v>
      </c>
      <c r="C472" s="515">
        <v>0.0</v>
      </c>
      <c r="D472" s="18"/>
      <c r="E472" s="701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07"/>
      <c r="W472" s="507"/>
    </row>
    <row r="473" ht="35.25" customHeight="1">
      <c r="A473" s="18"/>
      <c r="B473" s="547" t="s">
        <v>219</v>
      </c>
      <c r="C473" s="515">
        <v>3.94785E7</v>
      </c>
      <c r="D473" s="18"/>
      <c r="E473" s="701" t="s">
        <v>802</v>
      </c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07"/>
      <c r="W473" s="507"/>
    </row>
    <row r="474" ht="35.25" customHeight="1">
      <c r="A474" s="18"/>
      <c r="B474" s="547" t="s">
        <v>89</v>
      </c>
      <c r="C474" s="515">
        <v>0.0</v>
      </c>
      <c r="D474" s="18"/>
      <c r="E474" s="701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07"/>
      <c r="W474" s="507"/>
    </row>
    <row r="475" ht="35.25" customHeight="1">
      <c r="A475" s="22"/>
      <c r="B475" s="547" t="s">
        <v>220</v>
      </c>
      <c r="C475" s="515">
        <v>3.1199E7</v>
      </c>
      <c r="D475" s="22"/>
      <c r="E475" s="701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07"/>
      <c r="W475" s="507"/>
    </row>
    <row r="476" ht="35.25" customHeight="1">
      <c r="A476" s="655" t="s">
        <v>188</v>
      </c>
      <c r="B476" s="673" t="s">
        <v>76</v>
      </c>
      <c r="C476" s="515" t="s">
        <v>684</v>
      </c>
      <c r="D476" s="653">
        <f>SUM(C476:C480)</f>
        <v>44856000</v>
      </c>
      <c r="E476" s="701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07"/>
      <c r="W476" s="507"/>
    </row>
    <row r="477" ht="35.25" customHeight="1">
      <c r="A477" s="18"/>
      <c r="B477" s="547" t="s">
        <v>88</v>
      </c>
      <c r="C477" s="515" t="s">
        <v>684</v>
      </c>
      <c r="D477" s="18"/>
      <c r="E477" s="701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07"/>
      <c r="W477" s="507"/>
    </row>
    <row r="478" ht="35.25" customHeight="1">
      <c r="A478" s="18"/>
      <c r="B478" s="547" t="s">
        <v>219</v>
      </c>
      <c r="C478" s="515" t="s">
        <v>684</v>
      </c>
      <c r="D478" s="18"/>
      <c r="E478" s="701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07"/>
      <c r="W478" s="507"/>
    </row>
    <row r="479" ht="35.25" customHeight="1">
      <c r="A479" s="18"/>
      <c r="B479" s="547" t="s">
        <v>89</v>
      </c>
      <c r="C479" s="593" t="s">
        <v>684</v>
      </c>
      <c r="D479" s="18"/>
      <c r="E479" s="701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07"/>
      <c r="W479" s="507"/>
    </row>
    <row r="480" ht="35.25" customHeight="1">
      <c r="A480" s="22"/>
      <c r="B480" s="547" t="s">
        <v>220</v>
      </c>
      <c r="C480" s="593">
        <v>4.4856E7</v>
      </c>
      <c r="D480" s="22"/>
      <c r="E480" s="701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507"/>
      <c r="W480" s="507"/>
    </row>
    <row r="481" ht="35.25" customHeight="1">
      <c r="A481" s="655" t="s">
        <v>190</v>
      </c>
      <c r="B481" s="673" t="s">
        <v>76</v>
      </c>
      <c r="C481" s="515">
        <v>2.606525E8</v>
      </c>
      <c r="D481" s="653">
        <f>SUM(C481:C485)</f>
        <v>405108500</v>
      </c>
      <c r="E481" s="701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507"/>
      <c r="W481" s="507"/>
    </row>
    <row r="482" ht="35.25" customHeight="1">
      <c r="A482" s="18"/>
      <c r="B482" s="547" t="s">
        <v>88</v>
      </c>
      <c r="C482" s="515">
        <v>4.993E7</v>
      </c>
      <c r="D482" s="18"/>
      <c r="E482" s="701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507"/>
      <c r="W482" s="507"/>
    </row>
    <row r="483" ht="35.25" customHeight="1">
      <c r="A483" s="18"/>
      <c r="B483" s="547" t="s">
        <v>219</v>
      </c>
      <c r="C483" s="515">
        <v>2.9176E7</v>
      </c>
      <c r="D483" s="18"/>
      <c r="E483" s="701" t="s">
        <v>803</v>
      </c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507"/>
      <c r="W483" s="507"/>
    </row>
    <row r="484" ht="35.25" customHeight="1">
      <c r="A484" s="18"/>
      <c r="B484" s="547" t="s">
        <v>89</v>
      </c>
      <c r="C484" s="515">
        <v>4.49975E7</v>
      </c>
      <c r="D484" s="18"/>
      <c r="E484" s="701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507"/>
      <c r="W484" s="507"/>
    </row>
    <row r="485" ht="35.25" customHeight="1">
      <c r="A485" s="22"/>
      <c r="B485" s="547" t="s">
        <v>220</v>
      </c>
      <c r="C485" s="515">
        <v>2.03525E7</v>
      </c>
      <c r="D485" s="22"/>
      <c r="E485" s="701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507"/>
      <c r="W485" s="507"/>
    </row>
    <row r="486" ht="35.25" customHeight="1">
      <c r="A486" s="663" t="s">
        <v>192</v>
      </c>
      <c r="B486" s="547" t="s">
        <v>88</v>
      </c>
      <c r="C486" s="593" t="s">
        <v>684</v>
      </c>
      <c r="D486" s="653">
        <f>SUM(C486:C489)</f>
        <v>129755000</v>
      </c>
      <c r="E486" s="701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507"/>
      <c r="W486" s="507"/>
    </row>
    <row r="487" ht="35.25" customHeight="1">
      <c r="A487" s="18"/>
      <c r="B487" s="547" t="s">
        <v>219</v>
      </c>
      <c r="C487" s="593" t="s">
        <v>684</v>
      </c>
      <c r="D487" s="18"/>
      <c r="E487" s="701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507"/>
      <c r="W487" s="507"/>
    </row>
    <row r="488" ht="35.25" customHeight="1">
      <c r="A488" s="18"/>
      <c r="B488" s="547" t="s">
        <v>89</v>
      </c>
      <c r="C488" s="593">
        <v>4.64725E7</v>
      </c>
      <c r="D488" s="18"/>
      <c r="E488" s="701" t="s">
        <v>804</v>
      </c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507"/>
      <c r="W488" s="507"/>
    </row>
    <row r="489" ht="35.25" customHeight="1">
      <c r="A489" s="22"/>
      <c r="B489" s="547" t="s">
        <v>220</v>
      </c>
      <c r="C489" s="515">
        <v>8.32825E7</v>
      </c>
      <c r="D489" s="22"/>
      <c r="E489" s="701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507"/>
      <c r="W489" s="507"/>
    </row>
    <row r="490" ht="35.25" customHeight="1">
      <c r="A490" s="655" t="s">
        <v>196</v>
      </c>
      <c r="B490" s="547" t="s">
        <v>88</v>
      </c>
      <c r="C490" s="593" t="s">
        <v>684</v>
      </c>
      <c r="D490" s="653">
        <f>SUM(C490:C493)</f>
        <v>0</v>
      </c>
      <c r="E490" s="701"/>
      <c r="F490" s="507"/>
      <c r="G490" s="507"/>
      <c r="H490" s="507"/>
      <c r="I490" s="507"/>
      <c r="J490" s="507"/>
      <c r="K490" s="507"/>
      <c r="L490" s="525">
        <f>69.5*30000</f>
        <v>2085000</v>
      </c>
      <c r="M490" s="507"/>
      <c r="N490" s="507"/>
      <c r="O490" s="507"/>
      <c r="P490" s="507"/>
      <c r="Q490" s="507"/>
      <c r="R490" s="507"/>
      <c r="S490" s="507"/>
      <c r="T490" s="507"/>
      <c r="U490" s="507"/>
      <c r="V490" s="507"/>
      <c r="W490" s="507"/>
    </row>
    <row r="491" ht="35.25" customHeight="1">
      <c r="A491" s="18"/>
      <c r="B491" s="547" t="s">
        <v>219</v>
      </c>
      <c r="C491" s="593" t="s">
        <v>684</v>
      </c>
      <c r="D491" s="18"/>
      <c r="E491" s="701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07"/>
      <c r="W491" s="507"/>
    </row>
    <row r="492" ht="35.25" customHeight="1">
      <c r="A492" s="18"/>
      <c r="B492" s="547" t="s">
        <v>89</v>
      </c>
      <c r="C492" s="593" t="s">
        <v>684</v>
      </c>
      <c r="D492" s="18"/>
      <c r="E492" s="701"/>
      <c r="F492" s="507"/>
      <c r="G492" s="507"/>
      <c r="H492" s="507"/>
      <c r="I492" s="507"/>
      <c r="J492" s="507"/>
      <c r="K492" s="507"/>
      <c r="L492" s="507"/>
      <c r="M492" s="507"/>
      <c r="N492" s="507"/>
      <c r="O492" s="507"/>
      <c r="P492" s="507"/>
      <c r="Q492" s="507"/>
      <c r="R492" s="507"/>
      <c r="S492" s="507"/>
      <c r="T492" s="507"/>
      <c r="U492" s="507"/>
      <c r="V492" s="507"/>
      <c r="W492" s="507"/>
    </row>
    <row r="493" ht="35.25" customHeight="1">
      <c r="A493" s="22"/>
      <c r="B493" s="593" t="s">
        <v>220</v>
      </c>
      <c r="C493" s="593" t="s">
        <v>684</v>
      </c>
      <c r="D493" s="22"/>
      <c r="E493" s="701"/>
      <c r="F493" s="507"/>
      <c r="G493" s="507"/>
      <c r="H493" s="507"/>
      <c r="I493" s="507"/>
      <c r="J493" s="507"/>
      <c r="K493" s="507"/>
      <c r="L493" s="507"/>
      <c r="M493" s="507"/>
      <c r="N493" s="507"/>
      <c r="O493" s="507"/>
      <c r="P493" s="507"/>
      <c r="Q493" s="507"/>
      <c r="R493" s="507"/>
      <c r="S493" s="507"/>
      <c r="T493" s="507"/>
      <c r="U493" s="507"/>
      <c r="V493" s="507"/>
      <c r="W493" s="507"/>
    </row>
    <row r="494" ht="35.25" customHeight="1">
      <c r="A494" s="655" t="s">
        <v>200</v>
      </c>
      <c r="B494" s="673" t="s">
        <v>76</v>
      </c>
      <c r="C494" s="593">
        <v>2.270005E8</v>
      </c>
      <c r="D494" s="657">
        <f>SUM(C494:C498)</f>
        <v>380378000</v>
      </c>
      <c r="E494" s="701"/>
      <c r="F494" s="507"/>
      <c r="G494" s="507"/>
      <c r="H494" s="507"/>
      <c r="I494" s="507"/>
      <c r="J494" s="507"/>
      <c r="K494" s="507"/>
      <c r="L494" s="507"/>
      <c r="M494" s="507"/>
      <c r="N494" s="507"/>
      <c r="O494" s="507"/>
      <c r="P494" s="507"/>
      <c r="Q494" s="507"/>
      <c r="R494" s="507"/>
      <c r="S494" s="507"/>
      <c r="T494" s="507"/>
      <c r="U494" s="507"/>
      <c r="V494" s="507"/>
      <c r="W494" s="507"/>
    </row>
    <row r="495" ht="35.25" customHeight="1">
      <c r="A495" s="18"/>
      <c r="B495" s="547" t="s">
        <v>88</v>
      </c>
      <c r="C495" s="593">
        <v>4.33815E7</v>
      </c>
      <c r="D495" s="18"/>
      <c r="E495" s="701"/>
      <c r="F495" s="507"/>
      <c r="G495" s="507"/>
      <c r="H495" s="507"/>
      <c r="I495" s="507"/>
      <c r="J495" s="507"/>
      <c r="K495" s="507"/>
      <c r="L495" s="507"/>
      <c r="M495" s="507"/>
      <c r="N495" s="507"/>
      <c r="O495" s="507"/>
      <c r="P495" s="507"/>
      <c r="Q495" s="507"/>
      <c r="R495" s="507"/>
      <c r="S495" s="507"/>
      <c r="T495" s="507"/>
      <c r="U495" s="507"/>
      <c r="V495" s="507"/>
      <c r="W495" s="507"/>
    </row>
    <row r="496" ht="35.25" customHeight="1">
      <c r="A496" s="18"/>
      <c r="B496" s="547" t="s">
        <v>219</v>
      </c>
      <c r="C496" s="593">
        <v>3.87945E7</v>
      </c>
      <c r="D496" s="18"/>
      <c r="E496" s="701"/>
      <c r="F496" s="507"/>
      <c r="G496" s="507"/>
      <c r="H496" s="507"/>
      <c r="I496" s="507"/>
      <c r="J496" s="507"/>
      <c r="K496" s="507"/>
      <c r="L496" s="507"/>
      <c r="M496" s="507"/>
      <c r="N496" s="507"/>
      <c r="O496" s="507"/>
      <c r="P496" s="507"/>
      <c r="Q496" s="507"/>
      <c r="R496" s="507"/>
      <c r="S496" s="507"/>
      <c r="T496" s="507"/>
      <c r="U496" s="507"/>
      <c r="V496" s="507"/>
      <c r="W496" s="507"/>
    </row>
    <row r="497" ht="35.25" customHeight="1">
      <c r="A497" s="18"/>
      <c r="B497" s="547" t="s">
        <v>89</v>
      </c>
      <c r="C497" s="593">
        <v>3.39875E7</v>
      </c>
      <c r="D497" s="18"/>
      <c r="E497" s="701"/>
      <c r="F497" s="507"/>
      <c r="G497" s="507"/>
      <c r="H497" s="507"/>
      <c r="I497" s="507"/>
      <c r="J497" s="507"/>
      <c r="K497" s="677"/>
      <c r="L497" s="507"/>
      <c r="M497" s="507"/>
      <c r="N497" s="507"/>
      <c r="O497" s="507"/>
      <c r="P497" s="507"/>
      <c r="Q497" s="507"/>
      <c r="R497" s="507"/>
      <c r="S497" s="507"/>
      <c r="T497" s="507"/>
      <c r="U497" s="507"/>
      <c r="V497" s="507"/>
      <c r="W497" s="507"/>
    </row>
    <row r="498" ht="35.25" customHeight="1">
      <c r="A498" s="18"/>
      <c r="B498" s="547" t="s">
        <v>220</v>
      </c>
      <c r="C498" s="593">
        <v>3.7214E7</v>
      </c>
      <c r="D498" s="18"/>
      <c r="E498" s="701" t="s">
        <v>805</v>
      </c>
      <c r="F498" s="507"/>
      <c r="G498" s="507"/>
      <c r="H498" s="507"/>
      <c r="I498" s="507"/>
      <c r="J498" s="507"/>
      <c r="K498" s="677"/>
      <c r="L498" s="507"/>
      <c r="M498" s="507"/>
      <c r="N498" s="507"/>
      <c r="O498" s="507"/>
      <c r="P498" s="507"/>
      <c r="Q498" s="507"/>
      <c r="R498" s="507"/>
      <c r="S498" s="507"/>
      <c r="T498" s="507"/>
      <c r="U498" s="507"/>
      <c r="V498" s="507"/>
      <c r="W498" s="507"/>
    </row>
    <row r="499" ht="35.25" customHeight="1">
      <c r="A499" s="663" t="s">
        <v>367</v>
      </c>
      <c r="B499" s="673" t="s">
        <v>76</v>
      </c>
      <c r="C499" s="593">
        <v>3.246349E8</v>
      </c>
      <c r="D499" s="657">
        <f>sum(C499:C503)</f>
        <v>580863100</v>
      </c>
      <c r="E499" s="701"/>
      <c r="F499" s="556"/>
      <c r="G499" s="507"/>
      <c r="H499" s="507"/>
      <c r="I499" s="507"/>
      <c r="J499" s="507"/>
      <c r="K499" s="678"/>
      <c r="L499" s="507"/>
      <c r="M499" s="507"/>
      <c r="N499" s="507"/>
      <c r="O499" s="507"/>
      <c r="P499" s="507"/>
      <c r="Q499" s="507"/>
      <c r="R499" s="507"/>
      <c r="S499" s="507"/>
      <c r="T499" s="507"/>
      <c r="U499" s="507"/>
      <c r="V499" s="507"/>
      <c r="W499" s="507"/>
    </row>
    <row r="500" ht="35.25" customHeight="1">
      <c r="A500" s="18"/>
      <c r="B500" s="547" t="s">
        <v>88</v>
      </c>
      <c r="C500" s="593">
        <v>5.83266E7</v>
      </c>
      <c r="D500" s="18"/>
      <c r="E500" s="701"/>
      <c r="F500" s="556"/>
      <c r="G500" s="507"/>
      <c r="H500" s="507"/>
      <c r="I500" s="507"/>
      <c r="J500" s="507"/>
      <c r="K500" s="507"/>
      <c r="L500" s="507"/>
      <c r="M500" s="507"/>
      <c r="N500" s="507"/>
      <c r="O500" s="507"/>
      <c r="P500" s="507"/>
      <c r="Q500" s="507"/>
      <c r="R500" s="507"/>
      <c r="S500" s="507"/>
      <c r="T500" s="507"/>
      <c r="U500" s="507"/>
      <c r="V500" s="507"/>
      <c r="W500" s="507"/>
    </row>
    <row r="501" ht="35.25" customHeight="1">
      <c r="A501" s="18"/>
      <c r="B501" s="547" t="s">
        <v>219</v>
      </c>
      <c r="C501" s="593">
        <v>7.8169E7</v>
      </c>
      <c r="D501" s="18"/>
      <c r="E501" s="701"/>
      <c r="F501" s="556"/>
      <c r="G501" s="507"/>
      <c r="H501" s="507"/>
      <c r="I501" s="507"/>
      <c r="J501" s="507"/>
      <c r="K501" s="507"/>
      <c r="L501" s="507"/>
      <c r="M501" s="507"/>
      <c r="N501" s="507"/>
      <c r="O501" s="507"/>
      <c r="P501" s="507"/>
      <c r="Q501" s="507"/>
      <c r="R501" s="507"/>
      <c r="S501" s="507"/>
      <c r="T501" s="507"/>
      <c r="U501" s="507"/>
      <c r="V501" s="507"/>
      <c r="W501" s="507"/>
    </row>
    <row r="502" ht="35.25" customHeight="1">
      <c r="A502" s="18"/>
      <c r="B502" s="547" t="s">
        <v>89</v>
      </c>
      <c r="C502" s="593">
        <v>5.29443E7</v>
      </c>
      <c r="D502" s="18"/>
      <c r="E502" s="701"/>
      <c r="F502" s="556"/>
      <c r="G502" s="507"/>
      <c r="H502" s="507"/>
      <c r="I502" s="507"/>
      <c r="J502" s="507"/>
      <c r="K502" s="507"/>
      <c r="L502" s="507"/>
      <c r="M502" s="507"/>
      <c r="N502" s="507"/>
      <c r="O502" s="507"/>
      <c r="P502" s="507"/>
      <c r="Q502" s="507"/>
      <c r="R502" s="507"/>
      <c r="S502" s="507"/>
      <c r="T502" s="507"/>
      <c r="U502" s="507"/>
      <c r="V502" s="507"/>
      <c r="W502" s="507"/>
    </row>
    <row r="503" ht="35.25" customHeight="1">
      <c r="A503" s="18"/>
      <c r="B503" s="547" t="s">
        <v>220</v>
      </c>
      <c r="C503" s="593">
        <v>6.67883E7</v>
      </c>
      <c r="D503" s="18"/>
      <c r="E503" s="701"/>
      <c r="F503" s="556"/>
      <c r="G503" s="507"/>
      <c r="H503" s="507"/>
      <c r="I503" s="507"/>
      <c r="J503" s="507"/>
      <c r="K503" s="507"/>
      <c r="L503" s="507"/>
      <c r="M503" s="507"/>
      <c r="N503" s="507"/>
      <c r="O503" s="507"/>
      <c r="P503" s="507"/>
      <c r="Q503" s="507"/>
      <c r="R503" s="507"/>
      <c r="S503" s="507"/>
      <c r="T503" s="507"/>
      <c r="U503" s="507"/>
      <c r="V503" s="507"/>
      <c r="W503" s="507"/>
    </row>
    <row r="504" ht="35.25" customHeight="1">
      <c r="A504" s="655" t="s">
        <v>202</v>
      </c>
      <c r="B504" s="673" t="s">
        <v>622</v>
      </c>
      <c r="C504" s="593">
        <v>6.164498E8</v>
      </c>
      <c r="D504" s="653">
        <f>SUM(C504:C514)</f>
        <v>483975550</v>
      </c>
      <c r="E504" s="701"/>
      <c r="F504" s="507"/>
      <c r="G504" s="507"/>
      <c r="H504" s="507"/>
      <c r="I504" s="507"/>
      <c r="J504" s="507"/>
      <c r="K504" s="507"/>
      <c r="L504" s="507"/>
      <c r="M504" s="507"/>
      <c r="N504" s="507"/>
      <c r="O504" s="507"/>
      <c r="P504" s="507"/>
      <c r="Q504" s="507"/>
      <c r="R504" s="507"/>
      <c r="S504" s="507"/>
      <c r="T504" s="507"/>
      <c r="U504" s="507"/>
      <c r="V504" s="507"/>
      <c r="W504" s="507"/>
    </row>
    <row r="505" ht="35.25" customHeight="1">
      <c r="A505" s="18"/>
      <c r="B505" s="547" t="s">
        <v>88</v>
      </c>
      <c r="C505" s="593">
        <v>5.9526E7</v>
      </c>
      <c r="D505" s="18"/>
      <c r="E505" s="701"/>
      <c r="F505" s="507"/>
      <c r="G505" s="507"/>
      <c r="H505" s="507"/>
      <c r="I505" s="507"/>
      <c r="J505" s="507"/>
      <c r="K505" s="507"/>
      <c r="L505" s="507"/>
      <c r="M505" s="507"/>
      <c r="N505" s="507"/>
      <c r="O505" s="507"/>
      <c r="P505" s="507"/>
      <c r="Q505" s="507"/>
      <c r="R505" s="507"/>
      <c r="S505" s="507"/>
      <c r="T505" s="507"/>
      <c r="U505" s="507"/>
      <c r="V505" s="507"/>
      <c r="W505" s="507"/>
    </row>
    <row r="506" ht="35.25" customHeight="1">
      <c r="A506" s="18"/>
      <c r="B506" s="547" t="s">
        <v>806</v>
      </c>
      <c r="C506" s="593">
        <v>-1.4E8</v>
      </c>
      <c r="D506" s="18"/>
      <c r="E506" s="701"/>
      <c r="F506" s="507"/>
      <c r="G506" s="507"/>
      <c r="H506" s="507"/>
      <c r="I506" s="507"/>
      <c r="J506" s="507"/>
      <c r="K506" s="507"/>
      <c r="L506" s="507"/>
      <c r="M506" s="507"/>
      <c r="N506" s="507"/>
      <c r="O506" s="507"/>
      <c r="P506" s="507"/>
      <c r="Q506" s="507"/>
      <c r="R506" s="507"/>
      <c r="S506" s="507"/>
      <c r="T506" s="507"/>
      <c r="U506" s="507"/>
      <c r="V506" s="507"/>
      <c r="W506" s="507"/>
    </row>
    <row r="507" ht="35.25" customHeight="1">
      <c r="A507" s="18"/>
      <c r="B507" s="547" t="s">
        <v>807</v>
      </c>
      <c r="C507" s="593">
        <v>-6.0E7</v>
      </c>
      <c r="D507" s="18"/>
      <c r="E507" s="701"/>
      <c r="F507" s="507"/>
      <c r="G507" s="507"/>
      <c r="H507" s="507"/>
      <c r="I507" s="507"/>
      <c r="J507" s="507"/>
      <c r="K507" s="507"/>
      <c r="L507" s="507"/>
      <c r="M507" s="507"/>
      <c r="N507" s="507"/>
      <c r="O507" s="507"/>
      <c r="P507" s="507"/>
      <c r="Q507" s="507"/>
      <c r="R507" s="507"/>
      <c r="S507" s="507"/>
      <c r="T507" s="507"/>
      <c r="U507" s="507"/>
      <c r="V507" s="507"/>
      <c r="W507" s="507"/>
    </row>
    <row r="508" ht="35.25" customHeight="1">
      <c r="A508" s="18"/>
      <c r="B508" s="547" t="s">
        <v>219</v>
      </c>
      <c r="C508" s="593">
        <v>6.9036E7</v>
      </c>
      <c r="D508" s="18"/>
      <c r="E508" s="701"/>
      <c r="F508" s="507"/>
      <c r="G508" s="507"/>
      <c r="H508" s="507"/>
      <c r="I508" s="507"/>
      <c r="J508" s="507"/>
      <c r="K508" s="507"/>
      <c r="L508" s="507"/>
      <c r="M508" s="507"/>
      <c r="N508" s="507"/>
      <c r="O508" s="507"/>
      <c r="P508" s="507"/>
      <c r="Q508" s="507"/>
      <c r="R508" s="507"/>
      <c r="S508" s="507"/>
      <c r="T508" s="507"/>
      <c r="U508" s="507"/>
      <c r="V508" s="507"/>
      <c r="W508" s="507"/>
    </row>
    <row r="509" ht="35.25" customHeight="1">
      <c r="A509" s="18"/>
      <c r="B509" s="547" t="s">
        <v>808</v>
      </c>
      <c r="C509" s="593">
        <v>-5.0E7</v>
      </c>
      <c r="D509" s="18"/>
      <c r="E509" s="701"/>
      <c r="F509" s="507"/>
      <c r="G509" s="507"/>
      <c r="H509" s="507"/>
      <c r="I509" s="507"/>
      <c r="J509" s="507"/>
      <c r="K509" s="507"/>
      <c r="L509" s="507"/>
      <c r="M509" s="507"/>
      <c r="N509" s="507"/>
      <c r="O509" s="507"/>
      <c r="P509" s="507"/>
      <c r="Q509" s="507"/>
      <c r="R509" s="507"/>
      <c r="S509" s="507"/>
      <c r="T509" s="507"/>
      <c r="U509" s="507"/>
      <c r="V509" s="507"/>
      <c r="W509" s="507"/>
    </row>
    <row r="510" ht="35.25" customHeight="1">
      <c r="A510" s="18"/>
      <c r="B510" s="547" t="s">
        <v>89</v>
      </c>
      <c r="C510" s="593">
        <v>5.9104E7</v>
      </c>
      <c r="D510" s="18"/>
      <c r="E510" s="701" t="s">
        <v>809</v>
      </c>
      <c r="F510" s="507"/>
      <c r="G510" s="507"/>
      <c r="H510" s="507"/>
      <c r="I510" s="507"/>
      <c r="J510" s="507"/>
      <c r="K510" s="507"/>
      <c r="L510" s="507"/>
      <c r="M510" s="507"/>
      <c r="N510" s="507"/>
      <c r="O510" s="507"/>
      <c r="P510" s="507"/>
      <c r="Q510" s="507"/>
      <c r="R510" s="507"/>
      <c r="S510" s="507"/>
      <c r="T510" s="507"/>
      <c r="U510" s="507"/>
      <c r="V510" s="507"/>
      <c r="W510" s="507"/>
    </row>
    <row r="511" ht="35.25" customHeight="1">
      <c r="A511" s="18"/>
      <c r="B511" s="547" t="s">
        <v>810</v>
      </c>
      <c r="C511" s="593">
        <v>-5.0E7</v>
      </c>
      <c r="D511" s="18"/>
      <c r="E511" s="701"/>
      <c r="F511" s="556"/>
      <c r="G511" s="556"/>
      <c r="H511" s="556"/>
      <c r="I511" s="507"/>
      <c r="J511" s="507"/>
      <c r="K511" s="507"/>
      <c r="L511" s="507"/>
      <c r="M511" s="507"/>
      <c r="N511" s="507"/>
      <c r="O511" s="507"/>
      <c r="P511" s="507"/>
      <c r="Q511" s="507"/>
      <c r="R511" s="507"/>
      <c r="S511" s="507"/>
      <c r="T511" s="507"/>
      <c r="U511" s="507"/>
      <c r="V511" s="507"/>
      <c r="W511" s="507"/>
    </row>
    <row r="512" ht="35.25" customHeight="1">
      <c r="A512" s="18"/>
      <c r="B512" s="547" t="s">
        <v>811</v>
      </c>
      <c r="C512" s="593">
        <v>-5.0E7</v>
      </c>
      <c r="D512" s="18"/>
      <c r="E512" s="701"/>
      <c r="F512" s="556"/>
      <c r="G512" s="556"/>
      <c r="H512" s="556"/>
      <c r="I512" s="507"/>
      <c r="J512" s="507"/>
      <c r="K512" s="507"/>
      <c r="L512" s="507"/>
      <c r="M512" s="507"/>
      <c r="N512" s="507"/>
      <c r="O512" s="507"/>
      <c r="P512" s="507"/>
      <c r="Q512" s="507"/>
      <c r="R512" s="507"/>
      <c r="S512" s="507"/>
      <c r="T512" s="507"/>
      <c r="U512" s="507"/>
      <c r="V512" s="507"/>
      <c r="W512" s="507"/>
    </row>
    <row r="513" ht="35.25" customHeight="1">
      <c r="A513" s="18"/>
      <c r="B513" s="547" t="s">
        <v>220</v>
      </c>
      <c r="C513" s="593">
        <v>1.2985975E8</v>
      </c>
      <c r="D513" s="18"/>
      <c r="E513" s="701"/>
      <c r="F513" s="556"/>
      <c r="G513" s="556"/>
      <c r="H513" s="556"/>
      <c r="I513" s="507"/>
      <c r="J513" s="507"/>
      <c r="K513" s="507"/>
      <c r="L513" s="507"/>
      <c r="M513" s="507"/>
      <c r="N513" s="507"/>
      <c r="O513" s="507"/>
      <c r="P513" s="507"/>
      <c r="Q513" s="507"/>
      <c r="R513" s="507"/>
      <c r="S513" s="507"/>
      <c r="T513" s="507"/>
      <c r="U513" s="507"/>
      <c r="V513" s="507"/>
      <c r="W513" s="507"/>
    </row>
    <row r="514" ht="35.25" customHeight="1">
      <c r="A514" s="22"/>
      <c r="B514" s="547" t="s">
        <v>812</v>
      </c>
      <c r="C514" s="593">
        <v>-1.0E8</v>
      </c>
      <c r="D514" s="22"/>
      <c r="E514" s="701"/>
      <c r="F514" s="556"/>
      <c r="G514" s="556"/>
      <c r="H514" s="556"/>
      <c r="I514" s="507"/>
      <c r="J514" s="507"/>
      <c r="K514" s="507"/>
      <c r="L514" s="507"/>
      <c r="M514" s="507"/>
      <c r="N514" s="507"/>
      <c r="O514" s="507"/>
      <c r="P514" s="507"/>
      <c r="Q514" s="507"/>
      <c r="R514" s="507"/>
      <c r="S514" s="507"/>
      <c r="T514" s="507"/>
      <c r="U514" s="507"/>
      <c r="V514" s="507"/>
      <c r="W514" s="507"/>
    </row>
    <row r="515" ht="35.25" customHeight="1">
      <c r="A515" s="655" t="s">
        <v>205</v>
      </c>
      <c r="B515" s="673" t="s">
        <v>76</v>
      </c>
      <c r="C515" s="593" t="s">
        <v>684</v>
      </c>
      <c r="D515" s="657">
        <f>sum(C515:C519)</f>
        <v>51459000</v>
      </c>
      <c r="E515" s="701"/>
      <c r="F515" s="556"/>
      <c r="G515" s="556"/>
      <c r="H515" s="556"/>
      <c r="I515" s="507"/>
      <c r="J515" s="507"/>
      <c r="K515" s="507"/>
      <c r="L515" s="507"/>
      <c r="M515" s="507"/>
      <c r="N515" s="507"/>
      <c r="O515" s="507"/>
      <c r="P515" s="507"/>
      <c r="Q515" s="507"/>
      <c r="R515" s="507"/>
      <c r="S515" s="507"/>
      <c r="T515" s="507"/>
      <c r="U515" s="507"/>
      <c r="V515" s="507"/>
      <c r="W515" s="507"/>
    </row>
    <row r="516" ht="35.25" customHeight="1">
      <c r="A516" s="18"/>
      <c r="B516" s="547" t="s">
        <v>699</v>
      </c>
      <c r="C516" s="593" t="s">
        <v>684</v>
      </c>
      <c r="D516" s="18"/>
      <c r="E516" s="701"/>
      <c r="F516" s="507"/>
      <c r="G516" s="507"/>
      <c r="H516" s="507"/>
      <c r="I516" s="507"/>
      <c r="J516" s="507"/>
      <c r="K516" s="507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</row>
    <row r="517" ht="35.25" customHeight="1">
      <c r="A517" s="18"/>
      <c r="B517" s="547" t="s">
        <v>219</v>
      </c>
      <c r="C517" s="593" t="s">
        <v>684</v>
      </c>
      <c r="D517" s="18"/>
      <c r="E517" s="701" t="s">
        <v>813</v>
      </c>
      <c r="F517" s="507"/>
      <c r="G517" s="507"/>
      <c r="H517" s="507"/>
      <c r="I517" s="507"/>
      <c r="J517" s="507"/>
      <c r="K517" s="507"/>
      <c r="L517" s="648"/>
      <c r="M517" s="648"/>
      <c r="N517" s="648"/>
      <c r="O517" s="648"/>
      <c r="P517" s="648"/>
      <c r="Q517" s="648"/>
      <c r="R517" s="648"/>
      <c r="S517" s="648"/>
      <c r="T517" s="648"/>
      <c r="U517" s="648"/>
      <c r="V517" s="648"/>
      <c r="W517" s="648"/>
    </row>
    <row r="518" ht="35.25" customHeight="1">
      <c r="A518" s="18"/>
      <c r="B518" s="547" t="s">
        <v>89</v>
      </c>
      <c r="C518" s="593" t="s">
        <v>684</v>
      </c>
      <c r="D518" s="18"/>
      <c r="E518" s="701"/>
      <c r="F518" s="507"/>
      <c r="G518" s="507"/>
      <c r="H518" s="507"/>
      <c r="I518" s="507"/>
      <c r="J518" s="507"/>
      <c r="K518" s="507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</row>
    <row r="519" ht="35.25" customHeight="1">
      <c r="A519" s="22"/>
      <c r="B519" s="547" t="s">
        <v>220</v>
      </c>
      <c r="C519" s="593">
        <v>5.1459E7</v>
      </c>
      <c r="D519" s="22"/>
      <c r="E519" s="701"/>
      <c r="F519" s="507"/>
      <c r="G519" s="507"/>
      <c r="H519" s="507"/>
      <c r="I519" s="507"/>
      <c r="J519" s="507"/>
      <c r="K519" s="507"/>
      <c r="L519" s="648"/>
      <c r="M519" s="648"/>
      <c r="N519" s="648"/>
      <c r="O519" s="648"/>
      <c r="P519" s="648"/>
      <c r="Q519" s="648"/>
      <c r="R519" s="648"/>
      <c r="S519" s="648"/>
      <c r="T519" s="648"/>
      <c r="U519" s="648"/>
      <c r="V519" s="648"/>
      <c r="W519" s="648"/>
    </row>
    <row r="520" ht="35.25" customHeight="1">
      <c r="A520" s="663" t="s">
        <v>290</v>
      </c>
      <c r="B520" s="673" t="s">
        <v>76</v>
      </c>
      <c r="C520" s="593">
        <f>SUM(250223000-100000000-150000000)</f>
        <v>223000</v>
      </c>
      <c r="D520" s="653">
        <f>sum(C520:C524)</f>
        <v>183203000</v>
      </c>
      <c r="E520" s="701"/>
      <c r="F520" s="507"/>
      <c r="G520" s="507"/>
      <c r="H520" s="507"/>
      <c r="I520" s="507"/>
      <c r="J520" s="507"/>
      <c r="K520" s="507"/>
      <c r="L520" s="648"/>
      <c r="M520" s="648"/>
      <c r="N520" s="648"/>
      <c r="O520" s="648"/>
      <c r="P520" s="648"/>
      <c r="Q520" s="648"/>
      <c r="R520" s="648"/>
      <c r="S520" s="648"/>
      <c r="T520" s="648"/>
      <c r="U520" s="648"/>
      <c r="V520" s="648"/>
      <c r="W520" s="648"/>
    </row>
    <row r="521" ht="35.25" customHeight="1">
      <c r="A521" s="18"/>
      <c r="B521" s="547" t="s">
        <v>699</v>
      </c>
      <c r="C521" s="593">
        <v>2.6632E7</v>
      </c>
      <c r="D521" s="18"/>
      <c r="E521" s="701"/>
      <c r="F521" s="507"/>
      <c r="G521" s="507"/>
      <c r="H521" s="507"/>
      <c r="I521" s="507"/>
      <c r="J521" s="507"/>
      <c r="K521" s="507"/>
      <c r="L521" s="507"/>
      <c r="M521" s="507"/>
      <c r="N521" s="507"/>
      <c r="O521" s="507"/>
      <c r="P521" s="507"/>
      <c r="Q521" s="507"/>
      <c r="R521" s="507"/>
      <c r="S521" s="507"/>
      <c r="T521" s="507"/>
      <c r="U521" s="507"/>
      <c r="V521" s="507"/>
      <c r="W521" s="507"/>
    </row>
    <row r="522" ht="35.25" customHeight="1">
      <c r="A522" s="18"/>
      <c r="B522" s="547" t="s">
        <v>219</v>
      </c>
      <c r="C522" s="593">
        <v>0.0</v>
      </c>
      <c r="D522" s="18"/>
      <c r="E522" s="701" t="s">
        <v>814</v>
      </c>
      <c r="F522" s="507"/>
      <c r="G522" s="507"/>
      <c r="H522" s="507"/>
      <c r="I522" s="507"/>
      <c r="J522" s="507"/>
      <c r="K522" s="507"/>
      <c r="L522" s="507"/>
      <c r="M522" s="507"/>
      <c r="N522" s="507"/>
      <c r="O522" s="507"/>
      <c r="P522" s="507"/>
      <c r="Q522" s="507"/>
      <c r="R522" s="507"/>
      <c r="S522" s="507"/>
      <c r="T522" s="507"/>
      <c r="U522" s="507"/>
      <c r="V522" s="507"/>
      <c r="W522" s="507"/>
    </row>
    <row r="523" ht="35.25" customHeight="1">
      <c r="A523" s="18"/>
      <c r="B523" s="547" t="s">
        <v>89</v>
      </c>
      <c r="C523" s="593">
        <v>5.74805E7</v>
      </c>
      <c r="D523" s="18"/>
      <c r="E523" s="701"/>
      <c r="F523" s="507"/>
      <c r="G523" s="556"/>
      <c r="H523" s="507"/>
      <c r="I523" s="507"/>
      <c r="J523" s="507"/>
      <c r="K523" s="507"/>
      <c r="L523" s="507"/>
      <c r="M523" s="507"/>
      <c r="N523" s="507"/>
      <c r="O523" s="507"/>
      <c r="P523" s="507"/>
      <c r="Q523" s="507"/>
      <c r="R523" s="507"/>
      <c r="S523" s="507"/>
      <c r="T523" s="507"/>
      <c r="U523" s="507"/>
      <c r="V523" s="507"/>
      <c r="W523" s="507"/>
    </row>
    <row r="524" ht="35.25" customHeight="1">
      <c r="A524" s="22"/>
      <c r="B524" s="547" t="s">
        <v>220</v>
      </c>
      <c r="C524" s="593">
        <v>9.88675E7</v>
      </c>
      <c r="D524" s="22"/>
      <c r="E524" s="701"/>
      <c r="F524" s="507"/>
      <c r="G524" s="556"/>
      <c r="H524" s="507"/>
      <c r="I524" s="507"/>
      <c r="J524" s="507"/>
      <c r="K524" s="507"/>
      <c r="L524" s="507"/>
      <c r="M524" s="507"/>
      <c r="N524" s="507"/>
      <c r="O524" s="507"/>
      <c r="P524" s="507"/>
      <c r="Q524" s="507"/>
      <c r="R524" s="507"/>
      <c r="S524" s="507"/>
      <c r="T524" s="507"/>
      <c r="U524" s="507"/>
      <c r="V524" s="507"/>
      <c r="W524" s="507"/>
    </row>
    <row r="525" ht="35.25" customHeight="1">
      <c r="A525" s="663" t="s">
        <v>292</v>
      </c>
      <c r="B525" s="673" t="s">
        <v>76</v>
      </c>
      <c r="C525" s="593" t="s">
        <v>684</v>
      </c>
      <c r="D525" s="653">
        <f>SUM(C525:C529)</f>
        <v>50946000</v>
      </c>
      <c r="E525" s="701"/>
      <c r="F525" s="556"/>
      <c r="G525" s="556"/>
      <c r="H525" s="556"/>
      <c r="I525" s="507"/>
      <c r="J525" s="507"/>
      <c r="K525" s="507"/>
      <c r="L525" s="507"/>
      <c r="M525" s="507"/>
      <c r="N525" s="507"/>
      <c r="O525" s="507"/>
      <c r="P525" s="507"/>
      <c r="Q525" s="507"/>
      <c r="R525" s="507"/>
      <c r="S525" s="507"/>
      <c r="T525" s="507"/>
      <c r="U525" s="507"/>
      <c r="V525" s="507"/>
      <c r="W525" s="507"/>
    </row>
    <row r="526" ht="35.25" customHeight="1">
      <c r="A526" s="18"/>
      <c r="B526" s="547" t="s">
        <v>88</v>
      </c>
      <c r="C526" s="593" t="s">
        <v>684</v>
      </c>
      <c r="D526" s="18"/>
      <c r="E526" s="701"/>
      <c r="F526" s="556"/>
      <c r="G526" s="556"/>
      <c r="H526" s="556"/>
      <c r="I526" s="507"/>
      <c r="J526" s="507"/>
      <c r="K526" s="507"/>
      <c r="L526" s="507"/>
      <c r="M526" s="507"/>
      <c r="N526" s="507"/>
      <c r="O526" s="507"/>
      <c r="P526" s="507"/>
      <c r="Q526" s="507"/>
      <c r="R526" s="507"/>
      <c r="S526" s="507"/>
      <c r="T526" s="507"/>
      <c r="U526" s="507"/>
      <c r="V526" s="507"/>
      <c r="W526" s="507"/>
    </row>
    <row r="527" ht="35.25" customHeight="1">
      <c r="A527" s="18"/>
      <c r="B527" s="547" t="s">
        <v>219</v>
      </c>
      <c r="C527" s="593" t="s">
        <v>684</v>
      </c>
      <c r="D527" s="18"/>
      <c r="E527" s="701" t="s">
        <v>815</v>
      </c>
      <c r="F527" s="556"/>
      <c r="G527" s="556"/>
      <c r="H527" s="556"/>
      <c r="I527" s="507"/>
      <c r="J527" s="507"/>
      <c r="K527" s="507"/>
      <c r="L527" s="507"/>
      <c r="M527" s="507"/>
      <c r="N527" s="507"/>
      <c r="O527" s="507"/>
      <c r="P527" s="507"/>
      <c r="Q527" s="507"/>
      <c r="R527" s="507"/>
      <c r="S527" s="507"/>
      <c r="T527" s="507"/>
      <c r="U527" s="507"/>
      <c r="V527" s="507"/>
      <c r="W527" s="507"/>
    </row>
    <row r="528" ht="35.25" customHeight="1">
      <c r="A528" s="18"/>
      <c r="B528" s="547" t="s">
        <v>89</v>
      </c>
      <c r="C528" s="593" t="s">
        <v>684</v>
      </c>
      <c r="D528" s="18"/>
      <c r="E528" s="701"/>
      <c r="F528" s="556"/>
      <c r="G528" s="556"/>
      <c r="H528" s="556"/>
      <c r="I528" s="507"/>
      <c r="J528" s="507"/>
      <c r="K528" s="507"/>
      <c r="L528" s="507"/>
      <c r="M528" s="507"/>
      <c r="N528" s="507"/>
      <c r="O528" s="507"/>
      <c r="P528" s="507"/>
      <c r="Q528" s="507"/>
      <c r="R528" s="507"/>
      <c r="S528" s="507"/>
      <c r="T528" s="507"/>
      <c r="U528" s="507"/>
      <c r="V528" s="507"/>
      <c r="W528" s="507"/>
    </row>
    <row r="529" ht="35.25" customHeight="1">
      <c r="A529" s="22"/>
      <c r="B529" s="547" t="s">
        <v>220</v>
      </c>
      <c r="C529" s="593">
        <v>5.0946E7</v>
      </c>
      <c r="D529" s="22"/>
      <c r="E529" s="701"/>
      <c r="F529" s="556"/>
      <c r="G529" s="556"/>
      <c r="H529" s="556"/>
      <c r="I529" s="507"/>
      <c r="J529" s="507"/>
      <c r="K529" s="507"/>
      <c r="L529" s="507"/>
      <c r="M529" s="507"/>
      <c r="N529" s="507"/>
      <c r="O529" s="507"/>
      <c r="P529" s="507"/>
      <c r="Q529" s="507"/>
      <c r="R529" s="507"/>
      <c r="S529" s="507"/>
      <c r="T529" s="507"/>
      <c r="U529" s="507"/>
      <c r="V529" s="507"/>
      <c r="W529" s="507"/>
    </row>
    <row r="530" ht="35.25" customHeight="1">
      <c r="A530" s="663" t="s">
        <v>296</v>
      </c>
      <c r="B530" s="547" t="s">
        <v>88</v>
      </c>
      <c r="C530" s="593" t="s">
        <v>684</v>
      </c>
      <c r="D530" s="653">
        <f>SUM(C530:C533)</f>
        <v>71952500</v>
      </c>
      <c r="E530" s="701"/>
      <c r="F530" s="556"/>
      <c r="G530" s="556"/>
      <c r="H530" s="556"/>
      <c r="I530" s="507"/>
      <c r="J530" s="507"/>
      <c r="K530" s="507"/>
      <c r="L530" s="507"/>
      <c r="M530" s="507"/>
      <c r="N530" s="507"/>
      <c r="O530" s="507"/>
      <c r="P530" s="507"/>
      <c r="Q530" s="507"/>
      <c r="R530" s="507"/>
      <c r="S530" s="507"/>
      <c r="T530" s="507"/>
      <c r="U530" s="507"/>
      <c r="V530" s="507"/>
      <c r="W530" s="507"/>
    </row>
    <row r="531" ht="35.25" customHeight="1">
      <c r="A531" s="18"/>
      <c r="B531" s="547" t="s">
        <v>219</v>
      </c>
      <c r="C531" s="593" t="s">
        <v>684</v>
      </c>
      <c r="D531" s="18"/>
      <c r="E531" s="701" t="s">
        <v>816</v>
      </c>
      <c r="F531" s="507"/>
      <c r="G531" s="507"/>
      <c r="H531" s="507"/>
      <c r="I531" s="507"/>
      <c r="J531" s="507"/>
      <c r="K531" s="507"/>
      <c r="L531" s="507"/>
      <c r="M531" s="507"/>
      <c r="N531" s="507"/>
      <c r="O531" s="507"/>
      <c r="P531" s="507"/>
      <c r="Q531" s="507"/>
      <c r="R531" s="507"/>
      <c r="S531" s="507"/>
      <c r="T531" s="507"/>
      <c r="U531" s="507"/>
      <c r="V531" s="507"/>
      <c r="W531" s="507"/>
    </row>
    <row r="532" ht="35.25" customHeight="1">
      <c r="A532" s="18"/>
      <c r="B532" s="547" t="s">
        <v>89</v>
      </c>
      <c r="C532" s="593" t="s">
        <v>684</v>
      </c>
      <c r="D532" s="18"/>
      <c r="E532" s="701"/>
      <c r="F532" s="507"/>
      <c r="G532" s="507"/>
      <c r="H532" s="507"/>
      <c r="I532" s="507"/>
      <c r="J532" s="507"/>
      <c r="K532" s="507"/>
      <c r="L532" s="507"/>
      <c r="M532" s="507"/>
      <c r="N532" s="507"/>
      <c r="O532" s="507"/>
      <c r="P532" s="507"/>
      <c r="Q532" s="507"/>
      <c r="R532" s="507"/>
      <c r="S532" s="507"/>
      <c r="T532" s="507"/>
      <c r="U532" s="507"/>
      <c r="V532" s="507"/>
      <c r="W532" s="507"/>
    </row>
    <row r="533" ht="35.25" customHeight="1">
      <c r="A533" s="22"/>
      <c r="B533" s="547" t="s">
        <v>220</v>
      </c>
      <c r="C533" s="593">
        <v>7.19525E7</v>
      </c>
      <c r="D533" s="22"/>
      <c r="E533" s="701"/>
      <c r="F533" s="507"/>
      <c r="G533" s="507"/>
      <c r="H533" s="507"/>
      <c r="I533" s="507"/>
      <c r="J533" s="507"/>
      <c r="K533" s="507"/>
      <c r="L533" s="507"/>
      <c r="M533" s="507"/>
      <c r="N533" s="507"/>
      <c r="O533" s="507"/>
      <c r="P533" s="507"/>
      <c r="Q533" s="507"/>
      <c r="R533" s="507"/>
      <c r="S533" s="507"/>
      <c r="T533" s="507"/>
      <c r="U533" s="507"/>
      <c r="V533" s="507"/>
      <c r="W533" s="507"/>
    </row>
    <row r="534" ht="35.25" customHeight="1">
      <c r="A534" s="663" t="s">
        <v>293</v>
      </c>
      <c r="B534" s="673" t="s">
        <v>76</v>
      </c>
      <c r="C534" s="593" t="s">
        <v>684</v>
      </c>
      <c r="D534" s="653">
        <f>SUM(C534:C539)</f>
        <v>93790500</v>
      </c>
      <c r="E534" s="701"/>
      <c r="F534" s="507"/>
      <c r="G534" s="507"/>
      <c r="H534" s="507"/>
      <c r="I534" s="507"/>
      <c r="J534" s="507"/>
      <c r="K534" s="507"/>
      <c r="L534" s="507"/>
      <c r="M534" s="507"/>
      <c r="N534" s="507"/>
      <c r="O534" s="507"/>
      <c r="P534" s="507"/>
      <c r="Q534" s="507"/>
      <c r="R534" s="507"/>
      <c r="S534" s="507"/>
      <c r="T534" s="507"/>
      <c r="U534" s="507"/>
      <c r="V534" s="507"/>
      <c r="W534" s="507"/>
    </row>
    <row r="535" ht="35.25" customHeight="1">
      <c r="A535" s="18"/>
      <c r="B535" s="547" t="s">
        <v>88</v>
      </c>
      <c r="C535" s="593" t="s">
        <v>684</v>
      </c>
      <c r="D535" s="18"/>
      <c r="E535" s="701"/>
      <c r="F535" s="507"/>
      <c r="G535" s="507"/>
      <c r="H535" s="507"/>
      <c r="I535" s="507"/>
      <c r="J535" s="507"/>
      <c r="K535" s="507"/>
      <c r="L535" s="507"/>
      <c r="M535" s="507"/>
      <c r="N535" s="507"/>
      <c r="O535" s="507"/>
      <c r="P535" s="507"/>
      <c r="Q535" s="507"/>
      <c r="R535" s="507"/>
      <c r="S535" s="507"/>
      <c r="T535" s="507"/>
      <c r="U535" s="507"/>
      <c r="V535" s="507"/>
      <c r="W535" s="507"/>
    </row>
    <row r="536" ht="35.25" customHeight="1">
      <c r="A536" s="18"/>
      <c r="B536" s="547" t="s">
        <v>219</v>
      </c>
      <c r="C536" s="593" t="s">
        <v>684</v>
      </c>
      <c r="D536" s="18"/>
      <c r="E536" s="701"/>
      <c r="F536" s="507"/>
      <c r="G536" s="507"/>
      <c r="H536" s="507"/>
      <c r="I536" s="507"/>
      <c r="J536" s="507"/>
      <c r="K536" s="507"/>
      <c r="L536" s="507"/>
      <c r="M536" s="507"/>
      <c r="N536" s="507"/>
      <c r="O536" s="507"/>
      <c r="P536" s="507"/>
      <c r="Q536" s="507"/>
      <c r="R536" s="507"/>
      <c r="S536" s="507"/>
      <c r="T536" s="507"/>
      <c r="U536" s="507"/>
      <c r="V536" s="507"/>
      <c r="W536" s="507"/>
    </row>
    <row r="537" ht="35.25" customHeight="1">
      <c r="A537" s="18"/>
      <c r="B537" s="547" t="s">
        <v>89</v>
      </c>
      <c r="C537" s="593">
        <v>3.1055E7</v>
      </c>
      <c r="D537" s="18"/>
      <c r="E537" s="701" t="s">
        <v>817</v>
      </c>
      <c r="F537" s="526"/>
      <c r="G537" s="507"/>
      <c r="H537" s="507"/>
      <c r="I537" s="507"/>
      <c r="J537" s="507"/>
      <c r="K537" s="507"/>
      <c r="L537" s="507"/>
      <c r="M537" s="507"/>
      <c r="N537" s="507"/>
      <c r="O537" s="507"/>
      <c r="P537" s="507"/>
      <c r="Q537" s="507"/>
      <c r="R537" s="507"/>
      <c r="S537" s="507"/>
      <c r="T537" s="507"/>
      <c r="U537" s="507"/>
      <c r="V537" s="507"/>
      <c r="W537" s="507"/>
    </row>
    <row r="538" ht="35.25" customHeight="1">
      <c r="A538" s="18"/>
      <c r="B538" s="547" t="s">
        <v>220</v>
      </c>
      <c r="C538" s="593">
        <v>6.07555E7</v>
      </c>
      <c r="D538" s="18"/>
      <c r="E538" s="701"/>
      <c r="F538" s="526"/>
      <c r="G538" s="507"/>
      <c r="H538" s="507"/>
      <c r="I538" s="507"/>
      <c r="J538" s="507"/>
      <c r="K538" s="507"/>
      <c r="L538" s="507"/>
      <c r="M538" s="507"/>
      <c r="N538" s="507"/>
      <c r="O538" s="507"/>
      <c r="P538" s="507"/>
      <c r="Q538" s="507"/>
      <c r="R538" s="507"/>
      <c r="S538" s="507"/>
      <c r="T538" s="507"/>
      <c r="U538" s="507"/>
      <c r="V538" s="507"/>
      <c r="W538" s="507"/>
    </row>
    <row r="539" ht="35.25" customHeight="1">
      <c r="A539" s="22"/>
      <c r="B539" s="703" t="s">
        <v>818</v>
      </c>
      <c r="C539" s="593">
        <v>1980000.0</v>
      </c>
      <c r="D539" s="22"/>
      <c r="E539" s="701"/>
      <c r="F539" s="526"/>
      <c r="G539" s="507"/>
      <c r="H539" s="507"/>
      <c r="I539" s="507"/>
      <c r="J539" s="507"/>
      <c r="K539" s="507"/>
      <c r="L539" s="507"/>
      <c r="M539" s="507"/>
      <c r="N539" s="507"/>
      <c r="O539" s="507"/>
      <c r="P539" s="507"/>
      <c r="Q539" s="507"/>
      <c r="R539" s="507"/>
      <c r="S539" s="507"/>
      <c r="T539" s="507"/>
      <c r="U539" s="507"/>
      <c r="V539" s="507"/>
      <c r="W539" s="507"/>
    </row>
    <row r="540" ht="35.25" customHeight="1">
      <c r="A540" s="663" t="s">
        <v>207</v>
      </c>
      <c r="B540" s="547" t="s">
        <v>88</v>
      </c>
      <c r="C540" s="593">
        <v>2.6955E7</v>
      </c>
      <c r="D540" s="653">
        <f>SUM(C540:C543)</f>
        <v>82880000</v>
      </c>
      <c r="E540" s="701"/>
      <c r="F540" s="526"/>
      <c r="G540" s="525"/>
      <c r="H540" s="644"/>
      <c r="I540" s="507"/>
      <c r="J540" s="507"/>
      <c r="K540" s="507"/>
      <c r="L540" s="507"/>
      <c r="M540" s="507"/>
      <c r="N540" s="507"/>
      <c r="O540" s="507"/>
      <c r="P540" s="507"/>
      <c r="Q540" s="507"/>
      <c r="R540" s="507"/>
      <c r="S540" s="507"/>
      <c r="T540" s="507"/>
      <c r="U540" s="507"/>
      <c r="V540" s="507"/>
      <c r="W540" s="507"/>
    </row>
    <row r="541" ht="35.25" customHeight="1">
      <c r="A541" s="18"/>
      <c r="B541" s="547" t="s">
        <v>219</v>
      </c>
      <c r="C541" s="593">
        <v>1.9825E7</v>
      </c>
      <c r="D541" s="18"/>
      <c r="E541" s="701" t="s">
        <v>819</v>
      </c>
      <c r="F541" s="526"/>
      <c r="G541" s="525"/>
      <c r="H541" s="644"/>
      <c r="I541" s="507"/>
      <c r="J541" s="507"/>
      <c r="K541" s="507"/>
      <c r="L541" s="507"/>
      <c r="M541" s="507"/>
      <c r="N541" s="507"/>
      <c r="O541" s="507"/>
      <c r="P541" s="507"/>
      <c r="Q541" s="507"/>
      <c r="R541" s="507"/>
      <c r="S541" s="507"/>
      <c r="T541" s="507"/>
      <c r="U541" s="507"/>
      <c r="V541" s="507"/>
      <c r="W541" s="507"/>
    </row>
    <row r="542" ht="35.25" customHeight="1">
      <c r="A542" s="18"/>
      <c r="B542" s="547" t="s">
        <v>89</v>
      </c>
      <c r="C542" s="593">
        <v>0.0</v>
      </c>
      <c r="D542" s="18"/>
      <c r="E542" s="701"/>
      <c r="F542" s="525"/>
      <c r="G542" s="525"/>
      <c r="H542" s="525"/>
      <c r="I542" s="507"/>
      <c r="J542" s="507"/>
      <c r="K542" s="507"/>
      <c r="L542" s="507"/>
      <c r="M542" s="507"/>
      <c r="N542" s="507"/>
      <c r="O542" s="507"/>
      <c r="P542" s="507"/>
      <c r="Q542" s="507"/>
      <c r="R542" s="507"/>
      <c r="S542" s="507"/>
      <c r="T542" s="507"/>
      <c r="U542" s="507"/>
      <c r="V542" s="507"/>
      <c r="W542" s="507"/>
    </row>
    <row r="543" ht="35.25" customHeight="1">
      <c r="A543" s="22"/>
      <c r="B543" s="547" t="s">
        <v>220</v>
      </c>
      <c r="C543" s="593">
        <v>3.61E7</v>
      </c>
      <c r="D543" s="22"/>
      <c r="E543" s="701"/>
      <c r="F543" s="525"/>
      <c r="G543" s="525"/>
      <c r="H543" s="525"/>
      <c r="I543" s="507"/>
      <c r="J543" s="507"/>
      <c r="K543" s="507"/>
      <c r="L543" s="507"/>
      <c r="M543" s="507"/>
      <c r="N543" s="507"/>
      <c r="O543" s="507"/>
      <c r="P543" s="507"/>
      <c r="Q543" s="507"/>
      <c r="R543" s="507"/>
      <c r="S543" s="507"/>
      <c r="T543" s="507"/>
      <c r="U543" s="507"/>
      <c r="V543" s="507"/>
      <c r="W543" s="507"/>
    </row>
    <row r="544" ht="35.25" customHeight="1">
      <c r="A544" s="663" t="s">
        <v>211</v>
      </c>
      <c r="B544" s="673" t="s">
        <v>76</v>
      </c>
      <c r="C544" s="593">
        <f>SUM(251199500-65000000-45000000)</f>
        <v>141199500</v>
      </c>
      <c r="D544" s="653">
        <f>SUM(C544:C548)</f>
        <v>234343600</v>
      </c>
      <c r="E544" s="701"/>
      <c r="F544" s="525"/>
      <c r="G544" s="525"/>
      <c r="H544" s="525"/>
      <c r="I544" s="507"/>
      <c r="J544" s="507"/>
      <c r="K544" s="507"/>
      <c r="L544" s="507"/>
      <c r="M544" s="507"/>
      <c r="N544" s="507"/>
      <c r="O544" s="507"/>
      <c r="P544" s="507"/>
      <c r="Q544" s="507"/>
      <c r="R544" s="507"/>
      <c r="S544" s="507"/>
      <c r="T544" s="507"/>
      <c r="U544" s="507"/>
      <c r="V544" s="507"/>
      <c r="W544" s="507"/>
    </row>
    <row r="545" ht="35.25" customHeight="1">
      <c r="A545" s="18"/>
      <c r="B545" s="547" t="s">
        <v>88</v>
      </c>
      <c r="C545" s="593">
        <v>1.64215E7</v>
      </c>
      <c r="D545" s="18"/>
      <c r="E545" s="701"/>
      <c r="F545" s="525"/>
      <c r="G545" s="525"/>
      <c r="H545" s="525"/>
      <c r="I545" s="507"/>
      <c r="J545" s="507"/>
      <c r="K545" s="507"/>
      <c r="L545" s="507"/>
      <c r="M545" s="507"/>
      <c r="N545" s="507"/>
      <c r="O545" s="507"/>
      <c r="P545" s="507"/>
      <c r="Q545" s="507"/>
      <c r="R545" s="507"/>
      <c r="S545" s="507"/>
      <c r="T545" s="507"/>
      <c r="U545" s="507"/>
      <c r="V545" s="507"/>
      <c r="W545" s="507"/>
    </row>
    <row r="546" ht="35.25" customHeight="1">
      <c r="A546" s="18"/>
      <c r="B546" s="547" t="s">
        <v>219</v>
      </c>
      <c r="C546" s="593">
        <v>0.0</v>
      </c>
      <c r="D546" s="18"/>
      <c r="E546" s="701"/>
      <c r="F546" s="525"/>
      <c r="G546" s="525"/>
      <c r="H546" s="525"/>
      <c r="I546" s="507"/>
      <c r="J546" s="507"/>
      <c r="K546" s="507"/>
      <c r="L546" s="507"/>
      <c r="M546" s="507"/>
      <c r="N546" s="507"/>
      <c r="O546" s="507"/>
      <c r="P546" s="507"/>
      <c r="Q546" s="507"/>
      <c r="R546" s="507"/>
      <c r="S546" s="507"/>
      <c r="T546" s="507"/>
      <c r="U546" s="507"/>
      <c r="V546" s="507"/>
      <c r="W546" s="507"/>
    </row>
    <row r="547" ht="35.25" customHeight="1">
      <c r="A547" s="18"/>
      <c r="B547" s="547" t="s">
        <v>89</v>
      </c>
      <c r="C547" s="593">
        <v>4.5016E7</v>
      </c>
      <c r="D547" s="18"/>
      <c r="E547" s="701"/>
      <c r="F547" s="525"/>
      <c r="G547" s="525"/>
      <c r="H547" s="525"/>
      <c r="I547" s="507"/>
      <c r="J547" s="507"/>
      <c r="K547" s="507"/>
      <c r="L547" s="507"/>
      <c r="M547" s="507"/>
      <c r="N547" s="507"/>
      <c r="O547" s="507"/>
      <c r="P547" s="507"/>
      <c r="Q547" s="507"/>
      <c r="R547" s="507"/>
      <c r="S547" s="507"/>
      <c r="T547" s="507"/>
      <c r="U547" s="507"/>
      <c r="V547" s="507"/>
      <c r="W547" s="507"/>
    </row>
    <row r="548" ht="35.25" customHeight="1">
      <c r="A548" s="22"/>
      <c r="B548" s="547" t="s">
        <v>220</v>
      </c>
      <c r="C548" s="593">
        <v>3.17066E7</v>
      </c>
      <c r="D548" s="22"/>
      <c r="E548" s="701"/>
      <c r="F548" s="525"/>
      <c r="G548" s="525"/>
      <c r="H548" s="525"/>
      <c r="I548" s="507"/>
      <c r="J548" s="507"/>
      <c r="K548" s="507"/>
      <c r="L548" s="507"/>
      <c r="M548" s="507"/>
      <c r="N548" s="507"/>
      <c r="O548" s="507"/>
      <c r="P548" s="507"/>
      <c r="Q548" s="507"/>
      <c r="R548" s="507"/>
      <c r="S548" s="507"/>
      <c r="T548" s="507"/>
      <c r="U548" s="507"/>
      <c r="V548" s="507"/>
      <c r="W548" s="507"/>
    </row>
    <row r="549" ht="35.25" customHeight="1">
      <c r="A549" s="679" t="s">
        <v>302</v>
      </c>
      <c r="B549" s="547" t="s">
        <v>88</v>
      </c>
      <c r="C549" s="593">
        <f>30325000-43500</f>
        <v>30281500</v>
      </c>
      <c r="D549" s="680">
        <f>SUM(C549:C552)</f>
        <v>97240500</v>
      </c>
      <c r="E549" s="701"/>
      <c r="F549" s="525"/>
      <c r="G549" s="525"/>
      <c r="H549" s="525"/>
      <c r="I549" s="507"/>
      <c r="J549" s="507"/>
      <c r="K549" s="507"/>
      <c r="L549" s="507"/>
      <c r="M549" s="507"/>
      <c r="N549" s="507"/>
      <c r="O549" s="507"/>
      <c r="P549" s="507"/>
      <c r="Q549" s="507"/>
      <c r="R549" s="507"/>
      <c r="S549" s="507"/>
      <c r="T549" s="507"/>
      <c r="U549" s="507"/>
      <c r="V549" s="507"/>
      <c r="W549" s="507"/>
    </row>
    <row r="550" ht="35.25" customHeight="1">
      <c r="A550" s="18"/>
      <c r="B550" s="547" t="s">
        <v>219</v>
      </c>
      <c r="C550" s="593">
        <v>1.926E7</v>
      </c>
      <c r="D550" s="18"/>
      <c r="E550" s="701"/>
      <c r="F550" s="525"/>
      <c r="G550" s="525"/>
      <c r="H550" s="525"/>
      <c r="I550" s="507"/>
      <c r="J550" s="507"/>
      <c r="K550" s="507"/>
      <c r="L550" s="507"/>
      <c r="M550" s="507"/>
      <c r="N550" s="507"/>
      <c r="O550" s="507"/>
      <c r="P550" s="507"/>
      <c r="Q550" s="507"/>
      <c r="R550" s="507"/>
      <c r="S550" s="507"/>
      <c r="T550" s="507"/>
      <c r="U550" s="507"/>
      <c r="V550" s="507"/>
      <c r="W550" s="507"/>
    </row>
    <row r="551" ht="35.25" customHeight="1">
      <c r="A551" s="18"/>
      <c r="B551" s="547" t="s">
        <v>89</v>
      </c>
      <c r="C551" s="593">
        <v>2.7019E7</v>
      </c>
      <c r="D551" s="18"/>
      <c r="E551" s="701"/>
      <c r="F551" s="525"/>
      <c r="G551" s="525"/>
      <c r="H551" s="525"/>
      <c r="I551" s="507"/>
      <c r="J551" s="507"/>
      <c r="K551" s="507"/>
      <c r="L551" s="507"/>
      <c r="M551" s="507"/>
      <c r="N551" s="507"/>
      <c r="O551" s="507"/>
      <c r="P551" s="507"/>
      <c r="Q551" s="507"/>
      <c r="R551" s="507"/>
      <c r="S551" s="507"/>
      <c r="T551" s="507"/>
      <c r="U551" s="507"/>
      <c r="V551" s="507"/>
      <c r="W551" s="507"/>
    </row>
    <row r="552" ht="35.25" customHeight="1">
      <c r="A552" s="22"/>
      <c r="B552" s="547" t="s">
        <v>220</v>
      </c>
      <c r="C552" s="593">
        <v>2.068E7</v>
      </c>
      <c r="D552" s="22"/>
      <c r="E552" s="525"/>
      <c r="F552" s="525"/>
      <c r="G552" s="525"/>
      <c r="H552" s="525"/>
      <c r="I552" s="507"/>
      <c r="J552" s="507"/>
      <c r="K552" s="507"/>
      <c r="L552" s="507"/>
      <c r="M552" s="507"/>
      <c r="N552" s="507"/>
      <c r="O552" s="507"/>
      <c r="P552" s="507"/>
      <c r="Q552" s="507"/>
      <c r="R552" s="507"/>
      <c r="S552" s="507"/>
      <c r="T552" s="507"/>
      <c r="U552" s="507"/>
      <c r="V552" s="507"/>
      <c r="W552" s="507"/>
    </row>
    <row r="553" ht="35.25" customHeight="1">
      <c r="A553" s="681" t="s">
        <v>215</v>
      </c>
      <c r="B553" s="547" t="s">
        <v>88</v>
      </c>
      <c r="C553" s="593">
        <f>23806500-17000000</f>
        <v>6806500</v>
      </c>
      <c r="D553" s="680">
        <f>SUM(C553:C556)</f>
        <v>22204500</v>
      </c>
      <c r="E553" s="525"/>
      <c r="F553" s="525"/>
      <c r="G553" s="525"/>
      <c r="H553" s="525"/>
      <c r="I553" s="507"/>
      <c r="J553" s="507"/>
      <c r="K553" s="507"/>
      <c r="L553" s="507"/>
      <c r="M553" s="507"/>
      <c r="N553" s="507"/>
      <c r="O553" s="507"/>
      <c r="P553" s="507"/>
      <c r="Q553" s="507"/>
      <c r="R553" s="507"/>
      <c r="S553" s="507"/>
      <c r="T553" s="507"/>
      <c r="U553" s="507"/>
      <c r="V553" s="507"/>
      <c r="W553" s="507"/>
    </row>
    <row r="554" ht="35.25" customHeight="1">
      <c r="A554" s="18"/>
      <c r="B554" s="547" t="s">
        <v>219</v>
      </c>
      <c r="C554" s="593">
        <v>5298000.0</v>
      </c>
      <c r="D554" s="18"/>
      <c r="E554" s="507"/>
      <c r="F554" s="507"/>
      <c r="G554" s="507"/>
      <c r="H554" s="507"/>
      <c r="I554" s="507"/>
      <c r="J554" s="507"/>
      <c r="K554" s="507"/>
      <c r="L554" s="507"/>
      <c r="M554" s="507"/>
      <c r="N554" s="507"/>
      <c r="O554" s="507"/>
      <c r="P554" s="507"/>
      <c r="Q554" s="507"/>
      <c r="R554" s="507"/>
      <c r="S554" s="507"/>
      <c r="T554" s="507"/>
      <c r="U554" s="507"/>
      <c r="V554" s="507"/>
      <c r="W554" s="507"/>
    </row>
    <row r="555" ht="35.25" customHeight="1">
      <c r="A555" s="18"/>
      <c r="B555" s="547" t="s">
        <v>89</v>
      </c>
      <c r="C555" s="593">
        <v>8270000.0</v>
      </c>
      <c r="D555" s="18"/>
      <c r="E555" s="644" t="s">
        <v>820</v>
      </c>
      <c r="F555" s="507"/>
      <c r="G555" s="507"/>
      <c r="H555" s="507"/>
      <c r="I555" s="507"/>
      <c r="J555" s="507"/>
      <c r="K555" s="507"/>
      <c r="L555" s="507"/>
      <c r="M555" s="507"/>
      <c r="N555" s="507"/>
      <c r="O555" s="507"/>
      <c r="P555" s="507"/>
      <c r="Q555" s="507"/>
      <c r="R555" s="507"/>
      <c r="S555" s="507"/>
      <c r="T555" s="507"/>
      <c r="U555" s="507"/>
      <c r="V555" s="507"/>
      <c r="W555" s="507"/>
    </row>
    <row r="556" ht="35.25" customHeight="1">
      <c r="A556" s="22"/>
      <c r="B556" s="547" t="s">
        <v>220</v>
      </c>
      <c r="C556" s="593">
        <v>1830000.0</v>
      </c>
      <c r="D556" s="22"/>
      <c r="E556" s="556"/>
      <c r="F556" s="507"/>
      <c r="G556" s="507"/>
      <c r="H556" s="507"/>
      <c r="I556" s="507"/>
      <c r="J556" s="507"/>
      <c r="K556" s="507"/>
      <c r="L556" s="507"/>
      <c r="M556" s="507"/>
      <c r="N556" s="507"/>
      <c r="O556" s="507"/>
      <c r="P556" s="507"/>
      <c r="Q556" s="507"/>
      <c r="R556" s="507"/>
      <c r="S556" s="507"/>
      <c r="T556" s="507"/>
      <c r="U556" s="507"/>
      <c r="V556" s="507"/>
      <c r="W556" s="507"/>
    </row>
    <row r="557" ht="35.25" customHeight="1">
      <c r="A557" s="679" t="s">
        <v>216</v>
      </c>
      <c r="B557" s="547" t="s">
        <v>88</v>
      </c>
      <c r="C557" s="631" t="s">
        <v>7</v>
      </c>
      <c r="D557" s="680">
        <f>SUM(C557:C560)</f>
        <v>58023500</v>
      </c>
      <c r="E557" s="507"/>
      <c r="F557" s="507"/>
      <c r="G557" s="507"/>
      <c r="H557" s="507"/>
      <c r="I557" s="507"/>
      <c r="J557" s="507"/>
      <c r="K557" s="507"/>
      <c r="L557" s="507"/>
      <c r="M557" s="507"/>
      <c r="N557" s="507"/>
      <c r="O557" s="507"/>
      <c r="P557" s="507"/>
      <c r="Q557" s="507"/>
      <c r="R557" s="507"/>
      <c r="S557" s="507"/>
      <c r="T557" s="507"/>
      <c r="U557" s="507"/>
      <c r="V557" s="507"/>
      <c r="W557" s="507"/>
    </row>
    <row r="558" ht="35.25" customHeight="1">
      <c r="A558" s="18"/>
      <c r="B558" s="547" t="s">
        <v>219</v>
      </c>
      <c r="C558" s="631" t="s">
        <v>7</v>
      </c>
      <c r="D558" s="18"/>
      <c r="E558" s="507"/>
      <c r="F558" s="507"/>
      <c r="G558" s="507"/>
      <c r="H558" s="507"/>
      <c r="I558" s="507"/>
      <c r="J558" s="507"/>
      <c r="K558" s="507"/>
      <c r="L558" s="507"/>
      <c r="M558" s="507"/>
      <c r="N558" s="507"/>
      <c r="O558" s="507"/>
      <c r="P558" s="507"/>
      <c r="Q558" s="507"/>
      <c r="R558" s="507"/>
      <c r="S558" s="507"/>
      <c r="T558" s="507"/>
      <c r="U558" s="507"/>
      <c r="V558" s="507"/>
      <c r="W558" s="507"/>
    </row>
    <row r="559" ht="35.25" customHeight="1">
      <c r="A559" s="18"/>
      <c r="B559" s="547" t="s">
        <v>89</v>
      </c>
      <c r="C559" s="631" t="s">
        <v>7</v>
      </c>
      <c r="D559" s="18"/>
      <c r="E559" s="507"/>
      <c r="F559" s="507"/>
      <c r="G559" s="507"/>
      <c r="H559" s="507"/>
      <c r="I559" s="507"/>
      <c r="J559" s="507"/>
      <c r="K559" s="507"/>
      <c r="L559" s="507"/>
      <c r="M559" s="507"/>
      <c r="N559" s="507"/>
      <c r="O559" s="507"/>
      <c r="P559" s="507"/>
      <c r="Q559" s="507"/>
      <c r="R559" s="507"/>
      <c r="S559" s="507"/>
      <c r="T559" s="507"/>
      <c r="U559" s="507"/>
      <c r="V559" s="507"/>
      <c r="W559" s="507"/>
    </row>
    <row r="560" ht="35.25" customHeight="1">
      <c r="A560" s="22"/>
      <c r="B560" s="547" t="s">
        <v>220</v>
      </c>
      <c r="C560" s="593">
        <v>5.80235E7</v>
      </c>
      <c r="D560" s="22"/>
      <c r="E560" s="507"/>
      <c r="F560" s="507"/>
      <c r="G560" s="507"/>
      <c r="H560" s="507"/>
      <c r="I560" s="507"/>
      <c r="J560" s="507"/>
      <c r="K560" s="507"/>
      <c r="L560" s="507"/>
      <c r="M560" s="507"/>
      <c r="N560" s="507"/>
      <c r="O560" s="507"/>
      <c r="P560" s="507"/>
      <c r="Q560" s="507"/>
      <c r="R560" s="507"/>
      <c r="S560" s="507"/>
      <c r="T560" s="507"/>
      <c r="U560" s="507"/>
      <c r="V560" s="507"/>
      <c r="W560" s="507"/>
    </row>
    <row r="561" ht="35.25" customHeight="1">
      <c r="A561" s="679" t="s">
        <v>510</v>
      </c>
      <c r="B561" s="547" t="s">
        <v>88</v>
      </c>
      <c r="C561" s="593" t="s">
        <v>7</v>
      </c>
      <c r="D561" s="680">
        <f>SUM(C561:C564)</f>
        <v>17369500</v>
      </c>
      <c r="E561" s="507"/>
      <c r="F561" s="507"/>
      <c r="G561" s="507"/>
      <c r="H561" s="507"/>
      <c r="I561" s="507"/>
      <c r="J561" s="507"/>
      <c r="K561" s="507"/>
      <c r="L561" s="507"/>
      <c r="M561" s="507"/>
      <c r="N561" s="507"/>
      <c r="O561" s="507"/>
      <c r="P561" s="507"/>
      <c r="Q561" s="507"/>
      <c r="R561" s="507"/>
      <c r="S561" s="507"/>
      <c r="T561" s="507"/>
      <c r="U561" s="507"/>
      <c r="V561" s="507"/>
      <c r="W561" s="507"/>
    </row>
    <row r="562" ht="35.25" customHeight="1">
      <c r="A562" s="18"/>
      <c r="B562" s="547" t="s">
        <v>219</v>
      </c>
      <c r="C562" s="593" t="s">
        <v>7</v>
      </c>
      <c r="D562" s="18"/>
      <c r="E562" s="507"/>
      <c r="F562" s="507"/>
      <c r="G562" s="507"/>
      <c r="H562" s="507"/>
      <c r="I562" s="507"/>
      <c r="J562" s="507"/>
      <c r="K562" s="507"/>
      <c r="L562" s="507"/>
      <c r="M562" s="507"/>
      <c r="N562" s="507"/>
      <c r="O562" s="507"/>
      <c r="P562" s="507"/>
      <c r="Q562" s="507"/>
      <c r="R562" s="507"/>
      <c r="S562" s="507"/>
      <c r="T562" s="507"/>
      <c r="U562" s="507"/>
      <c r="V562" s="507"/>
      <c r="W562" s="507"/>
    </row>
    <row r="563" ht="35.25" customHeight="1">
      <c r="A563" s="18"/>
      <c r="B563" s="547" t="s">
        <v>89</v>
      </c>
      <c r="C563" s="593" t="s">
        <v>7</v>
      </c>
      <c r="D563" s="18"/>
      <c r="E563" s="556">
        <v>99340.0</v>
      </c>
      <c r="F563" s="507"/>
      <c r="G563" s="507"/>
      <c r="H563" s="507"/>
      <c r="I563" s="507"/>
      <c r="J563" s="507"/>
      <c r="K563" s="507"/>
      <c r="L563" s="507"/>
      <c r="M563" s="507"/>
      <c r="N563" s="507"/>
      <c r="O563" s="507"/>
      <c r="P563" s="507"/>
      <c r="Q563" s="507"/>
      <c r="R563" s="507"/>
      <c r="S563" s="507"/>
      <c r="T563" s="507"/>
      <c r="U563" s="507"/>
      <c r="V563" s="507"/>
      <c r="W563" s="507"/>
    </row>
    <row r="564" ht="35.25" customHeight="1">
      <c r="A564" s="22"/>
      <c r="B564" s="547" t="s">
        <v>220</v>
      </c>
      <c r="C564" s="593">
        <v>1.73695E7</v>
      </c>
      <c r="D564" s="22"/>
      <c r="E564" s="507">
        <f>1610+52</f>
        <v>1662</v>
      </c>
      <c r="F564" s="507"/>
      <c r="G564" s="507"/>
      <c r="H564" s="507"/>
      <c r="I564" s="507"/>
      <c r="J564" s="507"/>
      <c r="K564" s="507"/>
      <c r="L564" s="507"/>
      <c r="M564" s="507"/>
      <c r="N564" s="507"/>
      <c r="O564" s="507"/>
      <c r="P564" s="507"/>
      <c r="Q564" s="507"/>
      <c r="R564" s="507"/>
      <c r="S564" s="507"/>
      <c r="T564" s="507"/>
      <c r="U564" s="507"/>
      <c r="V564" s="507"/>
      <c r="W564" s="507"/>
    </row>
    <row r="565" ht="35.25" customHeight="1">
      <c r="A565" s="679" t="s">
        <v>513</v>
      </c>
      <c r="B565" s="547" t="s">
        <v>88</v>
      </c>
      <c r="C565" s="593" t="s">
        <v>7</v>
      </c>
      <c r="D565" s="682">
        <f>SUM(C565:C568)</f>
        <v>103628300</v>
      </c>
      <c r="E565" s="507">
        <f>E563-E564</f>
        <v>97678</v>
      </c>
      <c r="F565" s="507"/>
      <c r="G565" s="507"/>
      <c r="H565" s="507"/>
      <c r="I565" s="507"/>
      <c r="J565" s="507"/>
      <c r="K565" s="507"/>
      <c r="L565" s="507"/>
      <c r="M565" s="507"/>
      <c r="N565" s="507"/>
      <c r="O565" s="507"/>
      <c r="P565" s="507"/>
      <c r="Q565" s="507"/>
      <c r="R565" s="507"/>
      <c r="S565" s="507"/>
      <c r="T565" s="507"/>
      <c r="U565" s="507"/>
      <c r="V565" s="507"/>
      <c r="W565" s="507"/>
    </row>
    <row r="566" ht="35.25" customHeight="1">
      <c r="A566" s="18"/>
      <c r="B566" s="547" t="s">
        <v>219</v>
      </c>
      <c r="C566" s="593" t="s">
        <v>7</v>
      </c>
      <c r="D566" s="18"/>
      <c r="E566" s="556"/>
      <c r="F566" s="507"/>
      <c r="G566" s="507"/>
      <c r="H566" s="507"/>
      <c r="I566" s="507"/>
      <c r="J566" s="507"/>
      <c r="K566" s="507"/>
      <c r="L566" s="507"/>
      <c r="M566" s="507"/>
      <c r="N566" s="507"/>
      <c r="O566" s="507"/>
      <c r="P566" s="507"/>
      <c r="Q566" s="507"/>
      <c r="R566" s="507"/>
      <c r="S566" s="507"/>
      <c r="T566" s="507"/>
      <c r="U566" s="507"/>
      <c r="V566" s="507"/>
      <c r="W566" s="507"/>
    </row>
    <row r="567" ht="35.25" customHeight="1">
      <c r="A567" s="18"/>
      <c r="B567" s="547" t="s">
        <v>89</v>
      </c>
      <c r="C567" s="593">
        <v>5.39943E7</v>
      </c>
      <c r="D567" s="18"/>
      <c r="E567" s="507"/>
      <c r="F567" s="507"/>
      <c r="G567" s="507"/>
      <c r="H567" s="507"/>
      <c r="I567" s="507"/>
      <c r="J567" s="507"/>
      <c r="K567" s="507"/>
      <c r="L567" s="507"/>
      <c r="M567" s="507"/>
      <c r="N567" s="507"/>
      <c r="O567" s="507"/>
      <c r="P567" s="507"/>
      <c r="Q567" s="507"/>
      <c r="R567" s="507"/>
      <c r="S567" s="507"/>
      <c r="T567" s="507"/>
      <c r="U567" s="507"/>
      <c r="V567" s="507"/>
      <c r="W567" s="507"/>
    </row>
    <row r="568" ht="35.25" customHeight="1">
      <c r="A568" s="22"/>
      <c r="B568" s="547" t="s">
        <v>220</v>
      </c>
      <c r="C568" s="593">
        <v>4.9634E7</v>
      </c>
      <c r="D568" s="22"/>
      <c r="E568" s="507"/>
      <c r="F568" s="507"/>
      <c r="G568" s="507"/>
      <c r="H568" s="507"/>
      <c r="I568" s="507"/>
      <c r="J568" s="507"/>
      <c r="K568" s="507"/>
      <c r="L568" s="507"/>
      <c r="M568" s="507"/>
      <c r="N568" s="507"/>
      <c r="O568" s="507"/>
      <c r="P568" s="507"/>
      <c r="Q568" s="507"/>
      <c r="R568" s="507"/>
      <c r="S568" s="507"/>
      <c r="T568" s="507"/>
      <c r="U568" s="507"/>
      <c r="V568" s="507"/>
      <c r="W568" s="507"/>
    </row>
    <row r="569" ht="35.25" customHeight="1">
      <c r="A569" s="679" t="s">
        <v>518</v>
      </c>
      <c r="B569" s="547" t="s">
        <v>76</v>
      </c>
      <c r="C569" s="593">
        <f>99718000-97002000</f>
        <v>2716000</v>
      </c>
      <c r="D569" s="680">
        <f>SUM(C569:C573)</f>
        <v>110513500</v>
      </c>
      <c r="E569" s="507"/>
      <c r="F569" s="507"/>
      <c r="G569" s="507"/>
      <c r="H569" s="507"/>
      <c r="I569" s="507"/>
      <c r="J569" s="507"/>
      <c r="K569" s="507"/>
      <c r="L569" s="507"/>
      <c r="M569" s="507"/>
      <c r="N569" s="507"/>
      <c r="O569" s="507"/>
      <c r="P569" s="507"/>
      <c r="Q569" s="507"/>
      <c r="R569" s="507"/>
      <c r="S569" s="507"/>
      <c r="T569" s="507"/>
      <c r="U569" s="507"/>
      <c r="V569" s="507"/>
      <c r="W569" s="507"/>
    </row>
    <row r="570" ht="35.25" customHeight="1">
      <c r="A570" s="18"/>
      <c r="B570" s="547" t="s">
        <v>88</v>
      </c>
      <c r="C570" s="593" t="s">
        <v>7</v>
      </c>
      <c r="D570" s="18"/>
      <c r="E570" s="556"/>
      <c r="F570" s="507"/>
      <c r="G570" s="507"/>
      <c r="H570" s="507"/>
      <c r="I570" s="507"/>
      <c r="J570" s="507"/>
      <c r="K570" s="507"/>
      <c r="L570" s="507"/>
      <c r="M570" s="507"/>
      <c r="N570" s="507"/>
      <c r="O570" s="507"/>
      <c r="P570" s="507"/>
      <c r="Q570" s="507"/>
      <c r="R570" s="507"/>
      <c r="S570" s="507"/>
      <c r="T570" s="507"/>
      <c r="U570" s="507"/>
      <c r="V570" s="507"/>
      <c r="W570" s="507"/>
    </row>
    <row r="571" ht="35.25" customHeight="1">
      <c r="A571" s="18"/>
      <c r="B571" s="547" t="s">
        <v>219</v>
      </c>
      <c r="C571" s="593" t="s">
        <v>7</v>
      </c>
      <c r="D571" s="18"/>
      <c r="E571" s="507"/>
      <c r="F571" s="507"/>
      <c r="G571" s="507"/>
      <c r="H571" s="507"/>
      <c r="I571" s="507"/>
      <c r="J571" s="507"/>
      <c r="K571" s="507"/>
      <c r="L571" s="507"/>
      <c r="M571" s="507"/>
      <c r="N571" s="507"/>
      <c r="O571" s="507"/>
      <c r="P571" s="507"/>
      <c r="Q571" s="507"/>
      <c r="R571" s="507"/>
      <c r="S571" s="507"/>
      <c r="T571" s="507"/>
      <c r="U571" s="507"/>
      <c r="V571" s="507"/>
      <c r="W571" s="507"/>
    </row>
    <row r="572" ht="35.25" customHeight="1">
      <c r="A572" s="18"/>
      <c r="B572" s="547" t="s">
        <v>89</v>
      </c>
      <c r="C572" s="593">
        <v>5.754E7</v>
      </c>
      <c r="D572" s="18"/>
      <c r="E572" s="507"/>
      <c r="F572" s="507"/>
      <c r="G572" s="704"/>
      <c r="H572" s="705"/>
      <c r="I572" s="556"/>
      <c r="J572" s="507"/>
      <c r="K572" s="507"/>
      <c r="L572" s="507"/>
      <c r="M572" s="507"/>
      <c r="N572" s="507"/>
      <c r="O572" s="507"/>
      <c r="P572" s="507"/>
      <c r="Q572" s="507"/>
      <c r="R572" s="507"/>
      <c r="S572" s="507"/>
      <c r="T572" s="507"/>
      <c r="U572" s="507"/>
      <c r="V572" s="507"/>
      <c r="W572" s="507"/>
    </row>
    <row r="573" ht="35.25" customHeight="1">
      <c r="A573" s="22"/>
      <c r="B573" s="547" t="s">
        <v>220</v>
      </c>
      <c r="C573" s="593">
        <v>5.02575E7</v>
      </c>
      <c r="D573" s="22"/>
      <c r="E573" s="507"/>
      <c r="F573" s="507"/>
      <c r="G573" s="554" t="s">
        <v>1</v>
      </c>
      <c r="H573" s="683" t="s">
        <v>69</v>
      </c>
      <c r="I573" s="524" t="s">
        <v>702</v>
      </c>
      <c r="J573" s="507"/>
      <c r="K573" s="507"/>
      <c r="L573" s="507"/>
      <c r="M573" s="507"/>
      <c r="N573" s="507"/>
      <c r="O573" s="507"/>
      <c r="P573" s="507"/>
      <c r="Q573" s="507"/>
      <c r="R573" s="507"/>
      <c r="S573" s="507"/>
      <c r="T573" s="507"/>
      <c r="U573" s="507"/>
      <c r="V573" s="507"/>
      <c r="W573" s="507"/>
    </row>
    <row r="574" ht="35.25" customHeight="1">
      <c r="A574" s="679" t="s">
        <v>634</v>
      </c>
      <c r="B574" s="547" t="s">
        <v>88</v>
      </c>
      <c r="C574" s="593">
        <v>3.5085E7</v>
      </c>
      <c r="D574" s="680">
        <f>SUM(C574:C577)</f>
        <v>91352000</v>
      </c>
      <c r="E574" s="507"/>
      <c r="F574" s="507"/>
      <c r="G574" s="520" t="s">
        <v>703</v>
      </c>
      <c r="H574" s="684">
        <v>3.996795E8</v>
      </c>
      <c r="I574" s="685" t="s">
        <v>704</v>
      </c>
      <c r="J574" s="507"/>
      <c r="K574" s="507"/>
      <c r="L574" s="507"/>
      <c r="M574" s="507"/>
      <c r="N574" s="507"/>
      <c r="O574" s="507"/>
      <c r="P574" s="507"/>
      <c r="Q574" s="507"/>
      <c r="R574" s="507"/>
      <c r="S574" s="507"/>
      <c r="T574" s="507"/>
      <c r="U574" s="507"/>
      <c r="V574" s="507"/>
      <c r="W574" s="507"/>
    </row>
    <row r="575" ht="35.25" customHeight="1">
      <c r="A575" s="18"/>
      <c r="B575" s="547" t="s">
        <v>821</v>
      </c>
      <c r="C575" s="593">
        <v>2.1711E7</v>
      </c>
      <c r="D575" s="18"/>
      <c r="E575" s="556"/>
      <c r="F575" s="507"/>
      <c r="G575" s="520" t="s">
        <v>93</v>
      </c>
      <c r="H575" s="684">
        <v>1.750635E8</v>
      </c>
      <c r="I575" s="18"/>
      <c r="J575" s="507"/>
      <c r="K575" s="507"/>
      <c r="L575" s="507"/>
      <c r="M575" s="507"/>
      <c r="N575" s="507"/>
      <c r="O575" s="507"/>
      <c r="P575" s="507"/>
      <c r="Q575" s="507"/>
      <c r="R575" s="507"/>
      <c r="S575" s="507"/>
      <c r="T575" s="507"/>
      <c r="U575" s="507"/>
      <c r="V575" s="507"/>
      <c r="W575" s="507"/>
    </row>
    <row r="576" ht="35.25" customHeight="1">
      <c r="A576" s="18"/>
      <c r="B576" s="547" t="s">
        <v>89</v>
      </c>
      <c r="C576" s="593">
        <v>1.6814E7</v>
      </c>
      <c r="D576" s="18"/>
      <c r="E576" s="507"/>
      <c r="F576" s="507"/>
      <c r="G576" s="520" t="s">
        <v>172</v>
      </c>
      <c r="H576" s="684">
        <v>2.146755E8</v>
      </c>
      <c r="I576" s="18"/>
      <c r="J576" s="507"/>
      <c r="K576" s="507"/>
      <c r="L576" s="507"/>
      <c r="M576" s="507"/>
      <c r="N576" s="507"/>
      <c r="O576" s="507"/>
      <c r="P576" s="507"/>
      <c r="Q576" s="507"/>
      <c r="R576" s="507"/>
      <c r="S576" s="507"/>
      <c r="T576" s="507"/>
      <c r="U576" s="507"/>
      <c r="V576" s="507"/>
      <c r="W576" s="507"/>
    </row>
    <row r="577" ht="35.25" customHeight="1">
      <c r="A577" s="22"/>
      <c r="B577" s="547" t="s">
        <v>220</v>
      </c>
      <c r="C577" s="593">
        <v>1.7742E7</v>
      </c>
      <c r="D577" s="22"/>
      <c r="E577" s="507"/>
      <c r="F577" s="507"/>
      <c r="G577" s="520" t="s">
        <v>705</v>
      </c>
      <c r="H577" s="684">
        <v>1.233225E8</v>
      </c>
      <c r="I577" s="22"/>
      <c r="J577" s="507"/>
      <c r="K577" s="507"/>
      <c r="L577" s="507"/>
      <c r="M577" s="507"/>
      <c r="N577" s="507"/>
      <c r="O577" s="507"/>
      <c r="P577" s="507"/>
      <c r="Q577" s="507"/>
      <c r="R577" s="507"/>
      <c r="S577" s="507"/>
      <c r="T577" s="507"/>
      <c r="U577" s="507"/>
      <c r="V577" s="507"/>
      <c r="W577" s="507"/>
    </row>
    <row r="578" ht="35.25" customHeight="1">
      <c r="A578" s="679" t="s">
        <v>635</v>
      </c>
      <c r="B578" s="547" t="s">
        <v>88</v>
      </c>
      <c r="C578" s="593" t="s">
        <v>7</v>
      </c>
      <c r="D578" s="680">
        <f>SUM(C578:C581)</f>
        <v>15560000</v>
      </c>
      <c r="E578" s="507"/>
      <c r="F578" s="507"/>
      <c r="G578" s="520" t="s">
        <v>101</v>
      </c>
      <c r="H578" s="684">
        <v>1.509935E8</v>
      </c>
      <c r="I578" s="686" t="s">
        <v>706</v>
      </c>
      <c r="J578" s="507"/>
      <c r="K578" s="507"/>
      <c r="L578" s="507"/>
      <c r="M578" s="507"/>
      <c r="N578" s="507"/>
      <c r="O578" s="507"/>
      <c r="P578" s="507"/>
      <c r="Q578" s="507"/>
      <c r="R578" s="507"/>
      <c r="S578" s="507"/>
      <c r="T578" s="507"/>
      <c r="U578" s="507"/>
      <c r="V578" s="507"/>
      <c r="W578" s="507"/>
    </row>
    <row r="579" ht="35.25" customHeight="1">
      <c r="A579" s="18"/>
      <c r="B579" s="547" t="s">
        <v>219</v>
      </c>
      <c r="C579" s="593" t="s">
        <v>7</v>
      </c>
      <c r="D579" s="18"/>
      <c r="E579" s="507"/>
      <c r="F579" s="507"/>
      <c r="G579" s="687" t="s">
        <v>124</v>
      </c>
      <c r="H579" s="684">
        <v>2.39463E8</v>
      </c>
      <c r="I579" s="18"/>
      <c r="J579" s="507"/>
      <c r="K579" s="507"/>
      <c r="L579" s="507"/>
      <c r="M579" s="507"/>
      <c r="N579" s="507"/>
      <c r="O579" s="507"/>
      <c r="P579" s="507"/>
      <c r="Q579" s="507"/>
      <c r="R579" s="507"/>
      <c r="S579" s="507"/>
      <c r="T579" s="507"/>
      <c r="U579" s="507"/>
      <c r="V579" s="507"/>
      <c r="W579" s="507"/>
    </row>
    <row r="580" ht="35.25" customHeight="1">
      <c r="A580" s="18"/>
      <c r="B580" s="547" t="s">
        <v>89</v>
      </c>
      <c r="C580" s="593">
        <v>1.556E7</v>
      </c>
      <c r="D580" s="18"/>
      <c r="E580" s="507"/>
      <c r="F580" s="507"/>
      <c r="G580" s="688" t="s">
        <v>128</v>
      </c>
      <c r="H580" s="684">
        <v>1.30292E8</v>
      </c>
      <c r="I580" s="18"/>
      <c r="J580" s="507"/>
      <c r="K580" s="507"/>
      <c r="L580" s="507"/>
      <c r="M580" s="507"/>
      <c r="N580" s="507"/>
      <c r="O580" s="507"/>
      <c r="P580" s="507"/>
      <c r="Q580" s="507"/>
      <c r="R580" s="507"/>
      <c r="S580" s="507"/>
      <c r="T580" s="507"/>
      <c r="U580" s="507"/>
      <c r="V580" s="507"/>
      <c r="W580" s="507"/>
    </row>
    <row r="581" ht="35.25" customHeight="1">
      <c r="A581" s="22"/>
      <c r="B581" s="547" t="s">
        <v>220</v>
      </c>
      <c r="C581" s="593">
        <v>0.0</v>
      </c>
      <c r="D581" s="22"/>
      <c r="E581" s="507"/>
      <c r="F581" s="507"/>
      <c r="G581" s="688" t="s">
        <v>276</v>
      </c>
      <c r="H581" s="587">
        <v>2.312985E8</v>
      </c>
      <c r="I581" s="18"/>
      <c r="J581" s="507"/>
      <c r="K581" s="507"/>
      <c r="L581" s="507"/>
      <c r="M581" s="507"/>
      <c r="N581" s="507"/>
      <c r="O581" s="507"/>
      <c r="P581" s="507"/>
      <c r="Q581" s="507"/>
      <c r="R581" s="507"/>
      <c r="S581" s="507"/>
      <c r="T581" s="507"/>
      <c r="U581" s="507"/>
      <c r="V581" s="507"/>
      <c r="W581" s="507"/>
    </row>
    <row r="582" ht="35.25" customHeight="1">
      <c r="A582" s="679" t="s">
        <v>636</v>
      </c>
      <c r="B582" s="547" t="s">
        <v>822</v>
      </c>
      <c r="C582" s="593">
        <v>1.96525E7</v>
      </c>
      <c r="D582" s="680">
        <f>SUM(C582:C585)</f>
        <v>42202500</v>
      </c>
      <c r="E582" s="507"/>
      <c r="F582" s="507"/>
      <c r="G582" s="514" t="s">
        <v>178</v>
      </c>
      <c r="H582" s="587">
        <v>2.009485E8</v>
      </c>
      <c r="I582" s="18"/>
      <c r="J582" s="507"/>
      <c r="K582" s="507"/>
      <c r="L582" s="507"/>
      <c r="M582" s="507"/>
      <c r="N582" s="507"/>
      <c r="O582" s="507"/>
      <c r="P582" s="507"/>
      <c r="Q582" s="507"/>
      <c r="R582" s="507"/>
      <c r="S582" s="507"/>
      <c r="T582" s="507"/>
      <c r="U582" s="507"/>
      <c r="V582" s="507"/>
      <c r="W582" s="507"/>
    </row>
    <row r="583" ht="35.25" customHeight="1">
      <c r="A583" s="18"/>
      <c r="B583" s="547" t="s">
        <v>823</v>
      </c>
      <c r="C583" s="593">
        <v>2.255E7</v>
      </c>
      <c r="D583" s="18"/>
      <c r="E583" s="507"/>
      <c r="F583" s="507"/>
      <c r="G583" s="514" t="s">
        <v>154</v>
      </c>
      <c r="H583" s="684">
        <v>1.804788E8</v>
      </c>
      <c r="I583" s="18"/>
      <c r="J583" s="507"/>
      <c r="K583" s="507"/>
      <c r="L583" s="507"/>
      <c r="M583" s="507"/>
      <c r="N583" s="507"/>
      <c r="O583" s="507"/>
      <c r="P583" s="507"/>
      <c r="Q583" s="507"/>
      <c r="R583" s="507"/>
      <c r="S583" s="507"/>
      <c r="T583" s="507"/>
      <c r="U583" s="507"/>
      <c r="V583" s="507"/>
      <c r="W583" s="507"/>
    </row>
    <row r="584" ht="35.25" customHeight="1">
      <c r="A584" s="18"/>
      <c r="B584" s="547"/>
      <c r="C584" s="593"/>
      <c r="D584" s="18"/>
      <c r="E584" s="507"/>
      <c r="F584" s="507"/>
      <c r="G584" s="524" t="s">
        <v>707</v>
      </c>
      <c r="H584" s="684">
        <v>3.667255E8</v>
      </c>
      <c r="I584" s="18"/>
      <c r="J584" s="507"/>
      <c r="K584" s="507"/>
      <c r="L584" s="507"/>
      <c r="M584" s="507"/>
      <c r="N584" s="507"/>
      <c r="O584" s="507"/>
      <c r="P584" s="507"/>
      <c r="Q584" s="507"/>
      <c r="R584" s="507"/>
      <c r="S584" s="507"/>
      <c r="T584" s="507"/>
      <c r="U584" s="507"/>
      <c r="V584" s="507"/>
      <c r="W584" s="507"/>
    </row>
    <row r="585" ht="35.25" customHeight="1">
      <c r="A585" s="22"/>
      <c r="B585" s="547"/>
      <c r="C585" s="593"/>
      <c r="D585" s="22"/>
      <c r="E585" s="507"/>
      <c r="F585" s="507"/>
      <c r="G585" s="524" t="s">
        <v>708</v>
      </c>
      <c r="H585" s="587">
        <v>1.589195E8</v>
      </c>
      <c r="I585" s="18"/>
      <c r="J585" s="507"/>
      <c r="K585" s="507"/>
      <c r="L585" s="507"/>
      <c r="M585" s="507"/>
      <c r="N585" s="507"/>
      <c r="O585" s="507"/>
      <c r="P585" s="507"/>
      <c r="Q585" s="507"/>
      <c r="R585" s="507"/>
      <c r="S585" s="507"/>
      <c r="T585" s="507"/>
      <c r="U585" s="507"/>
      <c r="V585" s="507"/>
      <c r="W585" s="507"/>
    </row>
    <row r="586" ht="35.25" customHeight="1">
      <c r="A586" s="679" t="s">
        <v>640</v>
      </c>
      <c r="B586" s="547" t="s">
        <v>88</v>
      </c>
      <c r="C586" s="593">
        <v>1.46892E8</v>
      </c>
      <c r="D586" s="680">
        <f>SUM(C586:C589)</f>
        <v>354494500</v>
      </c>
      <c r="E586" s="507"/>
      <c r="F586" s="507"/>
      <c r="G586" s="524" t="s">
        <v>108</v>
      </c>
      <c r="H586" s="587">
        <v>7.63693E7</v>
      </c>
      <c r="I586" s="18"/>
      <c r="J586" s="507"/>
      <c r="K586" s="507"/>
      <c r="L586" s="507"/>
      <c r="M586" s="507"/>
      <c r="N586" s="507"/>
      <c r="O586" s="507"/>
      <c r="P586" s="507"/>
      <c r="Q586" s="507"/>
      <c r="R586" s="507"/>
      <c r="S586" s="507"/>
      <c r="T586" s="507"/>
      <c r="U586" s="507"/>
      <c r="V586" s="507"/>
      <c r="W586" s="507"/>
    </row>
    <row r="587" ht="35.25" customHeight="1">
      <c r="A587" s="18"/>
      <c r="B587" s="547" t="s">
        <v>821</v>
      </c>
      <c r="C587" s="593">
        <v>5.22055E7</v>
      </c>
      <c r="D587" s="18"/>
      <c r="E587" s="556"/>
      <c r="F587" s="507"/>
      <c r="G587" s="524" t="s">
        <v>29</v>
      </c>
      <c r="H587" s="587">
        <v>1.904365E8</v>
      </c>
      <c r="I587" s="18"/>
      <c r="J587" s="507"/>
      <c r="K587" s="507"/>
      <c r="L587" s="507"/>
      <c r="M587" s="507"/>
      <c r="N587" s="507"/>
      <c r="O587" s="507"/>
      <c r="P587" s="507"/>
      <c r="Q587" s="507"/>
      <c r="R587" s="507"/>
      <c r="S587" s="507"/>
      <c r="T587" s="507"/>
      <c r="U587" s="507"/>
      <c r="V587" s="507"/>
      <c r="W587" s="507"/>
    </row>
    <row r="588" ht="35.25" customHeight="1">
      <c r="A588" s="18"/>
      <c r="B588" s="547" t="s">
        <v>89</v>
      </c>
      <c r="C588" s="593">
        <v>7.4472E7</v>
      </c>
      <c r="D588" s="18"/>
      <c r="E588" s="507"/>
      <c r="F588" s="507"/>
      <c r="G588" s="524" t="s">
        <v>138</v>
      </c>
      <c r="H588" s="587">
        <v>1.08687E8</v>
      </c>
      <c r="I588" s="22"/>
      <c r="J588" s="507"/>
      <c r="K588" s="507"/>
      <c r="L588" s="507"/>
      <c r="M588" s="507"/>
      <c r="N588" s="507"/>
      <c r="O588" s="507"/>
      <c r="P588" s="507"/>
      <c r="Q588" s="507"/>
      <c r="R588" s="507"/>
      <c r="S588" s="507"/>
      <c r="T588" s="507"/>
      <c r="U588" s="507"/>
      <c r="V588" s="507"/>
      <c r="W588" s="507"/>
    </row>
    <row r="589" ht="35.25" customHeight="1">
      <c r="A589" s="22"/>
      <c r="B589" s="547" t="s">
        <v>220</v>
      </c>
      <c r="C589" s="593">
        <v>8.0925E7</v>
      </c>
      <c r="D589" s="22"/>
      <c r="E589" s="507"/>
      <c r="F589" s="507"/>
      <c r="G589" s="507"/>
      <c r="H589" s="507"/>
      <c r="I589" s="507"/>
      <c r="J589" s="507"/>
      <c r="K589" s="507"/>
      <c r="L589" s="507"/>
      <c r="M589" s="507"/>
      <c r="N589" s="507"/>
      <c r="O589" s="507"/>
      <c r="P589" s="507"/>
      <c r="Q589" s="507"/>
      <c r="R589" s="507"/>
      <c r="S589" s="507"/>
      <c r="T589" s="507"/>
      <c r="U589" s="507"/>
      <c r="V589" s="507"/>
      <c r="W589" s="507"/>
    </row>
    <row r="590" ht="35.25" customHeight="1">
      <c r="A590" s="679" t="s">
        <v>642</v>
      </c>
      <c r="B590" s="547" t="s">
        <v>76</v>
      </c>
      <c r="C590" s="593">
        <f>229454700-30000000-35000000-35000000</f>
        <v>129454700</v>
      </c>
      <c r="D590" s="680">
        <f>SUM(C590:C594)</f>
        <v>253527200</v>
      </c>
      <c r="E590" s="507"/>
      <c r="F590" s="507"/>
      <c r="G590" s="507"/>
      <c r="H590" s="507"/>
      <c r="I590" s="507"/>
      <c r="J590" s="507"/>
      <c r="K590" s="507"/>
      <c r="L590" s="507"/>
      <c r="M590" s="507"/>
      <c r="N590" s="507"/>
      <c r="O590" s="507"/>
      <c r="P590" s="507"/>
      <c r="Q590" s="507"/>
      <c r="R590" s="507"/>
      <c r="S590" s="507"/>
      <c r="T590" s="507"/>
      <c r="U590" s="507"/>
      <c r="V590" s="507"/>
      <c r="W590" s="507"/>
    </row>
    <row r="591" ht="35.25" customHeight="1">
      <c r="A591" s="18"/>
      <c r="B591" s="547" t="s">
        <v>88</v>
      </c>
      <c r="C591" s="593">
        <v>3.80115E7</v>
      </c>
      <c r="D591" s="18"/>
      <c r="E591" s="507"/>
      <c r="F591" s="507"/>
      <c r="G591" s="507"/>
      <c r="H591" s="507"/>
      <c r="I591" s="507"/>
      <c r="J591" s="507"/>
      <c r="K591" s="507"/>
      <c r="L591" s="507"/>
      <c r="M591" s="507"/>
      <c r="N591" s="507"/>
      <c r="O591" s="507"/>
      <c r="P591" s="507"/>
      <c r="Q591" s="507"/>
      <c r="R591" s="507"/>
      <c r="S591" s="507"/>
      <c r="T591" s="507"/>
      <c r="U591" s="507"/>
      <c r="V591" s="507"/>
      <c r="W591" s="507"/>
    </row>
    <row r="592" ht="35.25" customHeight="1">
      <c r="A592" s="18"/>
      <c r="B592" s="547" t="s">
        <v>821</v>
      </c>
      <c r="C592" s="593">
        <v>0.0</v>
      </c>
      <c r="D592" s="18"/>
      <c r="E592" s="507"/>
      <c r="F592" s="556">
        <v>7.61192E7</v>
      </c>
      <c r="G592" s="507"/>
      <c r="H592" s="507"/>
      <c r="I592" s="507"/>
      <c r="J592" s="507"/>
      <c r="K592" s="507"/>
      <c r="L592" s="507"/>
      <c r="M592" s="507"/>
      <c r="N592" s="507"/>
      <c r="O592" s="507"/>
      <c r="P592" s="507"/>
      <c r="Q592" s="507"/>
      <c r="R592" s="507"/>
      <c r="S592" s="507"/>
      <c r="T592" s="507"/>
      <c r="U592" s="507"/>
      <c r="V592" s="507"/>
      <c r="W592" s="507"/>
    </row>
    <row r="593" ht="35.25" customHeight="1">
      <c r="A593" s="18"/>
      <c r="B593" s="547" t="s">
        <v>89</v>
      </c>
      <c r="C593" s="593">
        <v>3.44485E7</v>
      </c>
      <c r="D593" s="18"/>
      <c r="E593" s="507"/>
      <c r="F593" s="507"/>
      <c r="G593" s="507"/>
      <c r="H593" s="507"/>
      <c r="I593" s="507"/>
      <c r="J593" s="507"/>
      <c r="K593" s="507"/>
      <c r="L593" s="507"/>
      <c r="M593" s="507"/>
      <c r="N593" s="507"/>
      <c r="O593" s="507"/>
      <c r="P593" s="507"/>
      <c r="Q593" s="507"/>
      <c r="R593" s="507"/>
      <c r="S593" s="507"/>
      <c r="T593" s="507"/>
      <c r="U593" s="507"/>
      <c r="V593" s="507"/>
      <c r="W593" s="507"/>
    </row>
    <row r="594" ht="35.25" customHeight="1">
      <c r="A594" s="22"/>
      <c r="B594" s="547" t="s">
        <v>220</v>
      </c>
      <c r="C594" s="593">
        <v>5.16125E7</v>
      </c>
      <c r="D594" s="22"/>
      <c r="E594" s="507"/>
      <c r="F594" s="507"/>
      <c r="G594" s="507"/>
      <c r="H594" s="507"/>
      <c r="I594" s="507"/>
      <c r="J594" s="507"/>
      <c r="K594" s="507"/>
      <c r="L594" s="507"/>
      <c r="M594" s="507"/>
      <c r="N594" s="507"/>
      <c r="O594" s="507"/>
      <c r="P594" s="507"/>
      <c r="Q594" s="507"/>
      <c r="R594" s="507"/>
      <c r="S594" s="507"/>
      <c r="T594" s="507"/>
      <c r="U594" s="507"/>
      <c r="V594" s="507"/>
      <c r="W594" s="507"/>
    </row>
    <row r="595" ht="35.25" customHeight="1">
      <c r="A595" s="679" t="s">
        <v>643</v>
      </c>
      <c r="B595" s="547" t="s">
        <v>88</v>
      </c>
      <c r="C595" s="593">
        <v>4.2174E7</v>
      </c>
      <c r="D595" s="680">
        <f>SUM(C595:C598)</f>
        <v>126554000</v>
      </c>
      <c r="E595" s="507"/>
      <c r="F595" s="507"/>
      <c r="G595" s="507"/>
      <c r="H595" s="507"/>
      <c r="I595" s="507"/>
      <c r="J595" s="507"/>
      <c r="K595" s="507"/>
      <c r="L595" s="507"/>
      <c r="M595" s="507"/>
      <c r="N595" s="507"/>
      <c r="O595" s="507"/>
      <c r="P595" s="507"/>
      <c r="Q595" s="507"/>
      <c r="R595" s="507"/>
      <c r="S595" s="507"/>
      <c r="T595" s="507"/>
      <c r="U595" s="507"/>
      <c r="V595" s="507"/>
      <c r="W595" s="507"/>
    </row>
    <row r="596" ht="35.25" customHeight="1">
      <c r="A596" s="18"/>
      <c r="B596" s="547" t="s">
        <v>821</v>
      </c>
      <c r="C596" s="598">
        <v>3.04935E7</v>
      </c>
      <c r="D596" s="18"/>
      <c r="E596" s="556"/>
      <c r="F596" s="507"/>
      <c r="G596" s="507"/>
      <c r="H596" s="507"/>
      <c r="I596" s="507"/>
      <c r="J596" s="507"/>
      <c r="K596" s="507"/>
      <c r="L596" s="507"/>
      <c r="M596" s="507"/>
      <c r="N596" s="507"/>
      <c r="O596" s="507"/>
      <c r="P596" s="507"/>
      <c r="Q596" s="507"/>
      <c r="R596" s="507"/>
      <c r="S596" s="507"/>
      <c r="T596" s="507"/>
      <c r="U596" s="507"/>
      <c r="V596" s="507"/>
      <c r="W596" s="507"/>
    </row>
    <row r="597" ht="35.25" customHeight="1">
      <c r="A597" s="18"/>
      <c r="B597" s="547" t="s">
        <v>89</v>
      </c>
      <c r="C597" s="598">
        <f>34941500-175000</f>
        <v>34766500</v>
      </c>
      <c r="D597" s="18"/>
      <c r="E597" s="507"/>
      <c r="F597" s="507"/>
      <c r="G597" s="507"/>
      <c r="H597" s="507"/>
      <c r="I597" s="507"/>
      <c r="J597" s="507"/>
      <c r="K597" s="507"/>
      <c r="L597" s="507"/>
      <c r="M597" s="507"/>
      <c r="N597" s="507"/>
      <c r="O597" s="507"/>
      <c r="P597" s="507"/>
      <c r="Q597" s="507"/>
      <c r="R597" s="507"/>
      <c r="S597" s="507"/>
      <c r="T597" s="507"/>
      <c r="U597" s="507"/>
      <c r="V597" s="507"/>
      <c r="W597" s="507"/>
    </row>
    <row r="598" ht="35.25" customHeight="1">
      <c r="A598" s="22"/>
      <c r="B598" s="547" t="s">
        <v>220</v>
      </c>
      <c r="C598" s="598">
        <v>1.912E7</v>
      </c>
      <c r="D598" s="22"/>
      <c r="E598" s="507"/>
      <c r="F598" s="507"/>
      <c r="G598" s="507"/>
      <c r="H598" s="507"/>
      <c r="I598" s="507"/>
      <c r="J598" s="507"/>
      <c r="K598" s="507"/>
      <c r="L598" s="507"/>
      <c r="M598" s="507"/>
      <c r="N598" s="507"/>
      <c r="O598" s="507"/>
      <c r="P598" s="507"/>
      <c r="Q598" s="507"/>
      <c r="R598" s="507"/>
      <c r="S598" s="507"/>
      <c r="T598" s="507"/>
      <c r="U598" s="507"/>
      <c r="V598" s="507"/>
      <c r="W598" s="507"/>
    </row>
    <row r="599" ht="35.25" customHeight="1">
      <c r="A599" s="679" t="s">
        <v>709</v>
      </c>
      <c r="B599" s="547" t="s">
        <v>88</v>
      </c>
      <c r="C599" s="593" t="s">
        <v>7</v>
      </c>
      <c r="D599" s="680">
        <f>SUM(C599:C602)</f>
        <v>128871500</v>
      </c>
      <c r="E599" s="507"/>
      <c r="F599" s="507"/>
      <c r="G599" s="507"/>
      <c r="H599" s="507"/>
      <c r="I599" s="507"/>
      <c r="J599" s="507"/>
      <c r="K599" s="507"/>
      <c r="L599" s="507"/>
      <c r="M599" s="507"/>
      <c r="N599" s="507"/>
      <c r="O599" s="507"/>
      <c r="P599" s="507"/>
      <c r="Q599" s="507"/>
      <c r="R599" s="507"/>
      <c r="S599" s="507"/>
      <c r="T599" s="507"/>
      <c r="U599" s="507"/>
      <c r="V599" s="507"/>
      <c r="W599" s="507"/>
    </row>
    <row r="600" ht="35.25" customHeight="1">
      <c r="A600" s="18"/>
      <c r="B600" s="547" t="s">
        <v>219</v>
      </c>
      <c r="C600" s="593">
        <f>59705500-12419000</f>
        <v>47286500</v>
      </c>
      <c r="D600" s="18"/>
      <c r="E600" s="556"/>
      <c r="F600" s="507"/>
      <c r="G600" s="507"/>
      <c r="H600" s="507"/>
      <c r="I600" s="507"/>
      <c r="J600" s="507"/>
      <c r="K600" s="507"/>
      <c r="L600" s="507"/>
      <c r="M600" s="507"/>
      <c r="N600" s="507"/>
      <c r="O600" s="507"/>
      <c r="P600" s="507"/>
      <c r="Q600" s="507"/>
      <c r="R600" s="507"/>
      <c r="S600" s="507"/>
      <c r="T600" s="507"/>
      <c r="U600" s="507"/>
      <c r="V600" s="507"/>
      <c r="W600" s="507"/>
    </row>
    <row r="601" ht="35.25" customHeight="1">
      <c r="A601" s="18"/>
      <c r="B601" s="547" t="s">
        <v>89</v>
      </c>
      <c r="C601" s="598">
        <v>4.1768E7</v>
      </c>
      <c r="D601" s="18"/>
      <c r="E601" s="507"/>
      <c r="F601" s="507"/>
      <c r="G601" s="507"/>
      <c r="H601" s="507"/>
      <c r="I601" s="507"/>
      <c r="J601" s="507"/>
      <c r="K601" s="507"/>
      <c r="L601" s="507"/>
      <c r="M601" s="507"/>
      <c r="N601" s="507"/>
      <c r="O601" s="507"/>
      <c r="P601" s="507"/>
      <c r="Q601" s="507"/>
      <c r="R601" s="507"/>
      <c r="S601" s="507"/>
      <c r="T601" s="507"/>
      <c r="U601" s="507"/>
      <c r="V601" s="507"/>
      <c r="W601" s="507"/>
    </row>
    <row r="602" ht="33.0" customHeight="1">
      <c r="A602" s="22"/>
      <c r="B602" s="547" t="s">
        <v>220</v>
      </c>
      <c r="C602" s="598">
        <v>3.9817E7</v>
      </c>
      <c r="D602" s="22"/>
      <c r="E602" s="507"/>
      <c r="F602" s="507"/>
      <c r="G602" s="507"/>
      <c r="H602" s="507"/>
      <c r="I602" s="507"/>
      <c r="J602" s="507"/>
      <c r="K602" s="507"/>
      <c r="L602" s="507"/>
      <c r="M602" s="507"/>
      <c r="N602" s="507"/>
      <c r="O602" s="507"/>
      <c r="P602" s="507"/>
      <c r="Q602" s="507"/>
      <c r="R602" s="507"/>
      <c r="S602" s="507"/>
      <c r="T602" s="507"/>
      <c r="U602" s="507"/>
      <c r="V602" s="507"/>
      <c r="W602" s="507"/>
    </row>
    <row r="603" ht="35.25" customHeight="1">
      <c r="A603" s="679" t="s">
        <v>710</v>
      </c>
      <c r="B603" s="547" t="s">
        <v>76</v>
      </c>
      <c r="C603" s="593" t="s">
        <v>7</v>
      </c>
      <c r="D603" s="680">
        <f>SUM(C603:C607)</f>
        <v>93057500</v>
      </c>
      <c r="E603" s="507"/>
      <c r="F603" s="507"/>
      <c r="G603" s="507"/>
      <c r="H603" s="507"/>
      <c r="I603" s="507"/>
      <c r="J603" s="507"/>
      <c r="K603" s="507"/>
      <c r="L603" s="507"/>
      <c r="M603" s="507"/>
      <c r="N603" s="507"/>
      <c r="O603" s="507"/>
      <c r="P603" s="507"/>
      <c r="Q603" s="507"/>
      <c r="R603" s="507"/>
      <c r="S603" s="507"/>
      <c r="T603" s="507"/>
      <c r="U603" s="507"/>
      <c r="V603" s="507"/>
      <c r="W603" s="507"/>
    </row>
    <row r="604" ht="35.25" customHeight="1">
      <c r="A604" s="18"/>
      <c r="B604" s="547" t="s">
        <v>88</v>
      </c>
      <c r="C604" s="593" t="s">
        <v>7</v>
      </c>
      <c r="D604" s="18"/>
      <c r="E604" s="556"/>
      <c r="F604" s="507"/>
      <c r="G604" s="507"/>
      <c r="H604" s="507"/>
      <c r="I604" s="507"/>
      <c r="J604" s="507"/>
      <c r="K604" s="507"/>
      <c r="L604" s="507"/>
      <c r="M604" s="507"/>
      <c r="N604" s="507"/>
      <c r="O604" s="507"/>
      <c r="P604" s="507"/>
      <c r="Q604" s="507"/>
      <c r="R604" s="507"/>
      <c r="S604" s="507"/>
      <c r="T604" s="507"/>
      <c r="U604" s="507"/>
      <c r="V604" s="507"/>
      <c r="W604" s="507"/>
    </row>
    <row r="605" ht="35.25" customHeight="1">
      <c r="A605" s="18"/>
      <c r="B605" s="547" t="s">
        <v>219</v>
      </c>
      <c r="C605" s="598" t="s">
        <v>7</v>
      </c>
      <c r="D605" s="18"/>
      <c r="E605" s="507"/>
      <c r="F605" s="507"/>
      <c r="G605" s="507"/>
      <c r="H605" s="507"/>
      <c r="I605" s="507"/>
      <c r="J605" s="507"/>
      <c r="K605" s="507"/>
      <c r="L605" s="507"/>
      <c r="M605" s="507"/>
      <c r="N605" s="507"/>
      <c r="O605" s="507"/>
      <c r="P605" s="507"/>
      <c r="Q605" s="507"/>
      <c r="R605" s="507"/>
      <c r="S605" s="507"/>
      <c r="T605" s="507"/>
      <c r="U605" s="507"/>
      <c r="V605" s="507"/>
      <c r="W605" s="507"/>
    </row>
    <row r="606" ht="35.25" customHeight="1">
      <c r="A606" s="18"/>
      <c r="B606" s="547" t="s">
        <v>89</v>
      </c>
      <c r="C606" s="598">
        <v>3.71875E7</v>
      </c>
      <c r="D606" s="18"/>
      <c r="E606" s="507"/>
      <c r="F606" s="507"/>
      <c r="G606" s="507"/>
      <c r="H606" s="507"/>
      <c r="I606" s="507"/>
      <c r="J606" s="507"/>
      <c r="K606" s="507"/>
      <c r="L606" s="507"/>
      <c r="M606" s="507"/>
      <c r="N606" s="507"/>
      <c r="O606" s="507"/>
      <c r="P606" s="507"/>
      <c r="Q606" s="507"/>
      <c r="R606" s="507"/>
      <c r="S606" s="507"/>
      <c r="T606" s="507"/>
      <c r="U606" s="507"/>
      <c r="V606" s="507"/>
      <c r="W606" s="507"/>
    </row>
    <row r="607" ht="35.25" customHeight="1">
      <c r="A607" s="22"/>
      <c r="B607" s="547" t="s">
        <v>220</v>
      </c>
      <c r="C607" s="598">
        <v>5.587E7</v>
      </c>
      <c r="D607" s="22"/>
      <c r="E607" s="507"/>
      <c r="F607" s="507"/>
      <c r="G607" s="507"/>
      <c r="H607" s="507"/>
      <c r="I607" s="507"/>
      <c r="J607" s="507"/>
      <c r="K607" s="507"/>
      <c r="L607" s="507"/>
      <c r="M607" s="507"/>
      <c r="N607" s="507"/>
      <c r="O607" s="507"/>
      <c r="P607" s="507"/>
      <c r="Q607" s="507"/>
      <c r="R607" s="507"/>
      <c r="S607" s="507"/>
      <c r="T607" s="507"/>
      <c r="U607" s="507"/>
      <c r="V607" s="507"/>
      <c r="W607" s="507"/>
    </row>
    <row r="608" ht="35.25" customHeight="1">
      <c r="A608" s="679" t="s">
        <v>711</v>
      </c>
      <c r="B608" s="547" t="s">
        <v>88</v>
      </c>
      <c r="C608" s="593" t="s">
        <v>7</v>
      </c>
      <c r="D608" s="680">
        <f>SUM(C608:C611)</f>
        <v>42912500</v>
      </c>
      <c r="E608" s="507"/>
      <c r="F608" s="507"/>
      <c r="G608" s="507"/>
      <c r="H608" s="556" t="s">
        <v>739</v>
      </c>
      <c r="I608" s="507"/>
      <c r="J608" s="507"/>
      <c r="K608" s="507"/>
      <c r="L608" s="507"/>
      <c r="M608" s="507"/>
      <c r="N608" s="507"/>
      <c r="O608" s="507"/>
      <c r="P608" s="507"/>
      <c r="Q608" s="507"/>
      <c r="R608" s="507"/>
      <c r="S608" s="507"/>
      <c r="T608" s="507"/>
      <c r="U608" s="507"/>
      <c r="V608" s="507"/>
      <c r="W608" s="507"/>
    </row>
    <row r="609" ht="35.25" customHeight="1">
      <c r="A609" s="18"/>
      <c r="B609" s="547" t="s">
        <v>219</v>
      </c>
      <c r="C609" s="593" t="s">
        <v>7</v>
      </c>
      <c r="D609" s="18"/>
      <c r="E609" s="507"/>
      <c r="F609" s="507"/>
      <c r="G609" s="507"/>
      <c r="H609" s="556" t="s">
        <v>739</v>
      </c>
      <c r="I609" s="507"/>
      <c r="J609" s="507"/>
      <c r="K609" s="507"/>
      <c r="L609" s="507"/>
      <c r="M609" s="507"/>
      <c r="N609" s="507"/>
      <c r="O609" s="507"/>
      <c r="P609" s="507"/>
      <c r="Q609" s="507"/>
      <c r="R609" s="507"/>
      <c r="S609" s="507"/>
      <c r="T609" s="507"/>
      <c r="U609" s="507"/>
      <c r="V609" s="507"/>
      <c r="W609" s="507"/>
    </row>
    <row r="610" ht="35.25" customHeight="1">
      <c r="A610" s="18"/>
      <c r="B610" s="547" t="s">
        <v>89</v>
      </c>
      <c r="C610" s="598" t="s">
        <v>7</v>
      </c>
      <c r="D610" s="18"/>
      <c r="E610" s="507"/>
      <c r="F610" s="507"/>
      <c r="G610" s="507"/>
      <c r="H610" s="556" t="s">
        <v>739</v>
      </c>
      <c r="I610" s="507"/>
      <c r="J610" s="507"/>
      <c r="K610" s="507"/>
      <c r="L610" s="507"/>
      <c r="M610" s="507"/>
      <c r="N610" s="507"/>
      <c r="O610" s="507"/>
      <c r="P610" s="507"/>
      <c r="Q610" s="507"/>
      <c r="R610" s="507"/>
      <c r="S610" s="507"/>
      <c r="T610" s="507"/>
      <c r="U610" s="507"/>
      <c r="V610" s="507"/>
      <c r="W610" s="507"/>
    </row>
    <row r="611" ht="48.75" customHeight="1">
      <c r="A611" s="22"/>
      <c r="B611" s="547" t="s">
        <v>220</v>
      </c>
      <c r="C611" s="598">
        <v>4.29125E7</v>
      </c>
      <c r="D611" s="22"/>
      <c r="E611" s="556"/>
      <c r="F611" s="507"/>
      <c r="G611" s="507"/>
      <c r="H611" s="556" t="s">
        <v>739</v>
      </c>
      <c r="I611" s="507"/>
      <c r="J611" s="507"/>
      <c r="K611" s="507"/>
      <c r="L611" s="507"/>
      <c r="M611" s="507"/>
      <c r="N611" s="507"/>
      <c r="O611" s="507"/>
      <c r="P611" s="507"/>
      <c r="Q611" s="507"/>
      <c r="R611" s="507"/>
      <c r="S611" s="507"/>
      <c r="T611" s="507"/>
      <c r="U611" s="507"/>
      <c r="V611" s="507"/>
      <c r="W611" s="507"/>
    </row>
    <row r="612" ht="35.25" customHeight="1">
      <c r="A612" s="679" t="s">
        <v>712</v>
      </c>
      <c r="B612" s="547" t="s">
        <v>76</v>
      </c>
      <c r="C612" s="593">
        <f>225615000-150000000</f>
        <v>75615000</v>
      </c>
      <c r="D612" s="680">
        <f>sum(C612:C617)</f>
        <v>417884000</v>
      </c>
      <c r="E612" s="507"/>
      <c r="F612" s="507"/>
      <c r="G612" s="507"/>
      <c r="H612" s="556" t="s">
        <v>739</v>
      </c>
      <c r="I612" s="507"/>
      <c r="J612" s="507"/>
      <c r="K612" s="507"/>
      <c r="L612" s="507"/>
      <c r="M612" s="507"/>
      <c r="N612" s="507"/>
      <c r="O612" s="507"/>
      <c r="P612" s="507"/>
      <c r="Q612" s="507"/>
      <c r="R612" s="507"/>
      <c r="S612" s="507"/>
      <c r="T612" s="507"/>
      <c r="U612" s="507"/>
      <c r="V612" s="507"/>
      <c r="W612" s="507"/>
    </row>
    <row r="613" ht="35.25" customHeight="1">
      <c r="A613" s="18"/>
      <c r="B613" s="547" t="s">
        <v>88</v>
      </c>
      <c r="C613" s="598">
        <v>1.063255E8</v>
      </c>
      <c r="D613" s="18"/>
      <c r="E613" s="507"/>
      <c r="F613" s="507"/>
      <c r="G613" s="507"/>
      <c r="H613" s="556" t="s">
        <v>739</v>
      </c>
      <c r="I613" s="507"/>
      <c r="J613" s="507"/>
      <c r="K613" s="507"/>
      <c r="L613" s="507"/>
      <c r="M613" s="507"/>
      <c r="N613" s="507"/>
      <c r="O613" s="507"/>
      <c r="P613" s="507"/>
      <c r="Q613" s="507"/>
      <c r="R613" s="507"/>
      <c r="S613" s="507"/>
      <c r="T613" s="507"/>
      <c r="U613" s="507"/>
      <c r="V613" s="507"/>
      <c r="W613" s="507"/>
    </row>
    <row r="614" ht="35.25" customHeight="1">
      <c r="A614" s="18"/>
      <c r="B614" s="547" t="s">
        <v>219</v>
      </c>
      <c r="C614" s="598">
        <v>5.54915E7</v>
      </c>
      <c r="D614" s="18"/>
      <c r="E614" s="507">
        <f>85*3000</f>
        <v>255000</v>
      </c>
      <c r="F614" s="507"/>
      <c r="G614" s="507"/>
      <c r="H614" s="556" t="s">
        <v>739</v>
      </c>
      <c r="I614" s="507"/>
      <c r="J614" s="507"/>
      <c r="K614" s="507"/>
      <c r="L614" s="507"/>
      <c r="M614" s="507"/>
      <c r="N614" s="507"/>
      <c r="O614" s="507"/>
      <c r="P614" s="507"/>
      <c r="Q614" s="507"/>
      <c r="R614" s="507"/>
      <c r="S614" s="507"/>
      <c r="T614" s="507"/>
      <c r="U614" s="507"/>
      <c r="V614" s="507"/>
      <c r="W614" s="507"/>
    </row>
    <row r="615" ht="35.25" customHeight="1">
      <c r="A615" s="18"/>
      <c r="B615" s="547" t="s">
        <v>89</v>
      </c>
      <c r="C615" s="598">
        <v>8.1183E7</v>
      </c>
      <c r="D615" s="18"/>
      <c r="E615" s="556"/>
      <c r="F615" s="507"/>
      <c r="G615" s="507"/>
      <c r="H615" s="556"/>
      <c r="I615" s="507"/>
      <c r="J615" s="507"/>
      <c r="K615" s="507"/>
      <c r="L615" s="507"/>
      <c r="M615" s="507"/>
      <c r="N615" s="507"/>
      <c r="O615" s="507"/>
      <c r="P615" s="507"/>
      <c r="Q615" s="507"/>
      <c r="R615" s="507"/>
      <c r="S615" s="507"/>
      <c r="T615" s="507"/>
      <c r="U615" s="507"/>
      <c r="V615" s="507"/>
      <c r="W615" s="507"/>
    </row>
    <row r="616" ht="47.25" customHeight="1">
      <c r="A616" s="18"/>
      <c r="B616" s="547" t="s">
        <v>824</v>
      </c>
      <c r="C616" s="598">
        <v>1.8017E7</v>
      </c>
      <c r="D616" s="18"/>
      <c r="E616" s="556"/>
      <c r="F616" s="507"/>
      <c r="G616" s="507"/>
      <c r="H616" s="556"/>
      <c r="I616" s="507"/>
      <c r="J616" s="507"/>
      <c r="K616" s="507"/>
      <c r="L616" s="507"/>
      <c r="M616" s="507"/>
      <c r="N616" s="507"/>
      <c r="O616" s="507"/>
      <c r="P616" s="507"/>
      <c r="Q616" s="507"/>
      <c r="R616" s="507"/>
      <c r="S616" s="507"/>
      <c r="T616" s="507"/>
      <c r="U616" s="507"/>
      <c r="V616" s="507"/>
      <c r="W616" s="507"/>
    </row>
    <row r="617" ht="47.25" customHeight="1">
      <c r="A617" s="22"/>
      <c r="B617" s="547" t="s">
        <v>220</v>
      </c>
      <c r="C617" s="598">
        <f>81482000-230000</f>
        <v>81252000</v>
      </c>
      <c r="D617" s="22"/>
      <c r="E617" s="556"/>
      <c r="F617" s="507"/>
      <c r="G617" s="507"/>
      <c r="H617" s="556" t="s">
        <v>739</v>
      </c>
      <c r="I617" s="507"/>
      <c r="J617" s="507"/>
      <c r="K617" s="507"/>
      <c r="L617" s="507"/>
      <c r="M617" s="507"/>
      <c r="N617" s="507"/>
      <c r="O617" s="507"/>
      <c r="P617" s="507"/>
      <c r="Q617" s="507"/>
      <c r="R617" s="507"/>
      <c r="S617" s="507"/>
      <c r="T617" s="507"/>
      <c r="U617" s="507"/>
      <c r="V617" s="507"/>
      <c r="W617" s="507"/>
    </row>
    <row r="618" ht="35.25" customHeight="1">
      <c r="A618" s="679" t="s">
        <v>60</v>
      </c>
      <c r="B618" s="547" t="s">
        <v>88</v>
      </c>
      <c r="C618" s="593">
        <f>46693000-46503500</f>
        <v>189500</v>
      </c>
      <c r="D618" s="680">
        <f>sum(C618:C621)</f>
        <v>152474000</v>
      </c>
      <c r="E618" s="507"/>
      <c r="F618" s="507"/>
      <c r="G618" s="507"/>
      <c r="H618" s="556" t="s">
        <v>739</v>
      </c>
      <c r="I618" s="507"/>
      <c r="J618" s="507"/>
      <c r="K618" s="507"/>
      <c r="L618" s="507"/>
      <c r="M618" s="507"/>
      <c r="N618" s="507"/>
      <c r="O618" s="507"/>
      <c r="P618" s="507"/>
      <c r="Q618" s="507"/>
      <c r="R618" s="507"/>
      <c r="S618" s="507"/>
      <c r="T618" s="507"/>
      <c r="U618" s="507"/>
      <c r="V618" s="507"/>
      <c r="W618" s="507"/>
    </row>
    <row r="619" ht="35.25" customHeight="1">
      <c r="A619" s="18"/>
      <c r="B619" s="547" t="s">
        <v>219</v>
      </c>
      <c r="C619" s="593" t="s">
        <v>7</v>
      </c>
      <c r="D619" s="18"/>
      <c r="E619" s="507"/>
      <c r="F619" s="507"/>
      <c r="G619" s="507"/>
      <c r="H619" s="556" t="s">
        <v>739</v>
      </c>
      <c r="I619" s="507"/>
      <c r="J619" s="507"/>
      <c r="K619" s="507"/>
      <c r="L619" s="507"/>
      <c r="M619" s="507"/>
      <c r="N619" s="507"/>
      <c r="O619" s="507"/>
      <c r="P619" s="507"/>
      <c r="Q619" s="507"/>
      <c r="R619" s="507"/>
      <c r="S619" s="507"/>
      <c r="T619" s="507"/>
      <c r="U619" s="507"/>
      <c r="V619" s="507"/>
      <c r="W619" s="507"/>
    </row>
    <row r="620" ht="35.25" customHeight="1">
      <c r="A620" s="18"/>
      <c r="B620" s="547" t="s">
        <v>89</v>
      </c>
      <c r="C620" s="593">
        <f>52919500-150000</f>
        <v>52769500</v>
      </c>
      <c r="D620" s="18"/>
      <c r="E620" s="507"/>
      <c r="F620" s="507"/>
      <c r="G620" s="507"/>
      <c r="H620" s="556" t="s">
        <v>739</v>
      </c>
      <c r="I620" s="507"/>
      <c r="J620" s="507"/>
      <c r="K620" s="507"/>
      <c r="L620" s="507"/>
      <c r="M620" s="507"/>
      <c r="N620" s="507"/>
      <c r="O620" s="507"/>
      <c r="P620" s="507"/>
      <c r="Q620" s="507"/>
      <c r="R620" s="507"/>
      <c r="S620" s="507"/>
      <c r="T620" s="507"/>
      <c r="U620" s="507"/>
      <c r="V620" s="507"/>
      <c r="W620" s="507"/>
    </row>
    <row r="621" ht="35.25" customHeight="1">
      <c r="A621" s="22"/>
      <c r="B621" s="547" t="s">
        <v>220</v>
      </c>
      <c r="C621" s="593">
        <v>9.9515E7</v>
      </c>
      <c r="D621" s="22"/>
      <c r="E621" s="507"/>
      <c r="F621" s="507"/>
      <c r="G621" s="507"/>
      <c r="H621" s="556" t="s">
        <v>739</v>
      </c>
      <c r="I621" s="507"/>
      <c r="J621" s="507"/>
      <c r="K621" s="507"/>
      <c r="L621" s="507"/>
      <c r="M621" s="507"/>
      <c r="N621" s="507"/>
      <c r="O621" s="507"/>
      <c r="P621" s="507"/>
      <c r="Q621" s="507"/>
      <c r="R621" s="507"/>
      <c r="S621" s="507"/>
      <c r="T621" s="507"/>
      <c r="U621" s="507"/>
      <c r="V621" s="507"/>
      <c r="W621" s="507"/>
    </row>
    <row r="622" ht="35.25" customHeight="1">
      <c r="A622" s="679" t="s">
        <v>714</v>
      </c>
      <c r="B622" s="547" t="s">
        <v>88</v>
      </c>
      <c r="C622" s="598" t="s">
        <v>7</v>
      </c>
      <c r="D622" s="680">
        <f>SUM(C622:C625)</f>
        <v>36990500</v>
      </c>
      <c r="E622" s="635"/>
      <c r="F622" s="635"/>
      <c r="G622" s="507"/>
      <c r="H622" s="507"/>
      <c r="I622" s="507"/>
      <c r="J622" s="507"/>
      <c r="K622" s="507"/>
      <c r="L622" s="507"/>
      <c r="M622" s="507"/>
      <c r="N622" s="507"/>
      <c r="O622" s="507"/>
      <c r="P622" s="507"/>
      <c r="Q622" s="507"/>
      <c r="R622" s="507"/>
      <c r="S622" s="507"/>
      <c r="T622" s="507"/>
      <c r="U622" s="507"/>
      <c r="V622" s="507"/>
      <c r="W622" s="507"/>
    </row>
    <row r="623" ht="35.25" customHeight="1">
      <c r="A623" s="18"/>
      <c r="B623" s="547" t="s">
        <v>219</v>
      </c>
      <c r="C623" s="593" t="s">
        <v>7</v>
      </c>
      <c r="D623" s="18"/>
      <c r="E623" s="635"/>
      <c r="F623" s="556"/>
      <c r="G623" s="507"/>
      <c r="H623" s="507"/>
      <c r="I623" s="507"/>
      <c r="J623" s="507"/>
      <c r="K623" s="507"/>
      <c r="L623" s="507"/>
      <c r="M623" s="507"/>
      <c r="N623" s="507"/>
      <c r="O623" s="507"/>
      <c r="P623" s="507"/>
      <c r="Q623" s="507"/>
      <c r="R623" s="507"/>
      <c r="S623" s="507"/>
      <c r="T623" s="507"/>
      <c r="U623" s="507"/>
      <c r="V623" s="507"/>
      <c r="W623" s="507"/>
    </row>
    <row r="624" ht="35.25" customHeight="1">
      <c r="A624" s="18"/>
      <c r="B624" s="547" t="s">
        <v>89</v>
      </c>
      <c r="C624" s="593">
        <v>2040500.0</v>
      </c>
      <c r="D624" s="18"/>
      <c r="E624" s="635"/>
      <c r="F624" s="556">
        <f>(12*3000+5*10000)</f>
        <v>86000</v>
      </c>
      <c r="G624" s="507"/>
      <c r="H624" s="507"/>
      <c r="I624" s="507"/>
      <c r="J624" s="507"/>
      <c r="K624" s="507"/>
      <c r="L624" s="507"/>
      <c r="M624" s="507"/>
      <c r="N624" s="507"/>
      <c r="O624" s="507"/>
      <c r="P624" s="507"/>
      <c r="Q624" s="507"/>
      <c r="R624" s="507"/>
      <c r="S624" s="507"/>
      <c r="T624" s="507"/>
      <c r="U624" s="507"/>
      <c r="V624" s="507"/>
      <c r="W624" s="507"/>
    </row>
    <row r="625" ht="35.25" customHeight="1">
      <c r="A625" s="22"/>
      <c r="B625" s="547" t="s">
        <v>220</v>
      </c>
      <c r="C625" s="593">
        <f>35270000-320000</f>
        <v>34950000</v>
      </c>
      <c r="D625" s="22"/>
      <c r="E625" s="507"/>
      <c r="F625" s="635"/>
      <c r="G625" s="507"/>
      <c r="H625" s="507"/>
      <c r="I625" s="507"/>
      <c r="J625" s="507"/>
      <c r="K625" s="507"/>
      <c r="L625" s="507"/>
      <c r="M625" s="507"/>
      <c r="N625" s="507"/>
      <c r="O625" s="507"/>
      <c r="P625" s="507"/>
      <c r="Q625" s="507"/>
      <c r="R625" s="507"/>
      <c r="S625" s="507"/>
      <c r="T625" s="507"/>
      <c r="U625" s="507"/>
      <c r="V625" s="507"/>
      <c r="W625" s="507"/>
    </row>
    <row r="626" ht="35.25" customHeight="1">
      <c r="A626" s="679" t="s">
        <v>715</v>
      </c>
      <c r="B626" s="547" t="s">
        <v>88</v>
      </c>
      <c r="C626" s="593" t="s">
        <v>7</v>
      </c>
      <c r="D626" s="680">
        <f>sum(C626:C630)</f>
        <v>155046500</v>
      </c>
      <c r="E626" s="679" t="s">
        <v>715</v>
      </c>
      <c r="F626" s="547" t="s">
        <v>151</v>
      </c>
      <c r="G626" s="593">
        <v>4.13757E8</v>
      </c>
      <c r="H626" s="507"/>
      <c r="I626" s="507"/>
      <c r="J626" s="507"/>
      <c r="L626" s="507"/>
      <c r="M626" s="507"/>
      <c r="N626" s="507"/>
      <c r="O626" s="507"/>
      <c r="P626" s="507"/>
      <c r="Q626" s="507"/>
      <c r="R626" s="507"/>
      <c r="S626" s="507"/>
      <c r="T626" s="507"/>
      <c r="U626" s="507"/>
      <c r="V626" s="507"/>
      <c r="W626" s="507"/>
    </row>
    <row r="627" ht="35.25" customHeight="1">
      <c r="A627" s="18"/>
      <c r="B627" s="547" t="s">
        <v>219</v>
      </c>
      <c r="C627" s="593" t="s">
        <v>7</v>
      </c>
      <c r="D627" s="18"/>
      <c r="E627" s="18"/>
      <c r="F627" s="547" t="s">
        <v>825</v>
      </c>
      <c r="G627" s="593">
        <v>-1360000.0</v>
      </c>
      <c r="H627" s="507"/>
      <c r="I627" s="507"/>
      <c r="J627" s="507"/>
      <c r="K627" s="507"/>
      <c r="L627" s="507"/>
      <c r="M627" s="507"/>
      <c r="N627" s="507"/>
      <c r="O627" s="507"/>
      <c r="P627" s="507"/>
      <c r="Q627" s="507"/>
      <c r="R627" s="507"/>
      <c r="S627" s="507"/>
      <c r="T627" s="507"/>
      <c r="U627" s="507"/>
      <c r="V627" s="507"/>
      <c r="W627" s="507"/>
    </row>
    <row r="628" ht="35.25" customHeight="1">
      <c r="A628" s="18"/>
      <c r="B628" s="547" t="s">
        <v>89</v>
      </c>
      <c r="C628" s="593">
        <v>5.60565E7</v>
      </c>
      <c r="D628" s="18"/>
      <c r="E628" s="18"/>
      <c r="F628" s="547" t="s">
        <v>826</v>
      </c>
      <c r="G628" s="593">
        <v>-620000.0</v>
      </c>
      <c r="H628" s="507"/>
      <c r="I628" s="507"/>
      <c r="J628" s="507"/>
      <c r="K628" s="507"/>
      <c r="L628" s="507"/>
      <c r="M628" s="507"/>
      <c r="N628" s="507"/>
      <c r="O628" s="507"/>
      <c r="P628" s="507"/>
      <c r="Q628" s="507"/>
      <c r="R628" s="507"/>
      <c r="S628" s="507"/>
      <c r="T628" s="507"/>
      <c r="U628" s="507"/>
      <c r="V628" s="507"/>
      <c r="W628" s="507"/>
    </row>
    <row r="629" ht="50.25" customHeight="1">
      <c r="A629" s="18"/>
      <c r="B629" s="547" t="s">
        <v>824</v>
      </c>
      <c r="C629" s="593">
        <v>1.3894E7</v>
      </c>
      <c r="D629" s="18"/>
      <c r="E629" s="18"/>
      <c r="F629" s="547"/>
      <c r="G629" s="593"/>
      <c r="H629" s="507"/>
      <c r="I629" s="507"/>
      <c r="J629" s="507"/>
      <c r="K629" s="507"/>
      <c r="L629" s="507"/>
      <c r="M629" s="507"/>
      <c r="N629" s="507"/>
      <c r="O629" s="507"/>
      <c r="P629" s="507"/>
      <c r="Q629" s="507"/>
      <c r="R629" s="507"/>
      <c r="S629" s="507"/>
      <c r="T629" s="507"/>
      <c r="U629" s="507"/>
      <c r="V629" s="507"/>
      <c r="W629" s="507"/>
    </row>
    <row r="630" ht="30.0" customHeight="1">
      <c r="A630" s="22"/>
      <c r="B630" s="547" t="s">
        <v>220</v>
      </c>
      <c r="C630" s="593">
        <v>8.5096E7</v>
      </c>
      <c r="D630" s="22"/>
      <c r="E630" s="18"/>
      <c r="F630" s="547" t="s">
        <v>827</v>
      </c>
      <c r="G630" s="593">
        <v>-620000.0</v>
      </c>
      <c r="H630" s="507"/>
      <c r="I630" s="507"/>
      <c r="J630" s="507"/>
      <c r="K630" s="507"/>
      <c r="L630" s="507"/>
      <c r="M630" s="507"/>
      <c r="N630" s="507"/>
      <c r="O630" s="507"/>
      <c r="P630" s="507"/>
      <c r="Q630" s="507"/>
      <c r="R630" s="507"/>
      <c r="S630" s="507"/>
      <c r="T630" s="507"/>
      <c r="U630" s="507"/>
      <c r="V630" s="507"/>
      <c r="W630" s="507"/>
    </row>
    <row r="631" ht="35.25" customHeight="1">
      <c r="A631" s="679" t="s">
        <v>716</v>
      </c>
      <c r="B631" s="547" t="s">
        <v>88</v>
      </c>
      <c r="C631" s="593" t="s">
        <v>7</v>
      </c>
      <c r="D631" s="680">
        <f>SUM(C631:C634)</f>
        <v>54554000</v>
      </c>
      <c r="E631" s="18"/>
      <c r="F631" s="547" t="s">
        <v>828</v>
      </c>
      <c r="G631" s="593">
        <v>-9200000.0</v>
      </c>
      <c r="H631" s="507"/>
      <c r="I631" s="507"/>
      <c r="J631" s="507"/>
      <c r="K631" s="507"/>
      <c r="L631" s="507"/>
      <c r="M631" s="507"/>
      <c r="N631" s="507"/>
      <c r="O631" s="507"/>
      <c r="P631" s="507"/>
      <c r="Q631" s="507"/>
      <c r="R631" s="507"/>
      <c r="S631" s="507"/>
      <c r="T631" s="507"/>
      <c r="U631" s="507"/>
      <c r="V631" s="507"/>
      <c r="W631" s="507"/>
    </row>
    <row r="632" ht="35.25" customHeight="1">
      <c r="A632" s="18"/>
      <c r="B632" s="547" t="s">
        <v>219</v>
      </c>
      <c r="C632" s="593" t="s">
        <v>7</v>
      </c>
      <c r="D632" s="18"/>
      <c r="E632" s="22"/>
      <c r="F632" s="706" t="s">
        <v>829</v>
      </c>
      <c r="G632" s="638">
        <f>SUM(G626:G631)</f>
        <v>401957000</v>
      </c>
      <c r="H632" s="507"/>
      <c r="I632" s="507"/>
      <c r="J632" s="507"/>
      <c r="K632" s="507"/>
      <c r="L632" s="507"/>
      <c r="M632" s="507"/>
      <c r="N632" s="507"/>
      <c r="O632" s="507"/>
      <c r="P632" s="507"/>
      <c r="Q632" s="507"/>
      <c r="R632" s="507"/>
      <c r="S632" s="507"/>
      <c r="T632" s="507"/>
      <c r="U632" s="507"/>
      <c r="V632" s="507"/>
      <c r="W632" s="507"/>
    </row>
    <row r="633" ht="35.25" customHeight="1">
      <c r="A633" s="18"/>
      <c r="B633" s="547" t="s">
        <v>89</v>
      </c>
      <c r="C633" s="593" t="s">
        <v>7</v>
      </c>
      <c r="D633" s="18"/>
      <c r="F633" s="507"/>
      <c r="G633" s="507"/>
      <c r="H633" s="556" t="s">
        <v>739</v>
      </c>
      <c r="I633" s="507"/>
      <c r="J633" s="507"/>
      <c r="K633" s="507"/>
      <c r="L633" s="507"/>
      <c r="M633" s="507"/>
      <c r="N633" s="507"/>
      <c r="O633" s="507"/>
      <c r="P633" s="507"/>
      <c r="Q633" s="507"/>
      <c r="R633" s="507"/>
      <c r="S633" s="507"/>
      <c r="T633" s="507"/>
      <c r="U633" s="507"/>
      <c r="V633" s="507"/>
      <c r="W633" s="507"/>
    </row>
    <row r="634" ht="39.0" customHeight="1">
      <c r="A634" s="22"/>
      <c r="B634" s="547" t="s">
        <v>220</v>
      </c>
      <c r="C634" s="593">
        <f>55865000-539000-312000-460000</f>
        <v>54554000</v>
      </c>
      <c r="D634" s="22"/>
      <c r="E634" s="556"/>
      <c r="F634" s="507"/>
      <c r="G634" s="507"/>
      <c r="H634" s="556" t="s">
        <v>739</v>
      </c>
      <c r="I634" s="507"/>
      <c r="J634" s="507"/>
      <c r="K634" s="507"/>
      <c r="L634" s="507"/>
      <c r="M634" s="507"/>
      <c r="N634" s="507"/>
      <c r="O634" s="507"/>
      <c r="P634" s="507"/>
      <c r="Q634" s="507"/>
      <c r="R634" s="507"/>
      <c r="S634" s="507"/>
      <c r="T634" s="507"/>
      <c r="U634" s="507"/>
      <c r="V634" s="507"/>
      <c r="W634" s="507"/>
    </row>
    <row r="635" ht="35.25" customHeight="1">
      <c r="A635" s="679" t="s">
        <v>718</v>
      </c>
      <c r="B635" s="547" t="s">
        <v>88</v>
      </c>
      <c r="C635" s="593">
        <v>3.0524E7</v>
      </c>
      <c r="D635" s="680">
        <f>SUM(C635:C638)</f>
        <v>95583500</v>
      </c>
      <c r="E635" s="507"/>
      <c r="F635" s="507"/>
      <c r="G635" s="507"/>
      <c r="H635" s="556" t="s">
        <v>739</v>
      </c>
      <c r="I635" s="507"/>
      <c r="J635" s="507"/>
      <c r="K635" s="507"/>
      <c r="L635" s="507"/>
      <c r="M635" s="507"/>
      <c r="N635" s="507"/>
      <c r="O635" s="507"/>
      <c r="P635" s="507"/>
      <c r="Q635" s="507"/>
      <c r="R635" s="507"/>
      <c r="S635" s="507"/>
      <c r="T635" s="507"/>
      <c r="U635" s="507"/>
      <c r="V635" s="507"/>
      <c r="W635" s="507"/>
    </row>
    <row r="636" ht="35.25" customHeight="1">
      <c r="A636" s="18"/>
      <c r="B636" s="547" t="s">
        <v>219</v>
      </c>
      <c r="C636" s="593">
        <f>20812500-(19*3000+5*125000)</f>
        <v>20130500</v>
      </c>
      <c r="D636" s="18"/>
      <c r="E636" s="507"/>
      <c r="F636" s="507"/>
      <c r="G636" s="507"/>
      <c r="H636" s="556" t="s">
        <v>739</v>
      </c>
      <c r="I636" s="507"/>
      <c r="J636" s="507"/>
      <c r="K636" s="507"/>
      <c r="L636" s="507"/>
      <c r="M636" s="507"/>
      <c r="N636" s="507"/>
      <c r="O636" s="507"/>
      <c r="P636" s="507"/>
      <c r="Q636" s="507"/>
      <c r="R636" s="507"/>
      <c r="S636" s="507"/>
      <c r="T636" s="507"/>
      <c r="U636" s="507"/>
      <c r="V636" s="507"/>
      <c r="W636" s="507"/>
    </row>
    <row r="637" ht="35.25" customHeight="1">
      <c r="A637" s="18"/>
      <c r="B637" s="547" t="s">
        <v>89</v>
      </c>
      <c r="C637" s="598">
        <v>2.1159E7</v>
      </c>
      <c r="D637" s="18"/>
      <c r="E637" s="507"/>
      <c r="F637" s="507"/>
      <c r="G637" s="507"/>
      <c r="H637" s="556" t="s">
        <v>739</v>
      </c>
      <c r="I637" s="507"/>
      <c r="J637" s="507"/>
      <c r="K637" s="507"/>
      <c r="L637" s="507"/>
      <c r="M637" s="507"/>
      <c r="N637" s="507"/>
      <c r="O637" s="507"/>
      <c r="P637" s="507"/>
      <c r="Q637" s="507"/>
      <c r="R637" s="507"/>
      <c r="S637" s="507"/>
      <c r="T637" s="507"/>
      <c r="U637" s="507"/>
      <c r="V637" s="507"/>
      <c r="W637" s="507"/>
    </row>
    <row r="638" ht="35.25" customHeight="1">
      <c r="A638" s="22"/>
      <c r="B638" s="547" t="s">
        <v>220</v>
      </c>
      <c r="C638" s="593">
        <v>2.377E7</v>
      </c>
      <c r="D638" s="22"/>
      <c r="E638" s="507"/>
      <c r="F638" s="507"/>
      <c r="G638" s="507"/>
      <c r="H638" s="556" t="s">
        <v>739</v>
      </c>
      <c r="I638" s="507"/>
      <c r="J638" s="507"/>
      <c r="K638" s="507"/>
      <c r="L638" s="507"/>
      <c r="M638" s="507"/>
      <c r="N638" s="507"/>
      <c r="O638" s="507"/>
      <c r="P638" s="507"/>
      <c r="Q638" s="507"/>
      <c r="R638" s="507"/>
      <c r="S638" s="507"/>
      <c r="T638" s="507"/>
      <c r="U638" s="507"/>
      <c r="V638" s="507"/>
      <c r="W638" s="507"/>
    </row>
    <row r="639" ht="35.25" customHeight="1">
      <c r="A639" s="679" t="s">
        <v>719</v>
      </c>
      <c r="B639" s="547" t="s">
        <v>88</v>
      </c>
      <c r="C639" s="593" t="s">
        <v>7</v>
      </c>
      <c r="D639" s="680">
        <f>SUM(C639:C642)</f>
        <v>0</v>
      </c>
      <c r="E639" s="507"/>
      <c r="F639" s="507"/>
      <c r="G639" s="507"/>
      <c r="H639" s="556" t="s">
        <v>739</v>
      </c>
      <c r="I639" s="507"/>
      <c r="J639" s="507"/>
      <c r="K639" s="507"/>
      <c r="L639" s="507"/>
      <c r="M639" s="507"/>
      <c r="N639" s="507"/>
      <c r="O639" s="507"/>
      <c r="P639" s="507"/>
      <c r="Q639" s="507"/>
      <c r="R639" s="507"/>
      <c r="S639" s="507"/>
      <c r="T639" s="507"/>
      <c r="U639" s="507"/>
      <c r="V639" s="507"/>
      <c r="W639" s="507"/>
    </row>
    <row r="640" ht="35.25" customHeight="1">
      <c r="A640" s="18"/>
      <c r="B640" s="547" t="s">
        <v>219</v>
      </c>
      <c r="C640" s="598" t="s">
        <v>7</v>
      </c>
      <c r="D640" s="18"/>
      <c r="E640" s="507"/>
      <c r="F640" s="507"/>
      <c r="G640" s="507"/>
      <c r="H640" s="556" t="s">
        <v>739</v>
      </c>
      <c r="I640" s="507"/>
      <c r="J640" s="507"/>
      <c r="K640" s="507"/>
      <c r="L640" s="507"/>
      <c r="M640" s="507"/>
      <c r="N640" s="507"/>
      <c r="O640" s="507"/>
      <c r="P640" s="507"/>
      <c r="Q640" s="507"/>
      <c r="R640" s="507"/>
      <c r="S640" s="507"/>
      <c r="T640" s="507"/>
      <c r="U640" s="507"/>
      <c r="V640" s="507"/>
      <c r="W640" s="507"/>
    </row>
    <row r="641" ht="35.25" customHeight="1">
      <c r="A641" s="18"/>
      <c r="B641" s="547" t="s">
        <v>89</v>
      </c>
      <c r="C641" s="593" t="s">
        <v>7</v>
      </c>
      <c r="D641" s="18"/>
      <c r="E641" s="507"/>
      <c r="F641" s="507"/>
      <c r="G641" s="507"/>
      <c r="H641" s="556" t="s">
        <v>739</v>
      </c>
      <c r="I641" s="507"/>
      <c r="J641" s="507"/>
      <c r="K641" s="507"/>
      <c r="L641" s="507"/>
      <c r="M641" s="507"/>
      <c r="N641" s="507"/>
      <c r="O641" s="507"/>
      <c r="P641" s="507"/>
      <c r="Q641" s="507"/>
      <c r="R641" s="507"/>
      <c r="S641" s="507"/>
      <c r="T641" s="507"/>
      <c r="U641" s="507"/>
      <c r="V641" s="507"/>
      <c r="W641" s="507"/>
    </row>
    <row r="642" ht="35.25" customHeight="1">
      <c r="A642" s="22"/>
      <c r="B642" s="547" t="s">
        <v>220</v>
      </c>
      <c r="C642" s="593" t="s">
        <v>7</v>
      </c>
      <c r="D642" s="22"/>
      <c r="E642" s="635"/>
      <c r="F642" s="507"/>
      <c r="G642" s="507"/>
      <c r="H642" s="556" t="s">
        <v>739</v>
      </c>
      <c r="I642" s="507"/>
      <c r="J642" s="507"/>
      <c r="K642" s="507"/>
      <c r="L642" s="507"/>
      <c r="M642" s="507"/>
      <c r="N642" s="507"/>
      <c r="O642" s="507"/>
      <c r="P642" s="507"/>
      <c r="Q642" s="507"/>
      <c r="R642" s="507"/>
      <c r="S642" s="507"/>
      <c r="T642" s="507"/>
      <c r="U642" s="507"/>
      <c r="V642" s="507"/>
      <c r="W642" s="507"/>
    </row>
    <row r="643" ht="35.25" customHeight="1">
      <c r="A643" s="679" t="s">
        <v>720</v>
      </c>
      <c r="B643" s="547" t="s">
        <v>76</v>
      </c>
      <c r="C643" s="593">
        <f>232615900-100000000-100000000</f>
        <v>32615900</v>
      </c>
      <c r="D643" s="680">
        <f>SUM(C643:C647)</f>
        <v>176538400</v>
      </c>
      <c r="E643" s="557"/>
      <c r="F643" s="507"/>
      <c r="G643" s="507"/>
      <c r="H643" s="556" t="s">
        <v>739</v>
      </c>
      <c r="I643" s="507"/>
      <c r="J643" s="507"/>
      <c r="K643" s="507"/>
      <c r="L643" s="507"/>
      <c r="M643" s="507"/>
      <c r="N643" s="507"/>
      <c r="O643" s="507"/>
      <c r="P643" s="507"/>
      <c r="Q643" s="507"/>
      <c r="R643" s="507"/>
      <c r="S643" s="507"/>
      <c r="T643" s="507"/>
      <c r="U643" s="507"/>
      <c r="V643" s="507"/>
      <c r="W643" s="507"/>
    </row>
    <row r="644" ht="35.25" customHeight="1">
      <c r="A644" s="18"/>
      <c r="B644" s="547" t="s">
        <v>88</v>
      </c>
      <c r="C644" s="593">
        <f>37452000-180000</f>
        <v>37272000</v>
      </c>
      <c r="D644" s="18"/>
      <c r="E644" s="507"/>
      <c r="F644" s="507"/>
      <c r="G644" s="507"/>
      <c r="H644" s="556" t="s">
        <v>739</v>
      </c>
      <c r="I644" s="507"/>
      <c r="J644" s="507"/>
      <c r="K644" s="507"/>
      <c r="L644" s="507"/>
      <c r="M644" s="507"/>
      <c r="N644" s="507"/>
      <c r="O644" s="507"/>
      <c r="P644" s="507"/>
      <c r="Q644" s="507"/>
      <c r="R644" s="507"/>
      <c r="S644" s="507"/>
      <c r="T644" s="507"/>
      <c r="U644" s="507"/>
      <c r="V644" s="507"/>
      <c r="W644" s="507"/>
    </row>
    <row r="645" ht="35.25" customHeight="1">
      <c r="A645" s="18"/>
      <c r="B645" s="547" t="s">
        <v>219</v>
      </c>
      <c r="C645" s="598">
        <v>3.6814E7</v>
      </c>
      <c r="D645" s="18"/>
      <c r="E645" s="507"/>
      <c r="F645" s="507"/>
      <c r="G645" s="507"/>
      <c r="H645" s="556" t="s">
        <v>739</v>
      </c>
      <c r="I645" s="507"/>
      <c r="J645" s="507"/>
      <c r="K645" s="507"/>
      <c r="L645" s="507"/>
      <c r="M645" s="507"/>
      <c r="N645" s="507"/>
      <c r="O645" s="507"/>
      <c r="P645" s="507"/>
      <c r="Q645" s="507"/>
      <c r="R645" s="507"/>
      <c r="S645" s="507"/>
      <c r="T645" s="507"/>
      <c r="U645" s="507"/>
      <c r="V645" s="507"/>
      <c r="W645" s="507"/>
    </row>
    <row r="646" ht="35.25" customHeight="1">
      <c r="A646" s="18"/>
      <c r="B646" s="547" t="s">
        <v>89</v>
      </c>
      <c r="C646" s="593">
        <v>3.6823E7</v>
      </c>
      <c r="D646" s="18"/>
      <c r="E646" s="556"/>
      <c r="F646" s="507"/>
      <c r="G646" s="507"/>
      <c r="H646" s="556" t="s">
        <v>739</v>
      </c>
      <c r="I646" s="507"/>
      <c r="J646" s="507"/>
      <c r="K646" s="507"/>
      <c r="L646" s="507"/>
      <c r="M646" s="507"/>
      <c r="N646" s="507"/>
      <c r="O646" s="507"/>
      <c r="P646" s="507"/>
      <c r="Q646" s="507"/>
      <c r="R646" s="507"/>
      <c r="S646" s="507"/>
      <c r="T646" s="507"/>
      <c r="U646" s="507"/>
      <c r="V646" s="507"/>
      <c r="W646" s="507"/>
    </row>
    <row r="647" ht="35.25" customHeight="1">
      <c r="A647" s="22"/>
      <c r="B647" s="547" t="s">
        <v>220</v>
      </c>
      <c r="C647" s="593">
        <f>33189500-176000</f>
        <v>33013500</v>
      </c>
      <c r="D647" s="22"/>
      <c r="E647" s="507"/>
      <c r="F647" s="507"/>
      <c r="G647" s="507"/>
      <c r="H647" s="556" t="s">
        <v>739</v>
      </c>
      <c r="I647" s="507"/>
      <c r="J647" s="507"/>
      <c r="K647" s="507"/>
      <c r="L647" s="507"/>
      <c r="M647" s="507"/>
      <c r="N647" s="507"/>
      <c r="O647" s="507"/>
      <c r="P647" s="507"/>
      <c r="Q647" s="507"/>
      <c r="R647" s="507"/>
      <c r="S647" s="507"/>
      <c r="T647" s="507"/>
      <c r="U647" s="507"/>
      <c r="V647" s="507"/>
      <c r="W647" s="507"/>
    </row>
    <row r="648" ht="35.25" customHeight="1">
      <c r="A648" s="679" t="s">
        <v>740</v>
      </c>
      <c r="B648" s="547" t="s">
        <v>88</v>
      </c>
      <c r="C648" s="593">
        <v>0.0</v>
      </c>
      <c r="D648" s="680">
        <f>SUM(C648:C652)</f>
        <v>80793000</v>
      </c>
      <c r="E648" s="507"/>
      <c r="F648" s="507"/>
      <c r="G648" s="507"/>
      <c r="H648" s="556" t="s">
        <v>739</v>
      </c>
      <c r="I648" s="507"/>
      <c r="J648" s="507"/>
      <c r="K648" s="507"/>
      <c r="L648" s="507"/>
      <c r="M648" s="507"/>
      <c r="N648" s="507"/>
      <c r="O648" s="507"/>
      <c r="P648" s="507"/>
      <c r="Q648" s="507"/>
      <c r="R648" s="507"/>
      <c r="S648" s="507"/>
      <c r="T648" s="507"/>
      <c r="U648" s="507"/>
      <c r="V648" s="507"/>
      <c r="W648" s="507"/>
    </row>
    <row r="649" ht="35.25" customHeight="1">
      <c r="A649" s="18"/>
      <c r="B649" s="547" t="s">
        <v>219</v>
      </c>
      <c r="C649" s="593">
        <v>0.0</v>
      </c>
      <c r="D649" s="18"/>
      <c r="E649" s="507"/>
      <c r="F649" s="507"/>
      <c r="G649" s="507"/>
      <c r="H649" s="556" t="s">
        <v>739</v>
      </c>
      <c r="I649" s="507"/>
      <c r="J649" s="507"/>
      <c r="K649" s="507"/>
      <c r="L649" s="507"/>
      <c r="M649" s="507"/>
      <c r="N649" s="507"/>
      <c r="O649" s="507"/>
      <c r="P649" s="507"/>
      <c r="Q649" s="507"/>
      <c r="R649" s="507"/>
      <c r="S649" s="507"/>
      <c r="T649" s="507"/>
      <c r="U649" s="507"/>
      <c r="V649" s="507"/>
      <c r="W649" s="507"/>
    </row>
    <row r="650" ht="35.25" customHeight="1">
      <c r="A650" s="18"/>
      <c r="B650" s="547" t="s">
        <v>89</v>
      </c>
      <c r="C650" s="598">
        <v>7.554E7</v>
      </c>
      <c r="D650" s="18"/>
      <c r="E650" s="507"/>
      <c r="F650" s="507"/>
      <c r="G650" s="507"/>
      <c r="H650" s="556" t="s">
        <v>739</v>
      </c>
      <c r="I650" s="507"/>
      <c r="J650" s="507"/>
      <c r="K650" s="507"/>
      <c r="L650" s="507"/>
      <c r="M650" s="507"/>
      <c r="N650" s="507"/>
      <c r="O650" s="507"/>
      <c r="P650" s="507"/>
      <c r="Q650" s="507"/>
      <c r="R650" s="507"/>
      <c r="S650" s="507"/>
      <c r="T650" s="507"/>
      <c r="U650" s="507"/>
      <c r="V650" s="507"/>
      <c r="W650" s="507"/>
    </row>
    <row r="651" ht="45.0" customHeight="1">
      <c r="A651" s="22"/>
      <c r="B651" s="547" t="s">
        <v>824</v>
      </c>
      <c r="C651" s="593">
        <v>5253000.0</v>
      </c>
      <c r="D651" s="22"/>
      <c r="E651" s="662"/>
      <c r="F651" s="507"/>
      <c r="G651" s="507"/>
      <c r="H651" s="556" t="s">
        <v>739</v>
      </c>
      <c r="I651" s="507"/>
      <c r="J651" s="507"/>
      <c r="K651" s="507"/>
      <c r="L651" s="507"/>
      <c r="M651" s="507"/>
      <c r="N651" s="507"/>
      <c r="O651" s="507"/>
      <c r="P651" s="507"/>
      <c r="Q651" s="507"/>
      <c r="R651" s="507"/>
      <c r="S651" s="507"/>
      <c r="T651" s="507"/>
      <c r="U651" s="507"/>
      <c r="V651" s="507"/>
      <c r="W651" s="507"/>
    </row>
    <row r="652" ht="35.25" customHeight="1">
      <c r="A652" s="679" t="s">
        <v>742</v>
      </c>
      <c r="B652" s="547" t="s">
        <v>88</v>
      </c>
      <c r="C652" s="593">
        <v>0.0</v>
      </c>
      <c r="D652" s="680">
        <f>SUM(C652:C655)</f>
        <v>116197000</v>
      </c>
      <c r="E652" s="507"/>
      <c r="F652" s="507"/>
      <c r="G652" s="507"/>
      <c r="H652" s="556" t="s">
        <v>739</v>
      </c>
      <c r="I652" s="507"/>
      <c r="J652" s="507"/>
      <c r="K652" s="507"/>
      <c r="L652" s="507"/>
      <c r="M652" s="507"/>
      <c r="N652" s="507"/>
      <c r="O652" s="507"/>
      <c r="P652" s="507"/>
      <c r="Q652" s="507"/>
      <c r="R652" s="507"/>
      <c r="S652" s="507"/>
      <c r="T652" s="507"/>
      <c r="U652" s="507"/>
      <c r="V652" s="507"/>
      <c r="W652" s="507"/>
    </row>
    <row r="653" ht="35.25" customHeight="1">
      <c r="A653" s="18"/>
      <c r="B653" s="547" t="s">
        <v>219</v>
      </c>
      <c r="C653" s="593" t="s">
        <v>7</v>
      </c>
      <c r="D653" s="18"/>
      <c r="E653" s="507">
        <f>80*3000+70000</f>
        <v>310000</v>
      </c>
      <c r="F653" s="507"/>
      <c r="G653" s="507"/>
      <c r="H653" s="556" t="s">
        <v>739</v>
      </c>
      <c r="I653" s="507"/>
      <c r="J653" s="507"/>
      <c r="K653" s="507"/>
      <c r="L653" s="507"/>
      <c r="M653" s="507"/>
      <c r="N653" s="507"/>
      <c r="O653" s="507"/>
      <c r="P653" s="507"/>
      <c r="Q653" s="507"/>
      <c r="R653" s="507"/>
      <c r="S653" s="507"/>
      <c r="T653" s="507"/>
      <c r="U653" s="507"/>
      <c r="V653" s="507"/>
      <c r="W653" s="507"/>
    </row>
    <row r="654" ht="46.5" customHeight="1">
      <c r="A654" s="18"/>
      <c r="B654" s="547" t="s">
        <v>824</v>
      </c>
      <c r="C654" s="593">
        <v>1.2E7</v>
      </c>
      <c r="D654" s="18"/>
      <c r="E654" s="507"/>
      <c r="F654" s="507"/>
      <c r="G654" s="507"/>
      <c r="H654" s="556" t="s">
        <v>739</v>
      </c>
      <c r="I654" s="507"/>
      <c r="J654" s="507"/>
      <c r="K654" s="507"/>
      <c r="L654" s="507"/>
      <c r="M654" s="507"/>
      <c r="N654" s="507"/>
      <c r="O654" s="507"/>
      <c r="P654" s="507"/>
      <c r="Q654" s="507"/>
      <c r="R654" s="507"/>
      <c r="S654" s="507"/>
      <c r="T654" s="507"/>
      <c r="U654" s="507"/>
      <c r="V654" s="507"/>
      <c r="W654" s="507"/>
    </row>
    <row r="655" ht="35.25" customHeight="1">
      <c r="A655" s="22"/>
      <c r="B655" s="547" t="s">
        <v>220</v>
      </c>
      <c r="C655" s="593">
        <v>1.04197E8</v>
      </c>
      <c r="D655" s="22"/>
      <c r="E655" s="662"/>
      <c r="F655" s="507"/>
      <c r="G655" s="507"/>
      <c r="H655" s="556" t="s">
        <v>739</v>
      </c>
      <c r="I655" s="507"/>
      <c r="J655" s="507"/>
      <c r="K655" s="507"/>
      <c r="L655" s="507"/>
      <c r="M655" s="507"/>
      <c r="N655" s="507"/>
      <c r="O655" s="507"/>
      <c r="P655" s="507"/>
      <c r="Q655" s="507"/>
      <c r="R655" s="507"/>
      <c r="S655" s="507"/>
      <c r="T655" s="507"/>
      <c r="U655" s="507"/>
      <c r="V655" s="507"/>
      <c r="W655" s="507"/>
    </row>
    <row r="656" ht="35.25" customHeight="1">
      <c r="A656" s="679" t="s">
        <v>743</v>
      </c>
      <c r="B656" s="547" t="s">
        <v>88</v>
      </c>
      <c r="C656" s="593" t="s">
        <v>7</v>
      </c>
      <c r="D656" s="680">
        <f>SUM(C656:C660)</f>
        <v>56299000</v>
      </c>
      <c r="E656" s="507"/>
      <c r="F656" s="507"/>
      <c r="G656" s="507"/>
      <c r="H656" s="556" t="s">
        <v>739</v>
      </c>
      <c r="I656" s="507"/>
      <c r="J656" s="507"/>
      <c r="K656" s="507"/>
      <c r="L656" s="507"/>
      <c r="M656" s="507"/>
      <c r="N656" s="507"/>
      <c r="O656" s="507"/>
      <c r="P656" s="507"/>
      <c r="Q656" s="507"/>
      <c r="R656" s="507"/>
      <c r="S656" s="507"/>
      <c r="T656" s="507"/>
      <c r="U656" s="507"/>
      <c r="V656" s="507"/>
      <c r="W656" s="507"/>
    </row>
    <row r="657" ht="35.25" customHeight="1">
      <c r="A657" s="18"/>
      <c r="B657" s="547" t="s">
        <v>219</v>
      </c>
      <c r="C657" s="593">
        <v>-1760000.0</v>
      </c>
      <c r="D657" s="18"/>
      <c r="E657" s="507"/>
      <c r="F657" s="507"/>
      <c r="G657" s="507"/>
      <c r="H657" s="556" t="s">
        <v>739</v>
      </c>
      <c r="I657" s="507"/>
      <c r="J657" s="507"/>
      <c r="K657" s="507"/>
      <c r="L657" s="507"/>
      <c r="M657" s="507"/>
      <c r="N657" s="507"/>
      <c r="O657" s="507"/>
      <c r="P657" s="507"/>
      <c r="Q657" s="507"/>
      <c r="R657" s="507"/>
      <c r="S657" s="507"/>
      <c r="T657" s="507"/>
      <c r="U657" s="507"/>
      <c r="V657" s="507"/>
      <c r="W657" s="507"/>
    </row>
    <row r="658" ht="35.25" customHeight="1">
      <c r="A658" s="18"/>
      <c r="B658" s="547" t="s">
        <v>89</v>
      </c>
      <c r="C658" s="598">
        <v>5.5607E7</v>
      </c>
      <c r="D658" s="18"/>
      <c r="E658" s="507"/>
      <c r="F658" s="507"/>
      <c r="G658" s="507"/>
      <c r="H658" s="556" t="s">
        <v>739</v>
      </c>
      <c r="I658" s="507"/>
      <c r="J658" s="507"/>
      <c r="K658" s="507"/>
      <c r="L658" s="507"/>
      <c r="M658" s="507"/>
      <c r="N658" s="507"/>
      <c r="O658" s="507"/>
      <c r="P658" s="507"/>
      <c r="Q658" s="507"/>
      <c r="R658" s="507"/>
      <c r="S658" s="507"/>
      <c r="T658" s="507"/>
      <c r="U658" s="507"/>
      <c r="V658" s="507"/>
      <c r="W658" s="507"/>
    </row>
    <row r="659" ht="35.25" customHeight="1">
      <c r="A659" s="18"/>
      <c r="B659" s="547" t="s">
        <v>830</v>
      </c>
      <c r="C659" s="593">
        <v>-800000.0</v>
      </c>
      <c r="D659" s="18"/>
      <c r="E659" s="507"/>
      <c r="F659" s="507"/>
      <c r="G659" s="507"/>
      <c r="H659" s="556"/>
      <c r="I659" s="507"/>
      <c r="J659" s="507"/>
      <c r="K659" s="507"/>
      <c r="L659" s="507"/>
      <c r="M659" s="507"/>
      <c r="N659" s="507"/>
      <c r="O659" s="507"/>
      <c r="P659" s="507"/>
      <c r="Q659" s="507"/>
      <c r="R659" s="507"/>
      <c r="S659" s="507"/>
      <c r="T659" s="507"/>
      <c r="U659" s="507"/>
      <c r="V659" s="507"/>
      <c r="W659" s="507"/>
    </row>
    <row r="660" ht="43.5" customHeight="1">
      <c r="A660" s="22"/>
      <c r="B660" s="547" t="s">
        <v>824</v>
      </c>
      <c r="C660" s="593">
        <v>3252000.0</v>
      </c>
      <c r="D660" s="22"/>
      <c r="E660" s="507"/>
      <c r="F660" s="507"/>
      <c r="G660" s="507"/>
      <c r="H660" s="556" t="s">
        <v>739</v>
      </c>
      <c r="I660" s="507"/>
      <c r="J660" s="507"/>
      <c r="K660" s="507"/>
      <c r="L660" s="507"/>
      <c r="M660" s="507"/>
      <c r="N660" s="507"/>
      <c r="O660" s="507"/>
      <c r="P660" s="507"/>
      <c r="Q660" s="507"/>
      <c r="R660" s="507"/>
      <c r="S660" s="507"/>
      <c r="T660" s="507"/>
      <c r="U660" s="507"/>
      <c r="V660" s="507"/>
      <c r="W660" s="507"/>
    </row>
    <row r="661" ht="35.25" customHeight="1">
      <c r="A661" s="679" t="s">
        <v>744</v>
      </c>
      <c r="B661" s="547" t="s">
        <v>88</v>
      </c>
      <c r="C661" s="593" t="s">
        <v>7</v>
      </c>
      <c r="D661" s="680">
        <f>SUM(C661:C664)</f>
        <v>61266000</v>
      </c>
      <c r="E661" s="507"/>
      <c r="F661" s="507"/>
      <c r="G661" s="507"/>
      <c r="H661" s="556" t="s">
        <v>739</v>
      </c>
      <c r="I661" s="507"/>
      <c r="J661" s="507"/>
      <c r="K661" s="507"/>
      <c r="L661" s="507"/>
      <c r="M661" s="507"/>
      <c r="N661" s="507"/>
      <c r="O661" s="507"/>
      <c r="P661" s="507"/>
      <c r="Q661" s="507"/>
      <c r="R661" s="507"/>
      <c r="S661" s="507"/>
      <c r="T661" s="507"/>
      <c r="U661" s="507"/>
      <c r="V661" s="507"/>
      <c r="W661" s="507"/>
    </row>
    <row r="662" ht="35.25" customHeight="1">
      <c r="A662" s="18"/>
      <c r="B662" s="547" t="s">
        <v>219</v>
      </c>
      <c r="C662" s="598" t="s">
        <v>7</v>
      </c>
      <c r="D662" s="18"/>
      <c r="E662" s="507"/>
      <c r="F662" s="507"/>
      <c r="G662" s="507"/>
      <c r="H662" s="556" t="s">
        <v>739</v>
      </c>
      <c r="I662" s="507"/>
      <c r="J662" s="507"/>
      <c r="K662" s="507"/>
      <c r="L662" s="507"/>
      <c r="M662" s="507"/>
      <c r="N662" s="507"/>
      <c r="O662" s="507"/>
      <c r="P662" s="507"/>
      <c r="Q662" s="507"/>
      <c r="R662" s="507"/>
      <c r="S662" s="507"/>
      <c r="T662" s="507"/>
      <c r="U662" s="507"/>
      <c r="V662" s="507"/>
      <c r="W662" s="507"/>
    </row>
    <row r="663" ht="35.25" customHeight="1">
      <c r="A663" s="18"/>
      <c r="B663" s="547" t="s">
        <v>89</v>
      </c>
      <c r="C663" s="593">
        <v>3.4446E7</v>
      </c>
      <c r="D663" s="18"/>
      <c r="E663" s="507"/>
      <c r="F663" s="507"/>
      <c r="G663" s="507"/>
      <c r="H663" s="556" t="s">
        <v>739</v>
      </c>
      <c r="I663" s="507"/>
      <c r="J663" s="507"/>
      <c r="K663" s="507"/>
      <c r="L663" s="507"/>
      <c r="M663" s="507"/>
      <c r="N663" s="507"/>
      <c r="O663" s="507"/>
      <c r="P663" s="507"/>
      <c r="Q663" s="507"/>
      <c r="R663" s="507"/>
      <c r="S663" s="507"/>
      <c r="T663" s="507"/>
      <c r="U663" s="507"/>
      <c r="V663" s="507"/>
      <c r="W663" s="507"/>
    </row>
    <row r="664" ht="35.25" customHeight="1">
      <c r="A664" s="22"/>
      <c r="B664" s="547" t="s">
        <v>220</v>
      </c>
      <c r="C664" s="593">
        <v>2.682E7</v>
      </c>
      <c r="D664" s="22"/>
      <c r="E664" s="507">
        <f>21*3000</f>
        <v>63000</v>
      </c>
      <c r="F664" s="693" t="s">
        <v>171</v>
      </c>
      <c r="G664" s="5"/>
      <c r="H664" s="556" t="s">
        <v>739</v>
      </c>
      <c r="I664" s="507"/>
      <c r="J664" s="507"/>
      <c r="K664" s="507"/>
      <c r="L664" s="507"/>
      <c r="M664" s="507"/>
      <c r="N664" s="507"/>
      <c r="O664" s="507"/>
      <c r="P664" s="507"/>
      <c r="Q664" s="507"/>
      <c r="R664" s="507"/>
      <c r="S664" s="507"/>
      <c r="T664" s="507"/>
      <c r="U664" s="507"/>
      <c r="V664" s="507"/>
      <c r="W664" s="507"/>
    </row>
    <row r="665" ht="35.25" customHeight="1">
      <c r="A665" s="679" t="s">
        <v>745</v>
      </c>
      <c r="B665" s="547" t="s">
        <v>219</v>
      </c>
      <c r="C665" s="598">
        <v>4550000.0</v>
      </c>
      <c r="D665" s="680">
        <f>SUM(C665:C668)</f>
        <v>222833500</v>
      </c>
      <c r="E665" s="507"/>
      <c r="F665" s="547" t="s">
        <v>746</v>
      </c>
      <c r="G665" s="593">
        <f>5*135000</f>
        <v>675000</v>
      </c>
      <c r="H665" s="556" t="s">
        <v>739</v>
      </c>
      <c r="I665" s="507"/>
      <c r="J665" s="507"/>
      <c r="K665" s="507"/>
      <c r="L665" s="507"/>
      <c r="M665" s="507"/>
      <c r="N665" s="507"/>
      <c r="O665" s="507"/>
      <c r="P665" s="507"/>
      <c r="Q665" s="507"/>
      <c r="R665" s="507"/>
      <c r="S665" s="507"/>
      <c r="T665" s="507"/>
      <c r="U665" s="507"/>
      <c r="V665" s="507"/>
      <c r="W665" s="507"/>
    </row>
    <row r="666" ht="35.25" customHeight="1">
      <c r="A666" s="18"/>
      <c r="B666" s="547" t="s">
        <v>89</v>
      </c>
      <c r="C666" s="593">
        <f>128422500-120000</f>
        <v>128302500</v>
      </c>
      <c r="D666" s="18"/>
      <c r="E666" s="507"/>
      <c r="F666" s="547" t="s">
        <v>747</v>
      </c>
      <c r="G666" s="593">
        <f>3*125000</f>
        <v>375000</v>
      </c>
      <c r="H666" s="556" t="s">
        <v>739</v>
      </c>
      <c r="I666" s="507"/>
      <c r="J666" s="507"/>
      <c r="K666" s="507"/>
      <c r="L666" s="507"/>
      <c r="M666" s="507"/>
      <c r="N666" s="507"/>
      <c r="O666" s="507"/>
      <c r="P666" s="507"/>
      <c r="Q666" s="507"/>
      <c r="R666" s="507"/>
      <c r="S666" s="507"/>
      <c r="T666" s="507"/>
      <c r="U666" s="507"/>
      <c r="V666" s="507"/>
      <c r="W666" s="507"/>
    </row>
    <row r="667" ht="44.25" customHeight="1">
      <c r="A667" s="18"/>
      <c r="B667" s="547" t="s">
        <v>824</v>
      </c>
      <c r="C667" s="593">
        <v>3.1781E7</v>
      </c>
      <c r="D667" s="18"/>
      <c r="E667" s="507"/>
      <c r="F667" s="547" t="s">
        <v>748</v>
      </c>
      <c r="G667" s="598">
        <v>140000.0</v>
      </c>
      <c r="H667" s="556" t="s">
        <v>739</v>
      </c>
      <c r="I667" s="507"/>
      <c r="J667" s="507"/>
      <c r="K667" s="507"/>
      <c r="L667" s="507"/>
      <c r="M667" s="507"/>
      <c r="N667" s="507"/>
      <c r="O667" s="507"/>
      <c r="P667" s="507"/>
      <c r="Q667" s="507"/>
      <c r="R667" s="507"/>
      <c r="S667" s="507"/>
      <c r="T667" s="507"/>
      <c r="U667" s="507"/>
      <c r="V667" s="507"/>
      <c r="W667" s="507"/>
    </row>
    <row r="668" ht="33.0" customHeight="1">
      <c r="A668" s="22"/>
      <c r="B668" s="547" t="s">
        <v>220</v>
      </c>
      <c r="C668" s="593">
        <v>5.82E7</v>
      </c>
      <c r="D668" s="22"/>
      <c r="E668" s="662"/>
      <c r="F668" s="547" t="s">
        <v>749</v>
      </c>
      <c r="G668" s="593">
        <v>700000.0</v>
      </c>
      <c r="H668" s="556" t="s">
        <v>739</v>
      </c>
      <c r="I668" s="507"/>
      <c r="J668" s="507"/>
      <c r="K668" s="507"/>
      <c r="L668" s="507"/>
      <c r="M668" s="507"/>
      <c r="N668" s="507"/>
      <c r="O668" s="507"/>
      <c r="P668" s="507"/>
      <c r="Q668" s="507"/>
      <c r="R668" s="507"/>
      <c r="S668" s="507"/>
      <c r="T668" s="507"/>
      <c r="U668" s="507"/>
      <c r="V668" s="507"/>
      <c r="W668" s="507"/>
    </row>
    <row r="669" ht="35.25" customHeight="1">
      <c r="A669" s="679" t="s">
        <v>750</v>
      </c>
      <c r="B669" s="547" t="s">
        <v>89</v>
      </c>
      <c r="C669" s="593">
        <v>8.84401E7</v>
      </c>
      <c r="D669" s="680">
        <f>SUM(C669:C672)</f>
        <v>165900600</v>
      </c>
      <c r="E669" s="507"/>
      <c r="F669" s="547" t="s">
        <v>751</v>
      </c>
      <c r="G669" s="593">
        <f>4*65000</f>
        <v>260000</v>
      </c>
      <c r="H669" s="556" t="s">
        <v>739</v>
      </c>
      <c r="I669" s="507"/>
      <c r="J669" s="507"/>
      <c r="K669" s="507"/>
      <c r="L669" s="507"/>
      <c r="M669" s="507"/>
      <c r="N669" s="507"/>
      <c r="O669" s="507"/>
      <c r="P669" s="507"/>
      <c r="Q669" s="507"/>
      <c r="R669" s="507"/>
      <c r="S669" s="507"/>
      <c r="T669" s="507"/>
      <c r="U669" s="507"/>
      <c r="V669" s="507"/>
      <c r="W669" s="507"/>
    </row>
    <row r="670" ht="43.5" customHeight="1">
      <c r="A670" s="18"/>
      <c r="B670" s="547" t="s">
        <v>824</v>
      </c>
      <c r="C670" s="593">
        <v>9644000.0</v>
      </c>
      <c r="D670" s="18"/>
      <c r="E670" s="507"/>
      <c r="F670" s="547" t="s">
        <v>99</v>
      </c>
      <c r="G670" s="593">
        <f>SUM(G665:G669)</f>
        <v>2150000</v>
      </c>
      <c r="H670" s="556" t="s">
        <v>739</v>
      </c>
      <c r="I670" s="507"/>
      <c r="J670" s="507"/>
      <c r="K670" s="507"/>
      <c r="L670" s="507"/>
      <c r="M670" s="507"/>
      <c r="N670" s="507"/>
      <c r="O670" s="507"/>
      <c r="P670" s="507"/>
      <c r="Q670" s="507"/>
      <c r="R670" s="507"/>
      <c r="S670" s="507"/>
      <c r="T670" s="507"/>
      <c r="U670" s="507"/>
      <c r="V670" s="507"/>
      <c r="W670" s="507"/>
    </row>
    <row r="671" ht="35.25" customHeight="1">
      <c r="A671" s="18"/>
      <c r="B671" s="547" t="s">
        <v>220</v>
      </c>
      <c r="C671" s="593">
        <v>6.78165E7</v>
      </c>
      <c r="D671" s="18"/>
      <c r="E671" s="507"/>
      <c r="F671" s="507"/>
      <c r="G671" s="507"/>
      <c r="H671" s="556" t="s">
        <v>739</v>
      </c>
      <c r="I671" s="507"/>
      <c r="J671" s="507"/>
      <c r="K671" s="507"/>
      <c r="L671" s="507"/>
      <c r="M671" s="507"/>
      <c r="N671" s="507"/>
      <c r="O671" s="507"/>
      <c r="P671" s="507"/>
      <c r="Q671" s="507"/>
      <c r="R671" s="507"/>
      <c r="S671" s="507"/>
      <c r="T671" s="507"/>
      <c r="U671" s="507"/>
      <c r="V671" s="507"/>
      <c r="W671" s="507"/>
    </row>
    <row r="672" ht="48.75" customHeight="1">
      <c r="A672" s="22"/>
      <c r="B672" s="547"/>
      <c r="C672" s="593"/>
      <c r="D672" s="22"/>
      <c r="E672" s="662"/>
      <c r="F672" s="507"/>
      <c r="G672" s="507"/>
      <c r="H672" s="556" t="s">
        <v>739</v>
      </c>
      <c r="I672" s="507"/>
      <c r="J672" s="507"/>
      <c r="K672" s="507"/>
      <c r="L672" s="507"/>
      <c r="M672" s="507"/>
      <c r="N672" s="507"/>
      <c r="O672" s="507"/>
      <c r="P672" s="507"/>
      <c r="Q672" s="507"/>
      <c r="R672" s="507"/>
      <c r="S672" s="507"/>
      <c r="T672" s="507"/>
      <c r="U672" s="507"/>
      <c r="V672" s="507"/>
      <c r="W672" s="507"/>
    </row>
    <row r="673" ht="35.25" customHeight="1">
      <c r="A673" s="679" t="s">
        <v>752</v>
      </c>
      <c r="B673" s="547" t="s">
        <v>88</v>
      </c>
      <c r="C673" s="593" t="s">
        <v>7</v>
      </c>
      <c r="D673" s="680">
        <f>SUM(C673:C676)</f>
        <v>35883500</v>
      </c>
      <c r="E673" s="507"/>
      <c r="F673" s="507"/>
      <c r="G673" s="507"/>
      <c r="H673" s="556" t="s">
        <v>739</v>
      </c>
      <c r="I673" s="507"/>
      <c r="J673" s="507"/>
      <c r="K673" s="507"/>
      <c r="L673" s="507"/>
      <c r="M673" s="507"/>
      <c r="N673" s="507"/>
      <c r="O673" s="507"/>
      <c r="P673" s="507"/>
      <c r="Q673" s="507"/>
      <c r="R673" s="507"/>
      <c r="S673" s="507"/>
      <c r="T673" s="507"/>
      <c r="U673" s="507"/>
      <c r="V673" s="507"/>
      <c r="W673" s="507"/>
    </row>
    <row r="674" ht="35.25" customHeight="1">
      <c r="A674" s="18"/>
      <c r="B674" s="547" t="s">
        <v>219</v>
      </c>
      <c r="C674" s="598" t="s">
        <v>7</v>
      </c>
      <c r="D674" s="18"/>
      <c r="E674" s="507"/>
      <c r="F674" s="507"/>
      <c r="G674" s="507"/>
      <c r="H674" s="556" t="s">
        <v>739</v>
      </c>
      <c r="I674" s="507"/>
      <c r="J674" s="507"/>
      <c r="K674" s="507"/>
      <c r="L674" s="507"/>
      <c r="M674" s="507"/>
      <c r="N674" s="507"/>
      <c r="O674" s="507"/>
      <c r="P674" s="507"/>
      <c r="Q674" s="507"/>
      <c r="R674" s="507"/>
      <c r="S674" s="507"/>
      <c r="T674" s="507"/>
      <c r="U674" s="507"/>
      <c r="V674" s="507"/>
      <c r="W674" s="507"/>
    </row>
    <row r="675" ht="35.25" customHeight="1">
      <c r="A675" s="18"/>
      <c r="B675" s="547" t="s">
        <v>89</v>
      </c>
      <c r="C675" s="598" t="s">
        <v>7</v>
      </c>
      <c r="D675" s="18"/>
      <c r="E675" s="507"/>
      <c r="F675" s="507"/>
      <c r="G675" s="507"/>
      <c r="H675" s="556" t="s">
        <v>739</v>
      </c>
      <c r="I675" s="507"/>
      <c r="J675" s="507"/>
      <c r="K675" s="507"/>
      <c r="L675" s="507"/>
      <c r="M675" s="507"/>
      <c r="N675" s="507"/>
      <c r="O675" s="507"/>
      <c r="P675" s="507"/>
      <c r="Q675" s="507"/>
      <c r="R675" s="507"/>
      <c r="S675" s="507"/>
      <c r="T675" s="507"/>
      <c r="U675" s="507"/>
      <c r="V675" s="507"/>
      <c r="W675" s="507"/>
    </row>
    <row r="676" ht="35.25" customHeight="1">
      <c r="A676" s="22"/>
      <c r="B676" s="547" t="s">
        <v>220</v>
      </c>
      <c r="C676" s="593">
        <f>35943500-60000</f>
        <v>35883500</v>
      </c>
      <c r="D676" s="22"/>
      <c r="E676" s="507"/>
      <c r="F676" s="507"/>
      <c r="G676" s="507"/>
      <c r="H676" s="556" t="s">
        <v>739</v>
      </c>
      <c r="I676" s="507"/>
      <c r="J676" s="507"/>
      <c r="K676" s="507"/>
      <c r="L676" s="507"/>
      <c r="M676" s="507"/>
      <c r="N676" s="507"/>
      <c r="O676" s="507"/>
      <c r="P676" s="507"/>
      <c r="Q676" s="507"/>
      <c r="R676" s="507"/>
      <c r="S676" s="507"/>
      <c r="T676" s="507"/>
      <c r="U676" s="507"/>
      <c r="V676" s="507"/>
      <c r="W676" s="507"/>
    </row>
    <row r="677" ht="35.25" customHeight="1">
      <c r="A677" s="679" t="s">
        <v>753</v>
      </c>
      <c r="B677" s="547" t="s">
        <v>88</v>
      </c>
      <c r="C677" s="593">
        <v>0.0</v>
      </c>
      <c r="D677" s="680">
        <f>SUM(C677:C680)</f>
        <v>0</v>
      </c>
      <c r="E677" s="507"/>
      <c r="F677" s="507"/>
      <c r="G677" s="507"/>
      <c r="H677" s="556" t="s">
        <v>739</v>
      </c>
      <c r="I677" s="507"/>
      <c r="J677" s="507"/>
      <c r="K677" s="507"/>
      <c r="L677" s="507"/>
      <c r="M677" s="507"/>
      <c r="N677" s="507"/>
      <c r="O677" s="507"/>
      <c r="P677" s="507"/>
      <c r="Q677" s="507"/>
      <c r="R677" s="507"/>
      <c r="S677" s="507"/>
      <c r="T677" s="507"/>
      <c r="U677" s="507"/>
      <c r="V677" s="507"/>
      <c r="W677" s="507"/>
    </row>
    <row r="678" ht="35.25" customHeight="1">
      <c r="A678" s="18"/>
      <c r="B678" s="547" t="s">
        <v>219</v>
      </c>
      <c r="C678" s="593">
        <v>0.0</v>
      </c>
      <c r="D678" s="18"/>
      <c r="E678" s="507"/>
      <c r="F678" s="507"/>
      <c r="G678" s="507"/>
      <c r="H678" s="556" t="s">
        <v>739</v>
      </c>
      <c r="I678" s="507"/>
      <c r="J678" s="507"/>
      <c r="K678" s="507"/>
      <c r="L678" s="507"/>
      <c r="M678" s="507"/>
      <c r="N678" s="507"/>
      <c r="O678" s="507"/>
      <c r="P678" s="507"/>
      <c r="Q678" s="507"/>
      <c r="R678" s="507"/>
      <c r="S678" s="507"/>
      <c r="T678" s="507"/>
      <c r="U678" s="507"/>
      <c r="V678" s="507"/>
      <c r="W678" s="507"/>
    </row>
    <row r="679" ht="35.25" customHeight="1">
      <c r="A679" s="18"/>
      <c r="B679" s="547" t="s">
        <v>89</v>
      </c>
      <c r="C679" s="598">
        <v>0.0</v>
      </c>
      <c r="D679" s="18"/>
      <c r="E679" s="507"/>
      <c r="F679" s="507"/>
      <c r="G679" s="507"/>
      <c r="H679" s="556" t="s">
        <v>739</v>
      </c>
      <c r="I679" s="507"/>
      <c r="J679" s="507"/>
      <c r="K679" s="507"/>
      <c r="L679" s="507"/>
      <c r="M679" s="507"/>
      <c r="N679" s="507"/>
      <c r="O679" s="507"/>
      <c r="P679" s="507"/>
      <c r="Q679" s="507"/>
      <c r="R679" s="507"/>
      <c r="S679" s="507"/>
      <c r="T679" s="507"/>
      <c r="U679" s="507"/>
      <c r="V679" s="507"/>
      <c r="W679" s="507"/>
    </row>
    <row r="680" ht="54.0" customHeight="1">
      <c r="A680" s="22"/>
      <c r="B680" s="547" t="s">
        <v>824</v>
      </c>
      <c r="C680" s="593">
        <v>0.0</v>
      </c>
      <c r="D680" s="22"/>
      <c r="E680" s="507"/>
      <c r="F680" s="507"/>
      <c r="G680" s="507"/>
      <c r="H680" s="556" t="s">
        <v>739</v>
      </c>
      <c r="I680" s="507"/>
      <c r="J680" s="507"/>
      <c r="K680" s="507"/>
      <c r="L680" s="507"/>
      <c r="M680" s="507"/>
      <c r="N680" s="507"/>
      <c r="O680" s="507"/>
      <c r="P680" s="507"/>
      <c r="Q680" s="507"/>
      <c r="R680" s="507"/>
      <c r="S680" s="507"/>
      <c r="T680" s="507"/>
      <c r="U680" s="507"/>
      <c r="V680" s="507"/>
      <c r="W680" s="507"/>
    </row>
    <row r="681" ht="35.25" customHeight="1">
      <c r="A681" s="507"/>
      <c r="B681" s="507"/>
      <c r="C681" s="507"/>
      <c r="D681" s="508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  <c r="O681" s="507"/>
      <c r="P681" s="507"/>
      <c r="Q681" s="507"/>
      <c r="R681" s="507"/>
      <c r="S681" s="507"/>
      <c r="T681" s="507"/>
      <c r="U681" s="507"/>
      <c r="V681" s="507"/>
      <c r="W681" s="507"/>
    </row>
    <row r="682" ht="35.25" customHeight="1">
      <c r="A682" s="507"/>
      <c r="B682" s="507"/>
      <c r="C682" s="507"/>
      <c r="D682" s="508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  <c r="O682" s="507"/>
      <c r="P682" s="507"/>
      <c r="Q682" s="507"/>
      <c r="R682" s="507"/>
      <c r="S682" s="507"/>
      <c r="T682" s="507"/>
      <c r="U682" s="507"/>
      <c r="V682" s="507"/>
      <c r="W682" s="507"/>
    </row>
    <row r="683" ht="35.25" customHeight="1">
      <c r="A683" s="507"/>
      <c r="B683" s="547" t="s">
        <v>190</v>
      </c>
      <c r="C683" s="598">
        <v>4.051085E8</v>
      </c>
      <c r="D683" s="508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  <c r="O683" s="507"/>
      <c r="P683" s="507"/>
      <c r="Q683" s="507"/>
      <c r="R683" s="507"/>
      <c r="S683" s="507"/>
      <c r="T683" s="507"/>
      <c r="U683" s="507"/>
      <c r="V683" s="507"/>
      <c r="W683" s="507"/>
    </row>
    <row r="684" ht="35.25" customHeight="1">
      <c r="A684" s="507"/>
      <c r="B684" s="547" t="s">
        <v>58</v>
      </c>
      <c r="C684" s="598">
        <v>3.597425E8</v>
      </c>
      <c r="D684" s="508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  <c r="O684" s="507"/>
      <c r="P684" s="507"/>
      <c r="Q684" s="507"/>
      <c r="R684" s="507"/>
      <c r="S684" s="507"/>
      <c r="T684" s="507"/>
      <c r="U684" s="507"/>
      <c r="V684" s="507"/>
      <c r="W684" s="507"/>
    </row>
    <row r="685" ht="35.25" customHeight="1">
      <c r="A685" s="507"/>
      <c r="B685" s="547" t="s">
        <v>109</v>
      </c>
      <c r="C685" s="598">
        <v>7.131195E8</v>
      </c>
      <c r="D685" s="508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  <c r="O685" s="507"/>
      <c r="P685" s="507"/>
      <c r="Q685" s="507"/>
      <c r="R685" s="507"/>
      <c r="S685" s="507"/>
      <c r="T685" s="507"/>
      <c r="U685" s="507"/>
      <c r="V685" s="507"/>
      <c r="W685" s="507"/>
    </row>
    <row r="686" ht="35.25" customHeight="1">
      <c r="A686" s="507"/>
      <c r="B686" s="706" t="s">
        <v>831</v>
      </c>
      <c r="C686" s="707">
        <f>SUM(C683:C685)</f>
        <v>1477970500</v>
      </c>
      <c r="D686" s="508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  <c r="O686" s="507"/>
      <c r="P686" s="507"/>
      <c r="Q686" s="507"/>
      <c r="R686" s="507"/>
      <c r="S686" s="507"/>
      <c r="T686" s="507"/>
      <c r="U686" s="507"/>
      <c r="V686" s="507"/>
      <c r="W686" s="507"/>
    </row>
    <row r="687" ht="35.25" customHeight="1">
      <c r="A687" s="507"/>
      <c r="B687" s="507"/>
      <c r="C687" s="507"/>
      <c r="D687" s="508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  <c r="O687" s="507"/>
      <c r="P687" s="507"/>
      <c r="Q687" s="507"/>
      <c r="R687" s="507"/>
      <c r="S687" s="507"/>
      <c r="T687" s="507"/>
      <c r="U687" s="507"/>
      <c r="V687" s="507"/>
      <c r="W687" s="507"/>
    </row>
    <row r="688" ht="35.25" customHeight="1">
      <c r="A688" s="507"/>
      <c r="B688" s="507"/>
      <c r="C688" s="507"/>
      <c r="D688" s="508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  <c r="O688" s="507"/>
      <c r="P688" s="507"/>
      <c r="Q688" s="507"/>
      <c r="R688" s="507"/>
      <c r="S688" s="507"/>
      <c r="T688" s="507"/>
      <c r="U688" s="507"/>
      <c r="V688" s="507"/>
      <c r="W688" s="507"/>
    </row>
    <row r="689" ht="35.25" customHeight="1">
      <c r="A689" s="507"/>
      <c r="B689" s="507"/>
      <c r="C689" s="507"/>
      <c r="D689" s="508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  <c r="O689" s="507"/>
      <c r="P689" s="507"/>
      <c r="Q689" s="507"/>
      <c r="R689" s="507"/>
      <c r="S689" s="507"/>
      <c r="T689" s="507"/>
      <c r="U689" s="507"/>
      <c r="V689" s="507"/>
      <c r="W689" s="507"/>
    </row>
    <row r="690" ht="35.25" customHeight="1">
      <c r="A690" s="507"/>
      <c r="B690" s="507"/>
      <c r="C690" s="507"/>
      <c r="D690" s="508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  <c r="O690" s="507"/>
      <c r="P690" s="507"/>
      <c r="Q690" s="507"/>
      <c r="R690" s="507"/>
      <c r="S690" s="507"/>
      <c r="T690" s="507"/>
      <c r="U690" s="507"/>
      <c r="V690" s="507"/>
      <c r="W690" s="507"/>
    </row>
    <row r="691" ht="35.25" customHeight="1">
      <c r="A691" s="507"/>
      <c r="B691" s="507"/>
      <c r="C691" s="507"/>
      <c r="D691" s="508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  <c r="O691" s="507"/>
      <c r="P691" s="507"/>
      <c r="Q691" s="507"/>
      <c r="R691" s="507"/>
      <c r="S691" s="507"/>
      <c r="T691" s="507"/>
      <c r="U691" s="507"/>
      <c r="V691" s="507"/>
      <c r="W691" s="507"/>
    </row>
    <row r="692" ht="35.25" customHeight="1">
      <c r="A692" s="507"/>
      <c r="B692" s="507"/>
      <c r="C692" s="507"/>
      <c r="D692" s="508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  <c r="O692" s="507"/>
      <c r="P692" s="507"/>
      <c r="Q692" s="507"/>
      <c r="R692" s="507"/>
      <c r="S692" s="507"/>
      <c r="T692" s="507"/>
      <c r="U692" s="507"/>
      <c r="V692" s="507"/>
      <c r="W692" s="507"/>
    </row>
    <row r="693" ht="35.25" customHeight="1">
      <c r="A693" s="507"/>
      <c r="B693" s="507"/>
      <c r="C693" s="507"/>
      <c r="D693" s="508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  <c r="O693" s="507"/>
      <c r="P693" s="507"/>
      <c r="Q693" s="507"/>
      <c r="R693" s="507"/>
      <c r="S693" s="507"/>
      <c r="T693" s="507"/>
      <c r="U693" s="507"/>
      <c r="V693" s="507"/>
      <c r="W693" s="507"/>
    </row>
    <row r="694" ht="35.25" customHeight="1">
      <c r="A694" s="507"/>
      <c r="B694" s="507"/>
      <c r="C694" s="507"/>
      <c r="D694" s="508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  <c r="O694" s="507"/>
      <c r="P694" s="507"/>
      <c r="Q694" s="507"/>
      <c r="R694" s="507"/>
      <c r="S694" s="507"/>
      <c r="T694" s="507"/>
      <c r="U694" s="507"/>
      <c r="V694" s="507"/>
      <c r="W694" s="507"/>
    </row>
    <row r="695" ht="35.25" customHeight="1">
      <c r="A695" s="507"/>
      <c r="B695" s="507"/>
      <c r="C695" s="507"/>
      <c r="D695" s="508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  <c r="O695" s="507"/>
      <c r="P695" s="507"/>
      <c r="Q695" s="507"/>
      <c r="R695" s="507"/>
      <c r="S695" s="507"/>
      <c r="T695" s="507"/>
      <c r="U695" s="507"/>
      <c r="V695" s="507"/>
      <c r="W695" s="507"/>
    </row>
    <row r="696" ht="35.25" customHeight="1">
      <c r="A696" s="507"/>
      <c r="B696" s="507"/>
      <c r="C696" s="507"/>
      <c r="D696" s="508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  <c r="O696" s="507"/>
      <c r="P696" s="507"/>
      <c r="Q696" s="507"/>
      <c r="R696" s="507"/>
      <c r="S696" s="507"/>
      <c r="T696" s="507"/>
      <c r="U696" s="507"/>
      <c r="V696" s="507"/>
      <c r="W696" s="507"/>
    </row>
    <row r="697" ht="35.25" customHeight="1">
      <c r="A697" s="507"/>
      <c r="B697" s="507"/>
      <c r="C697" s="507"/>
      <c r="D697" s="508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  <c r="O697" s="507"/>
      <c r="P697" s="507"/>
      <c r="Q697" s="507"/>
      <c r="R697" s="507"/>
      <c r="S697" s="507"/>
      <c r="T697" s="507"/>
      <c r="U697" s="507"/>
      <c r="V697" s="507"/>
      <c r="W697" s="507"/>
    </row>
    <row r="698" ht="35.25" customHeight="1">
      <c r="A698" s="507"/>
      <c r="B698" s="507"/>
      <c r="C698" s="507"/>
      <c r="D698" s="508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  <c r="O698" s="507"/>
      <c r="P698" s="507"/>
      <c r="Q698" s="507"/>
      <c r="R698" s="507"/>
      <c r="S698" s="507"/>
      <c r="T698" s="507"/>
      <c r="U698" s="507"/>
      <c r="V698" s="507"/>
      <c r="W698" s="507"/>
    </row>
    <row r="699" ht="35.25" customHeight="1">
      <c r="A699" s="507"/>
      <c r="B699" s="507"/>
      <c r="C699" s="507"/>
      <c r="D699" s="508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  <c r="O699" s="507"/>
      <c r="P699" s="507"/>
      <c r="Q699" s="507"/>
      <c r="R699" s="507"/>
      <c r="S699" s="507"/>
      <c r="T699" s="507"/>
      <c r="U699" s="507"/>
      <c r="V699" s="507"/>
      <c r="W699" s="507"/>
    </row>
    <row r="700" ht="35.25" customHeight="1">
      <c r="A700" s="507"/>
      <c r="B700" s="507"/>
      <c r="C700" s="507"/>
      <c r="D700" s="508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  <c r="O700" s="507"/>
      <c r="P700" s="507"/>
      <c r="Q700" s="507"/>
      <c r="R700" s="507"/>
      <c r="S700" s="507"/>
      <c r="T700" s="507"/>
      <c r="U700" s="507"/>
      <c r="V700" s="507"/>
      <c r="W700" s="507"/>
    </row>
    <row r="701" ht="35.25" customHeight="1">
      <c r="A701" s="507"/>
      <c r="B701" s="507"/>
      <c r="C701" s="507"/>
      <c r="D701" s="508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  <c r="O701" s="507"/>
      <c r="P701" s="507"/>
      <c r="Q701" s="507"/>
      <c r="R701" s="507"/>
      <c r="S701" s="507"/>
      <c r="T701" s="507"/>
      <c r="U701" s="507"/>
      <c r="V701" s="507"/>
      <c r="W701" s="507"/>
    </row>
    <row r="702" ht="35.25" customHeight="1">
      <c r="A702" s="507"/>
      <c r="B702" s="507"/>
      <c r="C702" s="507"/>
      <c r="D702" s="508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  <c r="O702" s="507"/>
      <c r="P702" s="507"/>
      <c r="Q702" s="507"/>
      <c r="R702" s="507"/>
      <c r="S702" s="507"/>
      <c r="T702" s="507"/>
      <c r="U702" s="507"/>
      <c r="V702" s="507"/>
      <c r="W702" s="507"/>
    </row>
    <row r="703" ht="35.25" customHeight="1">
      <c r="A703" s="507"/>
      <c r="B703" s="507"/>
      <c r="C703" s="507"/>
      <c r="D703" s="508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  <c r="O703" s="507"/>
      <c r="P703" s="507"/>
      <c r="Q703" s="507"/>
      <c r="R703" s="507"/>
      <c r="S703" s="507"/>
      <c r="T703" s="507"/>
      <c r="U703" s="507"/>
      <c r="V703" s="507"/>
      <c r="W703" s="507"/>
    </row>
    <row r="704" ht="35.25" customHeight="1">
      <c r="A704" s="507"/>
      <c r="B704" s="507"/>
      <c r="C704" s="507"/>
      <c r="D704" s="508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  <c r="O704" s="507"/>
      <c r="P704" s="507"/>
      <c r="Q704" s="507"/>
      <c r="R704" s="507"/>
      <c r="S704" s="507"/>
      <c r="T704" s="507"/>
      <c r="U704" s="507"/>
      <c r="V704" s="507"/>
      <c r="W704" s="507"/>
    </row>
    <row r="705" ht="35.25" customHeight="1">
      <c r="A705" s="507"/>
      <c r="B705" s="507"/>
      <c r="C705" s="507"/>
      <c r="D705" s="508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  <c r="O705" s="507"/>
      <c r="P705" s="507"/>
      <c r="Q705" s="507"/>
      <c r="R705" s="507"/>
      <c r="S705" s="507"/>
      <c r="T705" s="507"/>
      <c r="U705" s="507"/>
      <c r="V705" s="507"/>
      <c r="W705" s="507"/>
    </row>
    <row r="706" ht="35.25" customHeight="1">
      <c r="A706" s="507"/>
      <c r="B706" s="507"/>
      <c r="C706" s="507"/>
      <c r="D706" s="508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  <c r="O706" s="507"/>
      <c r="P706" s="507"/>
      <c r="Q706" s="507"/>
      <c r="R706" s="507"/>
      <c r="S706" s="507"/>
      <c r="T706" s="507"/>
      <c r="U706" s="507"/>
      <c r="V706" s="507"/>
      <c r="W706" s="507"/>
    </row>
    <row r="707" ht="35.25" customHeight="1">
      <c r="A707" s="507"/>
      <c r="B707" s="507"/>
      <c r="C707" s="507"/>
      <c r="D707" s="508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  <c r="O707" s="507"/>
      <c r="P707" s="507"/>
      <c r="Q707" s="507"/>
      <c r="R707" s="507"/>
      <c r="S707" s="507"/>
      <c r="T707" s="507"/>
      <c r="U707" s="507"/>
      <c r="V707" s="507"/>
      <c r="W707" s="507"/>
    </row>
    <row r="708" ht="35.25" customHeight="1">
      <c r="A708" s="507"/>
      <c r="B708" s="507"/>
      <c r="C708" s="507"/>
      <c r="D708" s="508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  <c r="O708" s="507"/>
      <c r="P708" s="507"/>
      <c r="Q708" s="507"/>
      <c r="R708" s="507"/>
      <c r="S708" s="507"/>
      <c r="T708" s="507"/>
      <c r="U708" s="507"/>
      <c r="V708" s="507"/>
      <c r="W708" s="507"/>
    </row>
    <row r="709" ht="35.25" customHeight="1">
      <c r="A709" s="507"/>
      <c r="B709" s="507"/>
      <c r="C709" s="507"/>
      <c r="D709" s="508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  <c r="O709" s="507"/>
      <c r="P709" s="507"/>
      <c r="Q709" s="507"/>
      <c r="R709" s="507"/>
      <c r="S709" s="507"/>
      <c r="T709" s="507"/>
      <c r="U709" s="507"/>
      <c r="V709" s="507"/>
      <c r="W709" s="507"/>
    </row>
    <row r="710" ht="35.25" customHeight="1">
      <c r="A710" s="507"/>
      <c r="B710" s="507"/>
      <c r="C710" s="507"/>
      <c r="D710" s="508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  <c r="O710" s="507"/>
      <c r="P710" s="507"/>
      <c r="Q710" s="507"/>
      <c r="R710" s="507"/>
      <c r="S710" s="507"/>
      <c r="T710" s="507"/>
      <c r="U710" s="507"/>
      <c r="V710" s="507"/>
      <c r="W710" s="507"/>
    </row>
    <row r="711" ht="35.25" customHeight="1">
      <c r="A711" s="507"/>
      <c r="B711" s="507"/>
      <c r="C711" s="507"/>
      <c r="D711" s="508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  <c r="O711" s="507"/>
      <c r="P711" s="507"/>
      <c r="Q711" s="507"/>
      <c r="R711" s="507"/>
      <c r="S711" s="507"/>
      <c r="T711" s="507"/>
      <c r="U711" s="507"/>
      <c r="V711" s="507"/>
      <c r="W711" s="507"/>
    </row>
    <row r="712" ht="35.25" customHeight="1">
      <c r="A712" s="507"/>
      <c r="B712" s="507"/>
      <c r="C712" s="507"/>
      <c r="D712" s="508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  <c r="O712" s="507"/>
      <c r="P712" s="507"/>
      <c r="Q712" s="507"/>
      <c r="R712" s="507"/>
      <c r="S712" s="507"/>
      <c r="T712" s="507"/>
      <c r="U712" s="507"/>
      <c r="V712" s="507"/>
      <c r="W712" s="507"/>
    </row>
    <row r="713" ht="35.25" customHeight="1">
      <c r="A713" s="507"/>
      <c r="B713" s="507"/>
      <c r="C713" s="507"/>
      <c r="D713" s="508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  <c r="O713" s="507"/>
      <c r="P713" s="507"/>
      <c r="Q713" s="507"/>
      <c r="R713" s="507"/>
      <c r="S713" s="507"/>
      <c r="T713" s="507"/>
      <c r="U713" s="507"/>
      <c r="V713" s="507"/>
      <c r="W713" s="507"/>
    </row>
    <row r="714" ht="35.25" customHeight="1">
      <c r="A714" s="507"/>
      <c r="B714" s="507"/>
      <c r="C714" s="507"/>
      <c r="D714" s="508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  <c r="O714" s="507"/>
      <c r="P714" s="507"/>
      <c r="Q714" s="507"/>
      <c r="R714" s="507"/>
      <c r="S714" s="507"/>
      <c r="T714" s="507"/>
      <c r="U714" s="507"/>
      <c r="V714" s="507"/>
      <c r="W714" s="507"/>
    </row>
    <row r="715" ht="35.25" customHeight="1">
      <c r="A715" s="507"/>
      <c r="B715" s="507"/>
      <c r="C715" s="507"/>
      <c r="D715" s="508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  <c r="O715" s="507"/>
      <c r="P715" s="507"/>
      <c r="Q715" s="507"/>
      <c r="R715" s="507"/>
      <c r="S715" s="507"/>
      <c r="T715" s="507"/>
      <c r="U715" s="507"/>
      <c r="V715" s="507"/>
      <c r="W715" s="507"/>
    </row>
    <row r="716" ht="35.25" customHeight="1">
      <c r="A716" s="507"/>
      <c r="B716" s="507"/>
      <c r="C716" s="507"/>
      <c r="D716" s="508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  <c r="O716" s="507"/>
      <c r="P716" s="507"/>
      <c r="Q716" s="507"/>
      <c r="R716" s="507"/>
      <c r="S716" s="507"/>
      <c r="T716" s="507"/>
      <c r="U716" s="507"/>
      <c r="V716" s="507"/>
      <c r="W716" s="507"/>
    </row>
    <row r="717" ht="35.25" customHeight="1">
      <c r="A717" s="507"/>
      <c r="B717" s="507"/>
      <c r="C717" s="507"/>
      <c r="D717" s="508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  <c r="O717" s="507"/>
      <c r="P717" s="507"/>
      <c r="Q717" s="507"/>
      <c r="R717" s="507"/>
      <c r="S717" s="507"/>
      <c r="T717" s="507"/>
      <c r="U717" s="507"/>
      <c r="V717" s="507"/>
      <c r="W717" s="507"/>
    </row>
    <row r="718" ht="35.25" customHeight="1">
      <c r="A718" s="507"/>
      <c r="B718" s="507"/>
      <c r="C718" s="507"/>
      <c r="D718" s="508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  <c r="O718" s="507"/>
      <c r="P718" s="507"/>
      <c r="Q718" s="507"/>
      <c r="R718" s="507"/>
      <c r="S718" s="507"/>
      <c r="T718" s="507"/>
      <c r="U718" s="507"/>
      <c r="V718" s="507"/>
      <c r="W718" s="507"/>
    </row>
    <row r="719" ht="35.25" customHeight="1">
      <c r="A719" s="507"/>
      <c r="B719" s="507"/>
      <c r="C719" s="507"/>
      <c r="D719" s="508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  <c r="O719" s="507"/>
      <c r="P719" s="507"/>
      <c r="Q719" s="507"/>
      <c r="R719" s="507"/>
      <c r="S719" s="507"/>
      <c r="T719" s="507"/>
      <c r="U719" s="507"/>
      <c r="V719" s="507"/>
      <c r="W719" s="507"/>
    </row>
    <row r="720" ht="35.25" customHeight="1">
      <c r="A720" s="507"/>
      <c r="B720" s="507"/>
      <c r="C720" s="507"/>
      <c r="D720" s="508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  <c r="O720" s="507"/>
      <c r="P720" s="507"/>
      <c r="Q720" s="507"/>
      <c r="R720" s="507"/>
      <c r="S720" s="507"/>
      <c r="T720" s="507"/>
      <c r="U720" s="507"/>
      <c r="V720" s="507"/>
      <c r="W720" s="507"/>
    </row>
    <row r="721" ht="35.25" customHeight="1">
      <c r="A721" s="507"/>
      <c r="B721" s="507"/>
      <c r="C721" s="507"/>
      <c r="D721" s="508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  <c r="O721" s="507"/>
      <c r="P721" s="507"/>
      <c r="Q721" s="507"/>
      <c r="R721" s="507"/>
      <c r="S721" s="507"/>
      <c r="T721" s="507"/>
      <c r="U721" s="507"/>
      <c r="V721" s="507"/>
      <c r="W721" s="507"/>
    </row>
    <row r="722" ht="35.25" customHeight="1">
      <c r="A722" s="507"/>
      <c r="B722" s="507"/>
      <c r="C722" s="507"/>
      <c r="D722" s="508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  <c r="O722" s="507"/>
      <c r="P722" s="507"/>
      <c r="Q722" s="507"/>
      <c r="R722" s="507"/>
      <c r="S722" s="507"/>
      <c r="T722" s="507"/>
      <c r="U722" s="507"/>
      <c r="V722" s="507"/>
      <c r="W722" s="507"/>
    </row>
    <row r="723" ht="35.25" customHeight="1">
      <c r="A723" s="507"/>
      <c r="B723" s="507"/>
      <c r="C723" s="507"/>
      <c r="D723" s="508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  <c r="O723" s="507"/>
      <c r="P723" s="507"/>
      <c r="Q723" s="507"/>
      <c r="R723" s="507"/>
      <c r="S723" s="507"/>
      <c r="T723" s="507"/>
      <c r="U723" s="507"/>
      <c r="V723" s="507"/>
      <c r="W723" s="507"/>
    </row>
    <row r="724" ht="35.25" customHeight="1">
      <c r="A724" s="507"/>
      <c r="B724" s="507"/>
      <c r="C724" s="507"/>
      <c r="D724" s="508"/>
      <c r="E724" s="507"/>
      <c r="F724" s="507"/>
      <c r="G724" s="507"/>
      <c r="H724" s="507"/>
      <c r="I724" s="507"/>
      <c r="J724" s="507"/>
      <c r="K724" s="507"/>
      <c r="L724" s="507"/>
      <c r="M724" s="507"/>
      <c r="N724" s="507"/>
      <c r="O724" s="507"/>
      <c r="P724" s="507"/>
      <c r="Q724" s="507"/>
      <c r="R724" s="507"/>
      <c r="S724" s="507"/>
      <c r="T724" s="507"/>
      <c r="U724" s="507"/>
      <c r="V724" s="507"/>
      <c r="W724" s="507"/>
    </row>
    <row r="725" ht="35.25" customHeight="1">
      <c r="A725" s="507"/>
      <c r="B725" s="507"/>
      <c r="C725" s="507"/>
      <c r="D725" s="508"/>
      <c r="E725" s="507"/>
      <c r="F725" s="507"/>
      <c r="G725" s="507"/>
      <c r="H725" s="507"/>
      <c r="I725" s="507"/>
      <c r="J725" s="507"/>
      <c r="K725" s="507"/>
      <c r="L725" s="507"/>
      <c r="M725" s="507"/>
      <c r="N725" s="507"/>
      <c r="O725" s="507"/>
      <c r="P725" s="507"/>
      <c r="Q725" s="507"/>
      <c r="R725" s="507"/>
      <c r="S725" s="507"/>
      <c r="T725" s="507"/>
      <c r="U725" s="507"/>
      <c r="V725" s="507"/>
      <c r="W725" s="507"/>
    </row>
    <row r="726" ht="35.25" customHeight="1">
      <c r="A726" s="507"/>
      <c r="B726" s="507"/>
      <c r="C726" s="507"/>
      <c r="D726" s="508"/>
      <c r="E726" s="507"/>
      <c r="F726" s="507"/>
      <c r="G726" s="507"/>
      <c r="H726" s="507"/>
      <c r="I726" s="507"/>
      <c r="J726" s="507"/>
      <c r="K726" s="507"/>
      <c r="L726" s="507"/>
      <c r="M726" s="507"/>
      <c r="N726" s="507"/>
      <c r="O726" s="507"/>
      <c r="P726" s="507"/>
      <c r="Q726" s="507"/>
      <c r="R726" s="507"/>
      <c r="S726" s="507"/>
      <c r="T726" s="507"/>
      <c r="U726" s="507"/>
      <c r="V726" s="507"/>
      <c r="W726" s="507"/>
    </row>
    <row r="727" ht="35.25" customHeight="1">
      <c r="A727" s="507"/>
      <c r="B727" s="507"/>
      <c r="C727" s="507"/>
      <c r="D727" s="508"/>
      <c r="E727" s="507"/>
      <c r="F727" s="507"/>
      <c r="G727" s="507"/>
      <c r="H727" s="507"/>
      <c r="I727" s="507"/>
      <c r="J727" s="507"/>
      <c r="K727" s="507"/>
      <c r="L727" s="507"/>
      <c r="M727" s="507"/>
      <c r="N727" s="507"/>
      <c r="O727" s="507"/>
      <c r="P727" s="507"/>
      <c r="Q727" s="507"/>
      <c r="R727" s="507"/>
      <c r="S727" s="507"/>
      <c r="T727" s="507"/>
      <c r="U727" s="507"/>
      <c r="V727" s="507"/>
      <c r="W727" s="507"/>
    </row>
    <row r="728" ht="35.25" customHeight="1">
      <c r="A728" s="507"/>
      <c r="B728" s="507"/>
      <c r="C728" s="507"/>
      <c r="D728" s="508"/>
      <c r="E728" s="507"/>
      <c r="F728" s="507"/>
      <c r="G728" s="507"/>
      <c r="H728" s="507"/>
      <c r="I728" s="507"/>
      <c r="J728" s="507"/>
      <c r="K728" s="507"/>
      <c r="L728" s="507"/>
      <c r="M728" s="507"/>
      <c r="N728" s="507"/>
      <c r="O728" s="507"/>
      <c r="P728" s="507"/>
      <c r="Q728" s="507"/>
      <c r="R728" s="507"/>
      <c r="S728" s="507"/>
      <c r="T728" s="507"/>
      <c r="U728" s="507"/>
      <c r="V728" s="507"/>
      <c r="W728" s="507"/>
    </row>
    <row r="729" ht="35.25" customHeight="1">
      <c r="A729" s="507"/>
      <c r="B729" s="507"/>
      <c r="C729" s="507"/>
      <c r="D729" s="508"/>
      <c r="E729" s="507"/>
      <c r="F729" s="507"/>
      <c r="G729" s="507"/>
      <c r="H729" s="507"/>
      <c r="I729" s="507"/>
      <c r="J729" s="507"/>
      <c r="K729" s="507"/>
      <c r="L729" s="507"/>
      <c r="M729" s="507"/>
      <c r="N729" s="507"/>
      <c r="O729" s="507"/>
      <c r="P729" s="507"/>
      <c r="Q729" s="507"/>
      <c r="R729" s="507"/>
      <c r="S729" s="507"/>
      <c r="T729" s="507"/>
      <c r="U729" s="507"/>
      <c r="V729" s="507"/>
      <c r="W729" s="507"/>
    </row>
    <row r="730" ht="35.25" customHeight="1">
      <c r="A730" s="507"/>
      <c r="B730" s="507"/>
      <c r="C730" s="507"/>
      <c r="D730" s="508"/>
      <c r="E730" s="507"/>
      <c r="F730" s="507"/>
      <c r="G730" s="507"/>
      <c r="H730" s="507"/>
      <c r="I730" s="507"/>
      <c r="J730" s="507"/>
      <c r="K730" s="507"/>
      <c r="L730" s="507"/>
      <c r="M730" s="507"/>
      <c r="N730" s="507"/>
      <c r="O730" s="507"/>
      <c r="P730" s="507"/>
      <c r="Q730" s="507"/>
      <c r="R730" s="507"/>
      <c r="S730" s="507"/>
      <c r="T730" s="507"/>
      <c r="U730" s="507"/>
      <c r="V730" s="507"/>
      <c r="W730" s="507"/>
    </row>
    <row r="731" ht="35.25" customHeight="1">
      <c r="A731" s="507"/>
      <c r="B731" s="507"/>
      <c r="C731" s="507"/>
      <c r="D731" s="508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  <c r="O731" s="507"/>
      <c r="P731" s="507"/>
      <c r="Q731" s="507"/>
      <c r="R731" s="507"/>
      <c r="S731" s="507"/>
      <c r="T731" s="507"/>
      <c r="U731" s="507"/>
      <c r="V731" s="507"/>
      <c r="W731" s="507"/>
    </row>
    <row r="732" ht="35.25" customHeight="1">
      <c r="A732" s="507"/>
      <c r="B732" s="507"/>
      <c r="C732" s="507"/>
      <c r="D732" s="508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  <c r="O732" s="507"/>
      <c r="P732" s="507"/>
      <c r="Q732" s="507"/>
      <c r="R732" s="507"/>
      <c r="S732" s="507"/>
      <c r="T732" s="507"/>
      <c r="U732" s="507"/>
      <c r="V732" s="507"/>
      <c r="W732" s="507"/>
    </row>
    <row r="733" ht="35.25" customHeight="1">
      <c r="A733" s="507"/>
      <c r="B733" s="507"/>
      <c r="C733" s="507"/>
      <c r="D733" s="508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  <c r="O733" s="507"/>
      <c r="P733" s="507"/>
      <c r="Q733" s="507"/>
      <c r="R733" s="507"/>
      <c r="S733" s="507"/>
      <c r="T733" s="507"/>
      <c r="U733" s="507"/>
      <c r="V733" s="507"/>
      <c r="W733" s="507"/>
    </row>
    <row r="734" ht="35.25" customHeight="1">
      <c r="A734" s="507"/>
      <c r="B734" s="507"/>
      <c r="C734" s="507"/>
      <c r="D734" s="508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  <c r="O734" s="507"/>
      <c r="P734" s="507"/>
      <c r="Q734" s="507"/>
      <c r="R734" s="507"/>
      <c r="S734" s="507"/>
      <c r="T734" s="507"/>
      <c r="U734" s="507"/>
      <c r="V734" s="507"/>
      <c r="W734" s="507"/>
    </row>
    <row r="735" ht="35.25" customHeight="1">
      <c r="A735" s="507"/>
      <c r="B735" s="507"/>
      <c r="C735" s="507"/>
      <c r="D735" s="508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  <c r="O735" s="507"/>
      <c r="P735" s="507"/>
      <c r="Q735" s="507"/>
      <c r="R735" s="507"/>
      <c r="S735" s="507"/>
      <c r="T735" s="507"/>
      <c r="U735" s="507"/>
      <c r="V735" s="507"/>
      <c r="W735" s="507"/>
    </row>
    <row r="736" ht="35.25" customHeight="1">
      <c r="A736" s="507"/>
      <c r="B736" s="507"/>
      <c r="C736" s="507"/>
      <c r="D736" s="508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  <c r="O736" s="507"/>
      <c r="P736" s="507"/>
      <c r="Q736" s="507"/>
      <c r="R736" s="507"/>
      <c r="S736" s="507"/>
      <c r="T736" s="507"/>
      <c r="U736" s="507"/>
      <c r="V736" s="507"/>
      <c r="W736" s="507"/>
    </row>
    <row r="737" ht="35.25" customHeight="1">
      <c r="A737" s="507"/>
      <c r="B737" s="507"/>
      <c r="C737" s="507"/>
      <c r="D737" s="508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  <c r="O737" s="507"/>
      <c r="P737" s="507"/>
      <c r="Q737" s="507"/>
      <c r="R737" s="507"/>
      <c r="S737" s="507"/>
      <c r="T737" s="507"/>
      <c r="U737" s="507"/>
      <c r="V737" s="507"/>
      <c r="W737" s="507"/>
    </row>
    <row r="738" ht="35.25" customHeight="1">
      <c r="A738" s="507"/>
      <c r="B738" s="507"/>
      <c r="C738" s="507"/>
      <c r="D738" s="508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  <c r="O738" s="507"/>
      <c r="P738" s="507"/>
      <c r="Q738" s="507"/>
      <c r="R738" s="507"/>
      <c r="S738" s="507"/>
      <c r="T738" s="507"/>
      <c r="U738" s="507"/>
      <c r="V738" s="507"/>
      <c r="W738" s="507"/>
    </row>
    <row r="739" ht="35.25" customHeight="1">
      <c r="A739" s="507"/>
      <c r="B739" s="507"/>
      <c r="C739" s="507"/>
      <c r="D739" s="508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  <c r="O739" s="507"/>
      <c r="P739" s="507"/>
      <c r="Q739" s="507"/>
      <c r="R739" s="507"/>
      <c r="S739" s="507"/>
      <c r="T739" s="507"/>
      <c r="U739" s="507"/>
      <c r="V739" s="507"/>
      <c r="W739" s="507"/>
    </row>
    <row r="740" ht="35.25" customHeight="1">
      <c r="A740" s="507"/>
      <c r="B740" s="507"/>
      <c r="C740" s="507"/>
      <c r="D740" s="508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  <c r="O740" s="507"/>
      <c r="P740" s="507"/>
      <c r="Q740" s="507"/>
      <c r="R740" s="507"/>
      <c r="S740" s="507"/>
      <c r="T740" s="507"/>
      <c r="U740" s="507"/>
      <c r="V740" s="507"/>
      <c r="W740" s="507"/>
    </row>
    <row r="741" ht="35.25" customHeight="1">
      <c r="A741" s="507"/>
      <c r="B741" s="507"/>
      <c r="C741" s="507"/>
      <c r="D741" s="508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  <c r="O741" s="507"/>
      <c r="P741" s="507"/>
      <c r="Q741" s="507"/>
      <c r="R741" s="507"/>
      <c r="S741" s="507"/>
      <c r="T741" s="507"/>
      <c r="U741" s="507"/>
      <c r="V741" s="507"/>
      <c r="W741" s="507"/>
    </row>
    <row r="742" ht="35.25" customHeight="1">
      <c r="A742" s="507"/>
      <c r="B742" s="507"/>
      <c r="C742" s="507"/>
      <c r="D742" s="508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  <c r="O742" s="507"/>
      <c r="P742" s="507"/>
      <c r="Q742" s="507"/>
      <c r="R742" s="507"/>
      <c r="S742" s="507"/>
      <c r="T742" s="507"/>
      <c r="U742" s="507"/>
      <c r="V742" s="507"/>
      <c r="W742" s="507"/>
    </row>
    <row r="743" ht="35.25" customHeight="1">
      <c r="A743" s="507"/>
      <c r="B743" s="507"/>
      <c r="C743" s="507"/>
      <c r="D743" s="508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  <c r="O743" s="507"/>
      <c r="P743" s="507"/>
      <c r="Q743" s="507"/>
      <c r="R743" s="507"/>
      <c r="S743" s="507"/>
      <c r="T743" s="507"/>
      <c r="U743" s="507"/>
      <c r="V743" s="507"/>
      <c r="W743" s="507"/>
    </row>
    <row r="744" ht="35.25" customHeight="1">
      <c r="A744" s="507"/>
      <c r="B744" s="507"/>
      <c r="C744" s="507"/>
      <c r="D744" s="508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  <c r="O744" s="507"/>
      <c r="P744" s="507"/>
      <c r="Q744" s="507"/>
      <c r="R744" s="507"/>
      <c r="S744" s="507"/>
      <c r="T744" s="507"/>
      <c r="U744" s="507"/>
      <c r="V744" s="507"/>
      <c r="W744" s="507"/>
    </row>
    <row r="745" ht="35.25" customHeight="1">
      <c r="A745" s="507"/>
      <c r="B745" s="507"/>
      <c r="C745" s="507"/>
      <c r="D745" s="508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  <c r="O745" s="507"/>
      <c r="P745" s="507"/>
      <c r="Q745" s="507"/>
      <c r="R745" s="507"/>
      <c r="S745" s="507"/>
      <c r="T745" s="507"/>
      <c r="U745" s="507"/>
      <c r="V745" s="507"/>
      <c r="W745" s="507"/>
    </row>
    <row r="746" ht="35.25" customHeight="1">
      <c r="A746" s="507"/>
      <c r="B746" s="507"/>
      <c r="C746" s="507"/>
      <c r="D746" s="508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  <c r="O746" s="507"/>
      <c r="P746" s="507"/>
      <c r="Q746" s="507"/>
      <c r="R746" s="507"/>
      <c r="S746" s="507"/>
      <c r="T746" s="507"/>
      <c r="U746" s="507"/>
      <c r="V746" s="507"/>
      <c r="W746" s="507"/>
    </row>
    <row r="747" ht="35.25" customHeight="1">
      <c r="A747" s="507"/>
      <c r="B747" s="507"/>
      <c r="C747" s="507"/>
      <c r="D747" s="508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  <c r="O747" s="507"/>
      <c r="P747" s="507"/>
      <c r="Q747" s="507"/>
      <c r="R747" s="507"/>
      <c r="S747" s="507"/>
      <c r="T747" s="507"/>
      <c r="U747" s="507"/>
      <c r="V747" s="507"/>
      <c r="W747" s="507"/>
    </row>
    <row r="748" ht="35.25" customHeight="1">
      <c r="A748" s="507"/>
      <c r="B748" s="507"/>
      <c r="C748" s="507"/>
      <c r="D748" s="508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  <c r="O748" s="507"/>
      <c r="P748" s="507"/>
      <c r="Q748" s="507"/>
      <c r="R748" s="507"/>
      <c r="S748" s="507"/>
      <c r="T748" s="507"/>
      <c r="U748" s="507"/>
      <c r="V748" s="507"/>
      <c r="W748" s="507"/>
    </row>
    <row r="749" ht="35.25" customHeight="1">
      <c r="A749" s="507"/>
      <c r="B749" s="507"/>
      <c r="C749" s="507"/>
      <c r="D749" s="508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  <c r="O749" s="507"/>
      <c r="P749" s="507"/>
      <c r="Q749" s="507"/>
      <c r="R749" s="507"/>
      <c r="S749" s="507"/>
      <c r="T749" s="507"/>
      <c r="U749" s="507"/>
      <c r="V749" s="507"/>
      <c r="W749" s="507"/>
    </row>
    <row r="750" ht="35.25" customHeight="1">
      <c r="A750" s="507"/>
      <c r="B750" s="507"/>
      <c r="C750" s="507"/>
      <c r="D750" s="508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  <c r="O750" s="507"/>
      <c r="P750" s="507"/>
      <c r="Q750" s="507"/>
      <c r="R750" s="507"/>
      <c r="S750" s="507"/>
      <c r="T750" s="507"/>
      <c r="U750" s="507"/>
      <c r="V750" s="507"/>
      <c r="W750" s="507"/>
    </row>
    <row r="751" ht="35.25" customHeight="1">
      <c r="A751" s="507"/>
      <c r="B751" s="507"/>
      <c r="C751" s="507"/>
      <c r="D751" s="508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  <c r="O751" s="507"/>
      <c r="P751" s="507"/>
      <c r="Q751" s="507"/>
      <c r="R751" s="507"/>
      <c r="S751" s="507"/>
      <c r="T751" s="507"/>
      <c r="U751" s="507"/>
      <c r="V751" s="507"/>
      <c r="W751" s="507"/>
    </row>
    <row r="752" ht="35.25" customHeight="1">
      <c r="A752" s="507"/>
      <c r="B752" s="507"/>
      <c r="C752" s="507"/>
      <c r="D752" s="508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  <c r="O752" s="507"/>
      <c r="P752" s="507"/>
      <c r="Q752" s="507"/>
      <c r="R752" s="507"/>
      <c r="S752" s="507"/>
      <c r="T752" s="507"/>
      <c r="U752" s="507"/>
      <c r="V752" s="507"/>
      <c r="W752" s="507"/>
    </row>
    <row r="753" ht="35.25" customHeight="1">
      <c r="A753" s="507"/>
      <c r="B753" s="507"/>
      <c r="C753" s="507"/>
      <c r="D753" s="508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  <c r="O753" s="507"/>
      <c r="P753" s="507"/>
      <c r="Q753" s="507"/>
      <c r="R753" s="507"/>
      <c r="S753" s="507"/>
      <c r="T753" s="507"/>
      <c r="U753" s="507"/>
      <c r="V753" s="507"/>
      <c r="W753" s="507"/>
    </row>
    <row r="754" ht="35.25" customHeight="1">
      <c r="A754" s="507"/>
      <c r="B754" s="507"/>
      <c r="C754" s="507"/>
      <c r="D754" s="508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  <c r="O754" s="507"/>
      <c r="P754" s="507"/>
      <c r="Q754" s="507"/>
      <c r="R754" s="507"/>
      <c r="S754" s="507"/>
      <c r="T754" s="507"/>
      <c r="U754" s="507"/>
      <c r="V754" s="507"/>
      <c r="W754" s="507"/>
    </row>
    <row r="755" ht="35.25" customHeight="1">
      <c r="A755" s="507"/>
      <c r="B755" s="507"/>
      <c r="C755" s="507"/>
      <c r="D755" s="508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  <c r="O755" s="507"/>
      <c r="P755" s="507"/>
      <c r="Q755" s="507"/>
      <c r="R755" s="507"/>
      <c r="S755" s="507"/>
      <c r="T755" s="507"/>
      <c r="U755" s="507"/>
      <c r="V755" s="507"/>
      <c r="W755" s="507"/>
    </row>
    <row r="756" ht="35.25" customHeight="1">
      <c r="A756" s="507"/>
      <c r="B756" s="507"/>
      <c r="C756" s="507"/>
      <c r="D756" s="508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  <c r="O756" s="507"/>
      <c r="P756" s="507"/>
      <c r="Q756" s="507"/>
      <c r="R756" s="507"/>
      <c r="S756" s="507"/>
      <c r="T756" s="507"/>
      <c r="U756" s="507"/>
      <c r="V756" s="507"/>
      <c r="W756" s="507"/>
    </row>
    <row r="757" ht="35.25" customHeight="1">
      <c r="A757" s="507"/>
      <c r="B757" s="507"/>
      <c r="C757" s="507"/>
      <c r="D757" s="508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  <c r="O757" s="507"/>
      <c r="P757" s="507"/>
      <c r="Q757" s="507"/>
      <c r="R757" s="507"/>
      <c r="S757" s="507"/>
      <c r="T757" s="507"/>
      <c r="U757" s="507"/>
      <c r="V757" s="507"/>
      <c r="W757" s="507"/>
    </row>
    <row r="758" ht="35.25" customHeight="1">
      <c r="A758" s="507"/>
      <c r="B758" s="507"/>
      <c r="C758" s="507"/>
      <c r="D758" s="508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  <c r="O758" s="507"/>
      <c r="P758" s="507"/>
      <c r="Q758" s="507"/>
      <c r="R758" s="507"/>
      <c r="S758" s="507"/>
      <c r="T758" s="507"/>
      <c r="U758" s="507"/>
      <c r="V758" s="507"/>
      <c r="W758" s="507"/>
    </row>
    <row r="759" ht="35.25" customHeight="1">
      <c r="A759" s="507"/>
      <c r="B759" s="507"/>
      <c r="C759" s="507"/>
      <c r="D759" s="508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  <c r="O759" s="507"/>
      <c r="P759" s="507"/>
      <c r="Q759" s="507"/>
      <c r="R759" s="507"/>
      <c r="S759" s="507"/>
      <c r="T759" s="507"/>
      <c r="U759" s="507"/>
      <c r="V759" s="507"/>
      <c r="W759" s="507"/>
    </row>
    <row r="760" ht="35.25" customHeight="1">
      <c r="A760" s="507"/>
      <c r="B760" s="507"/>
      <c r="C760" s="507"/>
      <c r="D760" s="508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  <c r="O760" s="507"/>
      <c r="P760" s="507"/>
      <c r="Q760" s="507"/>
      <c r="R760" s="507"/>
      <c r="S760" s="507"/>
      <c r="T760" s="507"/>
      <c r="U760" s="507"/>
      <c r="V760" s="507"/>
      <c r="W760" s="507"/>
    </row>
    <row r="761" ht="35.25" customHeight="1">
      <c r="A761" s="507"/>
      <c r="B761" s="507"/>
      <c r="C761" s="507"/>
      <c r="D761" s="508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  <c r="O761" s="507"/>
      <c r="P761" s="507"/>
      <c r="Q761" s="507"/>
      <c r="R761" s="507"/>
      <c r="S761" s="507"/>
      <c r="T761" s="507"/>
      <c r="U761" s="507"/>
      <c r="V761" s="507"/>
      <c r="W761" s="507"/>
    </row>
    <row r="762" ht="35.25" customHeight="1">
      <c r="A762" s="507"/>
      <c r="B762" s="507"/>
      <c r="C762" s="507"/>
      <c r="D762" s="508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  <c r="O762" s="507"/>
      <c r="P762" s="507"/>
      <c r="Q762" s="507"/>
      <c r="R762" s="507"/>
      <c r="S762" s="507"/>
      <c r="T762" s="507"/>
      <c r="U762" s="507"/>
      <c r="V762" s="507"/>
      <c r="W762" s="507"/>
    </row>
    <row r="763" ht="35.25" customHeight="1">
      <c r="A763" s="507"/>
      <c r="B763" s="507"/>
      <c r="C763" s="507"/>
      <c r="D763" s="508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  <c r="O763" s="507"/>
      <c r="P763" s="507"/>
      <c r="Q763" s="507"/>
      <c r="R763" s="507"/>
      <c r="S763" s="507"/>
      <c r="T763" s="507"/>
      <c r="U763" s="507"/>
      <c r="V763" s="507"/>
      <c r="W763" s="507"/>
    </row>
    <row r="764" ht="35.25" customHeight="1">
      <c r="A764" s="507"/>
      <c r="B764" s="507"/>
      <c r="C764" s="507"/>
      <c r="D764" s="508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  <c r="O764" s="507"/>
      <c r="P764" s="507"/>
      <c r="Q764" s="507"/>
      <c r="R764" s="507"/>
      <c r="S764" s="507"/>
      <c r="T764" s="507"/>
      <c r="U764" s="507"/>
      <c r="V764" s="507"/>
      <c r="W764" s="507"/>
    </row>
    <row r="765" ht="35.25" customHeight="1">
      <c r="A765" s="507"/>
      <c r="B765" s="507"/>
      <c r="C765" s="507"/>
      <c r="D765" s="508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  <c r="O765" s="507"/>
      <c r="P765" s="507"/>
      <c r="Q765" s="507"/>
      <c r="R765" s="507"/>
      <c r="S765" s="507"/>
      <c r="T765" s="507"/>
      <c r="U765" s="507"/>
      <c r="V765" s="507"/>
      <c r="W765" s="507"/>
    </row>
    <row r="766" ht="35.25" customHeight="1">
      <c r="A766" s="507"/>
      <c r="B766" s="507"/>
      <c r="C766" s="507"/>
      <c r="D766" s="508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  <c r="O766" s="507"/>
      <c r="P766" s="507"/>
      <c r="Q766" s="507"/>
      <c r="R766" s="507"/>
      <c r="S766" s="507"/>
      <c r="T766" s="507"/>
      <c r="U766" s="507"/>
      <c r="V766" s="507"/>
      <c r="W766" s="507"/>
    </row>
    <row r="767" ht="35.25" customHeight="1">
      <c r="A767" s="507"/>
      <c r="B767" s="507"/>
      <c r="C767" s="507"/>
      <c r="D767" s="508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  <c r="O767" s="507"/>
      <c r="P767" s="507"/>
      <c r="Q767" s="507"/>
      <c r="R767" s="507"/>
      <c r="S767" s="507"/>
      <c r="T767" s="507"/>
      <c r="U767" s="507"/>
      <c r="V767" s="507"/>
      <c r="W767" s="507"/>
    </row>
    <row r="768" ht="35.25" customHeight="1">
      <c r="A768" s="507"/>
      <c r="B768" s="507"/>
      <c r="C768" s="507"/>
      <c r="D768" s="508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  <c r="O768" s="507"/>
      <c r="P768" s="507"/>
      <c r="Q768" s="507"/>
      <c r="R768" s="507"/>
      <c r="S768" s="507"/>
      <c r="T768" s="507"/>
      <c r="U768" s="507"/>
      <c r="V768" s="507"/>
      <c r="W768" s="507"/>
    </row>
    <row r="769" ht="35.25" customHeight="1">
      <c r="A769" s="507"/>
      <c r="B769" s="507"/>
      <c r="C769" s="507"/>
      <c r="D769" s="508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  <c r="O769" s="507"/>
      <c r="P769" s="507"/>
      <c r="Q769" s="507"/>
      <c r="R769" s="507"/>
      <c r="S769" s="507"/>
      <c r="T769" s="507"/>
      <c r="U769" s="507"/>
      <c r="V769" s="507"/>
      <c r="W769" s="507"/>
    </row>
    <row r="770" ht="35.25" customHeight="1">
      <c r="A770" s="507"/>
      <c r="B770" s="507"/>
      <c r="C770" s="507"/>
      <c r="D770" s="508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  <c r="O770" s="507"/>
      <c r="P770" s="507"/>
      <c r="Q770" s="507"/>
      <c r="R770" s="507"/>
      <c r="S770" s="507"/>
      <c r="T770" s="507"/>
      <c r="U770" s="507"/>
      <c r="V770" s="507"/>
      <c r="W770" s="507"/>
    </row>
    <row r="771" ht="35.25" customHeight="1">
      <c r="A771" s="507"/>
      <c r="B771" s="507"/>
      <c r="C771" s="507"/>
      <c r="D771" s="508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  <c r="O771" s="507"/>
      <c r="P771" s="507"/>
      <c r="Q771" s="507"/>
      <c r="R771" s="507"/>
      <c r="S771" s="507"/>
      <c r="T771" s="507"/>
      <c r="U771" s="507"/>
      <c r="V771" s="507"/>
      <c r="W771" s="507"/>
    </row>
    <row r="772" ht="35.25" customHeight="1">
      <c r="A772" s="507"/>
      <c r="B772" s="507"/>
      <c r="C772" s="507"/>
      <c r="D772" s="508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  <c r="O772" s="507"/>
      <c r="P772" s="507"/>
      <c r="Q772" s="507"/>
      <c r="R772" s="507"/>
      <c r="S772" s="507"/>
      <c r="T772" s="507"/>
      <c r="U772" s="507"/>
      <c r="V772" s="507"/>
      <c r="W772" s="507"/>
    </row>
    <row r="773" ht="35.25" customHeight="1">
      <c r="A773" s="507"/>
      <c r="B773" s="507"/>
      <c r="C773" s="507"/>
      <c r="D773" s="508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  <c r="O773" s="507"/>
      <c r="P773" s="507"/>
      <c r="Q773" s="507"/>
      <c r="R773" s="507"/>
      <c r="S773" s="507"/>
      <c r="T773" s="507"/>
      <c r="U773" s="507"/>
      <c r="V773" s="507"/>
      <c r="W773" s="507"/>
    </row>
    <row r="774" ht="35.25" customHeight="1">
      <c r="A774" s="507"/>
      <c r="B774" s="507"/>
      <c r="C774" s="507"/>
      <c r="D774" s="508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  <c r="O774" s="507"/>
      <c r="P774" s="507"/>
      <c r="Q774" s="507"/>
      <c r="R774" s="507"/>
      <c r="S774" s="507"/>
      <c r="T774" s="507"/>
      <c r="U774" s="507"/>
      <c r="V774" s="507"/>
      <c r="W774" s="507"/>
    </row>
    <row r="775" ht="35.25" customHeight="1">
      <c r="A775" s="507"/>
      <c r="B775" s="507"/>
      <c r="C775" s="507"/>
      <c r="D775" s="508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  <c r="O775" s="507"/>
      <c r="P775" s="507"/>
      <c r="Q775" s="507"/>
      <c r="R775" s="507"/>
      <c r="S775" s="507"/>
      <c r="T775" s="507"/>
      <c r="U775" s="507"/>
      <c r="V775" s="507"/>
      <c r="W775" s="507"/>
    </row>
    <row r="776" ht="35.25" customHeight="1">
      <c r="A776" s="507"/>
      <c r="B776" s="507"/>
      <c r="C776" s="507"/>
      <c r="D776" s="508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  <c r="O776" s="507"/>
      <c r="P776" s="507"/>
      <c r="Q776" s="507"/>
      <c r="R776" s="507"/>
      <c r="S776" s="507"/>
      <c r="T776" s="507"/>
      <c r="U776" s="507"/>
      <c r="V776" s="507"/>
      <c r="W776" s="507"/>
    </row>
    <row r="777" ht="35.25" customHeight="1">
      <c r="A777" s="507"/>
      <c r="B777" s="507"/>
      <c r="C777" s="507"/>
      <c r="D777" s="508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  <c r="O777" s="507"/>
      <c r="P777" s="507"/>
      <c r="Q777" s="507"/>
      <c r="R777" s="507"/>
      <c r="S777" s="507"/>
      <c r="T777" s="507"/>
      <c r="U777" s="507"/>
      <c r="V777" s="507"/>
      <c r="W777" s="507"/>
    </row>
    <row r="778" ht="35.25" customHeight="1">
      <c r="A778" s="507"/>
      <c r="B778" s="507"/>
      <c r="C778" s="507"/>
      <c r="D778" s="508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  <c r="O778" s="507"/>
      <c r="P778" s="507"/>
      <c r="Q778" s="507"/>
      <c r="R778" s="507"/>
      <c r="S778" s="507"/>
      <c r="T778" s="507"/>
      <c r="U778" s="507"/>
      <c r="V778" s="507"/>
      <c r="W778" s="507"/>
    </row>
    <row r="779" ht="35.25" customHeight="1">
      <c r="A779" s="507"/>
      <c r="B779" s="507"/>
      <c r="C779" s="507"/>
      <c r="D779" s="508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  <c r="O779" s="507"/>
      <c r="P779" s="507"/>
      <c r="Q779" s="507"/>
      <c r="R779" s="507"/>
      <c r="S779" s="507"/>
      <c r="T779" s="507"/>
      <c r="U779" s="507"/>
      <c r="V779" s="507"/>
      <c r="W779" s="507"/>
    </row>
    <row r="780" ht="35.25" customHeight="1">
      <c r="A780" s="507"/>
      <c r="B780" s="507"/>
      <c r="C780" s="507"/>
      <c r="D780" s="508"/>
      <c r="E780" s="507"/>
      <c r="F780" s="507"/>
      <c r="G780" s="507"/>
      <c r="H780" s="507"/>
      <c r="I780" s="507"/>
      <c r="J780" s="507"/>
      <c r="K780" s="507"/>
      <c r="L780" s="507"/>
      <c r="M780" s="507"/>
      <c r="N780" s="507"/>
      <c r="O780" s="507"/>
      <c r="P780" s="507"/>
      <c r="Q780" s="507"/>
      <c r="R780" s="507"/>
      <c r="S780" s="507"/>
      <c r="T780" s="507"/>
      <c r="U780" s="507"/>
      <c r="V780" s="507"/>
      <c r="W780" s="507"/>
    </row>
    <row r="781" ht="35.25" customHeight="1">
      <c r="A781" s="507"/>
      <c r="B781" s="507"/>
      <c r="C781" s="507"/>
      <c r="D781" s="508"/>
      <c r="E781" s="507"/>
      <c r="F781" s="507"/>
      <c r="G781" s="507"/>
      <c r="H781" s="507"/>
      <c r="I781" s="507"/>
      <c r="J781" s="507"/>
      <c r="K781" s="507"/>
      <c r="L781" s="507"/>
      <c r="M781" s="507"/>
      <c r="N781" s="507"/>
      <c r="O781" s="507"/>
      <c r="P781" s="507"/>
      <c r="Q781" s="507"/>
      <c r="R781" s="507"/>
      <c r="S781" s="507"/>
      <c r="T781" s="507"/>
      <c r="U781" s="507"/>
      <c r="V781" s="507"/>
      <c r="W781" s="507"/>
    </row>
    <row r="782" ht="35.25" customHeight="1">
      <c r="A782" s="507"/>
      <c r="B782" s="507"/>
      <c r="C782" s="507"/>
      <c r="D782" s="508"/>
      <c r="E782" s="507"/>
      <c r="F782" s="507"/>
      <c r="G782" s="507"/>
      <c r="H782" s="507"/>
      <c r="I782" s="507"/>
      <c r="J782" s="507"/>
      <c r="K782" s="507"/>
      <c r="L782" s="507"/>
      <c r="M782" s="507"/>
      <c r="N782" s="507"/>
      <c r="O782" s="507"/>
      <c r="P782" s="507"/>
      <c r="Q782" s="507"/>
      <c r="R782" s="507"/>
      <c r="S782" s="507"/>
      <c r="T782" s="507"/>
      <c r="U782" s="507"/>
      <c r="V782" s="507"/>
      <c r="W782" s="507"/>
    </row>
    <row r="783" ht="35.25" customHeight="1">
      <c r="A783" s="507"/>
      <c r="B783" s="507"/>
      <c r="C783" s="507"/>
      <c r="D783" s="508"/>
      <c r="E783" s="507"/>
      <c r="F783" s="507"/>
      <c r="G783" s="507"/>
      <c r="H783" s="507"/>
      <c r="I783" s="507"/>
      <c r="J783" s="507"/>
      <c r="K783" s="507"/>
      <c r="L783" s="507"/>
      <c r="M783" s="507"/>
      <c r="N783" s="507"/>
      <c r="O783" s="507"/>
      <c r="P783" s="507"/>
      <c r="Q783" s="507"/>
      <c r="R783" s="507"/>
      <c r="S783" s="507"/>
      <c r="T783" s="507"/>
      <c r="U783" s="507"/>
      <c r="V783" s="507"/>
      <c r="W783" s="507"/>
    </row>
    <row r="784" ht="35.25" customHeight="1">
      <c r="A784" s="507"/>
      <c r="B784" s="507"/>
      <c r="C784" s="507"/>
      <c r="D784" s="508"/>
      <c r="E784" s="507"/>
      <c r="F784" s="507"/>
      <c r="G784" s="507"/>
      <c r="H784" s="507"/>
      <c r="I784" s="507"/>
      <c r="J784" s="507"/>
      <c r="K784" s="507"/>
      <c r="L784" s="507"/>
      <c r="M784" s="507"/>
      <c r="N784" s="507"/>
      <c r="O784" s="507"/>
      <c r="P784" s="507"/>
      <c r="Q784" s="507"/>
      <c r="R784" s="507"/>
      <c r="S784" s="507"/>
      <c r="T784" s="507"/>
      <c r="U784" s="507"/>
      <c r="V784" s="507"/>
      <c r="W784" s="507"/>
    </row>
    <row r="785" ht="35.25" customHeight="1">
      <c r="A785" s="507"/>
      <c r="B785" s="507"/>
      <c r="C785" s="507"/>
      <c r="D785" s="508"/>
      <c r="E785" s="507"/>
      <c r="F785" s="507"/>
      <c r="G785" s="507"/>
      <c r="H785" s="507"/>
      <c r="I785" s="507"/>
      <c r="J785" s="507"/>
      <c r="K785" s="507"/>
      <c r="L785" s="507"/>
      <c r="M785" s="507"/>
      <c r="N785" s="507"/>
      <c r="O785" s="507"/>
      <c r="P785" s="507"/>
      <c r="Q785" s="507"/>
      <c r="R785" s="507"/>
      <c r="S785" s="507"/>
      <c r="T785" s="507"/>
      <c r="U785" s="507"/>
      <c r="V785" s="507"/>
      <c r="W785" s="507"/>
    </row>
    <row r="786" ht="35.25" customHeight="1">
      <c r="A786" s="507"/>
      <c r="B786" s="507"/>
      <c r="C786" s="507"/>
      <c r="D786" s="508"/>
      <c r="E786" s="507"/>
      <c r="F786" s="507"/>
      <c r="G786" s="507"/>
      <c r="H786" s="507"/>
      <c r="I786" s="507"/>
      <c r="J786" s="507"/>
      <c r="K786" s="507"/>
      <c r="L786" s="507"/>
      <c r="M786" s="507"/>
      <c r="N786" s="507"/>
      <c r="O786" s="507"/>
      <c r="P786" s="507"/>
      <c r="Q786" s="507"/>
      <c r="R786" s="507"/>
      <c r="S786" s="507"/>
      <c r="T786" s="507"/>
      <c r="U786" s="507"/>
      <c r="V786" s="507"/>
      <c r="W786" s="507"/>
    </row>
    <row r="787" ht="35.25" customHeight="1">
      <c r="A787" s="507"/>
      <c r="B787" s="507"/>
      <c r="C787" s="507"/>
      <c r="D787" s="508"/>
      <c r="E787" s="507"/>
      <c r="F787" s="507"/>
      <c r="G787" s="507"/>
      <c r="H787" s="507"/>
      <c r="I787" s="507"/>
      <c r="J787" s="507"/>
      <c r="K787" s="507"/>
      <c r="L787" s="507"/>
      <c r="M787" s="507"/>
      <c r="N787" s="507"/>
      <c r="O787" s="507"/>
      <c r="P787" s="507"/>
      <c r="Q787" s="507"/>
      <c r="R787" s="507"/>
      <c r="S787" s="507"/>
      <c r="T787" s="507"/>
      <c r="U787" s="507"/>
      <c r="V787" s="507"/>
      <c r="W787" s="507"/>
    </row>
    <row r="788" ht="35.25" customHeight="1">
      <c r="A788" s="507"/>
      <c r="B788" s="507"/>
      <c r="C788" s="507"/>
      <c r="D788" s="508"/>
      <c r="E788" s="507"/>
      <c r="F788" s="507"/>
      <c r="G788" s="507"/>
      <c r="H788" s="507"/>
      <c r="I788" s="507"/>
      <c r="J788" s="507"/>
      <c r="K788" s="507"/>
      <c r="L788" s="507"/>
      <c r="M788" s="507"/>
      <c r="N788" s="507"/>
      <c r="O788" s="507"/>
      <c r="P788" s="507"/>
      <c r="Q788" s="507"/>
      <c r="R788" s="507"/>
      <c r="S788" s="507"/>
      <c r="T788" s="507"/>
      <c r="U788" s="507"/>
      <c r="V788" s="507"/>
      <c r="W788" s="507"/>
    </row>
    <row r="789" ht="35.25" customHeight="1">
      <c r="A789" s="507"/>
      <c r="B789" s="507"/>
      <c r="C789" s="507"/>
      <c r="D789" s="508"/>
      <c r="E789" s="507"/>
      <c r="F789" s="507"/>
      <c r="G789" s="507"/>
      <c r="H789" s="507"/>
      <c r="I789" s="507"/>
      <c r="J789" s="507"/>
      <c r="K789" s="507"/>
      <c r="L789" s="507"/>
      <c r="M789" s="507"/>
      <c r="N789" s="507"/>
      <c r="O789" s="507"/>
      <c r="P789" s="507"/>
      <c r="Q789" s="507"/>
      <c r="R789" s="507"/>
      <c r="S789" s="507"/>
      <c r="T789" s="507"/>
      <c r="U789" s="507"/>
      <c r="V789" s="507"/>
      <c r="W789" s="507"/>
    </row>
    <row r="790" ht="35.25" customHeight="1">
      <c r="A790" s="507"/>
      <c r="B790" s="507"/>
      <c r="C790" s="507"/>
      <c r="D790" s="508"/>
      <c r="E790" s="507"/>
      <c r="F790" s="507"/>
      <c r="G790" s="507"/>
      <c r="H790" s="507"/>
      <c r="I790" s="507"/>
      <c r="J790" s="507"/>
      <c r="K790" s="507"/>
      <c r="L790" s="507"/>
      <c r="M790" s="507"/>
      <c r="N790" s="507"/>
      <c r="O790" s="507"/>
      <c r="P790" s="507"/>
      <c r="Q790" s="507"/>
      <c r="R790" s="507"/>
      <c r="S790" s="507"/>
      <c r="T790" s="507"/>
      <c r="U790" s="507"/>
      <c r="V790" s="507"/>
      <c r="W790" s="507"/>
    </row>
    <row r="791" ht="35.25" customHeight="1">
      <c r="A791" s="507"/>
      <c r="B791" s="507"/>
      <c r="C791" s="507"/>
      <c r="D791" s="508"/>
      <c r="E791" s="507"/>
      <c r="F791" s="507"/>
      <c r="G791" s="507"/>
      <c r="H791" s="507"/>
      <c r="I791" s="507"/>
      <c r="J791" s="507"/>
      <c r="K791" s="507"/>
      <c r="L791" s="507"/>
      <c r="M791" s="507"/>
      <c r="N791" s="507"/>
      <c r="O791" s="507"/>
      <c r="P791" s="507"/>
      <c r="Q791" s="507"/>
      <c r="R791" s="507"/>
      <c r="S791" s="507"/>
      <c r="T791" s="507"/>
      <c r="U791" s="507"/>
      <c r="V791" s="507"/>
      <c r="W791" s="507"/>
    </row>
    <row r="792" ht="35.25" customHeight="1">
      <c r="A792" s="507"/>
      <c r="B792" s="507"/>
      <c r="C792" s="507"/>
      <c r="D792" s="508"/>
      <c r="E792" s="507"/>
      <c r="F792" s="507"/>
      <c r="G792" s="507"/>
      <c r="H792" s="507"/>
      <c r="I792" s="507"/>
      <c r="J792" s="507"/>
      <c r="K792" s="507"/>
      <c r="L792" s="507"/>
      <c r="M792" s="507"/>
      <c r="N792" s="507"/>
      <c r="O792" s="507"/>
      <c r="P792" s="507"/>
      <c r="Q792" s="507"/>
      <c r="R792" s="507"/>
      <c r="S792" s="507"/>
      <c r="T792" s="507"/>
      <c r="U792" s="507"/>
      <c r="V792" s="507"/>
      <c r="W792" s="507"/>
    </row>
    <row r="793" ht="35.25" customHeight="1">
      <c r="A793" s="507"/>
      <c r="B793" s="507"/>
      <c r="C793" s="507"/>
      <c r="D793" s="508"/>
      <c r="E793" s="507"/>
      <c r="F793" s="507"/>
      <c r="G793" s="507"/>
      <c r="H793" s="507"/>
      <c r="I793" s="507"/>
      <c r="J793" s="507"/>
      <c r="K793" s="507"/>
      <c r="L793" s="507"/>
      <c r="M793" s="507"/>
      <c r="N793" s="507"/>
      <c r="O793" s="507"/>
      <c r="P793" s="507"/>
      <c r="Q793" s="507"/>
      <c r="R793" s="507"/>
      <c r="S793" s="507"/>
      <c r="T793" s="507"/>
      <c r="U793" s="507"/>
      <c r="V793" s="507"/>
      <c r="W793" s="507"/>
    </row>
    <row r="794" ht="35.25" customHeight="1">
      <c r="A794" s="507"/>
      <c r="B794" s="507"/>
      <c r="C794" s="507"/>
      <c r="D794" s="508"/>
      <c r="E794" s="507"/>
      <c r="F794" s="507"/>
      <c r="G794" s="507"/>
      <c r="H794" s="507"/>
      <c r="I794" s="507"/>
      <c r="J794" s="507"/>
      <c r="K794" s="507"/>
      <c r="L794" s="507"/>
      <c r="M794" s="507"/>
      <c r="N794" s="507"/>
      <c r="O794" s="507"/>
      <c r="P794" s="507"/>
      <c r="Q794" s="507"/>
      <c r="R794" s="507"/>
      <c r="S794" s="507"/>
      <c r="T794" s="507"/>
      <c r="U794" s="507"/>
      <c r="V794" s="507"/>
      <c r="W794" s="507"/>
    </row>
    <row r="795" ht="35.25" customHeight="1">
      <c r="A795" s="507"/>
      <c r="B795" s="507"/>
      <c r="C795" s="507"/>
      <c r="D795" s="508"/>
      <c r="E795" s="507"/>
      <c r="F795" s="507"/>
      <c r="G795" s="507"/>
      <c r="H795" s="507"/>
      <c r="I795" s="507"/>
      <c r="J795" s="507"/>
      <c r="K795" s="507"/>
      <c r="L795" s="507"/>
      <c r="M795" s="507"/>
      <c r="N795" s="507"/>
      <c r="O795" s="507"/>
      <c r="P795" s="507"/>
      <c r="Q795" s="507"/>
      <c r="R795" s="507"/>
      <c r="S795" s="507"/>
      <c r="T795" s="507"/>
      <c r="U795" s="507"/>
      <c r="V795" s="507"/>
      <c r="W795" s="507"/>
    </row>
    <row r="796" ht="35.25" customHeight="1">
      <c r="A796" s="507"/>
      <c r="B796" s="507"/>
      <c r="C796" s="507"/>
      <c r="D796" s="508"/>
      <c r="E796" s="507"/>
      <c r="F796" s="507"/>
      <c r="G796" s="507"/>
      <c r="H796" s="507"/>
      <c r="I796" s="507"/>
      <c r="J796" s="507"/>
      <c r="K796" s="507"/>
      <c r="L796" s="507"/>
      <c r="M796" s="507"/>
      <c r="N796" s="507"/>
      <c r="O796" s="507"/>
      <c r="P796" s="507"/>
      <c r="Q796" s="507"/>
      <c r="R796" s="507"/>
      <c r="S796" s="507"/>
      <c r="T796" s="507"/>
      <c r="U796" s="507"/>
      <c r="V796" s="507"/>
      <c r="W796" s="507"/>
    </row>
    <row r="797" ht="35.25" customHeight="1">
      <c r="A797" s="507"/>
      <c r="B797" s="507"/>
      <c r="C797" s="507"/>
      <c r="D797" s="508"/>
      <c r="E797" s="507"/>
      <c r="F797" s="507"/>
      <c r="G797" s="507"/>
      <c r="H797" s="507"/>
      <c r="I797" s="507"/>
      <c r="J797" s="507"/>
      <c r="K797" s="507"/>
      <c r="L797" s="507"/>
      <c r="M797" s="507"/>
      <c r="N797" s="507"/>
      <c r="O797" s="507"/>
      <c r="P797" s="507"/>
      <c r="Q797" s="507"/>
      <c r="R797" s="507"/>
      <c r="S797" s="507"/>
      <c r="T797" s="507"/>
      <c r="U797" s="507"/>
      <c r="V797" s="507"/>
      <c r="W797" s="507"/>
    </row>
    <row r="798" ht="35.25" customHeight="1">
      <c r="A798" s="507"/>
      <c r="B798" s="507"/>
      <c r="C798" s="507"/>
      <c r="D798" s="508"/>
      <c r="E798" s="507"/>
      <c r="F798" s="507"/>
      <c r="G798" s="507"/>
      <c r="H798" s="507"/>
      <c r="I798" s="507"/>
      <c r="J798" s="507"/>
      <c r="K798" s="507"/>
      <c r="L798" s="507"/>
      <c r="M798" s="507"/>
      <c r="N798" s="507"/>
      <c r="O798" s="507"/>
      <c r="P798" s="507"/>
      <c r="Q798" s="507"/>
      <c r="R798" s="507"/>
      <c r="S798" s="507"/>
      <c r="T798" s="507"/>
      <c r="U798" s="507"/>
      <c r="V798" s="507"/>
      <c r="W798" s="507"/>
    </row>
    <row r="799" ht="35.25" customHeight="1">
      <c r="A799" s="507"/>
      <c r="B799" s="507"/>
      <c r="C799" s="507"/>
      <c r="D799" s="508"/>
      <c r="E799" s="507"/>
      <c r="F799" s="507"/>
      <c r="G799" s="507"/>
      <c r="H799" s="507"/>
      <c r="I799" s="507"/>
      <c r="J799" s="507"/>
      <c r="K799" s="507"/>
      <c r="L799" s="507"/>
      <c r="M799" s="507"/>
      <c r="N799" s="507"/>
      <c r="O799" s="507"/>
      <c r="P799" s="507"/>
      <c r="Q799" s="507"/>
      <c r="R799" s="507"/>
      <c r="S799" s="507"/>
      <c r="T799" s="507"/>
      <c r="U799" s="507"/>
      <c r="V799" s="507"/>
      <c r="W799" s="507"/>
    </row>
    <row r="800" ht="35.25" customHeight="1">
      <c r="A800" s="507"/>
      <c r="B800" s="507"/>
      <c r="C800" s="507"/>
      <c r="D800" s="508"/>
      <c r="E800" s="507"/>
      <c r="F800" s="507"/>
      <c r="G800" s="507"/>
      <c r="H800" s="507"/>
      <c r="I800" s="507"/>
      <c r="J800" s="507"/>
      <c r="K800" s="507"/>
      <c r="L800" s="507"/>
      <c r="M800" s="507"/>
      <c r="N800" s="507"/>
      <c r="O800" s="507"/>
      <c r="P800" s="507"/>
      <c r="Q800" s="507"/>
      <c r="R800" s="507"/>
      <c r="S800" s="507"/>
      <c r="T800" s="507"/>
      <c r="U800" s="507"/>
      <c r="V800" s="507"/>
      <c r="W800" s="507"/>
    </row>
    <row r="801" ht="35.25" customHeight="1">
      <c r="A801" s="507"/>
      <c r="B801" s="507"/>
      <c r="C801" s="507"/>
      <c r="D801" s="508"/>
      <c r="E801" s="507"/>
      <c r="F801" s="507"/>
      <c r="G801" s="507"/>
      <c r="H801" s="507"/>
      <c r="I801" s="507"/>
      <c r="J801" s="507"/>
      <c r="K801" s="507"/>
      <c r="L801" s="507"/>
      <c r="M801" s="507"/>
      <c r="N801" s="507"/>
      <c r="O801" s="507"/>
      <c r="P801" s="507"/>
      <c r="Q801" s="507"/>
      <c r="R801" s="507"/>
      <c r="S801" s="507"/>
      <c r="T801" s="507"/>
      <c r="U801" s="507"/>
      <c r="V801" s="507"/>
      <c r="W801" s="507"/>
    </row>
    <row r="802" ht="35.25" customHeight="1">
      <c r="A802" s="507"/>
      <c r="B802" s="507"/>
      <c r="C802" s="507"/>
      <c r="D802" s="508"/>
      <c r="E802" s="507"/>
      <c r="F802" s="507"/>
      <c r="G802" s="507"/>
      <c r="H802" s="507"/>
      <c r="I802" s="507"/>
      <c r="J802" s="507"/>
      <c r="K802" s="507"/>
      <c r="L802" s="507"/>
      <c r="M802" s="507"/>
      <c r="N802" s="507"/>
      <c r="O802" s="507"/>
      <c r="P802" s="507"/>
      <c r="Q802" s="507"/>
      <c r="R802" s="507"/>
      <c r="S802" s="507"/>
      <c r="T802" s="507"/>
      <c r="U802" s="507"/>
      <c r="V802" s="507"/>
      <c r="W802" s="507"/>
    </row>
    <row r="803" ht="35.25" customHeight="1">
      <c r="A803" s="507"/>
      <c r="B803" s="507"/>
      <c r="C803" s="507"/>
      <c r="D803" s="508"/>
      <c r="E803" s="507"/>
      <c r="F803" s="507"/>
      <c r="G803" s="507"/>
      <c r="H803" s="507"/>
      <c r="I803" s="507"/>
      <c r="J803" s="507"/>
      <c r="K803" s="507"/>
      <c r="L803" s="507"/>
      <c r="M803" s="507"/>
      <c r="N803" s="507"/>
      <c r="O803" s="507"/>
      <c r="P803" s="507"/>
      <c r="Q803" s="507"/>
      <c r="R803" s="507"/>
      <c r="S803" s="507"/>
      <c r="T803" s="507"/>
      <c r="U803" s="507"/>
      <c r="V803" s="507"/>
      <c r="W803" s="507"/>
    </row>
    <row r="804" ht="35.25" customHeight="1">
      <c r="A804" s="507"/>
      <c r="B804" s="507"/>
      <c r="C804" s="507"/>
      <c r="D804" s="508"/>
      <c r="E804" s="507"/>
      <c r="F804" s="507"/>
      <c r="G804" s="507"/>
      <c r="H804" s="507"/>
      <c r="I804" s="507"/>
      <c r="J804" s="507"/>
      <c r="K804" s="507"/>
      <c r="L804" s="507"/>
      <c r="M804" s="507"/>
      <c r="N804" s="507"/>
      <c r="O804" s="507"/>
      <c r="P804" s="507"/>
      <c r="Q804" s="507"/>
      <c r="R804" s="507"/>
      <c r="S804" s="507"/>
      <c r="T804" s="507"/>
      <c r="U804" s="507"/>
      <c r="V804" s="507"/>
      <c r="W804" s="507"/>
    </row>
    <row r="805" ht="35.25" customHeight="1">
      <c r="A805" s="507"/>
      <c r="B805" s="507"/>
      <c r="C805" s="507"/>
      <c r="D805" s="508"/>
      <c r="E805" s="507"/>
      <c r="F805" s="507"/>
      <c r="G805" s="507"/>
      <c r="H805" s="507"/>
      <c r="I805" s="507"/>
      <c r="J805" s="507"/>
      <c r="K805" s="507"/>
      <c r="L805" s="507"/>
      <c r="M805" s="507"/>
      <c r="N805" s="507"/>
      <c r="O805" s="507"/>
      <c r="P805" s="507"/>
      <c r="Q805" s="507"/>
      <c r="R805" s="507"/>
      <c r="S805" s="507"/>
      <c r="T805" s="507"/>
      <c r="U805" s="507"/>
      <c r="V805" s="507"/>
      <c r="W805" s="507"/>
    </row>
    <row r="806" ht="35.25" customHeight="1">
      <c r="A806" s="507"/>
      <c r="B806" s="507"/>
      <c r="C806" s="507"/>
      <c r="D806" s="508"/>
      <c r="E806" s="507"/>
      <c r="F806" s="507"/>
      <c r="G806" s="507"/>
      <c r="H806" s="507"/>
      <c r="I806" s="507"/>
      <c r="J806" s="507"/>
      <c r="K806" s="507"/>
      <c r="L806" s="507"/>
      <c r="M806" s="507"/>
      <c r="N806" s="507"/>
      <c r="O806" s="507"/>
      <c r="P806" s="507"/>
      <c r="Q806" s="507"/>
      <c r="R806" s="507"/>
      <c r="S806" s="507"/>
      <c r="T806" s="507"/>
      <c r="U806" s="507"/>
      <c r="V806" s="507"/>
      <c r="W806" s="507"/>
    </row>
    <row r="807" ht="35.25" customHeight="1">
      <c r="A807" s="507"/>
      <c r="B807" s="507"/>
      <c r="C807" s="507"/>
      <c r="D807" s="508"/>
      <c r="E807" s="507"/>
      <c r="F807" s="507"/>
      <c r="G807" s="507"/>
      <c r="H807" s="507"/>
      <c r="I807" s="507"/>
      <c r="J807" s="507"/>
      <c r="K807" s="507"/>
      <c r="L807" s="507"/>
      <c r="M807" s="507"/>
      <c r="N807" s="507"/>
      <c r="O807" s="507"/>
      <c r="P807" s="507"/>
      <c r="Q807" s="507"/>
      <c r="R807" s="507"/>
      <c r="S807" s="507"/>
      <c r="T807" s="507"/>
      <c r="U807" s="507"/>
      <c r="V807" s="507"/>
      <c r="W807" s="507"/>
    </row>
    <row r="808" ht="35.25" customHeight="1">
      <c r="A808" s="507"/>
      <c r="B808" s="507"/>
      <c r="C808" s="507"/>
      <c r="D808" s="508"/>
      <c r="E808" s="507"/>
      <c r="F808" s="507"/>
      <c r="G808" s="507"/>
      <c r="H808" s="507"/>
      <c r="I808" s="507"/>
      <c r="J808" s="507"/>
      <c r="K808" s="507"/>
      <c r="L808" s="507"/>
      <c r="M808" s="507"/>
      <c r="N808" s="507"/>
      <c r="O808" s="507"/>
      <c r="P808" s="507"/>
      <c r="Q808" s="507"/>
      <c r="R808" s="507"/>
      <c r="S808" s="507"/>
      <c r="T808" s="507"/>
      <c r="U808" s="507"/>
      <c r="V808" s="507"/>
      <c r="W808" s="507"/>
    </row>
    <row r="809" ht="35.25" customHeight="1">
      <c r="A809" s="507"/>
      <c r="B809" s="507"/>
      <c r="C809" s="507"/>
      <c r="D809" s="508"/>
      <c r="E809" s="507"/>
      <c r="F809" s="507"/>
      <c r="G809" s="507"/>
      <c r="H809" s="507"/>
      <c r="I809" s="507"/>
      <c r="J809" s="507"/>
      <c r="K809" s="507"/>
      <c r="L809" s="507"/>
      <c r="M809" s="507"/>
      <c r="N809" s="507"/>
      <c r="O809" s="507"/>
      <c r="P809" s="507"/>
      <c r="Q809" s="507"/>
      <c r="R809" s="507"/>
      <c r="S809" s="507"/>
      <c r="T809" s="507"/>
      <c r="U809" s="507"/>
      <c r="V809" s="507"/>
      <c r="W809" s="507"/>
    </row>
    <row r="810" ht="35.25" customHeight="1">
      <c r="A810" s="507"/>
      <c r="B810" s="507"/>
      <c r="C810" s="507"/>
      <c r="D810" s="508"/>
      <c r="E810" s="507"/>
      <c r="F810" s="507"/>
      <c r="G810" s="507"/>
      <c r="H810" s="507"/>
      <c r="I810" s="507"/>
      <c r="J810" s="507"/>
      <c r="K810" s="507"/>
      <c r="L810" s="507"/>
      <c r="M810" s="507"/>
      <c r="N810" s="507"/>
      <c r="O810" s="507"/>
      <c r="P810" s="507"/>
      <c r="Q810" s="507"/>
      <c r="R810" s="507"/>
      <c r="S810" s="507"/>
      <c r="T810" s="507"/>
      <c r="U810" s="507"/>
      <c r="V810" s="507"/>
      <c r="W810" s="507"/>
    </row>
    <row r="811" ht="35.25" customHeight="1">
      <c r="A811" s="507"/>
      <c r="B811" s="507"/>
      <c r="C811" s="507"/>
      <c r="D811" s="508"/>
      <c r="E811" s="507"/>
      <c r="F811" s="507"/>
      <c r="G811" s="507"/>
      <c r="H811" s="507"/>
      <c r="I811" s="507"/>
      <c r="J811" s="507"/>
      <c r="K811" s="507"/>
      <c r="L811" s="507"/>
      <c r="M811" s="507"/>
      <c r="N811" s="507"/>
      <c r="O811" s="507"/>
      <c r="P811" s="507"/>
      <c r="Q811" s="507"/>
      <c r="R811" s="507"/>
      <c r="S811" s="507"/>
      <c r="T811" s="507"/>
      <c r="U811" s="507"/>
      <c r="V811" s="507"/>
      <c r="W811" s="507"/>
    </row>
    <row r="812" ht="35.25" customHeight="1">
      <c r="A812" s="507"/>
      <c r="B812" s="507"/>
      <c r="C812" s="507"/>
      <c r="D812" s="508"/>
      <c r="E812" s="507"/>
      <c r="F812" s="507"/>
      <c r="G812" s="507"/>
      <c r="H812" s="507"/>
      <c r="I812" s="507"/>
      <c r="J812" s="507"/>
      <c r="K812" s="507"/>
      <c r="L812" s="507"/>
      <c r="M812" s="507"/>
      <c r="N812" s="507"/>
      <c r="O812" s="507"/>
      <c r="P812" s="507"/>
      <c r="Q812" s="507"/>
      <c r="R812" s="507"/>
      <c r="S812" s="507"/>
      <c r="T812" s="507"/>
      <c r="U812" s="507"/>
      <c r="V812" s="507"/>
      <c r="W812" s="507"/>
    </row>
    <row r="813" ht="35.25" customHeight="1">
      <c r="A813" s="507"/>
      <c r="B813" s="507"/>
      <c r="C813" s="507"/>
      <c r="D813" s="508"/>
      <c r="E813" s="507"/>
      <c r="F813" s="507"/>
      <c r="G813" s="507"/>
      <c r="H813" s="507"/>
      <c r="I813" s="507"/>
      <c r="J813" s="507"/>
      <c r="K813" s="507"/>
      <c r="L813" s="507"/>
      <c r="M813" s="507"/>
      <c r="N813" s="507"/>
      <c r="O813" s="507"/>
      <c r="P813" s="507"/>
      <c r="Q813" s="507"/>
      <c r="R813" s="507"/>
      <c r="S813" s="507"/>
      <c r="T813" s="507"/>
      <c r="U813" s="507"/>
      <c r="V813" s="507"/>
      <c r="W813" s="507"/>
    </row>
    <row r="814" ht="35.25" customHeight="1">
      <c r="A814" s="507"/>
      <c r="B814" s="507"/>
      <c r="C814" s="507"/>
      <c r="D814" s="508"/>
      <c r="E814" s="507"/>
      <c r="F814" s="507"/>
      <c r="G814" s="507"/>
      <c r="H814" s="507"/>
      <c r="I814" s="507"/>
      <c r="J814" s="507"/>
      <c r="K814" s="507"/>
      <c r="L814" s="507"/>
      <c r="M814" s="507"/>
      <c r="N814" s="507"/>
      <c r="O814" s="507"/>
      <c r="P814" s="507"/>
      <c r="Q814" s="507"/>
      <c r="R814" s="507"/>
      <c r="S814" s="507"/>
      <c r="T814" s="507"/>
      <c r="U814" s="507"/>
      <c r="V814" s="507"/>
      <c r="W814" s="507"/>
    </row>
    <row r="815" ht="35.25" customHeight="1">
      <c r="A815" s="507"/>
      <c r="B815" s="507"/>
      <c r="C815" s="507"/>
      <c r="D815" s="508"/>
      <c r="E815" s="507"/>
      <c r="F815" s="507"/>
      <c r="G815" s="507"/>
      <c r="H815" s="507"/>
      <c r="I815" s="507"/>
      <c r="J815" s="507"/>
      <c r="K815" s="507"/>
      <c r="L815" s="507"/>
      <c r="M815" s="507"/>
      <c r="N815" s="507"/>
      <c r="O815" s="507"/>
      <c r="P815" s="507"/>
      <c r="Q815" s="507"/>
      <c r="R815" s="507"/>
      <c r="S815" s="507"/>
      <c r="T815" s="507"/>
      <c r="U815" s="507"/>
      <c r="V815" s="507"/>
      <c r="W815" s="507"/>
    </row>
    <row r="816" ht="35.25" customHeight="1">
      <c r="A816" s="507"/>
      <c r="B816" s="507"/>
      <c r="C816" s="507"/>
      <c r="D816" s="508"/>
      <c r="E816" s="507"/>
      <c r="F816" s="507"/>
      <c r="G816" s="507"/>
      <c r="H816" s="507"/>
      <c r="I816" s="507"/>
      <c r="J816" s="507"/>
      <c r="K816" s="507"/>
      <c r="L816" s="507"/>
      <c r="M816" s="507"/>
      <c r="N816" s="507"/>
      <c r="O816" s="507"/>
      <c r="P816" s="507"/>
      <c r="Q816" s="507"/>
      <c r="R816" s="507"/>
      <c r="S816" s="507"/>
      <c r="T816" s="507"/>
      <c r="U816" s="507"/>
      <c r="V816" s="507"/>
      <c r="W816" s="507"/>
    </row>
    <row r="817" ht="35.25" customHeight="1">
      <c r="A817" s="507"/>
      <c r="B817" s="507"/>
      <c r="C817" s="507"/>
      <c r="D817" s="508"/>
      <c r="E817" s="507"/>
      <c r="F817" s="507"/>
      <c r="G817" s="507"/>
      <c r="H817" s="507"/>
      <c r="I817" s="507"/>
      <c r="J817" s="507"/>
      <c r="K817" s="507"/>
      <c r="L817" s="507"/>
      <c r="M817" s="507"/>
      <c r="N817" s="507"/>
      <c r="O817" s="507"/>
      <c r="P817" s="507"/>
      <c r="Q817" s="507"/>
      <c r="R817" s="507"/>
      <c r="S817" s="507"/>
      <c r="T817" s="507"/>
      <c r="U817" s="507"/>
      <c r="V817" s="507"/>
      <c r="W817" s="507"/>
    </row>
    <row r="818" ht="35.25" customHeight="1">
      <c r="A818" s="507"/>
      <c r="B818" s="507"/>
      <c r="C818" s="507"/>
      <c r="D818" s="508"/>
      <c r="E818" s="507"/>
      <c r="F818" s="507"/>
      <c r="G818" s="507"/>
      <c r="H818" s="507"/>
      <c r="I818" s="507"/>
      <c r="J818" s="507"/>
      <c r="K818" s="507"/>
      <c r="L818" s="507"/>
      <c r="M818" s="507"/>
      <c r="N818" s="507"/>
      <c r="O818" s="507"/>
      <c r="P818" s="507"/>
      <c r="Q818" s="507"/>
      <c r="R818" s="507"/>
      <c r="S818" s="507"/>
      <c r="T818" s="507"/>
      <c r="U818" s="507"/>
      <c r="V818" s="507"/>
      <c r="W818" s="507"/>
    </row>
    <row r="819" ht="35.25" customHeight="1">
      <c r="A819" s="507"/>
      <c r="B819" s="507"/>
      <c r="C819" s="507"/>
      <c r="D819" s="508"/>
      <c r="E819" s="507"/>
      <c r="F819" s="507"/>
      <c r="G819" s="507"/>
      <c r="H819" s="507"/>
      <c r="I819" s="507"/>
      <c r="J819" s="507"/>
      <c r="K819" s="507"/>
      <c r="L819" s="507"/>
      <c r="M819" s="507"/>
      <c r="N819" s="507"/>
      <c r="O819" s="507"/>
      <c r="P819" s="507"/>
      <c r="Q819" s="507"/>
      <c r="R819" s="507"/>
      <c r="S819" s="507"/>
      <c r="T819" s="507"/>
      <c r="U819" s="507"/>
      <c r="V819" s="507"/>
      <c r="W819" s="507"/>
    </row>
    <row r="820" ht="35.25" customHeight="1">
      <c r="A820" s="507"/>
      <c r="B820" s="507"/>
      <c r="C820" s="507"/>
      <c r="D820" s="508"/>
      <c r="E820" s="507"/>
      <c r="F820" s="507"/>
      <c r="G820" s="507"/>
      <c r="H820" s="507"/>
      <c r="I820" s="507"/>
      <c r="J820" s="507"/>
      <c r="K820" s="507"/>
      <c r="L820" s="507"/>
      <c r="M820" s="507"/>
      <c r="N820" s="507"/>
      <c r="O820" s="507"/>
      <c r="P820" s="507"/>
      <c r="Q820" s="507"/>
      <c r="R820" s="507"/>
      <c r="S820" s="507"/>
      <c r="T820" s="507"/>
      <c r="U820" s="507"/>
      <c r="V820" s="507"/>
      <c r="W820" s="507"/>
    </row>
    <row r="821" ht="35.25" customHeight="1">
      <c r="A821" s="507"/>
      <c r="B821" s="507"/>
      <c r="C821" s="507"/>
      <c r="D821" s="508"/>
      <c r="E821" s="507"/>
      <c r="F821" s="507"/>
      <c r="G821" s="507"/>
      <c r="H821" s="507"/>
      <c r="I821" s="507"/>
      <c r="J821" s="507"/>
      <c r="K821" s="507"/>
      <c r="L821" s="507"/>
      <c r="M821" s="507"/>
      <c r="N821" s="507"/>
      <c r="O821" s="507"/>
      <c r="P821" s="507"/>
      <c r="Q821" s="507"/>
      <c r="R821" s="507"/>
      <c r="S821" s="507"/>
      <c r="T821" s="507"/>
      <c r="U821" s="507"/>
      <c r="V821" s="507"/>
      <c r="W821" s="507"/>
    </row>
    <row r="822" ht="35.25" customHeight="1">
      <c r="A822" s="507"/>
      <c r="B822" s="507"/>
      <c r="C822" s="507"/>
      <c r="D822" s="508"/>
      <c r="E822" s="507"/>
      <c r="F822" s="507"/>
      <c r="G822" s="507"/>
      <c r="H822" s="507"/>
      <c r="I822" s="507"/>
      <c r="J822" s="507"/>
      <c r="K822" s="507"/>
      <c r="L822" s="507"/>
      <c r="M822" s="507"/>
      <c r="N822" s="507"/>
      <c r="O822" s="507"/>
      <c r="P822" s="507"/>
      <c r="Q822" s="507"/>
      <c r="R822" s="507"/>
      <c r="S822" s="507"/>
      <c r="T822" s="507"/>
      <c r="U822" s="507"/>
      <c r="V822" s="507"/>
      <c r="W822" s="507"/>
    </row>
    <row r="823" ht="35.25" customHeight="1">
      <c r="A823" s="507"/>
      <c r="B823" s="507"/>
      <c r="C823" s="507"/>
      <c r="D823" s="508"/>
      <c r="E823" s="507"/>
      <c r="F823" s="507"/>
      <c r="G823" s="507"/>
      <c r="H823" s="507"/>
      <c r="I823" s="507"/>
      <c r="J823" s="507"/>
      <c r="K823" s="507"/>
      <c r="L823" s="507"/>
      <c r="M823" s="507"/>
      <c r="N823" s="507"/>
      <c r="O823" s="507"/>
      <c r="P823" s="507"/>
      <c r="Q823" s="507"/>
      <c r="R823" s="507"/>
      <c r="S823" s="507"/>
      <c r="T823" s="507"/>
      <c r="U823" s="507"/>
      <c r="V823" s="507"/>
      <c r="W823" s="507"/>
    </row>
    <row r="824" ht="35.25" customHeight="1">
      <c r="A824" s="507"/>
      <c r="B824" s="507"/>
      <c r="C824" s="507"/>
      <c r="D824" s="508"/>
      <c r="E824" s="507"/>
      <c r="F824" s="507"/>
      <c r="G824" s="507"/>
      <c r="H824" s="507"/>
      <c r="I824" s="507"/>
      <c r="J824" s="507"/>
      <c r="K824" s="507"/>
      <c r="L824" s="507"/>
      <c r="M824" s="507"/>
      <c r="N824" s="507"/>
      <c r="O824" s="507"/>
      <c r="P824" s="507"/>
      <c r="Q824" s="507"/>
      <c r="R824" s="507"/>
      <c r="S824" s="507"/>
      <c r="T824" s="507"/>
      <c r="U824" s="507"/>
      <c r="V824" s="507"/>
      <c r="W824" s="507"/>
    </row>
    <row r="825" ht="35.25" customHeight="1">
      <c r="A825" s="507"/>
      <c r="B825" s="507"/>
      <c r="C825" s="507"/>
      <c r="D825" s="508"/>
      <c r="E825" s="507"/>
      <c r="F825" s="507"/>
      <c r="G825" s="507"/>
      <c r="H825" s="507"/>
      <c r="I825" s="507"/>
      <c r="J825" s="507"/>
      <c r="K825" s="507"/>
      <c r="L825" s="507"/>
      <c r="M825" s="507"/>
      <c r="N825" s="507"/>
      <c r="O825" s="507"/>
      <c r="P825" s="507"/>
      <c r="Q825" s="507"/>
      <c r="R825" s="507"/>
      <c r="S825" s="507"/>
      <c r="T825" s="507"/>
      <c r="U825" s="507"/>
      <c r="V825" s="507"/>
      <c r="W825" s="507"/>
    </row>
    <row r="826" ht="35.25" customHeight="1">
      <c r="A826" s="507"/>
      <c r="B826" s="507"/>
      <c r="C826" s="507"/>
      <c r="D826" s="508"/>
      <c r="E826" s="507"/>
      <c r="F826" s="507"/>
      <c r="G826" s="507"/>
      <c r="H826" s="507"/>
      <c r="I826" s="507"/>
      <c r="J826" s="507"/>
      <c r="K826" s="507"/>
      <c r="L826" s="507"/>
      <c r="M826" s="507"/>
      <c r="N826" s="507"/>
      <c r="O826" s="507"/>
      <c r="P826" s="507"/>
      <c r="Q826" s="507"/>
      <c r="R826" s="507"/>
      <c r="S826" s="507"/>
      <c r="T826" s="507"/>
      <c r="U826" s="507"/>
      <c r="V826" s="507"/>
      <c r="W826" s="507"/>
    </row>
    <row r="827" ht="35.25" customHeight="1">
      <c r="A827" s="507"/>
      <c r="B827" s="507"/>
      <c r="C827" s="507"/>
      <c r="D827" s="508"/>
      <c r="E827" s="507"/>
      <c r="F827" s="507"/>
      <c r="G827" s="507"/>
      <c r="H827" s="507"/>
      <c r="I827" s="507"/>
      <c r="J827" s="507"/>
      <c r="K827" s="507"/>
      <c r="L827" s="507"/>
      <c r="M827" s="507"/>
      <c r="N827" s="507"/>
      <c r="O827" s="507"/>
      <c r="P827" s="507"/>
      <c r="Q827" s="507"/>
      <c r="R827" s="507"/>
      <c r="S827" s="507"/>
      <c r="T827" s="507"/>
      <c r="U827" s="507"/>
      <c r="V827" s="507"/>
      <c r="W827" s="507"/>
    </row>
    <row r="828" ht="35.25" customHeight="1">
      <c r="A828" s="507"/>
      <c r="B828" s="507"/>
      <c r="C828" s="507"/>
      <c r="D828" s="508"/>
      <c r="E828" s="507"/>
      <c r="F828" s="507"/>
      <c r="G828" s="507"/>
      <c r="H828" s="507"/>
      <c r="I828" s="507"/>
      <c r="J828" s="507"/>
      <c r="K828" s="507"/>
      <c r="L828" s="507"/>
      <c r="M828" s="507"/>
      <c r="N828" s="507"/>
      <c r="O828" s="507"/>
      <c r="P828" s="507"/>
      <c r="Q828" s="507"/>
      <c r="R828" s="507"/>
      <c r="S828" s="507"/>
      <c r="T828" s="507"/>
      <c r="U828" s="507"/>
      <c r="V828" s="507"/>
      <c r="W828" s="507"/>
    </row>
    <row r="829" ht="35.25" customHeight="1">
      <c r="A829" s="507"/>
      <c r="B829" s="507"/>
      <c r="C829" s="507"/>
      <c r="D829" s="508"/>
      <c r="E829" s="507"/>
      <c r="F829" s="507"/>
      <c r="G829" s="507"/>
      <c r="H829" s="507"/>
      <c r="I829" s="507"/>
      <c r="J829" s="507"/>
      <c r="K829" s="507"/>
      <c r="L829" s="507"/>
      <c r="M829" s="507"/>
      <c r="N829" s="507"/>
      <c r="O829" s="507"/>
      <c r="P829" s="507"/>
      <c r="Q829" s="507"/>
      <c r="R829" s="507"/>
      <c r="S829" s="507"/>
      <c r="T829" s="507"/>
      <c r="U829" s="507"/>
      <c r="V829" s="507"/>
      <c r="W829" s="507"/>
    </row>
    <row r="830" ht="35.25" customHeight="1">
      <c r="A830" s="507"/>
      <c r="B830" s="507"/>
      <c r="C830" s="507"/>
      <c r="D830" s="508"/>
      <c r="E830" s="507"/>
      <c r="F830" s="507"/>
      <c r="G830" s="507"/>
      <c r="H830" s="507"/>
      <c r="I830" s="507"/>
      <c r="J830" s="507"/>
      <c r="K830" s="507"/>
      <c r="L830" s="507"/>
      <c r="M830" s="507"/>
      <c r="N830" s="507"/>
      <c r="O830" s="507"/>
      <c r="P830" s="507"/>
      <c r="Q830" s="507"/>
      <c r="R830" s="507"/>
      <c r="S830" s="507"/>
      <c r="T830" s="507"/>
      <c r="U830" s="507"/>
      <c r="V830" s="507"/>
      <c r="W830" s="507"/>
    </row>
    <row r="831" ht="35.25" customHeight="1">
      <c r="A831" s="507"/>
      <c r="B831" s="507"/>
      <c r="C831" s="507"/>
      <c r="D831" s="508"/>
      <c r="E831" s="507"/>
      <c r="F831" s="507"/>
      <c r="G831" s="507"/>
      <c r="H831" s="507"/>
      <c r="I831" s="507"/>
      <c r="J831" s="507"/>
      <c r="K831" s="507"/>
      <c r="L831" s="507"/>
      <c r="M831" s="507"/>
      <c r="N831" s="507"/>
      <c r="O831" s="507"/>
      <c r="P831" s="507"/>
      <c r="Q831" s="507"/>
      <c r="R831" s="507"/>
      <c r="S831" s="507"/>
      <c r="T831" s="507"/>
      <c r="U831" s="507"/>
      <c r="V831" s="507"/>
      <c r="W831" s="507"/>
    </row>
    <row r="832" ht="35.25" customHeight="1">
      <c r="A832" s="507"/>
      <c r="B832" s="507"/>
      <c r="C832" s="507"/>
      <c r="D832" s="508"/>
      <c r="E832" s="507"/>
      <c r="F832" s="507"/>
      <c r="G832" s="507"/>
      <c r="H832" s="507"/>
      <c r="I832" s="507"/>
      <c r="J832" s="507"/>
      <c r="K832" s="507"/>
      <c r="L832" s="507"/>
      <c r="M832" s="507"/>
      <c r="N832" s="507"/>
      <c r="O832" s="507"/>
      <c r="P832" s="507"/>
      <c r="Q832" s="507"/>
      <c r="R832" s="507"/>
      <c r="S832" s="507"/>
      <c r="T832" s="507"/>
      <c r="U832" s="507"/>
      <c r="V832" s="507"/>
      <c r="W832" s="507"/>
    </row>
    <row r="833" ht="35.25" customHeight="1">
      <c r="A833" s="507"/>
      <c r="B833" s="507"/>
      <c r="C833" s="507"/>
      <c r="D833" s="508"/>
      <c r="E833" s="507"/>
      <c r="F833" s="507"/>
      <c r="G833" s="507"/>
      <c r="H833" s="507"/>
      <c r="I833" s="507"/>
      <c r="J833" s="507"/>
      <c r="K833" s="507"/>
      <c r="L833" s="507"/>
      <c r="M833" s="507"/>
      <c r="N833" s="507"/>
      <c r="O833" s="507"/>
      <c r="P833" s="507"/>
      <c r="Q833" s="507"/>
      <c r="R833" s="507"/>
      <c r="S833" s="507"/>
      <c r="T833" s="507"/>
      <c r="U833" s="507"/>
      <c r="V833" s="507"/>
      <c r="W833" s="507"/>
    </row>
    <row r="834" ht="35.25" customHeight="1">
      <c r="A834" s="507"/>
      <c r="B834" s="507"/>
      <c r="C834" s="507"/>
      <c r="D834" s="508"/>
      <c r="E834" s="507"/>
      <c r="F834" s="507"/>
      <c r="G834" s="507"/>
      <c r="H834" s="507"/>
      <c r="I834" s="507"/>
      <c r="J834" s="507"/>
      <c r="K834" s="507"/>
      <c r="L834" s="507"/>
      <c r="M834" s="507"/>
      <c r="N834" s="507"/>
      <c r="O834" s="507"/>
      <c r="P834" s="507"/>
      <c r="Q834" s="507"/>
      <c r="R834" s="507"/>
      <c r="S834" s="507"/>
      <c r="T834" s="507"/>
      <c r="U834" s="507"/>
      <c r="V834" s="507"/>
      <c r="W834" s="507"/>
    </row>
    <row r="835" ht="35.25" customHeight="1">
      <c r="A835" s="507"/>
      <c r="B835" s="507"/>
      <c r="C835" s="507"/>
      <c r="D835" s="508"/>
      <c r="E835" s="507"/>
      <c r="F835" s="507"/>
      <c r="G835" s="507"/>
      <c r="H835" s="507"/>
      <c r="I835" s="507"/>
      <c r="J835" s="507"/>
      <c r="K835" s="507"/>
      <c r="L835" s="507"/>
      <c r="M835" s="507"/>
      <c r="N835" s="507"/>
      <c r="O835" s="507"/>
      <c r="P835" s="507"/>
      <c r="Q835" s="507"/>
      <c r="R835" s="507"/>
      <c r="S835" s="507"/>
      <c r="T835" s="507"/>
      <c r="U835" s="507"/>
      <c r="V835" s="507"/>
      <c r="W835" s="507"/>
    </row>
    <row r="836" ht="35.25" customHeight="1">
      <c r="A836" s="507"/>
      <c r="B836" s="507"/>
      <c r="C836" s="507"/>
      <c r="D836" s="508"/>
      <c r="E836" s="507"/>
      <c r="F836" s="507"/>
      <c r="G836" s="507"/>
      <c r="H836" s="507"/>
      <c r="I836" s="507"/>
      <c r="J836" s="507"/>
      <c r="K836" s="507"/>
      <c r="L836" s="507"/>
      <c r="M836" s="507"/>
      <c r="N836" s="507"/>
      <c r="O836" s="507"/>
      <c r="P836" s="507"/>
      <c r="Q836" s="507"/>
      <c r="R836" s="507"/>
      <c r="S836" s="507"/>
      <c r="T836" s="507"/>
      <c r="U836" s="507"/>
      <c r="V836" s="507"/>
      <c r="W836" s="507"/>
    </row>
    <row r="837" ht="35.25" customHeight="1">
      <c r="A837" s="507"/>
      <c r="B837" s="507"/>
      <c r="C837" s="507"/>
      <c r="D837" s="508"/>
      <c r="E837" s="507"/>
      <c r="F837" s="507"/>
      <c r="G837" s="507"/>
      <c r="H837" s="507"/>
      <c r="I837" s="507"/>
      <c r="J837" s="507"/>
      <c r="K837" s="507"/>
      <c r="L837" s="507"/>
      <c r="M837" s="507"/>
      <c r="N837" s="507"/>
      <c r="O837" s="507"/>
      <c r="P837" s="507"/>
      <c r="Q837" s="507"/>
      <c r="R837" s="507"/>
      <c r="S837" s="507"/>
      <c r="T837" s="507"/>
      <c r="U837" s="507"/>
      <c r="V837" s="507"/>
      <c r="W837" s="507"/>
    </row>
    <row r="838" ht="35.25" customHeight="1">
      <c r="A838" s="507"/>
      <c r="B838" s="507"/>
      <c r="C838" s="507"/>
      <c r="D838" s="508"/>
      <c r="E838" s="507"/>
      <c r="F838" s="507"/>
      <c r="G838" s="507"/>
      <c r="H838" s="507"/>
      <c r="I838" s="507"/>
      <c r="J838" s="507"/>
      <c r="K838" s="507"/>
      <c r="L838" s="507"/>
      <c r="M838" s="507"/>
      <c r="N838" s="507"/>
      <c r="O838" s="507"/>
      <c r="P838" s="507"/>
      <c r="Q838" s="507"/>
      <c r="R838" s="507"/>
      <c r="S838" s="507"/>
      <c r="T838" s="507"/>
      <c r="U838" s="507"/>
      <c r="V838" s="507"/>
      <c r="W838" s="507"/>
    </row>
    <row r="839" ht="35.25" customHeight="1">
      <c r="A839" s="507"/>
      <c r="B839" s="507"/>
      <c r="C839" s="507"/>
      <c r="D839" s="508"/>
      <c r="E839" s="507"/>
      <c r="F839" s="507"/>
      <c r="G839" s="507"/>
      <c r="H839" s="507"/>
      <c r="I839" s="507"/>
      <c r="J839" s="507"/>
      <c r="K839" s="507"/>
      <c r="L839" s="507"/>
      <c r="M839" s="507"/>
      <c r="N839" s="507"/>
      <c r="O839" s="507"/>
      <c r="P839" s="507"/>
      <c r="Q839" s="507"/>
      <c r="R839" s="507"/>
      <c r="S839" s="507"/>
      <c r="T839" s="507"/>
      <c r="U839" s="507"/>
      <c r="V839" s="507"/>
      <c r="W839" s="507"/>
    </row>
    <row r="840" ht="35.25" customHeight="1">
      <c r="A840" s="507"/>
      <c r="B840" s="507"/>
      <c r="C840" s="507"/>
      <c r="D840" s="508"/>
      <c r="E840" s="507"/>
      <c r="F840" s="507"/>
      <c r="G840" s="507"/>
      <c r="H840" s="507"/>
      <c r="I840" s="507"/>
      <c r="J840" s="507"/>
      <c r="K840" s="507"/>
      <c r="L840" s="507"/>
      <c r="M840" s="507"/>
      <c r="N840" s="507"/>
      <c r="O840" s="507"/>
      <c r="P840" s="507"/>
      <c r="Q840" s="507"/>
      <c r="R840" s="507"/>
      <c r="S840" s="507"/>
      <c r="T840" s="507"/>
      <c r="U840" s="507"/>
      <c r="V840" s="507"/>
      <c r="W840" s="507"/>
    </row>
    <row r="841" ht="35.25" customHeight="1">
      <c r="A841" s="507"/>
      <c r="B841" s="507"/>
      <c r="C841" s="507"/>
      <c r="D841" s="508"/>
      <c r="E841" s="507"/>
      <c r="F841" s="507"/>
      <c r="G841" s="507"/>
      <c r="H841" s="507"/>
      <c r="I841" s="507"/>
      <c r="J841" s="507"/>
      <c r="K841" s="507"/>
      <c r="L841" s="507"/>
      <c r="M841" s="507"/>
      <c r="N841" s="507"/>
      <c r="O841" s="507"/>
      <c r="P841" s="507"/>
      <c r="Q841" s="507"/>
      <c r="R841" s="507"/>
      <c r="S841" s="507"/>
      <c r="T841" s="507"/>
      <c r="U841" s="507"/>
      <c r="V841" s="507"/>
      <c r="W841" s="507"/>
    </row>
    <row r="842" ht="35.25" customHeight="1">
      <c r="A842" s="507"/>
      <c r="B842" s="507"/>
      <c r="C842" s="507"/>
      <c r="D842" s="508"/>
      <c r="E842" s="507"/>
      <c r="F842" s="507"/>
      <c r="G842" s="507"/>
      <c r="H842" s="507"/>
      <c r="I842" s="507"/>
      <c r="J842" s="507"/>
      <c r="K842" s="507"/>
      <c r="L842" s="507"/>
      <c r="M842" s="507"/>
      <c r="N842" s="507"/>
      <c r="O842" s="507"/>
      <c r="P842" s="507"/>
      <c r="Q842" s="507"/>
      <c r="R842" s="507"/>
      <c r="S842" s="507"/>
      <c r="T842" s="507"/>
      <c r="U842" s="507"/>
      <c r="V842" s="507"/>
      <c r="W842" s="507"/>
    </row>
    <row r="843" ht="35.25" customHeight="1">
      <c r="A843" s="507"/>
      <c r="B843" s="507"/>
      <c r="C843" s="507"/>
      <c r="D843" s="508"/>
      <c r="E843" s="507"/>
      <c r="F843" s="507"/>
      <c r="G843" s="507"/>
      <c r="H843" s="507"/>
      <c r="I843" s="507"/>
      <c r="J843" s="507"/>
      <c r="K843" s="507"/>
      <c r="L843" s="507"/>
      <c r="M843" s="507"/>
      <c r="N843" s="507"/>
      <c r="O843" s="507"/>
      <c r="P843" s="507"/>
      <c r="Q843" s="507"/>
      <c r="R843" s="507"/>
      <c r="S843" s="507"/>
      <c r="T843" s="507"/>
      <c r="U843" s="507"/>
      <c r="V843" s="507"/>
      <c r="W843" s="507"/>
    </row>
    <row r="844" ht="35.25" customHeight="1">
      <c r="A844" s="507"/>
      <c r="B844" s="507"/>
      <c r="C844" s="507"/>
      <c r="D844" s="508"/>
      <c r="E844" s="507"/>
      <c r="F844" s="507"/>
      <c r="G844" s="507"/>
      <c r="H844" s="507"/>
      <c r="I844" s="507"/>
      <c r="J844" s="507"/>
      <c r="K844" s="507"/>
      <c r="L844" s="507"/>
      <c r="M844" s="507"/>
      <c r="N844" s="507"/>
      <c r="O844" s="507"/>
      <c r="P844" s="507"/>
      <c r="Q844" s="507"/>
      <c r="R844" s="507"/>
      <c r="S844" s="507"/>
      <c r="T844" s="507"/>
      <c r="U844" s="507"/>
      <c r="V844" s="507"/>
      <c r="W844" s="507"/>
    </row>
    <row r="845" ht="35.25" customHeight="1">
      <c r="A845" s="507"/>
      <c r="B845" s="507"/>
      <c r="C845" s="507"/>
      <c r="D845" s="508"/>
      <c r="E845" s="507"/>
      <c r="F845" s="507"/>
      <c r="G845" s="507"/>
      <c r="H845" s="507"/>
      <c r="I845" s="507"/>
      <c r="J845" s="507"/>
      <c r="K845" s="507"/>
      <c r="L845" s="507"/>
      <c r="M845" s="507"/>
      <c r="N845" s="507"/>
      <c r="O845" s="507"/>
      <c r="P845" s="507"/>
      <c r="Q845" s="507"/>
      <c r="R845" s="507"/>
      <c r="S845" s="507"/>
      <c r="T845" s="507"/>
      <c r="U845" s="507"/>
      <c r="V845" s="507"/>
      <c r="W845" s="507"/>
    </row>
    <row r="846" ht="35.25" customHeight="1">
      <c r="A846" s="507"/>
      <c r="B846" s="507"/>
      <c r="C846" s="507"/>
      <c r="D846" s="508"/>
      <c r="E846" s="507"/>
      <c r="F846" s="507"/>
      <c r="G846" s="507"/>
      <c r="H846" s="507"/>
      <c r="I846" s="507"/>
      <c r="J846" s="507"/>
      <c r="K846" s="507"/>
      <c r="L846" s="507"/>
      <c r="M846" s="507"/>
      <c r="N846" s="507"/>
      <c r="O846" s="507"/>
      <c r="P846" s="507"/>
      <c r="Q846" s="507"/>
      <c r="R846" s="507"/>
      <c r="S846" s="507"/>
      <c r="T846" s="507"/>
      <c r="U846" s="507"/>
      <c r="V846" s="507"/>
      <c r="W846" s="507"/>
    </row>
    <row r="847" ht="35.25" customHeight="1">
      <c r="A847" s="507"/>
      <c r="B847" s="507"/>
      <c r="C847" s="507"/>
      <c r="D847" s="508"/>
      <c r="E847" s="507"/>
      <c r="F847" s="507"/>
      <c r="G847" s="507"/>
      <c r="H847" s="507"/>
      <c r="I847" s="507"/>
      <c r="J847" s="507"/>
      <c r="K847" s="507"/>
      <c r="L847" s="507"/>
      <c r="M847" s="507"/>
      <c r="N847" s="507"/>
      <c r="O847" s="507"/>
      <c r="P847" s="507"/>
      <c r="Q847" s="507"/>
      <c r="R847" s="507"/>
      <c r="S847" s="507"/>
      <c r="T847" s="507"/>
      <c r="U847" s="507"/>
      <c r="V847" s="507"/>
      <c r="W847" s="507"/>
    </row>
    <row r="848" ht="35.25" customHeight="1">
      <c r="A848" s="507"/>
      <c r="B848" s="507"/>
      <c r="C848" s="507"/>
      <c r="D848" s="508"/>
      <c r="E848" s="507"/>
      <c r="F848" s="507"/>
      <c r="G848" s="507"/>
      <c r="H848" s="507"/>
      <c r="I848" s="507"/>
      <c r="J848" s="507"/>
      <c r="K848" s="507"/>
      <c r="L848" s="507"/>
      <c r="M848" s="507"/>
      <c r="N848" s="507"/>
      <c r="O848" s="507"/>
      <c r="P848" s="507"/>
      <c r="Q848" s="507"/>
      <c r="R848" s="507"/>
      <c r="S848" s="507"/>
      <c r="T848" s="507"/>
      <c r="U848" s="507"/>
      <c r="V848" s="507"/>
      <c r="W848" s="507"/>
    </row>
    <row r="849" ht="35.25" customHeight="1">
      <c r="A849" s="507"/>
      <c r="B849" s="507"/>
      <c r="C849" s="507"/>
      <c r="D849" s="508"/>
      <c r="E849" s="507"/>
      <c r="F849" s="507"/>
      <c r="G849" s="507"/>
      <c r="H849" s="507"/>
      <c r="I849" s="507"/>
      <c r="J849" s="507"/>
      <c r="K849" s="507"/>
      <c r="L849" s="507"/>
      <c r="M849" s="507"/>
      <c r="N849" s="507"/>
      <c r="O849" s="507"/>
      <c r="P849" s="507"/>
      <c r="Q849" s="507"/>
      <c r="R849" s="507"/>
      <c r="S849" s="507"/>
      <c r="T849" s="507"/>
      <c r="U849" s="507"/>
      <c r="V849" s="507"/>
      <c r="W849" s="507"/>
    </row>
    <row r="850" ht="35.25" customHeight="1">
      <c r="A850" s="507"/>
      <c r="B850" s="507"/>
      <c r="C850" s="507"/>
      <c r="D850" s="508"/>
      <c r="E850" s="507"/>
      <c r="F850" s="507"/>
      <c r="G850" s="507"/>
      <c r="H850" s="507"/>
      <c r="I850" s="507"/>
      <c r="J850" s="507"/>
      <c r="K850" s="507"/>
      <c r="L850" s="507"/>
      <c r="M850" s="507"/>
      <c r="N850" s="507"/>
      <c r="O850" s="507"/>
      <c r="P850" s="507"/>
      <c r="Q850" s="507"/>
      <c r="R850" s="507"/>
      <c r="S850" s="507"/>
      <c r="T850" s="507"/>
      <c r="U850" s="507"/>
      <c r="V850" s="507"/>
      <c r="W850" s="507"/>
    </row>
    <row r="851" ht="35.25" customHeight="1">
      <c r="A851" s="507"/>
      <c r="B851" s="507"/>
      <c r="C851" s="507"/>
      <c r="D851" s="508"/>
      <c r="E851" s="507"/>
      <c r="F851" s="507"/>
      <c r="G851" s="507"/>
      <c r="H851" s="507"/>
      <c r="I851" s="507"/>
      <c r="J851" s="507"/>
      <c r="K851" s="507"/>
      <c r="L851" s="507"/>
      <c r="M851" s="507"/>
      <c r="N851" s="507"/>
      <c r="O851" s="507"/>
      <c r="P851" s="507"/>
      <c r="Q851" s="507"/>
      <c r="R851" s="507"/>
      <c r="S851" s="507"/>
      <c r="T851" s="507"/>
      <c r="U851" s="507"/>
      <c r="V851" s="507"/>
      <c r="W851" s="507"/>
    </row>
    <row r="852" ht="35.25" customHeight="1">
      <c r="A852" s="507"/>
      <c r="B852" s="507"/>
      <c r="C852" s="507"/>
      <c r="D852" s="508"/>
      <c r="E852" s="507"/>
      <c r="F852" s="507"/>
      <c r="G852" s="507"/>
      <c r="H852" s="507"/>
      <c r="I852" s="507"/>
      <c r="J852" s="507"/>
      <c r="K852" s="507"/>
      <c r="L852" s="507"/>
      <c r="M852" s="507"/>
      <c r="N852" s="507"/>
      <c r="O852" s="507"/>
      <c r="P852" s="507"/>
      <c r="Q852" s="507"/>
      <c r="R852" s="507"/>
      <c r="S852" s="507"/>
      <c r="T852" s="507"/>
      <c r="U852" s="507"/>
      <c r="V852" s="507"/>
      <c r="W852" s="507"/>
    </row>
    <row r="853" ht="35.25" customHeight="1">
      <c r="A853" s="507"/>
      <c r="B853" s="507"/>
      <c r="C853" s="507"/>
      <c r="D853" s="508"/>
      <c r="E853" s="507"/>
      <c r="F853" s="507"/>
      <c r="G853" s="507"/>
      <c r="H853" s="507"/>
      <c r="I853" s="507"/>
      <c r="J853" s="507"/>
      <c r="K853" s="507"/>
      <c r="L853" s="507"/>
      <c r="M853" s="507"/>
      <c r="N853" s="507"/>
      <c r="O853" s="507"/>
      <c r="P853" s="507"/>
      <c r="Q853" s="507"/>
      <c r="R853" s="507"/>
      <c r="S853" s="507"/>
      <c r="T853" s="507"/>
      <c r="U853" s="507"/>
      <c r="V853" s="507"/>
      <c r="W853" s="507"/>
    </row>
    <row r="854" ht="35.25" customHeight="1">
      <c r="A854" s="507"/>
      <c r="B854" s="507"/>
      <c r="C854" s="507"/>
      <c r="D854" s="508"/>
      <c r="E854" s="507"/>
      <c r="F854" s="507"/>
      <c r="G854" s="507"/>
      <c r="H854" s="507"/>
      <c r="I854" s="507"/>
      <c r="J854" s="507"/>
      <c r="K854" s="507"/>
      <c r="L854" s="507"/>
      <c r="M854" s="507"/>
      <c r="N854" s="507"/>
      <c r="O854" s="507"/>
      <c r="P854" s="507"/>
      <c r="Q854" s="507"/>
      <c r="R854" s="507"/>
      <c r="S854" s="507"/>
      <c r="T854" s="507"/>
      <c r="U854" s="507"/>
      <c r="V854" s="507"/>
      <c r="W854" s="507"/>
    </row>
    <row r="855" ht="35.25" customHeight="1">
      <c r="A855" s="507"/>
      <c r="B855" s="507"/>
      <c r="C855" s="507"/>
      <c r="D855" s="508"/>
      <c r="E855" s="507"/>
      <c r="F855" s="507"/>
      <c r="G855" s="507"/>
      <c r="H855" s="507"/>
      <c r="I855" s="507"/>
      <c r="J855" s="507"/>
      <c r="K855" s="507"/>
      <c r="L855" s="507"/>
      <c r="M855" s="507"/>
      <c r="N855" s="507"/>
      <c r="O855" s="507"/>
      <c r="P855" s="507"/>
      <c r="Q855" s="507"/>
      <c r="R855" s="507"/>
      <c r="S855" s="507"/>
      <c r="T855" s="507"/>
      <c r="U855" s="507"/>
      <c r="V855" s="507"/>
      <c r="W855" s="507"/>
    </row>
    <row r="856" ht="35.25" customHeight="1">
      <c r="A856" s="507"/>
      <c r="B856" s="507"/>
      <c r="C856" s="507"/>
      <c r="D856" s="508"/>
      <c r="E856" s="507"/>
      <c r="F856" s="507"/>
      <c r="G856" s="507"/>
      <c r="H856" s="507"/>
      <c r="I856" s="507"/>
      <c r="J856" s="507"/>
      <c r="K856" s="507"/>
      <c r="L856" s="507"/>
      <c r="M856" s="507"/>
      <c r="N856" s="507"/>
      <c r="O856" s="507"/>
      <c r="P856" s="507"/>
      <c r="Q856" s="507"/>
      <c r="R856" s="507"/>
      <c r="S856" s="507"/>
      <c r="T856" s="507"/>
      <c r="U856" s="507"/>
      <c r="V856" s="507"/>
      <c r="W856" s="507"/>
    </row>
    <row r="857" ht="35.25" customHeight="1">
      <c r="A857" s="507"/>
      <c r="B857" s="507"/>
      <c r="C857" s="507"/>
      <c r="D857" s="508"/>
      <c r="E857" s="507"/>
      <c r="F857" s="507"/>
      <c r="G857" s="507"/>
      <c r="H857" s="507"/>
      <c r="I857" s="507"/>
      <c r="J857" s="507"/>
      <c r="K857" s="507"/>
      <c r="L857" s="507"/>
      <c r="M857" s="507"/>
      <c r="N857" s="507"/>
      <c r="O857" s="507"/>
      <c r="P857" s="507"/>
      <c r="Q857" s="507"/>
      <c r="R857" s="507"/>
      <c r="S857" s="507"/>
      <c r="T857" s="507"/>
      <c r="U857" s="507"/>
      <c r="V857" s="507"/>
      <c r="W857" s="507"/>
    </row>
    <row r="858" ht="35.25" customHeight="1">
      <c r="A858" s="507"/>
      <c r="B858" s="507"/>
      <c r="C858" s="507"/>
      <c r="D858" s="508"/>
      <c r="E858" s="507"/>
      <c r="F858" s="507"/>
      <c r="G858" s="507"/>
      <c r="H858" s="507"/>
      <c r="I858" s="507"/>
      <c r="J858" s="507"/>
      <c r="K858" s="507"/>
      <c r="L858" s="507"/>
      <c r="M858" s="507"/>
      <c r="N858" s="507"/>
      <c r="O858" s="507"/>
      <c r="P858" s="507"/>
      <c r="Q858" s="507"/>
      <c r="R858" s="507"/>
      <c r="S858" s="507"/>
      <c r="T858" s="507"/>
      <c r="U858" s="507"/>
      <c r="V858" s="507"/>
      <c r="W858" s="507"/>
    </row>
    <row r="859" ht="35.25" customHeight="1">
      <c r="A859" s="507"/>
      <c r="B859" s="507"/>
      <c r="C859" s="507"/>
      <c r="D859" s="508"/>
      <c r="E859" s="507"/>
      <c r="F859" s="507"/>
      <c r="G859" s="507"/>
      <c r="H859" s="507"/>
      <c r="I859" s="507"/>
      <c r="J859" s="507"/>
      <c r="K859" s="507"/>
      <c r="L859" s="507"/>
      <c r="M859" s="507"/>
      <c r="N859" s="507"/>
      <c r="O859" s="507"/>
      <c r="P859" s="507"/>
      <c r="Q859" s="507"/>
      <c r="R859" s="507"/>
      <c r="S859" s="507"/>
      <c r="T859" s="507"/>
      <c r="U859" s="507"/>
      <c r="V859" s="507"/>
      <c r="W859" s="507"/>
    </row>
    <row r="860" ht="35.25" customHeight="1">
      <c r="A860" s="507"/>
      <c r="B860" s="507"/>
      <c r="C860" s="507"/>
      <c r="D860" s="508"/>
      <c r="E860" s="507"/>
      <c r="F860" s="507"/>
      <c r="G860" s="507"/>
      <c r="H860" s="507"/>
      <c r="I860" s="507"/>
      <c r="J860" s="507"/>
      <c r="K860" s="507"/>
      <c r="L860" s="507"/>
      <c r="M860" s="507"/>
      <c r="N860" s="507"/>
      <c r="O860" s="507"/>
      <c r="P860" s="507"/>
      <c r="Q860" s="507"/>
      <c r="R860" s="507"/>
      <c r="S860" s="507"/>
      <c r="T860" s="507"/>
      <c r="U860" s="507"/>
      <c r="V860" s="507"/>
      <c r="W860" s="507"/>
    </row>
    <row r="861" ht="35.25" customHeight="1">
      <c r="A861" s="507"/>
      <c r="B861" s="507"/>
      <c r="C861" s="507"/>
      <c r="D861" s="508"/>
      <c r="E861" s="507"/>
      <c r="F861" s="507"/>
      <c r="G861" s="507"/>
      <c r="H861" s="507"/>
      <c r="I861" s="507"/>
      <c r="J861" s="507"/>
      <c r="K861" s="507"/>
      <c r="L861" s="507"/>
      <c r="M861" s="507"/>
      <c r="N861" s="507"/>
      <c r="O861" s="507"/>
      <c r="P861" s="507"/>
      <c r="Q861" s="507"/>
      <c r="R861" s="507"/>
      <c r="S861" s="507"/>
      <c r="T861" s="507"/>
      <c r="U861" s="507"/>
      <c r="V861" s="507"/>
      <c r="W861" s="507"/>
    </row>
    <row r="862" ht="35.25" customHeight="1">
      <c r="A862" s="507"/>
      <c r="B862" s="507"/>
      <c r="C862" s="507"/>
      <c r="D862" s="508"/>
      <c r="E862" s="507"/>
      <c r="F862" s="507"/>
      <c r="G862" s="507"/>
      <c r="H862" s="507"/>
      <c r="I862" s="507"/>
      <c r="J862" s="507"/>
      <c r="K862" s="507"/>
      <c r="L862" s="507"/>
      <c r="M862" s="507"/>
      <c r="N862" s="507"/>
      <c r="O862" s="507"/>
      <c r="P862" s="507"/>
      <c r="Q862" s="507"/>
      <c r="R862" s="507"/>
      <c r="S862" s="507"/>
      <c r="T862" s="507"/>
      <c r="U862" s="507"/>
      <c r="V862" s="507"/>
      <c r="W862" s="507"/>
    </row>
    <row r="863" ht="35.25" customHeight="1">
      <c r="A863" s="507"/>
      <c r="B863" s="507"/>
      <c r="C863" s="507"/>
      <c r="D863" s="508"/>
      <c r="E863" s="507"/>
      <c r="F863" s="507"/>
      <c r="G863" s="507"/>
      <c r="H863" s="507"/>
      <c r="I863" s="507"/>
      <c r="J863" s="507"/>
      <c r="K863" s="507"/>
      <c r="L863" s="507"/>
      <c r="M863" s="507"/>
      <c r="N863" s="507"/>
      <c r="O863" s="507"/>
      <c r="P863" s="507"/>
      <c r="Q863" s="507"/>
      <c r="R863" s="507"/>
      <c r="S863" s="507"/>
      <c r="T863" s="507"/>
      <c r="U863" s="507"/>
      <c r="V863" s="507"/>
      <c r="W863" s="507"/>
    </row>
    <row r="864" ht="35.25" customHeight="1">
      <c r="A864" s="507"/>
      <c r="B864" s="507"/>
      <c r="C864" s="507"/>
      <c r="D864" s="508"/>
      <c r="E864" s="507"/>
      <c r="F864" s="507"/>
      <c r="G864" s="507"/>
      <c r="H864" s="507"/>
      <c r="I864" s="507"/>
      <c r="J864" s="507"/>
      <c r="K864" s="507"/>
      <c r="L864" s="507"/>
      <c r="M864" s="507"/>
      <c r="N864" s="507"/>
      <c r="O864" s="507"/>
      <c r="P864" s="507"/>
      <c r="Q864" s="507"/>
      <c r="R864" s="507"/>
      <c r="S864" s="507"/>
      <c r="T864" s="507"/>
      <c r="U864" s="507"/>
      <c r="V864" s="507"/>
      <c r="W864" s="507"/>
    </row>
    <row r="865" ht="35.25" customHeight="1">
      <c r="A865" s="507"/>
      <c r="B865" s="507"/>
      <c r="C865" s="507"/>
      <c r="D865" s="508"/>
      <c r="E865" s="507"/>
      <c r="F865" s="507"/>
      <c r="G865" s="507"/>
      <c r="H865" s="507"/>
      <c r="I865" s="507"/>
      <c r="J865" s="507"/>
      <c r="K865" s="507"/>
      <c r="L865" s="507"/>
      <c r="M865" s="507"/>
      <c r="N865" s="507"/>
      <c r="O865" s="507"/>
      <c r="P865" s="507"/>
      <c r="Q865" s="507"/>
      <c r="R865" s="507"/>
      <c r="S865" s="507"/>
      <c r="T865" s="507"/>
      <c r="U865" s="507"/>
      <c r="V865" s="507"/>
      <c r="W865" s="507"/>
    </row>
    <row r="866" ht="35.25" customHeight="1">
      <c r="A866" s="507"/>
      <c r="B866" s="507"/>
      <c r="C866" s="507"/>
      <c r="D866" s="508"/>
      <c r="E866" s="507"/>
      <c r="F866" s="507"/>
      <c r="G866" s="507"/>
      <c r="H866" s="507"/>
      <c r="I866" s="507"/>
      <c r="J866" s="507"/>
      <c r="K866" s="507"/>
      <c r="L866" s="507"/>
      <c r="M866" s="507"/>
      <c r="N866" s="507"/>
      <c r="O866" s="507"/>
      <c r="P866" s="507"/>
      <c r="Q866" s="507"/>
      <c r="R866" s="507"/>
      <c r="S866" s="507"/>
      <c r="T866" s="507"/>
      <c r="U866" s="507"/>
      <c r="V866" s="507"/>
      <c r="W866" s="507"/>
    </row>
    <row r="867" ht="35.25" customHeight="1">
      <c r="A867" s="507"/>
      <c r="B867" s="507"/>
      <c r="C867" s="507"/>
      <c r="D867" s="508"/>
      <c r="E867" s="507"/>
      <c r="F867" s="507"/>
      <c r="G867" s="507"/>
      <c r="H867" s="507"/>
      <c r="I867" s="507"/>
      <c r="J867" s="507"/>
      <c r="K867" s="507"/>
      <c r="L867" s="507"/>
      <c r="M867" s="507"/>
      <c r="N867" s="507"/>
      <c r="O867" s="507"/>
      <c r="P867" s="507"/>
      <c r="Q867" s="507"/>
      <c r="R867" s="507"/>
      <c r="S867" s="507"/>
      <c r="T867" s="507"/>
      <c r="U867" s="507"/>
      <c r="V867" s="507"/>
      <c r="W867" s="507"/>
    </row>
    <row r="868" ht="35.25" customHeight="1">
      <c r="A868" s="507"/>
      <c r="B868" s="507"/>
      <c r="C868" s="507"/>
      <c r="D868" s="508"/>
      <c r="E868" s="507"/>
      <c r="F868" s="507"/>
      <c r="G868" s="507"/>
      <c r="H868" s="507"/>
      <c r="I868" s="507"/>
      <c r="J868" s="507"/>
      <c r="K868" s="507"/>
      <c r="L868" s="507"/>
      <c r="M868" s="507"/>
      <c r="N868" s="507"/>
      <c r="O868" s="507"/>
      <c r="P868" s="507"/>
      <c r="Q868" s="507"/>
      <c r="R868" s="507"/>
      <c r="S868" s="507"/>
      <c r="T868" s="507"/>
      <c r="U868" s="507"/>
      <c r="V868" s="507"/>
      <c r="W868" s="507"/>
    </row>
    <row r="869" ht="35.25" customHeight="1">
      <c r="A869" s="507"/>
      <c r="B869" s="507"/>
      <c r="C869" s="507"/>
      <c r="D869" s="508"/>
      <c r="E869" s="507"/>
      <c r="F869" s="507"/>
      <c r="G869" s="507"/>
      <c r="H869" s="507"/>
      <c r="I869" s="507"/>
      <c r="J869" s="507"/>
      <c r="K869" s="507"/>
      <c r="L869" s="507"/>
      <c r="M869" s="507"/>
      <c r="N869" s="507"/>
      <c r="O869" s="507"/>
      <c r="P869" s="507"/>
      <c r="Q869" s="507"/>
      <c r="R869" s="507"/>
      <c r="S869" s="507"/>
      <c r="T869" s="507"/>
      <c r="U869" s="507"/>
      <c r="V869" s="507"/>
      <c r="W869" s="507"/>
    </row>
    <row r="870" ht="35.25" customHeight="1">
      <c r="A870" s="507"/>
      <c r="B870" s="507"/>
      <c r="C870" s="507"/>
      <c r="D870" s="508"/>
      <c r="E870" s="507"/>
      <c r="F870" s="507"/>
      <c r="G870" s="507"/>
      <c r="H870" s="507"/>
      <c r="I870" s="507"/>
      <c r="J870" s="507"/>
      <c r="K870" s="507"/>
      <c r="L870" s="507"/>
      <c r="M870" s="507"/>
      <c r="N870" s="507"/>
      <c r="O870" s="507"/>
      <c r="P870" s="507"/>
      <c r="Q870" s="507"/>
      <c r="R870" s="507"/>
      <c r="S870" s="507"/>
      <c r="T870" s="507"/>
      <c r="U870" s="507"/>
      <c r="V870" s="507"/>
      <c r="W870" s="507"/>
    </row>
    <row r="871" ht="35.25" customHeight="1">
      <c r="A871" s="507"/>
      <c r="B871" s="507"/>
      <c r="C871" s="507"/>
      <c r="D871" s="508"/>
      <c r="E871" s="507"/>
      <c r="F871" s="507"/>
      <c r="G871" s="507"/>
      <c r="H871" s="507"/>
      <c r="I871" s="507"/>
      <c r="J871" s="507"/>
      <c r="K871" s="507"/>
      <c r="L871" s="507"/>
      <c r="M871" s="507"/>
      <c r="N871" s="507"/>
      <c r="O871" s="507"/>
      <c r="P871" s="507"/>
      <c r="Q871" s="507"/>
      <c r="R871" s="507"/>
      <c r="S871" s="507"/>
      <c r="T871" s="507"/>
      <c r="U871" s="507"/>
      <c r="V871" s="507"/>
      <c r="W871" s="507"/>
    </row>
    <row r="872" ht="35.25" customHeight="1">
      <c r="A872" s="507"/>
      <c r="B872" s="507"/>
      <c r="C872" s="507"/>
      <c r="D872" s="508"/>
      <c r="E872" s="507"/>
      <c r="F872" s="507"/>
      <c r="G872" s="507"/>
      <c r="H872" s="507"/>
      <c r="I872" s="507"/>
      <c r="J872" s="507"/>
      <c r="K872" s="507"/>
      <c r="L872" s="507"/>
      <c r="M872" s="507"/>
      <c r="N872" s="507"/>
      <c r="O872" s="507"/>
      <c r="P872" s="507"/>
      <c r="Q872" s="507"/>
      <c r="R872" s="507"/>
      <c r="S872" s="507"/>
      <c r="T872" s="507"/>
      <c r="U872" s="507"/>
      <c r="V872" s="507"/>
      <c r="W872" s="507"/>
    </row>
    <row r="873" ht="35.25" customHeight="1">
      <c r="A873" s="507"/>
      <c r="B873" s="507"/>
      <c r="C873" s="507"/>
      <c r="D873" s="508"/>
      <c r="E873" s="507"/>
      <c r="F873" s="507"/>
      <c r="G873" s="507"/>
      <c r="H873" s="507"/>
      <c r="I873" s="507"/>
      <c r="J873" s="507"/>
      <c r="K873" s="507"/>
      <c r="L873" s="507"/>
      <c r="M873" s="507"/>
      <c r="N873" s="507"/>
      <c r="O873" s="507"/>
      <c r="P873" s="507"/>
      <c r="Q873" s="507"/>
      <c r="R873" s="507"/>
      <c r="S873" s="507"/>
      <c r="T873" s="507"/>
      <c r="U873" s="507"/>
      <c r="V873" s="507"/>
      <c r="W873" s="507"/>
    </row>
    <row r="874" ht="35.25" customHeight="1">
      <c r="A874" s="507"/>
      <c r="B874" s="507"/>
      <c r="C874" s="507"/>
      <c r="D874" s="508"/>
      <c r="E874" s="507"/>
      <c r="F874" s="507"/>
      <c r="G874" s="507"/>
      <c r="H874" s="507"/>
      <c r="I874" s="507"/>
      <c r="J874" s="507"/>
      <c r="K874" s="507"/>
      <c r="L874" s="507"/>
      <c r="M874" s="507"/>
      <c r="N874" s="507"/>
      <c r="O874" s="507"/>
      <c r="P874" s="507"/>
      <c r="Q874" s="507"/>
      <c r="R874" s="507"/>
      <c r="S874" s="507"/>
      <c r="T874" s="507"/>
      <c r="U874" s="507"/>
      <c r="V874" s="507"/>
      <c r="W874" s="507"/>
    </row>
    <row r="875" ht="35.25" customHeight="1">
      <c r="A875" s="507"/>
      <c r="B875" s="507"/>
      <c r="C875" s="507"/>
      <c r="D875" s="508"/>
      <c r="E875" s="507"/>
      <c r="F875" s="507"/>
      <c r="G875" s="507"/>
      <c r="H875" s="507"/>
      <c r="I875" s="507"/>
      <c r="J875" s="507"/>
      <c r="K875" s="507"/>
      <c r="L875" s="507"/>
      <c r="M875" s="507"/>
      <c r="N875" s="507"/>
      <c r="O875" s="507"/>
      <c r="P875" s="507"/>
      <c r="Q875" s="507"/>
      <c r="R875" s="507"/>
      <c r="S875" s="507"/>
      <c r="T875" s="507"/>
      <c r="U875" s="507"/>
      <c r="V875" s="507"/>
      <c r="W875" s="507"/>
    </row>
    <row r="876" ht="35.25" customHeight="1">
      <c r="A876" s="507"/>
      <c r="B876" s="507"/>
      <c r="C876" s="507"/>
      <c r="D876" s="508"/>
      <c r="E876" s="507"/>
      <c r="F876" s="507"/>
      <c r="G876" s="507"/>
      <c r="H876" s="507"/>
      <c r="I876" s="507"/>
      <c r="J876" s="507"/>
      <c r="K876" s="507"/>
      <c r="L876" s="507"/>
      <c r="M876" s="507"/>
      <c r="N876" s="507"/>
      <c r="O876" s="507"/>
      <c r="P876" s="507"/>
      <c r="Q876" s="507"/>
      <c r="R876" s="507"/>
      <c r="S876" s="507"/>
      <c r="T876" s="507"/>
      <c r="U876" s="507"/>
      <c r="V876" s="507"/>
      <c r="W876" s="507"/>
    </row>
    <row r="877" ht="35.25" customHeight="1">
      <c r="A877" s="507"/>
      <c r="B877" s="507"/>
      <c r="C877" s="507"/>
      <c r="D877" s="508"/>
      <c r="E877" s="507"/>
      <c r="F877" s="507"/>
      <c r="G877" s="507"/>
      <c r="H877" s="507"/>
      <c r="I877" s="507"/>
      <c r="J877" s="507"/>
      <c r="K877" s="507"/>
      <c r="L877" s="507"/>
      <c r="M877" s="507"/>
      <c r="N877" s="507"/>
      <c r="O877" s="507"/>
      <c r="P877" s="507"/>
      <c r="Q877" s="507"/>
      <c r="R877" s="507"/>
      <c r="S877" s="507"/>
      <c r="T877" s="507"/>
      <c r="U877" s="507"/>
      <c r="V877" s="507"/>
      <c r="W877" s="507"/>
    </row>
    <row r="878" ht="35.25" customHeight="1">
      <c r="A878" s="507"/>
      <c r="B878" s="507"/>
      <c r="C878" s="507"/>
      <c r="D878" s="508"/>
      <c r="E878" s="507"/>
      <c r="F878" s="507"/>
      <c r="G878" s="507"/>
      <c r="H878" s="507"/>
      <c r="I878" s="507"/>
      <c r="J878" s="507"/>
      <c r="K878" s="507"/>
      <c r="L878" s="507"/>
      <c r="M878" s="507"/>
      <c r="N878" s="507"/>
      <c r="O878" s="507"/>
      <c r="P878" s="507"/>
      <c r="Q878" s="507"/>
      <c r="R878" s="507"/>
      <c r="S878" s="507"/>
      <c r="T878" s="507"/>
      <c r="U878" s="507"/>
      <c r="V878" s="507"/>
      <c r="W878" s="507"/>
    </row>
    <row r="879" ht="35.25" customHeight="1">
      <c r="A879" s="507"/>
      <c r="B879" s="507"/>
      <c r="C879" s="507"/>
      <c r="D879" s="508"/>
      <c r="E879" s="507"/>
      <c r="F879" s="507"/>
      <c r="G879" s="507"/>
      <c r="H879" s="507"/>
      <c r="I879" s="507"/>
      <c r="J879" s="507"/>
      <c r="K879" s="507"/>
      <c r="L879" s="507"/>
      <c r="M879" s="507"/>
      <c r="N879" s="507"/>
      <c r="O879" s="507"/>
      <c r="P879" s="507"/>
      <c r="Q879" s="507"/>
      <c r="R879" s="507"/>
      <c r="S879" s="507"/>
      <c r="T879" s="507"/>
      <c r="U879" s="507"/>
      <c r="V879" s="507"/>
      <c r="W879" s="507"/>
    </row>
    <row r="880" ht="35.25" customHeight="1">
      <c r="A880" s="507"/>
      <c r="B880" s="507"/>
      <c r="C880" s="507"/>
      <c r="D880" s="508"/>
      <c r="E880" s="507"/>
      <c r="F880" s="507"/>
      <c r="G880" s="507"/>
      <c r="H880" s="507"/>
      <c r="I880" s="507"/>
      <c r="J880" s="507"/>
      <c r="K880" s="507"/>
      <c r="L880" s="507"/>
      <c r="M880" s="507"/>
      <c r="N880" s="507"/>
      <c r="O880" s="507"/>
      <c r="P880" s="507"/>
      <c r="Q880" s="507"/>
      <c r="R880" s="507"/>
      <c r="S880" s="507"/>
      <c r="T880" s="507"/>
      <c r="U880" s="507"/>
      <c r="V880" s="507"/>
      <c r="W880" s="507"/>
    </row>
    <row r="881" ht="35.25" customHeight="1">
      <c r="A881" s="507"/>
      <c r="B881" s="507"/>
      <c r="C881" s="507"/>
      <c r="D881" s="508"/>
      <c r="E881" s="507"/>
      <c r="F881" s="507"/>
      <c r="G881" s="507"/>
      <c r="H881" s="507"/>
      <c r="I881" s="507"/>
      <c r="J881" s="507"/>
      <c r="K881" s="507"/>
      <c r="L881" s="507"/>
      <c r="M881" s="507"/>
      <c r="N881" s="507"/>
      <c r="O881" s="507"/>
      <c r="P881" s="507"/>
      <c r="Q881" s="507"/>
      <c r="R881" s="507"/>
      <c r="S881" s="507"/>
      <c r="T881" s="507"/>
      <c r="U881" s="507"/>
      <c r="V881" s="507"/>
      <c r="W881" s="507"/>
    </row>
    <row r="882" ht="35.25" customHeight="1">
      <c r="A882" s="507"/>
      <c r="B882" s="507"/>
      <c r="C882" s="507"/>
      <c r="D882" s="508"/>
      <c r="E882" s="507"/>
      <c r="F882" s="507"/>
      <c r="G882" s="507"/>
      <c r="H882" s="507"/>
      <c r="I882" s="507"/>
      <c r="J882" s="507"/>
      <c r="K882" s="507"/>
      <c r="L882" s="507"/>
      <c r="M882" s="507"/>
      <c r="N882" s="507"/>
      <c r="O882" s="507"/>
      <c r="P882" s="507"/>
      <c r="Q882" s="507"/>
      <c r="R882" s="507"/>
      <c r="S882" s="507"/>
      <c r="T882" s="507"/>
      <c r="U882" s="507"/>
      <c r="V882" s="507"/>
      <c r="W882" s="507"/>
    </row>
    <row r="883" ht="35.25" customHeight="1">
      <c r="A883" s="507"/>
      <c r="B883" s="507"/>
      <c r="C883" s="507"/>
      <c r="D883" s="508"/>
      <c r="E883" s="507"/>
      <c r="F883" s="507"/>
      <c r="G883" s="507"/>
      <c r="H883" s="507"/>
      <c r="I883" s="507"/>
      <c r="J883" s="507"/>
      <c r="K883" s="507"/>
      <c r="L883" s="507"/>
      <c r="M883" s="507"/>
      <c r="N883" s="507"/>
      <c r="O883" s="507"/>
      <c r="P883" s="507"/>
      <c r="Q883" s="507"/>
      <c r="R883" s="507"/>
      <c r="S883" s="507"/>
      <c r="T883" s="507"/>
      <c r="U883" s="507"/>
      <c r="V883" s="507"/>
      <c r="W883" s="507"/>
    </row>
    <row r="884" ht="35.25" customHeight="1">
      <c r="A884" s="507"/>
      <c r="B884" s="507"/>
      <c r="C884" s="507"/>
      <c r="D884" s="508"/>
      <c r="E884" s="507"/>
      <c r="F884" s="507"/>
      <c r="G884" s="507"/>
      <c r="H884" s="507"/>
      <c r="I884" s="507"/>
      <c r="J884" s="507"/>
      <c r="K884" s="507"/>
      <c r="L884" s="507"/>
      <c r="M884" s="507"/>
      <c r="N884" s="507"/>
      <c r="O884" s="507"/>
      <c r="P884" s="507"/>
      <c r="Q884" s="507"/>
      <c r="R884" s="507"/>
      <c r="S884" s="507"/>
      <c r="T884" s="507"/>
      <c r="U884" s="507"/>
      <c r="V884" s="507"/>
      <c r="W884" s="507"/>
    </row>
    <row r="885" ht="35.25" customHeight="1">
      <c r="A885" s="507"/>
      <c r="B885" s="507"/>
      <c r="C885" s="507"/>
      <c r="D885" s="508"/>
      <c r="E885" s="507"/>
      <c r="F885" s="507"/>
      <c r="G885" s="507"/>
      <c r="H885" s="507"/>
      <c r="I885" s="507"/>
      <c r="J885" s="507"/>
      <c r="K885" s="507"/>
      <c r="L885" s="507"/>
      <c r="M885" s="507"/>
      <c r="N885" s="507"/>
      <c r="O885" s="507"/>
      <c r="P885" s="507"/>
      <c r="Q885" s="507"/>
      <c r="R885" s="507"/>
      <c r="S885" s="507"/>
      <c r="T885" s="507"/>
      <c r="U885" s="507"/>
      <c r="V885" s="507"/>
      <c r="W885" s="507"/>
    </row>
    <row r="886" ht="35.25" customHeight="1">
      <c r="A886" s="507"/>
      <c r="B886" s="507"/>
      <c r="C886" s="507"/>
      <c r="D886" s="508"/>
      <c r="E886" s="507"/>
      <c r="F886" s="507"/>
      <c r="G886" s="507"/>
      <c r="H886" s="507"/>
      <c r="I886" s="507"/>
      <c r="J886" s="507"/>
      <c r="K886" s="507"/>
      <c r="L886" s="507"/>
      <c r="M886" s="507"/>
      <c r="N886" s="507"/>
      <c r="O886" s="507"/>
      <c r="P886" s="507"/>
      <c r="Q886" s="507"/>
      <c r="R886" s="507"/>
      <c r="S886" s="507"/>
      <c r="T886" s="507"/>
      <c r="U886" s="507"/>
      <c r="V886" s="507"/>
      <c r="W886" s="507"/>
    </row>
    <row r="887" ht="35.25" customHeight="1">
      <c r="A887" s="507"/>
      <c r="B887" s="507"/>
      <c r="C887" s="507"/>
      <c r="D887" s="508"/>
      <c r="E887" s="507"/>
      <c r="F887" s="507"/>
      <c r="G887" s="507"/>
      <c r="H887" s="507"/>
      <c r="I887" s="507"/>
      <c r="J887" s="507"/>
      <c r="K887" s="507"/>
      <c r="L887" s="507"/>
      <c r="M887" s="507"/>
      <c r="N887" s="507"/>
      <c r="O887" s="507"/>
      <c r="P887" s="507"/>
      <c r="Q887" s="507"/>
      <c r="R887" s="507"/>
      <c r="S887" s="507"/>
      <c r="T887" s="507"/>
      <c r="U887" s="507"/>
      <c r="V887" s="507"/>
      <c r="W887" s="507"/>
    </row>
    <row r="888" ht="35.25" customHeight="1">
      <c r="A888" s="507"/>
      <c r="B888" s="507"/>
      <c r="C888" s="507"/>
      <c r="D888" s="508"/>
      <c r="E888" s="507"/>
      <c r="F888" s="507"/>
      <c r="G888" s="507"/>
      <c r="H888" s="507"/>
      <c r="I888" s="507"/>
      <c r="J888" s="507"/>
      <c r="K888" s="507"/>
      <c r="L888" s="507"/>
      <c r="M888" s="507"/>
      <c r="N888" s="507"/>
      <c r="O888" s="507"/>
      <c r="P888" s="507"/>
      <c r="Q888" s="507"/>
      <c r="R888" s="507"/>
      <c r="S888" s="507"/>
      <c r="T888" s="507"/>
      <c r="U888" s="507"/>
      <c r="V888" s="507"/>
      <c r="W888" s="507"/>
    </row>
    <row r="889" ht="35.25" customHeight="1">
      <c r="A889" s="507"/>
      <c r="B889" s="507"/>
      <c r="C889" s="507"/>
      <c r="D889" s="508"/>
      <c r="E889" s="507"/>
      <c r="F889" s="507"/>
      <c r="G889" s="507"/>
      <c r="H889" s="507"/>
      <c r="I889" s="507"/>
      <c r="J889" s="507"/>
      <c r="K889" s="507"/>
      <c r="L889" s="507"/>
      <c r="M889" s="507"/>
      <c r="N889" s="507"/>
      <c r="O889" s="507"/>
      <c r="P889" s="507"/>
      <c r="Q889" s="507"/>
      <c r="R889" s="507"/>
      <c r="S889" s="507"/>
      <c r="T889" s="507"/>
      <c r="U889" s="507"/>
      <c r="V889" s="507"/>
      <c r="W889" s="507"/>
    </row>
    <row r="890" ht="35.25" customHeight="1">
      <c r="A890" s="507"/>
      <c r="B890" s="507"/>
      <c r="C890" s="507"/>
      <c r="D890" s="508"/>
      <c r="E890" s="507"/>
      <c r="F890" s="507"/>
      <c r="G890" s="507"/>
      <c r="H890" s="507"/>
      <c r="I890" s="507"/>
      <c r="J890" s="507"/>
      <c r="K890" s="507"/>
      <c r="L890" s="507"/>
      <c r="M890" s="507"/>
      <c r="N890" s="507"/>
      <c r="O890" s="507"/>
      <c r="P890" s="507"/>
      <c r="Q890" s="507"/>
      <c r="R890" s="507"/>
      <c r="S890" s="507"/>
      <c r="T890" s="507"/>
      <c r="U890" s="507"/>
      <c r="V890" s="507"/>
      <c r="W890" s="507"/>
    </row>
    <row r="891" ht="35.25" customHeight="1">
      <c r="A891" s="507"/>
      <c r="B891" s="507"/>
      <c r="C891" s="507"/>
      <c r="D891" s="508"/>
      <c r="E891" s="507"/>
      <c r="F891" s="507"/>
      <c r="G891" s="507"/>
      <c r="H891" s="507"/>
      <c r="I891" s="507"/>
      <c r="J891" s="507"/>
      <c r="K891" s="507"/>
      <c r="L891" s="507"/>
      <c r="M891" s="507"/>
      <c r="N891" s="507"/>
      <c r="O891" s="507"/>
      <c r="P891" s="507"/>
      <c r="Q891" s="507"/>
      <c r="R891" s="507"/>
      <c r="S891" s="507"/>
      <c r="T891" s="507"/>
      <c r="U891" s="507"/>
      <c r="V891" s="507"/>
      <c r="W891" s="507"/>
    </row>
    <row r="892" ht="35.25" customHeight="1">
      <c r="A892" s="507"/>
      <c r="B892" s="507"/>
      <c r="C892" s="507"/>
      <c r="D892" s="508"/>
      <c r="E892" s="507"/>
      <c r="F892" s="507"/>
      <c r="G892" s="507"/>
      <c r="H892" s="507"/>
      <c r="I892" s="507"/>
      <c r="J892" s="507"/>
      <c r="K892" s="507"/>
      <c r="L892" s="507"/>
      <c r="M892" s="507"/>
      <c r="N892" s="507"/>
      <c r="O892" s="507"/>
      <c r="P892" s="507"/>
      <c r="Q892" s="507"/>
      <c r="R892" s="507"/>
      <c r="S892" s="507"/>
      <c r="T892" s="507"/>
      <c r="U892" s="507"/>
      <c r="V892" s="507"/>
      <c r="W892" s="507"/>
    </row>
    <row r="893" ht="35.25" customHeight="1">
      <c r="A893" s="507"/>
      <c r="B893" s="507"/>
      <c r="C893" s="507"/>
      <c r="D893" s="508"/>
      <c r="E893" s="507"/>
      <c r="F893" s="507"/>
      <c r="G893" s="507"/>
      <c r="H893" s="507"/>
      <c r="I893" s="507"/>
      <c r="J893" s="507"/>
      <c r="K893" s="507"/>
      <c r="L893" s="507"/>
      <c r="M893" s="507"/>
      <c r="N893" s="507"/>
      <c r="O893" s="507"/>
      <c r="P893" s="507"/>
      <c r="Q893" s="507"/>
      <c r="R893" s="507"/>
      <c r="S893" s="507"/>
      <c r="T893" s="507"/>
      <c r="U893" s="507"/>
      <c r="V893" s="507"/>
      <c r="W893" s="507"/>
    </row>
    <row r="894" ht="35.25" customHeight="1">
      <c r="A894" s="507"/>
      <c r="B894" s="507"/>
      <c r="C894" s="507"/>
      <c r="D894" s="508"/>
      <c r="E894" s="507"/>
      <c r="F894" s="507"/>
      <c r="G894" s="507"/>
      <c r="H894" s="507"/>
      <c r="I894" s="507"/>
      <c r="J894" s="507"/>
      <c r="K894" s="507"/>
      <c r="L894" s="507"/>
      <c r="M894" s="507"/>
      <c r="N894" s="507"/>
      <c r="O894" s="507"/>
      <c r="P894" s="507"/>
      <c r="Q894" s="507"/>
      <c r="R894" s="507"/>
      <c r="S894" s="507"/>
      <c r="T894" s="507"/>
      <c r="U894" s="507"/>
      <c r="V894" s="507"/>
      <c r="W894" s="507"/>
    </row>
    <row r="895" ht="35.25" customHeight="1">
      <c r="A895" s="507"/>
      <c r="B895" s="507"/>
      <c r="C895" s="507"/>
      <c r="D895" s="508"/>
      <c r="E895" s="507"/>
      <c r="F895" s="507"/>
      <c r="G895" s="507"/>
      <c r="H895" s="507"/>
      <c r="I895" s="507"/>
      <c r="J895" s="507"/>
      <c r="K895" s="507"/>
      <c r="L895" s="507"/>
      <c r="M895" s="507"/>
      <c r="N895" s="507"/>
      <c r="O895" s="507"/>
      <c r="P895" s="507"/>
      <c r="Q895" s="507"/>
      <c r="R895" s="507"/>
      <c r="S895" s="507"/>
      <c r="T895" s="507"/>
      <c r="U895" s="507"/>
      <c r="V895" s="507"/>
      <c r="W895" s="507"/>
    </row>
    <row r="896" ht="35.25" customHeight="1">
      <c r="A896" s="507"/>
      <c r="B896" s="507"/>
      <c r="C896" s="507"/>
      <c r="D896" s="508"/>
      <c r="E896" s="507"/>
      <c r="F896" s="507"/>
      <c r="G896" s="507"/>
      <c r="H896" s="507"/>
      <c r="I896" s="507"/>
      <c r="J896" s="507"/>
      <c r="K896" s="507"/>
      <c r="L896" s="507"/>
      <c r="M896" s="507"/>
      <c r="N896" s="507"/>
      <c r="O896" s="507"/>
      <c r="P896" s="507"/>
      <c r="Q896" s="507"/>
      <c r="R896" s="507"/>
      <c r="S896" s="507"/>
      <c r="T896" s="507"/>
      <c r="U896" s="507"/>
      <c r="V896" s="507"/>
      <c r="W896" s="507"/>
    </row>
    <row r="897" ht="35.25" customHeight="1">
      <c r="A897" s="507"/>
      <c r="B897" s="507"/>
      <c r="C897" s="507"/>
      <c r="D897" s="508"/>
      <c r="E897" s="507"/>
      <c r="F897" s="507"/>
      <c r="G897" s="507"/>
      <c r="H897" s="507"/>
      <c r="I897" s="507"/>
      <c r="J897" s="507"/>
      <c r="K897" s="507"/>
      <c r="L897" s="507"/>
      <c r="M897" s="507"/>
      <c r="N897" s="507"/>
      <c r="O897" s="507"/>
      <c r="P897" s="507"/>
      <c r="Q897" s="507"/>
      <c r="R897" s="507"/>
      <c r="S897" s="507"/>
      <c r="T897" s="507"/>
      <c r="U897" s="507"/>
      <c r="V897" s="507"/>
      <c r="W897" s="507"/>
    </row>
    <row r="898" ht="35.25" customHeight="1">
      <c r="A898" s="507"/>
      <c r="B898" s="507"/>
      <c r="C898" s="507"/>
      <c r="D898" s="508"/>
      <c r="E898" s="507"/>
      <c r="F898" s="507"/>
      <c r="G898" s="507"/>
      <c r="H898" s="507"/>
      <c r="I898" s="507"/>
      <c r="J898" s="507"/>
      <c r="K898" s="507"/>
      <c r="L898" s="507"/>
      <c r="M898" s="507"/>
      <c r="N898" s="507"/>
      <c r="O898" s="507"/>
      <c r="P898" s="507"/>
      <c r="Q898" s="507"/>
      <c r="R898" s="507"/>
      <c r="S898" s="507"/>
      <c r="T898" s="507"/>
      <c r="U898" s="507"/>
      <c r="V898" s="507"/>
      <c r="W898" s="507"/>
    </row>
    <row r="899" ht="35.25" customHeight="1">
      <c r="A899" s="507"/>
      <c r="B899" s="507"/>
      <c r="C899" s="507"/>
      <c r="D899" s="508"/>
      <c r="E899" s="507"/>
      <c r="F899" s="507"/>
      <c r="G899" s="507"/>
      <c r="H899" s="507"/>
      <c r="I899" s="507"/>
      <c r="J899" s="507"/>
      <c r="K899" s="507"/>
      <c r="L899" s="507"/>
      <c r="M899" s="507"/>
      <c r="N899" s="507"/>
      <c r="O899" s="507"/>
      <c r="P899" s="507"/>
      <c r="Q899" s="507"/>
      <c r="R899" s="507"/>
      <c r="S899" s="507"/>
      <c r="T899" s="507"/>
      <c r="U899" s="507"/>
      <c r="V899" s="507"/>
      <c r="W899" s="507"/>
    </row>
    <row r="900" ht="35.25" customHeight="1">
      <c r="A900" s="507"/>
      <c r="B900" s="507"/>
      <c r="C900" s="507"/>
      <c r="D900" s="508"/>
      <c r="E900" s="507"/>
      <c r="F900" s="507"/>
      <c r="G900" s="507"/>
      <c r="H900" s="507"/>
      <c r="I900" s="507"/>
      <c r="J900" s="507"/>
      <c r="K900" s="507"/>
      <c r="L900" s="507"/>
      <c r="M900" s="507"/>
      <c r="N900" s="507"/>
      <c r="O900" s="507"/>
      <c r="P900" s="507"/>
      <c r="Q900" s="507"/>
      <c r="R900" s="507"/>
      <c r="S900" s="507"/>
      <c r="T900" s="507"/>
      <c r="U900" s="507"/>
      <c r="V900" s="507"/>
      <c r="W900" s="507"/>
    </row>
    <row r="901" ht="35.25" customHeight="1">
      <c r="A901" s="507"/>
      <c r="B901" s="507"/>
      <c r="C901" s="507"/>
      <c r="D901" s="508"/>
      <c r="E901" s="507"/>
      <c r="F901" s="507"/>
      <c r="G901" s="507"/>
      <c r="H901" s="507"/>
      <c r="I901" s="507"/>
      <c r="J901" s="507"/>
      <c r="K901" s="507"/>
      <c r="L901" s="507"/>
      <c r="M901" s="507"/>
      <c r="N901" s="507"/>
      <c r="O901" s="507"/>
      <c r="P901" s="507"/>
      <c r="Q901" s="507"/>
      <c r="R901" s="507"/>
      <c r="S901" s="507"/>
      <c r="T901" s="507"/>
      <c r="U901" s="507"/>
      <c r="V901" s="507"/>
      <c r="W901" s="507"/>
    </row>
    <row r="902" ht="35.25" customHeight="1">
      <c r="A902" s="507"/>
      <c r="B902" s="507"/>
      <c r="C902" s="507"/>
      <c r="D902" s="508"/>
      <c r="E902" s="507"/>
      <c r="F902" s="507"/>
      <c r="G902" s="507"/>
      <c r="H902" s="507"/>
      <c r="I902" s="507"/>
      <c r="J902" s="507"/>
      <c r="K902" s="507"/>
      <c r="L902" s="507"/>
      <c r="M902" s="507"/>
      <c r="N902" s="507"/>
      <c r="O902" s="507"/>
      <c r="P902" s="507"/>
      <c r="Q902" s="507"/>
      <c r="R902" s="507"/>
      <c r="S902" s="507"/>
      <c r="T902" s="507"/>
      <c r="U902" s="507"/>
      <c r="V902" s="507"/>
      <c r="W902" s="507"/>
    </row>
    <row r="903" ht="35.25" customHeight="1">
      <c r="A903" s="507"/>
      <c r="B903" s="507"/>
      <c r="C903" s="507"/>
      <c r="D903" s="508"/>
      <c r="E903" s="507"/>
      <c r="F903" s="507"/>
      <c r="G903" s="507"/>
      <c r="H903" s="507"/>
      <c r="I903" s="507"/>
      <c r="J903" s="507"/>
      <c r="K903" s="507"/>
      <c r="L903" s="507"/>
      <c r="M903" s="507"/>
      <c r="N903" s="507"/>
      <c r="O903" s="507"/>
      <c r="P903" s="507"/>
      <c r="Q903" s="507"/>
      <c r="R903" s="507"/>
      <c r="S903" s="507"/>
      <c r="T903" s="507"/>
      <c r="U903" s="507"/>
      <c r="V903" s="507"/>
      <c r="W903" s="507"/>
    </row>
    <row r="904" ht="35.25" customHeight="1">
      <c r="A904" s="507"/>
      <c r="B904" s="507"/>
      <c r="C904" s="507"/>
      <c r="D904" s="508"/>
      <c r="E904" s="507"/>
      <c r="F904" s="507"/>
      <c r="G904" s="507"/>
      <c r="H904" s="507"/>
      <c r="I904" s="507"/>
      <c r="J904" s="507"/>
      <c r="K904" s="507"/>
      <c r="L904" s="507"/>
      <c r="M904" s="507"/>
      <c r="N904" s="507"/>
      <c r="O904" s="507"/>
      <c r="P904" s="507"/>
      <c r="Q904" s="507"/>
      <c r="R904" s="507"/>
      <c r="S904" s="507"/>
      <c r="T904" s="507"/>
      <c r="U904" s="507"/>
      <c r="V904" s="507"/>
      <c r="W904" s="507"/>
    </row>
    <row r="905" ht="35.25" customHeight="1">
      <c r="A905" s="507"/>
      <c r="B905" s="507"/>
      <c r="C905" s="507"/>
      <c r="D905" s="508"/>
      <c r="E905" s="507"/>
      <c r="F905" s="507"/>
      <c r="G905" s="507"/>
      <c r="H905" s="507"/>
      <c r="I905" s="507"/>
      <c r="J905" s="507"/>
      <c r="K905" s="507"/>
      <c r="L905" s="507"/>
      <c r="M905" s="507"/>
      <c r="N905" s="507"/>
      <c r="O905" s="507"/>
      <c r="P905" s="507"/>
      <c r="Q905" s="507"/>
      <c r="R905" s="507"/>
      <c r="S905" s="507"/>
      <c r="T905" s="507"/>
      <c r="U905" s="507"/>
      <c r="V905" s="507"/>
      <c r="W905" s="507"/>
    </row>
    <row r="906" ht="35.25" customHeight="1">
      <c r="A906" s="507"/>
      <c r="B906" s="507"/>
      <c r="C906" s="507"/>
      <c r="D906" s="508"/>
      <c r="E906" s="507"/>
      <c r="F906" s="507"/>
      <c r="G906" s="507"/>
      <c r="H906" s="507"/>
      <c r="I906" s="507"/>
      <c r="J906" s="507"/>
      <c r="K906" s="507"/>
      <c r="L906" s="507"/>
      <c r="M906" s="507"/>
      <c r="N906" s="507"/>
      <c r="O906" s="507"/>
      <c r="P906" s="507"/>
      <c r="Q906" s="507"/>
      <c r="R906" s="507"/>
      <c r="S906" s="507"/>
      <c r="T906" s="507"/>
      <c r="U906" s="507"/>
      <c r="V906" s="507"/>
      <c r="W906" s="507"/>
    </row>
    <row r="907" ht="35.25" customHeight="1">
      <c r="A907" s="507"/>
      <c r="B907" s="507"/>
      <c r="C907" s="507"/>
      <c r="D907" s="508"/>
      <c r="E907" s="507"/>
      <c r="F907" s="507"/>
      <c r="G907" s="507"/>
      <c r="H907" s="507"/>
      <c r="I907" s="507"/>
      <c r="J907" s="507"/>
      <c r="K907" s="507"/>
      <c r="L907" s="507"/>
      <c r="M907" s="507"/>
      <c r="N907" s="507"/>
      <c r="O907" s="507"/>
      <c r="P907" s="507"/>
      <c r="Q907" s="507"/>
      <c r="R907" s="507"/>
      <c r="S907" s="507"/>
      <c r="T907" s="507"/>
      <c r="U907" s="507"/>
      <c r="V907" s="507"/>
      <c r="W907" s="507"/>
    </row>
    <row r="908" ht="35.25" customHeight="1">
      <c r="A908" s="507"/>
      <c r="B908" s="507"/>
      <c r="C908" s="507"/>
      <c r="D908" s="508"/>
      <c r="E908" s="507"/>
      <c r="F908" s="507"/>
      <c r="G908" s="507"/>
      <c r="H908" s="507"/>
      <c r="I908" s="507"/>
      <c r="J908" s="507"/>
      <c r="K908" s="507"/>
      <c r="L908" s="507"/>
      <c r="M908" s="507"/>
      <c r="N908" s="507"/>
      <c r="O908" s="507"/>
      <c r="P908" s="507"/>
      <c r="Q908" s="507"/>
      <c r="R908" s="507"/>
      <c r="S908" s="507"/>
      <c r="T908" s="507"/>
      <c r="U908" s="507"/>
      <c r="V908" s="507"/>
      <c r="W908" s="507"/>
    </row>
    <row r="909" ht="35.25" customHeight="1">
      <c r="A909" s="507"/>
      <c r="B909" s="507"/>
      <c r="C909" s="507"/>
      <c r="D909" s="508"/>
      <c r="E909" s="507"/>
      <c r="F909" s="507"/>
      <c r="G909" s="507"/>
      <c r="H909" s="507"/>
      <c r="I909" s="507"/>
      <c r="J909" s="507"/>
      <c r="K909" s="507"/>
      <c r="L909" s="507"/>
      <c r="M909" s="507"/>
      <c r="N909" s="507"/>
      <c r="O909" s="507"/>
      <c r="P909" s="507"/>
      <c r="Q909" s="507"/>
      <c r="R909" s="507"/>
      <c r="S909" s="507"/>
      <c r="T909" s="507"/>
      <c r="U909" s="507"/>
      <c r="V909" s="507"/>
      <c r="W909" s="507"/>
    </row>
    <row r="910" ht="35.25" customHeight="1">
      <c r="A910" s="507"/>
      <c r="B910" s="507"/>
      <c r="C910" s="507"/>
      <c r="D910" s="508"/>
      <c r="E910" s="507"/>
      <c r="F910" s="507"/>
      <c r="G910" s="507"/>
      <c r="H910" s="507"/>
      <c r="I910" s="507"/>
      <c r="J910" s="507"/>
      <c r="K910" s="507"/>
      <c r="L910" s="507"/>
      <c r="M910" s="507"/>
      <c r="N910" s="507"/>
      <c r="O910" s="507"/>
      <c r="P910" s="507"/>
      <c r="Q910" s="507"/>
      <c r="R910" s="507"/>
      <c r="S910" s="507"/>
      <c r="T910" s="507"/>
      <c r="U910" s="507"/>
      <c r="V910" s="507"/>
      <c r="W910" s="507"/>
    </row>
    <row r="911" ht="35.25" customHeight="1">
      <c r="A911" s="507"/>
      <c r="B911" s="507"/>
      <c r="C911" s="507"/>
      <c r="D911" s="508"/>
      <c r="E911" s="507"/>
      <c r="F911" s="507"/>
      <c r="G911" s="507"/>
      <c r="H911" s="507"/>
      <c r="I911" s="507"/>
      <c r="J911" s="507"/>
      <c r="K911" s="507"/>
      <c r="L911" s="507"/>
      <c r="M911" s="507"/>
      <c r="N911" s="507"/>
      <c r="O911" s="507"/>
      <c r="P911" s="507"/>
      <c r="Q911" s="507"/>
      <c r="R911" s="507"/>
      <c r="S911" s="507"/>
      <c r="T911" s="507"/>
      <c r="U911" s="507"/>
      <c r="V911" s="507"/>
      <c r="W911" s="507"/>
    </row>
    <row r="912" ht="35.25" customHeight="1">
      <c r="A912" s="507"/>
      <c r="B912" s="507"/>
      <c r="C912" s="507"/>
      <c r="D912" s="508"/>
      <c r="E912" s="507"/>
      <c r="F912" s="507"/>
      <c r="G912" s="507"/>
      <c r="H912" s="507"/>
      <c r="I912" s="507"/>
      <c r="J912" s="507"/>
      <c r="K912" s="507"/>
      <c r="L912" s="507"/>
      <c r="M912" s="507"/>
      <c r="N912" s="507"/>
      <c r="O912" s="507"/>
      <c r="P912" s="507"/>
      <c r="Q912" s="507"/>
      <c r="R912" s="507"/>
      <c r="S912" s="507"/>
      <c r="T912" s="507"/>
      <c r="U912" s="507"/>
      <c r="V912" s="507"/>
      <c r="W912" s="507"/>
    </row>
    <row r="913" ht="35.25" customHeight="1">
      <c r="A913" s="507"/>
      <c r="B913" s="507"/>
      <c r="C913" s="507"/>
      <c r="D913" s="508"/>
      <c r="E913" s="507"/>
      <c r="F913" s="507"/>
      <c r="G913" s="507"/>
      <c r="H913" s="507"/>
      <c r="I913" s="507"/>
      <c r="J913" s="507"/>
      <c r="K913" s="507"/>
      <c r="L913" s="507"/>
      <c r="M913" s="507"/>
      <c r="N913" s="507"/>
      <c r="O913" s="507"/>
      <c r="P913" s="507"/>
      <c r="Q913" s="507"/>
      <c r="R913" s="507"/>
      <c r="S913" s="507"/>
      <c r="T913" s="507"/>
      <c r="U913" s="507"/>
      <c r="V913" s="507"/>
      <c r="W913" s="507"/>
    </row>
    <row r="914" ht="35.25" customHeight="1">
      <c r="A914" s="507"/>
      <c r="B914" s="507"/>
      <c r="C914" s="507"/>
      <c r="D914" s="508"/>
      <c r="E914" s="507"/>
      <c r="F914" s="507"/>
      <c r="G914" s="507"/>
      <c r="H914" s="507"/>
      <c r="I914" s="507"/>
      <c r="J914" s="507"/>
      <c r="K914" s="507"/>
      <c r="L914" s="507"/>
      <c r="M914" s="507"/>
      <c r="N914" s="507"/>
      <c r="O914" s="507"/>
      <c r="P914" s="507"/>
      <c r="Q914" s="507"/>
      <c r="R914" s="507"/>
      <c r="S914" s="507"/>
      <c r="T914" s="507"/>
      <c r="U914" s="507"/>
      <c r="V914" s="507"/>
      <c r="W914" s="507"/>
    </row>
    <row r="915" ht="35.25" customHeight="1">
      <c r="A915" s="507"/>
      <c r="B915" s="507"/>
      <c r="C915" s="507"/>
      <c r="D915" s="508"/>
      <c r="E915" s="507"/>
      <c r="F915" s="507"/>
      <c r="G915" s="507"/>
      <c r="H915" s="507"/>
      <c r="I915" s="507"/>
      <c r="J915" s="507"/>
      <c r="K915" s="507"/>
      <c r="L915" s="507"/>
      <c r="M915" s="507"/>
      <c r="N915" s="507"/>
      <c r="O915" s="507"/>
      <c r="P915" s="507"/>
      <c r="Q915" s="507"/>
      <c r="R915" s="507"/>
      <c r="S915" s="507"/>
      <c r="T915" s="507"/>
      <c r="U915" s="507"/>
      <c r="V915" s="507"/>
      <c r="W915" s="507"/>
    </row>
    <row r="916" ht="35.25" customHeight="1">
      <c r="A916" s="507"/>
      <c r="B916" s="507"/>
      <c r="C916" s="507"/>
      <c r="D916" s="508"/>
      <c r="E916" s="507"/>
      <c r="F916" s="507"/>
      <c r="G916" s="507"/>
      <c r="H916" s="507"/>
      <c r="I916" s="507"/>
      <c r="J916" s="507"/>
      <c r="K916" s="507"/>
      <c r="L916" s="507"/>
      <c r="M916" s="507"/>
      <c r="N916" s="507"/>
      <c r="O916" s="507"/>
      <c r="P916" s="507"/>
      <c r="Q916" s="507"/>
      <c r="R916" s="507"/>
      <c r="S916" s="507"/>
      <c r="T916" s="507"/>
      <c r="U916" s="507"/>
      <c r="V916" s="507"/>
      <c r="W916" s="507"/>
    </row>
    <row r="917" ht="35.25" customHeight="1">
      <c r="A917" s="507"/>
      <c r="B917" s="507"/>
      <c r="C917" s="507"/>
      <c r="D917" s="508"/>
      <c r="E917" s="507"/>
      <c r="F917" s="507"/>
      <c r="G917" s="507"/>
      <c r="H917" s="507"/>
      <c r="I917" s="507"/>
      <c r="J917" s="507"/>
      <c r="K917" s="507"/>
      <c r="L917" s="507"/>
      <c r="M917" s="507"/>
      <c r="N917" s="507"/>
      <c r="O917" s="507"/>
      <c r="P917" s="507"/>
      <c r="Q917" s="507"/>
      <c r="R917" s="507"/>
      <c r="S917" s="507"/>
      <c r="T917" s="507"/>
      <c r="U917" s="507"/>
      <c r="V917" s="507"/>
      <c r="W917" s="507"/>
    </row>
    <row r="918" ht="35.25" customHeight="1">
      <c r="A918" s="507"/>
      <c r="B918" s="507"/>
      <c r="C918" s="507"/>
      <c r="D918" s="508"/>
      <c r="E918" s="507"/>
      <c r="F918" s="507"/>
      <c r="G918" s="507"/>
      <c r="H918" s="507"/>
      <c r="I918" s="507"/>
      <c r="J918" s="507"/>
      <c r="K918" s="507"/>
      <c r="L918" s="507"/>
      <c r="M918" s="507"/>
      <c r="N918" s="507"/>
      <c r="O918" s="507"/>
      <c r="P918" s="507"/>
      <c r="Q918" s="507"/>
      <c r="R918" s="507"/>
      <c r="S918" s="507"/>
      <c r="T918" s="507"/>
      <c r="U918" s="507"/>
      <c r="V918" s="507"/>
      <c r="W918" s="507"/>
    </row>
    <row r="919" ht="35.25" customHeight="1">
      <c r="A919" s="507"/>
      <c r="B919" s="507"/>
      <c r="C919" s="507"/>
      <c r="D919" s="508"/>
      <c r="E919" s="507"/>
      <c r="F919" s="507"/>
      <c r="G919" s="507"/>
      <c r="H919" s="507"/>
      <c r="I919" s="507"/>
      <c r="J919" s="507"/>
      <c r="K919" s="507"/>
      <c r="L919" s="507"/>
      <c r="M919" s="507"/>
      <c r="N919" s="507"/>
      <c r="O919" s="507"/>
      <c r="P919" s="507"/>
      <c r="Q919" s="507"/>
      <c r="R919" s="507"/>
      <c r="S919" s="507"/>
      <c r="T919" s="507"/>
      <c r="U919" s="507"/>
      <c r="V919" s="507"/>
      <c r="W919" s="507"/>
    </row>
    <row r="920" ht="35.25" customHeight="1">
      <c r="A920" s="507"/>
      <c r="B920" s="507"/>
      <c r="C920" s="507"/>
      <c r="D920" s="508"/>
      <c r="E920" s="507"/>
      <c r="F920" s="507"/>
      <c r="G920" s="507"/>
      <c r="H920" s="507"/>
      <c r="I920" s="507"/>
      <c r="J920" s="507"/>
      <c r="K920" s="507"/>
      <c r="L920" s="507"/>
      <c r="M920" s="507"/>
      <c r="N920" s="507"/>
      <c r="O920" s="507"/>
      <c r="P920" s="507"/>
      <c r="Q920" s="507"/>
      <c r="R920" s="507"/>
      <c r="S920" s="507"/>
      <c r="T920" s="507"/>
      <c r="U920" s="507"/>
      <c r="V920" s="507"/>
      <c r="W920" s="507"/>
    </row>
    <row r="921" ht="35.25" customHeight="1">
      <c r="A921" s="507"/>
      <c r="B921" s="507"/>
      <c r="C921" s="507"/>
      <c r="D921" s="508"/>
      <c r="E921" s="507"/>
      <c r="F921" s="507"/>
      <c r="G921" s="507"/>
      <c r="H921" s="507"/>
      <c r="I921" s="507"/>
      <c r="J921" s="507"/>
      <c r="K921" s="507"/>
      <c r="L921" s="507"/>
      <c r="M921" s="507"/>
      <c r="N921" s="507"/>
      <c r="O921" s="507"/>
      <c r="P921" s="507"/>
      <c r="Q921" s="507"/>
      <c r="R921" s="507"/>
      <c r="S921" s="507"/>
      <c r="T921" s="507"/>
      <c r="U921" s="507"/>
      <c r="V921" s="507"/>
      <c r="W921" s="507"/>
    </row>
    <row r="922" ht="35.25" customHeight="1">
      <c r="A922" s="507"/>
      <c r="B922" s="507"/>
      <c r="C922" s="507"/>
      <c r="D922" s="508"/>
      <c r="E922" s="507"/>
      <c r="F922" s="507"/>
      <c r="G922" s="507"/>
      <c r="H922" s="507"/>
      <c r="I922" s="507"/>
      <c r="J922" s="507"/>
      <c r="K922" s="507"/>
      <c r="L922" s="507"/>
      <c r="M922" s="507"/>
      <c r="N922" s="507"/>
      <c r="O922" s="507"/>
      <c r="P922" s="507"/>
      <c r="Q922" s="507"/>
      <c r="R922" s="507"/>
      <c r="S922" s="507"/>
      <c r="T922" s="507"/>
      <c r="U922" s="507"/>
      <c r="V922" s="507"/>
      <c r="W922" s="507"/>
    </row>
    <row r="923" ht="35.25" customHeight="1">
      <c r="A923" s="507"/>
      <c r="B923" s="507"/>
      <c r="C923" s="507"/>
      <c r="D923" s="508"/>
      <c r="E923" s="507"/>
      <c r="F923" s="507"/>
      <c r="G923" s="507"/>
      <c r="H923" s="507"/>
      <c r="I923" s="507"/>
      <c r="J923" s="507"/>
      <c r="K923" s="507"/>
      <c r="L923" s="507"/>
      <c r="M923" s="507"/>
      <c r="N923" s="507"/>
      <c r="O923" s="507"/>
      <c r="P923" s="507"/>
      <c r="Q923" s="507"/>
      <c r="R923" s="507"/>
      <c r="S923" s="507"/>
      <c r="T923" s="507"/>
      <c r="U923" s="507"/>
      <c r="V923" s="507"/>
      <c r="W923" s="507"/>
    </row>
    <row r="924" ht="35.25" customHeight="1">
      <c r="A924" s="507"/>
      <c r="B924" s="507"/>
      <c r="C924" s="507"/>
      <c r="D924" s="508"/>
      <c r="E924" s="507"/>
      <c r="F924" s="507"/>
      <c r="G924" s="507"/>
      <c r="H924" s="507"/>
      <c r="I924" s="507"/>
      <c r="J924" s="507"/>
      <c r="K924" s="507"/>
      <c r="L924" s="507"/>
      <c r="M924" s="507"/>
      <c r="N924" s="507"/>
      <c r="O924" s="507"/>
      <c r="P924" s="507"/>
      <c r="Q924" s="507"/>
      <c r="R924" s="507"/>
      <c r="S924" s="507"/>
      <c r="T924" s="507"/>
      <c r="U924" s="507"/>
      <c r="V924" s="507"/>
      <c r="W924" s="507"/>
    </row>
    <row r="925" ht="35.25" customHeight="1">
      <c r="A925" s="507"/>
      <c r="B925" s="507"/>
      <c r="C925" s="507"/>
      <c r="D925" s="508"/>
      <c r="E925" s="507"/>
      <c r="F925" s="507"/>
      <c r="G925" s="507"/>
      <c r="H925" s="507"/>
      <c r="I925" s="507"/>
      <c r="J925" s="507"/>
      <c r="K925" s="507"/>
      <c r="L925" s="507"/>
      <c r="M925" s="507"/>
      <c r="N925" s="507"/>
      <c r="O925" s="507"/>
      <c r="P925" s="507"/>
      <c r="Q925" s="507"/>
      <c r="R925" s="507"/>
      <c r="S925" s="507"/>
      <c r="T925" s="507"/>
      <c r="U925" s="507"/>
      <c r="V925" s="507"/>
      <c r="W925" s="507"/>
    </row>
    <row r="926" ht="35.25" customHeight="1">
      <c r="A926" s="507"/>
      <c r="B926" s="507"/>
      <c r="C926" s="507"/>
      <c r="D926" s="508"/>
      <c r="E926" s="507"/>
      <c r="F926" s="507"/>
      <c r="G926" s="507"/>
      <c r="H926" s="507"/>
      <c r="I926" s="507"/>
      <c r="J926" s="507"/>
      <c r="K926" s="507"/>
      <c r="L926" s="507"/>
      <c r="M926" s="507"/>
      <c r="N926" s="507"/>
      <c r="O926" s="507"/>
      <c r="P926" s="507"/>
      <c r="Q926" s="507"/>
      <c r="R926" s="507"/>
      <c r="S926" s="507"/>
      <c r="T926" s="507"/>
      <c r="U926" s="507"/>
      <c r="V926" s="507"/>
      <c r="W926" s="507"/>
    </row>
    <row r="927" ht="35.25" customHeight="1">
      <c r="A927" s="507"/>
      <c r="B927" s="507"/>
      <c r="C927" s="507"/>
      <c r="D927" s="508"/>
      <c r="E927" s="507"/>
      <c r="F927" s="507"/>
      <c r="G927" s="507"/>
      <c r="H927" s="507"/>
      <c r="I927" s="507"/>
      <c r="J927" s="507"/>
      <c r="K927" s="507"/>
      <c r="L927" s="507"/>
      <c r="M927" s="507"/>
      <c r="N927" s="507"/>
      <c r="O927" s="507"/>
      <c r="P927" s="507"/>
      <c r="Q927" s="507"/>
      <c r="R927" s="507"/>
      <c r="S927" s="507"/>
      <c r="T927" s="507"/>
      <c r="U927" s="507"/>
      <c r="V927" s="507"/>
      <c r="W927" s="507"/>
    </row>
    <row r="928" ht="35.25" customHeight="1">
      <c r="A928" s="507"/>
      <c r="B928" s="507"/>
      <c r="C928" s="507"/>
      <c r="D928" s="508"/>
      <c r="E928" s="507"/>
      <c r="F928" s="507"/>
      <c r="G928" s="507"/>
      <c r="H928" s="507"/>
      <c r="I928" s="507"/>
      <c r="J928" s="507"/>
      <c r="K928" s="507"/>
      <c r="L928" s="507"/>
      <c r="M928" s="507"/>
      <c r="N928" s="507"/>
      <c r="O928" s="507"/>
      <c r="P928" s="507"/>
      <c r="Q928" s="507"/>
      <c r="R928" s="507"/>
      <c r="S928" s="507"/>
      <c r="T928" s="507"/>
      <c r="U928" s="507"/>
      <c r="V928" s="507"/>
      <c r="W928" s="507"/>
    </row>
    <row r="929" ht="35.25" customHeight="1">
      <c r="A929" s="507"/>
      <c r="B929" s="507"/>
      <c r="C929" s="507"/>
      <c r="D929" s="508"/>
      <c r="E929" s="507"/>
      <c r="F929" s="507"/>
      <c r="G929" s="507"/>
      <c r="H929" s="507"/>
      <c r="I929" s="507"/>
      <c r="J929" s="507"/>
      <c r="K929" s="507"/>
      <c r="L929" s="507"/>
      <c r="M929" s="507"/>
      <c r="N929" s="507"/>
      <c r="O929" s="507"/>
      <c r="P929" s="507"/>
      <c r="Q929" s="507"/>
      <c r="R929" s="507"/>
      <c r="S929" s="507"/>
      <c r="T929" s="507"/>
      <c r="U929" s="507"/>
      <c r="V929" s="507"/>
      <c r="W929" s="507"/>
    </row>
    <row r="930" ht="35.25" customHeight="1">
      <c r="A930" s="507"/>
      <c r="B930" s="507"/>
      <c r="C930" s="507"/>
      <c r="D930" s="508"/>
      <c r="E930" s="507"/>
      <c r="F930" s="507"/>
      <c r="G930" s="507"/>
      <c r="H930" s="507"/>
      <c r="I930" s="507"/>
      <c r="J930" s="507"/>
      <c r="K930" s="507"/>
      <c r="L930" s="507"/>
      <c r="M930" s="507"/>
      <c r="N930" s="507"/>
      <c r="O930" s="507"/>
      <c r="P930" s="507"/>
      <c r="Q930" s="507"/>
      <c r="R930" s="507"/>
      <c r="S930" s="507"/>
      <c r="T930" s="507"/>
      <c r="U930" s="507"/>
      <c r="V930" s="507"/>
      <c r="W930" s="507"/>
    </row>
    <row r="931" ht="35.25" customHeight="1">
      <c r="A931" s="507"/>
      <c r="B931" s="507"/>
      <c r="C931" s="507"/>
      <c r="D931" s="508"/>
      <c r="E931" s="507"/>
      <c r="F931" s="507"/>
      <c r="G931" s="507"/>
      <c r="H931" s="507"/>
      <c r="I931" s="507"/>
      <c r="J931" s="507"/>
      <c r="K931" s="507"/>
      <c r="L931" s="507"/>
      <c r="M931" s="507"/>
      <c r="N931" s="507"/>
      <c r="O931" s="507"/>
      <c r="P931" s="507"/>
      <c r="Q931" s="507"/>
      <c r="R931" s="507"/>
      <c r="S931" s="507"/>
      <c r="T931" s="507"/>
      <c r="U931" s="507"/>
      <c r="V931" s="507"/>
      <c r="W931" s="507"/>
    </row>
    <row r="932" ht="35.25" customHeight="1">
      <c r="A932" s="507"/>
      <c r="B932" s="507"/>
      <c r="C932" s="507"/>
      <c r="D932" s="508"/>
      <c r="E932" s="507"/>
      <c r="F932" s="507"/>
      <c r="G932" s="507"/>
      <c r="H932" s="507"/>
      <c r="I932" s="507"/>
      <c r="J932" s="507"/>
      <c r="K932" s="507"/>
      <c r="L932" s="507"/>
      <c r="M932" s="507"/>
      <c r="N932" s="507"/>
      <c r="O932" s="507"/>
      <c r="P932" s="507"/>
      <c r="Q932" s="507"/>
      <c r="R932" s="507"/>
      <c r="S932" s="507"/>
      <c r="T932" s="507"/>
      <c r="U932" s="507"/>
      <c r="V932" s="507"/>
      <c r="W932" s="507"/>
    </row>
    <row r="933" ht="35.25" customHeight="1">
      <c r="A933" s="507"/>
      <c r="B933" s="507"/>
      <c r="C933" s="507"/>
      <c r="D933" s="508"/>
      <c r="E933" s="507"/>
      <c r="F933" s="507"/>
      <c r="G933" s="507"/>
      <c r="H933" s="507"/>
      <c r="I933" s="507"/>
      <c r="J933" s="507"/>
      <c r="K933" s="507"/>
      <c r="L933" s="507"/>
      <c r="M933" s="507"/>
      <c r="N933" s="507"/>
      <c r="O933" s="507"/>
      <c r="P933" s="507"/>
      <c r="Q933" s="507"/>
      <c r="R933" s="507"/>
      <c r="S933" s="507"/>
      <c r="T933" s="507"/>
      <c r="U933" s="507"/>
      <c r="V933" s="507"/>
      <c r="W933" s="507"/>
    </row>
    <row r="934" ht="35.25" customHeight="1">
      <c r="A934" s="507"/>
      <c r="B934" s="507"/>
      <c r="C934" s="507"/>
      <c r="D934" s="508"/>
      <c r="E934" s="507"/>
      <c r="F934" s="507"/>
      <c r="G934" s="507"/>
      <c r="H934" s="507"/>
      <c r="I934" s="507"/>
      <c r="J934" s="507"/>
      <c r="K934" s="507"/>
      <c r="L934" s="507"/>
      <c r="M934" s="507"/>
      <c r="N934" s="507"/>
      <c r="O934" s="507"/>
      <c r="P934" s="507"/>
      <c r="Q934" s="507"/>
      <c r="R934" s="507"/>
      <c r="S934" s="507"/>
      <c r="T934" s="507"/>
      <c r="U934" s="507"/>
      <c r="V934" s="507"/>
      <c r="W934" s="507"/>
    </row>
    <row r="935" ht="35.25" customHeight="1">
      <c r="A935" s="507"/>
      <c r="B935" s="507"/>
      <c r="C935" s="507"/>
      <c r="D935" s="508"/>
      <c r="E935" s="507"/>
      <c r="F935" s="507"/>
      <c r="G935" s="507"/>
      <c r="H935" s="507"/>
      <c r="I935" s="507"/>
      <c r="J935" s="507"/>
      <c r="K935" s="507"/>
      <c r="L935" s="507"/>
      <c r="M935" s="507"/>
      <c r="N935" s="507"/>
      <c r="O935" s="507"/>
      <c r="P935" s="507"/>
      <c r="Q935" s="507"/>
      <c r="R935" s="507"/>
      <c r="S935" s="507"/>
      <c r="T935" s="507"/>
      <c r="U935" s="507"/>
      <c r="V935" s="507"/>
      <c r="W935" s="507"/>
    </row>
    <row r="936" ht="35.25" customHeight="1">
      <c r="A936" s="507"/>
      <c r="B936" s="507"/>
      <c r="C936" s="507"/>
      <c r="D936" s="508"/>
      <c r="E936" s="507"/>
      <c r="F936" s="507"/>
      <c r="G936" s="507"/>
      <c r="H936" s="507"/>
      <c r="I936" s="507"/>
      <c r="J936" s="507"/>
      <c r="K936" s="507"/>
      <c r="L936" s="507"/>
      <c r="M936" s="507"/>
      <c r="N936" s="507"/>
      <c r="O936" s="507"/>
      <c r="P936" s="507"/>
      <c r="Q936" s="507"/>
      <c r="R936" s="507"/>
      <c r="S936" s="507"/>
      <c r="T936" s="507"/>
      <c r="U936" s="507"/>
      <c r="V936" s="507"/>
      <c r="W936" s="507"/>
    </row>
    <row r="937" ht="35.25" customHeight="1">
      <c r="A937" s="507"/>
      <c r="B937" s="507"/>
      <c r="C937" s="507"/>
      <c r="D937" s="508"/>
      <c r="E937" s="507"/>
      <c r="F937" s="507"/>
      <c r="G937" s="507"/>
      <c r="H937" s="507"/>
      <c r="I937" s="507"/>
      <c r="J937" s="507"/>
      <c r="K937" s="507"/>
      <c r="L937" s="507"/>
      <c r="M937" s="507"/>
      <c r="N937" s="507"/>
      <c r="O937" s="507"/>
      <c r="P937" s="507"/>
      <c r="Q937" s="507"/>
      <c r="R937" s="507"/>
      <c r="S937" s="507"/>
      <c r="T937" s="507"/>
      <c r="U937" s="507"/>
      <c r="V937" s="507"/>
      <c r="W937" s="507"/>
    </row>
    <row r="938" ht="35.25" customHeight="1">
      <c r="A938" s="507"/>
      <c r="B938" s="507"/>
      <c r="C938" s="507"/>
      <c r="D938" s="508"/>
      <c r="E938" s="507"/>
      <c r="F938" s="507"/>
      <c r="G938" s="507"/>
      <c r="H938" s="507"/>
      <c r="I938" s="507"/>
      <c r="J938" s="507"/>
      <c r="K938" s="507"/>
      <c r="L938" s="507"/>
      <c r="M938" s="507"/>
      <c r="N938" s="507"/>
      <c r="O938" s="507"/>
      <c r="P938" s="507"/>
      <c r="Q938" s="507"/>
      <c r="R938" s="507"/>
      <c r="S938" s="507"/>
      <c r="T938" s="507"/>
      <c r="U938" s="507"/>
      <c r="V938" s="507"/>
      <c r="W938" s="507"/>
    </row>
    <row r="939" ht="35.25" customHeight="1">
      <c r="A939" s="507"/>
      <c r="B939" s="507"/>
      <c r="C939" s="507"/>
      <c r="D939" s="508"/>
      <c r="E939" s="507"/>
      <c r="F939" s="507"/>
      <c r="G939" s="507"/>
      <c r="H939" s="507"/>
      <c r="I939" s="507"/>
      <c r="J939" s="507"/>
      <c r="K939" s="507"/>
      <c r="L939" s="507"/>
      <c r="M939" s="507"/>
      <c r="N939" s="507"/>
      <c r="O939" s="507"/>
      <c r="P939" s="507"/>
      <c r="Q939" s="507"/>
      <c r="R939" s="507"/>
      <c r="S939" s="507"/>
      <c r="T939" s="507"/>
      <c r="U939" s="507"/>
      <c r="V939" s="507"/>
      <c r="W939" s="507"/>
    </row>
    <row r="940" ht="35.25" customHeight="1">
      <c r="A940" s="507"/>
      <c r="B940" s="507"/>
      <c r="C940" s="507"/>
      <c r="D940" s="508"/>
      <c r="E940" s="507"/>
      <c r="F940" s="507"/>
      <c r="G940" s="507"/>
      <c r="H940" s="507"/>
      <c r="I940" s="507"/>
      <c r="J940" s="507"/>
      <c r="K940" s="507"/>
      <c r="L940" s="507"/>
      <c r="M940" s="507"/>
      <c r="N940" s="507"/>
      <c r="O940" s="507"/>
      <c r="P940" s="507"/>
      <c r="Q940" s="507"/>
      <c r="R940" s="507"/>
      <c r="S940" s="507"/>
      <c r="T940" s="507"/>
      <c r="U940" s="507"/>
      <c r="V940" s="507"/>
      <c r="W940" s="507"/>
    </row>
    <row r="941" ht="35.25" customHeight="1">
      <c r="A941" s="507"/>
      <c r="B941" s="507"/>
      <c r="C941" s="507"/>
      <c r="D941" s="508"/>
      <c r="E941" s="507"/>
      <c r="F941" s="507"/>
      <c r="G941" s="507"/>
      <c r="H941" s="507"/>
      <c r="I941" s="507"/>
      <c r="J941" s="507"/>
      <c r="K941" s="507"/>
      <c r="L941" s="507"/>
      <c r="M941" s="507"/>
      <c r="N941" s="507"/>
      <c r="O941" s="507"/>
      <c r="P941" s="507"/>
      <c r="Q941" s="507"/>
      <c r="R941" s="507"/>
      <c r="S941" s="507"/>
      <c r="T941" s="507"/>
      <c r="U941" s="507"/>
      <c r="V941" s="507"/>
      <c r="W941" s="507"/>
    </row>
    <row r="942" ht="35.25" customHeight="1">
      <c r="A942" s="507"/>
      <c r="B942" s="507"/>
      <c r="C942" s="507"/>
      <c r="D942" s="508"/>
      <c r="E942" s="507"/>
      <c r="F942" s="507"/>
      <c r="G942" s="507"/>
      <c r="H942" s="507"/>
      <c r="I942" s="507"/>
      <c r="J942" s="507"/>
      <c r="K942" s="507"/>
      <c r="L942" s="507"/>
      <c r="M942" s="507"/>
      <c r="N942" s="507"/>
      <c r="O942" s="507"/>
      <c r="P942" s="507"/>
      <c r="Q942" s="507"/>
      <c r="R942" s="507"/>
      <c r="S942" s="507"/>
      <c r="T942" s="507"/>
      <c r="U942" s="507"/>
      <c r="V942" s="507"/>
      <c r="W942" s="507"/>
    </row>
    <row r="943" ht="35.25" customHeight="1">
      <c r="A943" s="507"/>
      <c r="B943" s="507"/>
      <c r="C943" s="507"/>
      <c r="D943" s="508"/>
      <c r="E943" s="507"/>
      <c r="F943" s="507"/>
      <c r="G943" s="507"/>
      <c r="H943" s="507"/>
      <c r="I943" s="507"/>
      <c r="J943" s="507"/>
      <c r="K943" s="507"/>
      <c r="L943" s="507"/>
      <c r="M943" s="507"/>
      <c r="N943" s="507"/>
      <c r="O943" s="507"/>
      <c r="P943" s="507"/>
      <c r="Q943" s="507"/>
      <c r="R943" s="507"/>
      <c r="S943" s="507"/>
      <c r="T943" s="507"/>
      <c r="U943" s="507"/>
      <c r="V943" s="507"/>
      <c r="W943" s="507"/>
    </row>
    <row r="944" ht="35.25" customHeight="1">
      <c r="A944" s="507"/>
      <c r="B944" s="507"/>
      <c r="C944" s="507"/>
      <c r="D944" s="508"/>
      <c r="E944" s="507"/>
      <c r="F944" s="507"/>
      <c r="G944" s="507"/>
      <c r="H944" s="507"/>
      <c r="I944" s="507"/>
      <c r="J944" s="507"/>
      <c r="K944" s="507"/>
      <c r="L944" s="507"/>
      <c r="M944" s="507"/>
      <c r="N944" s="507"/>
      <c r="O944" s="507"/>
      <c r="P944" s="507"/>
      <c r="Q944" s="507"/>
      <c r="R944" s="507"/>
      <c r="S944" s="507"/>
      <c r="T944" s="507"/>
      <c r="U944" s="507"/>
      <c r="V944" s="507"/>
      <c r="W944" s="507"/>
    </row>
    <row r="945" ht="35.25" customHeight="1">
      <c r="A945" s="507"/>
      <c r="B945" s="507"/>
      <c r="C945" s="507"/>
      <c r="D945" s="508"/>
      <c r="E945" s="507"/>
      <c r="F945" s="507"/>
      <c r="G945" s="507"/>
      <c r="H945" s="507"/>
      <c r="I945" s="507"/>
      <c r="J945" s="507"/>
      <c r="K945" s="507"/>
      <c r="L945" s="507"/>
      <c r="M945" s="507"/>
      <c r="N945" s="507"/>
      <c r="O945" s="507"/>
      <c r="P945" s="507"/>
      <c r="Q945" s="507"/>
      <c r="R945" s="507"/>
      <c r="S945" s="507"/>
      <c r="T945" s="507"/>
      <c r="U945" s="507"/>
      <c r="V945" s="507"/>
      <c r="W945" s="507"/>
    </row>
    <row r="946" ht="35.25" customHeight="1">
      <c r="A946" s="507"/>
      <c r="B946" s="507"/>
      <c r="C946" s="507"/>
      <c r="D946" s="508"/>
      <c r="E946" s="507"/>
      <c r="F946" s="507"/>
      <c r="G946" s="507"/>
      <c r="H946" s="507"/>
      <c r="I946" s="507"/>
      <c r="J946" s="507"/>
      <c r="K946" s="507"/>
      <c r="L946" s="507"/>
      <c r="M946" s="507"/>
      <c r="N946" s="507"/>
      <c r="O946" s="507"/>
      <c r="P946" s="507"/>
      <c r="Q946" s="507"/>
      <c r="R946" s="507"/>
      <c r="S946" s="507"/>
      <c r="T946" s="507"/>
      <c r="U946" s="507"/>
      <c r="V946" s="507"/>
      <c r="W946" s="507"/>
    </row>
    <row r="947" ht="35.25" customHeight="1">
      <c r="A947" s="507"/>
      <c r="B947" s="507"/>
      <c r="C947" s="507"/>
      <c r="D947" s="508"/>
      <c r="E947" s="507"/>
      <c r="F947" s="507"/>
      <c r="G947" s="507"/>
      <c r="H947" s="507"/>
      <c r="I947" s="507"/>
      <c r="J947" s="507"/>
      <c r="K947" s="507"/>
      <c r="L947" s="507"/>
      <c r="M947" s="507"/>
      <c r="N947" s="507"/>
      <c r="O947" s="507"/>
      <c r="P947" s="507"/>
      <c r="Q947" s="507"/>
      <c r="R947" s="507"/>
      <c r="S947" s="507"/>
      <c r="T947" s="507"/>
      <c r="U947" s="507"/>
      <c r="V947" s="507"/>
      <c r="W947" s="507"/>
    </row>
    <row r="948" ht="35.25" customHeight="1">
      <c r="A948" s="507"/>
      <c r="B948" s="507"/>
      <c r="C948" s="507"/>
      <c r="D948" s="508"/>
      <c r="E948" s="507"/>
      <c r="F948" s="507"/>
      <c r="G948" s="507"/>
      <c r="H948" s="507"/>
      <c r="I948" s="507"/>
      <c r="J948" s="507"/>
      <c r="K948" s="507"/>
      <c r="L948" s="507"/>
      <c r="M948" s="507"/>
      <c r="N948" s="507"/>
      <c r="O948" s="507"/>
      <c r="P948" s="507"/>
      <c r="Q948" s="507"/>
      <c r="R948" s="507"/>
      <c r="S948" s="507"/>
      <c r="T948" s="507"/>
      <c r="U948" s="507"/>
      <c r="V948" s="507"/>
      <c r="W948" s="507"/>
    </row>
    <row r="949" ht="35.25" customHeight="1">
      <c r="A949" s="507"/>
      <c r="B949" s="507"/>
      <c r="C949" s="507"/>
      <c r="D949" s="508"/>
      <c r="E949" s="507"/>
      <c r="F949" s="507"/>
      <c r="G949" s="507"/>
      <c r="H949" s="507"/>
      <c r="I949" s="507"/>
      <c r="J949" s="507"/>
      <c r="K949" s="507"/>
      <c r="L949" s="507"/>
      <c r="M949" s="507"/>
      <c r="N949" s="507"/>
      <c r="O949" s="507"/>
      <c r="P949" s="507"/>
      <c r="Q949" s="507"/>
      <c r="R949" s="507"/>
      <c r="S949" s="507"/>
      <c r="T949" s="507"/>
      <c r="U949" s="507"/>
      <c r="V949" s="507"/>
      <c r="W949" s="507"/>
    </row>
    <row r="950" ht="35.25" customHeight="1">
      <c r="A950" s="507"/>
      <c r="B950" s="507"/>
      <c r="C950" s="507"/>
      <c r="D950" s="508"/>
      <c r="E950" s="507"/>
      <c r="F950" s="507"/>
      <c r="G950" s="507"/>
      <c r="H950" s="507"/>
      <c r="I950" s="507"/>
      <c r="J950" s="507"/>
      <c r="K950" s="507"/>
      <c r="L950" s="507"/>
      <c r="M950" s="507"/>
      <c r="N950" s="507"/>
      <c r="O950" s="507"/>
      <c r="P950" s="507"/>
      <c r="Q950" s="507"/>
      <c r="R950" s="507"/>
      <c r="S950" s="507"/>
      <c r="T950" s="507"/>
      <c r="U950" s="507"/>
      <c r="V950" s="507"/>
      <c r="W950" s="507"/>
    </row>
    <row r="951" ht="35.25" customHeight="1">
      <c r="A951" s="507"/>
      <c r="B951" s="507"/>
      <c r="C951" s="507"/>
      <c r="D951" s="508"/>
      <c r="E951" s="507"/>
      <c r="F951" s="507"/>
      <c r="G951" s="507"/>
      <c r="H951" s="507"/>
      <c r="I951" s="507"/>
      <c r="J951" s="507"/>
      <c r="K951" s="507"/>
      <c r="L951" s="507"/>
      <c r="M951" s="507"/>
      <c r="N951" s="507"/>
      <c r="O951" s="507"/>
      <c r="P951" s="507"/>
      <c r="Q951" s="507"/>
      <c r="R951" s="507"/>
      <c r="S951" s="507"/>
      <c r="T951" s="507"/>
      <c r="U951" s="507"/>
      <c r="V951" s="507"/>
      <c r="W951" s="507"/>
    </row>
    <row r="952" ht="35.25" customHeight="1">
      <c r="A952" s="507"/>
      <c r="B952" s="507"/>
      <c r="C952" s="507"/>
      <c r="D952" s="508"/>
      <c r="E952" s="507"/>
      <c r="F952" s="507"/>
      <c r="G952" s="507"/>
      <c r="H952" s="507"/>
      <c r="I952" s="507"/>
      <c r="J952" s="507"/>
      <c r="K952" s="507"/>
      <c r="L952" s="507"/>
      <c r="M952" s="507"/>
      <c r="N952" s="507"/>
      <c r="O952" s="507"/>
      <c r="P952" s="507"/>
      <c r="Q952" s="507"/>
      <c r="R952" s="507"/>
      <c r="S952" s="507"/>
      <c r="T952" s="507"/>
      <c r="U952" s="507"/>
      <c r="V952" s="507"/>
      <c r="W952" s="507"/>
    </row>
    <row r="953" ht="35.25" customHeight="1">
      <c r="A953" s="507"/>
      <c r="B953" s="507"/>
      <c r="C953" s="507"/>
      <c r="D953" s="508"/>
      <c r="E953" s="507"/>
      <c r="F953" s="507"/>
      <c r="G953" s="507"/>
      <c r="H953" s="507"/>
      <c r="I953" s="507"/>
      <c r="J953" s="507"/>
      <c r="K953" s="507"/>
      <c r="L953" s="507"/>
      <c r="M953" s="507"/>
      <c r="N953" s="507"/>
      <c r="O953" s="507"/>
      <c r="P953" s="507"/>
      <c r="Q953" s="507"/>
      <c r="R953" s="507"/>
      <c r="S953" s="507"/>
      <c r="T953" s="507"/>
      <c r="U953" s="507"/>
      <c r="V953" s="507"/>
      <c r="W953" s="507"/>
    </row>
    <row r="954" ht="35.25" customHeight="1">
      <c r="A954" s="507"/>
      <c r="B954" s="507"/>
      <c r="C954" s="507"/>
      <c r="D954" s="508"/>
      <c r="E954" s="507"/>
      <c r="F954" s="507"/>
      <c r="G954" s="507"/>
      <c r="H954" s="507"/>
      <c r="I954" s="507"/>
      <c r="J954" s="507"/>
      <c r="K954" s="507"/>
      <c r="L954" s="507"/>
      <c r="M954" s="507"/>
      <c r="N954" s="507"/>
      <c r="O954" s="507"/>
      <c r="P954" s="507"/>
      <c r="Q954" s="507"/>
      <c r="R954" s="507"/>
      <c r="S954" s="507"/>
      <c r="T954" s="507"/>
      <c r="U954" s="507"/>
      <c r="V954" s="507"/>
      <c r="W954" s="507"/>
    </row>
    <row r="955" ht="35.25" customHeight="1">
      <c r="A955" s="507"/>
      <c r="B955" s="507"/>
      <c r="C955" s="507"/>
      <c r="D955" s="508"/>
      <c r="E955" s="507"/>
      <c r="F955" s="507"/>
      <c r="G955" s="507"/>
      <c r="H955" s="507"/>
      <c r="I955" s="507"/>
      <c r="J955" s="507"/>
      <c r="K955" s="507"/>
      <c r="L955" s="507"/>
      <c r="M955" s="507"/>
      <c r="N955" s="507"/>
      <c r="O955" s="507"/>
      <c r="P955" s="507"/>
      <c r="Q955" s="507"/>
      <c r="R955" s="507"/>
      <c r="S955" s="507"/>
      <c r="T955" s="507"/>
      <c r="U955" s="507"/>
      <c r="V955" s="507"/>
      <c r="W955" s="507"/>
    </row>
    <row r="956" ht="35.25" customHeight="1">
      <c r="A956" s="507"/>
      <c r="B956" s="507"/>
      <c r="C956" s="507"/>
      <c r="D956" s="508"/>
      <c r="E956" s="507"/>
      <c r="F956" s="507"/>
      <c r="G956" s="507"/>
      <c r="H956" s="507"/>
      <c r="I956" s="507"/>
      <c r="J956" s="507"/>
      <c r="K956" s="507"/>
      <c r="L956" s="507"/>
      <c r="M956" s="507"/>
      <c r="N956" s="507"/>
      <c r="O956" s="507"/>
      <c r="P956" s="507"/>
      <c r="Q956" s="507"/>
      <c r="R956" s="507"/>
      <c r="S956" s="507"/>
      <c r="T956" s="507"/>
      <c r="U956" s="507"/>
      <c r="V956" s="507"/>
      <c r="W956" s="507"/>
    </row>
    <row r="957" ht="35.25" customHeight="1">
      <c r="A957" s="507"/>
      <c r="B957" s="507"/>
      <c r="C957" s="507"/>
      <c r="D957" s="508"/>
      <c r="E957" s="507"/>
      <c r="F957" s="507"/>
      <c r="G957" s="507"/>
      <c r="H957" s="507"/>
      <c r="I957" s="507"/>
      <c r="J957" s="507"/>
      <c r="K957" s="507"/>
      <c r="L957" s="507"/>
      <c r="M957" s="507"/>
      <c r="N957" s="507"/>
      <c r="O957" s="507"/>
      <c r="P957" s="507"/>
      <c r="Q957" s="507"/>
      <c r="R957" s="507"/>
      <c r="S957" s="507"/>
      <c r="T957" s="507"/>
      <c r="U957" s="507"/>
      <c r="V957" s="507"/>
      <c r="W957" s="507"/>
    </row>
    <row r="958" ht="35.25" customHeight="1">
      <c r="A958" s="507"/>
      <c r="B958" s="507"/>
      <c r="C958" s="507"/>
      <c r="D958" s="508"/>
      <c r="E958" s="507"/>
      <c r="F958" s="507"/>
      <c r="G958" s="507"/>
      <c r="H958" s="507"/>
      <c r="I958" s="507"/>
      <c r="J958" s="507"/>
      <c r="K958" s="507"/>
      <c r="L958" s="507"/>
      <c r="M958" s="507"/>
      <c r="N958" s="507"/>
      <c r="O958" s="507"/>
      <c r="P958" s="507"/>
      <c r="Q958" s="507"/>
      <c r="R958" s="507"/>
      <c r="S958" s="507"/>
      <c r="T958" s="507"/>
      <c r="U958" s="507"/>
      <c r="V958" s="507"/>
      <c r="W958" s="507"/>
    </row>
    <row r="959" ht="35.25" customHeight="1">
      <c r="A959" s="507"/>
      <c r="B959" s="507"/>
      <c r="C959" s="507"/>
      <c r="D959" s="508"/>
      <c r="E959" s="507"/>
      <c r="F959" s="507"/>
      <c r="G959" s="507"/>
      <c r="H959" s="507"/>
      <c r="I959" s="507"/>
      <c r="J959" s="507"/>
      <c r="K959" s="507"/>
      <c r="L959" s="507"/>
      <c r="M959" s="507"/>
      <c r="N959" s="507"/>
      <c r="O959" s="507"/>
      <c r="P959" s="507"/>
      <c r="Q959" s="507"/>
      <c r="R959" s="507"/>
      <c r="S959" s="507"/>
      <c r="T959" s="507"/>
      <c r="U959" s="507"/>
      <c r="V959" s="507"/>
      <c r="W959" s="507"/>
    </row>
    <row r="960" ht="35.25" customHeight="1">
      <c r="A960" s="507"/>
      <c r="B960" s="507"/>
      <c r="C960" s="507"/>
      <c r="D960" s="508"/>
      <c r="E960" s="507"/>
      <c r="F960" s="507"/>
      <c r="G960" s="507"/>
      <c r="H960" s="507"/>
      <c r="I960" s="507"/>
      <c r="J960" s="507"/>
      <c r="K960" s="507"/>
      <c r="L960" s="507"/>
      <c r="M960" s="507"/>
      <c r="N960" s="507"/>
      <c r="O960" s="507"/>
      <c r="P960" s="507"/>
      <c r="Q960" s="507"/>
      <c r="R960" s="507"/>
      <c r="S960" s="507"/>
      <c r="T960" s="507"/>
      <c r="U960" s="507"/>
      <c r="V960" s="507"/>
      <c r="W960" s="507"/>
    </row>
    <row r="961" ht="35.25" customHeight="1">
      <c r="A961" s="507"/>
      <c r="B961" s="507"/>
      <c r="C961" s="507"/>
      <c r="D961" s="508"/>
      <c r="E961" s="507"/>
      <c r="F961" s="507"/>
      <c r="G961" s="507"/>
      <c r="H961" s="507"/>
      <c r="I961" s="507"/>
      <c r="J961" s="507"/>
      <c r="K961" s="507"/>
      <c r="L961" s="507"/>
      <c r="M961" s="507"/>
      <c r="N961" s="507"/>
      <c r="O961" s="507"/>
      <c r="P961" s="507"/>
      <c r="Q961" s="507"/>
      <c r="R961" s="507"/>
      <c r="S961" s="507"/>
      <c r="T961" s="507"/>
      <c r="U961" s="507"/>
      <c r="V961" s="507"/>
      <c r="W961" s="507"/>
    </row>
    <row r="962" ht="35.25" customHeight="1">
      <c r="A962" s="507"/>
      <c r="B962" s="507"/>
      <c r="C962" s="507"/>
      <c r="D962" s="508"/>
      <c r="E962" s="507"/>
      <c r="F962" s="507"/>
      <c r="G962" s="507"/>
      <c r="H962" s="507"/>
      <c r="I962" s="507"/>
      <c r="J962" s="507"/>
      <c r="K962" s="507"/>
      <c r="L962" s="507"/>
      <c r="M962" s="507"/>
      <c r="N962" s="507"/>
      <c r="O962" s="507"/>
      <c r="P962" s="507"/>
      <c r="Q962" s="507"/>
      <c r="R962" s="507"/>
      <c r="S962" s="507"/>
      <c r="T962" s="507"/>
      <c r="U962" s="507"/>
      <c r="V962" s="507"/>
      <c r="W962" s="507"/>
    </row>
    <row r="963" ht="35.25" customHeight="1">
      <c r="A963" s="507"/>
      <c r="B963" s="507"/>
      <c r="C963" s="507"/>
      <c r="D963" s="508"/>
      <c r="E963" s="507"/>
      <c r="F963" s="507"/>
      <c r="G963" s="507"/>
      <c r="H963" s="507"/>
      <c r="I963" s="507"/>
      <c r="J963" s="507"/>
      <c r="K963" s="507"/>
      <c r="L963" s="507"/>
      <c r="M963" s="507"/>
      <c r="N963" s="507"/>
      <c r="O963" s="507"/>
      <c r="P963" s="507"/>
      <c r="Q963" s="507"/>
      <c r="R963" s="507"/>
      <c r="S963" s="507"/>
      <c r="T963" s="507"/>
      <c r="U963" s="507"/>
      <c r="V963" s="507"/>
      <c r="W963" s="507"/>
    </row>
    <row r="964" ht="35.25" customHeight="1">
      <c r="A964" s="507"/>
      <c r="B964" s="507"/>
      <c r="C964" s="507"/>
      <c r="D964" s="508"/>
      <c r="E964" s="507"/>
      <c r="F964" s="507"/>
      <c r="G964" s="507"/>
      <c r="H964" s="507"/>
      <c r="I964" s="507"/>
      <c r="J964" s="507"/>
      <c r="K964" s="507"/>
      <c r="L964" s="507"/>
      <c r="M964" s="507"/>
      <c r="N964" s="507"/>
      <c r="O964" s="507"/>
      <c r="P964" s="507"/>
      <c r="Q964" s="507"/>
      <c r="R964" s="507"/>
      <c r="S964" s="507"/>
      <c r="T964" s="507"/>
      <c r="U964" s="507"/>
      <c r="V964" s="507"/>
      <c r="W964" s="507"/>
    </row>
    <row r="965" ht="35.25" customHeight="1">
      <c r="A965" s="507"/>
      <c r="B965" s="507"/>
      <c r="C965" s="507"/>
      <c r="D965" s="508"/>
      <c r="E965" s="507"/>
      <c r="F965" s="507"/>
      <c r="G965" s="507"/>
      <c r="H965" s="507"/>
      <c r="I965" s="507"/>
      <c r="J965" s="507"/>
      <c r="K965" s="507"/>
      <c r="L965" s="507"/>
      <c r="M965" s="507"/>
      <c r="N965" s="507"/>
      <c r="O965" s="507"/>
      <c r="P965" s="507"/>
      <c r="Q965" s="507"/>
      <c r="R965" s="507"/>
      <c r="S965" s="507"/>
      <c r="T965" s="507"/>
      <c r="U965" s="507"/>
      <c r="V965" s="507"/>
      <c r="W965" s="507"/>
    </row>
    <row r="966" ht="35.25" customHeight="1">
      <c r="A966" s="507"/>
      <c r="B966" s="507"/>
      <c r="C966" s="507"/>
      <c r="D966" s="508"/>
      <c r="E966" s="507"/>
      <c r="F966" s="507"/>
      <c r="G966" s="507"/>
      <c r="H966" s="507"/>
      <c r="I966" s="507"/>
      <c r="J966" s="507"/>
      <c r="K966" s="507"/>
      <c r="L966" s="507"/>
      <c r="M966" s="507"/>
      <c r="N966" s="507"/>
      <c r="O966" s="507"/>
      <c r="P966" s="507"/>
      <c r="Q966" s="507"/>
      <c r="R966" s="507"/>
      <c r="S966" s="507"/>
      <c r="T966" s="507"/>
      <c r="U966" s="507"/>
      <c r="V966" s="507"/>
      <c r="W966" s="507"/>
    </row>
    <row r="967" ht="35.25" customHeight="1">
      <c r="A967" s="507"/>
      <c r="B967" s="507"/>
      <c r="C967" s="507"/>
      <c r="D967" s="508"/>
      <c r="E967" s="507"/>
      <c r="F967" s="507"/>
      <c r="G967" s="507"/>
      <c r="H967" s="507"/>
      <c r="I967" s="507"/>
      <c r="J967" s="507"/>
      <c r="K967" s="507"/>
      <c r="L967" s="507"/>
      <c r="M967" s="507"/>
      <c r="N967" s="507"/>
      <c r="O967" s="507"/>
      <c r="P967" s="507"/>
      <c r="Q967" s="507"/>
      <c r="R967" s="507"/>
      <c r="S967" s="507"/>
      <c r="T967" s="507"/>
      <c r="U967" s="507"/>
      <c r="V967" s="507"/>
      <c r="W967" s="507"/>
    </row>
    <row r="968" ht="35.25" customHeight="1">
      <c r="A968" s="507"/>
      <c r="B968" s="507"/>
      <c r="C968" s="507"/>
      <c r="D968" s="508"/>
      <c r="E968" s="507"/>
      <c r="F968" s="507"/>
      <c r="G968" s="507"/>
      <c r="H968" s="507"/>
      <c r="I968" s="507"/>
      <c r="J968" s="507"/>
      <c r="K968" s="507"/>
      <c r="L968" s="507"/>
      <c r="M968" s="507"/>
      <c r="N968" s="507"/>
      <c r="O968" s="507"/>
      <c r="P968" s="507"/>
      <c r="Q968" s="507"/>
      <c r="R968" s="507"/>
      <c r="S968" s="507"/>
      <c r="T968" s="507"/>
      <c r="U968" s="507"/>
      <c r="V968" s="507"/>
      <c r="W968" s="507"/>
    </row>
    <row r="969" ht="35.25" customHeight="1">
      <c r="A969" s="507"/>
      <c r="B969" s="507"/>
      <c r="C969" s="507"/>
      <c r="D969" s="508"/>
      <c r="E969" s="507"/>
      <c r="F969" s="507"/>
      <c r="G969" s="507"/>
      <c r="H969" s="507"/>
      <c r="I969" s="507"/>
      <c r="J969" s="507"/>
      <c r="K969" s="507"/>
      <c r="L969" s="507"/>
      <c r="M969" s="507"/>
      <c r="N969" s="507"/>
      <c r="O969" s="507"/>
      <c r="P969" s="507"/>
      <c r="Q969" s="507"/>
      <c r="R969" s="507"/>
      <c r="S969" s="507"/>
      <c r="T969" s="507"/>
      <c r="U969" s="507"/>
      <c r="V969" s="507"/>
      <c r="W969" s="507"/>
    </row>
    <row r="970" ht="35.25" customHeight="1">
      <c r="A970" s="507"/>
      <c r="B970" s="507"/>
      <c r="C970" s="507"/>
      <c r="D970" s="508"/>
      <c r="E970" s="507"/>
      <c r="F970" s="507"/>
      <c r="G970" s="507"/>
      <c r="H970" s="507"/>
      <c r="I970" s="507"/>
      <c r="J970" s="507"/>
      <c r="K970" s="507"/>
      <c r="L970" s="507"/>
      <c r="M970" s="507"/>
      <c r="N970" s="507"/>
      <c r="O970" s="507"/>
      <c r="P970" s="507"/>
      <c r="Q970" s="507"/>
      <c r="R970" s="507"/>
      <c r="S970" s="507"/>
      <c r="T970" s="507"/>
      <c r="U970" s="507"/>
      <c r="V970" s="507"/>
      <c r="W970" s="507"/>
    </row>
    <row r="971" ht="35.25" customHeight="1">
      <c r="A971" s="507"/>
      <c r="B971" s="507"/>
      <c r="C971" s="507"/>
      <c r="D971" s="508"/>
      <c r="E971" s="507"/>
      <c r="F971" s="507"/>
      <c r="G971" s="507"/>
      <c r="H971" s="507"/>
      <c r="I971" s="507"/>
      <c r="J971" s="507"/>
      <c r="K971" s="507"/>
      <c r="L971" s="507"/>
      <c r="M971" s="507"/>
      <c r="N971" s="507"/>
      <c r="O971" s="507"/>
      <c r="P971" s="507"/>
      <c r="Q971" s="507"/>
      <c r="R971" s="507"/>
      <c r="S971" s="507"/>
      <c r="T971" s="507"/>
      <c r="U971" s="507"/>
      <c r="V971" s="507"/>
      <c r="W971" s="507"/>
    </row>
    <row r="972" ht="35.25" customHeight="1">
      <c r="A972" s="507"/>
      <c r="B972" s="507"/>
      <c r="C972" s="507"/>
      <c r="D972" s="508"/>
      <c r="E972" s="507"/>
      <c r="F972" s="507"/>
      <c r="G972" s="507"/>
      <c r="H972" s="507"/>
      <c r="I972" s="507"/>
      <c r="J972" s="507"/>
      <c r="K972" s="507"/>
      <c r="L972" s="507"/>
      <c r="M972" s="507"/>
      <c r="N972" s="507"/>
      <c r="O972" s="507"/>
      <c r="P972" s="507"/>
      <c r="Q972" s="507"/>
      <c r="R972" s="507"/>
      <c r="S972" s="507"/>
      <c r="T972" s="507"/>
      <c r="U972" s="507"/>
      <c r="V972" s="507"/>
      <c r="W972" s="507"/>
    </row>
    <row r="973" ht="35.25" customHeight="1">
      <c r="A973" s="507"/>
      <c r="B973" s="507"/>
      <c r="C973" s="507"/>
      <c r="D973" s="508"/>
      <c r="E973" s="507"/>
      <c r="F973" s="507"/>
      <c r="G973" s="507"/>
      <c r="H973" s="507"/>
      <c r="I973" s="507"/>
      <c r="J973" s="507"/>
      <c r="K973" s="507"/>
      <c r="L973" s="507"/>
      <c r="M973" s="507"/>
      <c r="N973" s="507"/>
      <c r="O973" s="507"/>
      <c r="P973" s="507"/>
      <c r="Q973" s="507"/>
      <c r="R973" s="507"/>
      <c r="S973" s="507"/>
      <c r="T973" s="507"/>
      <c r="U973" s="507"/>
      <c r="V973" s="507"/>
      <c r="W973" s="507"/>
    </row>
    <row r="974" ht="35.25" customHeight="1">
      <c r="A974" s="507"/>
      <c r="B974" s="507"/>
      <c r="C974" s="507"/>
      <c r="D974" s="508"/>
      <c r="E974" s="507"/>
      <c r="F974" s="507"/>
      <c r="G974" s="507"/>
      <c r="H974" s="507"/>
      <c r="I974" s="507"/>
      <c r="J974" s="507"/>
      <c r="K974" s="507"/>
      <c r="L974" s="507"/>
      <c r="M974" s="507"/>
      <c r="N974" s="507"/>
      <c r="O974" s="507"/>
      <c r="P974" s="507"/>
      <c r="Q974" s="507"/>
      <c r="R974" s="507"/>
      <c r="S974" s="507"/>
      <c r="T974" s="507"/>
      <c r="U974" s="507"/>
      <c r="V974" s="507"/>
      <c r="W974" s="507"/>
    </row>
    <row r="975" ht="35.25" customHeight="1">
      <c r="A975" s="507"/>
      <c r="B975" s="507"/>
      <c r="C975" s="507"/>
      <c r="D975" s="508"/>
      <c r="E975" s="507"/>
      <c r="F975" s="507"/>
      <c r="G975" s="507"/>
      <c r="H975" s="507"/>
      <c r="I975" s="507"/>
      <c r="J975" s="507"/>
      <c r="K975" s="507"/>
      <c r="L975" s="507"/>
      <c r="M975" s="507"/>
      <c r="N975" s="507"/>
      <c r="O975" s="507"/>
      <c r="P975" s="507"/>
      <c r="Q975" s="507"/>
      <c r="R975" s="507"/>
      <c r="S975" s="507"/>
      <c r="T975" s="507"/>
      <c r="U975" s="507"/>
      <c r="V975" s="507"/>
      <c r="W975" s="507"/>
    </row>
    <row r="976" ht="35.25" customHeight="1">
      <c r="A976" s="507"/>
      <c r="B976" s="507"/>
      <c r="C976" s="507"/>
      <c r="D976" s="508"/>
      <c r="E976" s="507"/>
      <c r="F976" s="507"/>
      <c r="G976" s="507"/>
      <c r="H976" s="507"/>
      <c r="I976" s="507"/>
      <c r="J976" s="507"/>
      <c r="K976" s="507"/>
      <c r="L976" s="507"/>
      <c r="M976" s="507"/>
      <c r="N976" s="507"/>
      <c r="O976" s="507"/>
      <c r="P976" s="507"/>
      <c r="Q976" s="507"/>
      <c r="R976" s="507"/>
      <c r="S976" s="507"/>
      <c r="T976" s="507"/>
      <c r="U976" s="507"/>
      <c r="V976" s="507"/>
      <c r="W976" s="507"/>
    </row>
    <row r="977" ht="35.25" customHeight="1">
      <c r="A977" s="507"/>
      <c r="B977" s="507"/>
      <c r="C977" s="507"/>
      <c r="D977" s="508"/>
      <c r="E977" s="507"/>
      <c r="F977" s="507"/>
      <c r="G977" s="507"/>
      <c r="H977" s="507"/>
      <c r="I977" s="507"/>
      <c r="J977" s="507"/>
      <c r="K977" s="507"/>
      <c r="L977" s="507"/>
      <c r="M977" s="507"/>
      <c r="N977" s="507"/>
      <c r="O977" s="507"/>
      <c r="P977" s="507"/>
      <c r="Q977" s="507"/>
      <c r="R977" s="507"/>
      <c r="S977" s="507"/>
      <c r="T977" s="507"/>
      <c r="U977" s="507"/>
      <c r="V977" s="507"/>
      <c r="W977" s="507"/>
    </row>
    <row r="978" ht="35.25" customHeight="1">
      <c r="A978" s="507"/>
      <c r="B978" s="507"/>
      <c r="C978" s="507"/>
      <c r="D978" s="508"/>
      <c r="E978" s="507"/>
      <c r="F978" s="507"/>
      <c r="G978" s="507"/>
      <c r="H978" s="507"/>
      <c r="I978" s="507"/>
      <c r="J978" s="507"/>
      <c r="K978" s="507"/>
      <c r="L978" s="507"/>
      <c r="M978" s="507"/>
      <c r="N978" s="507"/>
      <c r="O978" s="507"/>
      <c r="P978" s="507"/>
      <c r="Q978" s="507"/>
      <c r="R978" s="507"/>
      <c r="S978" s="507"/>
      <c r="T978" s="507"/>
      <c r="U978" s="507"/>
      <c r="V978" s="507"/>
      <c r="W978" s="507"/>
    </row>
    <row r="979" ht="35.25" customHeight="1">
      <c r="A979" s="507"/>
      <c r="B979" s="507"/>
      <c r="C979" s="507"/>
      <c r="D979" s="508"/>
      <c r="E979" s="507"/>
      <c r="F979" s="507"/>
      <c r="G979" s="507"/>
      <c r="H979" s="507"/>
      <c r="I979" s="507"/>
      <c r="J979" s="507"/>
      <c r="K979" s="507"/>
      <c r="L979" s="507"/>
      <c r="M979" s="507"/>
      <c r="N979" s="507"/>
      <c r="O979" s="507"/>
      <c r="P979" s="507"/>
      <c r="Q979" s="507"/>
      <c r="R979" s="507"/>
      <c r="S979" s="507"/>
      <c r="T979" s="507"/>
      <c r="U979" s="507"/>
      <c r="V979" s="507"/>
      <c r="W979" s="507"/>
    </row>
    <row r="980" ht="35.25" customHeight="1">
      <c r="A980" s="507"/>
      <c r="B980" s="507"/>
      <c r="C980" s="507"/>
      <c r="D980" s="508"/>
      <c r="E980" s="507"/>
      <c r="F980" s="507"/>
      <c r="G980" s="507"/>
      <c r="H980" s="507"/>
      <c r="I980" s="507"/>
      <c r="J980" s="507"/>
      <c r="K980" s="507"/>
      <c r="L980" s="507"/>
      <c r="M980" s="507"/>
      <c r="N980" s="507"/>
      <c r="O980" s="507"/>
      <c r="P980" s="507"/>
      <c r="Q980" s="507"/>
      <c r="R980" s="507"/>
      <c r="S980" s="507"/>
      <c r="T980" s="507"/>
      <c r="U980" s="507"/>
      <c r="V980" s="507"/>
      <c r="W980" s="507"/>
    </row>
    <row r="981" ht="35.25" customHeight="1">
      <c r="A981" s="507"/>
      <c r="B981" s="507"/>
      <c r="C981" s="507"/>
      <c r="D981" s="508"/>
      <c r="E981" s="507"/>
      <c r="F981" s="507"/>
      <c r="G981" s="507"/>
      <c r="H981" s="507"/>
      <c r="I981" s="507"/>
      <c r="J981" s="507"/>
      <c r="K981" s="507"/>
      <c r="L981" s="507"/>
      <c r="M981" s="507"/>
      <c r="N981" s="507"/>
      <c r="O981" s="507"/>
      <c r="P981" s="507"/>
      <c r="Q981" s="507"/>
      <c r="R981" s="507"/>
      <c r="S981" s="507"/>
      <c r="T981" s="507"/>
      <c r="U981" s="507"/>
      <c r="V981" s="507"/>
      <c r="W981" s="507"/>
    </row>
    <row r="982" ht="35.25" customHeight="1">
      <c r="A982" s="507"/>
      <c r="B982" s="507"/>
      <c r="C982" s="507"/>
      <c r="D982" s="508"/>
      <c r="E982" s="507"/>
      <c r="F982" s="507"/>
      <c r="G982" s="507"/>
      <c r="H982" s="507"/>
      <c r="I982" s="507"/>
      <c r="J982" s="507"/>
      <c r="K982" s="507"/>
      <c r="L982" s="507"/>
      <c r="M982" s="507"/>
      <c r="N982" s="507"/>
      <c r="O982" s="507"/>
      <c r="P982" s="507"/>
      <c r="Q982" s="507"/>
      <c r="R982" s="507"/>
      <c r="S982" s="507"/>
      <c r="T982" s="507"/>
      <c r="U982" s="507"/>
      <c r="V982" s="507"/>
      <c r="W982" s="507"/>
    </row>
    <row r="983" ht="35.25" customHeight="1">
      <c r="A983" s="507"/>
      <c r="B983" s="507"/>
      <c r="C983" s="507"/>
      <c r="D983" s="508"/>
      <c r="E983" s="507"/>
      <c r="F983" s="507"/>
      <c r="G983" s="507"/>
      <c r="H983" s="507"/>
      <c r="I983" s="507"/>
      <c r="J983" s="507"/>
      <c r="K983" s="507"/>
      <c r="L983" s="507"/>
      <c r="M983" s="507"/>
      <c r="N983" s="507"/>
      <c r="O983" s="507"/>
      <c r="P983" s="507"/>
      <c r="Q983" s="507"/>
      <c r="R983" s="507"/>
      <c r="S983" s="507"/>
      <c r="T983" s="507"/>
      <c r="U983" s="507"/>
      <c r="V983" s="507"/>
      <c r="W983" s="507"/>
    </row>
    <row r="984" ht="35.25" customHeight="1">
      <c r="A984" s="507"/>
      <c r="B984" s="507"/>
      <c r="C984" s="507"/>
      <c r="D984" s="508"/>
      <c r="E984" s="507"/>
      <c r="F984" s="507"/>
      <c r="G984" s="507"/>
      <c r="H984" s="507"/>
      <c r="I984" s="507"/>
      <c r="J984" s="507"/>
      <c r="K984" s="507"/>
      <c r="L984" s="507"/>
      <c r="M984" s="507"/>
      <c r="N984" s="507"/>
      <c r="O984" s="507"/>
      <c r="P984" s="507"/>
      <c r="Q984" s="507"/>
      <c r="R984" s="507"/>
      <c r="S984" s="507"/>
      <c r="T984" s="507"/>
      <c r="U984" s="507"/>
      <c r="V984" s="507"/>
      <c r="W984" s="507"/>
    </row>
    <row r="985" ht="35.25" customHeight="1">
      <c r="A985" s="507"/>
      <c r="B985" s="507"/>
      <c r="C985" s="507"/>
      <c r="D985" s="508"/>
      <c r="E985" s="507"/>
      <c r="F985" s="507"/>
      <c r="G985" s="507"/>
      <c r="H985" s="507"/>
      <c r="I985" s="507"/>
      <c r="J985" s="507"/>
      <c r="K985" s="507"/>
      <c r="L985" s="507"/>
      <c r="M985" s="507"/>
      <c r="N985" s="507"/>
      <c r="O985" s="507"/>
      <c r="P985" s="507"/>
      <c r="Q985" s="507"/>
      <c r="R985" s="507"/>
      <c r="S985" s="507"/>
      <c r="T985" s="507"/>
      <c r="U985" s="507"/>
      <c r="V985" s="507"/>
      <c r="W985" s="507"/>
    </row>
    <row r="986" ht="35.25" customHeight="1">
      <c r="A986" s="507"/>
      <c r="B986" s="507"/>
      <c r="C986" s="507"/>
      <c r="D986" s="508"/>
      <c r="E986" s="507"/>
      <c r="F986" s="507"/>
      <c r="G986" s="507"/>
      <c r="H986" s="507"/>
      <c r="I986" s="507"/>
      <c r="J986" s="507"/>
      <c r="K986" s="507"/>
      <c r="L986" s="507"/>
      <c r="M986" s="507"/>
      <c r="N986" s="507"/>
      <c r="O986" s="507"/>
      <c r="P986" s="507"/>
      <c r="Q986" s="507"/>
      <c r="R986" s="507"/>
      <c r="S986" s="507"/>
      <c r="T986" s="507"/>
      <c r="U986" s="507"/>
      <c r="V986" s="507"/>
      <c r="W986" s="507"/>
    </row>
    <row r="987" ht="35.25" customHeight="1">
      <c r="A987" s="507"/>
      <c r="B987" s="507"/>
      <c r="C987" s="507"/>
      <c r="D987" s="508"/>
      <c r="E987" s="507"/>
      <c r="F987" s="507"/>
      <c r="G987" s="507"/>
      <c r="H987" s="507"/>
      <c r="I987" s="507"/>
      <c r="J987" s="507"/>
      <c r="K987" s="507"/>
      <c r="L987" s="507"/>
      <c r="M987" s="507"/>
      <c r="N987" s="507"/>
      <c r="O987" s="507"/>
      <c r="P987" s="507"/>
      <c r="Q987" s="507"/>
      <c r="R987" s="507"/>
      <c r="S987" s="507"/>
      <c r="T987" s="507"/>
      <c r="U987" s="507"/>
      <c r="V987" s="507"/>
      <c r="W987" s="507"/>
    </row>
    <row r="988" ht="35.25" customHeight="1">
      <c r="A988" s="507"/>
      <c r="B988" s="507"/>
      <c r="C988" s="507"/>
      <c r="D988" s="508"/>
      <c r="E988" s="507"/>
      <c r="F988" s="507"/>
      <c r="G988" s="507"/>
      <c r="H988" s="507"/>
      <c r="I988" s="507"/>
      <c r="J988" s="507"/>
      <c r="K988" s="507"/>
      <c r="L988" s="507"/>
      <c r="M988" s="507"/>
      <c r="N988" s="507"/>
      <c r="O988" s="507"/>
      <c r="P988" s="507"/>
      <c r="Q988" s="507"/>
      <c r="R988" s="507"/>
      <c r="S988" s="507"/>
      <c r="T988" s="507"/>
      <c r="U988" s="507"/>
      <c r="V988" s="507"/>
      <c r="W988" s="507"/>
    </row>
    <row r="989" ht="35.25" customHeight="1">
      <c r="A989" s="507"/>
      <c r="B989" s="507"/>
      <c r="C989" s="507"/>
      <c r="D989" s="508"/>
      <c r="E989" s="507"/>
      <c r="F989" s="507"/>
      <c r="G989" s="507"/>
      <c r="H989" s="507"/>
      <c r="I989" s="507"/>
      <c r="J989" s="507"/>
      <c r="K989" s="507"/>
      <c r="L989" s="507"/>
      <c r="M989" s="507"/>
      <c r="N989" s="507"/>
      <c r="O989" s="507"/>
      <c r="P989" s="507"/>
      <c r="Q989" s="507"/>
      <c r="R989" s="507"/>
      <c r="S989" s="507"/>
      <c r="T989" s="507"/>
      <c r="U989" s="507"/>
      <c r="V989" s="507"/>
      <c r="W989" s="507"/>
    </row>
    <row r="990" ht="35.25" customHeight="1">
      <c r="A990" s="507"/>
      <c r="B990" s="507"/>
      <c r="C990" s="507"/>
      <c r="D990" s="508"/>
      <c r="E990" s="507"/>
      <c r="F990" s="507"/>
      <c r="G990" s="507"/>
      <c r="H990" s="507"/>
      <c r="I990" s="507"/>
      <c r="J990" s="507"/>
      <c r="K990" s="507"/>
      <c r="L990" s="507"/>
      <c r="M990" s="507"/>
      <c r="N990" s="507"/>
      <c r="O990" s="507"/>
      <c r="P990" s="507"/>
      <c r="Q990" s="507"/>
      <c r="R990" s="507"/>
      <c r="S990" s="507"/>
      <c r="T990" s="507"/>
      <c r="U990" s="507"/>
      <c r="V990" s="507"/>
      <c r="W990" s="507"/>
    </row>
    <row r="991" ht="35.25" customHeight="1">
      <c r="A991" s="507"/>
      <c r="B991" s="507"/>
      <c r="C991" s="507"/>
      <c r="D991" s="508"/>
      <c r="E991" s="507"/>
      <c r="F991" s="507"/>
      <c r="G991" s="507"/>
      <c r="H991" s="507"/>
      <c r="I991" s="507"/>
      <c r="J991" s="507"/>
      <c r="K991" s="507"/>
      <c r="L991" s="507"/>
      <c r="M991" s="507"/>
      <c r="N991" s="507"/>
      <c r="O991" s="507"/>
      <c r="P991" s="507"/>
      <c r="Q991" s="507"/>
      <c r="R991" s="507"/>
      <c r="S991" s="507"/>
      <c r="T991" s="507"/>
      <c r="U991" s="507"/>
      <c r="V991" s="507"/>
      <c r="W991" s="507"/>
    </row>
    <row r="992" ht="35.25" customHeight="1">
      <c r="A992" s="507"/>
      <c r="B992" s="507"/>
      <c r="C992" s="507"/>
      <c r="D992" s="508"/>
      <c r="E992" s="507"/>
      <c r="F992" s="507"/>
      <c r="G992" s="507"/>
      <c r="H992" s="507"/>
      <c r="I992" s="507"/>
      <c r="J992" s="507"/>
      <c r="K992" s="507"/>
      <c r="L992" s="507"/>
      <c r="M992" s="507"/>
      <c r="N992" s="507"/>
      <c r="O992" s="507"/>
      <c r="P992" s="507"/>
      <c r="Q992" s="507"/>
      <c r="R992" s="507"/>
      <c r="S992" s="507"/>
      <c r="T992" s="507"/>
      <c r="U992" s="507"/>
      <c r="V992" s="507"/>
      <c r="W992" s="507"/>
    </row>
    <row r="993" ht="35.25" customHeight="1">
      <c r="A993" s="507"/>
      <c r="B993" s="507"/>
      <c r="C993" s="507"/>
      <c r="D993" s="508"/>
      <c r="E993" s="507"/>
      <c r="F993" s="507"/>
      <c r="G993" s="507"/>
      <c r="H993" s="507"/>
      <c r="I993" s="507"/>
      <c r="J993" s="507"/>
      <c r="K993" s="507"/>
      <c r="L993" s="507"/>
      <c r="M993" s="507"/>
      <c r="N993" s="507"/>
      <c r="O993" s="507"/>
      <c r="P993" s="507"/>
      <c r="Q993" s="507"/>
      <c r="R993" s="507"/>
      <c r="S993" s="507"/>
      <c r="T993" s="507"/>
      <c r="U993" s="507"/>
      <c r="V993" s="507"/>
      <c r="W993" s="507"/>
    </row>
    <row r="994" ht="35.25" customHeight="1">
      <c r="A994" s="507"/>
      <c r="B994" s="507"/>
      <c r="C994" s="507"/>
      <c r="D994" s="508"/>
      <c r="E994" s="507"/>
      <c r="F994" s="507"/>
      <c r="G994" s="507"/>
      <c r="H994" s="507"/>
      <c r="I994" s="507"/>
      <c r="J994" s="507"/>
      <c r="K994" s="507"/>
      <c r="L994" s="507"/>
      <c r="M994" s="507"/>
      <c r="N994" s="507"/>
      <c r="O994" s="507"/>
      <c r="P994" s="507"/>
      <c r="Q994" s="507"/>
      <c r="R994" s="507"/>
      <c r="S994" s="507"/>
      <c r="T994" s="507"/>
      <c r="U994" s="507"/>
      <c r="V994" s="507"/>
      <c r="W994" s="507"/>
    </row>
    <row r="995" ht="35.25" customHeight="1">
      <c r="A995" s="507"/>
      <c r="B995" s="507"/>
      <c r="C995" s="507"/>
      <c r="D995" s="508"/>
      <c r="E995" s="507"/>
      <c r="F995" s="507"/>
      <c r="G995" s="507"/>
      <c r="H995" s="507"/>
      <c r="I995" s="507"/>
      <c r="J995" s="507"/>
      <c r="K995" s="507"/>
      <c r="L995" s="507"/>
      <c r="M995" s="507"/>
      <c r="N995" s="507"/>
      <c r="O995" s="507"/>
      <c r="P995" s="507"/>
      <c r="Q995" s="507"/>
      <c r="R995" s="507"/>
      <c r="S995" s="507"/>
      <c r="T995" s="507"/>
      <c r="U995" s="507"/>
      <c r="V995" s="507"/>
      <c r="W995" s="507"/>
    </row>
    <row r="996" ht="35.25" customHeight="1">
      <c r="A996" s="507"/>
      <c r="B996" s="507"/>
      <c r="C996" s="507"/>
      <c r="D996" s="508"/>
      <c r="E996" s="507"/>
      <c r="F996" s="507"/>
      <c r="G996" s="507"/>
      <c r="H996" s="507"/>
      <c r="I996" s="507"/>
      <c r="J996" s="507"/>
      <c r="K996" s="507"/>
      <c r="L996" s="507"/>
      <c r="M996" s="507"/>
      <c r="N996" s="507"/>
      <c r="O996" s="507"/>
      <c r="P996" s="507"/>
      <c r="Q996" s="507"/>
      <c r="R996" s="507"/>
      <c r="S996" s="507"/>
      <c r="T996" s="507"/>
      <c r="U996" s="507"/>
      <c r="V996" s="507"/>
      <c r="W996" s="507"/>
    </row>
    <row r="997" ht="35.25" customHeight="1">
      <c r="A997" s="507"/>
      <c r="B997" s="507"/>
      <c r="C997" s="507"/>
      <c r="D997" s="508"/>
      <c r="E997" s="507"/>
      <c r="F997" s="507"/>
      <c r="G997" s="507"/>
      <c r="H997" s="507"/>
      <c r="I997" s="507"/>
      <c r="J997" s="507"/>
      <c r="K997" s="507"/>
      <c r="L997" s="507"/>
      <c r="M997" s="507"/>
      <c r="N997" s="507"/>
      <c r="O997" s="507"/>
      <c r="P997" s="507"/>
      <c r="Q997" s="507"/>
      <c r="R997" s="507"/>
      <c r="S997" s="507"/>
      <c r="T997" s="507"/>
      <c r="U997" s="507"/>
      <c r="V997" s="507"/>
      <c r="W997" s="507"/>
    </row>
    <row r="998" ht="35.25" customHeight="1">
      <c r="A998" s="507"/>
      <c r="B998" s="507"/>
      <c r="C998" s="507"/>
      <c r="D998" s="508"/>
      <c r="E998" s="507"/>
      <c r="F998" s="507"/>
      <c r="G998" s="507"/>
      <c r="H998" s="507"/>
      <c r="I998" s="507"/>
      <c r="J998" s="507"/>
      <c r="K998" s="507"/>
      <c r="L998" s="507"/>
      <c r="M998" s="507"/>
      <c r="N998" s="507"/>
      <c r="O998" s="507"/>
      <c r="P998" s="507"/>
      <c r="Q998" s="507"/>
      <c r="R998" s="507"/>
      <c r="S998" s="507"/>
      <c r="T998" s="507"/>
      <c r="U998" s="507"/>
      <c r="V998" s="507"/>
      <c r="W998" s="507"/>
    </row>
    <row r="999" ht="35.25" customHeight="1">
      <c r="A999" s="507"/>
      <c r="B999" s="507"/>
      <c r="C999" s="507"/>
      <c r="D999" s="508"/>
      <c r="E999" s="507"/>
      <c r="F999" s="507"/>
      <c r="G999" s="507"/>
      <c r="H999" s="507"/>
      <c r="I999" s="507"/>
      <c r="J999" s="507"/>
      <c r="K999" s="507"/>
      <c r="L999" s="507"/>
      <c r="M999" s="507"/>
      <c r="N999" s="507"/>
      <c r="O999" s="507"/>
      <c r="P999" s="507"/>
      <c r="Q999" s="507"/>
      <c r="R999" s="507"/>
      <c r="S999" s="507"/>
      <c r="T999" s="507"/>
      <c r="U999" s="507"/>
      <c r="V999" s="507"/>
      <c r="W999" s="507"/>
    </row>
    <row r="1000" ht="35.25" customHeight="1">
      <c r="A1000" s="507"/>
      <c r="B1000" s="507"/>
      <c r="C1000" s="507"/>
      <c r="D1000" s="508"/>
      <c r="E1000" s="507"/>
      <c r="F1000" s="507"/>
      <c r="G1000" s="507"/>
      <c r="H1000" s="507"/>
      <c r="I1000" s="507"/>
      <c r="J1000" s="507"/>
      <c r="K1000" s="507"/>
      <c r="L1000" s="507"/>
      <c r="M1000" s="507"/>
      <c r="N1000" s="507"/>
      <c r="O1000" s="507"/>
      <c r="P1000" s="507"/>
      <c r="Q1000" s="507"/>
      <c r="R1000" s="507"/>
      <c r="S1000" s="507"/>
      <c r="T1000" s="507"/>
      <c r="U1000" s="507"/>
      <c r="V1000" s="507"/>
      <c r="W1000" s="507"/>
    </row>
    <row r="1001" ht="35.25" customHeight="1">
      <c r="A1001" s="507"/>
      <c r="B1001" s="507"/>
      <c r="C1001" s="507"/>
      <c r="D1001" s="508"/>
      <c r="E1001" s="507"/>
      <c r="F1001" s="507"/>
      <c r="G1001" s="507"/>
      <c r="H1001" s="507"/>
      <c r="I1001" s="507"/>
      <c r="J1001" s="507"/>
      <c r="K1001" s="507"/>
      <c r="L1001" s="507"/>
      <c r="M1001" s="507"/>
      <c r="N1001" s="507"/>
      <c r="O1001" s="507"/>
      <c r="P1001" s="507"/>
      <c r="Q1001" s="507"/>
      <c r="R1001" s="507"/>
      <c r="S1001" s="507"/>
      <c r="T1001" s="507"/>
      <c r="U1001" s="507"/>
      <c r="V1001" s="507"/>
      <c r="W1001" s="507"/>
    </row>
    <row r="1002" ht="35.25" customHeight="1">
      <c r="A1002" s="507"/>
      <c r="B1002" s="507"/>
      <c r="C1002" s="507"/>
      <c r="D1002" s="508"/>
      <c r="E1002" s="507"/>
      <c r="F1002" s="507"/>
      <c r="G1002" s="507"/>
      <c r="H1002" s="507"/>
      <c r="I1002" s="507"/>
      <c r="J1002" s="507"/>
      <c r="K1002" s="507"/>
      <c r="L1002" s="507"/>
      <c r="M1002" s="507"/>
      <c r="N1002" s="507"/>
      <c r="O1002" s="507"/>
      <c r="P1002" s="507"/>
      <c r="Q1002" s="507"/>
      <c r="R1002" s="507"/>
      <c r="S1002" s="507"/>
      <c r="T1002" s="507"/>
      <c r="U1002" s="507"/>
      <c r="V1002" s="507"/>
      <c r="W1002" s="507"/>
    </row>
    <row r="1003" ht="35.25" customHeight="1">
      <c r="A1003" s="507"/>
      <c r="B1003" s="507"/>
      <c r="C1003" s="507"/>
      <c r="D1003" s="508"/>
      <c r="E1003" s="507"/>
      <c r="F1003" s="507"/>
      <c r="G1003" s="507"/>
      <c r="H1003" s="507"/>
      <c r="I1003" s="507"/>
      <c r="J1003" s="507"/>
      <c r="K1003" s="507"/>
      <c r="L1003" s="507"/>
      <c r="M1003" s="507"/>
      <c r="N1003" s="507"/>
      <c r="O1003" s="507"/>
      <c r="P1003" s="507"/>
      <c r="Q1003" s="507"/>
      <c r="R1003" s="507"/>
      <c r="S1003" s="507"/>
      <c r="T1003" s="507"/>
      <c r="U1003" s="507"/>
      <c r="V1003" s="507"/>
      <c r="W1003" s="507"/>
    </row>
    <row r="1004" ht="35.25" customHeight="1">
      <c r="A1004" s="507"/>
      <c r="B1004" s="507"/>
      <c r="C1004" s="507"/>
      <c r="D1004" s="508"/>
      <c r="E1004" s="507"/>
      <c r="F1004" s="507"/>
      <c r="G1004" s="507"/>
      <c r="H1004" s="507"/>
      <c r="I1004" s="507"/>
      <c r="J1004" s="507"/>
      <c r="K1004" s="507"/>
      <c r="L1004" s="507"/>
      <c r="M1004" s="507"/>
      <c r="N1004" s="507"/>
      <c r="O1004" s="507"/>
      <c r="P1004" s="507"/>
      <c r="Q1004" s="507"/>
      <c r="R1004" s="507"/>
      <c r="S1004" s="507"/>
      <c r="T1004" s="507"/>
      <c r="U1004" s="507"/>
      <c r="V1004" s="507"/>
      <c r="W1004" s="507"/>
    </row>
    <row r="1005" ht="35.25" customHeight="1">
      <c r="A1005" s="507"/>
      <c r="B1005" s="507"/>
      <c r="C1005" s="507"/>
      <c r="D1005" s="508"/>
      <c r="E1005" s="507"/>
      <c r="F1005" s="507"/>
      <c r="G1005" s="507"/>
      <c r="H1005" s="507"/>
      <c r="I1005" s="507"/>
      <c r="J1005" s="507"/>
      <c r="K1005" s="507"/>
      <c r="L1005" s="507"/>
      <c r="M1005" s="507"/>
      <c r="N1005" s="507"/>
      <c r="O1005" s="507"/>
      <c r="P1005" s="507"/>
      <c r="Q1005" s="507"/>
      <c r="R1005" s="507"/>
      <c r="S1005" s="507"/>
      <c r="T1005" s="507"/>
      <c r="U1005" s="507"/>
      <c r="V1005" s="507"/>
      <c r="W1005" s="507"/>
    </row>
    <row r="1006" ht="35.25" customHeight="1">
      <c r="A1006" s="507"/>
      <c r="B1006" s="507"/>
      <c r="C1006" s="507"/>
      <c r="D1006" s="508"/>
      <c r="E1006" s="507"/>
      <c r="F1006" s="507"/>
      <c r="G1006" s="507"/>
      <c r="H1006" s="507"/>
      <c r="I1006" s="507"/>
      <c r="J1006" s="507"/>
      <c r="K1006" s="507"/>
      <c r="L1006" s="507"/>
      <c r="M1006" s="507"/>
      <c r="N1006" s="507"/>
      <c r="O1006" s="507"/>
      <c r="P1006" s="507"/>
      <c r="Q1006" s="507"/>
      <c r="R1006" s="507"/>
      <c r="S1006" s="507"/>
      <c r="T1006" s="507"/>
      <c r="U1006" s="507"/>
      <c r="V1006" s="507"/>
      <c r="W1006" s="507"/>
    </row>
    <row r="1007" ht="35.25" customHeight="1">
      <c r="A1007" s="507"/>
      <c r="B1007" s="507"/>
      <c r="C1007" s="507"/>
      <c r="D1007" s="508"/>
      <c r="E1007" s="507"/>
      <c r="F1007" s="507"/>
      <c r="G1007" s="507"/>
      <c r="H1007" s="507"/>
      <c r="I1007" s="507"/>
      <c r="J1007" s="507"/>
      <c r="K1007" s="507"/>
      <c r="L1007" s="507"/>
      <c r="M1007" s="507"/>
      <c r="N1007" s="507"/>
      <c r="O1007" s="507"/>
      <c r="P1007" s="507"/>
      <c r="Q1007" s="507"/>
      <c r="R1007" s="507"/>
      <c r="S1007" s="507"/>
      <c r="T1007" s="507"/>
      <c r="U1007" s="507"/>
      <c r="V1007" s="507"/>
      <c r="W1007" s="507"/>
    </row>
    <row r="1008" ht="35.25" customHeight="1">
      <c r="A1008" s="507"/>
      <c r="B1008" s="507"/>
      <c r="C1008" s="507"/>
      <c r="D1008" s="508"/>
      <c r="E1008" s="507"/>
      <c r="F1008" s="507"/>
      <c r="G1008" s="507"/>
      <c r="H1008" s="507"/>
      <c r="I1008" s="507"/>
      <c r="J1008" s="507"/>
      <c r="K1008" s="507"/>
      <c r="L1008" s="507"/>
      <c r="M1008" s="507"/>
      <c r="N1008" s="507"/>
      <c r="O1008" s="507"/>
      <c r="P1008" s="507"/>
      <c r="Q1008" s="507"/>
      <c r="R1008" s="507"/>
      <c r="S1008" s="507"/>
      <c r="T1008" s="507"/>
      <c r="U1008" s="507"/>
      <c r="V1008" s="507"/>
      <c r="W1008" s="507"/>
    </row>
    <row r="1009" ht="35.25" customHeight="1">
      <c r="A1009" s="507"/>
      <c r="B1009" s="507"/>
      <c r="C1009" s="507"/>
      <c r="D1009" s="508"/>
      <c r="E1009" s="507"/>
      <c r="F1009" s="507"/>
      <c r="G1009" s="507"/>
      <c r="H1009" s="507"/>
      <c r="I1009" s="507"/>
      <c r="J1009" s="507"/>
      <c r="K1009" s="507"/>
      <c r="L1009" s="507"/>
      <c r="M1009" s="507"/>
      <c r="N1009" s="507"/>
      <c r="O1009" s="507"/>
      <c r="P1009" s="507"/>
      <c r="Q1009" s="507"/>
      <c r="R1009" s="507"/>
      <c r="S1009" s="507"/>
      <c r="T1009" s="507"/>
      <c r="U1009" s="507"/>
      <c r="V1009" s="507"/>
      <c r="W1009" s="507"/>
    </row>
    <row r="1010" ht="35.25" customHeight="1">
      <c r="A1010" s="507"/>
      <c r="B1010" s="507"/>
      <c r="C1010" s="507"/>
      <c r="D1010" s="508"/>
      <c r="E1010" s="507"/>
      <c r="F1010" s="507"/>
      <c r="G1010" s="507"/>
      <c r="H1010" s="507"/>
      <c r="I1010" s="507"/>
      <c r="J1010" s="507"/>
      <c r="K1010" s="507"/>
      <c r="L1010" s="507"/>
      <c r="M1010" s="507"/>
      <c r="N1010" s="507"/>
      <c r="O1010" s="507"/>
      <c r="P1010" s="507"/>
      <c r="Q1010" s="507"/>
      <c r="R1010" s="507"/>
      <c r="S1010" s="507"/>
      <c r="T1010" s="507"/>
      <c r="U1010" s="507"/>
      <c r="V1010" s="507"/>
      <c r="W1010" s="507"/>
    </row>
    <row r="1011" ht="35.25" customHeight="1">
      <c r="A1011" s="507"/>
      <c r="B1011" s="507"/>
      <c r="C1011" s="507"/>
      <c r="D1011" s="508"/>
      <c r="E1011" s="507"/>
      <c r="F1011" s="507"/>
      <c r="G1011" s="507"/>
      <c r="H1011" s="507"/>
      <c r="I1011" s="507"/>
      <c r="J1011" s="507"/>
      <c r="K1011" s="507"/>
      <c r="L1011" s="507"/>
      <c r="M1011" s="507"/>
      <c r="N1011" s="507"/>
      <c r="O1011" s="507"/>
      <c r="P1011" s="507"/>
      <c r="Q1011" s="507"/>
      <c r="R1011" s="507"/>
      <c r="S1011" s="507"/>
      <c r="T1011" s="507"/>
      <c r="U1011" s="507"/>
      <c r="V1011" s="507"/>
      <c r="W1011" s="507"/>
    </row>
    <row r="1012" ht="35.25" customHeight="1">
      <c r="A1012" s="507"/>
      <c r="B1012" s="507"/>
      <c r="C1012" s="507"/>
      <c r="D1012" s="508"/>
      <c r="E1012" s="507"/>
      <c r="F1012" s="507"/>
      <c r="G1012" s="507"/>
      <c r="H1012" s="507"/>
      <c r="I1012" s="507"/>
      <c r="J1012" s="507"/>
      <c r="K1012" s="507"/>
      <c r="L1012" s="507"/>
      <c r="M1012" s="507"/>
      <c r="N1012" s="507"/>
      <c r="O1012" s="507"/>
      <c r="P1012" s="507"/>
      <c r="Q1012" s="507"/>
      <c r="R1012" s="507"/>
      <c r="S1012" s="507"/>
      <c r="T1012" s="507"/>
      <c r="U1012" s="507"/>
      <c r="V1012" s="507"/>
      <c r="W1012" s="507"/>
    </row>
    <row r="1013" ht="35.25" customHeight="1">
      <c r="A1013" s="507"/>
      <c r="B1013" s="507"/>
      <c r="C1013" s="507"/>
      <c r="D1013" s="508"/>
      <c r="E1013" s="507"/>
      <c r="F1013" s="507"/>
      <c r="G1013" s="507"/>
      <c r="H1013" s="507"/>
      <c r="I1013" s="507"/>
      <c r="J1013" s="507"/>
      <c r="K1013" s="507"/>
      <c r="L1013" s="507"/>
      <c r="M1013" s="507"/>
      <c r="N1013" s="507"/>
      <c r="O1013" s="507"/>
      <c r="P1013" s="507"/>
      <c r="Q1013" s="507"/>
      <c r="R1013" s="507"/>
      <c r="S1013" s="507"/>
      <c r="T1013" s="507"/>
      <c r="U1013" s="507"/>
      <c r="V1013" s="507"/>
      <c r="W1013" s="507"/>
    </row>
    <row r="1014" ht="35.25" customHeight="1">
      <c r="A1014" s="507"/>
      <c r="B1014" s="507"/>
      <c r="C1014" s="507"/>
      <c r="D1014" s="508"/>
      <c r="E1014" s="507"/>
      <c r="F1014" s="507"/>
      <c r="G1014" s="507"/>
      <c r="H1014" s="507"/>
      <c r="I1014" s="507"/>
      <c r="J1014" s="507"/>
      <c r="K1014" s="507"/>
      <c r="L1014" s="507"/>
      <c r="M1014" s="507"/>
      <c r="N1014" s="507"/>
      <c r="O1014" s="507"/>
      <c r="P1014" s="507"/>
      <c r="Q1014" s="507"/>
      <c r="R1014" s="507"/>
      <c r="S1014" s="507"/>
      <c r="T1014" s="507"/>
      <c r="U1014" s="507"/>
      <c r="V1014" s="507"/>
      <c r="W1014" s="507"/>
    </row>
    <row r="1015" ht="35.25" customHeight="1">
      <c r="A1015" s="507"/>
      <c r="B1015" s="507"/>
      <c r="C1015" s="507"/>
      <c r="D1015" s="508"/>
      <c r="E1015" s="507"/>
      <c r="F1015" s="507"/>
      <c r="G1015" s="507"/>
      <c r="H1015" s="507"/>
      <c r="I1015" s="507"/>
      <c r="J1015" s="507"/>
      <c r="K1015" s="507"/>
      <c r="L1015" s="507"/>
      <c r="M1015" s="507"/>
      <c r="N1015" s="507"/>
      <c r="O1015" s="507"/>
      <c r="P1015" s="507"/>
      <c r="Q1015" s="507"/>
      <c r="R1015" s="507"/>
      <c r="S1015" s="507"/>
      <c r="T1015" s="507"/>
      <c r="U1015" s="507"/>
      <c r="V1015" s="507"/>
      <c r="W1015" s="507"/>
    </row>
    <row r="1016" ht="35.25" customHeight="1">
      <c r="A1016" s="507"/>
      <c r="B1016" s="507"/>
      <c r="C1016" s="507"/>
      <c r="D1016" s="508"/>
      <c r="E1016" s="507"/>
      <c r="F1016" s="507"/>
      <c r="G1016" s="507"/>
      <c r="H1016" s="507"/>
      <c r="I1016" s="507"/>
      <c r="J1016" s="507"/>
      <c r="K1016" s="507"/>
      <c r="L1016" s="507"/>
      <c r="M1016" s="507"/>
      <c r="N1016" s="507"/>
      <c r="O1016" s="507"/>
      <c r="P1016" s="507"/>
      <c r="Q1016" s="507"/>
      <c r="R1016" s="507"/>
      <c r="S1016" s="507"/>
      <c r="T1016" s="507"/>
      <c r="U1016" s="507"/>
      <c r="V1016" s="507"/>
      <c r="W1016" s="507"/>
    </row>
    <row r="1017" ht="35.25" customHeight="1">
      <c r="A1017" s="507"/>
      <c r="B1017" s="507"/>
      <c r="C1017" s="507"/>
      <c r="D1017" s="508"/>
      <c r="E1017" s="507"/>
      <c r="F1017" s="507"/>
      <c r="G1017" s="507"/>
      <c r="H1017" s="507"/>
      <c r="I1017" s="507"/>
      <c r="J1017" s="507"/>
      <c r="K1017" s="507"/>
      <c r="L1017" s="507"/>
      <c r="M1017" s="507"/>
      <c r="N1017" s="507"/>
      <c r="O1017" s="507"/>
      <c r="P1017" s="507"/>
      <c r="Q1017" s="507"/>
      <c r="R1017" s="507"/>
      <c r="S1017" s="507"/>
      <c r="T1017" s="507"/>
      <c r="U1017" s="507"/>
      <c r="V1017" s="507"/>
      <c r="W1017" s="507"/>
    </row>
    <row r="1018" ht="35.25" customHeight="1">
      <c r="A1018" s="507"/>
      <c r="B1018" s="507"/>
      <c r="C1018" s="507"/>
      <c r="D1018" s="508"/>
      <c r="E1018" s="507"/>
      <c r="F1018" s="507"/>
      <c r="G1018" s="507"/>
      <c r="H1018" s="507"/>
      <c r="I1018" s="507"/>
      <c r="J1018" s="507"/>
      <c r="K1018" s="507"/>
      <c r="L1018" s="507"/>
      <c r="M1018" s="507"/>
      <c r="N1018" s="507"/>
      <c r="O1018" s="507"/>
      <c r="P1018" s="507"/>
      <c r="Q1018" s="507"/>
      <c r="R1018" s="507"/>
      <c r="S1018" s="507"/>
      <c r="T1018" s="507"/>
      <c r="U1018" s="507"/>
      <c r="V1018" s="507"/>
      <c r="W1018" s="507"/>
    </row>
    <row r="1019" ht="35.25" customHeight="1">
      <c r="A1019" s="507"/>
      <c r="B1019" s="507"/>
      <c r="C1019" s="507"/>
      <c r="D1019" s="508"/>
      <c r="E1019" s="507"/>
      <c r="F1019" s="507"/>
      <c r="G1019" s="507"/>
      <c r="H1019" s="507"/>
      <c r="I1019" s="507"/>
      <c r="J1019" s="507"/>
      <c r="K1019" s="507"/>
      <c r="L1019" s="507"/>
      <c r="M1019" s="507"/>
      <c r="N1019" s="507"/>
      <c r="O1019" s="507"/>
      <c r="P1019" s="507"/>
      <c r="Q1019" s="507"/>
      <c r="R1019" s="507"/>
      <c r="S1019" s="507"/>
      <c r="T1019" s="507"/>
      <c r="U1019" s="507"/>
      <c r="V1019" s="507"/>
      <c r="W1019" s="507"/>
    </row>
    <row r="1020" ht="35.25" customHeight="1">
      <c r="A1020" s="507"/>
      <c r="B1020" s="507"/>
      <c r="C1020" s="507"/>
      <c r="D1020" s="508"/>
      <c r="E1020" s="507"/>
      <c r="F1020" s="507"/>
      <c r="G1020" s="507"/>
      <c r="H1020" s="507"/>
      <c r="I1020" s="507"/>
      <c r="J1020" s="507"/>
      <c r="K1020" s="507"/>
      <c r="L1020" s="507"/>
      <c r="M1020" s="507"/>
      <c r="N1020" s="507"/>
      <c r="O1020" s="507"/>
      <c r="P1020" s="507"/>
      <c r="Q1020" s="507"/>
      <c r="R1020" s="507"/>
      <c r="S1020" s="507"/>
      <c r="T1020" s="507"/>
      <c r="U1020" s="507"/>
      <c r="V1020" s="507"/>
      <c r="W1020" s="507"/>
    </row>
    <row r="1021" ht="35.25" customHeight="1">
      <c r="A1021" s="507"/>
      <c r="B1021" s="507"/>
      <c r="C1021" s="507"/>
      <c r="D1021" s="508"/>
      <c r="E1021" s="507"/>
      <c r="F1021" s="507"/>
      <c r="G1021" s="507"/>
      <c r="H1021" s="507"/>
      <c r="I1021" s="507"/>
      <c r="J1021" s="507"/>
      <c r="K1021" s="507"/>
      <c r="L1021" s="507"/>
      <c r="M1021" s="507"/>
      <c r="N1021" s="507"/>
      <c r="O1021" s="507"/>
      <c r="P1021" s="507"/>
      <c r="Q1021" s="507"/>
      <c r="R1021" s="507"/>
      <c r="S1021" s="507"/>
      <c r="T1021" s="507"/>
      <c r="U1021" s="507"/>
      <c r="V1021" s="507"/>
      <c r="W1021" s="507"/>
    </row>
    <row r="1022" ht="35.25" customHeight="1">
      <c r="A1022" s="507"/>
      <c r="B1022" s="507"/>
      <c r="C1022" s="507"/>
      <c r="D1022" s="508"/>
      <c r="E1022" s="507"/>
      <c r="F1022" s="507"/>
      <c r="G1022" s="507"/>
      <c r="H1022" s="507"/>
      <c r="I1022" s="507"/>
      <c r="J1022" s="507"/>
      <c r="K1022" s="507"/>
      <c r="L1022" s="507"/>
      <c r="M1022" s="507"/>
      <c r="N1022" s="507"/>
      <c r="O1022" s="507"/>
      <c r="P1022" s="507"/>
      <c r="Q1022" s="507"/>
      <c r="R1022" s="507"/>
      <c r="S1022" s="507"/>
      <c r="T1022" s="507"/>
      <c r="U1022" s="507"/>
      <c r="V1022" s="507"/>
      <c r="W1022" s="507"/>
    </row>
    <row r="1023" ht="35.25" customHeight="1">
      <c r="A1023" s="507"/>
      <c r="B1023" s="507"/>
      <c r="C1023" s="507"/>
      <c r="D1023" s="508"/>
      <c r="E1023" s="507"/>
      <c r="F1023" s="507"/>
      <c r="G1023" s="507"/>
      <c r="H1023" s="507"/>
      <c r="I1023" s="507"/>
      <c r="J1023" s="507"/>
      <c r="K1023" s="507"/>
      <c r="L1023" s="507"/>
      <c r="M1023" s="507"/>
      <c r="N1023" s="507"/>
      <c r="O1023" s="507"/>
      <c r="P1023" s="507"/>
      <c r="Q1023" s="507"/>
      <c r="R1023" s="507"/>
      <c r="S1023" s="507"/>
      <c r="T1023" s="507"/>
      <c r="U1023" s="507"/>
      <c r="V1023" s="507"/>
      <c r="W1023" s="507"/>
    </row>
    <row r="1024" ht="35.25" customHeight="1">
      <c r="A1024" s="507"/>
      <c r="B1024" s="507"/>
      <c r="C1024" s="507"/>
      <c r="D1024" s="508"/>
      <c r="E1024" s="507"/>
      <c r="F1024" s="507"/>
      <c r="G1024" s="507"/>
      <c r="H1024" s="507"/>
      <c r="I1024" s="507"/>
      <c r="J1024" s="507"/>
      <c r="K1024" s="507"/>
      <c r="L1024" s="507"/>
      <c r="M1024" s="507"/>
      <c r="N1024" s="507"/>
      <c r="O1024" s="507"/>
      <c r="P1024" s="507"/>
      <c r="Q1024" s="507"/>
      <c r="R1024" s="507"/>
      <c r="S1024" s="507"/>
      <c r="T1024" s="507"/>
      <c r="U1024" s="507"/>
      <c r="V1024" s="507"/>
      <c r="W1024" s="507"/>
    </row>
    <row r="1025" ht="35.25" customHeight="1">
      <c r="A1025" s="507"/>
      <c r="B1025" s="507"/>
      <c r="C1025" s="507"/>
      <c r="D1025" s="508"/>
      <c r="E1025" s="507"/>
      <c r="F1025" s="507"/>
      <c r="G1025" s="507"/>
      <c r="H1025" s="507"/>
      <c r="I1025" s="507"/>
      <c r="J1025" s="507"/>
      <c r="K1025" s="507"/>
      <c r="L1025" s="507"/>
      <c r="M1025" s="507"/>
      <c r="N1025" s="507"/>
      <c r="O1025" s="507"/>
      <c r="P1025" s="507"/>
      <c r="Q1025" s="507"/>
      <c r="R1025" s="507"/>
      <c r="S1025" s="507"/>
      <c r="T1025" s="507"/>
      <c r="U1025" s="507"/>
      <c r="V1025" s="507"/>
      <c r="W1025" s="507"/>
    </row>
    <row r="1026" ht="35.25" customHeight="1">
      <c r="A1026" s="507"/>
      <c r="B1026" s="507"/>
      <c r="C1026" s="507"/>
      <c r="D1026" s="508"/>
      <c r="E1026" s="507"/>
      <c r="F1026" s="507"/>
      <c r="G1026" s="507"/>
      <c r="H1026" s="507"/>
      <c r="I1026" s="507"/>
      <c r="J1026" s="507"/>
      <c r="K1026" s="507"/>
      <c r="L1026" s="507"/>
      <c r="M1026" s="507"/>
      <c r="N1026" s="507"/>
      <c r="O1026" s="507"/>
      <c r="P1026" s="507"/>
      <c r="Q1026" s="507"/>
      <c r="R1026" s="507"/>
      <c r="S1026" s="507"/>
      <c r="T1026" s="507"/>
      <c r="U1026" s="507"/>
      <c r="V1026" s="507"/>
      <c r="W1026" s="507"/>
    </row>
    <row r="1027" ht="35.25" customHeight="1">
      <c r="A1027" s="507"/>
      <c r="B1027" s="507"/>
      <c r="C1027" s="507"/>
      <c r="D1027" s="508"/>
      <c r="E1027" s="507"/>
      <c r="F1027" s="507"/>
      <c r="G1027" s="507"/>
      <c r="H1027" s="507"/>
      <c r="I1027" s="507"/>
      <c r="J1027" s="507"/>
      <c r="K1027" s="507"/>
      <c r="L1027" s="507"/>
      <c r="M1027" s="507"/>
      <c r="N1027" s="507"/>
      <c r="O1027" s="507"/>
      <c r="P1027" s="507"/>
      <c r="Q1027" s="507"/>
      <c r="R1027" s="507"/>
      <c r="S1027" s="507"/>
      <c r="T1027" s="507"/>
      <c r="U1027" s="507"/>
      <c r="V1027" s="507"/>
      <c r="W1027" s="507"/>
    </row>
    <row r="1028" ht="35.25" customHeight="1">
      <c r="A1028" s="507"/>
      <c r="B1028" s="507"/>
      <c r="C1028" s="507"/>
      <c r="D1028" s="508"/>
      <c r="E1028" s="507"/>
      <c r="F1028" s="507"/>
      <c r="G1028" s="507"/>
      <c r="H1028" s="507"/>
      <c r="I1028" s="507"/>
      <c r="J1028" s="507"/>
      <c r="K1028" s="507"/>
      <c r="L1028" s="507"/>
      <c r="M1028" s="507"/>
      <c r="N1028" s="507"/>
      <c r="O1028" s="507"/>
      <c r="P1028" s="507"/>
      <c r="Q1028" s="507"/>
      <c r="R1028" s="507"/>
      <c r="S1028" s="507"/>
      <c r="T1028" s="507"/>
      <c r="U1028" s="507"/>
      <c r="V1028" s="507"/>
      <c r="W1028" s="507"/>
    </row>
    <row r="1029" ht="35.25" customHeight="1">
      <c r="A1029" s="507"/>
      <c r="B1029" s="507"/>
      <c r="C1029" s="507"/>
      <c r="D1029" s="508"/>
      <c r="E1029" s="507"/>
      <c r="F1029" s="507"/>
      <c r="G1029" s="507"/>
      <c r="H1029" s="507"/>
      <c r="I1029" s="507"/>
      <c r="J1029" s="507"/>
      <c r="K1029" s="507"/>
      <c r="L1029" s="507"/>
      <c r="M1029" s="507"/>
      <c r="N1029" s="507"/>
      <c r="O1029" s="507"/>
      <c r="P1029" s="507"/>
      <c r="Q1029" s="507"/>
      <c r="R1029" s="507"/>
      <c r="S1029" s="507"/>
      <c r="T1029" s="507"/>
      <c r="U1029" s="507"/>
      <c r="V1029" s="507"/>
      <c r="W1029" s="507"/>
    </row>
    <row r="1030" ht="35.25" customHeight="1">
      <c r="A1030" s="507"/>
      <c r="B1030" s="507"/>
      <c r="C1030" s="507"/>
      <c r="D1030" s="508"/>
      <c r="E1030" s="507"/>
      <c r="F1030" s="507"/>
      <c r="G1030" s="507"/>
      <c r="H1030" s="507"/>
      <c r="I1030" s="507"/>
      <c r="J1030" s="507"/>
      <c r="K1030" s="507"/>
      <c r="L1030" s="507"/>
      <c r="M1030" s="507"/>
      <c r="N1030" s="507"/>
      <c r="O1030" s="507"/>
      <c r="P1030" s="507"/>
      <c r="Q1030" s="507"/>
      <c r="R1030" s="507"/>
      <c r="S1030" s="507"/>
      <c r="T1030" s="507"/>
      <c r="U1030" s="507"/>
      <c r="V1030" s="507"/>
      <c r="W1030" s="507"/>
    </row>
    <row r="1031" ht="35.25" customHeight="1">
      <c r="A1031" s="507"/>
      <c r="B1031" s="507"/>
      <c r="C1031" s="507"/>
      <c r="D1031" s="508"/>
      <c r="E1031" s="507"/>
      <c r="F1031" s="507"/>
      <c r="G1031" s="507"/>
      <c r="H1031" s="507"/>
      <c r="I1031" s="507"/>
      <c r="J1031" s="507"/>
      <c r="K1031" s="507"/>
      <c r="L1031" s="507"/>
      <c r="M1031" s="507"/>
      <c r="N1031" s="507"/>
      <c r="O1031" s="507"/>
      <c r="P1031" s="507"/>
      <c r="Q1031" s="507"/>
      <c r="R1031" s="507"/>
      <c r="S1031" s="507"/>
      <c r="T1031" s="507"/>
      <c r="U1031" s="507"/>
      <c r="V1031" s="507"/>
      <c r="W1031" s="507"/>
    </row>
    <row r="1032" ht="35.25" customHeight="1">
      <c r="A1032" s="507"/>
      <c r="B1032" s="507"/>
      <c r="C1032" s="507"/>
      <c r="D1032" s="508"/>
      <c r="E1032" s="507"/>
      <c r="F1032" s="507"/>
      <c r="G1032" s="507"/>
      <c r="H1032" s="507"/>
      <c r="I1032" s="507"/>
      <c r="J1032" s="507"/>
      <c r="K1032" s="507"/>
      <c r="L1032" s="507"/>
      <c r="M1032" s="507"/>
      <c r="N1032" s="507"/>
      <c r="O1032" s="507"/>
      <c r="P1032" s="507"/>
      <c r="Q1032" s="507"/>
      <c r="R1032" s="507"/>
      <c r="S1032" s="507"/>
      <c r="T1032" s="507"/>
      <c r="U1032" s="507"/>
      <c r="V1032" s="507"/>
      <c r="W1032" s="507"/>
    </row>
    <row r="1033" ht="35.25" customHeight="1">
      <c r="A1033" s="507"/>
      <c r="B1033" s="507"/>
      <c r="C1033" s="507"/>
      <c r="D1033" s="508"/>
      <c r="E1033" s="507"/>
      <c r="F1033" s="507"/>
      <c r="G1033" s="507"/>
      <c r="H1033" s="507"/>
      <c r="I1033" s="507"/>
      <c r="J1033" s="507"/>
      <c r="K1033" s="507"/>
      <c r="L1033" s="507"/>
      <c r="M1033" s="507"/>
      <c r="N1033" s="507"/>
      <c r="O1033" s="507"/>
      <c r="P1033" s="507"/>
      <c r="Q1033" s="507"/>
      <c r="R1033" s="507"/>
      <c r="S1033" s="507"/>
      <c r="T1033" s="507"/>
      <c r="U1033" s="507"/>
      <c r="V1033" s="507"/>
      <c r="W1033" s="507"/>
    </row>
    <row r="1034" ht="35.25" customHeight="1">
      <c r="A1034" s="507"/>
      <c r="B1034" s="507"/>
      <c r="C1034" s="507"/>
      <c r="D1034" s="508"/>
      <c r="E1034" s="507"/>
      <c r="F1034" s="507"/>
      <c r="G1034" s="507"/>
      <c r="H1034" s="507"/>
      <c r="I1034" s="507"/>
      <c r="J1034" s="507"/>
      <c r="K1034" s="507"/>
      <c r="L1034" s="507"/>
      <c r="M1034" s="507"/>
      <c r="N1034" s="507"/>
      <c r="O1034" s="507"/>
      <c r="P1034" s="507"/>
      <c r="Q1034" s="507"/>
      <c r="R1034" s="507"/>
      <c r="S1034" s="507"/>
      <c r="T1034" s="507"/>
      <c r="U1034" s="507"/>
      <c r="V1034" s="507"/>
      <c r="W1034" s="507"/>
    </row>
    <row r="1035" ht="35.25" customHeight="1">
      <c r="A1035" s="507"/>
      <c r="B1035" s="507"/>
      <c r="C1035" s="507"/>
      <c r="D1035" s="508"/>
      <c r="E1035" s="507"/>
      <c r="F1035" s="507"/>
      <c r="G1035" s="507"/>
      <c r="H1035" s="507"/>
      <c r="I1035" s="507"/>
      <c r="J1035" s="507"/>
      <c r="K1035" s="507"/>
      <c r="L1035" s="507"/>
      <c r="M1035" s="507"/>
      <c r="N1035" s="507"/>
      <c r="O1035" s="507"/>
      <c r="P1035" s="507"/>
      <c r="Q1035" s="507"/>
      <c r="R1035" s="507"/>
      <c r="S1035" s="507"/>
      <c r="T1035" s="507"/>
      <c r="U1035" s="507"/>
      <c r="V1035" s="507"/>
      <c r="W1035" s="507"/>
    </row>
    <row r="1036" ht="35.25" customHeight="1">
      <c r="A1036" s="507"/>
      <c r="B1036" s="507"/>
      <c r="C1036" s="507"/>
      <c r="D1036" s="508"/>
      <c r="E1036" s="507"/>
      <c r="F1036" s="507"/>
      <c r="G1036" s="507"/>
      <c r="H1036" s="507"/>
      <c r="I1036" s="507"/>
      <c r="J1036" s="507"/>
      <c r="K1036" s="507"/>
      <c r="L1036" s="507"/>
      <c r="M1036" s="507"/>
      <c r="N1036" s="507"/>
      <c r="O1036" s="507"/>
      <c r="P1036" s="507"/>
      <c r="Q1036" s="507"/>
      <c r="R1036" s="507"/>
      <c r="S1036" s="507"/>
      <c r="T1036" s="507"/>
      <c r="U1036" s="507"/>
      <c r="V1036" s="507"/>
      <c r="W1036" s="507"/>
    </row>
    <row r="1037" ht="35.25" customHeight="1">
      <c r="A1037" s="507"/>
      <c r="B1037" s="507"/>
      <c r="C1037" s="507"/>
      <c r="D1037" s="508"/>
      <c r="E1037" s="507"/>
      <c r="F1037" s="507"/>
      <c r="G1037" s="507"/>
      <c r="H1037" s="507"/>
      <c r="I1037" s="507"/>
      <c r="J1037" s="507"/>
      <c r="K1037" s="507"/>
      <c r="L1037" s="507"/>
      <c r="M1037" s="507"/>
      <c r="N1037" s="507"/>
      <c r="O1037" s="507"/>
      <c r="P1037" s="507"/>
      <c r="Q1037" s="507"/>
      <c r="R1037" s="507"/>
      <c r="S1037" s="507"/>
      <c r="T1037" s="507"/>
      <c r="U1037" s="507"/>
      <c r="V1037" s="507"/>
      <c r="W1037" s="507"/>
    </row>
    <row r="1038" ht="35.25" customHeight="1">
      <c r="A1038" s="507"/>
      <c r="B1038" s="507"/>
      <c r="C1038" s="507"/>
      <c r="D1038" s="508"/>
      <c r="E1038" s="507"/>
      <c r="F1038" s="507"/>
      <c r="G1038" s="507"/>
      <c r="H1038" s="507"/>
      <c r="I1038" s="507"/>
      <c r="J1038" s="507"/>
      <c r="K1038" s="507"/>
      <c r="L1038" s="507"/>
      <c r="M1038" s="507"/>
      <c r="N1038" s="507"/>
      <c r="O1038" s="507"/>
      <c r="P1038" s="507"/>
      <c r="Q1038" s="507"/>
      <c r="R1038" s="507"/>
      <c r="S1038" s="507"/>
      <c r="T1038" s="507"/>
      <c r="U1038" s="507"/>
      <c r="V1038" s="507"/>
      <c r="W1038" s="507"/>
    </row>
    <row r="1039" ht="35.25" customHeight="1">
      <c r="A1039" s="507"/>
      <c r="B1039" s="507"/>
      <c r="C1039" s="507"/>
      <c r="D1039" s="508"/>
      <c r="E1039" s="507"/>
      <c r="F1039" s="507"/>
      <c r="G1039" s="507"/>
      <c r="H1039" s="507"/>
      <c r="I1039" s="507"/>
      <c r="J1039" s="507"/>
      <c r="K1039" s="507"/>
      <c r="L1039" s="507"/>
      <c r="M1039" s="507"/>
      <c r="N1039" s="507"/>
      <c r="O1039" s="507"/>
      <c r="P1039" s="507"/>
      <c r="Q1039" s="507"/>
      <c r="R1039" s="507"/>
      <c r="S1039" s="507"/>
      <c r="T1039" s="507"/>
      <c r="U1039" s="507"/>
      <c r="V1039" s="507"/>
      <c r="W1039" s="507"/>
    </row>
    <row r="1040" ht="35.25" customHeight="1">
      <c r="A1040" s="507"/>
      <c r="B1040" s="507"/>
      <c r="C1040" s="507"/>
      <c r="D1040" s="508"/>
      <c r="E1040" s="507"/>
      <c r="F1040" s="507"/>
      <c r="G1040" s="507"/>
      <c r="H1040" s="507"/>
      <c r="I1040" s="507"/>
      <c r="J1040" s="507"/>
      <c r="K1040" s="507"/>
      <c r="L1040" s="507"/>
      <c r="M1040" s="507"/>
      <c r="N1040" s="507"/>
      <c r="O1040" s="507"/>
      <c r="P1040" s="507"/>
      <c r="Q1040" s="507"/>
      <c r="R1040" s="507"/>
      <c r="S1040" s="507"/>
      <c r="T1040" s="507"/>
      <c r="U1040" s="507"/>
      <c r="V1040" s="507"/>
      <c r="W1040" s="507"/>
    </row>
    <row r="1041" ht="35.25" customHeight="1">
      <c r="A1041" s="507"/>
      <c r="B1041" s="507"/>
      <c r="C1041" s="507"/>
      <c r="D1041" s="508"/>
      <c r="E1041" s="507"/>
      <c r="F1041" s="507"/>
      <c r="G1041" s="507"/>
      <c r="H1041" s="507"/>
      <c r="I1041" s="507"/>
      <c r="J1041" s="507"/>
      <c r="K1041" s="507"/>
      <c r="L1041" s="507"/>
      <c r="M1041" s="507"/>
      <c r="N1041" s="507"/>
      <c r="O1041" s="507"/>
      <c r="P1041" s="507"/>
      <c r="Q1041" s="507"/>
      <c r="R1041" s="507"/>
      <c r="S1041" s="507"/>
      <c r="T1041" s="507"/>
      <c r="U1041" s="507"/>
      <c r="V1041" s="507"/>
      <c r="W1041" s="507"/>
    </row>
    <row r="1042" ht="35.25" customHeight="1">
      <c r="A1042" s="507"/>
      <c r="B1042" s="507"/>
      <c r="C1042" s="507"/>
      <c r="D1042" s="508"/>
      <c r="E1042" s="507"/>
      <c r="F1042" s="507"/>
      <c r="G1042" s="507"/>
      <c r="H1042" s="507"/>
      <c r="I1042" s="507"/>
      <c r="J1042" s="507"/>
      <c r="K1042" s="507"/>
      <c r="L1042" s="507"/>
      <c r="M1042" s="507"/>
      <c r="N1042" s="507"/>
      <c r="O1042" s="507"/>
      <c r="P1042" s="507"/>
      <c r="Q1042" s="507"/>
      <c r="R1042" s="507"/>
      <c r="S1042" s="507"/>
      <c r="T1042" s="507"/>
      <c r="U1042" s="507"/>
      <c r="V1042" s="507"/>
      <c r="W1042" s="507"/>
    </row>
    <row r="1043" ht="35.25" customHeight="1">
      <c r="A1043" s="507"/>
      <c r="B1043" s="507"/>
      <c r="C1043" s="507"/>
      <c r="D1043" s="508"/>
      <c r="E1043" s="507"/>
      <c r="F1043" s="507"/>
      <c r="G1043" s="507"/>
      <c r="H1043" s="507"/>
      <c r="I1043" s="507"/>
      <c r="J1043" s="507"/>
      <c r="K1043" s="507"/>
      <c r="L1043" s="507"/>
      <c r="M1043" s="507"/>
      <c r="N1043" s="507"/>
      <c r="O1043" s="507"/>
      <c r="P1043" s="507"/>
      <c r="Q1043" s="507"/>
      <c r="R1043" s="507"/>
      <c r="S1043" s="507"/>
      <c r="T1043" s="507"/>
      <c r="U1043" s="507"/>
      <c r="V1043" s="507"/>
      <c r="W1043" s="507"/>
    </row>
    <row r="1044" ht="35.25" customHeight="1">
      <c r="A1044" s="507"/>
      <c r="B1044" s="507"/>
      <c r="C1044" s="507"/>
      <c r="D1044" s="508"/>
      <c r="E1044" s="507"/>
      <c r="F1044" s="507"/>
      <c r="G1044" s="507"/>
      <c r="H1044" s="507"/>
      <c r="I1044" s="507"/>
      <c r="J1044" s="507"/>
      <c r="K1044" s="507"/>
      <c r="L1044" s="507"/>
      <c r="M1044" s="507"/>
      <c r="N1044" s="507"/>
      <c r="O1044" s="507"/>
      <c r="P1044" s="507"/>
      <c r="Q1044" s="507"/>
      <c r="R1044" s="507"/>
      <c r="S1044" s="507"/>
      <c r="T1044" s="507"/>
      <c r="U1044" s="507"/>
      <c r="V1044" s="507"/>
      <c r="W1044" s="507"/>
    </row>
    <row r="1045" ht="35.25" customHeight="1">
      <c r="A1045" s="507"/>
      <c r="B1045" s="507"/>
      <c r="C1045" s="507"/>
      <c r="D1045" s="508"/>
      <c r="E1045" s="507"/>
      <c r="F1045" s="507"/>
      <c r="G1045" s="507"/>
      <c r="H1045" s="507"/>
      <c r="I1045" s="507"/>
      <c r="J1045" s="507"/>
      <c r="K1045" s="507"/>
      <c r="L1045" s="507"/>
      <c r="M1045" s="507"/>
      <c r="N1045" s="507"/>
      <c r="O1045" s="507"/>
      <c r="P1045" s="507"/>
      <c r="Q1045" s="507"/>
      <c r="R1045" s="507"/>
      <c r="S1045" s="507"/>
      <c r="T1045" s="507"/>
      <c r="U1045" s="507"/>
      <c r="V1045" s="507"/>
      <c r="W1045" s="507"/>
    </row>
    <row r="1046" ht="35.25" customHeight="1">
      <c r="A1046" s="507"/>
      <c r="B1046" s="507"/>
      <c r="C1046" s="507"/>
      <c r="D1046" s="508"/>
      <c r="E1046" s="507"/>
      <c r="F1046" s="507"/>
      <c r="G1046" s="507"/>
      <c r="H1046" s="507"/>
      <c r="I1046" s="507"/>
      <c r="J1046" s="507"/>
      <c r="K1046" s="507"/>
      <c r="L1046" s="507"/>
      <c r="M1046" s="507"/>
      <c r="N1046" s="507"/>
      <c r="O1046" s="507"/>
      <c r="P1046" s="507"/>
      <c r="Q1046" s="507"/>
      <c r="R1046" s="507"/>
      <c r="S1046" s="507"/>
      <c r="T1046" s="507"/>
      <c r="U1046" s="507"/>
      <c r="V1046" s="507"/>
      <c r="W1046" s="507"/>
    </row>
    <row r="1047" ht="35.25" customHeight="1">
      <c r="A1047" s="507"/>
      <c r="B1047" s="507"/>
      <c r="C1047" s="507"/>
      <c r="D1047" s="508"/>
      <c r="E1047" s="507"/>
      <c r="F1047" s="507"/>
      <c r="G1047" s="507"/>
      <c r="H1047" s="507"/>
      <c r="I1047" s="507"/>
      <c r="J1047" s="507"/>
      <c r="K1047" s="507"/>
      <c r="L1047" s="507"/>
      <c r="M1047" s="507"/>
      <c r="N1047" s="507"/>
      <c r="O1047" s="507"/>
      <c r="P1047" s="507"/>
      <c r="Q1047" s="507"/>
      <c r="R1047" s="507"/>
      <c r="S1047" s="507"/>
      <c r="T1047" s="507"/>
      <c r="U1047" s="507"/>
      <c r="V1047" s="507"/>
      <c r="W1047" s="507"/>
    </row>
    <row r="1048" ht="35.25" customHeight="1">
      <c r="A1048" s="507"/>
      <c r="B1048" s="507"/>
      <c r="C1048" s="507"/>
      <c r="D1048" s="508"/>
      <c r="E1048" s="507"/>
      <c r="F1048" s="507"/>
      <c r="G1048" s="507"/>
      <c r="H1048" s="507"/>
      <c r="I1048" s="507"/>
      <c r="J1048" s="507"/>
      <c r="K1048" s="507"/>
      <c r="L1048" s="507"/>
      <c r="M1048" s="507"/>
      <c r="N1048" s="507"/>
      <c r="O1048" s="507"/>
      <c r="P1048" s="507"/>
      <c r="Q1048" s="507"/>
      <c r="R1048" s="507"/>
      <c r="S1048" s="507"/>
      <c r="T1048" s="507"/>
      <c r="U1048" s="507"/>
      <c r="V1048" s="507"/>
      <c r="W1048" s="507"/>
    </row>
    <row r="1049" ht="35.25" customHeight="1">
      <c r="A1049" s="507"/>
      <c r="B1049" s="507"/>
      <c r="C1049" s="507"/>
      <c r="D1049" s="508"/>
      <c r="E1049" s="507"/>
      <c r="F1049" s="507"/>
      <c r="G1049" s="507"/>
      <c r="H1049" s="507"/>
      <c r="I1049" s="507"/>
      <c r="J1049" s="507"/>
      <c r="K1049" s="507"/>
      <c r="L1049" s="507"/>
      <c r="M1049" s="507"/>
      <c r="N1049" s="507"/>
      <c r="O1049" s="507"/>
      <c r="P1049" s="507"/>
      <c r="Q1049" s="507"/>
      <c r="R1049" s="507"/>
      <c r="S1049" s="507"/>
      <c r="T1049" s="507"/>
      <c r="U1049" s="507"/>
      <c r="V1049" s="507"/>
      <c r="W1049" s="507"/>
    </row>
    <row r="1050" ht="35.25" customHeight="1">
      <c r="A1050" s="507"/>
      <c r="B1050" s="507"/>
      <c r="C1050" s="507"/>
      <c r="D1050" s="508"/>
      <c r="E1050" s="507"/>
      <c r="F1050" s="507"/>
      <c r="G1050" s="507"/>
      <c r="H1050" s="507"/>
      <c r="I1050" s="507"/>
      <c r="J1050" s="507"/>
      <c r="K1050" s="507"/>
      <c r="L1050" s="507"/>
      <c r="M1050" s="507"/>
      <c r="N1050" s="507"/>
      <c r="O1050" s="507"/>
      <c r="P1050" s="507"/>
      <c r="Q1050" s="507"/>
      <c r="R1050" s="507"/>
      <c r="S1050" s="507"/>
      <c r="T1050" s="507"/>
      <c r="U1050" s="507"/>
      <c r="V1050" s="507"/>
      <c r="W1050" s="507"/>
    </row>
    <row r="1051" ht="35.25" customHeight="1">
      <c r="A1051" s="507"/>
      <c r="B1051" s="507"/>
      <c r="C1051" s="507"/>
      <c r="D1051" s="508"/>
      <c r="E1051" s="507"/>
      <c r="F1051" s="507"/>
      <c r="G1051" s="507"/>
      <c r="H1051" s="507"/>
      <c r="I1051" s="507"/>
      <c r="J1051" s="507"/>
      <c r="K1051" s="507"/>
      <c r="L1051" s="507"/>
      <c r="M1051" s="507"/>
      <c r="N1051" s="507"/>
      <c r="O1051" s="507"/>
      <c r="P1051" s="507"/>
      <c r="Q1051" s="507"/>
      <c r="R1051" s="507"/>
      <c r="S1051" s="507"/>
      <c r="T1051" s="507"/>
      <c r="U1051" s="507"/>
      <c r="V1051" s="507"/>
      <c r="W1051" s="507"/>
    </row>
    <row r="1052" ht="35.25" customHeight="1">
      <c r="A1052" s="507"/>
      <c r="B1052" s="507"/>
      <c r="C1052" s="507"/>
      <c r="D1052" s="508"/>
      <c r="E1052" s="507"/>
      <c r="F1052" s="507"/>
      <c r="G1052" s="507"/>
      <c r="H1052" s="507"/>
      <c r="I1052" s="507"/>
      <c r="J1052" s="507"/>
      <c r="K1052" s="507"/>
      <c r="L1052" s="507"/>
      <c r="M1052" s="507"/>
      <c r="N1052" s="507"/>
      <c r="O1052" s="507"/>
      <c r="P1052" s="507"/>
      <c r="Q1052" s="507"/>
      <c r="R1052" s="507"/>
      <c r="S1052" s="507"/>
      <c r="T1052" s="507"/>
      <c r="U1052" s="507"/>
      <c r="V1052" s="507"/>
      <c r="W1052" s="507"/>
    </row>
    <row r="1053" ht="35.25" customHeight="1">
      <c r="A1053" s="507"/>
      <c r="B1053" s="507"/>
      <c r="C1053" s="507"/>
      <c r="D1053" s="508"/>
      <c r="E1053" s="507"/>
      <c r="F1053" s="507"/>
      <c r="G1053" s="507"/>
      <c r="H1053" s="507"/>
      <c r="I1053" s="507"/>
      <c r="J1053" s="507"/>
      <c r="K1053" s="507"/>
      <c r="L1053" s="507"/>
      <c r="M1053" s="507"/>
      <c r="N1053" s="507"/>
      <c r="O1053" s="507"/>
      <c r="P1053" s="507"/>
      <c r="Q1053" s="507"/>
      <c r="R1053" s="507"/>
      <c r="S1053" s="507"/>
      <c r="T1053" s="507"/>
      <c r="U1053" s="507"/>
      <c r="V1053" s="507"/>
      <c r="W1053" s="507"/>
    </row>
    <row r="1054" ht="35.25" customHeight="1">
      <c r="A1054" s="507"/>
      <c r="B1054" s="507"/>
      <c r="C1054" s="507"/>
      <c r="D1054" s="508"/>
      <c r="E1054" s="507"/>
      <c r="F1054" s="507"/>
      <c r="G1054" s="507"/>
      <c r="H1054" s="507"/>
      <c r="I1054" s="507"/>
      <c r="J1054" s="507"/>
      <c r="K1054" s="507"/>
      <c r="L1054" s="507"/>
      <c r="M1054" s="507"/>
      <c r="N1054" s="507"/>
      <c r="O1054" s="507"/>
      <c r="P1054" s="507"/>
      <c r="Q1054" s="507"/>
      <c r="R1054" s="507"/>
      <c r="S1054" s="507"/>
      <c r="T1054" s="507"/>
      <c r="U1054" s="507"/>
      <c r="V1054" s="507"/>
      <c r="W1054" s="507"/>
    </row>
    <row r="1055" ht="35.25" customHeight="1">
      <c r="A1055" s="507"/>
      <c r="B1055" s="507"/>
      <c r="C1055" s="507"/>
      <c r="D1055" s="508"/>
      <c r="E1055" s="507"/>
      <c r="F1055" s="507"/>
      <c r="G1055" s="507"/>
      <c r="H1055" s="507"/>
      <c r="I1055" s="507"/>
      <c r="J1055" s="507"/>
      <c r="K1055" s="507"/>
      <c r="L1055" s="507"/>
      <c r="M1055" s="507"/>
      <c r="N1055" s="507"/>
      <c r="O1055" s="507"/>
      <c r="P1055" s="507"/>
      <c r="Q1055" s="507"/>
      <c r="R1055" s="507"/>
      <c r="S1055" s="507"/>
      <c r="T1055" s="507"/>
      <c r="U1055" s="507"/>
      <c r="V1055" s="507"/>
      <c r="W1055" s="507"/>
    </row>
    <row r="1056" ht="35.25" customHeight="1">
      <c r="A1056" s="507"/>
      <c r="B1056" s="507"/>
      <c r="C1056" s="507"/>
      <c r="D1056" s="508"/>
      <c r="E1056" s="507"/>
      <c r="F1056" s="507"/>
      <c r="G1056" s="507"/>
      <c r="H1056" s="507"/>
      <c r="I1056" s="507"/>
      <c r="J1056" s="507"/>
      <c r="K1056" s="507"/>
      <c r="L1056" s="507"/>
      <c r="M1056" s="507"/>
      <c r="N1056" s="507"/>
      <c r="O1056" s="507"/>
      <c r="P1056" s="507"/>
      <c r="Q1056" s="507"/>
      <c r="R1056" s="507"/>
      <c r="S1056" s="507"/>
      <c r="T1056" s="507"/>
      <c r="U1056" s="507"/>
      <c r="V1056" s="507"/>
      <c r="W1056" s="507"/>
    </row>
    <row r="1057" ht="35.25" customHeight="1">
      <c r="A1057" s="507"/>
      <c r="B1057" s="507"/>
      <c r="C1057" s="507"/>
      <c r="D1057" s="508"/>
      <c r="E1057" s="507"/>
      <c r="F1057" s="507"/>
      <c r="G1057" s="507"/>
      <c r="H1057" s="507"/>
      <c r="I1057" s="507"/>
      <c r="J1057" s="507"/>
      <c r="K1057" s="507"/>
      <c r="L1057" s="507"/>
      <c r="M1057" s="507"/>
      <c r="N1057" s="507"/>
      <c r="O1057" s="507"/>
      <c r="P1057" s="507"/>
      <c r="Q1057" s="507"/>
      <c r="R1057" s="507"/>
      <c r="S1057" s="507"/>
      <c r="T1057" s="507"/>
      <c r="U1057" s="507"/>
      <c r="V1057" s="507"/>
      <c r="W1057" s="507"/>
    </row>
    <row r="1058" ht="35.25" customHeight="1">
      <c r="A1058" s="507"/>
      <c r="B1058" s="507"/>
      <c r="C1058" s="507"/>
      <c r="D1058" s="508"/>
      <c r="E1058" s="507"/>
      <c r="F1058" s="507"/>
      <c r="G1058" s="507"/>
      <c r="H1058" s="507"/>
      <c r="I1058" s="507"/>
      <c r="J1058" s="507"/>
      <c r="K1058" s="507"/>
      <c r="L1058" s="507"/>
      <c r="M1058" s="507"/>
      <c r="N1058" s="507"/>
      <c r="O1058" s="507"/>
      <c r="P1058" s="507"/>
      <c r="Q1058" s="507"/>
      <c r="R1058" s="507"/>
      <c r="S1058" s="507"/>
      <c r="T1058" s="507"/>
      <c r="U1058" s="507"/>
      <c r="V1058" s="507"/>
      <c r="W1058" s="507"/>
    </row>
    <row r="1059" ht="35.25" customHeight="1">
      <c r="A1059" s="507"/>
      <c r="B1059" s="507"/>
      <c r="C1059" s="507"/>
      <c r="D1059" s="508"/>
      <c r="E1059" s="507"/>
      <c r="F1059" s="507"/>
      <c r="G1059" s="507"/>
      <c r="H1059" s="507"/>
      <c r="I1059" s="507"/>
      <c r="J1059" s="507"/>
      <c r="K1059" s="507"/>
      <c r="L1059" s="507"/>
      <c r="M1059" s="507"/>
      <c r="N1059" s="507"/>
      <c r="O1059" s="507"/>
      <c r="P1059" s="507"/>
      <c r="Q1059" s="507"/>
      <c r="R1059" s="507"/>
      <c r="S1059" s="507"/>
      <c r="T1059" s="507"/>
      <c r="U1059" s="507"/>
      <c r="V1059" s="507"/>
      <c r="W1059" s="507"/>
    </row>
    <row r="1060" ht="35.25" customHeight="1">
      <c r="A1060" s="507"/>
      <c r="B1060" s="507"/>
      <c r="C1060" s="507"/>
      <c r="D1060" s="508"/>
      <c r="E1060" s="507"/>
      <c r="F1060" s="507"/>
      <c r="G1060" s="507"/>
      <c r="H1060" s="507"/>
      <c r="I1060" s="507"/>
      <c r="J1060" s="507"/>
      <c r="K1060" s="507"/>
      <c r="L1060" s="507"/>
      <c r="M1060" s="507"/>
      <c r="N1060" s="507"/>
      <c r="O1060" s="507"/>
      <c r="P1060" s="507"/>
      <c r="Q1060" s="507"/>
      <c r="R1060" s="507"/>
      <c r="S1060" s="507"/>
      <c r="T1060" s="507"/>
      <c r="U1060" s="507"/>
      <c r="V1060" s="507"/>
      <c r="W1060" s="507"/>
    </row>
    <row r="1061" ht="35.25" customHeight="1">
      <c r="A1061" s="507"/>
      <c r="B1061" s="507"/>
      <c r="C1061" s="507"/>
      <c r="D1061" s="508"/>
      <c r="E1061" s="507"/>
      <c r="F1061" s="507"/>
      <c r="G1061" s="507"/>
      <c r="H1061" s="507"/>
      <c r="I1061" s="507"/>
      <c r="J1061" s="507"/>
      <c r="K1061" s="507"/>
      <c r="L1061" s="507"/>
      <c r="M1061" s="507"/>
      <c r="N1061" s="507"/>
      <c r="O1061" s="507"/>
      <c r="P1061" s="507"/>
      <c r="Q1061" s="507"/>
      <c r="R1061" s="507"/>
      <c r="S1061" s="507"/>
      <c r="T1061" s="507"/>
      <c r="U1061" s="507"/>
      <c r="V1061" s="507"/>
      <c r="W1061" s="507"/>
    </row>
    <row r="1062" ht="35.25" customHeight="1">
      <c r="A1062" s="507"/>
      <c r="B1062" s="507"/>
      <c r="C1062" s="507"/>
      <c r="D1062" s="508"/>
      <c r="E1062" s="507"/>
      <c r="F1062" s="507"/>
      <c r="G1062" s="507"/>
      <c r="H1062" s="507"/>
      <c r="I1062" s="507"/>
      <c r="J1062" s="507"/>
      <c r="K1062" s="507"/>
      <c r="L1062" s="507"/>
      <c r="M1062" s="507"/>
      <c r="N1062" s="507"/>
      <c r="O1062" s="507"/>
      <c r="P1062" s="507"/>
      <c r="Q1062" s="507"/>
      <c r="R1062" s="507"/>
      <c r="S1062" s="507"/>
      <c r="T1062" s="507"/>
      <c r="U1062" s="507"/>
      <c r="V1062" s="507"/>
      <c r="W1062" s="507"/>
    </row>
    <row r="1063" ht="35.25" customHeight="1">
      <c r="A1063" s="507"/>
      <c r="B1063" s="507"/>
      <c r="C1063" s="507"/>
      <c r="D1063" s="508"/>
      <c r="E1063" s="507"/>
      <c r="F1063" s="507"/>
      <c r="G1063" s="507"/>
      <c r="H1063" s="507"/>
      <c r="I1063" s="507"/>
      <c r="J1063" s="507"/>
      <c r="K1063" s="507"/>
      <c r="L1063" s="507"/>
      <c r="M1063" s="507"/>
      <c r="N1063" s="507"/>
      <c r="O1063" s="507"/>
      <c r="P1063" s="507"/>
      <c r="Q1063" s="507"/>
      <c r="R1063" s="507"/>
      <c r="S1063" s="507"/>
      <c r="T1063" s="507"/>
      <c r="U1063" s="507"/>
      <c r="V1063" s="507"/>
      <c r="W1063" s="507"/>
    </row>
    <row r="1064" ht="35.25" customHeight="1">
      <c r="A1064" s="507"/>
      <c r="B1064" s="507"/>
      <c r="C1064" s="507"/>
      <c r="D1064" s="508"/>
      <c r="E1064" s="507"/>
      <c r="F1064" s="507"/>
      <c r="G1064" s="507"/>
      <c r="H1064" s="507"/>
      <c r="I1064" s="507"/>
      <c r="J1064" s="507"/>
      <c r="K1064" s="507"/>
      <c r="L1064" s="507"/>
      <c r="M1064" s="507"/>
      <c r="N1064" s="507"/>
      <c r="O1064" s="507"/>
      <c r="P1064" s="507"/>
      <c r="Q1064" s="507"/>
      <c r="R1064" s="507"/>
      <c r="S1064" s="507"/>
      <c r="T1064" s="507"/>
      <c r="U1064" s="507"/>
      <c r="V1064" s="507"/>
      <c r="W1064" s="507"/>
    </row>
    <row r="1065" ht="35.25" customHeight="1">
      <c r="A1065" s="507"/>
      <c r="B1065" s="507"/>
      <c r="C1065" s="507"/>
      <c r="D1065" s="508"/>
      <c r="E1065" s="507"/>
      <c r="F1065" s="507"/>
      <c r="G1065" s="507"/>
      <c r="H1065" s="507"/>
      <c r="I1065" s="507"/>
      <c r="J1065" s="507"/>
      <c r="K1065" s="507"/>
      <c r="L1065" s="507"/>
      <c r="M1065" s="507"/>
      <c r="N1065" s="507"/>
      <c r="O1065" s="507"/>
      <c r="P1065" s="507"/>
      <c r="Q1065" s="507"/>
      <c r="R1065" s="507"/>
      <c r="S1065" s="507"/>
      <c r="T1065" s="507"/>
      <c r="U1065" s="507"/>
      <c r="V1065" s="507"/>
      <c r="W1065" s="507"/>
    </row>
    <row r="1066" ht="35.25" customHeight="1">
      <c r="A1066" s="507"/>
      <c r="B1066" s="507"/>
      <c r="C1066" s="507"/>
      <c r="D1066" s="508"/>
      <c r="E1066" s="507"/>
      <c r="F1066" s="507"/>
      <c r="G1066" s="507"/>
      <c r="H1066" s="507"/>
      <c r="I1066" s="507"/>
      <c r="J1066" s="507"/>
      <c r="K1066" s="507"/>
      <c r="L1066" s="507"/>
      <c r="M1066" s="507"/>
      <c r="N1066" s="507"/>
      <c r="O1066" s="507"/>
      <c r="P1066" s="507"/>
      <c r="Q1066" s="507"/>
      <c r="R1066" s="507"/>
      <c r="S1066" s="507"/>
      <c r="T1066" s="507"/>
      <c r="U1066" s="507"/>
      <c r="V1066" s="507"/>
      <c r="W1066" s="507"/>
    </row>
    <row r="1067" ht="35.25" customHeight="1">
      <c r="A1067" s="507"/>
      <c r="B1067" s="507"/>
      <c r="C1067" s="507"/>
      <c r="D1067" s="508"/>
      <c r="E1067" s="507"/>
      <c r="F1067" s="507"/>
      <c r="G1067" s="507"/>
      <c r="H1067" s="507"/>
      <c r="I1067" s="507"/>
      <c r="J1067" s="507"/>
      <c r="K1067" s="507"/>
      <c r="L1067" s="507"/>
      <c r="M1067" s="507"/>
      <c r="N1067" s="507"/>
      <c r="O1067" s="507"/>
      <c r="P1067" s="507"/>
      <c r="Q1067" s="507"/>
      <c r="R1067" s="507"/>
      <c r="S1067" s="507"/>
      <c r="T1067" s="507"/>
      <c r="U1067" s="507"/>
      <c r="V1067" s="507"/>
      <c r="W1067" s="507"/>
    </row>
    <row r="1068" ht="35.25" customHeight="1">
      <c r="A1068" s="507"/>
      <c r="B1068" s="507"/>
      <c r="C1068" s="507"/>
      <c r="D1068" s="508"/>
      <c r="E1068" s="507"/>
      <c r="F1068" s="507"/>
      <c r="G1068" s="507"/>
      <c r="H1068" s="507"/>
      <c r="I1068" s="507"/>
      <c r="J1068" s="507"/>
      <c r="K1068" s="507"/>
      <c r="L1068" s="507"/>
      <c r="M1068" s="507"/>
      <c r="N1068" s="507"/>
      <c r="O1068" s="507"/>
      <c r="P1068" s="507"/>
      <c r="Q1068" s="507"/>
      <c r="R1068" s="507"/>
      <c r="S1068" s="507"/>
      <c r="T1068" s="507"/>
      <c r="U1068" s="507"/>
      <c r="V1068" s="507"/>
      <c r="W1068" s="507"/>
    </row>
    <row r="1069" ht="35.25" customHeight="1">
      <c r="A1069" s="507"/>
      <c r="B1069" s="507"/>
      <c r="C1069" s="507"/>
      <c r="D1069" s="508"/>
      <c r="E1069" s="507"/>
      <c r="F1069" s="507"/>
      <c r="G1069" s="507"/>
      <c r="H1069" s="507"/>
      <c r="I1069" s="507"/>
      <c r="J1069" s="507"/>
      <c r="K1069" s="507"/>
      <c r="L1069" s="507"/>
      <c r="M1069" s="507"/>
      <c r="N1069" s="507"/>
      <c r="O1069" s="507"/>
      <c r="P1069" s="507"/>
      <c r="Q1069" s="507"/>
      <c r="R1069" s="507"/>
      <c r="S1069" s="507"/>
      <c r="T1069" s="507"/>
      <c r="U1069" s="507"/>
      <c r="V1069" s="507"/>
      <c r="W1069" s="507"/>
    </row>
    <row r="1070" ht="35.25" customHeight="1">
      <c r="A1070" s="507"/>
      <c r="B1070" s="507"/>
      <c r="C1070" s="507"/>
      <c r="D1070" s="508"/>
      <c r="E1070" s="507"/>
      <c r="F1070" s="507"/>
      <c r="G1070" s="507"/>
      <c r="H1070" s="507"/>
      <c r="I1070" s="507"/>
      <c r="J1070" s="507"/>
      <c r="K1070" s="507"/>
      <c r="L1070" s="507"/>
      <c r="M1070" s="507"/>
      <c r="N1070" s="507"/>
      <c r="O1070" s="507"/>
      <c r="P1070" s="507"/>
      <c r="Q1070" s="507"/>
      <c r="R1070" s="507"/>
      <c r="S1070" s="507"/>
      <c r="T1070" s="507"/>
      <c r="U1070" s="507"/>
      <c r="V1070" s="507"/>
      <c r="W1070" s="507"/>
    </row>
    <row r="1071" ht="35.25" customHeight="1">
      <c r="A1071" s="507"/>
      <c r="B1071" s="507"/>
      <c r="C1071" s="507"/>
      <c r="D1071" s="508"/>
      <c r="E1071" s="507"/>
      <c r="F1071" s="507"/>
      <c r="G1071" s="507"/>
      <c r="H1071" s="507"/>
      <c r="I1071" s="507"/>
      <c r="J1071" s="507"/>
      <c r="K1071" s="507"/>
      <c r="L1071" s="507"/>
      <c r="M1071" s="507"/>
      <c r="N1071" s="507"/>
      <c r="O1071" s="507"/>
      <c r="P1071" s="507"/>
      <c r="Q1071" s="507"/>
      <c r="R1071" s="507"/>
      <c r="S1071" s="507"/>
      <c r="T1071" s="507"/>
      <c r="U1071" s="507"/>
      <c r="V1071" s="507"/>
      <c r="W1071" s="507"/>
    </row>
    <row r="1072" ht="35.25" customHeight="1">
      <c r="A1072" s="507"/>
      <c r="B1072" s="507"/>
      <c r="C1072" s="507"/>
      <c r="D1072" s="508"/>
      <c r="E1072" s="507"/>
      <c r="F1072" s="507"/>
      <c r="G1072" s="507"/>
      <c r="H1072" s="507"/>
      <c r="I1072" s="507"/>
      <c r="J1072" s="507"/>
      <c r="K1072" s="507"/>
      <c r="L1072" s="507"/>
      <c r="M1072" s="507"/>
      <c r="N1072" s="507"/>
      <c r="O1072" s="507"/>
      <c r="P1072" s="507"/>
      <c r="Q1072" s="507"/>
      <c r="R1072" s="507"/>
      <c r="S1072" s="507"/>
      <c r="T1072" s="507"/>
      <c r="U1072" s="507"/>
      <c r="V1072" s="507"/>
      <c r="W1072" s="507"/>
    </row>
    <row r="1073" ht="35.25" customHeight="1">
      <c r="A1073" s="507"/>
      <c r="B1073" s="507"/>
      <c r="C1073" s="507"/>
      <c r="D1073" s="508"/>
      <c r="E1073" s="507"/>
      <c r="F1073" s="507"/>
      <c r="G1073" s="507"/>
      <c r="H1073" s="507"/>
      <c r="I1073" s="507"/>
      <c r="J1073" s="507"/>
      <c r="K1073" s="507"/>
      <c r="L1073" s="507"/>
      <c r="M1073" s="507"/>
      <c r="N1073" s="507"/>
      <c r="O1073" s="507"/>
      <c r="P1073" s="507"/>
      <c r="Q1073" s="507"/>
      <c r="R1073" s="507"/>
      <c r="S1073" s="507"/>
      <c r="T1073" s="507"/>
      <c r="U1073" s="507"/>
      <c r="V1073" s="507"/>
      <c r="W1073" s="507"/>
    </row>
    <row r="1074" ht="35.25" customHeight="1">
      <c r="A1074" s="507"/>
      <c r="B1074" s="507"/>
      <c r="C1074" s="507"/>
      <c r="D1074" s="508"/>
      <c r="E1074" s="507"/>
      <c r="F1074" s="507"/>
      <c r="G1074" s="507"/>
      <c r="H1074" s="507"/>
      <c r="I1074" s="507"/>
      <c r="J1074" s="507"/>
      <c r="K1074" s="507"/>
      <c r="L1074" s="507"/>
      <c r="M1074" s="507"/>
      <c r="N1074" s="507"/>
      <c r="O1074" s="507"/>
      <c r="P1074" s="507"/>
      <c r="Q1074" s="507"/>
      <c r="R1074" s="507"/>
      <c r="S1074" s="507"/>
      <c r="T1074" s="507"/>
      <c r="U1074" s="507"/>
      <c r="V1074" s="507"/>
      <c r="W1074" s="507"/>
    </row>
    <row r="1075" ht="35.25" customHeight="1">
      <c r="A1075" s="507"/>
      <c r="B1075" s="507"/>
      <c r="C1075" s="507"/>
      <c r="D1075" s="508"/>
      <c r="E1075" s="507"/>
      <c r="F1075" s="507"/>
      <c r="G1075" s="507"/>
      <c r="H1075" s="507"/>
      <c r="I1075" s="507"/>
      <c r="J1075" s="507"/>
      <c r="K1075" s="507"/>
      <c r="L1075" s="507"/>
      <c r="M1075" s="507"/>
      <c r="N1075" s="507"/>
      <c r="O1075" s="507"/>
      <c r="P1075" s="507"/>
      <c r="Q1075" s="507"/>
      <c r="R1075" s="507"/>
      <c r="S1075" s="507"/>
      <c r="T1075" s="507"/>
      <c r="U1075" s="507"/>
      <c r="V1075" s="507"/>
      <c r="W1075" s="507"/>
    </row>
    <row r="1076" ht="35.25" customHeight="1">
      <c r="A1076" s="507"/>
      <c r="B1076" s="507"/>
      <c r="C1076" s="507"/>
      <c r="D1076" s="508"/>
      <c r="E1076" s="507"/>
      <c r="F1076" s="507"/>
      <c r="G1076" s="507"/>
      <c r="H1076" s="507"/>
      <c r="I1076" s="507"/>
      <c r="J1076" s="507"/>
      <c r="K1076" s="507"/>
      <c r="L1076" s="507"/>
      <c r="M1076" s="507"/>
      <c r="N1076" s="507"/>
      <c r="O1076" s="507"/>
      <c r="P1076" s="507"/>
      <c r="Q1076" s="507"/>
      <c r="R1076" s="507"/>
      <c r="S1076" s="507"/>
      <c r="T1076" s="507"/>
      <c r="U1076" s="507"/>
      <c r="V1076" s="507"/>
      <c r="W1076" s="507"/>
    </row>
    <row r="1077" ht="35.25" customHeight="1">
      <c r="A1077" s="507"/>
      <c r="B1077" s="507"/>
      <c r="C1077" s="507"/>
      <c r="D1077" s="508"/>
      <c r="E1077" s="507"/>
      <c r="F1077" s="507"/>
      <c r="G1077" s="507"/>
      <c r="H1077" s="507"/>
      <c r="I1077" s="507"/>
      <c r="J1077" s="507"/>
      <c r="K1077" s="507"/>
      <c r="L1077" s="507"/>
      <c r="M1077" s="507"/>
      <c r="N1077" s="507"/>
      <c r="O1077" s="507"/>
      <c r="P1077" s="507"/>
      <c r="Q1077" s="507"/>
      <c r="R1077" s="507"/>
      <c r="S1077" s="507"/>
      <c r="T1077" s="507"/>
      <c r="U1077" s="507"/>
      <c r="V1077" s="507"/>
      <c r="W1077" s="507"/>
    </row>
    <row r="1078" ht="35.25" customHeight="1">
      <c r="A1078" s="507"/>
      <c r="B1078" s="507"/>
      <c r="C1078" s="507"/>
      <c r="D1078" s="508"/>
      <c r="E1078" s="507"/>
      <c r="F1078" s="507"/>
      <c r="G1078" s="507"/>
      <c r="H1078" s="507"/>
      <c r="I1078" s="507"/>
      <c r="J1078" s="507"/>
      <c r="K1078" s="507"/>
      <c r="L1078" s="507"/>
      <c r="M1078" s="507"/>
      <c r="N1078" s="507"/>
      <c r="O1078" s="507"/>
      <c r="P1078" s="507"/>
      <c r="Q1078" s="507"/>
      <c r="R1078" s="507"/>
      <c r="S1078" s="507"/>
      <c r="T1078" s="507"/>
      <c r="U1078" s="507"/>
      <c r="V1078" s="507"/>
      <c r="W1078" s="507"/>
    </row>
    <row r="1079" ht="35.25" customHeight="1">
      <c r="A1079" s="507"/>
      <c r="B1079" s="507"/>
      <c r="C1079" s="507"/>
      <c r="D1079" s="508"/>
      <c r="E1079" s="507"/>
      <c r="F1079" s="507"/>
      <c r="G1079" s="507"/>
      <c r="H1079" s="507"/>
      <c r="I1079" s="507"/>
      <c r="J1079" s="507"/>
      <c r="K1079" s="507"/>
      <c r="L1079" s="507"/>
      <c r="M1079" s="507"/>
      <c r="N1079" s="507"/>
      <c r="O1079" s="507"/>
      <c r="P1079" s="507"/>
      <c r="Q1079" s="507"/>
      <c r="R1079" s="507"/>
      <c r="S1079" s="507"/>
      <c r="T1079" s="507"/>
      <c r="U1079" s="507"/>
      <c r="V1079" s="507"/>
      <c r="W1079" s="507"/>
    </row>
    <row r="1080" ht="35.25" customHeight="1">
      <c r="A1080" s="507"/>
      <c r="B1080" s="507"/>
      <c r="C1080" s="507"/>
      <c r="D1080" s="508"/>
      <c r="E1080" s="507"/>
      <c r="F1080" s="507"/>
      <c r="G1080" s="507"/>
      <c r="H1080" s="507"/>
      <c r="I1080" s="507"/>
      <c r="J1080" s="507"/>
      <c r="K1080" s="507"/>
      <c r="L1080" s="507"/>
      <c r="M1080" s="507"/>
      <c r="N1080" s="507"/>
      <c r="O1080" s="507"/>
      <c r="P1080" s="507"/>
      <c r="Q1080" s="507"/>
      <c r="R1080" s="507"/>
      <c r="S1080" s="507"/>
      <c r="T1080" s="507"/>
      <c r="U1080" s="507"/>
      <c r="V1080" s="507"/>
      <c r="W1080" s="507"/>
    </row>
    <row r="1081" ht="35.25" customHeight="1">
      <c r="A1081" s="507"/>
      <c r="B1081" s="507"/>
      <c r="C1081" s="507"/>
      <c r="D1081" s="508"/>
      <c r="E1081" s="507"/>
      <c r="F1081" s="507"/>
      <c r="G1081" s="507"/>
      <c r="H1081" s="507"/>
      <c r="I1081" s="507"/>
      <c r="J1081" s="507"/>
      <c r="K1081" s="507"/>
      <c r="L1081" s="507"/>
      <c r="M1081" s="507"/>
      <c r="N1081" s="507"/>
      <c r="O1081" s="507"/>
      <c r="P1081" s="507"/>
      <c r="Q1081" s="507"/>
      <c r="R1081" s="507"/>
      <c r="S1081" s="507"/>
      <c r="T1081" s="507"/>
      <c r="U1081" s="507"/>
      <c r="V1081" s="507"/>
      <c r="W1081" s="507"/>
    </row>
    <row r="1082" ht="35.25" customHeight="1">
      <c r="A1082" s="507"/>
      <c r="B1082" s="507"/>
      <c r="C1082" s="507"/>
      <c r="D1082" s="508"/>
      <c r="E1082" s="507"/>
      <c r="F1082" s="507"/>
      <c r="G1082" s="507"/>
      <c r="H1082" s="507"/>
      <c r="I1082" s="507"/>
      <c r="J1082" s="507"/>
      <c r="K1082" s="507"/>
      <c r="L1082" s="507"/>
      <c r="M1082" s="507"/>
      <c r="N1082" s="507"/>
      <c r="O1082" s="507"/>
      <c r="P1082" s="507"/>
      <c r="Q1082" s="507"/>
      <c r="R1082" s="507"/>
      <c r="S1082" s="507"/>
      <c r="T1082" s="507"/>
      <c r="U1082" s="507"/>
      <c r="V1082" s="507"/>
      <c r="W1082" s="507"/>
    </row>
    <row r="1083" ht="35.25" customHeight="1">
      <c r="A1083" s="507"/>
      <c r="B1083" s="507"/>
      <c r="C1083" s="507"/>
      <c r="D1083" s="508"/>
      <c r="E1083" s="507"/>
      <c r="F1083" s="507"/>
      <c r="G1083" s="507"/>
      <c r="H1083" s="507"/>
      <c r="I1083" s="507"/>
      <c r="J1083" s="507"/>
      <c r="K1083" s="507"/>
      <c r="L1083" s="507"/>
      <c r="M1083" s="507"/>
      <c r="N1083" s="507"/>
      <c r="O1083" s="507"/>
      <c r="P1083" s="507"/>
      <c r="Q1083" s="507"/>
      <c r="R1083" s="507"/>
      <c r="S1083" s="507"/>
      <c r="T1083" s="507"/>
      <c r="U1083" s="507"/>
      <c r="V1083" s="507"/>
      <c r="W1083" s="507"/>
    </row>
    <row r="1084" ht="35.25" customHeight="1">
      <c r="A1084" s="507"/>
      <c r="B1084" s="507"/>
      <c r="C1084" s="507"/>
      <c r="D1084" s="508"/>
      <c r="E1084" s="507"/>
      <c r="F1084" s="507"/>
      <c r="G1084" s="507"/>
      <c r="H1084" s="507"/>
      <c r="I1084" s="507"/>
      <c r="J1084" s="507"/>
      <c r="K1084" s="507"/>
      <c r="L1084" s="507"/>
      <c r="M1084" s="507"/>
      <c r="N1084" s="507"/>
      <c r="O1084" s="507"/>
      <c r="P1084" s="507"/>
      <c r="Q1084" s="507"/>
      <c r="R1084" s="507"/>
      <c r="S1084" s="507"/>
      <c r="T1084" s="507"/>
      <c r="U1084" s="507"/>
      <c r="V1084" s="507"/>
      <c r="W1084" s="507"/>
    </row>
    <row r="1085" ht="35.25" customHeight="1">
      <c r="A1085" s="507"/>
      <c r="B1085" s="507"/>
      <c r="C1085" s="507"/>
      <c r="D1085" s="508"/>
      <c r="E1085" s="507"/>
      <c r="F1085" s="507"/>
      <c r="G1085" s="507"/>
      <c r="H1085" s="507"/>
      <c r="I1085" s="507"/>
      <c r="J1085" s="507"/>
      <c r="K1085" s="507"/>
      <c r="L1085" s="507"/>
      <c r="M1085" s="507"/>
      <c r="N1085" s="507"/>
      <c r="O1085" s="507"/>
      <c r="P1085" s="507"/>
      <c r="Q1085" s="507"/>
      <c r="R1085" s="507"/>
      <c r="S1085" s="507"/>
      <c r="T1085" s="507"/>
      <c r="U1085" s="507"/>
      <c r="V1085" s="507"/>
      <c r="W1085" s="507"/>
    </row>
    <row r="1086" ht="35.25" customHeight="1">
      <c r="A1086" s="507"/>
      <c r="B1086" s="507"/>
      <c r="C1086" s="507"/>
      <c r="D1086" s="508"/>
      <c r="E1086" s="507"/>
      <c r="F1086" s="507"/>
      <c r="G1086" s="507"/>
      <c r="H1086" s="507"/>
      <c r="I1086" s="507"/>
      <c r="J1086" s="507"/>
      <c r="K1086" s="507"/>
      <c r="L1086" s="507"/>
      <c r="M1086" s="507"/>
      <c r="N1086" s="507"/>
      <c r="O1086" s="507"/>
      <c r="P1086" s="507"/>
      <c r="Q1086" s="507"/>
      <c r="R1086" s="507"/>
      <c r="S1086" s="507"/>
      <c r="T1086" s="507"/>
      <c r="U1086" s="507"/>
      <c r="V1086" s="507"/>
      <c r="W1086" s="507"/>
    </row>
    <row r="1087" ht="35.25" customHeight="1">
      <c r="A1087" s="507"/>
      <c r="B1087" s="507"/>
      <c r="C1087" s="507"/>
      <c r="D1087" s="508"/>
      <c r="E1087" s="507"/>
      <c r="F1087" s="507"/>
      <c r="G1087" s="507"/>
      <c r="H1087" s="507"/>
      <c r="I1087" s="507"/>
      <c r="J1087" s="507"/>
      <c r="K1087" s="507"/>
      <c r="L1087" s="507"/>
      <c r="M1087" s="507"/>
      <c r="N1087" s="507"/>
      <c r="O1087" s="507"/>
      <c r="P1087" s="507"/>
      <c r="Q1087" s="507"/>
      <c r="R1087" s="507"/>
      <c r="S1087" s="507"/>
      <c r="T1087" s="507"/>
      <c r="U1087" s="507"/>
      <c r="V1087" s="507"/>
      <c r="W1087" s="507"/>
    </row>
    <row r="1088" ht="35.25" customHeight="1">
      <c r="A1088" s="507"/>
      <c r="B1088" s="507"/>
      <c r="C1088" s="507"/>
      <c r="D1088" s="508"/>
      <c r="E1088" s="507"/>
      <c r="F1088" s="507"/>
      <c r="G1088" s="507"/>
      <c r="H1088" s="507"/>
      <c r="I1088" s="507"/>
      <c r="J1088" s="507"/>
      <c r="K1088" s="507"/>
      <c r="L1088" s="507"/>
      <c r="M1088" s="507"/>
      <c r="N1088" s="507"/>
      <c r="O1088" s="507"/>
      <c r="P1088" s="507"/>
      <c r="Q1088" s="507"/>
      <c r="R1088" s="507"/>
      <c r="S1088" s="507"/>
      <c r="T1088" s="507"/>
      <c r="U1088" s="507"/>
      <c r="V1088" s="507"/>
      <c r="W1088" s="507"/>
    </row>
    <row r="1089" ht="35.25" customHeight="1">
      <c r="A1089" s="507"/>
      <c r="B1089" s="507"/>
      <c r="C1089" s="507"/>
      <c r="D1089" s="508"/>
      <c r="E1089" s="507"/>
      <c r="F1089" s="507"/>
      <c r="G1089" s="507"/>
      <c r="H1089" s="507"/>
      <c r="I1089" s="507"/>
      <c r="J1089" s="507"/>
      <c r="K1089" s="507"/>
      <c r="L1089" s="507"/>
      <c r="M1089" s="507"/>
      <c r="N1089" s="507"/>
      <c r="O1089" s="507"/>
      <c r="P1089" s="507"/>
      <c r="Q1089" s="507"/>
      <c r="R1089" s="507"/>
      <c r="S1089" s="507"/>
      <c r="T1089" s="507"/>
      <c r="U1089" s="507"/>
      <c r="V1089" s="507"/>
      <c r="W1089" s="507"/>
    </row>
    <row r="1090" ht="35.25" customHeight="1">
      <c r="A1090" s="507"/>
      <c r="B1090" s="507"/>
      <c r="C1090" s="507"/>
      <c r="D1090" s="508"/>
      <c r="E1090" s="507"/>
      <c r="F1090" s="507"/>
      <c r="G1090" s="507"/>
      <c r="H1090" s="507"/>
      <c r="I1090" s="507"/>
      <c r="J1090" s="507"/>
      <c r="K1090" s="507"/>
      <c r="L1090" s="507"/>
      <c r="M1090" s="507"/>
      <c r="N1090" s="507"/>
      <c r="O1090" s="507"/>
      <c r="P1090" s="507"/>
      <c r="Q1090" s="507"/>
      <c r="R1090" s="507"/>
      <c r="S1090" s="507"/>
      <c r="T1090" s="507"/>
      <c r="U1090" s="507"/>
      <c r="V1090" s="507"/>
      <c r="W1090" s="507"/>
    </row>
    <row r="1091" ht="35.25" customHeight="1">
      <c r="A1091" s="507"/>
      <c r="B1091" s="507"/>
      <c r="C1091" s="507"/>
      <c r="D1091" s="508"/>
      <c r="E1091" s="507"/>
      <c r="F1091" s="507"/>
      <c r="G1091" s="507"/>
      <c r="H1091" s="507"/>
      <c r="I1091" s="507"/>
      <c r="J1091" s="507"/>
      <c r="K1091" s="507"/>
      <c r="L1091" s="507"/>
      <c r="M1091" s="507"/>
      <c r="N1091" s="507"/>
      <c r="O1091" s="507"/>
      <c r="P1091" s="507"/>
      <c r="Q1091" s="507"/>
      <c r="R1091" s="507"/>
      <c r="S1091" s="507"/>
      <c r="T1091" s="507"/>
      <c r="U1091" s="507"/>
      <c r="V1091" s="507"/>
      <c r="W1091" s="507"/>
    </row>
    <row r="1092" ht="35.25" customHeight="1">
      <c r="A1092" s="507"/>
      <c r="B1092" s="507"/>
      <c r="C1092" s="507"/>
      <c r="D1092" s="508"/>
      <c r="E1092" s="507"/>
      <c r="F1092" s="507"/>
      <c r="G1092" s="507"/>
      <c r="H1092" s="507"/>
      <c r="I1092" s="507"/>
      <c r="J1092" s="507"/>
      <c r="K1092" s="507"/>
      <c r="L1092" s="507"/>
      <c r="M1092" s="507"/>
      <c r="N1092" s="507"/>
      <c r="O1092" s="507"/>
      <c r="P1092" s="507"/>
      <c r="Q1092" s="507"/>
      <c r="R1092" s="507"/>
      <c r="S1092" s="507"/>
      <c r="T1092" s="507"/>
      <c r="U1092" s="507"/>
      <c r="V1092" s="507"/>
      <c r="W1092" s="507"/>
    </row>
    <row r="1093" ht="35.25" customHeight="1">
      <c r="A1093" s="507"/>
      <c r="B1093" s="507"/>
      <c r="C1093" s="507"/>
      <c r="D1093" s="508"/>
      <c r="E1093" s="507"/>
      <c r="F1093" s="507"/>
      <c r="G1093" s="507"/>
      <c r="H1093" s="507"/>
      <c r="I1093" s="507"/>
      <c r="J1093" s="507"/>
      <c r="K1093" s="507"/>
      <c r="L1093" s="507"/>
      <c r="M1093" s="507"/>
      <c r="N1093" s="507"/>
      <c r="O1093" s="507"/>
      <c r="P1093" s="507"/>
      <c r="Q1093" s="507"/>
      <c r="R1093" s="507"/>
      <c r="S1093" s="507"/>
      <c r="T1093" s="507"/>
      <c r="U1093" s="507"/>
      <c r="V1093" s="507"/>
      <c r="W1093" s="507"/>
    </row>
    <row r="1094" ht="35.25" customHeight="1">
      <c r="A1094" s="507"/>
      <c r="B1094" s="507"/>
      <c r="C1094" s="507"/>
      <c r="D1094" s="508"/>
      <c r="E1094" s="507"/>
      <c r="F1094" s="507"/>
      <c r="G1094" s="507"/>
      <c r="H1094" s="507"/>
      <c r="I1094" s="507"/>
      <c r="J1094" s="507"/>
      <c r="K1094" s="507"/>
      <c r="L1094" s="507"/>
      <c r="M1094" s="507"/>
      <c r="N1094" s="507"/>
      <c r="O1094" s="507"/>
      <c r="P1094" s="507"/>
      <c r="Q1094" s="507"/>
      <c r="R1094" s="507"/>
      <c r="S1094" s="507"/>
      <c r="T1094" s="507"/>
      <c r="U1094" s="507"/>
      <c r="V1094" s="507"/>
      <c r="W1094" s="507"/>
    </row>
    <row r="1095" ht="35.25" customHeight="1">
      <c r="A1095" s="507"/>
      <c r="B1095" s="507"/>
      <c r="C1095" s="507"/>
      <c r="D1095" s="508"/>
      <c r="E1095" s="507"/>
      <c r="F1095" s="507"/>
      <c r="G1095" s="507"/>
      <c r="H1095" s="507"/>
      <c r="I1095" s="507"/>
      <c r="J1095" s="507"/>
      <c r="K1095" s="507"/>
      <c r="L1095" s="507"/>
      <c r="M1095" s="507"/>
      <c r="N1095" s="507"/>
      <c r="O1095" s="507"/>
      <c r="P1095" s="507"/>
      <c r="Q1095" s="507"/>
      <c r="R1095" s="507"/>
      <c r="S1095" s="507"/>
      <c r="T1095" s="507"/>
      <c r="U1095" s="507"/>
      <c r="V1095" s="507"/>
      <c r="W1095" s="507"/>
    </row>
    <row r="1096" ht="35.25" customHeight="1">
      <c r="A1096" s="507"/>
      <c r="B1096" s="507"/>
      <c r="C1096" s="507"/>
      <c r="D1096" s="508"/>
      <c r="E1096" s="507"/>
      <c r="F1096" s="507"/>
      <c r="G1096" s="507"/>
      <c r="H1096" s="507"/>
      <c r="I1096" s="507"/>
      <c r="J1096" s="507"/>
      <c r="K1096" s="507"/>
      <c r="L1096" s="507"/>
      <c r="M1096" s="507"/>
      <c r="N1096" s="507"/>
      <c r="O1096" s="507"/>
      <c r="P1096" s="507"/>
      <c r="Q1096" s="507"/>
      <c r="R1096" s="507"/>
      <c r="S1096" s="507"/>
      <c r="T1096" s="507"/>
      <c r="U1096" s="507"/>
      <c r="V1096" s="507"/>
      <c r="W1096" s="507"/>
    </row>
    <row r="1097" ht="35.25" customHeight="1">
      <c r="A1097" s="507"/>
      <c r="B1097" s="507"/>
      <c r="C1097" s="507"/>
      <c r="D1097" s="508"/>
      <c r="E1097" s="507"/>
      <c r="F1097" s="507"/>
      <c r="G1097" s="507"/>
      <c r="H1097" s="507"/>
      <c r="I1097" s="507"/>
      <c r="J1097" s="507"/>
      <c r="K1097" s="507"/>
      <c r="L1097" s="507"/>
      <c r="M1097" s="507"/>
      <c r="N1097" s="507"/>
      <c r="O1097" s="507"/>
      <c r="P1097" s="507"/>
      <c r="Q1097" s="507"/>
      <c r="R1097" s="507"/>
      <c r="S1097" s="507"/>
      <c r="T1097" s="507"/>
      <c r="U1097" s="507"/>
      <c r="V1097" s="507"/>
      <c r="W1097" s="507"/>
    </row>
    <row r="1098" ht="35.25" customHeight="1">
      <c r="A1098" s="507"/>
      <c r="B1098" s="507"/>
      <c r="C1098" s="507"/>
      <c r="D1098" s="508"/>
      <c r="E1098" s="507"/>
      <c r="F1098" s="507"/>
      <c r="G1098" s="507"/>
      <c r="H1098" s="507"/>
      <c r="I1098" s="507"/>
      <c r="J1098" s="507"/>
      <c r="K1098" s="507"/>
      <c r="L1098" s="507"/>
      <c r="M1098" s="507"/>
      <c r="N1098" s="507"/>
      <c r="O1098" s="507"/>
      <c r="P1098" s="507"/>
      <c r="Q1098" s="507"/>
      <c r="R1098" s="507"/>
      <c r="S1098" s="507"/>
      <c r="T1098" s="507"/>
      <c r="U1098" s="507"/>
      <c r="V1098" s="507"/>
      <c r="W1098" s="507"/>
    </row>
    <row r="1099" ht="35.25" customHeight="1">
      <c r="A1099" s="507"/>
      <c r="B1099" s="507"/>
      <c r="C1099" s="507"/>
      <c r="D1099" s="508"/>
      <c r="E1099" s="507"/>
      <c r="F1099" s="507"/>
      <c r="G1099" s="507"/>
      <c r="H1099" s="507"/>
      <c r="I1099" s="507"/>
      <c r="J1099" s="507"/>
      <c r="K1099" s="507"/>
      <c r="L1099" s="507"/>
      <c r="M1099" s="507"/>
      <c r="N1099" s="507"/>
      <c r="O1099" s="507"/>
      <c r="P1099" s="507"/>
      <c r="Q1099" s="507"/>
      <c r="R1099" s="507"/>
      <c r="S1099" s="507"/>
      <c r="T1099" s="507"/>
      <c r="U1099" s="507"/>
      <c r="V1099" s="507"/>
      <c r="W1099" s="507"/>
    </row>
    <row r="1100" ht="35.25" customHeight="1">
      <c r="A1100" s="507"/>
      <c r="B1100" s="507"/>
      <c r="C1100" s="507"/>
      <c r="D1100" s="508"/>
      <c r="E1100" s="507"/>
      <c r="F1100" s="507"/>
      <c r="G1100" s="507"/>
      <c r="H1100" s="507"/>
      <c r="I1100" s="507"/>
      <c r="J1100" s="507"/>
      <c r="K1100" s="507"/>
      <c r="L1100" s="507"/>
      <c r="M1100" s="507"/>
      <c r="N1100" s="507"/>
      <c r="O1100" s="507"/>
      <c r="P1100" s="507"/>
      <c r="Q1100" s="507"/>
      <c r="R1100" s="507"/>
      <c r="S1100" s="507"/>
      <c r="T1100" s="507"/>
      <c r="U1100" s="507"/>
      <c r="V1100" s="507"/>
      <c r="W1100" s="507"/>
    </row>
    <row r="1101" ht="35.25" customHeight="1">
      <c r="A1101" s="507"/>
      <c r="B1101" s="507"/>
      <c r="C1101" s="507"/>
      <c r="D1101" s="508"/>
      <c r="E1101" s="507"/>
      <c r="F1101" s="507"/>
      <c r="G1101" s="507"/>
      <c r="H1101" s="507"/>
      <c r="I1101" s="507"/>
      <c r="J1101" s="507"/>
      <c r="K1101" s="507"/>
      <c r="L1101" s="507"/>
      <c r="M1101" s="507"/>
      <c r="N1101" s="507"/>
      <c r="O1101" s="507"/>
      <c r="P1101" s="507"/>
      <c r="Q1101" s="507"/>
      <c r="R1101" s="507"/>
      <c r="S1101" s="507"/>
      <c r="T1101" s="507"/>
      <c r="U1101" s="507"/>
      <c r="V1101" s="507"/>
      <c r="W1101" s="507"/>
    </row>
    <row r="1102" ht="35.25" customHeight="1">
      <c r="A1102" s="507"/>
      <c r="B1102" s="507"/>
      <c r="C1102" s="507"/>
      <c r="D1102" s="508"/>
      <c r="E1102" s="507"/>
      <c r="F1102" s="507"/>
      <c r="G1102" s="507"/>
      <c r="H1102" s="507"/>
      <c r="I1102" s="507"/>
      <c r="J1102" s="507"/>
      <c r="K1102" s="507"/>
      <c r="L1102" s="507"/>
      <c r="M1102" s="507"/>
      <c r="N1102" s="507"/>
      <c r="O1102" s="507"/>
      <c r="P1102" s="507"/>
      <c r="Q1102" s="507"/>
      <c r="R1102" s="507"/>
      <c r="S1102" s="507"/>
      <c r="T1102" s="507"/>
      <c r="U1102" s="507"/>
      <c r="V1102" s="507"/>
      <c r="W1102" s="507"/>
    </row>
    <row r="1103" ht="35.25" customHeight="1">
      <c r="A1103" s="507"/>
      <c r="B1103" s="507"/>
      <c r="C1103" s="507"/>
      <c r="D1103" s="508"/>
      <c r="E1103" s="507"/>
      <c r="F1103" s="507"/>
      <c r="G1103" s="507"/>
      <c r="H1103" s="507"/>
      <c r="I1103" s="507"/>
      <c r="J1103" s="507"/>
      <c r="K1103" s="507"/>
      <c r="L1103" s="507"/>
      <c r="M1103" s="507"/>
      <c r="N1103" s="507"/>
      <c r="O1103" s="507"/>
      <c r="P1103" s="507"/>
      <c r="Q1103" s="507"/>
      <c r="R1103" s="507"/>
      <c r="S1103" s="507"/>
      <c r="T1103" s="507"/>
      <c r="U1103" s="507"/>
      <c r="V1103" s="507"/>
      <c r="W1103" s="507"/>
    </row>
    <row r="1104" ht="35.25" customHeight="1">
      <c r="A1104" s="507"/>
      <c r="B1104" s="507"/>
      <c r="C1104" s="507"/>
      <c r="D1104" s="508"/>
      <c r="E1104" s="507"/>
      <c r="F1104" s="507"/>
      <c r="G1104" s="507"/>
      <c r="H1104" s="507"/>
      <c r="I1104" s="507"/>
      <c r="J1104" s="507"/>
      <c r="K1104" s="507"/>
      <c r="L1104" s="507"/>
      <c r="M1104" s="507"/>
      <c r="N1104" s="507"/>
      <c r="O1104" s="507"/>
      <c r="P1104" s="507"/>
      <c r="Q1104" s="507"/>
      <c r="R1104" s="507"/>
      <c r="S1104" s="507"/>
      <c r="T1104" s="507"/>
      <c r="U1104" s="507"/>
      <c r="V1104" s="507"/>
      <c r="W1104" s="507"/>
    </row>
    <row r="1105" ht="35.25" customHeight="1">
      <c r="A1105" s="507"/>
      <c r="B1105" s="507"/>
      <c r="C1105" s="507"/>
      <c r="D1105" s="508"/>
      <c r="E1105" s="507"/>
      <c r="F1105" s="507"/>
      <c r="G1105" s="507"/>
      <c r="H1105" s="507"/>
      <c r="I1105" s="507"/>
      <c r="J1105" s="507"/>
      <c r="K1105" s="507"/>
      <c r="L1105" s="507"/>
      <c r="M1105" s="507"/>
      <c r="N1105" s="507"/>
      <c r="O1105" s="507"/>
      <c r="P1105" s="507"/>
      <c r="Q1105" s="507"/>
      <c r="R1105" s="507"/>
      <c r="S1105" s="507"/>
      <c r="T1105" s="507"/>
      <c r="U1105" s="507"/>
      <c r="V1105" s="507"/>
      <c r="W1105" s="507"/>
    </row>
    <row r="1106" ht="35.25" customHeight="1">
      <c r="A1106" s="507"/>
      <c r="B1106" s="507"/>
      <c r="C1106" s="507"/>
      <c r="D1106" s="508"/>
      <c r="E1106" s="507"/>
      <c r="F1106" s="507"/>
      <c r="G1106" s="507"/>
      <c r="H1106" s="507"/>
      <c r="I1106" s="507"/>
      <c r="J1106" s="507"/>
      <c r="K1106" s="507"/>
      <c r="L1106" s="507"/>
      <c r="M1106" s="507"/>
      <c r="N1106" s="507"/>
      <c r="O1106" s="507"/>
      <c r="P1106" s="507"/>
      <c r="Q1106" s="507"/>
      <c r="R1106" s="507"/>
      <c r="S1106" s="507"/>
      <c r="T1106" s="507"/>
      <c r="U1106" s="507"/>
      <c r="V1106" s="507"/>
      <c r="W1106" s="507"/>
    </row>
    <row r="1107" ht="35.25" customHeight="1">
      <c r="A1107" s="507"/>
      <c r="B1107" s="507"/>
      <c r="C1107" s="507"/>
      <c r="D1107" s="508"/>
      <c r="E1107" s="507"/>
      <c r="F1107" s="507"/>
      <c r="G1107" s="507"/>
      <c r="H1107" s="507"/>
      <c r="I1107" s="507"/>
      <c r="J1107" s="507"/>
      <c r="K1107" s="507"/>
      <c r="L1107" s="507"/>
      <c r="M1107" s="507"/>
      <c r="N1107" s="507"/>
      <c r="O1107" s="507"/>
      <c r="P1107" s="507"/>
      <c r="Q1107" s="507"/>
      <c r="R1107" s="507"/>
      <c r="S1107" s="507"/>
      <c r="T1107" s="507"/>
      <c r="U1107" s="507"/>
      <c r="V1107" s="507"/>
      <c r="W1107" s="507"/>
    </row>
    <row r="1108" ht="35.25" customHeight="1">
      <c r="A1108" s="507"/>
      <c r="B1108" s="507"/>
      <c r="C1108" s="507"/>
      <c r="D1108" s="508"/>
      <c r="E1108" s="507"/>
      <c r="F1108" s="507"/>
      <c r="G1108" s="507"/>
      <c r="H1108" s="507"/>
      <c r="I1108" s="507"/>
      <c r="J1108" s="507"/>
      <c r="K1108" s="507"/>
      <c r="L1108" s="507"/>
      <c r="M1108" s="507"/>
      <c r="N1108" s="507"/>
      <c r="O1108" s="507"/>
      <c r="P1108" s="507"/>
      <c r="Q1108" s="507"/>
      <c r="R1108" s="507"/>
      <c r="S1108" s="507"/>
      <c r="T1108" s="507"/>
      <c r="U1108" s="507"/>
      <c r="V1108" s="507"/>
      <c r="W1108" s="507"/>
    </row>
    <row r="1109" ht="35.25" customHeight="1">
      <c r="A1109" s="507"/>
      <c r="B1109" s="507"/>
      <c r="C1109" s="507"/>
      <c r="D1109" s="508"/>
      <c r="E1109" s="507"/>
      <c r="F1109" s="507"/>
      <c r="G1109" s="507"/>
      <c r="H1109" s="507"/>
      <c r="I1109" s="507"/>
      <c r="J1109" s="507"/>
      <c r="K1109" s="507"/>
      <c r="L1109" s="507"/>
      <c r="M1109" s="507"/>
      <c r="N1109" s="507"/>
      <c r="O1109" s="507"/>
      <c r="P1109" s="507"/>
      <c r="Q1109" s="507"/>
      <c r="R1109" s="507"/>
      <c r="S1109" s="507"/>
      <c r="T1109" s="507"/>
      <c r="U1109" s="507"/>
      <c r="V1109" s="507"/>
      <c r="W1109" s="507"/>
    </row>
    <row r="1110" ht="35.25" customHeight="1">
      <c r="A1110" s="507"/>
      <c r="B1110" s="507"/>
      <c r="C1110" s="507"/>
      <c r="D1110" s="508"/>
      <c r="E1110" s="507"/>
      <c r="F1110" s="507"/>
      <c r="G1110" s="507"/>
      <c r="H1110" s="507"/>
      <c r="I1110" s="507"/>
      <c r="J1110" s="507"/>
      <c r="K1110" s="507"/>
      <c r="L1110" s="507"/>
      <c r="M1110" s="507"/>
      <c r="N1110" s="507"/>
      <c r="O1110" s="507"/>
      <c r="P1110" s="507"/>
      <c r="Q1110" s="507"/>
      <c r="R1110" s="507"/>
      <c r="S1110" s="507"/>
      <c r="T1110" s="507"/>
      <c r="U1110" s="507"/>
      <c r="V1110" s="507"/>
      <c r="W1110" s="507"/>
    </row>
    <row r="1111" ht="35.25" customHeight="1">
      <c r="A1111" s="507"/>
      <c r="B1111" s="507"/>
      <c r="C1111" s="507"/>
      <c r="D1111" s="508"/>
      <c r="E1111" s="507"/>
      <c r="F1111" s="507"/>
      <c r="G1111" s="507"/>
      <c r="H1111" s="507"/>
      <c r="I1111" s="507"/>
      <c r="J1111" s="507"/>
      <c r="K1111" s="507"/>
      <c r="L1111" s="507"/>
      <c r="M1111" s="507"/>
      <c r="N1111" s="507"/>
      <c r="O1111" s="507"/>
      <c r="P1111" s="507"/>
      <c r="Q1111" s="507"/>
      <c r="R1111" s="507"/>
      <c r="S1111" s="507"/>
      <c r="T1111" s="507"/>
      <c r="U1111" s="507"/>
      <c r="V1111" s="507"/>
      <c r="W1111" s="507"/>
    </row>
    <row r="1112" ht="35.25" customHeight="1">
      <c r="A1112" s="507"/>
      <c r="B1112" s="507"/>
      <c r="C1112" s="507"/>
      <c r="D1112" s="508"/>
      <c r="E1112" s="507"/>
      <c r="F1112" s="507"/>
      <c r="G1112" s="507"/>
      <c r="H1112" s="507"/>
      <c r="I1112" s="507"/>
      <c r="J1112" s="507"/>
      <c r="K1112" s="507"/>
      <c r="L1112" s="507"/>
      <c r="M1112" s="507"/>
      <c r="N1112" s="507"/>
      <c r="O1112" s="507"/>
      <c r="P1112" s="507"/>
      <c r="Q1112" s="507"/>
      <c r="R1112" s="507"/>
      <c r="S1112" s="507"/>
      <c r="T1112" s="507"/>
      <c r="U1112" s="507"/>
      <c r="V1112" s="507"/>
      <c r="W1112" s="507"/>
    </row>
    <row r="1113" ht="35.25" customHeight="1">
      <c r="A1113" s="507"/>
      <c r="B1113" s="507"/>
      <c r="C1113" s="507"/>
      <c r="D1113" s="508"/>
      <c r="E1113" s="507"/>
      <c r="F1113" s="507"/>
      <c r="G1113" s="507"/>
      <c r="H1113" s="507"/>
      <c r="I1113" s="507"/>
      <c r="J1113" s="507"/>
      <c r="K1113" s="507"/>
      <c r="L1113" s="507"/>
      <c r="M1113" s="507"/>
      <c r="N1113" s="507"/>
      <c r="O1113" s="507"/>
      <c r="P1113" s="507"/>
      <c r="Q1113" s="507"/>
      <c r="R1113" s="507"/>
      <c r="S1113" s="507"/>
      <c r="T1113" s="507"/>
      <c r="U1113" s="507"/>
      <c r="V1113" s="507"/>
      <c r="W1113" s="507"/>
    </row>
    <row r="1114" ht="35.25" customHeight="1">
      <c r="A1114" s="507"/>
      <c r="B1114" s="507"/>
      <c r="C1114" s="507"/>
      <c r="D1114" s="508"/>
      <c r="E1114" s="507"/>
      <c r="F1114" s="507"/>
      <c r="G1114" s="507"/>
      <c r="H1114" s="507"/>
      <c r="I1114" s="507"/>
      <c r="J1114" s="507"/>
      <c r="K1114" s="507"/>
      <c r="L1114" s="507"/>
      <c r="M1114" s="507"/>
      <c r="N1114" s="507"/>
      <c r="O1114" s="507"/>
      <c r="P1114" s="507"/>
      <c r="Q1114" s="507"/>
      <c r="R1114" s="507"/>
      <c r="S1114" s="507"/>
      <c r="T1114" s="507"/>
      <c r="U1114" s="507"/>
      <c r="V1114" s="507"/>
      <c r="W1114" s="507"/>
    </row>
    <row r="1115" ht="35.25" customHeight="1">
      <c r="A1115" s="507"/>
      <c r="B1115" s="507"/>
      <c r="C1115" s="507"/>
      <c r="D1115" s="508"/>
      <c r="E1115" s="507"/>
      <c r="F1115" s="507"/>
      <c r="G1115" s="507"/>
      <c r="H1115" s="507"/>
      <c r="I1115" s="507"/>
      <c r="J1115" s="507"/>
      <c r="K1115" s="507"/>
      <c r="L1115" s="507"/>
      <c r="M1115" s="507"/>
      <c r="N1115" s="507"/>
      <c r="O1115" s="507"/>
      <c r="P1115" s="507"/>
      <c r="Q1115" s="507"/>
      <c r="R1115" s="507"/>
      <c r="S1115" s="507"/>
      <c r="T1115" s="507"/>
      <c r="U1115" s="507"/>
      <c r="V1115" s="507"/>
      <c r="W1115" s="507"/>
    </row>
    <row r="1116" ht="35.25" customHeight="1">
      <c r="A1116" s="507"/>
      <c r="B1116" s="507"/>
      <c r="C1116" s="507"/>
      <c r="D1116" s="508"/>
      <c r="E1116" s="507"/>
      <c r="F1116" s="507"/>
      <c r="G1116" s="507"/>
      <c r="H1116" s="507"/>
      <c r="I1116" s="507"/>
      <c r="J1116" s="507"/>
      <c r="K1116" s="507"/>
      <c r="L1116" s="507"/>
      <c r="M1116" s="507"/>
      <c r="N1116" s="507"/>
      <c r="O1116" s="507"/>
      <c r="P1116" s="507"/>
      <c r="Q1116" s="507"/>
      <c r="R1116" s="507"/>
      <c r="S1116" s="507"/>
      <c r="T1116" s="507"/>
      <c r="U1116" s="507"/>
      <c r="V1116" s="507"/>
      <c r="W1116" s="507"/>
    </row>
    <row r="1117" ht="35.25" customHeight="1">
      <c r="A1117" s="507"/>
      <c r="B1117" s="507"/>
      <c r="C1117" s="507"/>
      <c r="D1117" s="508"/>
      <c r="E1117" s="507"/>
      <c r="F1117" s="507"/>
      <c r="G1117" s="507"/>
      <c r="H1117" s="507"/>
      <c r="I1117" s="507"/>
      <c r="J1117" s="507"/>
      <c r="K1117" s="507"/>
      <c r="L1117" s="507"/>
      <c r="M1117" s="507"/>
      <c r="N1117" s="507"/>
      <c r="O1117" s="507"/>
      <c r="P1117" s="507"/>
      <c r="Q1117" s="507"/>
      <c r="R1117" s="507"/>
      <c r="S1117" s="507"/>
      <c r="T1117" s="507"/>
      <c r="U1117" s="507"/>
      <c r="V1117" s="507"/>
      <c r="W1117" s="507"/>
    </row>
    <row r="1118" ht="35.25" customHeight="1">
      <c r="A1118" s="507"/>
      <c r="B1118" s="507"/>
      <c r="C1118" s="507"/>
      <c r="D1118" s="508"/>
      <c r="E1118" s="507"/>
      <c r="F1118" s="507"/>
      <c r="G1118" s="507"/>
      <c r="H1118" s="507"/>
      <c r="I1118" s="507"/>
      <c r="J1118" s="507"/>
      <c r="K1118" s="507"/>
      <c r="L1118" s="507"/>
      <c r="M1118" s="507"/>
      <c r="N1118" s="507"/>
      <c r="O1118" s="507"/>
      <c r="P1118" s="507"/>
      <c r="Q1118" s="507"/>
      <c r="R1118" s="507"/>
      <c r="S1118" s="507"/>
      <c r="T1118" s="507"/>
      <c r="U1118" s="507"/>
      <c r="V1118" s="507"/>
      <c r="W1118" s="507"/>
    </row>
    <row r="1119" ht="35.25" customHeight="1">
      <c r="A1119" s="507"/>
      <c r="B1119" s="507"/>
      <c r="C1119" s="507"/>
      <c r="D1119" s="507"/>
      <c r="E1119" s="507"/>
      <c r="F1119" s="507"/>
      <c r="G1119" s="507"/>
      <c r="H1119" s="507"/>
      <c r="I1119" s="507"/>
      <c r="J1119" s="507"/>
      <c r="K1119" s="507"/>
      <c r="L1119" s="507"/>
      <c r="M1119" s="507"/>
      <c r="N1119" s="507"/>
      <c r="O1119" s="507"/>
      <c r="P1119" s="507"/>
      <c r="Q1119" s="507"/>
      <c r="R1119" s="507"/>
      <c r="S1119" s="507"/>
      <c r="T1119" s="507"/>
      <c r="U1119" s="507"/>
      <c r="V1119" s="507"/>
      <c r="W1119" s="507"/>
    </row>
    <row r="1120" ht="35.25" customHeight="1">
      <c r="A1120" s="507"/>
      <c r="B1120" s="507"/>
      <c r="C1120" s="507"/>
      <c r="D1120" s="507"/>
      <c r="E1120" s="507"/>
      <c r="F1120" s="507"/>
      <c r="G1120" s="507"/>
      <c r="H1120" s="507"/>
      <c r="I1120" s="507"/>
      <c r="J1120" s="507"/>
      <c r="K1120" s="507"/>
      <c r="L1120" s="507"/>
      <c r="M1120" s="507"/>
      <c r="N1120" s="507"/>
      <c r="O1120" s="507"/>
      <c r="P1120" s="507"/>
      <c r="Q1120" s="507"/>
      <c r="R1120" s="507"/>
      <c r="S1120" s="507"/>
      <c r="T1120" s="507"/>
      <c r="U1120" s="507"/>
      <c r="V1120" s="507"/>
      <c r="W1120" s="507"/>
    </row>
    <row r="1121" ht="35.25" customHeight="1">
      <c r="A1121" s="507"/>
      <c r="B1121" s="507"/>
      <c r="C1121" s="507"/>
      <c r="D1121" s="507"/>
      <c r="E1121" s="507"/>
      <c r="F1121" s="507"/>
      <c r="G1121" s="507"/>
      <c r="H1121" s="507"/>
      <c r="I1121" s="507"/>
      <c r="J1121" s="507"/>
      <c r="K1121" s="507"/>
      <c r="L1121" s="507"/>
      <c r="M1121" s="507"/>
      <c r="N1121" s="507"/>
      <c r="O1121" s="507"/>
      <c r="P1121" s="507"/>
      <c r="Q1121" s="507"/>
      <c r="R1121" s="507"/>
      <c r="S1121" s="507"/>
      <c r="T1121" s="507"/>
      <c r="U1121" s="507"/>
      <c r="V1121" s="507"/>
      <c r="W1121" s="507"/>
    </row>
    <row r="1122" ht="35.25" customHeight="1">
      <c r="A1122" s="507"/>
      <c r="B1122" s="507"/>
      <c r="C1122" s="507"/>
      <c r="D1122" s="507"/>
      <c r="E1122" s="507"/>
      <c r="F1122" s="507"/>
      <c r="G1122" s="507"/>
      <c r="H1122" s="507"/>
      <c r="I1122" s="507"/>
      <c r="J1122" s="507"/>
      <c r="K1122" s="507"/>
      <c r="L1122" s="507"/>
      <c r="M1122" s="507"/>
      <c r="N1122" s="507"/>
      <c r="O1122" s="507"/>
      <c r="P1122" s="507"/>
      <c r="Q1122" s="507"/>
      <c r="R1122" s="507"/>
      <c r="S1122" s="507"/>
      <c r="T1122" s="507"/>
      <c r="U1122" s="507"/>
      <c r="V1122" s="507"/>
      <c r="W1122" s="507"/>
    </row>
  </sheetData>
  <mergeCells count="306">
    <mergeCell ref="A73:A81"/>
    <mergeCell ref="A82:A85"/>
    <mergeCell ref="A86:A90"/>
    <mergeCell ref="A91:A94"/>
    <mergeCell ref="A95:A100"/>
    <mergeCell ref="A101:A107"/>
    <mergeCell ref="A108:A113"/>
    <mergeCell ref="A114:A119"/>
    <mergeCell ref="A120:A125"/>
    <mergeCell ref="A126:A129"/>
    <mergeCell ref="A130:A133"/>
    <mergeCell ref="A134:A138"/>
    <mergeCell ref="A139:A145"/>
    <mergeCell ref="A146:A152"/>
    <mergeCell ref="A194:A197"/>
    <mergeCell ref="A198:A201"/>
    <mergeCell ref="A202:A206"/>
    <mergeCell ref="A153:A157"/>
    <mergeCell ref="A158:A163"/>
    <mergeCell ref="A168:A174"/>
    <mergeCell ref="A175:A178"/>
    <mergeCell ref="A179:A182"/>
    <mergeCell ref="A183:A189"/>
    <mergeCell ref="A190:A193"/>
    <mergeCell ref="A2:D2"/>
    <mergeCell ref="A4:A9"/>
    <mergeCell ref="D4:D9"/>
    <mergeCell ref="E4:E5"/>
    <mergeCell ref="A10:A16"/>
    <mergeCell ref="F10:F17"/>
    <mergeCell ref="A17:A23"/>
    <mergeCell ref="I29:I31"/>
    <mergeCell ref="I33:I38"/>
    <mergeCell ref="A24:A27"/>
    <mergeCell ref="D24:D27"/>
    <mergeCell ref="F25:G31"/>
    <mergeCell ref="A28:A31"/>
    <mergeCell ref="D28:D31"/>
    <mergeCell ref="D32:D36"/>
    <mergeCell ref="D37:D42"/>
    <mergeCell ref="D114:D119"/>
    <mergeCell ref="D120:D125"/>
    <mergeCell ref="D126:D129"/>
    <mergeCell ref="F127:H127"/>
    <mergeCell ref="F128:H128"/>
    <mergeCell ref="F129:H129"/>
    <mergeCell ref="D130:D133"/>
    <mergeCell ref="D134:D138"/>
    <mergeCell ref="D164:D167"/>
    <mergeCell ref="D207:D211"/>
    <mergeCell ref="D212:D216"/>
    <mergeCell ref="F34:F40"/>
    <mergeCell ref="F44:F47"/>
    <mergeCell ref="F49:F52"/>
    <mergeCell ref="F60:F62"/>
    <mergeCell ref="F83:F86"/>
    <mergeCell ref="F89:F94"/>
    <mergeCell ref="F149:F156"/>
    <mergeCell ref="L260:L264"/>
    <mergeCell ref="L266:L270"/>
    <mergeCell ref="L272:L278"/>
    <mergeCell ref="F158:F168"/>
    <mergeCell ref="F183:F191"/>
    <mergeCell ref="I191:I196"/>
    <mergeCell ref="H192:H194"/>
    <mergeCell ref="F193:F194"/>
    <mergeCell ref="F200:F201"/>
    <mergeCell ref="I202:I215"/>
    <mergeCell ref="D10:D16"/>
    <mergeCell ref="D17:D23"/>
    <mergeCell ref="D43:D47"/>
    <mergeCell ref="D49:D52"/>
    <mergeCell ref="D53:D59"/>
    <mergeCell ref="D60:D65"/>
    <mergeCell ref="D66:D72"/>
    <mergeCell ref="D73:D81"/>
    <mergeCell ref="D82:D85"/>
    <mergeCell ref="D86:D90"/>
    <mergeCell ref="D91:D94"/>
    <mergeCell ref="D95:D100"/>
    <mergeCell ref="D101:D107"/>
    <mergeCell ref="D108:D113"/>
    <mergeCell ref="D139:D145"/>
    <mergeCell ref="D146:D152"/>
    <mergeCell ref="D153:D157"/>
    <mergeCell ref="D158:D163"/>
    <mergeCell ref="D168:D174"/>
    <mergeCell ref="D175:D178"/>
    <mergeCell ref="D179:D182"/>
    <mergeCell ref="D183:D189"/>
    <mergeCell ref="D190:D193"/>
    <mergeCell ref="D194:D197"/>
    <mergeCell ref="D198:D201"/>
    <mergeCell ref="D202:D206"/>
    <mergeCell ref="D217:D221"/>
    <mergeCell ref="D222:D226"/>
    <mergeCell ref="D227:D232"/>
    <mergeCell ref="D233:D237"/>
    <mergeCell ref="D238:D244"/>
    <mergeCell ref="D245:D251"/>
    <mergeCell ref="D252:D255"/>
    <mergeCell ref="D256:D261"/>
    <mergeCell ref="D262:D266"/>
    <mergeCell ref="D267:D271"/>
    <mergeCell ref="D272:D276"/>
    <mergeCell ref="D277:D281"/>
    <mergeCell ref="D282:D286"/>
    <mergeCell ref="D287:D291"/>
    <mergeCell ref="D292:D296"/>
    <mergeCell ref="D297:D300"/>
    <mergeCell ref="D301:D305"/>
    <mergeCell ref="D306:D310"/>
    <mergeCell ref="D311:D315"/>
    <mergeCell ref="D316:D320"/>
    <mergeCell ref="D321:D324"/>
    <mergeCell ref="D325:D329"/>
    <mergeCell ref="D330:D334"/>
    <mergeCell ref="A32:A36"/>
    <mergeCell ref="A37:A42"/>
    <mergeCell ref="A43:A47"/>
    <mergeCell ref="A48:A52"/>
    <mergeCell ref="A53:A59"/>
    <mergeCell ref="A60:A65"/>
    <mergeCell ref="A66:A72"/>
    <mergeCell ref="A164:A167"/>
    <mergeCell ref="A207:A211"/>
    <mergeCell ref="A212:A216"/>
    <mergeCell ref="A217:A221"/>
    <mergeCell ref="A222:A226"/>
    <mergeCell ref="A227:A232"/>
    <mergeCell ref="A233:A237"/>
    <mergeCell ref="A238:A244"/>
    <mergeCell ref="A245:A251"/>
    <mergeCell ref="A252:A255"/>
    <mergeCell ref="A256:A261"/>
    <mergeCell ref="A262:A266"/>
    <mergeCell ref="A267:A271"/>
    <mergeCell ref="A272:A276"/>
    <mergeCell ref="A277:A281"/>
    <mergeCell ref="A282:A286"/>
    <mergeCell ref="A287:A291"/>
    <mergeCell ref="A292:A296"/>
    <mergeCell ref="A297:A300"/>
    <mergeCell ref="A301:A305"/>
    <mergeCell ref="A306:A310"/>
    <mergeCell ref="A311:A315"/>
    <mergeCell ref="A316:A320"/>
    <mergeCell ref="A321:A324"/>
    <mergeCell ref="A325:A329"/>
    <mergeCell ref="A330:A334"/>
    <mergeCell ref="A335:A338"/>
    <mergeCell ref="A339:A342"/>
    <mergeCell ref="A343:A347"/>
    <mergeCell ref="A348:A352"/>
    <mergeCell ref="A353:A358"/>
    <mergeCell ref="A359:A364"/>
    <mergeCell ref="A365:A369"/>
    <mergeCell ref="A370:A374"/>
    <mergeCell ref="A375:A379"/>
    <mergeCell ref="A380:A384"/>
    <mergeCell ref="A385:A388"/>
    <mergeCell ref="A389:A392"/>
    <mergeCell ref="A393:A397"/>
    <mergeCell ref="A398:A401"/>
    <mergeCell ref="A402:A408"/>
    <mergeCell ref="A409:A412"/>
    <mergeCell ref="D557:D560"/>
    <mergeCell ref="D561:D564"/>
    <mergeCell ref="D565:D568"/>
    <mergeCell ref="D569:D573"/>
    <mergeCell ref="D574:D577"/>
    <mergeCell ref="I574:I577"/>
    <mergeCell ref="I578:I588"/>
    <mergeCell ref="D578:D581"/>
    <mergeCell ref="D582:D585"/>
    <mergeCell ref="D586:D589"/>
    <mergeCell ref="D590:D594"/>
    <mergeCell ref="D595:D598"/>
    <mergeCell ref="D599:D602"/>
    <mergeCell ref="D603:D607"/>
    <mergeCell ref="D608:D611"/>
    <mergeCell ref="D612:D617"/>
    <mergeCell ref="D618:D621"/>
    <mergeCell ref="D622:D625"/>
    <mergeCell ref="D626:D630"/>
    <mergeCell ref="E626:E632"/>
    <mergeCell ref="D631:D634"/>
    <mergeCell ref="D661:D664"/>
    <mergeCell ref="D665:D668"/>
    <mergeCell ref="D669:D672"/>
    <mergeCell ref="D673:D676"/>
    <mergeCell ref="D677:D680"/>
    <mergeCell ref="D635:D638"/>
    <mergeCell ref="D639:D642"/>
    <mergeCell ref="D643:D647"/>
    <mergeCell ref="D648:D651"/>
    <mergeCell ref="D652:D655"/>
    <mergeCell ref="D656:D660"/>
    <mergeCell ref="F664:G664"/>
    <mergeCell ref="D335:D338"/>
    <mergeCell ref="D339:D342"/>
    <mergeCell ref="D343:D347"/>
    <mergeCell ref="D348:D352"/>
    <mergeCell ref="D353:D358"/>
    <mergeCell ref="D359:D364"/>
    <mergeCell ref="D365:D369"/>
    <mergeCell ref="D370:D374"/>
    <mergeCell ref="D375:D379"/>
    <mergeCell ref="D380:D384"/>
    <mergeCell ref="D385:D388"/>
    <mergeCell ref="D389:D392"/>
    <mergeCell ref="D393:D397"/>
    <mergeCell ref="D398:D401"/>
    <mergeCell ref="D436:D439"/>
    <mergeCell ref="D440:D444"/>
    <mergeCell ref="D445:D449"/>
    <mergeCell ref="G445:I445"/>
    <mergeCell ref="G446:I446"/>
    <mergeCell ref="G447:I447"/>
    <mergeCell ref="G450:I450"/>
    <mergeCell ref="D402:D408"/>
    <mergeCell ref="D409:D412"/>
    <mergeCell ref="D413:D416"/>
    <mergeCell ref="D417:D421"/>
    <mergeCell ref="D422:D425"/>
    <mergeCell ref="D426:D431"/>
    <mergeCell ref="D432:D435"/>
    <mergeCell ref="D450:D453"/>
    <mergeCell ref="D454:D459"/>
    <mergeCell ref="D460:D464"/>
    <mergeCell ref="D465:D469"/>
    <mergeCell ref="D470:D475"/>
    <mergeCell ref="D476:D480"/>
    <mergeCell ref="D481:D485"/>
    <mergeCell ref="D486:D489"/>
    <mergeCell ref="D490:D493"/>
    <mergeCell ref="D494:D498"/>
    <mergeCell ref="D499:D503"/>
    <mergeCell ref="D504:D514"/>
    <mergeCell ref="D515:D519"/>
    <mergeCell ref="D520:D524"/>
    <mergeCell ref="D525:D529"/>
    <mergeCell ref="D530:D533"/>
    <mergeCell ref="D534:D539"/>
    <mergeCell ref="D540:D543"/>
    <mergeCell ref="D544:D548"/>
    <mergeCell ref="D549:D552"/>
    <mergeCell ref="D553:D556"/>
    <mergeCell ref="A673:A676"/>
    <mergeCell ref="A677:A680"/>
    <mergeCell ref="A643:A647"/>
    <mergeCell ref="A648:A651"/>
    <mergeCell ref="A652:A655"/>
    <mergeCell ref="A656:A660"/>
    <mergeCell ref="A661:A664"/>
    <mergeCell ref="A665:A668"/>
    <mergeCell ref="A669:A672"/>
    <mergeCell ref="A413:A416"/>
    <mergeCell ref="A417:A421"/>
    <mergeCell ref="A422:A425"/>
    <mergeCell ref="A426:A431"/>
    <mergeCell ref="A432:A435"/>
    <mergeCell ref="A436:A439"/>
    <mergeCell ref="A440:A444"/>
    <mergeCell ref="A445:A449"/>
    <mergeCell ref="A450:A453"/>
    <mergeCell ref="A454:A459"/>
    <mergeCell ref="A460:A464"/>
    <mergeCell ref="A465:A469"/>
    <mergeCell ref="A470:A475"/>
    <mergeCell ref="A476:A480"/>
    <mergeCell ref="A481:A485"/>
    <mergeCell ref="A486:A489"/>
    <mergeCell ref="A490:A493"/>
    <mergeCell ref="A494:A498"/>
    <mergeCell ref="A499:A503"/>
    <mergeCell ref="A504:A514"/>
    <mergeCell ref="A515:A519"/>
    <mergeCell ref="A520:A524"/>
    <mergeCell ref="A525:A529"/>
    <mergeCell ref="A530:A533"/>
    <mergeCell ref="A534:A539"/>
    <mergeCell ref="A540:A543"/>
    <mergeCell ref="A544:A548"/>
    <mergeCell ref="A549:A552"/>
    <mergeCell ref="A553:A556"/>
    <mergeCell ref="A557:A560"/>
    <mergeCell ref="A561:A564"/>
    <mergeCell ref="A565:A568"/>
    <mergeCell ref="A569:A573"/>
    <mergeCell ref="A574:A577"/>
    <mergeCell ref="A578:A581"/>
    <mergeCell ref="A582:A585"/>
    <mergeCell ref="A586:A589"/>
    <mergeCell ref="A590:A594"/>
    <mergeCell ref="A595:A598"/>
    <mergeCell ref="A599:A602"/>
    <mergeCell ref="A603:A607"/>
    <mergeCell ref="A608:A611"/>
    <mergeCell ref="A612:A617"/>
    <mergeCell ref="A618:A621"/>
    <mergeCell ref="A622:A625"/>
    <mergeCell ref="A626:A630"/>
    <mergeCell ref="A631:A634"/>
    <mergeCell ref="A635:A638"/>
    <mergeCell ref="A639:A64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25.43"/>
    <col customWidth="1" min="3" max="3" width="25.57"/>
    <col customWidth="1" min="4" max="4" width="34.29"/>
    <col customWidth="1" min="5" max="5" width="38.71"/>
    <col customWidth="1" min="6" max="6" width="39.0"/>
    <col customWidth="1" min="7" max="7" width="26.0"/>
    <col customWidth="1" min="8" max="8" width="30.14"/>
    <col customWidth="1" min="9" max="19" width="8.71"/>
  </cols>
  <sheetData>
    <row r="1" ht="35.25" customHeight="1">
      <c r="A1" s="506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</row>
    <row r="2" ht="35.25" customHeight="1">
      <c r="A2" s="509" t="s">
        <v>0</v>
      </c>
      <c r="B2" s="4"/>
      <c r="C2" s="4"/>
      <c r="D2" s="5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</row>
    <row r="3" ht="35.25" customHeight="1">
      <c r="A3" s="511" t="s">
        <v>1</v>
      </c>
      <c r="B3" s="511"/>
      <c r="C3" s="511" t="s">
        <v>2</v>
      </c>
      <c r="D3" s="511" t="s">
        <v>4</v>
      </c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</row>
    <row r="4" ht="35.25" customHeight="1">
      <c r="A4" s="513" t="s">
        <v>646</v>
      </c>
      <c r="B4" s="514" t="s">
        <v>762</v>
      </c>
      <c r="C4" s="515" t="s">
        <v>684</v>
      </c>
      <c r="D4" s="516">
        <f>sum(C6:C8)</f>
        <v>51266000</v>
      </c>
      <c r="E4" s="506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</row>
    <row r="5" ht="35.25" customHeight="1">
      <c r="A5" s="18"/>
      <c r="B5" s="514" t="s">
        <v>832</v>
      </c>
      <c r="C5" s="515" t="s">
        <v>684</v>
      </c>
      <c r="D5" s="18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</row>
    <row r="6" ht="35.25" customHeight="1">
      <c r="A6" s="18"/>
      <c r="B6" s="514" t="s">
        <v>833</v>
      </c>
      <c r="C6" s="515">
        <v>2900000.0</v>
      </c>
      <c r="D6" s="18"/>
      <c r="E6" s="556" t="s">
        <v>834</v>
      </c>
      <c r="F6" s="507"/>
      <c r="G6" s="507"/>
      <c r="H6" s="507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</row>
    <row r="7" ht="35.25" customHeight="1">
      <c r="A7" s="18"/>
      <c r="B7" s="514" t="s">
        <v>835</v>
      </c>
      <c r="C7" s="515">
        <v>4.3655E7</v>
      </c>
      <c r="D7" s="18"/>
      <c r="E7" s="517"/>
      <c r="F7" s="517"/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</row>
    <row r="8" ht="35.25" customHeight="1">
      <c r="A8" s="18"/>
      <c r="B8" s="514" t="s">
        <v>836</v>
      </c>
      <c r="C8" s="515">
        <v>4711000.0</v>
      </c>
      <c r="D8" s="18"/>
      <c r="E8" s="517"/>
      <c r="F8" s="517"/>
      <c r="G8" s="517"/>
      <c r="H8" s="517"/>
      <c r="I8" s="517"/>
      <c r="J8" s="517"/>
      <c r="K8" s="517"/>
      <c r="L8" s="517"/>
      <c r="M8" s="517"/>
      <c r="N8" s="517"/>
      <c r="O8" s="517"/>
      <c r="P8" s="517"/>
      <c r="Q8" s="517"/>
      <c r="R8" s="517"/>
      <c r="S8" s="517"/>
    </row>
    <row r="9" ht="35.25" customHeight="1">
      <c r="A9" s="22"/>
      <c r="B9" s="520"/>
      <c r="C9" s="515"/>
      <c r="D9" s="22"/>
      <c r="E9" s="669" t="s">
        <v>837</v>
      </c>
      <c r="F9" s="517"/>
      <c r="G9" s="517"/>
      <c r="H9" s="517"/>
      <c r="I9" s="517"/>
      <c r="J9" s="517"/>
      <c r="K9" s="517"/>
      <c r="L9" s="517"/>
      <c r="M9" s="517"/>
      <c r="N9" s="517"/>
      <c r="O9" s="517"/>
      <c r="P9" s="517"/>
      <c r="Q9" s="517"/>
      <c r="R9" s="517"/>
      <c r="S9" s="517"/>
    </row>
    <row r="10" ht="35.25" customHeight="1">
      <c r="A10" s="513" t="s">
        <v>650</v>
      </c>
      <c r="B10" s="514" t="s">
        <v>838</v>
      </c>
      <c r="C10" s="514">
        <v>3.884E7</v>
      </c>
      <c r="D10" s="521">
        <f>sum(C10:C14)</f>
        <v>77930000</v>
      </c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</row>
    <row r="11" ht="35.25" customHeight="1">
      <c r="A11" s="18"/>
      <c r="B11" s="514" t="s">
        <v>832</v>
      </c>
      <c r="C11" s="514">
        <v>8635000.0</v>
      </c>
      <c r="D11" s="18"/>
      <c r="E11" s="523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</row>
    <row r="12" ht="35.25" customHeight="1">
      <c r="A12" s="18"/>
      <c r="B12" s="514" t="s">
        <v>833</v>
      </c>
      <c r="C12" s="514">
        <v>1.3075E7</v>
      </c>
      <c r="D12" s="18"/>
      <c r="E12" s="523" t="s">
        <v>839</v>
      </c>
      <c r="F12" s="507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</row>
    <row r="13" ht="35.25" customHeight="1">
      <c r="A13" s="18"/>
      <c r="B13" s="514" t="s">
        <v>835</v>
      </c>
      <c r="C13" s="514">
        <v>1.4245E7</v>
      </c>
      <c r="D13" s="18"/>
      <c r="E13" s="523"/>
      <c r="F13" s="507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</row>
    <row r="14" ht="35.25" customHeight="1">
      <c r="A14" s="22"/>
      <c r="B14" s="514" t="s">
        <v>836</v>
      </c>
      <c r="C14" s="514">
        <v>3135000.0</v>
      </c>
      <c r="D14" s="22"/>
      <c r="E14" s="523" t="s">
        <v>837</v>
      </c>
      <c r="F14" s="507"/>
      <c r="G14" s="507"/>
      <c r="H14" s="507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</row>
    <row r="15" ht="35.25" customHeight="1">
      <c r="A15" s="513" t="s">
        <v>840</v>
      </c>
      <c r="B15" s="514" t="s">
        <v>723</v>
      </c>
      <c r="C15" s="514">
        <v>1.52E7</v>
      </c>
      <c r="D15" s="521">
        <f>sum(C15:C20)</f>
        <v>64600000</v>
      </c>
      <c r="E15" s="507"/>
      <c r="F15" s="507"/>
      <c r="G15" s="507"/>
      <c r="H15" s="507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</row>
    <row r="16" ht="35.25" customHeight="1">
      <c r="A16" s="18"/>
      <c r="B16" s="514" t="s">
        <v>760</v>
      </c>
      <c r="C16" s="514">
        <v>1.9E7</v>
      </c>
      <c r="D16" s="18"/>
      <c r="E16" s="507"/>
      <c r="F16" s="507"/>
      <c r="G16" s="507"/>
      <c r="H16" s="507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</row>
    <row r="17" ht="35.25" customHeight="1">
      <c r="A17" s="18"/>
      <c r="B17" s="514" t="s">
        <v>838</v>
      </c>
      <c r="C17" s="514">
        <v>1.52E7</v>
      </c>
      <c r="D17" s="18"/>
      <c r="E17" s="556" t="s">
        <v>841</v>
      </c>
      <c r="F17" s="507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</row>
    <row r="18" ht="35.25" customHeight="1">
      <c r="A18" s="18"/>
      <c r="B18" s="514" t="s">
        <v>832</v>
      </c>
      <c r="C18" s="514">
        <v>7600000.0</v>
      </c>
      <c r="D18" s="18"/>
      <c r="E18" s="507"/>
      <c r="F18" s="507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</row>
    <row r="19" ht="35.25" customHeight="1">
      <c r="A19" s="18"/>
      <c r="B19" s="514" t="s">
        <v>835</v>
      </c>
      <c r="C19" s="514">
        <v>7600000.0</v>
      </c>
      <c r="D19" s="18"/>
      <c r="E19" s="507"/>
      <c r="F19" s="507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</row>
    <row r="20" ht="35.25" customHeight="1">
      <c r="A20" s="22"/>
      <c r="B20" s="514" t="s">
        <v>836</v>
      </c>
      <c r="C20" s="514">
        <v>0.0</v>
      </c>
      <c r="D20" s="22"/>
      <c r="E20" s="556" t="s">
        <v>837</v>
      </c>
      <c r="F20" s="507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</row>
    <row r="21" ht="35.25" customHeight="1">
      <c r="A21" s="513" t="s">
        <v>18</v>
      </c>
      <c r="B21" s="514" t="s">
        <v>835</v>
      </c>
      <c r="C21" s="515">
        <v>3.907E7</v>
      </c>
      <c r="D21" s="516">
        <f>sum(C21:C23)</f>
        <v>276474000</v>
      </c>
      <c r="E21" s="525"/>
      <c r="F21" s="507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</row>
    <row r="22" ht="35.25" customHeight="1">
      <c r="A22" s="18"/>
      <c r="B22" s="514" t="s">
        <v>836</v>
      </c>
      <c r="C22" s="515">
        <v>2.37404E8</v>
      </c>
      <c r="D22" s="18"/>
      <c r="E22" s="556" t="s">
        <v>842</v>
      </c>
      <c r="F22" s="507"/>
      <c r="G22" s="507"/>
      <c r="H22" s="507"/>
      <c r="I22" s="507"/>
      <c r="J22" s="507"/>
      <c r="K22" s="507"/>
      <c r="L22" s="507"/>
      <c r="M22" s="507"/>
      <c r="N22" s="507"/>
      <c r="O22" s="507"/>
      <c r="P22" s="507"/>
      <c r="Q22" s="507"/>
      <c r="R22" s="507"/>
      <c r="S22" s="507"/>
    </row>
    <row r="23" ht="35.25" customHeight="1">
      <c r="A23" s="18"/>
      <c r="B23" s="514"/>
      <c r="C23" s="515"/>
      <c r="D23" s="18"/>
      <c r="E23" s="507"/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</row>
    <row r="24" ht="35.25" customHeight="1">
      <c r="A24" s="22"/>
      <c r="B24" s="157"/>
      <c r="C24" s="157"/>
      <c r="D24" s="22"/>
      <c r="E24" s="556" t="s">
        <v>837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</row>
    <row r="25" ht="35.25" customHeight="1">
      <c r="A25" s="513" t="s">
        <v>20</v>
      </c>
      <c r="B25" s="514" t="s">
        <v>757</v>
      </c>
      <c r="C25" s="529">
        <v>4.4469E7</v>
      </c>
      <c r="D25" s="516">
        <f>sum(C25:C27)</f>
        <v>162855000</v>
      </c>
      <c r="E25" s="694"/>
      <c r="F25" s="507"/>
      <c r="G25" s="507"/>
      <c r="H25" s="507"/>
      <c r="I25" s="507"/>
      <c r="J25" s="507"/>
      <c r="K25" s="507"/>
      <c r="L25" s="507"/>
      <c r="M25" s="507"/>
      <c r="N25" s="507"/>
      <c r="O25" s="507"/>
      <c r="P25" s="507"/>
      <c r="Q25" s="507"/>
      <c r="R25" s="507"/>
      <c r="S25" s="507"/>
    </row>
    <row r="26" ht="35.25" customHeight="1">
      <c r="A26" s="18"/>
      <c r="B26" s="514" t="s">
        <v>832</v>
      </c>
      <c r="C26" s="529">
        <v>3.0696E7</v>
      </c>
      <c r="D26" s="18"/>
      <c r="E26" s="507"/>
      <c r="F26" s="507"/>
      <c r="G26" s="507"/>
      <c r="H26" s="507"/>
      <c r="I26" s="507"/>
      <c r="J26" s="507"/>
      <c r="K26" s="507"/>
      <c r="L26" s="507"/>
      <c r="M26" s="507"/>
      <c r="N26" s="507"/>
      <c r="O26" s="507"/>
      <c r="P26" s="507"/>
      <c r="Q26" s="507"/>
      <c r="R26" s="507"/>
      <c r="S26" s="507"/>
    </row>
    <row r="27" ht="35.25" customHeight="1">
      <c r="A27" s="18"/>
      <c r="B27" s="514" t="s">
        <v>843</v>
      </c>
      <c r="C27" s="529">
        <v>8.769E7</v>
      </c>
      <c r="D27" s="18"/>
      <c r="E27" s="556" t="s">
        <v>692</v>
      </c>
      <c r="F27" s="507"/>
      <c r="G27" s="507"/>
      <c r="H27" s="507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</row>
    <row r="28" ht="35.25" customHeight="1">
      <c r="A28" s="18"/>
      <c r="B28" s="514"/>
      <c r="C28" s="529"/>
      <c r="D28" s="18"/>
      <c r="E28" s="556" t="s">
        <v>844</v>
      </c>
      <c r="F28" s="507"/>
      <c r="G28" s="507"/>
      <c r="H28" s="507"/>
      <c r="I28" s="507"/>
      <c r="J28" s="507"/>
      <c r="K28" s="507"/>
      <c r="L28" s="507"/>
      <c r="M28" s="507"/>
      <c r="N28" s="507"/>
      <c r="O28" s="507"/>
      <c r="P28" s="507"/>
      <c r="Q28" s="507"/>
      <c r="R28" s="507"/>
      <c r="S28" s="507"/>
    </row>
    <row r="29" ht="35.25" customHeight="1">
      <c r="A29" s="22"/>
      <c r="B29" s="514"/>
      <c r="C29" s="529" t="s">
        <v>761</v>
      </c>
      <c r="D29" s="22"/>
      <c r="E29" s="506" t="s">
        <v>837</v>
      </c>
      <c r="F29" s="507"/>
      <c r="G29" s="507"/>
      <c r="H29" s="507"/>
      <c r="I29" s="507"/>
      <c r="J29" s="507"/>
      <c r="K29" s="507"/>
      <c r="L29" s="507"/>
      <c r="M29" s="507"/>
      <c r="N29" s="507"/>
      <c r="O29" s="507"/>
      <c r="P29" s="507"/>
      <c r="Q29" s="507"/>
      <c r="R29" s="507"/>
      <c r="S29" s="507"/>
    </row>
    <row r="30" ht="35.25" customHeight="1">
      <c r="A30" s="527" t="s">
        <v>22</v>
      </c>
      <c r="B30" s="514" t="s">
        <v>836</v>
      </c>
      <c r="C30" s="529">
        <v>4083000.0</v>
      </c>
      <c r="D30" s="516">
        <f>sum(C30:C33)</f>
        <v>4083000</v>
      </c>
      <c r="E30" s="507"/>
      <c r="F30" s="507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</row>
    <row r="31" ht="35.25" customHeight="1">
      <c r="A31" s="18"/>
      <c r="B31" s="514"/>
      <c r="C31" s="529"/>
      <c r="D31" s="18"/>
      <c r="E31" s="507"/>
      <c r="F31" s="507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07"/>
      <c r="S31" s="507"/>
    </row>
    <row r="32" ht="35.25" customHeight="1">
      <c r="A32" s="18"/>
      <c r="B32" s="514"/>
      <c r="C32" s="529"/>
      <c r="D32" s="18"/>
      <c r="E32" s="556" t="s">
        <v>692</v>
      </c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</row>
    <row r="33" ht="35.25" customHeight="1">
      <c r="A33" s="18"/>
      <c r="B33" s="514"/>
      <c r="C33" s="529"/>
      <c r="D33" s="18"/>
      <c r="E33" s="556"/>
      <c r="F33" s="507"/>
      <c r="G33" s="507"/>
      <c r="H33" s="507"/>
      <c r="I33" s="507"/>
      <c r="J33" s="507"/>
      <c r="K33" s="507"/>
      <c r="L33" s="507"/>
      <c r="M33" s="507"/>
      <c r="N33" s="507"/>
      <c r="O33" s="507"/>
      <c r="P33" s="507"/>
      <c r="Q33" s="507"/>
      <c r="R33" s="507"/>
      <c r="S33" s="507"/>
    </row>
    <row r="34" ht="35.25" customHeight="1">
      <c r="A34" s="22"/>
      <c r="D34" s="22"/>
      <c r="E34" s="556" t="s">
        <v>845</v>
      </c>
      <c r="F34" s="507"/>
      <c r="G34" s="507"/>
      <c r="H34" s="507"/>
      <c r="I34" s="507"/>
      <c r="J34" s="507"/>
      <c r="K34" s="507"/>
      <c r="L34" s="507"/>
      <c r="M34" s="507"/>
      <c r="N34" s="507"/>
      <c r="O34" s="507"/>
      <c r="P34" s="507"/>
      <c r="Q34" s="507"/>
      <c r="R34" s="507"/>
      <c r="S34" s="507"/>
    </row>
    <row r="35" ht="35.25" customHeight="1">
      <c r="A35" s="527" t="s">
        <v>23</v>
      </c>
      <c r="B35" s="514" t="s">
        <v>832</v>
      </c>
      <c r="C35" s="514">
        <f>31984100-21229600</f>
        <v>10754500</v>
      </c>
      <c r="D35" s="516">
        <f>sum(C35:C38)</f>
        <v>87586800</v>
      </c>
      <c r="E35" s="507"/>
      <c r="F35" s="507"/>
      <c r="G35" s="507"/>
      <c r="H35" s="507"/>
      <c r="I35" s="507"/>
      <c r="J35" s="507"/>
      <c r="K35" s="507"/>
      <c r="L35" s="507"/>
      <c r="M35" s="507"/>
      <c r="N35" s="507"/>
      <c r="O35" s="507"/>
      <c r="P35" s="507"/>
      <c r="Q35" s="507"/>
      <c r="R35" s="507"/>
      <c r="S35" s="507"/>
    </row>
    <row r="36" ht="35.25" customHeight="1">
      <c r="A36" s="18"/>
      <c r="B36" s="514" t="s">
        <v>768</v>
      </c>
      <c r="C36" s="514">
        <f>26212900-30000</f>
        <v>26182900</v>
      </c>
      <c r="D36" s="18"/>
      <c r="E36" s="556" t="s">
        <v>846</v>
      </c>
      <c r="F36" s="507"/>
      <c r="G36" s="507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</row>
    <row r="37" ht="35.25" customHeight="1">
      <c r="A37" s="18"/>
      <c r="B37" s="514" t="s">
        <v>847</v>
      </c>
      <c r="C37" s="514">
        <v>3.0036E7</v>
      </c>
      <c r="D37" s="18"/>
      <c r="E37" s="556"/>
      <c r="F37" s="507"/>
      <c r="G37" s="507"/>
      <c r="H37" s="507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07"/>
    </row>
    <row r="38" ht="35.25" customHeight="1">
      <c r="A38" s="22"/>
      <c r="B38" s="514" t="s">
        <v>836</v>
      </c>
      <c r="C38" s="514">
        <v>2.06134E7</v>
      </c>
      <c r="D38" s="22"/>
      <c r="E38" s="556" t="s">
        <v>848</v>
      </c>
      <c r="F38" s="507"/>
      <c r="G38" s="507"/>
      <c r="H38" s="507"/>
      <c r="I38" s="507"/>
      <c r="J38" s="507"/>
      <c r="K38" s="507"/>
      <c r="L38" s="507"/>
      <c r="M38" s="507"/>
      <c r="N38" s="507"/>
      <c r="O38" s="507"/>
      <c r="P38" s="507"/>
      <c r="Q38" s="507"/>
      <c r="R38" s="507"/>
      <c r="S38" s="507"/>
    </row>
    <row r="39" ht="35.25" hidden="1" customHeight="1">
      <c r="A39" s="536" t="s">
        <v>26</v>
      </c>
      <c r="B39" s="514" t="s">
        <v>656</v>
      </c>
      <c r="C39" s="515" t="s">
        <v>657</v>
      </c>
      <c r="D39" s="514">
        <v>7.96643E7</v>
      </c>
      <c r="E39" s="507"/>
      <c r="F39" s="507"/>
      <c r="G39" s="507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</row>
    <row r="40" ht="35.25" customHeight="1">
      <c r="A40" s="18"/>
      <c r="B40" s="514" t="s">
        <v>832</v>
      </c>
      <c r="C40" s="514" t="s">
        <v>684</v>
      </c>
      <c r="D40" s="516">
        <f>SUM(C40:C43)</f>
        <v>143493800</v>
      </c>
      <c r="E40" s="525"/>
      <c r="F40" s="507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</row>
    <row r="41" ht="35.25" customHeight="1">
      <c r="A41" s="18"/>
      <c r="B41" s="514" t="s">
        <v>843</v>
      </c>
      <c r="C41" s="514" t="s">
        <v>684</v>
      </c>
      <c r="D41" s="18"/>
      <c r="E41" s="556" t="s">
        <v>849</v>
      </c>
      <c r="F41" s="507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</row>
    <row r="42" ht="35.25" customHeight="1">
      <c r="A42" s="18"/>
      <c r="B42" s="514" t="s">
        <v>847</v>
      </c>
      <c r="C42" s="514">
        <v>6.65698E7</v>
      </c>
      <c r="D42" s="18"/>
      <c r="E42" s="556" t="s">
        <v>692</v>
      </c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</row>
    <row r="43" ht="35.25" customHeight="1">
      <c r="A43" s="22"/>
      <c r="B43" s="514" t="s">
        <v>836</v>
      </c>
      <c r="C43" s="514">
        <v>7.6924E7</v>
      </c>
      <c r="D43" s="22"/>
      <c r="E43" s="556" t="s">
        <v>850</v>
      </c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R43" s="507"/>
      <c r="S43" s="507"/>
    </row>
    <row r="44" ht="35.25" customHeight="1">
      <c r="A44" s="513" t="s">
        <v>659</v>
      </c>
      <c r="B44" s="514" t="s">
        <v>756</v>
      </c>
      <c r="C44" s="514">
        <f>32104200-15939100</f>
        <v>16165100</v>
      </c>
      <c r="D44" s="516">
        <f>sum(C44:C50)</f>
        <v>223622600</v>
      </c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</row>
    <row r="45" ht="35.25" customHeight="1">
      <c r="A45" s="18"/>
      <c r="B45" s="514" t="s">
        <v>757</v>
      </c>
      <c r="C45" s="514">
        <v>6.98603E7</v>
      </c>
      <c r="D45" s="18"/>
      <c r="E45" s="507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</row>
    <row r="46" ht="35.25" customHeight="1">
      <c r="A46" s="18"/>
      <c r="B46" s="514" t="s">
        <v>762</v>
      </c>
      <c r="C46" s="514">
        <v>5186000.0</v>
      </c>
      <c r="D46" s="18"/>
      <c r="E46" s="556" t="s">
        <v>851</v>
      </c>
      <c r="F46" s="507"/>
      <c r="G46" s="507"/>
      <c r="H46" s="507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</row>
    <row r="47" ht="35.25" customHeight="1">
      <c r="A47" s="18"/>
      <c r="B47" s="514" t="s">
        <v>832</v>
      </c>
      <c r="C47" s="514">
        <v>3.20081E7</v>
      </c>
      <c r="D47" s="18"/>
      <c r="E47" s="556" t="s">
        <v>848</v>
      </c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</row>
    <row r="48" ht="35.25" customHeight="1">
      <c r="A48" s="18"/>
      <c r="B48" s="514" t="s">
        <v>768</v>
      </c>
      <c r="C48" s="514">
        <v>3.23558E7</v>
      </c>
      <c r="D48" s="18"/>
      <c r="E48" s="556"/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7"/>
      <c r="R48" s="507"/>
      <c r="S48" s="507"/>
    </row>
    <row r="49" ht="35.25" customHeight="1">
      <c r="A49" s="18"/>
      <c r="B49" s="514" t="s">
        <v>847</v>
      </c>
      <c r="C49" s="514">
        <v>3.43325E7</v>
      </c>
      <c r="D49" s="18"/>
      <c r="E49" s="556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</row>
    <row r="50" ht="35.25" customHeight="1">
      <c r="A50" s="22"/>
      <c r="B50" s="514" t="s">
        <v>836</v>
      </c>
      <c r="C50" s="514">
        <v>3.37148E7</v>
      </c>
      <c r="D50" s="22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</row>
    <row r="51" ht="35.25" customHeight="1">
      <c r="A51" s="513" t="s">
        <v>30</v>
      </c>
      <c r="B51" s="514" t="s">
        <v>832</v>
      </c>
      <c r="C51" s="529" t="s">
        <v>684</v>
      </c>
      <c r="D51" s="516">
        <f>sum(C51:C55)</f>
        <v>30587900</v>
      </c>
      <c r="E51" s="507"/>
      <c r="F51" s="507"/>
      <c r="G51" s="507"/>
      <c r="H51" s="507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</row>
    <row r="52" ht="35.25" customHeight="1">
      <c r="A52" s="18"/>
      <c r="B52" s="514" t="s">
        <v>768</v>
      </c>
      <c r="C52" s="529" t="s">
        <v>684</v>
      </c>
      <c r="D52" s="18"/>
      <c r="E52" s="507"/>
      <c r="F52" s="507"/>
      <c r="G52" s="507"/>
      <c r="H52" s="507"/>
      <c r="I52" s="507"/>
      <c r="J52" s="507"/>
      <c r="K52" s="507"/>
      <c r="L52" s="507"/>
      <c r="M52" s="507"/>
      <c r="N52" s="507"/>
      <c r="O52" s="507"/>
      <c r="P52" s="507"/>
      <c r="Q52" s="507"/>
      <c r="R52" s="507"/>
      <c r="S52" s="507"/>
    </row>
    <row r="53" ht="35.25" customHeight="1">
      <c r="A53" s="18"/>
      <c r="B53" s="514" t="s">
        <v>847</v>
      </c>
      <c r="C53" s="529" t="s">
        <v>684</v>
      </c>
      <c r="D53" s="18"/>
      <c r="E53" s="507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</row>
    <row r="54" ht="35.25" customHeight="1">
      <c r="A54" s="18"/>
      <c r="B54" s="514" t="s">
        <v>836</v>
      </c>
      <c r="C54" s="529">
        <v>3.05879E7</v>
      </c>
      <c r="D54" s="18"/>
      <c r="E54" s="556" t="s">
        <v>852</v>
      </c>
      <c r="F54" s="507"/>
      <c r="G54" s="507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</row>
    <row r="55" ht="35.25" customHeight="1">
      <c r="A55" s="22"/>
      <c r="B55" s="157"/>
      <c r="C55" s="157"/>
      <c r="D55" s="22"/>
      <c r="E55" s="556" t="s">
        <v>848</v>
      </c>
      <c r="F55" s="507"/>
      <c r="G55" s="507"/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</row>
    <row r="56" ht="35.25" customHeight="1">
      <c r="A56" s="513" t="s">
        <v>660</v>
      </c>
      <c r="B56" s="514" t="s">
        <v>723</v>
      </c>
      <c r="C56" s="544">
        <v>2866000.0</v>
      </c>
      <c r="D56" s="521">
        <f>sum(C56:C62)</f>
        <v>154529000</v>
      </c>
      <c r="E56" s="525"/>
      <c r="F56" s="543"/>
      <c r="G56" s="507"/>
      <c r="H56" s="507"/>
      <c r="I56" s="507"/>
      <c r="J56" s="507"/>
      <c r="K56" s="507"/>
      <c r="L56" s="507"/>
      <c r="M56" s="507"/>
      <c r="N56" s="507"/>
      <c r="O56" s="507"/>
      <c r="P56" s="507"/>
      <c r="Q56" s="507"/>
      <c r="R56" s="507"/>
      <c r="S56" s="507"/>
    </row>
    <row r="57" ht="35.25" customHeight="1">
      <c r="A57" s="18"/>
      <c r="B57" s="514" t="s">
        <v>760</v>
      </c>
      <c r="C57" s="544">
        <v>6.3547E7</v>
      </c>
      <c r="D57" s="18"/>
      <c r="E57" s="525"/>
      <c r="F57" s="507"/>
      <c r="G57" s="507"/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</row>
    <row r="58" ht="35.25" customHeight="1">
      <c r="A58" s="18"/>
      <c r="B58" s="514" t="s">
        <v>759</v>
      </c>
      <c r="C58" s="544">
        <v>2.1472E7</v>
      </c>
      <c r="D58" s="18"/>
      <c r="E58" s="525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</row>
    <row r="59" ht="35.25" customHeight="1">
      <c r="A59" s="18"/>
      <c r="B59" s="514" t="s">
        <v>756</v>
      </c>
      <c r="C59" s="544">
        <v>1.6337E7</v>
      </c>
      <c r="D59" s="18"/>
      <c r="E59" s="556" t="s">
        <v>853</v>
      </c>
      <c r="F59" s="507"/>
      <c r="G59" s="507"/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</row>
    <row r="60" ht="35.25" customHeight="1">
      <c r="A60" s="18"/>
      <c r="B60" s="514" t="s">
        <v>832</v>
      </c>
      <c r="C60" s="544">
        <v>3.0683E7</v>
      </c>
      <c r="D60" s="18"/>
      <c r="E60" s="556" t="s">
        <v>50</v>
      </c>
      <c r="F60" s="507"/>
      <c r="G60" s="507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</row>
    <row r="61" ht="35.25" customHeight="1">
      <c r="A61" s="18"/>
      <c r="B61" s="514" t="s">
        <v>768</v>
      </c>
      <c r="C61" s="544">
        <v>1040000.0</v>
      </c>
      <c r="D61" s="18"/>
      <c r="E61" s="525"/>
      <c r="F61" s="507"/>
      <c r="G61" s="507"/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</row>
    <row r="62" ht="35.25" customHeight="1">
      <c r="A62" s="22"/>
      <c r="B62" s="514" t="s">
        <v>836</v>
      </c>
      <c r="C62" s="544">
        <v>1.8584E7</v>
      </c>
      <c r="D62" s="22"/>
      <c r="E62" s="556" t="s">
        <v>848</v>
      </c>
      <c r="F62" s="507"/>
      <c r="G62" s="507"/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</row>
    <row r="63" ht="35.25" customHeight="1">
      <c r="A63" s="513" t="s">
        <v>661</v>
      </c>
      <c r="B63" s="524" t="s">
        <v>76</v>
      </c>
      <c r="C63" s="529">
        <f>SUM(135101500-80000000)</f>
        <v>55101500</v>
      </c>
      <c r="D63" s="521">
        <f>sum(C63:C69)</f>
        <v>318780500</v>
      </c>
      <c r="E63" s="507"/>
      <c r="F63" s="507"/>
      <c r="G63" s="507"/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</row>
    <row r="64" ht="35.25" customHeight="1">
      <c r="A64" s="18"/>
      <c r="B64" s="514" t="s">
        <v>770</v>
      </c>
      <c r="C64" s="529">
        <v>8.5138E7</v>
      </c>
      <c r="D64" s="18"/>
      <c r="E64" s="507"/>
      <c r="F64" s="507"/>
      <c r="G64" s="507"/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</row>
    <row r="65" ht="35.25" customHeight="1">
      <c r="A65" s="18"/>
      <c r="B65" s="514" t="s">
        <v>762</v>
      </c>
      <c r="C65" s="529">
        <v>4.5697E7</v>
      </c>
      <c r="D65" s="18"/>
      <c r="E65" s="507"/>
      <c r="F65" s="507"/>
      <c r="G65" s="507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</row>
    <row r="66" ht="35.25" customHeight="1">
      <c r="A66" s="18"/>
      <c r="B66" s="514" t="s">
        <v>832</v>
      </c>
      <c r="C66" s="529">
        <v>3.40635E7</v>
      </c>
      <c r="D66" s="18"/>
      <c r="E66" s="507"/>
      <c r="F66" s="507"/>
      <c r="G66" s="507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</row>
    <row r="67" ht="35.25" customHeight="1">
      <c r="A67" s="18"/>
      <c r="B67" s="529" t="s">
        <v>768</v>
      </c>
      <c r="C67" s="529">
        <v>2.848E7</v>
      </c>
      <c r="D67" s="18"/>
      <c r="E67" s="556" t="s">
        <v>854</v>
      </c>
      <c r="F67" s="507"/>
      <c r="G67" s="507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</row>
    <row r="68" ht="35.25" customHeight="1">
      <c r="A68" s="18"/>
      <c r="B68" s="529" t="s">
        <v>847</v>
      </c>
      <c r="C68" s="529">
        <v>2.8895E7</v>
      </c>
      <c r="D68" s="18"/>
      <c r="E68" s="556"/>
      <c r="F68" s="507"/>
      <c r="G68" s="507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</row>
    <row r="69" ht="35.25" customHeight="1">
      <c r="A69" s="22"/>
      <c r="B69" s="514" t="s">
        <v>836</v>
      </c>
      <c r="C69" s="544">
        <v>4.14055E7</v>
      </c>
      <c r="D69" s="22"/>
      <c r="E69" s="556" t="s">
        <v>848</v>
      </c>
      <c r="F69" s="507"/>
      <c r="G69" s="507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</row>
    <row r="70" ht="35.25" customHeight="1">
      <c r="A70" s="513" t="s">
        <v>33</v>
      </c>
      <c r="B70" s="514" t="s">
        <v>832</v>
      </c>
      <c r="C70" s="529" t="s">
        <v>684</v>
      </c>
      <c r="D70" s="516">
        <f>sum(C70:C73)</f>
        <v>113115900</v>
      </c>
      <c r="E70" s="507"/>
      <c r="F70" s="507"/>
      <c r="G70" s="507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</row>
    <row r="71" ht="35.25" customHeight="1">
      <c r="A71" s="18"/>
      <c r="B71" s="514" t="s">
        <v>768</v>
      </c>
      <c r="C71" s="529" t="s">
        <v>684</v>
      </c>
      <c r="D71" s="18"/>
      <c r="E71" s="556" t="s">
        <v>855</v>
      </c>
      <c r="F71" s="507"/>
      <c r="G71" s="507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</row>
    <row r="72" ht="35.25" customHeight="1">
      <c r="A72" s="18"/>
      <c r="B72" s="514" t="s">
        <v>847</v>
      </c>
      <c r="C72" s="529">
        <v>8.03234E7</v>
      </c>
      <c r="D72" s="18"/>
      <c r="E72" s="507"/>
      <c r="F72" s="507"/>
      <c r="G72" s="507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</row>
    <row r="73" ht="35.25" customHeight="1">
      <c r="A73" s="22"/>
      <c r="B73" s="514" t="s">
        <v>836</v>
      </c>
      <c r="C73" s="529">
        <v>3.27925E7</v>
      </c>
      <c r="D73" s="22"/>
      <c r="E73" s="556" t="s">
        <v>848</v>
      </c>
      <c r="F73" s="507"/>
      <c r="G73" s="507"/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</row>
    <row r="74" ht="35.25" customHeight="1">
      <c r="A74" s="527" t="s">
        <v>35</v>
      </c>
      <c r="B74" s="514" t="s">
        <v>832</v>
      </c>
      <c r="C74" s="514" t="s">
        <v>684</v>
      </c>
      <c r="D74" s="521">
        <f>SUM(C74:C77)</f>
        <v>21097500</v>
      </c>
      <c r="E74" s="507"/>
      <c r="F74" s="507"/>
      <c r="G74" s="507"/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</row>
    <row r="75" ht="35.25" customHeight="1">
      <c r="A75" s="18"/>
      <c r="B75" s="514" t="s">
        <v>768</v>
      </c>
      <c r="C75" s="514" t="s">
        <v>684</v>
      </c>
      <c r="D75" s="18"/>
      <c r="E75" s="507"/>
      <c r="F75" s="507"/>
      <c r="G75" s="507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</row>
    <row r="76" ht="35.25" customHeight="1">
      <c r="A76" s="18"/>
      <c r="B76" s="514" t="s">
        <v>847</v>
      </c>
      <c r="C76" s="529" t="s">
        <v>684</v>
      </c>
      <c r="D76" s="18"/>
      <c r="E76" s="507"/>
      <c r="F76" s="507"/>
      <c r="G76" s="507"/>
      <c r="H76" s="507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</row>
    <row r="77" ht="35.25" customHeight="1">
      <c r="A77" s="22"/>
      <c r="B77" s="514" t="s">
        <v>836</v>
      </c>
      <c r="C77" s="529">
        <v>2.10975E7</v>
      </c>
      <c r="D77" s="22"/>
      <c r="E77" s="556" t="s">
        <v>856</v>
      </c>
      <c r="F77" s="507"/>
      <c r="G77" s="507"/>
      <c r="H77" s="507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</row>
    <row r="78" ht="35.25" customHeight="1">
      <c r="A78" s="527" t="s">
        <v>36</v>
      </c>
      <c r="B78" s="514" t="s">
        <v>843</v>
      </c>
      <c r="C78" s="529" t="s">
        <v>684</v>
      </c>
      <c r="D78" s="516">
        <f>SUM(C78:C80)</f>
        <v>20525000</v>
      </c>
      <c r="E78" s="507"/>
      <c r="F78" s="507"/>
      <c r="G78" s="507"/>
      <c r="H78" s="507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</row>
    <row r="79" ht="35.25" customHeight="1">
      <c r="A79" s="18"/>
      <c r="B79" s="514" t="s">
        <v>847</v>
      </c>
      <c r="C79" s="529" t="s">
        <v>684</v>
      </c>
      <c r="D79" s="18"/>
      <c r="E79" s="507"/>
      <c r="F79" s="507"/>
      <c r="G79" s="507"/>
      <c r="H79" s="507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</row>
    <row r="80" ht="35.25" customHeight="1">
      <c r="A80" s="18"/>
      <c r="B80" s="514" t="s">
        <v>836</v>
      </c>
      <c r="C80" s="529">
        <v>2.0525E7</v>
      </c>
      <c r="D80" s="18"/>
      <c r="E80" s="556" t="s">
        <v>857</v>
      </c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</row>
    <row r="81" ht="35.25" customHeight="1">
      <c r="A81" s="22"/>
      <c r="B81" s="514"/>
      <c r="C81" s="529"/>
      <c r="D81" s="22"/>
      <c r="E81" s="556" t="s">
        <v>856</v>
      </c>
      <c r="F81" s="507"/>
      <c r="G81" s="507"/>
      <c r="H81" s="507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</row>
    <row r="82" ht="35.25" customHeight="1">
      <c r="A82" s="513" t="s">
        <v>37</v>
      </c>
      <c r="B82" s="514" t="s">
        <v>770</v>
      </c>
      <c r="C82" s="552">
        <v>3.6365E7</v>
      </c>
      <c r="D82" s="521">
        <f>sum(C82:C87)</f>
        <v>256467500</v>
      </c>
      <c r="E82" s="507"/>
      <c r="F82" s="507"/>
      <c r="G82" s="507"/>
      <c r="H82" s="507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</row>
    <row r="83" ht="35.25" customHeight="1">
      <c r="A83" s="18"/>
      <c r="B83" s="514" t="s">
        <v>762</v>
      </c>
      <c r="C83" s="552">
        <v>4.6547E7</v>
      </c>
      <c r="D83" s="18"/>
      <c r="E83" s="507"/>
      <c r="F83" s="507"/>
      <c r="G83" s="507"/>
      <c r="H83" s="507"/>
      <c r="I83" s="507"/>
      <c r="J83" s="507"/>
      <c r="K83" s="507"/>
      <c r="L83" s="507"/>
      <c r="M83" s="507"/>
      <c r="N83" s="507"/>
      <c r="O83" s="507"/>
      <c r="P83" s="507"/>
      <c r="Q83" s="507"/>
      <c r="R83" s="507"/>
      <c r="S83" s="507"/>
    </row>
    <row r="84" ht="35.25" customHeight="1">
      <c r="A84" s="18"/>
      <c r="B84" s="514" t="s">
        <v>832</v>
      </c>
      <c r="C84" s="546">
        <v>4.25765E7</v>
      </c>
      <c r="D84" s="18"/>
      <c r="E84" s="556" t="s">
        <v>858</v>
      </c>
      <c r="F84" s="507"/>
      <c r="G84" s="507"/>
      <c r="H84" s="507"/>
      <c r="I84" s="507"/>
      <c r="J84" s="507"/>
      <c r="K84" s="507"/>
      <c r="L84" s="507"/>
      <c r="M84" s="507"/>
      <c r="N84" s="507"/>
      <c r="O84" s="507"/>
      <c r="P84" s="507"/>
      <c r="Q84" s="507"/>
      <c r="R84" s="507"/>
      <c r="S84" s="507"/>
    </row>
    <row r="85" ht="35.25" customHeight="1">
      <c r="A85" s="18"/>
      <c r="B85" s="514" t="s">
        <v>859</v>
      </c>
      <c r="C85" s="546">
        <v>4.2271E7</v>
      </c>
      <c r="D85" s="18"/>
      <c r="E85" s="507"/>
      <c r="F85" s="507"/>
      <c r="G85" s="507"/>
      <c r="H85" s="507"/>
      <c r="I85" s="507"/>
      <c r="J85" s="507"/>
      <c r="K85" s="507"/>
      <c r="L85" s="507"/>
      <c r="M85" s="507"/>
      <c r="N85" s="507"/>
      <c r="O85" s="507"/>
      <c r="P85" s="507"/>
      <c r="Q85" s="507"/>
      <c r="R85" s="507"/>
      <c r="S85" s="507"/>
    </row>
    <row r="86" ht="35.25" customHeight="1">
      <c r="A86" s="18"/>
      <c r="B86" s="514" t="s">
        <v>847</v>
      </c>
      <c r="C86" s="546">
        <v>4.02265E7</v>
      </c>
      <c r="D86" s="18"/>
      <c r="E86" s="507"/>
      <c r="F86" s="507"/>
      <c r="G86" s="507"/>
      <c r="H86" s="507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</row>
    <row r="87" ht="35.25" customHeight="1">
      <c r="A87" s="22"/>
      <c r="B87" s="514" t="s">
        <v>836</v>
      </c>
      <c r="C87" s="546">
        <v>4.84815E7</v>
      </c>
      <c r="D87" s="22"/>
      <c r="E87" s="507"/>
      <c r="F87" s="507"/>
      <c r="G87" s="507"/>
      <c r="H87" s="507"/>
      <c r="I87" s="507"/>
      <c r="J87" s="507"/>
      <c r="K87" s="507"/>
      <c r="L87" s="507"/>
      <c r="M87" s="507"/>
      <c r="N87" s="507"/>
      <c r="O87" s="507"/>
      <c r="P87" s="507"/>
      <c r="Q87" s="507"/>
      <c r="R87" s="507"/>
      <c r="S87" s="507"/>
    </row>
    <row r="88" ht="35.25" customHeight="1">
      <c r="A88" s="553" t="s">
        <v>663</v>
      </c>
      <c r="B88" s="514" t="s">
        <v>76</v>
      </c>
      <c r="C88" s="552">
        <v>6.4576E7</v>
      </c>
      <c r="D88" s="521">
        <f>sum(C88:C93)</f>
        <v>204086500</v>
      </c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</row>
    <row r="89" ht="35.25" customHeight="1">
      <c r="A89" s="18"/>
      <c r="B89" s="514" t="s">
        <v>770</v>
      </c>
      <c r="C89" s="552">
        <v>4.27515E7</v>
      </c>
      <c r="D89" s="18"/>
      <c r="E89" s="507"/>
      <c r="F89" s="507"/>
      <c r="G89" s="507"/>
      <c r="H89" s="507"/>
      <c r="I89" s="507"/>
      <c r="J89" s="507"/>
      <c r="K89" s="507"/>
      <c r="L89" s="507"/>
      <c r="M89" s="507"/>
      <c r="N89" s="507"/>
      <c r="O89" s="507"/>
      <c r="P89" s="507"/>
      <c r="Q89" s="507"/>
      <c r="R89" s="507"/>
      <c r="S89" s="507"/>
    </row>
    <row r="90" ht="35.25" customHeight="1">
      <c r="A90" s="18"/>
      <c r="B90" s="514" t="s">
        <v>762</v>
      </c>
      <c r="C90" s="552">
        <v>3.2804E7</v>
      </c>
      <c r="D90" s="18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</row>
    <row r="91" ht="35.25" customHeight="1">
      <c r="A91" s="18"/>
      <c r="B91" s="514" t="s">
        <v>832</v>
      </c>
      <c r="C91" s="552">
        <v>1390000.0</v>
      </c>
      <c r="D91" s="18"/>
      <c r="E91" s="556" t="s">
        <v>860</v>
      </c>
      <c r="F91" s="507"/>
      <c r="G91" s="507"/>
      <c r="H91" s="507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</row>
    <row r="92" ht="35.25" customHeight="1">
      <c r="A92" s="18"/>
      <c r="B92" s="514" t="s">
        <v>859</v>
      </c>
      <c r="C92" s="552">
        <v>4.762E7</v>
      </c>
      <c r="D92" s="18"/>
      <c r="E92" s="507"/>
      <c r="F92" s="507"/>
      <c r="G92" s="507"/>
      <c r="H92" s="507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</row>
    <row r="93" ht="35.25" customHeight="1">
      <c r="A93" s="18"/>
      <c r="B93" s="514" t="s">
        <v>847</v>
      </c>
      <c r="C93" s="552">
        <v>1.4945E7</v>
      </c>
      <c r="D93" s="18"/>
      <c r="E93" s="556"/>
      <c r="F93" s="507"/>
      <c r="G93" s="507"/>
      <c r="H93" s="507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</row>
    <row r="94" ht="35.25" customHeight="1">
      <c r="A94" s="22"/>
      <c r="B94" s="514" t="s">
        <v>836</v>
      </c>
      <c r="C94" s="546">
        <v>0.0</v>
      </c>
      <c r="D94" s="22"/>
      <c r="E94" s="556" t="s">
        <v>856</v>
      </c>
      <c r="F94" s="507"/>
      <c r="G94" s="507"/>
      <c r="H94" s="507"/>
      <c r="I94" s="507"/>
      <c r="J94" s="507"/>
      <c r="K94" s="507"/>
      <c r="L94" s="507"/>
      <c r="M94" s="507"/>
      <c r="N94" s="507"/>
      <c r="O94" s="507"/>
      <c r="P94" s="507"/>
      <c r="Q94" s="507"/>
      <c r="R94" s="507"/>
      <c r="S94" s="507"/>
    </row>
    <row r="95" ht="35.25" customHeight="1">
      <c r="A95" s="527" t="s">
        <v>40</v>
      </c>
      <c r="B95" s="514" t="s">
        <v>859</v>
      </c>
      <c r="C95" s="529">
        <v>3.7692E7</v>
      </c>
      <c r="D95" s="516">
        <f>sum(C95:C97)</f>
        <v>76653500</v>
      </c>
      <c r="E95" s="507"/>
      <c r="F95" s="507"/>
      <c r="G95" s="507"/>
      <c r="H95" s="507"/>
      <c r="I95" s="507"/>
      <c r="J95" s="507"/>
      <c r="K95" s="507"/>
      <c r="L95" s="507"/>
      <c r="M95" s="507"/>
      <c r="N95" s="507"/>
      <c r="O95" s="507"/>
      <c r="P95" s="507"/>
      <c r="Q95" s="507"/>
      <c r="R95" s="507"/>
      <c r="S95" s="507"/>
    </row>
    <row r="96" ht="35.25" customHeight="1">
      <c r="A96" s="18"/>
      <c r="B96" s="514" t="s">
        <v>847</v>
      </c>
      <c r="C96" s="529">
        <v>3.89615E7</v>
      </c>
      <c r="D96" s="18"/>
      <c r="E96" s="507"/>
      <c r="F96" s="507"/>
      <c r="G96" s="507"/>
      <c r="H96" s="507"/>
      <c r="I96" s="507"/>
      <c r="J96" s="507"/>
      <c r="K96" s="507"/>
      <c r="L96" s="507"/>
      <c r="M96" s="507"/>
      <c r="N96" s="507"/>
      <c r="O96" s="507"/>
      <c r="P96" s="507"/>
      <c r="Q96" s="507"/>
      <c r="R96" s="507"/>
      <c r="S96" s="507"/>
    </row>
    <row r="97" ht="35.25" customHeight="1">
      <c r="A97" s="18"/>
      <c r="B97" s="514"/>
      <c r="C97" s="546"/>
      <c r="D97" s="18"/>
      <c r="E97" s="507"/>
      <c r="F97" s="507"/>
      <c r="G97" s="507"/>
      <c r="H97" s="507"/>
      <c r="I97" s="507"/>
      <c r="J97" s="507"/>
      <c r="K97" s="507"/>
      <c r="L97" s="507"/>
      <c r="M97" s="507"/>
      <c r="N97" s="507"/>
      <c r="O97" s="507"/>
      <c r="P97" s="507"/>
      <c r="Q97" s="507"/>
      <c r="R97" s="507"/>
      <c r="S97" s="507"/>
    </row>
    <row r="98" ht="35.25" customHeight="1">
      <c r="A98" s="22"/>
      <c r="B98" s="514" t="s">
        <v>861</v>
      </c>
      <c r="C98" s="546">
        <v>3.68435E7</v>
      </c>
      <c r="D98" s="22"/>
      <c r="E98" s="507"/>
      <c r="F98" s="507"/>
      <c r="G98" s="507"/>
      <c r="H98" s="507"/>
      <c r="I98" s="507"/>
      <c r="J98" s="507"/>
      <c r="K98" s="507"/>
      <c r="L98" s="507"/>
      <c r="M98" s="507"/>
      <c r="N98" s="507"/>
      <c r="O98" s="507"/>
      <c r="P98" s="507"/>
      <c r="Q98" s="507"/>
      <c r="R98" s="507"/>
      <c r="S98" s="507"/>
    </row>
    <row r="99" ht="35.25" customHeight="1">
      <c r="A99" s="513" t="s">
        <v>665</v>
      </c>
      <c r="B99" s="514" t="s">
        <v>770</v>
      </c>
      <c r="C99" s="529">
        <v>9.526E7</v>
      </c>
      <c r="D99" s="521">
        <f>sum(C99:C104)</f>
        <v>233707500</v>
      </c>
      <c r="E99" s="507"/>
      <c r="F99" s="507"/>
      <c r="G99" s="507"/>
      <c r="H99" s="507"/>
      <c r="I99" s="507"/>
      <c r="J99" s="507"/>
      <c r="K99" s="507"/>
      <c r="L99" s="507"/>
      <c r="M99" s="507"/>
      <c r="N99" s="507"/>
      <c r="O99" s="507"/>
      <c r="P99" s="507"/>
      <c r="Q99" s="507"/>
      <c r="R99" s="507"/>
      <c r="S99" s="507"/>
    </row>
    <row r="100" ht="35.25" customHeight="1">
      <c r="A100" s="18"/>
      <c r="B100" s="514" t="s">
        <v>762</v>
      </c>
      <c r="C100" s="529">
        <v>3.1215E7</v>
      </c>
      <c r="D100" s="18"/>
      <c r="E100" s="507"/>
      <c r="F100" s="507"/>
      <c r="G100" s="507"/>
      <c r="H100" s="507"/>
      <c r="I100" s="507"/>
      <c r="J100" s="507"/>
      <c r="K100" s="507"/>
      <c r="L100" s="507"/>
      <c r="M100" s="507"/>
      <c r="N100" s="507"/>
      <c r="O100" s="507"/>
      <c r="P100" s="507"/>
      <c r="Q100" s="507"/>
      <c r="R100" s="507"/>
      <c r="S100" s="507"/>
    </row>
    <row r="101" ht="35.25" customHeight="1">
      <c r="A101" s="18"/>
      <c r="B101" s="514" t="s">
        <v>832</v>
      </c>
      <c r="C101" s="529">
        <v>2.4789E7</v>
      </c>
      <c r="D101" s="18"/>
      <c r="E101" s="556" t="s">
        <v>862</v>
      </c>
      <c r="F101" s="507"/>
      <c r="G101" s="507"/>
      <c r="H101" s="507"/>
      <c r="I101" s="507"/>
      <c r="J101" s="507"/>
      <c r="K101" s="507"/>
      <c r="L101" s="507"/>
      <c r="M101" s="507"/>
      <c r="N101" s="507"/>
      <c r="O101" s="507"/>
      <c r="P101" s="507"/>
      <c r="Q101" s="507"/>
      <c r="R101" s="507"/>
      <c r="S101" s="507"/>
    </row>
    <row r="102" ht="35.25" customHeight="1">
      <c r="A102" s="18"/>
      <c r="B102" s="514" t="s">
        <v>859</v>
      </c>
      <c r="C102" s="529">
        <v>2.72935E7</v>
      </c>
      <c r="D102" s="18"/>
      <c r="E102" s="556"/>
      <c r="F102" s="507"/>
      <c r="G102" s="507"/>
      <c r="H102" s="507"/>
      <c r="I102" s="507"/>
      <c r="J102" s="507"/>
      <c r="K102" s="507"/>
      <c r="L102" s="507"/>
      <c r="M102" s="507"/>
      <c r="N102" s="507"/>
      <c r="O102" s="507"/>
      <c r="P102" s="507"/>
      <c r="Q102" s="507"/>
      <c r="R102" s="507"/>
      <c r="S102" s="507"/>
    </row>
    <row r="103" ht="35.25" customHeight="1">
      <c r="A103" s="18"/>
      <c r="B103" s="514" t="s">
        <v>847</v>
      </c>
      <c r="C103" s="529">
        <v>3.3186E7</v>
      </c>
      <c r="D103" s="18"/>
      <c r="E103" s="556"/>
      <c r="F103" s="507"/>
      <c r="G103" s="507"/>
      <c r="H103" s="507"/>
      <c r="I103" s="507"/>
      <c r="J103" s="507"/>
      <c r="K103" s="507"/>
      <c r="L103" s="507"/>
      <c r="M103" s="507"/>
      <c r="N103" s="507"/>
      <c r="O103" s="507"/>
      <c r="P103" s="507"/>
      <c r="Q103" s="507"/>
      <c r="R103" s="507"/>
      <c r="S103" s="507"/>
    </row>
    <row r="104" ht="35.25" customHeight="1">
      <c r="A104" s="22"/>
      <c r="B104" s="514" t="s">
        <v>836</v>
      </c>
      <c r="C104" s="546">
        <v>2.1964E7</v>
      </c>
      <c r="D104" s="22"/>
      <c r="E104" s="556" t="s">
        <v>856</v>
      </c>
      <c r="F104" s="507"/>
      <c r="G104" s="507"/>
      <c r="H104" s="507"/>
      <c r="I104" s="507"/>
      <c r="J104" s="507"/>
      <c r="K104" s="507"/>
      <c r="L104" s="507"/>
      <c r="M104" s="507"/>
      <c r="N104" s="507"/>
      <c r="O104" s="507"/>
      <c r="P104" s="507"/>
      <c r="Q104" s="507"/>
      <c r="R104" s="507"/>
      <c r="S104" s="507"/>
    </row>
    <row r="105" ht="35.25" customHeight="1">
      <c r="A105" s="527" t="s">
        <v>42</v>
      </c>
      <c r="B105" s="514" t="s">
        <v>762</v>
      </c>
      <c r="C105" s="544">
        <v>3250000.0</v>
      </c>
      <c r="D105" s="516">
        <f>sum(C105:C109)</f>
        <v>161129000</v>
      </c>
      <c r="E105" s="557"/>
      <c r="F105" s="507"/>
      <c r="G105" s="507"/>
      <c r="H105" s="507"/>
      <c r="I105" s="507"/>
      <c r="J105" s="507"/>
      <c r="K105" s="507"/>
      <c r="L105" s="507"/>
      <c r="M105" s="507"/>
      <c r="N105" s="507"/>
      <c r="O105" s="507"/>
      <c r="P105" s="507"/>
      <c r="Q105" s="507"/>
      <c r="R105" s="507"/>
      <c r="S105" s="507"/>
    </row>
    <row r="106" ht="35.25" customHeight="1">
      <c r="A106" s="18"/>
      <c r="B106" s="514" t="s">
        <v>832</v>
      </c>
      <c r="C106" s="544">
        <v>4.882E7</v>
      </c>
      <c r="D106" s="18"/>
      <c r="E106" s="507"/>
      <c r="F106" s="507"/>
      <c r="G106" s="507"/>
      <c r="H106" s="507"/>
      <c r="I106" s="507"/>
      <c r="J106" s="507"/>
      <c r="K106" s="507"/>
      <c r="L106" s="507"/>
      <c r="M106" s="507"/>
      <c r="N106" s="507"/>
      <c r="O106" s="507"/>
      <c r="P106" s="507"/>
      <c r="Q106" s="507"/>
      <c r="R106" s="507"/>
      <c r="S106" s="507"/>
    </row>
    <row r="107" ht="35.25" customHeight="1">
      <c r="A107" s="18"/>
      <c r="B107" s="514" t="s">
        <v>859</v>
      </c>
      <c r="C107" s="515">
        <v>4.1886E7</v>
      </c>
      <c r="D107" s="18"/>
      <c r="E107" s="556"/>
      <c r="F107" s="507"/>
      <c r="G107" s="507"/>
      <c r="H107" s="507"/>
      <c r="I107" s="507"/>
      <c r="J107" s="507"/>
      <c r="K107" s="507"/>
      <c r="L107" s="507"/>
      <c r="M107" s="507"/>
      <c r="N107" s="507"/>
      <c r="O107" s="507"/>
      <c r="P107" s="507"/>
      <c r="Q107" s="507"/>
      <c r="R107" s="507"/>
      <c r="S107" s="507"/>
    </row>
    <row r="108" ht="35.25" customHeight="1">
      <c r="A108" s="18"/>
      <c r="B108" s="514" t="s">
        <v>847</v>
      </c>
      <c r="C108" s="515">
        <v>3.6673E7</v>
      </c>
      <c r="D108" s="18"/>
      <c r="E108" s="556"/>
      <c r="F108" s="507"/>
      <c r="G108" s="507"/>
      <c r="H108" s="507"/>
      <c r="I108" s="507"/>
      <c r="J108" s="507"/>
      <c r="K108" s="507"/>
      <c r="L108" s="507"/>
      <c r="M108" s="507"/>
      <c r="N108" s="507"/>
      <c r="O108" s="507"/>
      <c r="P108" s="507"/>
      <c r="Q108" s="507"/>
      <c r="R108" s="507"/>
      <c r="S108" s="507"/>
    </row>
    <row r="109" ht="35.25" customHeight="1">
      <c r="A109" s="22"/>
      <c r="B109" s="514" t="s">
        <v>836</v>
      </c>
      <c r="C109" s="546">
        <v>3.05E7</v>
      </c>
      <c r="D109" s="22"/>
      <c r="E109" s="556"/>
      <c r="F109" s="507"/>
      <c r="G109" s="507"/>
      <c r="H109" s="507"/>
      <c r="I109" s="507"/>
      <c r="J109" s="507"/>
      <c r="K109" s="507"/>
      <c r="L109" s="507"/>
      <c r="M109" s="507"/>
      <c r="N109" s="507"/>
      <c r="O109" s="507"/>
      <c r="P109" s="507"/>
      <c r="Q109" s="507"/>
      <c r="R109" s="507"/>
      <c r="S109" s="507"/>
    </row>
    <row r="110" ht="35.25" customHeight="1">
      <c r="A110" s="527" t="s">
        <v>43</v>
      </c>
      <c r="B110" s="514"/>
      <c r="C110" s="564"/>
      <c r="D110" s="558">
        <f>sum(C111:C116)</f>
        <v>68275000</v>
      </c>
      <c r="E110" s="559"/>
      <c r="F110" s="561"/>
      <c r="G110" s="561"/>
      <c r="H110" s="562"/>
      <c r="I110" s="563"/>
      <c r="J110" s="507"/>
      <c r="K110" s="507"/>
      <c r="L110" s="507"/>
      <c r="M110" s="507"/>
      <c r="N110" s="507"/>
      <c r="O110" s="507"/>
      <c r="P110" s="507"/>
      <c r="Q110" s="507"/>
      <c r="R110" s="507"/>
      <c r="S110" s="507"/>
    </row>
    <row r="111" ht="35.25" customHeight="1">
      <c r="A111" s="18"/>
      <c r="B111" s="514" t="s">
        <v>759</v>
      </c>
      <c r="C111" s="564">
        <v>655000.0</v>
      </c>
      <c r="D111" s="86"/>
      <c r="E111" s="565"/>
      <c r="F111" s="568"/>
      <c r="G111" s="568"/>
      <c r="H111" s="569"/>
      <c r="I111" s="568"/>
      <c r="J111" s="507"/>
      <c r="K111" s="507"/>
      <c r="L111" s="507"/>
      <c r="M111" s="507"/>
      <c r="N111" s="507"/>
      <c r="O111" s="507"/>
      <c r="P111" s="507"/>
      <c r="Q111" s="507"/>
      <c r="R111" s="507"/>
      <c r="S111" s="507"/>
    </row>
    <row r="112" ht="35.25" customHeight="1">
      <c r="A112" s="18"/>
      <c r="B112" s="514" t="s">
        <v>756</v>
      </c>
      <c r="C112" s="564">
        <v>2600000.0</v>
      </c>
      <c r="D112" s="86"/>
      <c r="E112" s="570"/>
      <c r="F112" s="569"/>
      <c r="G112" s="569"/>
      <c r="H112" s="569"/>
      <c r="I112" s="569"/>
      <c r="J112" s="507"/>
      <c r="K112" s="507"/>
      <c r="L112" s="507"/>
      <c r="M112" s="507"/>
      <c r="N112" s="507"/>
      <c r="O112" s="507"/>
      <c r="P112" s="507"/>
      <c r="Q112" s="507"/>
      <c r="R112" s="507"/>
      <c r="S112" s="507"/>
    </row>
    <row r="113" ht="35.25" customHeight="1">
      <c r="A113" s="18"/>
      <c r="B113" s="514" t="s">
        <v>757</v>
      </c>
      <c r="C113" s="564">
        <v>2.6005E7</v>
      </c>
      <c r="D113" s="86"/>
      <c r="E113" s="570" t="s">
        <v>863</v>
      </c>
      <c r="F113" s="573"/>
      <c r="G113" s="574"/>
      <c r="H113" s="574"/>
      <c r="I113" s="575"/>
      <c r="J113" s="507"/>
      <c r="K113" s="507"/>
      <c r="L113" s="507"/>
      <c r="M113" s="507"/>
      <c r="N113" s="507"/>
      <c r="O113" s="507"/>
      <c r="P113" s="507"/>
      <c r="Q113" s="507"/>
      <c r="R113" s="507"/>
      <c r="S113" s="507"/>
    </row>
    <row r="114" ht="35.25" customHeight="1">
      <c r="A114" s="18"/>
      <c r="B114" s="514" t="s">
        <v>762</v>
      </c>
      <c r="C114" s="564">
        <v>2600000.0</v>
      </c>
      <c r="D114" s="86"/>
      <c r="E114" s="570"/>
      <c r="F114" s="573"/>
      <c r="G114" s="574"/>
      <c r="H114" s="574"/>
      <c r="I114" s="575"/>
      <c r="J114" s="507"/>
      <c r="K114" s="507"/>
      <c r="L114" s="507"/>
      <c r="M114" s="507"/>
      <c r="N114" s="507"/>
      <c r="O114" s="507"/>
      <c r="P114" s="507"/>
      <c r="Q114" s="507"/>
      <c r="R114" s="507"/>
      <c r="S114" s="507"/>
    </row>
    <row r="115" ht="35.25" customHeight="1">
      <c r="A115" s="18"/>
      <c r="B115" s="514" t="s">
        <v>832</v>
      </c>
      <c r="C115" s="564">
        <v>2600000.0</v>
      </c>
      <c r="D115" s="86"/>
      <c r="E115" s="556"/>
      <c r="F115" s="573"/>
      <c r="G115" s="574"/>
      <c r="H115" s="574"/>
      <c r="I115" s="575"/>
      <c r="J115" s="507"/>
      <c r="K115" s="507"/>
      <c r="L115" s="507"/>
      <c r="M115" s="507"/>
      <c r="N115" s="507"/>
      <c r="O115" s="507"/>
      <c r="P115" s="507"/>
      <c r="Q115" s="507"/>
      <c r="R115" s="507"/>
      <c r="S115" s="507"/>
    </row>
    <row r="116" ht="35.25" customHeight="1">
      <c r="A116" s="22"/>
      <c r="B116" s="514" t="s">
        <v>768</v>
      </c>
      <c r="C116" s="564">
        <v>3.3815E7</v>
      </c>
      <c r="D116" s="89"/>
      <c r="E116" s="556"/>
      <c r="F116" s="573"/>
      <c r="G116" s="574"/>
      <c r="H116" s="574"/>
      <c r="I116" s="575"/>
      <c r="J116" s="507"/>
      <c r="K116" s="507"/>
      <c r="L116" s="507"/>
      <c r="M116" s="507"/>
      <c r="N116" s="507"/>
      <c r="O116" s="507"/>
      <c r="P116" s="507"/>
      <c r="Q116" s="507"/>
      <c r="R116" s="507"/>
      <c r="S116" s="507"/>
    </row>
    <row r="117" ht="35.25" customHeight="1">
      <c r="A117" s="527" t="s">
        <v>44</v>
      </c>
      <c r="B117" s="514" t="s">
        <v>836</v>
      </c>
      <c r="C117" s="546">
        <v>9838000.0</v>
      </c>
      <c r="D117" s="516">
        <f>sum(C117:C120)</f>
        <v>9838000</v>
      </c>
      <c r="E117" s="576"/>
      <c r="F117" s="578"/>
      <c r="G117" s="578"/>
      <c r="H117" s="579"/>
      <c r="I117" s="580"/>
      <c r="J117" s="507"/>
      <c r="K117" s="507"/>
      <c r="L117" s="507"/>
      <c r="M117" s="507"/>
      <c r="N117" s="507"/>
      <c r="O117" s="507"/>
      <c r="P117" s="507"/>
      <c r="Q117" s="507"/>
      <c r="R117" s="507"/>
      <c r="S117" s="507"/>
    </row>
    <row r="118" ht="35.25" customHeight="1">
      <c r="A118" s="18"/>
      <c r="B118" s="514"/>
      <c r="C118" s="529"/>
      <c r="D118" s="18"/>
      <c r="E118" s="570" t="s">
        <v>864</v>
      </c>
      <c r="F118" s="578"/>
      <c r="G118" s="578"/>
      <c r="H118" s="579"/>
      <c r="I118" s="580"/>
      <c r="J118" s="507"/>
      <c r="K118" s="507"/>
      <c r="L118" s="507"/>
      <c r="M118" s="507"/>
      <c r="N118" s="507"/>
      <c r="O118" s="507"/>
      <c r="P118" s="507"/>
      <c r="Q118" s="507"/>
      <c r="R118" s="507"/>
      <c r="S118" s="507"/>
    </row>
    <row r="119" ht="35.25" customHeight="1">
      <c r="A119" s="18"/>
      <c r="B119" s="514"/>
      <c r="C119" s="529"/>
      <c r="D119" s="18"/>
      <c r="E119" s="582"/>
      <c r="F119" s="578"/>
      <c r="G119" s="578"/>
      <c r="H119" s="579"/>
      <c r="I119" s="580"/>
      <c r="J119" s="507"/>
      <c r="K119" s="507"/>
      <c r="L119" s="507"/>
      <c r="M119" s="507"/>
      <c r="N119" s="507"/>
      <c r="O119" s="507"/>
      <c r="P119" s="507"/>
      <c r="Q119" s="507"/>
      <c r="R119" s="507"/>
      <c r="S119" s="507"/>
    </row>
    <row r="120" ht="35.25" customHeight="1">
      <c r="A120" s="18"/>
      <c r="B120" s="514"/>
      <c r="C120" s="529"/>
      <c r="D120" s="18"/>
      <c r="E120" s="584"/>
      <c r="F120" s="578"/>
      <c r="G120" s="578"/>
      <c r="H120" s="579"/>
      <c r="I120" s="585"/>
      <c r="J120" s="507"/>
      <c r="K120" s="507"/>
      <c r="L120" s="507"/>
      <c r="M120" s="507"/>
      <c r="N120" s="507"/>
      <c r="O120" s="507"/>
      <c r="P120" s="507"/>
      <c r="Q120" s="507"/>
      <c r="R120" s="507"/>
      <c r="S120" s="507"/>
    </row>
    <row r="121" ht="35.25" customHeight="1">
      <c r="A121" s="22"/>
      <c r="B121" s="514"/>
      <c r="C121" s="529"/>
      <c r="D121" s="22"/>
      <c r="E121" s="584"/>
      <c r="F121" s="578"/>
      <c r="G121" s="578"/>
      <c r="H121" s="579"/>
      <c r="I121" s="585"/>
      <c r="J121" s="507"/>
      <c r="K121" s="507"/>
      <c r="L121" s="507"/>
      <c r="M121" s="507"/>
      <c r="N121" s="507"/>
      <c r="O121" s="507"/>
      <c r="P121" s="507"/>
      <c r="Q121" s="507"/>
      <c r="R121" s="507"/>
      <c r="S121" s="507"/>
    </row>
    <row r="122" ht="35.25" customHeight="1">
      <c r="A122" s="527" t="s">
        <v>45</v>
      </c>
      <c r="B122" s="514" t="s">
        <v>832</v>
      </c>
      <c r="C122" s="587">
        <v>1.0138E7</v>
      </c>
      <c r="D122" s="516">
        <f>sum(C122:C125)</f>
        <v>61195000</v>
      </c>
      <c r="E122" s="507"/>
      <c r="F122" s="507"/>
      <c r="G122" s="507"/>
      <c r="H122" s="507"/>
      <c r="I122" s="507"/>
      <c r="J122" s="507"/>
      <c r="K122" s="507"/>
      <c r="L122" s="507"/>
      <c r="M122" s="507"/>
      <c r="N122" s="507"/>
      <c r="O122" s="507"/>
      <c r="P122" s="507"/>
      <c r="Q122" s="507"/>
      <c r="R122" s="507"/>
      <c r="S122" s="507"/>
    </row>
    <row r="123" ht="35.25" customHeight="1">
      <c r="A123" s="18"/>
      <c r="B123" s="514" t="s">
        <v>768</v>
      </c>
      <c r="C123" s="514">
        <v>4.1858E7</v>
      </c>
      <c r="D123" s="18"/>
      <c r="E123" s="507"/>
      <c r="F123" s="507"/>
      <c r="G123" s="507"/>
      <c r="H123" s="507"/>
      <c r="I123" s="507"/>
      <c r="J123" s="507"/>
      <c r="K123" s="507"/>
      <c r="L123" s="507"/>
      <c r="M123" s="507"/>
      <c r="N123" s="507"/>
      <c r="O123" s="507"/>
      <c r="P123" s="507"/>
      <c r="Q123" s="507"/>
      <c r="R123" s="507"/>
      <c r="S123" s="507"/>
    </row>
    <row r="124" ht="35.25" customHeight="1">
      <c r="A124" s="18"/>
      <c r="B124" s="514" t="s">
        <v>836</v>
      </c>
      <c r="C124" s="514">
        <v>9199000.0</v>
      </c>
      <c r="D124" s="18"/>
      <c r="E124" s="507"/>
      <c r="F124" s="507"/>
      <c r="G124" s="507"/>
      <c r="H124" s="507"/>
      <c r="I124" s="507"/>
      <c r="J124" s="507"/>
      <c r="K124" s="507"/>
      <c r="L124" s="507"/>
      <c r="M124" s="507"/>
      <c r="N124" s="507"/>
      <c r="O124" s="507"/>
      <c r="P124" s="507"/>
      <c r="Q124" s="507"/>
      <c r="R124" s="507"/>
      <c r="S124" s="507"/>
    </row>
    <row r="125" ht="35.25" customHeight="1">
      <c r="A125" s="22"/>
      <c r="B125" s="514"/>
      <c r="C125" s="546"/>
      <c r="D125" s="22"/>
      <c r="E125" s="556" t="s">
        <v>865</v>
      </c>
      <c r="F125" s="507"/>
      <c r="G125" s="507"/>
      <c r="H125" s="507"/>
      <c r="I125" s="507"/>
      <c r="J125" s="507"/>
      <c r="K125" s="507"/>
      <c r="L125" s="507"/>
      <c r="M125" s="507"/>
      <c r="N125" s="507"/>
      <c r="O125" s="507"/>
      <c r="P125" s="507"/>
      <c r="Q125" s="507"/>
      <c r="R125" s="507"/>
      <c r="S125" s="507"/>
    </row>
    <row r="126" ht="35.25" customHeight="1">
      <c r="A126" s="513" t="s">
        <v>46</v>
      </c>
      <c r="B126" s="514" t="s">
        <v>759</v>
      </c>
      <c r="C126" s="514">
        <f>2960000-455000</f>
        <v>2505000</v>
      </c>
      <c r="D126" s="516">
        <f>sum(C126:C129)</f>
        <v>30962000</v>
      </c>
      <c r="E126" s="507"/>
      <c r="F126" s="507"/>
      <c r="G126" s="507"/>
      <c r="H126" s="507"/>
      <c r="I126" s="507"/>
      <c r="J126" s="507"/>
      <c r="K126" s="507"/>
      <c r="L126" s="507"/>
      <c r="M126" s="507"/>
      <c r="N126" s="507"/>
      <c r="O126" s="507"/>
      <c r="P126" s="507"/>
      <c r="Q126" s="507"/>
      <c r="R126" s="507"/>
      <c r="S126" s="507"/>
    </row>
    <row r="127" ht="35.25" customHeight="1">
      <c r="A127" s="18"/>
      <c r="B127" s="514" t="s">
        <v>755</v>
      </c>
      <c r="C127" s="514">
        <v>1.5015E7</v>
      </c>
      <c r="D127" s="18"/>
      <c r="E127" s="507"/>
      <c r="F127" s="507"/>
      <c r="G127" s="507"/>
      <c r="H127" s="507"/>
      <c r="I127" s="507"/>
      <c r="J127" s="507"/>
      <c r="K127" s="507"/>
      <c r="L127" s="507"/>
      <c r="M127" s="507"/>
      <c r="N127" s="507"/>
      <c r="O127" s="507"/>
      <c r="P127" s="507"/>
      <c r="Q127" s="507"/>
      <c r="R127" s="507"/>
      <c r="S127" s="507"/>
    </row>
    <row r="128" ht="35.25" customHeight="1">
      <c r="A128" s="18"/>
      <c r="B128" s="514" t="s">
        <v>762</v>
      </c>
      <c r="C128" s="514">
        <v>1.3442E7</v>
      </c>
      <c r="D128" s="18"/>
      <c r="E128" s="507"/>
      <c r="F128" s="507"/>
      <c r="G128" s="507"/>
      <c r="H128" s="507"/>
      <c r="I128" s="507"/>
      <c r="J128" s="507"/>
      <c r="K128" s="507"/>
      <c r="L128" s="507"/>
      <c r="M128" s="507"/>
      <c r="N128" s="507"/>
      <c r="O128" s="507"/>
      <c r="P128" s="507"/>
      <c r="Q128" s="507"/>
      <c r="R128" s="507"/>
      <c r="S128" s="507"/>
    </row>
    <row r="129" ht="35.25" customHeight="1">
      <c r="A129" s="22"/>
      <c r="B129" s="514" t="s">
        <v>836</v>
      </c>
      <c r="C129" s="514">
        <v>0.0</v>
      </c>
      <c r="D129" s="22"/>
      <c r="E129" s="507"/>
      <c r="F129" s="507"/>
      <c r="G129" s="507"/>
      <c r="H129" s="507"/>
      <c r="I129" s="507"/>
      <c r="J129" s="507"/>
      <c r="K129" s="507"/>
      <c r="L129" s="507"/>
      <c r="M129" s="507"/>
      <c r="N129" s="507"/>
      <c r="O129" s="507"/>
      <c r="P129" s="507"/>
      <c r="Q129" s="507"/>
      <c r="R129" s="507"/>
      <c r="S129" s="507"/>
    </row>
    <row r="130" ht="35.25" customHeight="1">
      <c r="A130" s="527" t="s">
        <v>47</v>
      </c>
      <c r="B130" s="588" t="s">
        <v>605</v>
      </c>
      <c r="C130" s="515">
        <v>4.0E7</v>
      </c>
      <c r="D130" s="516">
        <f>sum(C130:C133)</f>
        <v>72240000</v>
      </c>
      <c r="E130" s="507"/>
      <c r="F130" s="507"/>
      <c r="G130" s="507"/>
      <c r="H130" s="507"/>
      <c r="I130" s="507"/>
      <c r="J130" s="507"/>
      <c r="K130" s="507"/>
      <c r="L130" s="507"/>
      <c r="M130" s="507"/>
      <c r="N130" s="507"/>
      <c r="O130" s="507"/>
      <c r="P130" s="507"/>
      <c r="Q130" s="507"/>
      <c r="R130" s="507"/>
      <c r="S130" s="507"/>
    </row>
    <row r="131" ht="35.25" customHeight="1">
      <c r="A131" s="18"/>
      <c r="B131" s="514" t="s">
        <v>866</v>
      </c>
      <c r="C131" s="515">
        <v>1.744E7</v>
      </c>
      <c r="D131" s="18"/>
      <c r="E131" s="507"/>
      <c r="F131" s="507"/>
      <c r="G131" s="507"/>
      <c r="H131" s="507"/>
      <c r="I131" s="507"/>
      <c r="J131" s="507"/>
      <c r="K131" s="507"/>
      <c r="L131" s="507"/>
      <c r="M131" s="507"/>
      <c r="N131" s="507"/>
      <c r="O131" s="507"/>
      <c r="P131" s="507"/>
      <c r="Q131" s="507"/>
      <c r="R131" s="507"/>
      <c r="S131" s="507"/>
    </row>
    <row r="132" ht="35.25" customHeight="1">
      <c r="A132" s="18"/>
      <c r="B132" s="524" t="s">
        <v>867</v>
      </c>
      <c r="C132" s="515">
        <v>1.48E7</v>
      </c>
      <c r="D132" s="18"/>
      <c r="E132" s="507"/>
      <c r="F132" s="507"/>
      <c r="G132" s="507"/>
      <c r="H132" s="507"/>
      <c r="I132" s="507"/>
      <c r="J132" s="507"/>
      <c r="K132" s="507"/>
      <c r="L132" s="507"/>
      <c r="M132" s="507"/>
      <c r="N132" s="507"/>
      <c r="O132" s="507"/>
      <c r="P132" s="507"/>
      <c r="Q132" s="507"/>
      <c r="R132" s="507"/>
      <c r="S132" s="507"/>
    </row>
    <row r="133" ht="35.25" customHeight="1">
      <c r="A133" s="22"/>
      <c r="B133" s="524"/>
      <c r="C133" s="515"/>
      <c r="D133" s="22"/>
      <c r="E133" s="556" t="s">
        <v>868</v>
      </c>
      <c r="F133" s="507"/>
      <c r="G133" s="507"/>
      <c r="H133" s="507"/>
      <c r="I133" s="507"/>
      <c r="J133" s="507"/>
      <c r="K133" s="507"/>
      <c r="L133" s="507"/>
      <c r="M133" s="507"/>
      <c r="N133" s="507"/>
      <c r="O133" s="507"/>
      <c r="P133" s="507"/>
      <c r="Q133" s="507"/>
      <c r="R133" s="507"/>
      <c r="S133" s="507"/>
    </row>
    <row r="134" ht="35.25" customHeight="1">
      <c r="A134" s="527" t="s">
        <v>56</v>
      </c>
      <c r="B134" s="514" t="s">
        <v>766</v>
      </c>
      <c r="C134" s="587">
        <v>4.66795E7</v>
      </c>
      <c r="D134" s="516">
        <f>sum(C134:C138)</f>
        <v>218354500</v>
      </c>
      <c r="E134" s="590"/>
      <c r="F134" s="507"/>
      <c r="G134" s="507"/>
      <c r="H134" s="507"/>
      <c r="I134" s="507"/>
      <c r="J134" s="507"/>
      <c r="K134" s="507"/>
      <c r="L134" s="507"/>
      <c r="M134" s="507"/>
      <c r="N134" s="507"/>
      <c r="O134" s="507"/>
      <c r="P134" s="507"/>
      <c r="Q134" s="507"/>
      <c r="R134" s="507"/>
      <c r="S134" s="507"/>
    </row>
    <row r="135" ht="35.25" customHeight="1">
      <c r="A135" s="18"/>
      <c r="B135" s="514" t="s">
        <v>869</v>
      </c>
      <c r="C135" s="587">
        <v>4.5118E7</v>
      </c>
      <c r="D135" s="18"/>
      <c r="E135" s="590"/>
      <c r="F135" s="507"/>
      <c r="G135" s="507"/>
      <c r="H135" s="507"/>
      <c r="I135" s="507"/>
      <c r="J135" s="507"/>
      <c r="K135" s="507"/>
      <c r="L135" s="507"/>
      <c r="M135" s="507"/>
      <c r="N135" s="507"/>
      <c r="O135" s="507"/>
      <c r="P135" s="507"/>
      <c r="Q135" s="507"/>
      <c r="R135" s="507"/>
      <c r="S135" s="507"/>
    </row>
    <row r="136" ht="35.25" customHeight="1">
      <c r="A136" s="18"/>
      <c r="B136" s="514" t="s">
        <v>768</v>
      </c>
      <c r="C136" s="514">
        <v>4.42075E7</v>
      </c>
      <c r="D136" s="18"/>
      <c r="E136" s="556" t="s">
        <v>870</v>
      </c>
      <c r="F136" s="507"/>
      <c r="G136" s="507"/>
      <c r="H136" s="507"/>
      <c r="I136" s="507"/>
      <c r="J136" s="507"/>
      <c r="K136" s="507"/>
      <c r="L136" s="507"/>
      <c r="M136" s="507"/>
      <c r="N136" s="507"/>
      <c r="O136" s="507"/>
      <c r="P136" s="507"/>
      <c r="Q136" s="507"/>
      <c r="R136" s="507"/>
      <c r="S136" s="507"/>
    </row>
    <row r="137" ht="35.25" customHeight="1">
      <c r="A137" s="18"/>
      <c r="B137" s="514" t="s">
        <v>847</v>
      </c>
      <c r="C137" s="587">
        <v>4.5583E7</v>
      </c>
      <c r="D137" s="18"/>
      <c r="E137" s="507"/>
      <c r="F137" s="507"/>
      <c r="G137" s="507"/>
      <c r="H137" s="507"/>
      <c r="I137" s="507"/>
      <c r="J137" s="507"/>
      <c r="K137" s="507"/>
      <c r="L137" s="507"/>
      <c r="M137" s="507"/>
      <c r="N137" s="507"/>
      <c r="O137" s="507"/>
      <c r="P137" s="507"/>
      <c r="Q137" s="507"/>
      <c r="R137" s="507"/>
      <c r="S137" s="507"/>
    </row>
    <row r="138" ht="35.25" customHeight="1">
      <c r="A138" s="22"/>
      <c r="B138" s="514" t="s">
        <v>836</v>
      </c>
      <c r="C138" s="514">
        <v>3.67665E7</v>
      </c>
      <c r="D138" s="22"/>
      <c r="E138" s="507"/>
      <c r="F138" s="507"/>
      <c r="G138" s="507"/>
      <c r="H138" s="507"/>
      <c r="I138" s="507"/>
      <c r="J138" s="507"/>
      <c r="K138" s="507"/>
      <c r="L138" s="507"/>
      <c r="M138" s="507"/>
      <c r="N138" s="507"/>
      <c r="O138" s="507"/>
      <c r="P138" s="507"/>
      <c r="Q138" s="507"/>
      <c r="R138" s="507"/>
      <c r="S138" s="507"/>
    </row>
    <row r="139" ht="35.25" customHeight="1">
      <c r="A139" s="553" t="s">
        <v>671</v>
      </c>
      <c r="B139" s="514" t="s">
        <v>847</v>
      </c>
      <c r="C139" s="708" t="s">
        <v>871</v>
      </c>
      <c r="D139" s="516"/>
      <c r="E139" s="507"/>
      <c r="F139" s="507"/>
      <c r="G139" s="507"/>
      <c r="H139" s="507"/>
      <c r="I139" s="507"/>
      <c r="J139" s="507"/>
      <c r="K139" s="507"/>
      <c r="L139" s="507"/>
      <c r="M139" s="507"/>
      <c r="N139" s="507"/>
      <c r="O139" s="507"/>
      <c r="P139" s="507"/>
      <c r="Q139" s="507"/>
      <c r="R139" s="507"/>
      <c r="S139" s="507"/>
    </row>
    <row r="140" ht="35.25" customHeight="1">
      <c r="A140" s="18"/>
      <c r="B140" s="588"/>
      <c r="C140" s="546"/>
      <c r="D140" s="18"/>
      <c r="E140" s="556" t="s">
        <v>872</v>
      </c>
      <c r="F140" s="507"/>
      <c r="G140" s="507"/>
      <c r="H140" s="507"/>
      <c r="I140" s="507"/>
      <c r="J140" s="507"/>
      <c r="K140" s="507"/>
      <c r="L140" s="507"/>
      <c r="M140" s="507"/>
      <c r="N140" s="507"/>
      <c r="O140" s="507"/>
      <c r="P140" s="507"/>
      <c r="Q140" s="507"/>
      <c r="R140" s="507"/>
      <c r="S140" s="507"/>
    </row>
    <row r="141" ht="35.25" customHeight="1">
      <c r="A141" s="18"/>
      <c r="B141" s="514"/>
      <c r="C141" s="591"/>
      <c r="D141" s="18"/>
      <c r="E141" s="507"/>
      <c r="F141" s="507"/>
      <c r="G141" s="507"/>
      <c r="H141" s="507"/>
      <c r="I141" s="507"/>
      <c r="J141" s="507"/>
      <c r="K141" s="507"/>
      <c r="L141" s="507"/>
      <c r="M141" s="507"/>
      <c r="N141" s="507"/>
      <c r="O141" s="507"/>
      <c r="P141" s="507"/>
      <c r="Q141" s="507"/>
      <c r="R141" s="507"/>
      <c r="S141" s="507"/>
    </row>
    <row r="142" ht="35.25" customHeight="1">
      <c r="A142" s="22"/>
      <c r="B142" s="588"/>
      <c r="C142" s="587"/>
      <c r="D142" s="22"/>
      <c r="E142" s="556" t="s">
        <v>692</v>
      </c>
      <c r="F142" s="507"/>
      <c r="G142" s="507"/>
      <c r="H142" s="507"/>
      <c r="I142" s="507"/>
      <c r="J142" s="507"/>
      <c r="K142" s="507"/>
      <c r="L142" s="507"/>
      <c r="M142" s="507"/>
      <c r="N142" s="507"/>
      <c r="O142" s="507"/>
      <c r="P142" s="507"/>
      <c r="Q142" s="507"/>
      <c r="R142" s="507"/>
      <c r="S142" s="507"/>
    </row>
    <row r="143" ht="35.25" customHeight="1">
      <c r="A143" s="536" t="s">
        <v>63</v>
      </c>
      <c r="B143" s="514" t="s">
        <v>847</v>
      </c>
      <c r="C143" s="593">
        <v>3.84405E7</v>
      </c>
      <c r="D143" s="516">
        <f>sum(C143:C145)</f>
        <v>77317500</v>
      </c>
      <c r="E143" s="507"/>
      <c r="F143" s="507"/>
      <c r="G143" s="507"/>
      <c r="H143" s="507"/>
      <c r="I143" s="507"/>
      <c r="J143" s="507"/>
      <c r="K143" s="507"/>
      <c r="L143" s="507"/>
      <c r="M143" s="507"/>
      <c r="N143" s="507"/>
      <c r="O143" s="507"/>
      <c r="P143" s="507"/>
      <c r="Q143" s="507"/>
      <c r="R143" s="507"/>
      <c r="S143" s="507"/>
    </row>
    <row r="144" ht="35.25" customHeight="1">
      <c r="A144" s="18"/>
      <c r="B144" s="514" t="s">
        <v>836</v>
      </c>
      <c r="C144" s="514">
        <v>3.8877E7</v>
      </c>
      <c r="D144" s="18"/>
      <c r="E144" s="556" t="s">
        <v>873</v>
      </c>
      <c r="F144" s="507"/>
      <c r="G144" s="507"/>
      <c r="H144" s="507"/>
      <c r="I144" s="507"/>
      <c r="J144" s="507"/>
      <c r="K144" s="507"/>
      <c r="L144" s="507"/>
      <c r="M144" s="507"/>
      <c r="N144" s="507"/>
      <c r="O144" s="507"/>
      <c r="P144" s="507"/>
      <c r="Q144" s="507"/>
      <c r="R144" s="507"/>
      <c r="S144" s="507"/>
    </row>
    <row r="145" ht="35.25" customHeight="1">
      <c r="A145" s="18"/>
      <c r="B145" s="514"/>
      <c r="C145" s="593"/>
      <c r="D145" s="18"/>
      <c r="E145" s="507"/>
      <c r="F145" s="507"/>
      <c r="G145" s="507"/>
      <c r="H145" s="507"/>
      <c r="I145" s="507"/>
      <c r="J145" s="507"/>
      <c r="K145" s="507"/>
      <c r="L145" s="507"/>
      <c r="M145" s="507"/>
      <c r="N145" s="507"/>
      <c r="O145" s="507"/>
      <c r="P145" s="507"/>
      <c r="Q145" s="507"/>
      <c r="R145" s="507"/>
      <c r="S145" s="507"/>
    </row>
    <row r="146" ht="35.25" customHeight="1">
      <c r="A146" s="22"/>
      <c r="B146" s="157"/>
      <c r="C146" s="157"/>
      <c r="D146" s="22"/>
      <c r="E146" s="507"/>
      <c r="F146" s="507"/>
      <c r="G146" s="507"/>
      <c r="H146" s="507"/>
      <c r="I146" s="507"/>
      <c r="J146" s="507"/>
      <c r="K146" s="507"/>
      <c r="L146" s="507"/>
      <c r="M146" s="507"/>
      <c r="N146" s="507"/>
      <c r="O146" s="507"/>
      <c r="P146" s="507"/>
      <c r="Q146" s="507"/>
      <c r="R146" s="507"/>
      <c r="S146" s="507"/>
    </row>
    <row r="147" ht="35.25" customHeight="1">
      <c r="A147" s="597" t="s">
        <v>64</v>
      </c>
      <c r="B147" s="514" t="s">
        <v>766</v>
      </c>
      <c r="C147" s="596" t="s">
        <v>7</v>
      </c>
      <c r="D147" s="516">
        <f>SUM(C147:C150)</f>
        <v>75802500</v>
      </c>
      <c r="E147" s="507"/>
      <c r="F147" s="507"/>
      <c r="G147" s="507"/>
      <c r="H147" s="507"/>
      <c r="I147" s="507"/>
      <c r="J147" s="507"/>
      <c r="K147" s="507"/>
      <c r="L147" s="507"/>
      <c r="M147" s="507"/>
      <c r="N147" s="507"/>
      <c r="O147" s="507"/>
      <c r="P147" s="507"/>
      <c r="Q147" s="507"/>
      <c r="R147" s="507"/>
      <c r="S147" s="507"/>
    </row>
    <row r="148" ht="35.25" customHeight="1">
      <c r="A148" s="18"/>
      <c r="B148" s="514" t="s">
        <v>869</v>
      </c>
      <c r="C148" s="596" t="s">
        <v>7</v>
      </c>
      <c r="D148" s="18"/>
      <c r="E148" s="556" t="s">
        <v>874</v>
      </c>
      <c r="F148" s="507"/>
      <c r="G148" s="507"/>
      <c r="H148" s="507"/>
      <c r="I148" s="507"/>
      <c r="J148" s="507"/>
      <c r="K148" s="507"/>
      <c r="L148" s="507"/>
      <c r="M148" s="507"/>
      <c r="N148" s="507"/>
      <c r="O148" s="507"/>
      <c r="P148" s="507"/>
      <c r="Q148" s="507"/>
      <c r="R148" s="507"/>
      <c r="S148" s="507"/>
    </row>
    <row r="149" ht="35.25" customHeight="1">
      <c r="A149" s="18"/>
      <c r="B149" s="514" t="s">
        <v>768</v>
      </c>
      <c r="C149" s="596">
        <f>75862500-60000</f>
        <v>75802500</v>
      </c>
      <c r="D149" s="18"/>
      <c r="E149" s="556" t="s">
        <v>692</v>
      </c>
      <c r="F149" s="507"/>
      <c r="G149" s="507"/>
      <c r="H149" s="507"/>
      <c r="I149" s="507"/>
      <c r="J149" s="507"/>
      <c r="K149" s="507"/>
      <c r="L149" s="507"/>
      <c r="M149" s="507"/>
      <c r="N149" s="507"/>
      <c r="O149" s="507"/>
      <c r="P149" s="507"/>
      <c r="Q149" s="507"/>
      <c r="R149" s="507"/>
      <c r="S149" s="507"/>
    </row>
    <row r="150" ht="35.25" customHeight="1">
      <c r="A150" s="22"/>
      <c r="B150" s="514"/>
      <c r="C150" s="596"/>
      <c r="D150" s="22"/>
      <c r="E150" s="556" t="s">
        <v>844</v>
      </c>
      <c r="F150" s="507"/>
      <c r="G150" s="525" t="str">
        <f>SUM(#REF!)</f>
        <v>#REF!</v>
      </c>
      <c r="H150" s="507"/>
      <c r="I150" s="507"/>
      <c r="J150" s="507"/>
      <c r="K150" s="507"/>
      <c r="L150" s="507"/>
      <c r="M150" s="507"/>
      <c r="N150" s="507"/>
      <c r="O150" s="507"/>
      <c r="P150" s="507"/>
      <c r="Q150" s="507"/>
      <c r="R150" s="507"/>
      <c r="S150" s="507"/>
    </row>
    <row r="151" ht="35.25" customHeight="1">
      <c r="A151" s="609" t="s">
        <v>875</v>
      </c>
      <c r="B151" s="514" t="s">
        <v>760</v>
      </c>
      <c r="C151" s="598" t="s">
        <v>684</v>
      </c>
      <c r="D151" s="618">
        <f>sum(C152:C153)</f>
        <v>102211500</v>
      </c>
      <c r="E151" s="507"/>
      <c r="F151" s="507"/>
      <c r="G151" s="507"/>
      <c r="H151" s="507"/>
      <c r="I151" s="507"/>
      <c r="J151" s="507"/>
      <c r="K151" s="507"/>
      <c r="L151" s="507"/>
      <c r="M151" s="507"/>
      <c r="N151" s="507"/>
      <c r="O151" s="507"/>
      <c r="P151" s="507"/>
      <c r="Q151" s="507"/>
      <c r="R151" s="507"/>
      <c r="S151" s="507"/>
    </row>
    <row r="152" ht="35.25" customHeight="1">
      <c r="A152" s="18"/>
      <c r="B152" s="514" t="s">
        <v>771</v>
      </c>
      <c r="C152" s="598">
        <v>1.35515E7</v>
      </c>
      <c r="D152" s="18"/>
      <c r="E152" s="507"/>
      <c r="F152" s="507"/>
      <c r="G152" s="507"/>
      <c r="H152" s="507"/>
      <c r="I152" s="507"/>
      <c r="J152" s="507"/>
      <c r="K152" s="507"/>
      <c r="L152" s="507"/>
      <c r="M152" s="507"/>
      <c r="N152" s="507"/>
      <c r="O152" s="507"/>
      <c r="P152" s="507"/>
      <c r="Q152" s="507"/>
      <c r="R152" s="507"/>
      <c r="S152" s="507"/>
    </row>
    <row r="153" ht="35.25" customHeight="1">
      <c r="A153" s="18"/>
      <c r="B153" s="514" t="s">
        <v>92</v>
      </c>
      <c r="C153" s="598">
        <v>8.866E7</v>
      </c>
      <c r="D153" s="18"/>
      <c r="E153" s="507"/>
      <c r="F153" s="507"/>
      <c r="G153" s="507"/>
      <c r="H153" s="507"/>
      <c r="I153" s="507"/>
      <c r="J153" s="507"/>
      <c r="K153" s="507"/>
      <c r="L153" s="507"/>
      <c r="M153" s="507"/>
      <c r="N153" s="507"/>
      <c r="O153" s="507"/>
      <c r="P153" s="507"/>
      <c r="Q153" s="507"/>
      <c r="R153" s="507"/>
      <c r="S153" s="507"/>
    </row>
    <row r="154" ht="35.25" customHeight="1">
      <c r="A154" s="18"/>
      <c r="B154" s="514" t="s">
        <v>876</v>
      </c>
      <c r="C154" s="598"/>
      <c r="D154" s="18"/>
      <c r="E154" s="556" t="s">
        <v>877</v>
      </c>
      <c r="F154" s="507"/>
      <c r="G154" s="507"/>
      <c r="H154" s="507"/>
      <c r="I154" s="507"/>
      <c r="J154" s="507"/>
      <c r="K154" s="507"/>
      <c r="L154" s="507"/>
      <c r="M154" s="507"/>
      <c r="N154" s="507"/>
      <c r="O154" s="507"/>
      <c r="P154" s="507"/>
      <c r="Q154" s="507"/>
      <c r="R154" s="507"/>
      <c r="S154" s="507"/>
    </row>
    <row r="155" ht="35.25" customHeight="1">
      <c r="A155" s="18"/>
      <c r="B155" s="514"/>
      <c r="C155" s="598"/>
      <c r="D155" s="18"/>
      <c r="E155" s="556"/>
      <c r="F155" s="507"/>
      <c r="G155" s="507"/>
      <c r="H155" s="507"/>
      <c r="I155" s="507"/>
      <c r="J155" s="507"/>
      <c r="K155" s="507"/>
      <c r="L155" s="507"/>
      <c r="M155" s="507"/>
      <c r="N155" s="507"/>
      <c r="O155" s="507"/>
      <c r="P155" s="507"/>
      <c r="Q155" s="507"/>
      <c r="R155" s="507"/>
      <c r="S155" s="507"/>
    </row>
    <row r="156" ht="35.25" customHeight="1">
      <c r="A156" s="18"/>
      <c r="B156" s="514"/>
      <c r="C156" s="598"/>
      <c r="D156" s="18"/>
      <c r="E156" s="556"/>
      <c r="F156" s="507"/>
      <c r="G156" s="507"/>
      <c r="H156" s="507"/>
      <c r="I156" s="507"/>
      <c r="J156" s="507"/>
      <c r="K156" s="507"/>
      <c r="L156" s="507"/>
      <c r="M156" s="507"/>
      <c r="N156" s="507"/>
      <c r="O156" s="507"/>
      <c r="P156" s="507"/>
      <c r="Q156" s="507"/>
      <c r="R156" s="507"/>
      <c r="S156" s="507"/>
    </row>
    <row r="157" ht="35.25" customHeight="1">
      <c r="A157" s="18"/>
      <c r="B157" s="514"/>
      <c r="C157" s="598"/>
      <c r="D157" s="18"/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  <c r="O157" s="507"/>
      <c r="P157" s="507"/>
      <c r="Q157" s="507"/>
      <c r="R157" s="507"/>
      <c r="S157" s="507"/>
    </row>
    <row r="158" ht="35.25" customHeight="1">
      <c r="A158" s="18"/>
      <c r="B158" s="157"/>
      <c r="C158" s="157"/>
      <c r="D158" s="18"/>
      <c r="E158" s="507"/>
      <c r="F158" s="507"/>
      <c r="G158" s="507"/>
      <c r="H158" s="507"/>
      <c r="I158" s="507"/>
      <c r="J158" s="507"/>
      <c r="K158" s="507"/>
      <c r="L158" s="507"/>
      <c r="M158" s="507"/>
      <c r="N158" s="507"/>
      <c r="O158" s="507"/>
      <c r="P158" s="507"/>
      <c r="Q158" s="507"/>
      <c r="R158" s="507"/>
      <c r="S158" s="507"/>
    </row>
    <row r="159" ht="35.25" customHeight="1">
      <c r="A159" s="22"/>
      <c r="B159" s="157"/>
      <c r="C159" s="157"/>
      <c r="D159" s="22"/>
      <c r="E159" s="507"/>
      <c r="F159" s="507"/>
      <c r="G159" s="507"/>
      <c r="H159" s="507"/>
      <c r="I159" s="507"/>
      <c r="J159" s="507"/>
      <c r="K159" s="507"/>
      <c r="L159" s="507"/>
      <c r="M159" s="507"/>
      <c r="N159" s="507"/>
      <c r="O159" s="507"/>
      <c r="P159" s="507"/>
      <c r="Q159" s="507"/>
      <c r="R159" s="507"/>
      <c r="S159" s="507"/>
    </row>
    <row r="160" ht="35.25" customHeight="1">
      <c r="A160" s="599" t="s">
        <v>68</v>
      </c>
      <c r="B160" s="514" t="s">
        <v>876</v>
      </c>
      <c r="C160" s="598">
        <v>8.64535E7</v>
      </c>
      <c r="D160" s="618">
        <f>sum(C160)</f>
        <v>86453500</v>
      </c>
      <c r="E160" s="507"/>
      <c r="F160" s="602"/>
      <c r="G160" s="603"/>
      <c r="H160" s="507"/>
      <c r="I160" s="507"/>
      <c r="J160" s="507"/>
      <c r="K160" s="507"/>
      <c r="L160" s="507"/>
      <c r="M160" s="507"/>
      <c r="N160" s="507"/>
      <c r="O160" s="507"/>
      <c r="P160" s="507"/>
      <c r="Q160" s="507"/>
      <c r="R160" s="507"/>
      <c r="S160" s="507"/>
    </row>
    <row r="161" ht="35.25" customHeight="1">
      <c r="A161" s="18"/>
      <c r="B161" s="514"/>
      <c r="C161" s="598"/>
      <c r="D161" s="18"/>
      <c r="E161" s="556" t="s">
        <v>878</v>
      </c>
      <c r="F161" s="605"/>
      <c r="G161" s="606"/>
      <c r="H161" s="507"/>
      <c r="I161" s="507"/>
      <c r="J161" s="507"/>
      <c r="K161" s="507"/>
      <c r="L161" s="507"/>
      <c r="M161" s="507"/>
      <c r="N161" s="507"/>
      <c r="O161" s="507"/>
      <c r="P161" s="507"/>
      <c r="Q161" s="507"/>
      <c r="R161" s="507"/>
      <c r="S161" s="507"/>
    </row>
    <row r="162" ht="35.25" customHeight="1">
      <c r="A162" s="18"/>
      <c r="B162" s="514"/>
      <c r="C162" s="598"/>
      <c r="D162" s="18"/>
      <c r="E162" s="556" t="s">
        <v>879</v>
      </c>
      <c r="F162" s="607"/>
      <c r="G162" s="608"/>
      <c r="H162" s="507"/>
      <c r="I162" s="507"/>
      <c r="J162" s="507"/>
      <c r="K162" s="507"/>
      <c r="L162" s="507"/>
      <c r="M162" s="507"/>
      <c r="N162" s="507"/>
      <c r="O162" s="507"/>
      <c r="P162" s="507"/>
      <c r="Q162" s="507"/>
      <c r="R162" s="507"/>
      <c r="S162" s="507"/>
    </row>
    <row r="163" ht="35.25" customHeight="1">
      <c r="A163" s="22"/>
      <c r="D163" s="22"/>
      <c r="E163" s="507"/>
      <c r="F163" s="607"/>
      <c r="G163" s="608"/>
      <c r="H163" s="507"/>
      <c r="I163" s="507"/>
      <c r="J163" s="507"/>
      <c r="K163" s="507"/>
      <c r="L163" s="507"/>
      <c r="M163" s="507"/>
      <c r="N163" s="507"/>
      <c r="O163" s="507"/>
      <c r="P163" s="507"/>
      <c r="Q163" s="507"/>
      <c r="R163" s="507"/>
      <c r="S163" s="507"/>
    </row>
    <row r="164" ht="35.25" customHeight="1">
      <c r="A164" s="599" t="s">
        <v>75</v>
      </c>
      <c r="B164" s="514" t="s">
        <v>876</v>
      </c>
      <c r="C164" s="598">
        <v>1.9304E7</v>
      </c>
      <c r="D164" s="618">
        <f>SUM(C164)</f>
        <v>19304000</v>
      </c>
      <c r="E164" s="507"/>
      <c r="F164" s="607"/>
      <c r="G164" s="610"/>
      <c r="H164" s="507"/>
      <c r="I164" s="507"/>
      <c r="J164" s="507"/>
      <c r="K164" s="507"/>
      <c r="L164" s="507"/>
      <c r="M164" s="507"/>
      <c r="N164" s="507"/>
      <c r="O164" s="507"/>
      <c r="P164" s="507"/>
      <c r="Q164" s="507"/>
      <c r="R164" s="507"/>
      <c r="S164" s="507"/>
    </row>
    <row r="165" ht="35.25" customHeight="1">
      <c r="A165" s="18"/>
      <c r="B165" s="514"/>
      <c r="C165" s="598"/>
      <c r="D165" s="18"/>
      <c r="E165" s="556" t="s">
        <v>880</v>
      </c>
      <c r="F165" s="607"/>
      <c r="G165" s="610"/>
      <c r="H165" s="507"/>
      <c r="I165" s="507"/>
      <c r="J165" s="507"/>
      <c r="K165" s="507"/>
      <c r="L165" s="507"/>
      <c r="M165" s="507"/>
      <c r="N165" s="507"/>
      <c r="O165" s="507"/>
      <c r="P165" s="507"/>
      <c r="Q165" s="507"/>
      <c r="R165" s="507"/>
      <c r="S165" s="507"/>
    </row>
    <row r="166" ht="35.25" customHeight="1">
      <c r="A166" s="18"/>
      <c r="D166" s="18"/>
      <c r="E166" s="507"/>
      <c r="F166" s="607"/>
      <c r="G166" s="611"/>
      <c r="H166" s="507"/>
      <c r="I166" s="507"/>
      <c r="J166" s="507"/>
      <c r="K166" s="507"/>
      <c r="L166" s="507"/>
      <c r="M166" s="507"/>
      <c r="N166" s="507"/>
      <c r="O166" s="507"/>
      <c r="P166" s="507"/>
      <c r="Q166" s="507"/>
      <c r="R166" s="507"/>
      <c r="S166" s="507"/>
    </row>
    <row r="167" ht="35.25" customHeight="1">
      <c r="A167" s="22"/>
      <c r="B167" s="514"/>
      <c r="C167" s="598"/>
      <c r="D167" s="22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</row>
    <row r="168" ht="35.25" customHeight="1">
      <c r="A168" s="599" t="s">
        <v>79</v>
      </c>
      <c r="B168" s="514" t="s">
        <v>92</v>
      </c>
      <c r="C168" s="612">
        <v>6.313E7</v>
      </c>
      <c r="D168" s="618">
        <f>sum(C168:C169)</f>
        <v>126372000</v>
      </c>
      <c r="E168" s="507"/>
      <c r="F168" s="507"/>
      <c r="G168" s="507"/>
      <c r="H168" s="507"/>
      <c r="I168" s="507"/>
      <c r="J168" s="507"/>
      <c r="K168" s="507"/>
      <c r="L168" s="507"/>
      <c r="M168" s="507"/>
      <c r="N168" s="507"/>
      <c r="O168" s="507"/>
      <c r="P168" s="507"/>
      <c r="Q168" s="507"/>
      <c r="R168" s="507"/>
      <c r="S168" s="507"/>
    </row>
    <row r="169" ht="35.25" customHeight="1">
      <c r="A169" s="18"/>
      <c r="B169" s="698" t="s">
        <v>876</v>
      </c>
      <c r="C169" s="637">
        <v>6.3242E7</v>
      </c>
      <c r="D169" s="18"/>
      <c r="E169" s="556" t="s">
        <v>881</v>
      </c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</row>
    <row r="170" ht="35.25" customHeight="1">
      <c r="A170" s="18"/>
      <c r="B170" s="514"/>
      <c r="C170" s="598"/>
      <c r="D170" s="18"/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  <c r="O170" s="507"/>
      <c r="P170" s="507"/>
      <c r="Q170" s="507"/>
      <c r="R170" s="507"/>
      <c r="S170" s="507"/>
    </row>
    <row r="171" ht="35.25" customHeight="1">
      <c r="A171" s="22"/>
      <c r="B171" s="514"/>
      <c r="C171" s="612"/>
      <c r="D171" s="22"/>
      <c r="E171" s="507"/>
      <c r="F171" s="507"/>
      <c r="G171" s="507"/>
      <c r="H171" s="507"/>
      <c r="I171" s="507"/>
      <c r="J171" s="507"/>
      <c r="K171" s="507"/>
      <c r="L171" s="507"/>
      <c r="M171" s="507"/>
      <c r="N171" s="507"/>
      <c r="O171" s="507"/>
      <c r="P171" s="507"/>
      <c r="Q171" s="507"/>
      <c r="R171" s="507"/>
      <c r="S171" s="507"/>
    </row>
    <row r="172" ht="35.25" customHeight="1">
      <c r="A172" s="609" t="s">
        <v>80</v>
      </c>
      <c r="B172" s="514" t="s">
        <v>92</v>
      </c>
      <c r="C172" s="635">
        <v>2.158605E8</v>
      </c>
      <c r="D172" s="618">
        <f>sum(C172:C173)</f>
        <v>251684500</v>
      </c>
      <c r="E172" s="507"/>
      <c r="F172" s="538"/>
      <c r="G172" s="600"/>
      <c r="H172" s="507"/>
      <c r="I172" s="507"/>
      <c r="J172" s="507"/>
      <c r="K172" s="507"/>
      <c r="L172" s="507"/>
      <c r="M172" s="507"/>
      <c r="N172" s="507"/>
      <c r="O172" s="507"/>
      <c r="P172" s="507"/>
      <c r="Q172" s="507"/>
      <c r="R172" s="507"/>
      <c r="S172" s="507"/>
    </row>
    <row r="173" ht="35.25" customHeight="1">
      <c r="A173" s="18"/>
      <c r="B173" s="514" t="s">
        <v>882</v>
      </c>
      <c r="C173" s="622">
        <v>3.5824E7</v>
      </c>
      <c r="D173" s="18"/>
      <c r="E173" s="507"/>
      <c r="F173" s="538"/>
      <c r="G173" s="600"/>
      <c r="H173" s="507"/>
      <c r="I173" s="507"/>
      <c r="J173" s="507"/>
      <c r="K173" s="507"/>
      <c r="L173" s="507"/>
      <c r="M173" s="507"/>
      <c r="N173" s="507"/>
      <c r="O173" s="507"/>
      <c r="P173" s="507"/>
      <c r="Q173" s="507"/>
      <c r="R173" s="507"/>
      <c r="S173" s="507"/>
    </row>
    <row r="174" ht="35.25" customHeight="1">
      <c r="A174" s="18"/>
      <c r="B174" s="514" t="s">
        <v>883</v>
      </c>
      <c r="C174" s="622"/>
      <c r="D174" s="18"/>
      <c r="E174" s="507"/>
      <c r="F174" s="538"/>
      <c r="G174" s="600"/>
      <c r="H174" s="507"/>
      <c r="I174" s="507"/>
      <c r="J174" s="507"/>
      <c r="K174" s="507"/>
      <c r="L174" s="507"/>
      <c r="M174" s="507"/>
      <c r="N174" s="507"/>
      <c r="O174" s="507"/>
      <c r="P174" s="507"/>
      <c r="Q174" s="507"/>
      <c r="R174" s="507"/>
      <c r="S174" s="507"/>
    </row>
    <row r="175" ht="35.25" customHeight="1">
      <c r="A175" s="18"/>
      <c r="B175" s="514" t="s">
        <v>105</v>
      </c>
      <c r="C175" s="622"/>
      <c r="D175" s="18"/>
      <c r="E175" s="556"/>
      <c r="F175" s="538"/>
      <c r="G175" s="600"/>
      <c r="H175" s="507"/>
      <c r="I175" s="507"/>
      <c r="J175" s="507"/>
      <c r="K175" s="507"/>
      <c r="L175" s="507"/>
      <c r="M175" s="507"/>
      <c r="N175" s="507"/>
      <c r="O175" s="507"/>
      <c r="P175" s="507"/>
      <c r="Q175" s="507"/>
      <c r="R175" s="507"/>
      <c r="S175" s="507"/>
    </row>
    <row r="176" ht="35.25" customHeight="1">
      <c r="A176" s="18"/>
      <c r="B176" s="636" t="s">
        <v>106</v>
      </c>
      <c r="C176" s="637"/>
      <c r="D176" s="18"/>
      <c r="E176" s="507"/>
      <c r="F176" s="538"/>
      <c r="G176" s="600"/>
      <c r="H176" s="507"/>
      <c r="I176" s="507"/>
      <c r="J176" s="507"/>
      <c r="K176" s="507"/>
      <c r="L176" s="507"/>
      <c r="M176" s="507"/>
      <c r="N176" s="507"/>
      <c r="O176" s="507"/>
      <c r="P176" s="507"/>
      <c r="Q176" s="507"/>
      <c r="R176" s="507"/>
      <c r="S176" s="507"/>
    </row>
    <row r="177" ht="35.25" customHeight="1">
      <c r="A177" s="18"/>
      <c r="B177" s="157"/>
      <c r="C177" s="157"/>
      <c r="D177" s="18"/>
      <c r="E177" s="507"/>
      <c r="F177" s="538"/>
      <c r="G177" s="600"/>
      <c r="H177" s="507"/>
      <c r="I177" s="507"/>
      <c r="J177" s="507"/>
      <c r="K177" s="507"/>
      <c r="L177" s="507"/>
      <c r="M177" s="507"/>
      <c r="N177" s="507"/>
      <c r="O177" s="507"/>
      <c r="P177" s="507"/>
      <c r="Q177" s="507"/>
      <c r="R177" s="507"/>
      <c r="S177" s="507"/>
    </row>
    <row r="178" ht="35.25" customHeight="1">
      <c r="A178" s="22"/>
      <c r="B178" s="514"/>
      <c r="C178" s="622"/>
      <c r="D178" s="22"/>
      <c r="E178" s="507"/>
      <c r="F178" s="538"/>
      <c r="G178" s="600"/>
      <c r="H178" s="507"/>
      <c r="I178" s="507"/>
      <c r="J178" s="507"/>
      <c r="K178" s="507"/>
      <c r="L178" s="507"/>
      <c r="M178" s="507"/>
      <c r="N178" s="507"/>
      <c r="O178" s="507"/>
      <c r="P178" s="507"/>
      <c r="Q178" s="507"/>
      <c r="R178" s="507"/>
      <c r="S178" s="507"/>
    </row>
    <row r="179" ht="35.25" customHeight="1">
      <c r="A179" s="609" t="s">
        <v>86</v>
      </c>
      <c r="B179" s="524" t="s">
        <v>92</v>
      </c>
      <c r="C179" s="620">
        <v>6.9243E7</v>
      </c>
      <c r="D179" s="618">
        <f>sum(C179:C180)</f>
        <v>96481000</v>
      </c>
      <c r="E179" s="507"/>
      <c r="F179" s="542"/>
      <c r="G179" s="539"/>
      <c r="H179" s="507"/>
      <c r="I179" s="507"/>
      <c r="J179" s="507"/>
      <c r="K179" s="507"/>
      <c r="L179" s="507"/>
      <c r="M179" s="507"/>
      <c r="N179" s="507"/>
      <c r="O179" s="507"/>
      <c r="P179" s="507"/>
      <c r="Q179" s="507"/>
      <c r="R179" s="507"/>
      <c r="S179" s="507"/>
    </row>
    <row r="180" ht="35.25" customHeight="1">
      <c r="A180" s="18"/>
      <c r="B180" s="629" t="s">
        <v>876</v>
      </c>
      <c r="C180" s="620">
        <v>2.7238E7</v>
      </c>
      <c r="D180" s="18"/>
      <c r="E180" s="556" t="s">
        <v>884</v>
      </c>
      <c r="F180" s="542"/>
      <c r="G180" s="539"/>
      <c r="H180" s="507"/>
      <c r="I180" s="507"/>
      <c r="J180" s="507"/>
      <c r="K180" s="507"/>
      <c r="L180" s="507"/>
      <c r="M180" s="507"/>
      <c r="N180" s="507"/>
      <c r="O180" s="507"/>
      <c r="P180" s="507"/>
      <c r="Q180" s="507"/>
      <c r="R180" s="507"/>
      <c r="S180" s="507"/>
    </row>
    <row r="181" ht="35.25" customHeight="1">
      <c r="A181" s="18"/>
      <c r="B181" s="524" t="s">
        <v>883</v>
      </c>
      <c r="C181" s="619"/>
      <c r="D181" s="18"/>
      <c r="E181" s="635"/>
      <c r="F181" s="538"/>
      <c r="G181" s="600"/>
      <c r="H181" s="507"/>
      <c r="I181" s="507"/>
      <c r="J181" s="507"/>
      <c r="K181" s="507"/>
      <c r="L181" s="507"/>
      <c r="M181" s="507"/>
      <c r="N181" s="507"/>
      <c r="O181" s="507"/>
      <c r="P181" s="507"/>
      <c r="Q181" s="507"/>
      <c r="R181" s="507"/>
      <c r="S181" s="507"/>
    </row>
    <row r="182" ht="35.25" customHeight="1">
      <c r="A182" s="18"/>
      <c r="B182" s="639" t="s">
        <v>105</v>
      </c>
      <c r="C182" s="157"/>
      <c r="D182" s="18"/>
      <c r="E182" s="556"/>
      <c r="F182" s="538"/>
      <c r="G182" s="600"/>
      <c r="H182" s="507"/>
      <c r="I182" s="507"/>
      <c r="J182" s="507"/>
      <c r="K182" s="507"/>
      <c r="L182" s="507"/>
      <c r="M182" s="507"/>
      <c r="N182" s="507"/>
      <c r="O182" s="507"/>
      <c r="P182" s="507"/>
      <c r="Q182" s="507"/>
      <c r="R182" s="507"/>
      <c r="S182" s="507"/>
    </row>
    <row r="183" ht="35.25" customHeight="1">
      <c r="A183" s="22"/>
      <c r="B183" s="639" t="s">
        <v>106</v>
      </c>
      <c r="C183" s="157"/>
      <c r="D183" s="22"/>
      <c r="E183" s="556"/>
      <c r="F183" s="538"/>
      <c r="G183" s="600"/>
      <c r="H183" s="507"/>
      <c r="I183" s="507"/>
      <c r="J183" s="507"/>
      <c r="K183" s="507"/>
      <c r="L183" s="507"/>
      <c r="M183" s="507"/>
      <c r="N183" s="507"/>
      <c r="O183" s="507"/>
      <c r="P183" s="507"/>
      <c r="Q183" s="507"/>
      <c r="R183" s="507"/>
      <c r="S183" s="507"/>
    </row>
    <row r="184" ht="35.25" customHeight="1">
      <c r="A184" s="599" t="s">
        <v>90</v>
      </c>
      <c r="B184" s="514" t="s">
        <v>92</v>
      </c>
      <c r="C184" s="637">
        <v>8.7733E7</v>
      </c>
      <c r="D184" s="618">
        <f>sum(C184:C185)</f>
        <v>129279000</v>
      </c>
      <c r="E184" s="507"/>
      <c r="F184" s="507"/>
      <c r="G184" s="507"/>
      <c r="H184" s="507"/>
      <c r="I184" s="507"/>
      <c r="J184" s="507"/>
      <c r="K184" s="507"/>
      <c r="L184" s="507"/>
      <c r="M184" s="507"/>
      <c r="N184" s="507"/>
      <c r="O184" s="507"/>
      <c r="P184" s="507"/>
      <c r="Q184" s="507"/>
      <c r="R184" s="507"/>
      <c r="S184" s="507"/>
    </row>
    <row r="185" ht="35.25" customHeight="1">
      <c r="A185" s="18"/>
      <c r="B185" s="514" t="s">
        <v>876</v>
      </c>
      <c r="C185" s="627">
        <v>4.1546E7</v>
      </c>
      <c r="D185" s="18"/>
      <c r="E185" s="556" t="s">
        <v>885</v>
      </c>
      <c r="F185" s="507"/>
      <c r="G185" s="507"/>
      <c r="H185" s="507"/>
      <c r="I185" s="507"/>
      <c r="J185" s="507"/>
      <c r="K185" s="507"/>
      <c r="L185" s="507"/>
      <c r="M185" s="507"/>
      <c r="N185" s="507"/>
      <c r="O185" s="507"/>
      <c r="P185" s="507"/>
      <c r="Q185" s="507"/>
      <c r="R185" s="507"/>
      <c r="S185" s="507"/>
    </row>
    <row r="186" ht="35.25" customHeight="1">
      <c r="A186" s="18"/>
      <c r="B186" s="514"/>
      <c r="C186" s="627"/>
      <c r="D186" s="18"/>
      <c r="E186" s="626"/>
      <c r="F186" s="507"/>
      <c r="G186" s="507"/>
      <c r="H186" s="507"/>
      <c r="I186" s="507"/>
      <c r="J186" s="507"/>
      <c r="K186" s="507"/>
      <c r="L186" s="507"/>
      <c r="M186" s="507"/>
      <c r="N186" s="507"/>
      <c r="O186" s="507"/>
      <c r="P186" s="507"/>
      <c r="Q186" s="507"/>
      <c r="R186" s="507"/>
      <c r="S186" s="507"/>
    </row>
    <row r="187" ht="35.25" customHeight="1">
      <c r="A187" s="18"/>
      <c r="B187" s="514"/>
      <c r="C187" s="696"/>
      <c r="D187" s="18"/>
      <c r="E187" s="556"/>
      <c r="F187" s="507"/>
      <c r="G187" s="507"/>
      <c r="H187" s="507"/>
      <c r="I187" s="507"/>
      <c r="J187" s="507"/>
      <c r="K187" s="507"/>
      <c r="L187" s="507"/>
      <c r="M187" s="507"/>
      <c r="N187" s="507"/>
      <c r="O187" s="507"/>
      <c r="P187" s="507"/>
      <c r="Q187" s="507"/>
      <c r="R187" s="507"/>
      <c r="S187" s="507"/>
    </row>
    <row r="188" ht="35.25" customHeight="1">
      <c r="A188" s="22"/>
      <c r="D188" s="22"/>
      <c r="E188" s="556"/>
      <c r="F188" s="507"/>
      <c r="G188" s="507"/>
      <c r="H188" s="507"/>
      <c r="I188" s="507"/>
      <c r="J188" s="507"/>
      <c r="K188" s="507"/>
      <c r="L188" s="507"/>
      <c r="M188" s="507"/>
      <c r="N188" s="507"/>
      <c r="O188" s="507"/>
      <c r="P188" s="507"/>
      <c r="Q188" s="507"/>
      <c r="R188" s="507"/>
      <c r="S188" s="507"/>
    </row>
    <row r="189" ht="35.25" customHeight="1">
      <c r="A189" s="609" t="s">
        <v>610</v>
      </c>
      <c r="B189" s="514" t="s">
        <v>92</v>
      </c>
      <c r="C189" s="617">
        <v>2.82975E7</v>
      </c>
      <c r="D189" s="618">
        <f>sum(C189:C190)</f>
        <v>50061500</v>
      </c>
      <c r="E189" s="507"/>
      <c r="F189" s="507"/>
      <c r="G189" s="507"/>
      <c r="H189" s="507"/>
      <c r="I189" s="507"/>
      <c r="J189" s="507"/>
      <c r="K189" s="507"/>
      <c r="L189" s="507"/>
      <c r="M189" s="507"/>
      <c r="N189" s="507"/>
      <c r="O189" s="507"/>
      <c r="P189" s="507"/>
      <c r="Q189" s="507"/>
      <c r="R189" s="507"/>
      <c r="S189" s="507"/>
    </row>
    <row r="190" ht="35.25" customHeight="1">
      <c r="A190" s="18"/>
      <c r="B190" s="514" t="s">
        <v>876</v>
      </c>
      <c r="C190" s="627">
        <v>2.1764E7</v>
      </c>
      <c r="D190" s="18"/>
      <c r="E190" s="556" t="s">
        <v>886</v>
      </c>
      <c r="F190" s="507"/>
      <c r="G190" s="507"/>
      <c r="H190" s="507"/>
      <c r="I190" s="507"/>
      <c r="J190" s="507"/>
      <c r="K190" s="507"/>
      <c r="L190" s="507"/>
      <c r="M190" s="507"/>
      <c r="N190" s="507"/>
      <c r="O190" s="507"/>
      <c r="P190" s="507"/>
      <c r="Q190" s="507"/>
      <c r="R190" s="507"/>
      <c r="S190" s="507"/>
    </row>
    <row r="191" ht="35.25" customHeight="1">
      <c r="A191" s="18"/>
      <c r="B191" s="514"/>
      <c r="C191" s="627"/>
      <c r="D191" s="18"/>
      <c r="E191" s="507"/>
      <c r="F191" s="507"/>
      <c r="G191" s="507"/>
      <c r="H191" s="507"/>
      <c r="I191" s="507"/>
      <c r="J191" s="507"/>
      <c r="K191" s="507"/>
      <c r="L191" s="507"/>
      <c r="M191" s="507"/>
      <c r="N191" s="507"/>
      <c r="O191" s="507"/>
      <c r="P191" s="507"/>
      <c r="Q191" s="507"/>
      <c r="R191" s="507"/>
      <c r="S191" s="507"/>
    </row>
    <row r="192" ht="35.25" customHeight="1">
      <c r="A192" s="18"/>
      <c r="B192" s="636"/>
      <c r="C192" s="627"/>
      <c r="D192" s="18"/>
      <c r="E192" s="628"/>
      <c r="F192" s="507"/>
      <c r="G192" s="507"/>
      <c r="H192" s="507"/>
      <c r="I192" s="507"/>
      <c r="J192" s="507"/>
      <c r="K192" s="507"/>
      <c r="L192" s="507"/>
      <c r="M192" s="507"/>
      <c r="N192" s="507"/>
      <c r="O192" s="507"/>
      <c r="P192" s="507"/>
      <c r="Q192" s="507"/>
      <c r="R192" s="507"/>
      <c r="S192" s="507"/>
    </row>
    <row r="193" ht="35.25" customHeight="1">
      <c r="A193" s="22"/>
      <c r="C193" s="637"/>
      <c r="D193" s="22"/>
      <c r="E193" s="556"/>
      <c r="F193" s="507"/>
      <c r="G193" s="507"/>
      <c r="H193" s="507"/>
      <c r="I193" s="507"/>
      <c r="J193" s="507"/>
      <c r="K193" s="507"/>
      <c r="L193" s="507"/>
      <c r="M193" s="507"/>
      <c r="N193" s="507"/>
      <c r="O193" s="507"/>
      <c r="P193" s="507"/>
      <c r="Q193" s="507"/>
      <c r="R193" s="507"/>
      <c r="S193" s="507"/>
    </row>
    <row r="194" ht="35.25" customHeight="1">
      <c r="A194" s="618" t="s">
        <v>96</v>
      </c>
      <c r="B194" s="639" t="s">
        <v>92</v>
      </c>
      <c r="C194" s="598">
        <v>1.38866E8</v>
      </c>
      <c r="D194" s="618">
        <f>sum(C194:C195)</f>
        <v>174762000</v>
      </c>
      <c r="E194" s="507"/>
      <c r="F194" s="507"/>
      <c r="G194" s="507"/>
      <c r="H194" s="507"/>
      <c r="I194" s="507"/>
      <c r="J194" s="507"/>
      <c r="K194" s="507"/>
      <c r="L194" s="507"/>
      <c r="M194" s="507"/>
      <c r="N194" s="507"/>
      <c r="O194" s="507"/>
      <c r="P194" s="507"/>
      <c r="Q194" s="507"/>
      <c r="R194" s="507"/>
      <c r="S194" s="507"/>
    </row>
    <row r="195" ht="35.25" customHeight="1">
      <c r="A195" s="18"/>
      <c r="B195" s="547" t="s">
        <v>876</v>
      </c>
      <c r="C195" s="598">
        <v>3.5896E7</v>
      </c>
      <c r="D195" s="18"/>
      <c r="E195" s="556"/>
      <c r="F195" s="507"/>
      <c r="G195" s="507"/>
      <c r="H195" s="507"/>
      <c r="I195" s="507"/>
      <c r="J195" s="507"/>
      <c r="K195" s="507"/>
      <c r="L195" s="507"/>
      <c r="M195" s="507"/>
      <c r="N195" s="507"/>
      <c r="O195" s="507"/>
      <c r="P195" s="507"/>
      <c r="Q195" s="507"/>
      <c r="R195" s="507"/>
      <c r="S195" s="507"/>
    </row>
    <row r="196" ht="35.25" customHeight="1">
      <c r="A196" s="18"/>
      <c r="B196" s="524" t="s">
        <v>883</v>
      </c>
      <c r="C196" s="593"/>
      <c r="D196" s="18"/>
      <c r="E196" s="556"/>
      <c r="F196" s="507"/>
      <c r="G196" s="507"/>
      <c r="H196" s="507"/>
      <c r="I196" s="507"/>
      <c r="J196" s="507"/>
      <c r="K196" s="507"/>
      <c r="L196" s="507"/>
      <c r="M196" s="507"/>
      <c r="N196" s="507"/>
      <c r="O196" s="507"/>
      <c r="P196" s="507"/>
      <c r="Q196" s="507"/>
      <c r="R196" s="507"/>
      <c r="S196" s="507"/>
    </row>
    <row r="197" ht="35.25" customHeight="1">
      <c r="A197" s="18"/>
      <c r="B197" s="634" t="s">
        <v>105</v>
      </c>
      <c r="C197" s="593"/>
      <c r="D197" s="18"/>
      <c r="E197" s="556" t="s">
        <v>887</v>
      </c>
      <c r="F197" s="507"/>
      <c r="G197" s="507"/>
      <c r="H197" s="507"/>
      <c r="I197" s="507"/>
      <c r="J197" s="507"/>
      <c r="K197" s="507"/>
      <c r="L197" s="507"/>
      <c r="M197" s="507"/>
      <c r="N197" s="507"/>
      <c r="O197" s="507"/>
      <c r="P197" s="507"/>
      <c r="Q197" s="507"/>
      <c r="R197" s="507"/>
      <c r="S197" s="507"/>
    </row>
    <row r="198" ht="35.25" customHeight="1">
      <c r="A198" s="18"/>
      <c r="B198" s="639" t="s">
        <v>106</v>
      </c>
      <c r="C198" s="637"/>
      <c r="D198" s="18"/>
      <c r="E198" s="556"/>
      <c r="F198" s="507"/>
      <c r="G198" s="507"/>
      <c r="H198" s="507"/>
      <c r="I198" s="507"/>
      <c r="J198" s="507"/>
      <c r="K198" s="507"/>
      <c r="L198" s="507"/>
      <c r="M198" s="507"/>
      <c r="N198" s="507"/>
      <c r="O198" s="507"/>
      <c r="P198" s="507"/>
      <c r="Q198" s="507"/>
      <c r="R198" s="507"/>
      <c r="S198" s="507"/>
    </row>
    <row r="199" ht="35.25" customHeight="1">
      <c r="A199" s="618" t="s">
        <v>100</v>
      </c>
      <c r="B199" s="636" t="s">
        <v>888</v>
      </c>
      <c r="C199" s="637">
        <v>7.78738E7</v>
      </c>
      <c r="D199" s="618"/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  <c r="O199" s="507"/>
      <c r="P199" s="507"/>
      <c r="Q199" s="507"/>
      <c r="R199" s="507"/>
      <c r="S199" s="507"/>
    </row>
    <row r="200" ht="35.25" customHeight="1">
      <c r="A200" s="18"/>
      <c r="B200" s="636" t="s">
        <v>889</v>
      </c>
      <c r="C200" s="637">
        <v>1.431607E8</v>
      </c>
      <c r="D200" s="18"/>
      <c r="E200" s="556" t="s">
        <v>890</v>
      </c>
      <c r="F200" s="507"/>
      <c r="G200" s="507"/>
      <c r="H200" s="507"/>
      <c r="I200" s="507"/>
      <c r="J200" s="507"/>
      <c r="K200" s="507"/>
      <c r="L200" s="507"/>
      <c r="M200" s="507"/>
      <c r="N200" s="507"/>
      <c r="O200" s="507"/>
      <c r="P200" s="507"/>
      <c r="Q200" s="507"/>
      <c r="R200" s="507"/>
      <c r="S200" s="507"/>
    </row>
    <row r="201" ht="35.25" customHeight="1">
      <c r="A201" s="18"/>
      <c r="B201" s="636" t="s">
        <v>891</v>
      </c>
      <c r="C201" s="637">
        <v>2.44194E8</v>
      </c>
      <c r="D201" s="18"/>
      <c r="E201" s="507"/>
      <c r="F201" s="507"/>
      <c r="G201" s="507"/>
      <c r="H201" s="507"/>
      <c r="I201" s="507"/>
      <c r="J201" s="507"/>
      <c r="K201" s="507"/>
      <c r="L201" s="507"/>
      <c r="M201" s="507"/>
      <c r="N201" s="507"/>
      <c r="O201" s="507"/>
      <c r="P201" s="507"/>
      <c r="Q201" s="507"/>
      <c r="R201" s="507"/>
      <c r="S201" s="507"/>
    </row>
    <row r="202" ht="35.25" customHeight="1">
      <c r="A202" s="18"/>
      <c r="B202" s="636" t="s">
        <v>892</v>
      </c>
      <c r="C202" s="709">
        <v>2.027794E8</v>
      </c>
      <c r="D202" s="18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  <c r="O202" s="507"/>
      <c r="P202" s="507"/>
      <c r="Q202" s="507"/>
      <c r="R202" s="507"/>
      <c r="S202" s="507"/>
    </row>
    <row r="203" ht="35.25" customHeight="1">
      <c r="A203" s="18"/>
      <c r="B203" s="639" t="s">
        <v>893</v>
      </c>
      <c r="C203" s="637">
        <v>1.533345E8</v>
      </c>
      <c r="D203" s="18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  <c r="O203" s="507"/>
      <c r="P203" s="507"/>
      <c r="Q203" s="507"/>
      <c r="R203" s="507"/>
      <c r="S203" s="507"/>
    </row>
    <row r="204" ht="35.25" customHeight="1">
      <c r="A204" s="18"/>
      <c r="B204" s="636" t="s">
        <v>99</v>
      </c>
      <c r="C204" s="638">
        <f>sum(C199:C203)</f>
        <v>821342400</v>
      </c>
      <c r="D204" s="18"/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  <c r="O204" s="507"/>
      <c r="P204" s="507"/>
      <c r="Q204" s="507"/>
      <c r="R204" s="507"/>
      <c r="S204" s="507"/>
    </row>
    <row r="205" ht="35.25" customHeight="1">
      <c r="A205" s="18"/>
      <c r="B205" s="157"/>
      <c r="C205" s="157"/>
      <c r="D205" s="18"/>
      <c r="E205" s="556"/>
      <c r="F205" s="507"/>
      <c r="G205" s="507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R205" s="507"/>
      <c r="S205" s="507"/>
    </row>
    <row r="206" ht="35.25" customHeight="1">
      <c r="A206" s="618" t="s">
        <v>101</v>
      </c>
      <c r="B206" s="629" t="s">
        <v>92</v>
      </c>
      <c r="C206" s="620">
        <v>7.74365E7</v>
      </c>
      <c r="D206" s="618">
        <f>SUM(C206:C207)</f>
        <v>119239500</v>
      </c>
      <c r="E206" s="556">
        <v>7.74365E7</v>
      </c>
      <c r="F206" s="507"/>
      <c r="G206" s="507"/>
      <c r="H206" s="507"/>
      <c r="I206" s="507"/>
      <c r="J206" s="507"/>
      <c r="K206" s="507"/>
      <c r="L206" s="507"/>
      <c r="M206" s="507"/>
      <c r="N206" s="507"/>
      <c r="O206" s="507"/>
      <c r="P206" s="507"/>
      <c r="Q206" s="507"/>
      <c r="R206" s="507"/>
      <c r="S206" s="507"/>
    </row>
    <row r="207" ht="35.25" customHeight="1">
      <c r="A207" s="18"/>
      <c r="B207" s="524" t="s">
        <v>876</v>
      </c>
      <c r="C207" s="593">
        <v>4.1803E7</v>
      </c>
      <c r="D207" s="18"/>
      <c r="E207" s="507"/>
      <c r="F207" s="507"/>
      <c r="G207" s="507"/>
      <c r="H207" s="507"/>
      <c r="I207" s="507"/>
      <c r="J207" s="507"/>
      <c r="K207" s="507"/>
      <c r="L207" s="507"/>
      <c r="M207" s="507"/>
      <c r="N207" s="507"/>
      <c r="O207" s="507"/>
      <c r="P207" s="507"/>
      <c r="Q207" s="507"/>
      <c r="R207" s="507"/>
      <c r="S207" s="507"/>
    </row>
    <row r="208" ht="35.25" customHeight="1">
      <c r="A208" s="18"/>
      <c r="B208" s="524" t="s">
        <v>883</v>
      </c>
      <c r="C208" s="593"/>
      <c r="D208" s="18"/>
      <c r="E208" s="556"/>
      <c r="F208" s="507"/>
      <c r="G208" s="507"/>
      <c r="H208" s="507"/>
      <c r="I208" s="507"/>
      <c r="J208" s="507"/>
      <c r="K208" s="507"/>
      <c r="L208" s="507"/>
      <c r="M208" s="507"/>
      <c r="N208" s="507"/>
      <c r="O208" s="507"/>
      <c r="P208" s="507"/>
      <c r="Q208" s="507"/>
      <c r="R208" s="507"/>
      <c r="S208" s="507"/>
    </row>
    <row r="209" ht="35.25" customHeight="1">
      <c r="A209" s="18"/>
      <c r="B209" s="524" t="s">
        <v>105</v>
      </c>
      <c r="C209" s="593"/>
      <c r="D209" s="18"/>
      <c r="E209" s="556" t="s">
        <v>894</v>
      </c>
      <c r="F209" s="507"/>
      <c r="G209" s="507"/>
      <c r="H209" s="507"/>
      <c r="I209" s="507"/>
      <c r="J209" s="507"/>
      <c r="K209" s="507"/>
      <c r="L209" s="507"/>
      <c r="M209" s="507"/>
      <c r="N209" s="507"/>
      <c r="O209" s="507"/>
      <c r="P209" s="507"/>
      <c r="Q209" s="507"/>
      <c r="R209" s="507"/>
      <c r="S209" s="507"/>
    </row>
    <row r="210" ht="35.25" customHeight="1">
      <c r="A210" s="18"/>
      <c r="B210" s="524" t="s">
        <v>106</v>
      </c>
      <c r="C210" s="593"/>
      <c r="D210" s="18"/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  <c r="O210" s="507"/>
      <c r="P210" s="507"/>
      <c r="Q210" s="507"/>
      <c r="R210" s="507"/>
      <c r="S210" s="507"/>
    </row>
    <row r="211" ht="35.25" customHeight="1">
      <c r="A211" s="18"/>
      <c r="B211" s="636"/>
      <c r="C211" s="637"/>
      <c r="D211" s="18"/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  <c r="O211" s="507"/>
      <c r="P211" s="507"/>
      <c r="Q211" s="507"/>
      <c r="R211" s="507"/>
      <c r="S211" s="507"/>
    </row>
    <row r="212" ht="35.25" customHeight="1">
      <c r="A212" s="18"/>
      <c r="B212" s="636"/>
      <c r="C212" s="620"/>
      <c r="D212" s="18"/>
      <c r="E212" s="507"/>
      <c r="F212" s="507"/>
      <c r="G212" s="507"/>
      <c r="H212" s="507"/>
      <c r="I212" s="507"/>
      <c r="J212" s="507"/>
      <c r="K212" s="507"/>
      <c r="L212" s="507"/>
      <c r="M212" s="507"/>
      <c r="N212" s="507"/>
      <c r="O212" s="507"/>
      <c r="P212" s="507"/>
      <c r="Q212" s="507"/>
      <c r="R212" s="507"/>
      <c r="S212" s="507"/>
    </row>
    <row r="213" ht="35.25" customHeight="1">
      <c r="A213" s="618" t="s">
        <v>107</v>
      </c>
      <c r="B213" s="524" t="s">
        <v>92</v>
      </c>
      <c r="C213" s="641">
        <v>4.2337E7</v>
      </c>
      <c r="D213" s="618">
        <f>SUM(C213:C214)</f>
        <v>120922000</v>
      </c>
      <c r="E213" s="507"/>
      <c r="F213" s="507"/>
      <c r="G213" s="507"/>
      <c r="H213" s="507"/>
      <c r="I213" s="507"/>
      <c r="J213" s="507"/>
      <c r="K213" s="507"/>
      <c r="L213" s="507"/>
      <c r="M213" s="507"/>
      <c r="N213" s="507"/>
      <c r="O213" s="507"/>
      <c r="P213" s="507"/>
      <c r="Q213" s="507"/>
      <c r="R213" s="507"/>
      <c r="S213" s="507"/>
    </row>
    <row r="214" ht="35.25" customHeight="1">
      <c r="A214" s="18"/>
      <c r="B214" s="639" t="s">
        <v>876</v>
      </c>
      <c r="C214" s="696">
        <v>7.8585E7</v>
      </c>
      <c r="D214" s="18"/>
      <c r="E214" s="556" t="s">
        <v>895</v>
      </c>
      <c r="F214" s="507"/>
      <c r="G214" s="507"/>
      <c r="H214" s="507"/>
      <c r="I214" s="507"/>
      <c r="J214" s="507"/>
      <c r="K214" s="507"/>
      <c r="L214" s="507"/>
      <c r="M214" s="507"/>
      <c r="N214" s="507"/>
      <c r="O214" s="507"/>
      <c r="P214" s="507"/>
      <c r="Q214" s="507"/>
      <c r="R214" s="507"/>
      <c r="S214" s="507"/>
    </row>
    <row r="215" ht="35.25" customHeight="1">
      <c r="A215" s="18"/>
      <c r="B215" s="639" t="s">
        <v>883</v>
      </c>
      <c r="C215" s="637"/>
      <c r="D215" s="18"/>
      <c r="E215" s="556" t="s">
        <v>896</v>
      </c>
      <c r="F215" s="507"/>
      <c r="G215" s="507"/>
      <c r="H215" s="507"/>
      <c r="I215" s="507"/>
      <c r="J215" s="507"/>
      <c r="K215" s="507"/>
      <c r="L215" s="507"/>
      <c r="M215" s="507"/>
      <c r="N215" s="507"/>
      <c r="O215" s="507"/>
      <c r="P215" s="507"/>
      <c r="Q215" s="507"/>
      <c r="R215" s="507"/>
      <c r="S215" s="507"/>
    </row>
    <row r="216" ht="35.25" customHeight="1">
      <c r="A216" s="18"/>
      <c r="B216" s="636" t="s">
        <v>105</v>
      </c>
      <c r="C216" s="637"/>
      <c r="D216" s="18"/>
      <c r="E216" s="507"/>
      <c r="F216" s="507"/>
      <c r="G216" s="507"/>
      <c r="H216" s="507"/>
      <c r="I216" s="507"/>
      <c r="J216" s="507"/>
      <c r="K216" s="507"/>
      <c r="L216" s="507"/>
      <c r="M216" s="507"/>
      <c r="N216" s="507"/>
      <c r="O216" s="507"/>
      <c r="P216" s="507"/>
      <c r="Q216" s="507"/>
      <c r="R216" s="507"/>
      <c r="S216" s="507"/>
    </row>
    <row r="217" ht="35.25" customHeight="1">
      <c r="A217" s="618" t="s">
        <v>108</v>
      </c>
      <c r="B217" s="524" t="s">
        <v>770</v>
      </c>
      <c r="C217" s="641">
        <v>724300.0</v>
      </c>
      <c r="D217" s="618">
        <f>sum(C217:C222)</f>
        <v>131327800</v>
      </c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  <c r="O217" s="507"/>
      <c r="P217" s="507"/>
      <c r="Q217" s="507"/>
      <c r="R217" s="507"/>
      <c r="S217" s="507"/>
    </row>
    <row r="218" ht="35.25" customHeight="1">
      <c r="A218" s="18"/>
      <c r="B218" s="524" t="s">
        <v>766</v>
      </c>
      <c r="C218" s="593">
        <v>2.72046E7</v>
      </c>
      <c r="D218" s="18"/>
      <c r="E218" s="556">
        <v>1.313278E8</v>
      </c>
      <c r="F218" s="507"/>
      <c r="G218" s="507"/>
      <c r="H218" s="507"/>
      <c r="I218" s="507"/>
      <c r="J218" s="507"/>
      <c r="K218" s="507"/>
      <c r="L218" s="507"/>
      <c r="M218" s="507"/>
      <c r="N218" s="507"/>
      <c r="O218" s="507"/>
      <c r="P218" s="507"/>
      <c r="Q218" s="507"/>
      <c r="R218" s="507"/>
      <c r="S218" s="507"/>
    </row>
    <row r="219" ht="35.25" customHeight="1">
      <c r="A219" s="18"/>
      <c r="B219" s="639" t="s">
        <v>767</v>
      </c>
      <c r="C219" s="699">
        <v>3.1675E7</v>
      </c>
      <c r="D219" s="18"/>
      <c r="E219" s="556"/>
      <c r="F219" s="507"/>
      <c r="G219" s="507"/>
      <c r="H219" s="507"/>
      <c r="I219" s="507"/>
      <c r="J219" s="507"/>
      <c r="K219" s="507"/>
      <c r="L219" s="507"/>
      <c r="M219" s="507"/>
      <c r="N219" s="507"/>
      <c r="O219" s="507"/>
      <c r="P219" s="507"/>
      <c r="Q219" s="507"/>
      <c r="R219" s="507"/>
      <c r="S219" s="507"/>
    </row>
    <row r="220" ht="35.25" customHeight="1">
      <c r="A220" s="18"/>
      <c r="B220" s="639" t="s">
        <v>768</v>
      </c>
      <c r="C220" s="637">
        <v>2.64089E7</v>
      </c>
      <c r="D220" s="18"/>
      <c r="E220" s="507"/>
      <c r="F220" s="507"/>
      <c r="G220" s="507"/>
      <c r="H220" s="507"/>
      <c r="I220" s="507"/>
      <c r="J220" s="507"/>
      <c r="K220" s="507"/>
      <c r="L220" s="507"/>
      <c r="M220" s="507"/>
      <c r="N220" s="507"/>
      <c r="O220" s="507"/>
      <c r="P220" s="507"/>
      <c r="Q220" s="507"/>
      <c r="R220" s="507"/>
      <c r="S220" s="507"/>
    </row>
    <row r="221" ht="35.25" customHeight="1">
      <c r="A221" s="18"/>
      <c r="B221" s="636" t="s">
        <v>769</v>
      </c>
      <c r="C221" s="637">
        <v>2.1737E7</v>
      </c>
      <c r="D221" s="18"/>
      <c r="E221" s="556"/>
      <c r="F221" s="644"/>
      <c r="G221" s="644"/>
      <c r="H221" s="643"/>
      <c r="I221" s="507"/>
      <c r="J221" s="507"/>
      <c r="K221" s="507"/>
      <c r="L221" s="507"/>
      <c r="M221" s="507"/>
      <c r="N221" s="507"/>
      <c r="O221" s="507"/>
      <c r="P221" s="507"/>
      <c r="Q221" s="507"/>
      <c r="R221" s="507"/>
      <c r="S221" s="507"/>
    </row>
    <row r="222" ht="35.25" customHeight="1">
      <c r="A222" s="18"/>
      <c r="B222" s="710" t="s">
        <v>897</v>
      </c>
      <c r="C222" s="620">
        <v>2.3578E7</v>
      </c>
      <c r="D222" s="18"/>
      <c r="E222" s="507"/>
      <c r="F222" s="644"/>
      <c r="G222" s="644"/>
      <c r="I222" s="507"/>
      <c r="J222" s="507"/>
      <c r="K222" s="507"/>
      <c r="L222" s="507"/>
      <c r="M222" s="507"/>
      <c r="N222" s="507"/>
      <c r="O222" s="507"/>
      <c r="P222" s="507"/>
      <c r="Q222" s="507"/>
      <c r="R222" s="507"/>
      <c r="S222" s="507"/>
    </row>
    <row r="223" ht="35.25" customHeight="1">
      <c r="A223" s="618" t="s">
        <v>112</v>
      </c>
      <c r="B223" s="710" t="s">
        <v>92</v>
      </c>
      <c r="C223" s="637">
        <v>5.1873E7</v>
      </c>
      <c r="D223" s="618">
        <f>SUM(C223:C224)</f>
        <v>105042000</v>
      </c>
      <c r="E223" s="507"/>
      <c r="F223" s="581"/>
      <c r="G223" s="635"/>
      <c r="H223" s="711"/>
      <c r="I223" s="507"/>
      <c r="J223" s="507"/>
      <c r="K223" s="507"/>
      <c r="L223" s="507"/>
      <c r="M223" s="507"/>
      <c r="N223" s="507"/>
      <c r="O223" s="507"/>
      <c r="P223" s="507"/>
      <c r="Q223" s="507"/>
      <c r="R223" s="507"/>
      <c r="S223" s="507"/>
    </row>
    <row r="224" ht="35.25" customHeight="1">
      <c r="A224" s="18"/>
      <c r="B224" s="639" t="s">
        <v>876</v>
      </c>
      <c r="C224" s="598">
        <v>5.3169E7</v>
      </c>
      <c r="D224" s="18"/>
      <c r="E224" s="507"/>
      <c r="F224" s="581"/>
      <c r="G224" s="635"/>
      <c r="I224" s="507"/>
      <c r="J224" s="507"/>
      <c r="K224" s="507"/>
      <c r="L224" s="507"/>
      <c r="M224" s="507"/>
      <c r="N224" s="507"/>
      <c r="O224" s="507"/>
      <c r="P224" s="507"/>
      <c r="Q224" s="507"/>
      <c r="R224" s="507"/>
      <c r="S224" s="507"/>
    </row>
    <row r="225" ht="35.25" customHeight="1">
      <c r="A225" s="18"/>
      <c r="B225" s="639" t="s">
        <v>883</v>
      </c>
      <c r="C225" s="593"/>
      <c r="D225" s="18"/>
      <c r="E225" s="556"/>
      <c r="F225" s="581"/>
      <c r="G225" s="635"/>
      <c r="I225" s="507"/>
      <c r="J225" s="507"/>
      <c r="K225" s="507"/>
      <c r="L225" s="507"/>
      <c r="M225" s="507"/>
      <c r="N225" s="507"/>
      <c r="O225" s="507"/>
      <c r="P225" s="507"/>
      <c r="Q225" s="507"/>
      <c r="R225" s="507"/>
      <c r="S225" s="507"/>
    </row>
    <row r="226" ht="35.25" customHeight="1">
      <c r="A226" s="18"/>
      <c r="B226" s="636" t="s">
        <v>105</v>
      </c>
      <c r="C226" s="637"/>
      <c r="D226" s="18"/>
      <c r="E226" s="556"/>
      <c r="F226" s="581"/>
      <c r="G226" s="635"/>
      <c r="I226" s="507"/>
      <c r="J226" s="507"/>
      <c r="K226" s="507"/>
      <c r="L226" s="507"/>
      <c r="M226" s="507"/>
      <c r="N226" s="507"/>
      <c r="O226" s="507"/>
      <c r="P226" s="507"/>
      <c r="Q226" s="507"/>
      <c r="R226" s="507"/>
      <c r="S226" s="507"/>
    </row>
    <row r="227" ht="35.25" customHeight="1">
      <c r="A227" s="18"/>
      <c r="B227" s="700" t="s">
        <v>106</v>
      </c>
      <c r="D227" s="18"/>
      <c r="E227" s="556"/>
      <c r="F227" s="507"/>
      <c r="G227" s="507"/>
      <c r="H227" s="507"/>
      <c r="I227" s="507"/>
      <c r="J227" s="507"/>
      <c r="K227" s="507"/>
      <c r="L227" s="507"/>
      <c r="M227" s="507"/>
      <c r="N227" s="507"/>
      <c r="O227" s="507"/>
      <c r="P227" s="507"/>
      <c r="Q227" s="507"/>
      <c r="R227" s="507"/>
      <c r="S227" s="507"/>
    </row>
    <row r="228" ht="35.25" customHeight="1">
      <c r="A228" s="618" t="s">
        <v>115</v>
      </c>
      <c r="B228" s="524" t="s">
        <v>770</v>
      </c>
      <c r="C228" s="598" t="s">
        <v>684</v>
      </c>
      <c r="D228" s="618">
        <f>SUM(C229:C233)</f>
        <v>138327000</v>
      </c>
      <c r="E228" s="556"/>
      <c r="F228" s="644"/>
      <c r="G228" s="644"/>
      <c r="H228" s="643"/>
      <c r="I228" s="507"/>
      <c r="J228" s="507"/>
      <c r="K228" s="507"/>
      <c r="L228" s="507"/>
      <c r="M228" s="507"/>
      <c r="N228" s="507"/>
      <c r="O228" s="507"/>
      <c r="P228" s="507"/>
      <c r="Q228" s="507"/>
      <c r="R228" s="507"/>
      <c r="S228" s="507"/>
    </row>
    <row r="229" ht="35.25" customHeight="1">
      <c r="A229" s="18"/>
      <c r="B229" s="636" t="s">
        <v>766</v>
      </c>
      <c r="C229" s="598">
        <v>5061000.0</v>
      </c>
      <c r="D229" s="18"/>
      <c r="E229" s="556"/>
      <c r="F229" s="646"/>
      <c r="G229" s="535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</row>
    <row r="230" ht="35.25" customHeight="1">
      <c r="A230" s="18"/>
      <c r="B230" s="639" t="s">
        <v>767</v>
      </c>
      <c r="C230" s="598">
        <v>1.5865E7</v>
      </c>
      <c r="D230" s="18"/>
      <c r="E230" s="556" t="s">
        <v>898</v>
      </c>
      <c r="F230" s="646"/>
      <c r="G230" s="535"/>
      <c r="I230" s="507"/>
      <c r="J230" s="507"/>
      <c r="K230" s="507"/>
      <c r="L230" s="507"/>
      <c r="M230" s="507"/>
      <c r="N230" s="507"/>
      <c r="O230" s="507"/>
      <c r="P230" s="507"/>
      <c r="Q230" s="507"/>
      <c r="R230" s="507"/>
      <c r="S230" s="507"/>
    </row>
    <row r="231" ht="35.25" customHeight="1">
      <c r="A231" s="18"/>
      <c r="B231" s="639" t="s">
        <v>768</v>
      </c>
      <c r="C231" s="598">
        <v>4.0373E7</v>
      </c>
      <c r="D231" s="18"/>
      <c r="E231" s="507"/>
      <c r="F231" s="646"/>
      <c r="G231" s="535"/>
      <c r="I231" s="507"/>
      <c r="J231" s="507"/>
      <c r="K231" s="507"/>
      <c r="L231" s="507"/>
      <c r="M231" s="507"/>
      <c r="N231" s="507"/>
      <c r="O231" s="507"/>
      <c r="P231" s="507"/>
      <c r="Q231" s="507"/>
      <c r="R231" s="507"/>
      <c r="S231" s="507"/>
    </row>
    <row r="232" ht="35.25" customHeight="1">
      <c r="A232" s="18"/>
      <c r="B232" s="639" t="s">
        <v>769</v>
      </c>
      <c r="C232" s="598">
        <v>3.8701E7</v>
      </c>
      <c r="D232" s="18"/>
      <c r="E232" s="507"/>
      <c r="F232" s="646"/>
      <c r="G232" s="535"/>
      <c r="I232" s="507"/>
      <c r="J232" s="507"/>
      <c r="K232" s="507"/>
      <c r="L232" s="507"/>
      <c r="M232" s="507"/>
      <c r="N232" s="507"/>
      <c r="O232" s="507"/>
      <c r="P232" s="507"/>
      <c r="Q232" s="507"/>
      <c r="R232" s="507"/>
      <c r="S232" s="507"/>
    </row>
    <row r="233" ht="35.25" customHeight="1">
      <c r="A233" s="18"/>
      <c r="B233" s="639" t="s">
        <v>897</v>
      </c>
      <c r="C233" s="620">
        <v>3.8327E7</v>
      </c>
      <c r="D233" s="18"/>
      <c r="E233" s="507"/>
      <c r="F233" s="646"/>
      <c r="G233" s="535"/>
      <c r="I233" s="507"/>
      <c r="J233" s="507"/>
      <c r="K233" s="507"/>
      <c r="L233" s="507"/>
      <c r="M233" s="507"/>
      <c r="N233" s="507"/>
      <c r="O233" s="507"/>
      <c r="P233" s="507"/>
      <c r="Q233" s="507"/>
      <c r="R233" s="507"/>
      <c r="S233" s="507"/>
    </row>
    <row r="234" ht="35.25" customHeight="1">
      <c r="A234" s="618" t="s">
        <v>116</v>
      </c>
      <c r="B234" s="639" t="s">
        <v>769</v>
      </c>
      <c r="C234" s="650">
        <v>4.2443E7</v>
      </c>
      <c r="D234" s="618">
        <f>SUM(C234:C235)</f>
        <v>81403000</v>
      </c>
      <c r="E234" s="507"/>
      <c r="F234" s="646"/>
      <c r="G234" s="644"/>
      <c r="I234" s="507"/>
      <c r="J234" s="507"/>
      <c r="K234" s="507"/>
      <c r="L234" s="507"/>
      <c r="M234" s="507"/>
      <c r="N234" s="507"/>
      <c r="O234" s="507"/>
      <c r="P234" s="507"/>
      <c r="Q234" s="507"/>
      <c r="R234" s="507"/>
      <c r="S234" s="507"/>
    </row>
    <row r="235" ht="35.25" customHeight="1">
      <c r="A235" s="18"/>
      <c r="B235" s="524" t="s">
        <v>897</v>
      </c>
      <c r="C235" s="617">
        <v>3.896E7</v>
      </c>
      <c r="D235" s="18"/>
      <c r="E235" s="556"/>
      <c r="F235" s="646"/>
      <c r="G235" s="507"/>
      <c r="I235" s="507"/>
      <c r="J235" s="507"/>
      <c r="K235" s="507"/>
      <c r="L235" s="507"/>
      <c r="M235" s="507"/>
      <c r="N235" s="507"/>
      <c r="O235" s="507"/>
      <c r="P235" s="507"/>
      <c r="Q235" s="507"/>
      <c r="R235" s="507"/>
      <c r="S235" s="507"/>
    </row>
    <row r="236" ht="35.25" customHeight="1">
      <c r="A236" s="18"/>
      <c r="B236" s="639"/>
      <c r="C236" s="617"/>
      <c r="D236" s="18"/>
      <c r="E236" s="556"/>
      <c r="F236" s="507"/>
      <c r="G236" s="507"/>
      <c r="H236" s="507"/>
      <c r="I236" s="507"/>
      <c r="J236" s="507"/>
      <c r="K236" s="507"/>
      <c r="L236" s="507"/>
      <c r="M236" s="507"/>
      <c r="N236" s="507"/>
      <c r="O236" s="507"/>
      <c r="P236" s="507"/>
      <c r="Q236" s="507"/>
      <c r="R236" s="507"/>
      <c r="S236" s="507"/>
    </row>
    <row r="237" ht="35.25" customHeight="1">
      <c r="A237" s="18"/>
      <c r="B237" s="639"/>
      <c r="C237" s="696"/>
      <c r="D237" s="18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</row>
    <row r="238" ht="35.25" customHeight="1">
      <c r="A238" s="18"/>
      <c r="D238" s="18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  <c r="O238" s="507"/>
      <c r="P238" s="507"/>
      <c r="Q238" s="507"/>
      <c r="R238" s="507"/>
      <c r="S238" s="507"/>
    </row>
    <row r="239" ht="35.25" customHeight="1">
      <c r="A239" s="618" t="s">
        <v>117</v>
      </c>
      <c r="B239" s="639" t="s">
        <v>769</v>
      </c>
      <c r="C239" s="637">
        <v>2.51675E7</v>
      </c>
      <c r="D239" s="618">
        <f>SUM(C239:C240)</f>
        <v>58541500</v>
      </c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  <c r="O239" s="507"/>
      <c r="P239" s="507"/>
      <c r="Q239" s="507"/>
      <c r="R239" s="507"/>
      <c r="S239" s="507"/>
    </row>
    <row r="240" ht="35.25" customHeight="1">
      <c r="A240" s="18"/>
      <c r="B240" s="639" t="s">
        <v>897</v>
      </c>
      <c r="C240" s="598">
        <v>3.3374E7</v>
      </c>
      <c r="D240" s="18"/>
      <c r="E240" s="651"/>
      <c r="F240" s="507"/>
      <c r="G240" s="507"/>
      <c r="H240" s="507"/>
      <c r="I240" s="507"/>
      <c r="J240" s="507"/>
      <c r="K240" s="507"/>
      <c r="L240" s="507"/>
      <c r="M240" s="507"/>
      <c r="N240" s="507"/>
      <c r="O240" s="507"/>
      <c r="P240" s="507"/>
      <c r="Q240" s="507"/>
      <c r="R240" s="507"/>
      <c r="S240" s="507"/>
    </row>
    <row r="241" ht="35.25" customHeight="1">
      <c r="A241" s="18"/>
      <c r="B241" s="639"/>
      <c r="C241" s="598"/>
      <c r="D241" s="18"/>
      <c r="E241" s="556"/>
      <c r="F241" s="507"/>
      <c r="G241" s="507"/>
      <c r="H241" s="507"/>
      <c r="I241" s="507"/>
      <c r="J241" s="507"/>
      <c r="K241" s="507"/>
      <c r="L241" s="507"/>
      <c r="M241" s="507"/>
      <c r="N241" s="507"/>
      <c r="O241" s="507"/>
      <c r="P241" s="507"/>
      <c r="Q241" s="507"/>
      <c r="R241" s="507"/>
      <c r="S241" s="507"/>
    </row>
    <row r="242" ht="35.25" customHeight="1">
      <c r="A242" s="18"/>
      <c r="B242" s="157"/>
      <c r="C242" s="157"/>
      <c r="D242" s="18"/>
      <c r="E242" s="556"/>
      <c r="F242" s="507"/>
      <c r="G242" s="507"/>
      <c r="H242" s="507"/>
      <c r="I242" s="507"/>
      <c r="J242" s="507"/>
      <c r="K242" s="507"/>
      <c r="L242" s="507"/>
      <c r="M242" s="507"/>
      <c r="N242" s="507"/>
      <c r="O242" s="507"/>
      <c r="P242" s="507"/>
      <c r="Q242" s="507"/>
      <c r="R242" s="507"/>
      <c r="S242" s="507"/>
    </row>
    <row r="243" ht="35.25" customHeight="1">
      <c r="A243" s="18"/>
      <c r="B243" s="157"/>
      <c r="C243" s="637"/>
      <c r="D243" s="18"/>
      <c r="E243" s="556"/>
      <c r="F243" s="507"/>
      <c r="G243" s="507"/>
      <c r="H243" s="507"/>
      <c r="I243" s="507"/>
      <c r="J243" s="507"/>
      <c r="K243" s="507"/>
      <c r="L243" s="507"/>
      <c r="M243" s="507"/>
      <c r="N243" s="507"/>
      <c r="O243" s="507"/>
      <c r="P243" s="507"/>
      <c r="Q243" s="507"/>
      <c r="R243" s="507"/>
      <c r="S243" s="507"/>
    </row>
    <row r="244" ht="35.25" customHeight="1">
      <c r="A244" s="618" t="s">
        <v>118</v>
      </c>
      <c r="B244" s="524" t="s">
        <v>766</v>
      </c>
      <c r="C244" s="625"/>
      <c r="D244" s="618">
        <f>sum(C247:C248)</f>
        <v>112568500</v>
      </c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  <c r="O244" s="507"/>
      <c r="P244" s="507"/>
      <c r="Q244" s="507"/>
      <c r="R244" s="507"/>
      <c r="S244" s="507"/>
    </row>
    <row r="245" ht="35.25" customHeight="1">
      <c r="A245" s="18"/>
      <c r="B245" s="639" t="s">
        <v>767</v>
      </c>
      <c r="C245" s="627" t="s">
        <v>684</v>
      </c>
      <c r="D245" s="18"/>
      <c r="E245" s="556"/>
      <c r="F245" s="507"/>
      <c r="G245" s="507"/>
      <c r="H245" s="507"/>
      <c r="I245" s="507"/>
      <c r="J245" s="507"/>
      <c r="K245" s="507"/>
      <c r="L245" s="507"/>
      <c r="M245" s="507"/>
      <c r="N245" s="507"/>
      <c r="O245" s="507"/>
      <c r="P245" s="507"/>
      <c r="Q245" s="507"/>
      <c r="R245" s="507"/>
      <c r="S245" s="507"/>
    </row>
    <row r="246" ht="35.25" customHeight="1">
      <c r="A246" s="18"/>
      <c r="B246" s="639" t="s">
        <v>768</v>
      </c>
      <c r="C246" s="627" t="s">
        <v>684</v>
      </c>
      <c r="D246" s="18"/>
      <c r="E246" s="556"/>
      <c r="F246" s="507"/>
      <c r="G246" s="507"/>
      <c r="H246" s="507"/>
      <c r="I246" s="507"/>
      <c r="J246" s="507"/>
      <c r="K246" s="507"/>
      <c r="L246" s="507"/>
      <c r="M246" s="507"/>
      <c r="N246" s="507"/>
      <c r="O246" s="507"/>
      <c r="P246" s="507"/>
      <c r="Q246" s="507"/>
      <c r="R246" s="507"/>
      <c r="S246" s="507"/>
    </row>
    <row r="247" ht="35.25" customHeight="1">
      <c r="A247" s="18"/>
      <c r="B247" s="547" t="s">
        <v>769</v>
      </c>
      <c r="C247" s="627">
        <v>6.58225E7</v>
      </c>
      <c r="D247" s="18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  <c r="O247" s="507"/>
      <c r="P247" s="507"/>
      <c r="Q247" s="507"/>
      <c r="R247" s="507"/>
      <c r="S247" s="507"/>
    </row>
    <row r="248" ht="35.25" customHeight="1">
      <c r="A248" s="18"/>
      <c r="B248" s="629" t="s">
        <v>897</v>
      </c>
      <c r="C248" s="598">
        <v>4.6746E7</v>
      </c>
      <c r="D248" s="18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  <c r="O248" s="507"/>
      <c r="P248" s="507"/>
      <c r="Q248" s="507"/>
      <c r="R248" s="507"/>
      <c r="S248" s="507"/>
    </row>
    <row r="249" ht="35.25" customHeight="1">
      <c r="A249" s="618" t="s">
        <v>119</v>
      </c>
      <c r="B249" s="547" t="s">
        <v>769</v>
      </c>
      <c r="C249" s="620">
        <v>3.1596E7</v>
      </c>
      <c r="D249" s="618">
        <f>SUM(C249:C250)</f>
        <v>62574000</v>
      </c>
      <c r="E249" s="507"/>
      <c r="F249" s="507"/>
      <c r="G249" s="507"/>
      <c r="H249" s="507"/>
      <c r="I249" s="507"/>
      <c r="J249" s="507"/>
      <c r="K249" s="507"/>
      <c r="L249" s="507"/>
      <c r="M249" s="507"/>
      <c r="N249" s="507"/>
      <c r="O249" s="507"/>
      <c r="P249" s="507"/>
      <c r="Q249" s="507"/>
      <c r="R249" s="507"/>
      <c r="S249" s="507"/>
    </row>
    <row r="250" ht="35.25" customHeight="1">
      <c r="A250" s="18"/>
      <c r="B250" s="524" t="s">
        <v>897</v>
      </c>
      <c r="C250" s="627">
        <v>3.0978E7</v>
      </c>
      <c r="D250" s="18"/>
      <c r="E250" s="507"/>
      <c r="F250" s="507"/>
      <c r="G250" s="507"/>
      <c r="H250" s="507"/>
      <c r="I250" s="507"/>
      <c r="J250" s="507"/>
      <c r="K250" s="507"/>
      <c r="L250" s="507"/>
      <c r="M250" s="507"/>
      <c r="N250" s="507"/>
      <c r="O250" s="507"/>
      <c r="P250" s="507"/>
      <c r="Q250" s="507"/>
      <c r="R250" s="507"/>
      <c r="S250" s="507"/>
    </row>
    <row r="251" ht="35.25" customHeight="1">
      <c r="A251" s="18"/>
      <c r="B251" s="639"/>
      <c r="C251" s="627"/>
      <c r="D251" s="18"/>
      <c r="E251" s="556" t="s">
        <v>899</v>
      </c>
      <c r="F251" s="507"/>
      <c r="G251" s="507"/>
      <c r="H251" s="507"/>
      <c r="I251" s="507"/>
      <c r="J251" s="507"/>
      <c r="K251" s="507"/>
      <c r="L251" s="507"/>
      <c r="M251" s="507"/>
      <c r="N251" s="507"/>
      <c r="O251" s="507"/>
      <c r="P251" s="507"/>
      <c r="Q251" s="507"/>
      <c r="R251" s="507"/>
      <c r="S251" s="507"/>
    </row>
    <row r="252" ht="35.25" customHeight="1">
      <c r="A252" s="18"/>
      <c r="B252" s="639"/>
      <c r="C252" s="696"/>
      <c r="D252" s="18"/>
      <c r="E252" s="556"/>
      <c r="F252" s="507"/>
      <c r="G252" s="507"/>
      <c r="H252" s="507"/>
      <c r="I252" s="507"/>
      <c r="J252" s="507"/>
      <c r="K252" s="507"/>
      <c r="L252" s="507"/>
      <c r="M252" s="507"/>
      <c r="N252" s="507"/>
      <c r="O252" s="507"/>
      <c r="P252" s="507"/>
      <c r="Q252" s="507"/>
      <c r="R252" s="507"/>
      <c r="S252" s="507"/>
    </row>
    <row r="253" ht="35.25" customHeight="1">
      <c r="A253" s="18"/>
      <c r="D253" s="18"/>
      <c r="E253" s="556"/>
      <c r="F253" s="507"/>
      <c r="G253" s="507"/>
      <c r="H253" s="507"/>
      <c r="I253" s="507"/>
      <c r="J253" s="507"/>
      <c r="K253" s="507"/>
      <c r="L253" s="507"/>
      <c r="M253" s="507"/>
      <c r="N253" s="507"/>
      <c r="O253" s="507"/>
      <c r="P253" s="507"/>
      <c r="Q253" s="507"/>
      <c r="R253" s="507"/>
      <c r="S253" s="507"/>
    </row>
    <row r="254" ht="35.25" customHeight="1">
      <c r="A254" s="618" t="s">
        <v>120</v>
      </c>
      <c r="B254" s="636" t="s">
        <v>769</v>
      </c>
      <c r="C254" s="712">
        <v>250000.0</v>
      </c>
      <c r="D254" s="618">
        <f>SUM(C254:C255)</f>
        <v>56905000</v>
      </c>
      <c r="E254" s="556" t="s">
        <v>778</v>
      </c>
      <c r="F254" s="507"/>
      <c r="G254" s="507"/>
      <c r="H254" s="507"/>
      <c r="I254" s="507"/>
      <c r="J254" s="507"/>
      <c r="K254" s="507"/>
      <c r="L254" s="507"/>
      <c r="M254" s="507"/>
      <c r="N254" s="507"/>
      <c r="O254" s="507"/>
      <c r="P254" s="507"/>
      <c r="Q254" s="507"/>
      <c r="R254" s="507"/>
      <c r="S254" s="507"/>
    </row>
    <row r="255" ht="35.25" customHeight="1">
      <c r="A255" s="18"/>
      <c r="B255" s="524" t="s">
        <v>897</v>
      </c>
      <c r="C255" s="617">
        <v>5.6655E7</v>
      </c>
      <c r="D255" s="18"/>
      <c r="E255" s="556"/>
      <c r="F255" s="507"/>
      <c r="G255" s="507"/>
      <c r="H255" s="507"/>
      <c r="I255" s="507"/>
      <c r="J255" s="507"/>
      <c r="K255" s="507"/>
      <c r="L255" s="507"/>
      <c r="M255" s="507"/>
      <c r="N255" s="507"/>
      <c r="O255" s="507"/>
      <c r="P255" s="507"/>
      <c r="Q255" s="507"/>
      <c r="R255" s="507"/>
      <c r="S255" s="507"/>
    </row>
    <row r="256" ht="35.25" customHeight="1">
      <c r="A256" s="18"/>
      <c r="B256" s="636"/>
      <c r="C256" s="627"/>
      <c r="D256" s="18"/>
      <c r="E256" s="556" t="s">
        <v>900</v>
      </c>
      <c r="F256" s="507"/>
      <c r="G256" s="507"/>
      <c r="H256" s="507"/>
      <c r="I256" s="507"/>
      <c r="J256" s="507"/>
      <c r="K256" s="507"/>
      <c r="L256" s="507"/>
      <c r="M256" s="507"/>
      <c r="N256" s="507"/>
      <c r="O256" s="507"/>
      <c r="P256" s="507"/>
      <c r="Q256" s="507"/>
      <c r="R256" s="507"/>
      <c r="S256" s="507"/>
    </row>
    <row r="257" ht="35.25" customHeight="1">
      <c r="A257" s="18"/>
      <c r="D257" s="18"/>
      <c r="E257" s="556"/>
      <c r="F257" s="507"/>
      <c r="G257" s="507"/>
      <c r="H257" s="507"/>
      <c r="I257" s="507"/>
      <c r="J257" s="507"/>
      <c r="K257" s="507"/>
      <c r="L257" s="507"/>
      <c r="M257" s="507"/>
      <c r="N257" s="507"/>
      <c r="O257" s="507"/>
      <c r="P257" s="507"/>
      <c r="Q257" s="507"/>
      <c r="R257" s="507"/>
      <c r="S257" s="507"/>
    </row>
    <row r="258" ht="35.25" customHeight="1">
      <c r="A258" s="618" t="s">
        <v>121</v>
      </c>
      <c r="B258" s="524" t="s">
        <v>766</v>
      </c>
      <c r="C258" s="598">
        <v>3.44255E7</v>
      </c>
      <c r="D258" s="618">
        <f>SUM(C258:C262)</f>
        <v>196755000</v>
      </c>
      <c r="E258" s="507"/>
      <c r="F258" s="507"/>
      <c r="G258" s="507"/>
      <c r="H258" s="507"/>
      <c r="I258" s="507"/>
      <c r="J258" s="507"/>
      <c r="K258" s="507"/>
      <c r="L258" s="507"/>
      <c r="M258" s="507"/>
      <c r="N258" s="507"/>
      <c r="O258" s="507"/>
      <c r="P258" s="507"/>
      <c r="Q258" s="507"/>
      <c r="R258" s="507"/>
      <c r="S258" s="507"/>
    </row>
    <row r="259" ht="35.25" customHeight="1">
      <c r="A259" s="18"/>
      <c r="B259" s="639" t="s">
        <v>767</v>
      </c>
      <c r="C259" s="591">
        <v>3.36765E7</v>
      </c>
      <c r="D259" s="18"/>
      <c r="E259" s="507"/>
      <c r="F259" s="507"/>
      <c r="G259" s="507"/>
      <c r="H259" s="507"/>
      <c r="I259" s="507"/>
      <c r="J259" s="507"/>
      <c r="K259" s="507"/>
      <c r="L259" s="507"/>
      <c r="M259" s="507"/>
      <c r="N259" s="507"/>
      <c r="O259" s="507"/>
      <c r="P259" s="507"/>
      <c r="Q259" s="507"/>
      <c r="R259" s="507"/>
      <c r="S259" s="507"/>
    </row>
    <row r="260" ht="35.25" customHeight="1">
      <c r="A260" s="18"/>
      <c r="B260" s="639" t="s">
        <v>768</v>
      </c>
      <c r="C260" s="593">
        <v>3.947E7</v>
      </c>
      <c r="D260" s="18"/>
      <c r="E260" s="556"/>
      <c r="F260" s="507"/>
      <c r="G260" s="507"/>
      <c r="H260" s="507"/>
      <c r="I260" s="507"/>
      <c r="J260" s="507"/>
      <c r="K260" s="507"/>
      <c r="L260" s="507"/>
      <c r="M260" s="507"/>
      <c r="N260" s="507"/>
      <c r="O260" s="507"/>
      <c r="P260" s="507"/>
      <c r="Q260" s="507"/>
      <c r="R260" s="507"/>
      <c r="S260" s="507"/>
    </row>
    <row r="261" ht="35.25" customHeight="1">
      <c r="A261" s="18"/>
      <c r="B261" s="547" t="s">
        <v>769</v>
      </c>
      <c r="C261" s="637">
        <v>4.7126E7</v>
      </c>
      <c r="D261" s="18"/>
      <c r="E261" s="507"/>
      <c r="F261" s="507"/>
      <c r="G261" s="507"/>
      <c r="H261" s="507"/>
      <c r="I261" s="507"/>
      <c r="J261" s="507"/>
      <c r="K261" s="507"/>
      <c r="L261" s="507"/>
      <c r="M261" s="507"/>
      <c r="N261" s="507"/>
      <c r="O261" s="507"/>
      <c r="P261" s="507"/>
      <c r="Q261" s="507"/>
      <c r="R261" s="507"/>
      <c r="S261" s="507"/>
    </row>
    <row r="262" ht="35.25" customHeight="1">
      <c r="A262" s="18"/>
      <c r="B262" s="629" t="s">
        <v>897</v>
      </c>
      <c r="C262" s="637">
        <v>4.2057E7</v>
      </c>
      <c r="D262" s="18"/>
      <c r="E262" s="507"/>
      <c r="F262" s="507"/>
      <c r="G262" s="507"/>
      <c r="H262" s="507"/>
      <c r="I262" s="507"/>
      <c r="J262" s="507"/>
      <c r="K262" s="507"/>
      <c r="L262" s="507"/>
      <c r="M262" s="507"/>
      <c r="N262" s="507"/>
      <c r="O262" s="507"/>
      <c r="P262" s="507"/>
      <c r="Q262" s="507"/>
      <c r="R262" s="507"/>
      <c r="S262" s="507"/>
    </row>
    <row r="263" ht="35.25" customHeight="1">
      <c r="A263" s="618" t="s">
        <v>122</v>
      </c>
      <c r="B263" s="524" t="s">
        <v>766</v>
      </c>
      <c r="C263" s="620">
        <v>4.73756E7</v>
      </c>
      <c r="D263" s="618">
        <f>SUM(C263:C267)</f>
        <v>201708100</v>
      </c>
      <c r="E263" s="556"/>
      <c r="F263" s="507"/>
      <c r="G263" s="507"/>
      <c r="H263" s="507"/>
      <c r="I263" s="507"/>
      <c r="J263" s="507"/>
      <c r="K263" s="507"/>
      <c r="L263" s="507"/>
      <c r="M263" s="507"/>
      <c r="N263" s="507"/>
      <c r="O263" s="507"/>
      <c r="P263" s="507"/>
      <c r="Q263" s="507"/>
      <c r="R263" s="507"/>
      <c r="S263" s="507"/>
    </row>
    <row r="264" ht="35.25" customHeight="1">
      <c r="A264" s="18"/>
      <c r="B264" s="639" t="s">
        <v>767</v>
      </c>
      <c r="C264" s="713">
        <v>4.61695E7</v>
      </c>
      <c r="D264" s="18"/>
      <c r="E264" s="629" t="s">
        <v>901</v>
      </c>
      <c r="F264" s="507"/>
      <c r="G264" s="507"/>
      <c r="H264" s="507"/>
      <c r="I264" s="507"/>
      <c r="J264" s="507"/>
      <c r="K264" s="507"/>
      <c r="L264" s="507"/>
      <c r="M264" s="507"/>
      <c r="N264" s="507"/>
      <c r="O264" s="507"/>
      <c r="P264" s="507"/>
      <c r="Q264" s="507"/>
      <c r="R264" s="507"/>
      <c r="S264" s="507"/>
    </row>
    <row r="265" ht="35.25" customHeight="1">
      <c r="A265" s="18"/>
      <c r="B265" s="639" t="s">
        <v>768</v>
      </c>
      <c r="C265" s="598">
        <v>2.68635E7</v>
      </c>
      <c r="D265" s="18"/>
      <c r="E265" s="556"/>
      <c r="F265" s="507"/>
      <c r="G265" s="507"/>
      <c r="H265" s="507"/>
      <c r="I265" s="507"/>
      <c r="J265" s="507"/>
      <c r="K265" s="507"/>
      <c r="L265" s="507"/>
      <c r="M265" s="507"/>
      <c r="N265" s="507"/>
      <c r="O265" s="507"/>
      <c r="P265" s="507"/>
      <c r="Q265" s="507"/>
      <c r="R265" s="507"/>
      <c r="S265" s="507"/>
    </row>
    <row r="266" ht="35.25" customHeight="1">
      <c r="A266" s="18"/>
      <c r="B266" s="639" t="s">
        <v>769</v>
      </c>
      <c r="C266" s="620">
        <v>6.2467E7</v>
      </c>
      <c r="D266" s="18"/>
      <c r="E266" s="556" t="s">
        <v>690</v>
      </c>
      <c r="F266" s="507"/>
      <c r="G266" s="507"/>
      <c r="H266" s="507"/>
      <c r="I266" s="507"/>
      <c r="J266" s="507"/>
      <c r="K266" s="507"/>
      <c r="L266" s="507"/>
      <c r="M266" s="507"/>
      <c r="N266" s="507"/>
      <c r="O266" s="507"/>
      <c r="P266" s="507"/>
      <c r="Q266" s="507"/>
      <c r="R266" s="507"/>
      <c r="S266" s="507"/>
    </row>
    <row r="267" ht="35.25" customHeight="1">
      <c r="A267" s="18"/>
      <c r="B267" s="636" t="s">
        <v>897</v>
      </c>
      <c r="C267" s="620">
        <v>1.88325E7</v>
      </c>
      <c r="D267" s="18"/>
      <c r="E267" s="507"/>
      <c r="F267" s="507"/>
      <c r="G267" s="507"/>
      <c r="H267" s="507"/>
      <c r="I267" s="507"/>
      <c r="J267" s="507"/>
      <c r="K267" s="507"/>
      <c r="L267" s="507"/>
      <c r="M267" s="507"/>
      <c r="N267" s="507"/>
      <c r="O267" s="507"/>
      <c r="P267" s="507"/>
      <c r="Q267" s="507"/>
      <c r="R267" s="507"/>
      <c r="S267" s="507"/>
    </row>
    <row r="268" ht="35.25" customHeight="1">
      <c r="A268" s="618" t="s">
        <v>123</v>
      </c>
      <c r="B268" s="547" t="s">
        <v>219</v>
      </c>
      <c r="C268" s="598">
        <v>1.7396E7</v>
      </c>
      <c r="D268" s="618">
        <f>SUM(C268:C271)</f>
        <v>78828000</v>
      </c>
      <c r="E268" s="701" t="s">
        <v>779</v>
      </c>
      <c r="F268" s="507"/>
      <c r="G268" s="507"/>
      <c r="H268" s="507"/>
      <c r="I268" s="507"/>
      <c r="J268" s="507"/>
      <c r="K268" s="507"/>
      <c r="L268" s="507"/>
      <c r="M268" s="507"/>
      <c r="N268" s="507"/>
      <c r="O268" s="507"/>
      <c r="P268" s="507"/>
      <c r="Q268" s="507"/>
      <c r="R268" s="507"/>
      <c r="S268" s="507"/>
    </row>
    <row r="269" ht="35.25" customHeight="1">
      <c r="A269" s="18"/>
      <c r="B269" s="547" t="s">
        <v>89</v>
      </c>
      <c r="C269" s="598">
        <v>1.8373E7</v>
      </c>
      <c r="D269" s="18"/>
      <c r="E269" s="701"/>
      <c r="F269" s="507"/>
      <c r="G269" s="507"/>
      <c r="H269" s="507"/>
      <c r="I269" s="507"/>
      <c r="J269" s="507"/>
      <c r="K269" s="507"/>
      <c r="L269" s="507"/>
      <c r="M269" s="507"/>
      <c r="N269" s="507"/>
      <c r="O269" s="507"/>
      <c r="P269" s="507"/>
      <c r="Q269" s="507"/>
      <c r="R269" s="507"/>
      <c r="S269" s="507"/>
    </row>
    <row r="270" ht="35.25" customHeight="1">
      <c r="A270" s="18"/>
      <c r="B270" s="547" t="s">
        <v>220</v>
      </c>
      <c r="C270" s="598">
        <v>1.91135E7</v>
      </c>
      <c r="D270" s="18"/>
      <c r="E270" s="701"/>
      <c r="F270" s="507"/>
      <c r="G270" s="507"/>
      <c r="H270" s="507"/>
      <c r="I270" s="507"/>
      <c r="J270" s="507"/>
      <c r="K270" s="507"/>
      <c r="L270" s="507"/>
      <c r="M270" s="507"/>
      <c r="N270" s="507"/>
      <c r="O270" s="507"/>
      <c r="P270" s="507"/>
      <c r="Q270" s="507"/>
      <c r="R270" s="507"/>
      <c r="S270" s="507"/>
    </row>
    <row r="271" ht="35.25" customHeight="1">
      <c r="A271" s="18"/>
      <c r="B271" s="698" t="s">
        <v>697</v>
      </c>
      <c r="C271" s="620">
        <v>2.39455E7</v>
      </c>
      <c r="D271" s="18"/>
      <c r="F271" s="507"/>
      <c r="G271" s="507"/>
      <c r="H271" s="507"/>
      <c r="I271" s="507"/>
      <c r="J271" s="507"/>
      <c r="K271" s="507"/>
      <c r="L271" s="507"/>
      <c r="M271" s="507"/>
      <c r="N271" s="507"/>
      <c r="O271" s="507"/>
      <c r="P271" s="507"/>
      <c r="Q271" s="507"/>
      <c r="R271" s="507"/>
      <c r="S271" s="507"/>
    </row>
    <row r="272" ht="35.25" customHeight="1">
      <c r="A272" s="18"/>
      <c r="B272" s="157"/>
      <c r="C272" s="157"/>
      <c r="D272" s="18"/>
      <c r="E272" s="701"/>
      <c r="F272" s="507"/>
      <c r="G272" s="507"/>
      <c r="H272" s="507"/>
      <c r="I272" s="507"/>
      <c r="J272" s="507"/>
      <c r="K272" s="507"/>
      <c r="L272" s="507"/>
      <c r="M272" s="507"/>
      <c r="N272" s="507"/>
      <c r="O272" s="507"/>
      <c r="P272" s="507"/>
      <c r="Q272" s="507"/>
      <c r="R272" s="507"/>
      <c r="S272" s="507"/>
    </row>
    <row r="273" ht="35.25" customHeight="1">
      <c r="A273" s="618" t="s">
        <v>124</v>
      </c>
      <c r="B273" s="547" t="s">
        <v>770</v>
      </c>
      <c r="C273" s="598">
        <v>1.525585E8</v>
      </c>
      <c r="D273" s="618">
        <f>SUM(C273:C277)</f>
        <v>279651000</v>
      </c>
      <c r="E273" s="701"/>
      <c r="F273" s="507"/>
      <c r="G273" s="507"/>
      <c r="H273" s="507"/>
      <c r="I273" s="507"/>
      <c r="J273" s="507"/>
      <c r="K273" s="507"/>
      <c r="L273" s="507"/>
      <c r="M273" s="507"/>
      <c r="N273" s="507"/>
      <c r="O273" s="507"/>
      <c r="P273" s="507"/>
      <c r="Q273" s="507"/>
      <c r="R273" s="507"/>
      <c r="S273" s="507"/>
    </row>
    <row r="274" ht="35.25" customHeight="1">
      <c r="A274" s="18"/>
      <c r="B274" s="547" t="s">
        <v>88</v>
      </c>
      <c r="C274" s="598">
        <v>3.27455E7</v>
      </c>
      <c r="D274" s="18"/>
      <c r="E274" s="701"/>
      <c r="F274" s="507"/>
      <c r="G274" s="507"/>
      <c r="H274" s="507"/>
      <c r="I274" s="507"/>
      <c r="J274" s="507"/>
      <c r="K274" s="507"/>
      <c r="L274" s="507"/>
      <c r="M274" s="507"/>
      <c r="N274" s="507"/>
      <c r="O274" s="507"/>
      <c r="P274" s="507"/>
      <c r="Q274" s="507"/>
      <c r="R274" s="507"/>
      <c r="S274" s="507"/>
    </row>
    <row r="275" ht="35.25" customHeight="1">
      <c r="A275" s="18"/>
      <c r="B275" s="547" t="s">
        <v>219</v>
      </c>
      <c r="C275" s="598">
        <v>4.8349E7</v>
      </c>
      <c r="D275" s="18"/>
      <c r="E275" s="701"/>
      <c r="F275" s="507"/>
      <c r="G275" s="507"/>
      <c r="H275" s="507"/>
      <c r="I275" s="507"/>
      <c r="J275" s="507"/>
      <c r="K275" s="507"/>
      <c r="L275" s="507"/>
      <c r="M275" s="507"/>
      <c r="N275" s="507"/>
      <c r="O275" s="507"/>
      <c r="P275" s="507"/>
      <c r="Q275" s="507"/>
      <c r="R275" s="507"/>
      <c r="S275" s="507"/>
    </row>
    <row r="276" ht="35.25" customHeight="1">
      <c r="A276" s="18"/>
      <c r="B276" s="547" t="s">
        <v>89</v>
      </c>
      <c r="C276" s="622">
        <v>3.9124E7</v>
      </c>
      <c r="D276" s="18"/>
      <c r="E276" s="701"/>
      <c r="F276" s="507"/>
      <c r="G276" s="507"/>
      <c r="H276" s="507"/>
      <c r="I276" s="507"/>
      <c r="J276" s="507"/>
      <c r="K276" s="507"/>
      <c r="L276" s="507"/>
      <c r="M276" s="507"/>
      <c r="N276" s="507"/>
      <c r="O276" s="507"/>
      <c r="P276" s="507"/>
      <c r="Q276" s="507"/>
      <c r="R276" s="507"/>
      <c r="S276" s="507"/>
    </row>
    <row r="277" ht="35.25" customHeight="1">
      <c r="A277" s="18"/>
      <c r="B277" s="547" t="s">
        <v>220</v>
      </c>
      <c r="C277" s="622">
        <v>6874000.0</v>
      </c>
      <c r="D277" s="18"/>
      <c r="E277" s="701" t="s">
        <v>780</v>
      </c>
      <c r="F277" s="507"/>
      <c r="G277" s="507"/>
      <c r="H277" s="507"/>
      <c r="I277" s="507"/>
      <c r="J277" s="507"/>
      <c r="K277" s="507"/>
      <c r="L277" s="507"/>
      <c r="M277" s="507"/>
      <c r="N277" s="507"/>
      <c r="O277" s="507"/>
      <c r="P277" s="507"/>
      <c r="Q277" s="507"/>
      <c r="R277" s="507"/>
      <c r="S277" s="507"/>
    </row>
    <row r="278" ht="35.25" customHeight="1">
      <c r="A278" s="18"/>
      <c r="B278" s="547" t="s">
        <v>697</v>
      </c>
      <c r="C278" s="622"/>
      <c r="D278" s="18"/>
      <c r="E278" s="701"/>
      <c r="F278" s="507"/>
      <c r="G278" s="507"/>
      <c r="H278" s="507"/>
      <c r="I278" s="507"/>
      <c r="J278" s="507"/>
      <c r="K278" s="507"/>
      <c r="L278" s="507"/>
      <c r="M278" s="507"/>
      <c r="N278" s="507"/>
      <c r="O278" s="507"/>
      <c r="P278" s="507"/>
      <c r="Q278" s="507"/>
      <c r="R278" s="507"/>
      <c r="S278" s="507"/>
    </row>
    <row r="279" ht="35.25" customHeight="1">
      <c r="A279" s="618" t="s">
        <v>126</v>
      </c>
      <c r="B279" s="547" t="s">
        <v>220</v>
      </c>
      <c r="C279" s="598" t="s">
        <v>684</v>
      </c>
      <c r="D279" s="618">
        <f>SUM(C279:C280)</f>
        <v>45371000</v>
      </c>
      <c r="E279" s="701"/>
      <c r="F279" s="507"/>
      <c r="G279" s="507"/>
      <c r="H279" s="507"/>
      <c r="I279" s="507"/>
      <c r="J279" s="507"/>
      <c r="K279" s="507"/>
      <c r="L279" s="507"/>
      <c r="M279" s="507"/>
      <c r="N279" s="507"/>
      <c r="O279" s="507"/>
      <c r="P279" s="507"/>
      <c r="Q279" s="507"/>
      <c r="R279" s="507"/>
      <c r="S279" s="507"/>
    </row>
    <row r="280" ht="35.25" customHeight="1">
      <c r="A280" s="18"/>
      <c r="B280" s="547" t="s">
        <v>697</v>
      </c>
      <c r="C280" s="598">
        <v>4.5371E7</v>
      </c>
      <c r="D280" s="18"/>
      <c r="E280" s="701"/>
      <c r="F280" s="507"/>
      <c r="G280" s="507"/>
      <c r="H280" s="507"/>
      <c r="I280" s="507"/>
      <c r="J280" s="507"/>
      <c r="K280" s="507"/>
      <c r="L280" s="507"/>
      <c r="M280" s="507"/>
      <c r="N280" s="507"/>
      <c r="O280" s="507"/>
      <c r="P280" s="507"/>
      <c r="Q280" s="507"/>
      <c r="R280" s="507"/>
      <c r="S280" s="507"/>
    </row>
    <row r="281" ht="35.25" customHeight="1">
      <c r="A281" s="18"/>
      <c r="B281" s="547"/>
      <c r="C281" s="598"/>
      <c r="D281" s="18"/>
      <c r="E281" s="701"/>
      <c r="F281" s="507"/>
      <c r="G281" s="507"/>
      <c r="H281" s="507"/>
      <c r="I281" s="507"/>
      <c r="J281" s="507"/>
      <c r="K281" s="507"/>
      <c r="L281" s="507"/>
      <c r="M281" s="507"/>
      <c r="N281" s="507"/>
      <c r="O281" s="507"/>
      <c r="P281" s="507"/>
      <c r="Q281" s="507"/>
      <c r="R281" s="507"/>
      <c r="S281" s="507"/>
    </row>
    <row r="282" ht="35.25" customHeight="1">
      <c r="A282" s="18"/>
      <c r="D282" s="18"/>
      <c r="E282" s="701" t="s">
        <v>902</v>
      </c>
      <c r="F282" s="507"/>
      <c r="G282" s="507"/>
      <c r="H282" s="507"/>
      <c r="I282" s="507"/>
      <c r="J282" s="507"/>
      <c r="K282" s="507"/>
      <c r="L282" s="507"/>
      <c r="M282" s="507"/>
      <c r="N282" s="507"/>
      <c r="O282" s="507"/>
      <c r="P282" s="507"/>
      <c r="Q282" s="507"/>
      <c r="R282" s="507"/>
      <c r="S282" s="507"/>
    </row>
    <row r="283" ht="35.25" customHeight="1">
      <c r="A283" s="618" t="s">
        <v>128</v>
      </c>
      <c r="B283" s="547" t="s">
        <v>76</v>
      </c>
      <c r="C283" s="622" t="s">
        <v>684</v>
      </c>
      <c r="D283" s="618">
        <f>SUM(C284:C288)</f>
        <v>112072000</v>
      </c>
      <c r="E283" s="701"/>
      <c r="F283" s="507"/>
      <c r="G283" s="507"/>
      <c r="H283" s="507"/>
      <c r="I283" s="507"/>
      <c r="J283" s="507"/>
      <c r="K283" s="507"/>
      <c r="L283" s="507"/>
      <c r="M283" s="507"/>
      <c r="N283" s="507"/>
      <c r="O283" s="507"/>
      <c r="P283" s="507"/>
      <c r="Q283" s="507"/>
      <c r="R283" s="507"/>
      <c r="S283" s="507"/>
    </row>
    <row r="284" ht="35.25" customHeight="1">
      <c r="A284" s="18"/>
      <c r="B284" s="547" t="s">
        <v>88</v>
      </c>
      <c r="C284" s="622">
        <v>2.2216E7</v>
      </c>
      <c r="D284" s="18"/>
      <c r="E284" s="701"/>
      <c r="F284" s="507"/>
      <c r="G284" s="507"/>
      <c r="H284" s="507"/>
      <c r="I284" s="507"/>
      <c r="J284" s="507"/>
      <c r="K284" s="507"/>
      <c r="L284" s="507"/>
      <c r="M284" s="507"/>
      <c r="N284" s="507"/>
      <c r="O284" s="507"/>
      <c r="P284" s="507"/>
      <c r="Q284" s="507"/>
      <c r="R284" s="507"/>
      <c r="S284" s="507"/>
    </row>
    <row r="285" ht="35.25" customHeight="1">
      <c r="A285" s="18"/>
      <c r="B285" s="547" t="s">
        <v>219</v>
      </c>
      <c r="C285" s="598">
        <v>2.4132E7</v>
      </c>
      <c r="D285" s="18"/>
      <c r="E285" s="701"/>
      <c r="F285" s="507"/>
      <c r="G285" s="507"/>
      <c r="H285" s="507"/>
      <c r="I285" s="507"/>
      <c r="J285" s="507"/>
      <c r="K285" s="507"/>
      <c r="L285" s="507"/>
      <c r="M285" s="507"/>
      <c r="N285" s="507"/>
      <c r="O285" s="507"/>
      <c r="P285" s="507"/>
      <c r="Q285" s="507"/>
      <c r="R285" s="507"/>
      <c r="S285" s="507"/>
    </row>
    <row r="286" ht="35.25" customHeight="1">
      <c r="A286" s="18"/>
      <c r="B286" s="547" t="s">
        <v>89</v>
      </c>
      <c r="C286" s="622">
        <v>2.63895E7</v>
      </c>
      <c r="D286" s="18"/>
      <c r="E286" s="701"/>
      <c r="F286" s="507"/>
      <c r="G286" s="507"/>
      <c r="H286" s="507"/>
      <c r="I286" s="507"/>
      <c r="J286" s="507"/>
      <c r="K286" s="507"/>
      <c r="L286" s="507"/>
      <c r="M286" s="507"/>
      <c r="N286" s="507"/>
      <c r="O286" s="507"/>
      <c r="P286" s="507"/>
      <c r="Q286" s="507"/>
      <c r="R286" s="507"/>
      <c r="S286" s="507"/>
    </row>
    <row r="287" ht="35.25" customHeight="1">
      <c r="A287" s="18"/>
      <c r="B287" s="547" t="s">
        <v>220</v>
      </c>
      <c r="C287" s="622">
        <v>1.8431E7</v>
      </c>
      <c r="D287" s="18"/>
      <c r="E287" s="701"/>
      <c r="F287" s="507"/>
      <c r="G287" s="507"/>
      <c r="H287" s="507"/>
      <c r="I287" s="507"/>
      <c r="J287" s="507"/>
      <c r="K287" s="507"/>
      <c r="L287" s="507"/>
      <c r="M287" s="507"/>
      <c r="N287" s="507"/>
      <c r="O287" s="507"/>
      <c r="P287" s="507"/>
      <c r="Q287" s="507"/>
      <c r="R287" s="507"/>
      <c r="S287" s="507"/>
    </row>
    <row r="288" ht="35.25" customHeight="1">
      <c r="A288" s="18"/>
      <c r="B288" s="547" t="s">
        <v>697</v>
      </c>
      <c r="C288" s="622">
        <v>2.09035E7</v>
      </c>
      <c r="D288" s="18"/>
      <c r="E288" s="701"/>
      <c r="F288" s="507"/>
      <c r="G288" s="507"/>
      <c r="H288" s="507"/>
      <c r="I288" s="507"/>
      <c r="J288" s="507"/>
      <c r="K288" s="507"/>
      <c r="L288" s="507"/>
      <c r="M288" s="507"/>
      <c r="N288" s="507"/>
      <c r="O288" s="507"/>
      <c r="P288" s="507"/>
      <c r="Q288" s="507"/>
      <c r="R288" s="507"/>
      <c r="S288" s="507"/>
    </row>
    <row r="289" ht="35.25" customHeight="1">
      <c r="A289" s="618" t="s">
        <v>129</v>
      </c>
      <c r="B289" s="547" t="s">
        <v>220</v>
      </c>
      <c r="C289" s="598">
        <v>4.9253E7</v>
      </c>
      <c r="D289" s="618">
        <f>SUM(C289:C290)</f>
        <v>95480500</v>
      </c>
      <c r="E289" s="701"/>
      <c r="F289" s="507"/>
      <c r="G289" s="507"/>
      <c r="H289" s="507"/>
      <c r="I289" s="507"/>
      <c r="J289" s="507"/>
      <c r="K289" s="507"/>
      <c r="L289" s="507"/>
      <c r="M289" s="507"/>
      <c r="N289" s="507"/>
      <c r="O289" s="507"/>
      <c r="P289" s="507"/>
      <c r="Q289" s="507"/>
      <c r="R289" s="507"/>
      <c r="S289" s="507"/>
    </row>
    <row r="290" ht="35.25" customHeight="1">
      <c r="A290" s="18"/>
      <c r="B290" s="547" t="s">
        <v>697</v>
      </c>
      <c r="C290" s="598">
        <v>4.62275E7</v>
      </c>
      <c r="D290" s="18"/>
      <c r="E290" s="701"/>
      <c r="F290" s="507"/>
      <c r="G290" s="507"/>
      <c r="H290" s="654"/>
      <c r="I290" s="507"/>
      <c r="J290" s="507"/>
      <c r="K290" s="507"/>
      <c r="L290" s="507"/>
      <c r="M290" s="507"/>
      <c r="N290" s="507"/>
      <c r="O290" s="507"/>
      <c r="P290" s="507"/>
      <c r="Q290" s="507"/>
      <c r="R290" s="507"/>
      <c r="S290" s="507"/>
    </row>
    <row r="291" ht="35.25" customHeight="1">
      <c r="A291" s="18"/>
      <c r="B291" s="547"/>
      <c r="C291" s="598"/>
      <c r="D291" s="18"/>
      <c r="E291" s="701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</row>
    <row r="292" ht="35.25" customHeight="1">
      <c r="A292" s="18"/>
      <c r="B292" s="157"/>
      <c r="C292" s="157"/>
      <c r="D292" s="18"/>
      <c r="E292" s="701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</row>
    <row r="293" ht="35.25" customHeight="1">
      <c r="A293" s="714" t="s">
        <v>131</v>
      </c>
      <c r="B293" s="547" t="s">
        <v>89</v>
      </c>
      <c r="C293" s="656" t="s">
        <v>684</v>
      </c>
      <c r="D293" s="715">
        <f>SUM(C294:C295)</f>
        <v>123940000</v>
      </c>
      <c r="E293" s="701"/>
      <c r="F293" s="507"/>
      <c r="G293" s="507"/>
      <c r="H293" s="507"/>
      <c r="I293" s="507"/>
      <c r="J293" s="507"/>
      <c r="K293" s="507"/>
      <c r="L293" s="507"/>
      <c r="M293" s="507"/>
      <c r="N293" s="507"/>
      <c r="O293" s="507"/>
      <c r="P293" s="507"/>
      <c r="Q293" s="507"/>
      <c r="R293" s="507"/>
      <c r="S293" s="507"/>
    </row>
    <row r="294" ht="35.25" customHeight="1">
      <c r="A294" s="18"/>
      <c r="B294" s="547" t="s">
        <v>220</v>
      </c>
      <c r="C294" s="630">
        <v>6.262E7</v>
      </c>
      <c r="D294" s="18"/>
      <c r="E294" s="701"/>
      <c r="F294" s="507"/>
      <c r="G294" s="507"/>
      <c r="H294" s="507"/>
      <c r="I294" s="507"/>
      <c r="J294" s="507"/>
      <c r="K294" s="507"/>
      <c r="L294" s="507"/>
      <c r="M294" s="507"/>
      <c r="N294" s="507"/>
      <c r="O294" s="507"/>
      <c r="P294" s="507"/>
      <c r="Q294" s="507"/>
      <c r="R294" s="507"/>
      <c r="S294" s="507"/>
    </row>
    <row r="295" ht="35.25" customHeight="1">
      <c r="A295" s="18"/>
      <c r="B295" s="547" t="s">
        <v>697</v>
      </c>
      <c r="C295" s="659">
        <v>6.132E7</v>
      </c>
      <c r="D295" s="18"/>
      <c r="E295" s="701"/>
      <c r="F295" s="507"/>
      <c r="G295" s="507"/>
      <c r="H295" s="507"/>
      <c r="I295" s="507"/>
      <c r="J295" s="507"/>
      <c r="K295" s="507"/>
      <c r="L295" s="507"/>
      <c r="M295" s="507"/>
      <c r="N295" s="507"/>
      <c r="O295" s="507"/>
      <c r="P295" s="507"/>
      <c r="Q295" s="507"/>
      <c r="R295" s="507"/>
      <c r="S295" s="507"/>
    </row>
    <row r="296" ht="35.25" customHeight="1">
      <c r="A296" s="18"/>
      <c r="B296" s="157"/>
      <c r="C296" s="157"/>
      <c r="D296" s="18"/>
      <c r="E296" s="701"/>
      <c r="F296" s="507"/>
      <c r="G296" s="507"/>
      <c r="H296" s="507"/>
      <c r="I296" s="507"/>
      <c r="J296" s="507"/>
      <c r="K296" s="507"/>
      <c r="L296" s="507"/>
      <c r="M296" s="507"/>
      <c r="N296" s="507"/>
      <c r="O296" s="507"/>
      <c r="P296" s="507"/>
      <c r="Q296" s="507"/>
      <c r="R296" s="507"/>
      <c r="S296" s="507"/>
    </row>
    <row r="297" ht="35.25" customHeight="1">
      <c r="A297" s="22"/>
      <c r="B297" s="157"/>
      <c r="C297" s="157"/>
      <c r="D297" s="18"/>
      <c r="E297" s="701" t="s">
        <v>782</v>
      </c>
      <c r="F297" s="507"/>
      <c r="G297" s="507"/>
      <c r="H297" s="507"/>
      <c r="I297" s="507"/>
      <c r="J297" s="507"/>
      <c r="K297" s="507"/>
      <c r="L297" s="507"/>
      <c r="M297" s="507"/>
      <c r="N297" s="507"/>
      <c r="O297" s="507"/>
      <c r="P297" s="507"/>
      <c r="Q297" s="507"/>
      <c r="R297" s="507"/>
      <c r="S297" s="507"/>
    </row>
    <row r="298" ht="35.25" customHeight="1">
      <c r="A298" s="714" t="s">
        <v>130</v>
      </c>
      <c r="B298" s="547" t="s">
        <v>89</v>
      </c>
      <c r="C298" s="659">
        <v>3.41179E7</v>
      </c>
      <c r="D298" s="618">
        <f>SUM(C298:C299)</f>
        <v>67223900</v>
      </c>
      <c r="E298" s="701"/>
      <c r="F298" s="507"/>
      <c r="G298" s="507"/>
      <c r="H298" s="507"/>
      <c r="I298" s="507"/>
      <c r="J298" s="507"/>
      <c r="K298" s="507"/>
      <c r="L298" s="507"/>
      <c r="M298" s="507"/>
      <c r="N298" s="507"/>
      <c r="O298" s="507"/>
      <c r="P298" s="507"/>
      <c r="Q298" s="507"/>
      <c r="R298" s="507"/>
      <c r="S298" s="507"/>
    </row>
    <row r="299" ht="35.25" customHeight="1">
      <c r="A299" s="18"/>
      <c r="B299" s="547" t="s">
        <v>220</v>
      </c>
      <c r="C299" s="659">
        <v>3.3106E7</v>
      </c>
      <c r="D299" s="18"/>
      <c r="E299" s="701" t="s">
        <v>903</v>
      </c>
      <c r="F299" s="507"/>
      <c r="G299" s="507"/>
      <c r="H299" s="507"/>
      <c r="I299" s="507"/>
      <c r="J299" s="507"/>
      <c r="K299" s="507"/>
      <c r="L299" s="507"/>
      <c r="M299" s="507"/>
      <c r="N299" s="507"/>
      <c r="O299" s="507"/>
      <c r="P299" s="507"/>
      <c r="Q299" s="507"/>
      <c r="R299" s="507"/>
      <c r="S299" s="507"/>
    </row>
    <row r="300" ht="35.25" customHeight="1">
      <c r="A300" s="18"/>
      <c r="B300" s="547" t="s">
        <v>697</v>
      </c>
      <c r="C300" s="659"/>
      <c r="D300" s="18"/>
      <c r="E300" s="701"/>
      <c r="F300" s="507"/>
      <c r="G300" s="507"/>
      <c r="H300" s="507"/>
      <c r="I300" s="507"/>
      <c r="J300" s="507"/>
      <c r="K300" s="507"/>
      <c r="L300" s="507"/>
      <c r="M300" s="507"/>
      <c r="N300" s="507"/>
      <c r="O300" s="507"/>
      <c r="P300" s="507"/>
      <c r="Q300" s="507"/>
      <c r="R300" s="507"/>
      <c r="S300" s="507"/>
    </row>
    <row r="301" ht="35.25" customHeight="1">
      <c r="A301" s="18"/>
      <c r="B301" s="157"/>
      <c r="C301" s="157"/>
      <c r="D301" s="18"/>
      <c r="E301" s="701"/>
      <c r="F301" s="507"/>
      <c r="G301" s="507"/>
      <c r="H301" s="507"/>
      <c r="I301" s="507"/>
      <c r="J301" s="507"/>
      <c r="K301" s="507"/>
      <c r="L301" s="507"/>
      <c r="M301" s="507"/>
      <c r="N301" s="507"/>
      <c r="O301" s="507"/>
      <c r="P301" s="507"/>
      <c r="Q301" s="507"/>
      <c r="R301" s="507"/>
      <c r="S301" s="507"/>
    </row>
    <row r="302" ht="35.25" customHeight="1">
      <c r="A302" s="22"/>
      <c r="B302" s="157"/>
      <c r="C302" s="157"/>
      <c r="D302" s="18"/>
      <c r="E302" s="701" t="s">
        <v>783</v>
      </c>
      <c r="F302" s="507"/>
      <c r="G302" s="507"/>
      <c r="H302" s="507"/>
      <c r="I302" s="507"/>
      <c r="J302" s="507"/>
      <c r="K302" s="507"/>
      <c r="L302" s="507"/>
      <c r="M302" s="507"/>
      <c r="N302" s="507"/>
      <c r="O302" s="507"/>
      <c r="P302" s="507"/>
      <c r="Q302" s="507"/>
      <c r="R302" s="507"/>
      <c r="S302" s="507"/>
    </row>
    <row r="303" ht="35.25" customHeight="1">
      <c r="A303" s="714" t="s">
        <v>138</v>
      </c>
      <c r="B303" s="547" t="s">
        <v>904</v>
      </c>
      <c r="C303" s="656">
        <v>8.1755E7</v>
      </c>
      <c r="D303" s="715">
        <f>sum(C303:C308)</f>
        <v>181319500</v>
      </c>
      <c r="E303" s="701"/>
      <c r="F303" s="507"/>
      <c r="G303" s="507"/>
      <c r="H303" s="507"/>
      <c r="I303" s="507"/>
      <c r="J303" s="507"/>
      <c r="K303" s="507"/>
      <c r="L303" s="507"/>
      <c r="M303" s="507"/>
      <c r="N303" s="507"/>
      <c r="O303" s="507"/>
      <c r="P303" s="507"/>
      <c r="Q303" s="507"/>
      <c r="R303" s="507"/>
      <c r="S303" s="507"/>
    </row>
    <row r="304" ht="35.25" customHeight="1">
      <c r="A304" s="18"/>
      <c r="B304" s="547" t="s">
        <v>88</v>
      </c>
      <c r="C304" s="656">
        <v>3.043E7</v>
      </c>
      <c r="D304" s="18"/>
      <c r="E304" s="701"/>
      <c r="F304" s="507"/>
      <c r="G304" s="507"/>
      <c r="H304" s="507"/>
      <c r="I304" s="507"/>
      <c r="J304" s="507"/>
      <c r="K304" s="507"/>
      <c r="L304" s="507"/>
      <c r="M304" s="507"/>
      <c r="N304" s="507"/>
      <c r="O304" s="507"/>
      <c r="P304" s="507"/>
      <c r="Q304" s="507"/>
      <c r="R304" s="507"/>
      <c r="S304" s="507"/>
    </row>
    <row r="305" ht="35.25" customHeight="1">
      <c r="A305" s="18"/>
      <c r="B305" s="547" t="s">
        <v>219</v>
      </c>
      <c r="C305" s="656">
        <v>0.0</v>
      </c>
      <c r="D305" s="18"/>
      <c r="E305" s="701"/>
      <c r="F305" s="507"/>
      <c r="G305" s="507"/>
      <c r="H305" s="507"/>
      <c r="I305" s="507"/>
      <c r="J305" s="507"/>
      <c r="K305" s="507"/>
      <c r="L305" s="507"/>
      <c r="M305" s="507"/>
      <c r="N305" s="507"/>
      <c r="O305" s="507"/>
      <c r="P305" s="507"/>
      <c r="Q305" s="507"/>
      <c r="R305" s="507"/>
      <c r="S305" s="507"/>
    </row>
    <row r="306" ht="35.25" customHeight="1">
      <c r="A306" s="18"/>
      <c r="B306" s="547" t="s">
        <v>89</v>
      </c>
      <c r="C306" s="656">
        <v>4.12375E7</v>
      </c>
      <c r="D306" s="18"/>
      <c r="E306" s="701"/>
      <c r="F306" s="507"/>
      <c r="G306" s="507"/>
      <c r="H306" s="507"/>
      <c r="I306" s="507"/>
      <c r="J306" s="507"/>
      <c r="K306" s="507"/>
      <c r="L306" s="507"/>
      <c r="M306" s="507"/>
      <c r="N306" s="507"/>
      <c r="O306" s="507"/>
      <c r="P306" s="507"/>
      <c r="Q306" s="507"/>
      <c r="R306" s="507"/>
      <c r="S306" s="507"/>
    </row>
    <row r="307" ht="35.25" customHeight="1">
      <c r="A307" s="18"/>
      <c r="B307" s="547" t="s">
        <v>220</v>
      </c>
      <c r="C307" s="656"/>
      <c r="D307" s="18"/>
      <c r="E307" s="701" t="s">
        <v>785</v>
      </c>
      <c r="F307" s="507"/>
      <c r="G307" s="507"/>
      <c r="H307" s="507"/>
      <c r="I307" s="507"/>
      <c r="J307" s="507"/>
      <c r="K307" s="507"/>
      <c r="L307" s="507"/>
      <c r="M307" s="507"/>
      <c r="N307" s="507"/>
      <c r="O307" s="507"/>
      <c r="P307" s="507"/>
      <c r="Q307" s="507"/>
      <c r="R307" s="507"/>
      <c r="S307" s="507"/>
    </row>
    <row r="308" ht="35.25" customHeight="1">
      <c r="A308" s="22"/>
      <c r="B308" s="547" t="s">
        <v>697</v>
      </c>
      <c r="C308" s="656">
        <v>2.7897E7</v>
      </c>
      <c r="D308" s="18"/>
      <c r="E308" s="701"/>
      <c r="F308" s="507"/>
      <c r="G308" s="507"/>
      <c r="H308" s="507"/>
      <c r="I308" s="507"/>
      <c r="J308" s="507"/>
      <c r="K308" s="507"/>
      <c r="L308" s="507"/>
      <c r="M308" s="507"/>
      <c r="N308" s="507"/>
      <c r="O308" s="507"/>
      <c r="P308" s="507"/>
      <c r="Q308" s="507"/>
      <c r="R308" s="507"/>
      <c r="S308" s="507"/>
    </row>
    <row r="309" ht="35.25" customHeight="1">
      <c r="A309" s="714" t="s">
        <v>139</v>
      </c>
      <c r="B309" s="674">
        <v>45937.0</v>
      </c>
      <c r="C309" s="598" t="s">
        <v>684</v>
      </c>
      <c r="D309" s="618">
        <f>SUM(C312)</f>
        <v>27348000</v>
      </c>
      <c r="E309" s="701"/>
      <c r="F309" s="507"/>
      <c r="G309" s="507"/>
      <c r="H309" s="507"/>
      <c r="I309" s="507"/>
      <c r="J309" s="507"/>
      <c r="K309" s="507"/>
      <c r="L309" s="507"/>
      <c r="M309" s="507"/>
      <c r="N309" s="507"/>
      <c r="O309" s="507"/>
      <c r="P309" s="507"/>
      <c r="Q309" s="507"/>
      <c r="R309" s="507"/>
      <c r="S309" s="507"/>
    </row>
    <row r="310" ht="35.25" customHeight="1">
      <c r="A310" s="18"/>
      <c r="B310" s="674">
        <v>45944.0</v>
      </c>
      <c r="C310" s="598" t="s">
        <v>684</v>
      </c>
      <c r="D310" s="18"/>
      <c r="E310" s="701" t="s">
        <v>342</v>
      </c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07"/>
      <c r="S310" s="507"/>
    </row>
    <row r="311" ht="35.25" customHeight="1">
      <c r="A311" s="18"/>
      <c r="B311" s="716">
        <v>45951.0</v>
      </c>
      <c r="C311" s="598" t="s">
        <v>684</v>
      </c>
      <c r="D311" s="18"/>
      <c r="E311" s="701"/>
      <c r="F311" s="507"/>
      <c r="G311" s="507"/>
      <c r="H311" s="507"/>
      <c r="I311" s="507"/>
      <c r="J311" s="507"/>
      <c r="K311" s="507"/>
      <c r="L311" s="507"/>
      <c r="M311" s="507"/>
      <c r="N311" s="507"/>
      <c r="O311" s="507"/>
      <c r="P311" s="507"/>
      <c r="Q311" s="507"/>
      <c r="R311" s="507"/>
      <c r="S311" s="507"/>
    </row>
    <row r="312" ht="35.25" customHeight="1">
      <c r="A312" s="18"/>
      <c r="B312" s="674">
        <v>45958.0</v>
      </c>
      <c r="C312" s="598">
        <v>2.7348E7</v>
      </c>
      <c r="D312" s="18"/>
      <c r="E312" s="701"/>
      <c r="F312" s="507"/>
      <c r="G312" s="507"/>
      <c r="H312" s="507"/>
      <c r="I312" s="507"/>
      <c r="J312" s="507"/>
      <c r="K312" s="507"/>
      <c r="L312" s="507"/>
      <c r="M312" s="507"/>
      <c r="N312" s="507"/>
      <c r="O312" s="507"/>
      <c r="P312" s="507"/>
      <c r="Q312" s="507"/>
      <c r="R312" s="507"/>
      <c r="S312" s="507"/>
    </row>
    <row r="313" ht="35.25" customHeight="1">
      <c r="A313" s="18"/>
      <c r="B313" s="674"/>
      <c r="C313" s="598"/>
      <c r="D313" s="18"/>
      <c r="E313" s="701" t="s">
        <v>786</v>
      </c>
      <c r="F313" s="507"/>
      <c r="G313" s="507"/>
      <c r="H313" s="507"/>
      <c r="I313" s="507"/>
      <c r="J313" s="507"/>
      <c r="K313" s="507"/>
      <c r="L313" s="507"/>
      <c r="M313" s="507"/>
      <c r="N313" s="507"/>
      <c r="O313" s="507"/>
      <c r="P313" s="507"/>
      <c r="Q313" s="507"/>
      <c r="R313" s="507"/>
      <c r="S313" s="507"/>
    </row>
    <row r="314" ht="35.25" customHeight="1">
      <c r="A314" s="22"/>
      <c r="B314" s="157"/>
      <c r="C314" s="157"/>
      <c r="D314" s="22"/>
      <c r="E314" s="701"/>
      <c r="F314" s="507"/>
      <c r="G314" s="507"/>
      <c r="H314" s="507"/>
      <c r="I314" s="507"/>
      <c r="J314" s="507"/>
      <c r="K314" s="507"/>
      <c r="L314" s="507"/>
      <c r="M314" s="507"/>
      <c r="N314" s="507"/>
      <c r="O314" s="507"/>
      <c r="P314" s="507"/>
      <c r="Q314" s="507"/>
      <c r="R314" s="507"/>
      <c r="S314" s="507"/>
    </row>
    <row r="315" ht="35.25" customHeight="1">
      <c r="A315" s="717" t="s">
        <v>140</v>
      </c>
      <c r="B315" s="547" t="s">
        <v>770</v>
      </c>
      <c r="C315" s="656" t="s">
        <v>684</v>
      </c>
      <c r="D315" s="715">
        <f>sum(C316:C320)</f>
        <v>115310000</v>
      </c>
      <c r="E315" s="701"/>
      <c r="F315" s="507"/>
      <c r="G315" s="507"/>
      <c r="H315" s="507"/>
      <c r="I315" s="507"/>
      <c r="J315" s="507"/>
      <c r="K315" s="507"/>
      <c r="L315" s="507"/>
      <c r="M315" s="507"/>
      <c r="N315" s="507"/>
      <c r="O315" s="507"/>
      <c r="P315" s="507"/>
      <c r="Q315" s="507"/>
      <c r="R315" s="507"/>
      <c r="S315" s="507"/>
    </row>
    <row r="316" ht="35.25" customHeight="1">
      <c r="A316" s="18"/>
      <c r="B316" s="547" t="s">
        <v>88</v>
      </c>
      <c r="C316" s="656">
        <v>2.8805E7</v>
      </c>
      <c r="D316" s="18"/>
      <c r="E316" s="701"/>
      <c r="F316" s="507"/>
      <c r="G316" s="507"/>
      <c r="H316" s="507"/>
      <c r="I316" s="507"/>
      <c r="J316" s="507"/>
      <c r="K316" s="507"/>
      <c r="L316" s="507"/>
      <c r="M316" s="507"/>
      <c r="N316" s="507"/>
      <c r="O316" s="507"/>
      <c r="P316" s="507"/>
      <c r="Q316" s="507"/>
      <c r="R316" s="507"/>
      <c r="S316" s="507"/>
    </row>
    <row r="317" ht="35.25" customHeight="1">
      <c r="A317" s="18"/>
      <c r="B317" s="547" t="s">
        <v>219</v>
      </c>
      <c r="C317" s="656">
        <v>1.9865E7</v>
      </c>
      <c r="D317" s="18"/>
      <c r="E317" s="701"/>
      <c r="F317" s="507"/>
      <c r="G317" s="507"/>
      <c r="H317" s="507"/>
      <c r="I317" s="507"/>
      <c r="J317" s="507"/>
      <c r="K317" s="507"/>
      <c r="L317" s="507"/>
      <c r="M317" s="507"/>
      <c r="N317" s="507"/>
      <c r="O317" s="507"/>
      <c r="P317" s="507"/>
      <c r="Q317" s="507"/>
      <c r="R317" s="507"/>
      <c r="S317" s="507"/>
    </row>
    <row r="318" ht="35.25" customHeight="1">
      <c r="A318" s="18"/>
      <c r="B318" s="547" t="s">
        <v>89</v>
      </c>
      <c r="C318" s="656">
        <v>1.4235E7</v>
      </c>
      <c r="D318" s="18"/>
      <c r="E318" s="701"/>
      <c r="F318" s="507"/>
      <c r="G318" s="507"/>
      <c r="H318" s="507"/>
      <c r="I318" s="507"/>
      <c r="J318" s="507"/>
      <c r="K318" s="507"/>
      <c r="L318" s="507"/>
      <c r="M318" s="507"/>
      <c r="N318" s="507"/>
      <c r="O318" s="507"/>
      <c r="P318" s="507"/>
      <c r="Q318" s="507"/>
      <c r="R318" s="507"/>
      <c r="S318" s="507"/>
    </row>
    <row r="319" ht="35.25" customHeight="1">
      <c r="A319" s="18"/>
      <c r="B319" s="547" t="s">
        <v>220</v>
      </c>
      <c r="C319" s="656">
        <v>3.4327E7</v>
      </c>
      <c r="D319" s="18"/>
      <c r="E319" s="701"/>
      <c r="F319" s="507"/>
      <c r="G319" s="507"/>
      <c r="H319" s="507"/>
      <c r="I319" s="507"/>
      <c r="J319" s="507"/>
      <c r="K319" s="507"/>
      <c r="L319" s="507"/>
      <c r="M319" s="507"/>
      <c r="N319" s="507"/>
      <c r="O319" s="507"/>
      <c r="P319" s="507"/>
      <c r="Q319" s="507"/>
      <c r="R319" s="507"/>
      <c r="S319" s="507"/>
    </row>
    <row r="320" ht="35.25" customHeight="1">
      <c r="A320" s="22"/>
      <c r="B320" s="547" t="s">
        <v>697</v>
      </c>
      <c r="C320" s="656">
        <v>1.8078E7</v>
      </c>
      <c r="D320" s="22"/>
      <c r="E320" s="701"/>
      <c r="F320" s="507"/>
      <c r="G320" s="507"/>
      <c r="H320" s="507"/>
      <c r="I320" s="507"/>
      <c r="J320" s="507"/>
      <c r="K320" s="507"/>
      <c r="L320" s="507"/>
      <c r="M320" s="507"/>
      <c r="N320" s="507"/>
      <c r="O320" s="507"/>
      <c r="P320" s="507"/>
      <c r="Q320" s="507"/>
      <c r="R320" s="507"/>
      <c r="S320" s="507"/>
    </row>
    <row r="321" ht="35.25" customHeight="1">
      <c r="A321" s="663" t="s">
        <v>141</v>
      </c>
      <c r="B321" s="547" t="s">
        <v>88</v>
      </c>
      <c r="C321" s="622" t="s">
        <v>684</v>
      </c>
      <c r="D321" s="653">
        <f>SUM(C321:C325)</f>
        <v>68851000</v>
      </c>
      <c r="E321" s="701"/>
      <c r="F321" s="507"/>
      <c r="G321" s="507"/>
      <c r="H321" s="507"/>
      <c r="I321" s="507"/>
      <c r="J321" s="507"/>
      <c r="K321" s="507"/>
      <c r="L321" s="507"/>
      <c r="M321" s="507"/>
      <c r="N321" s="507"/>
      <c r="O321" s="507"/>
      <c r="P321" s="507"/>
      <c r="Q321" s="507"/>
      <c r="R321" s="507"/>
      <c r="S321" s="507"/>
    </row>
    <row r="322" ht="35.25" customHeight="1">
      <c r="A322" s="18"/>
      <c r="B322" s="547" t="s">
        <v>219</v>
      </c>
      <c r="C322" s="622" t="s">
        <v>684</v>
      </c>
      <c r="D322" s="18"/>
      <c r="E322" s="701"/>
      <c r="F322" s="507"/>
      <c r="G322" s="507"/>
      <c r="H322" s="507"/>
      <c r="I322" s="507"/>
      <c r="J322" s="507"/>
      <c r="K322" s="507"/>
      <c r="L322" s="507"/>
      <c r="M322" s="507"/>
      <c r="N322" s="507"/>
      <c r="O322" s="507"/>
      <c r="P322" s="507"/>
      <c r="Q322" s="507"/>
      <c r="R322" s="507"/>
      <c r="S322" s="507"/>
    </row>
    <row r="323" ht="35.25" customHeight="1">
      <c r="A323" s="18"/>
      <c r="B323" s="547" t="s">
        <v>89</v>
      </c>
      <c r="C323" s="622" t="s">
        <v>684</v>
      </c>
      <c r="D323" s="18"/>
      <c r="E323" s="701"/>
      <c r="F323" s="507"/>
      <c r="G323" s="507"/>
      <c r="H323" s="507"/>
      <c r="I323" s="507"/>
      <c r="J323" s="507"/>
      <c r="K323" s="507"/>
      <c r="L323" s="507"/>
      <c r="M323" s="507"/>
      <c r="N323" s="507"/>
      <c r="O323" s="507"/>
      <c r="P323" s="507"/>
      <c r="Q323" s="507"/>
      <c r="R323" s="507"/>
      <c r="S323" s="507"/>
    </row>
    <row r="324" ht="35.25" customHeight="1">
      <c r="A324" s="18"/>
      <c r="B324" s="547" t="s">
        <v>220</v>
      </c>
      <c r="C324" s="622">
        <v>3.1142E7</v>
      </c>
      <c r="D324" s="18"/>
      <c r="E324" s="556"/>
      <c r="F324" s="507"/>
      <c r="G324" s="507"/>
      <c r="H324" s="507"/>
      <c r="I324" s="507"/>
      <c r="J324" s="507"/>
      <c r="K324" s="507"/>
      <c r="L324" s="507"/>
      <c r="M324" s="507"/>
      <c r="N324" s="507"/>
      <c r="O324" s="507"/>
      <c r="P324" s="507"/>
      <c r="Q324" s="507"/>
      <c r="R324" s="507"/>
      <c r="S324" s="507"/>
    </row>
    <row r="325" ht="35.25" customHeight="1">
      <c r="A325" s="22"/>
      <c r="B325" s="547" t="s">
        <v>697</v>
      </c>
      <c r="C325" s="622">
        <v>3.7709E7</v>
      </c>
      <c r="D325" s="22"/>
      <c r="E325" s="556" t="s">
        <v>739</v>
      </c>
      <c r="F325" s="507"/>
      <c r="G325" s="507"/>
      <c r="H325" s="507"/>
      <c r="I325" s="507"/>
      <c r="J325" s="507"/>
      <c r="K325" s="507"/>
      <c r="L325" s="507"/>
      <c r="M325" s="507"/>
      <c r="N325" s="507"/>
      <c r="O325" s="507"/>
      <c r="P325" s="507"/>
      <c r="Q325" s="507"/>
      <c r="R325" s="507"/>
      <c r="S325" s="507"/>
    </row>
    <row r="326" ht="35.25" customHeight="1">
      <c r="A326" s="655" t="s">
        <v>142</v>
      </c>
      <c r="B326" s="547" t="s">
        <v>88</v>
      </c>
      <c r="C326" s="659">
        <v>0.0</v>
      </c>
      <c r="D326" s="657">
        <f>SUM(C326:C330)</f>
        <v>289842500</v>
      </c>
      <c r="E326" s="701"/>
      <c r="F326" s="507"/>
      <c r="G326" s="507"/>
      <c r="H326" s="507"/>
      <c r="I326" s="507"/>
      <c r="J326" s="507"/>
      <c r="K326" s="507"/>
      <c r="L326" s="507"/>
      <c r="M326" s="507"/>
      <c r="N326" s="507"/>
      <c r="O326" s="507"/>
      <c r="P326" s="507"/>
      <c r="Q326" s="507"/>
      <c r="R326" s="507"/>
      <c r="S326" s="507"/>
    </row>
    <row r="327" ht="35.25" customHeight="1">
      <c r="A327" s="18"/>
      <c r="B327" s="547" t="s">
        <v>219</v>
      </c>
      <c r="C327" s="659">
        <v>6.49E7</v>
      </c>
      <c r="D327" s="18"/>
      <c r="E327" s="701"/>
      <c r="F327" s="507"/>
      <c r="G327" s="507"/>
      <c r="H327" s="507"/>
      <c r="I327" s="507"/>
      <c r="J327" s="507"/>
      <c r="K327" s="507"/>
      <c r="L327" s="507"/>
      <c r="M327" s="507"/>
      <c r="N327" s="507"/>
      <c r="O327" s="507"/>
      <c r="P327" s="507"/>
      <c r="Q327" s="507"/>
      <c r="R327" s="507"/>
      <c r="S327" s="507"/>
    </row>
    <row r="328" ht="35.25" customHeight="1">
      <c r="A328" s="18"/>
      <c r="B328" s="547" t="s">
        <v>89</v>
      </c>
      <c r="C328" s="659">
        <v>6.714E7</v>
      </c>
      <c r="D328" s="18"/>
      <c r="E328" s="556" t="s">
        <v>739</v>
      </c>
      <c r="F328" s="507"/>
      <c r="G328" s="507"/>
      <c r="H328" s="507"/>
      <c r="I328" s="507"/>
      <c r="J328" s="507"/>
      <c r="K328" s="507"/>
      <c r="L328" s="507"/>
      <c r="M328" s="507"/>
      <c r="N328" s="507"/>
      <c r="O328" s="507"/>
      <c r="P328" s="507"/>
      <c r="Q328" s="507"/>
      <c r="R328" s="507"/>
      <c r="S328" s="507"/>
    </row>
    <row r="329" ht="35.25" customHeight="1">
      <c r="A329" s="18"/>
      <c r="B329" s="547" t="s">
        <v>220</v>
      </c>
      <c r="C329" s="622">
        <v>7.815E7</v>
      </c>
      <c r="D329" s="18"/>
      <c r="E329" s="701"/>
      <c r="F329" s="507"/>
      <c r="G329" s="507"/>
      <c r="H329" s="507"/>
      <c r="I329" s="507"/>
      <c r="J329" s="507"/>
      <c r="K329" s="507"/>
      <c r="L329" s="507"/>
      <c r="M329" s="507"/>
      <c r="N329" s="507"/>
      <c r="O329" s="507"/>
      <c r="P329" s="507"/>
      <c r="Q329" s="507"/>
      <c r="R329" s="507"/>
      <c r="S329" s="507"/>
    </row>
    <row r="330" ht="35.25" customHeight="1">
      <c r="A330" s="22"/>
      <c r="B330" s="547" t="s">
        <v>697</v>
      </c>
      <c r="C330" s="622">
        <v>7.96525E7</v>
      </c>
      <c r="D330" s="18"/>
      <c r="E330" s="701" t="s">
        <v>787</v>
      </c>
      <c r="F330" s="507"/>
      <c r="G330" s="507"/>
      <c r="H330" s="507"/>
      <c r="I330" s="507"/>
      <c r="J330" s="507"/>
      <c r="K330" s="507"/>
      <c r="L330" s="507"/>
      <c r="M330" s="507"/>
      <c r="N330" s="507"/>
      <c r="O330" s="507"/>
      <c r="P330" s="507"/>
      <c r="Q330" s="507"/>
      <c r="R330" s="507"/>
      <c r="S330" s="507"/>
    </row>
    <row r="331" ht="35.25" customHeight="1">
      <c r="A331" s="655" t="s">
        <v>143</v>
      </c>
      <c r="B331" s="547" t="s">
        <v>88</v>
      </c>
      <c r="C331" s="659">
        <v>3.1356E7</v>
      </c>
      <c r="D331" s="657">
        <f>SUM(C331:C335)</f>
        <v>163814000</v>
      </c>
      <c r="E331" s="701"/>
      <c r="F331" s="507"/>
      <c r="G331" s="507"/>
      <c r="H331" s="507"/>
      <c r="I331" s="507"/>
      <c r="J331" s="507"/>
      <c r="K331" s="507"/>
      <c r="L331" s="507"/>
      <c r="M331" s="507"/>
      <c r="N331" s="507"/>
      <c r="O331" s="507"/>
      <c r="P331" s="507"/>
      <c r="Q331" s="507"/>
      <c r="R331" s="507"/>
      <c r="S331" s="507"/>
    </row>
    <row r="332" ht="35.25" customHeight="1">
      <c r="A332" s="18"/>
      <c r="B332" s="547" t="s">
        <v>219</v>
      </c>
      <c r="C332" s="659">
        <v>2.8272E7</v>
      </c>
      <c r="D332" s="18"/>
      <c r="E332" s="701"/>
      <c r="F332" s="507"/>
      <c r="G332" s="507"/>
      <c r="H332" s="507"/>
      <c r="I332" s="507"/>
      <c r="J332" s="507"/>
      <c r="K332" s="507"/>
      <c r="L332" s="507"/>
      <c r="M332" s="507"/>
      <c r="N332" s="507"/>
      <c r="O332" s="507"/>
      <c r="P332" s="507"/>
      <c r="Q332" s="507"/>
      <c r="R332" s="507"/>
      <c r="S332" s="507"/>
    </row>
    <row r="333" ht="35.25" customHeight="1">
      <c r="A333" s="18"/>
      <c r="B333" s="547" t="s">
        <v>89</v>
      </c>
      <c r="C333" s="659">
        <v>4.414E7</v>
      </c>
      <c r="D333" s="18"/>
      <c r="E333" s="701" t="s">
        <v>788</v>
      </c>
      <c r="F333" s="507"/>
      <c r="G333" s="507"/>
      <c r="H333" s="507"/>
      <c r="I333" s="507"/>
      <c r="J333" s="507"/>
      <c r="K333" s="507"/>
      <c r="L333" s="507"/>
      <c r="M333" s="507"/>
      <c r="N333" s="507"/>
      <c r="O333" s="507"/>
      <c r="P333" s="507"/>
      <c r="Q333" s="507"/>
      <c r="R333" s="507"/>
      <c r="S333" s="507"/>
    </row>
    <row r="334" ht="35.25" customHeight="1">
      <c r="A334" s="18"/>
      <c r="B334" s="547" t="s">
        <v>220</v>
      </c>
      <c r="C334" s="659">
        <v>3.0432E7</v>
      </c>
      <c r="D334" s="18"/>
      <c r="E334" s="556"/>
      <c r="F334" s="507"/>
      <c r="G334" s="507"/>
      <c r="H334" s="507"/>
      <c r="I334" s="507"/>
      <c r="J334" s="507"/>
      <c r="K334" s="507"/>
      <c r="L334" s="507"/>
      <c r="M334" s="507"/>
      <c r="N334" s="507"/>
      <c r="O334" s="507"/>
      <c r="P334" s="507"/>
      <c r="Q334" s="507"/>
      <c r="R334" s="507"/>
      <c r="S334" s="507"/>
    </row>
    <row r="335" ht="35.25" customHeight="1">
      <c r="A335" s="22"/>
      <c r="B335" s="547" t="s">
        <v>697</v>
      </c>
      <c r="C335" s="659">
        <f>29641000-27000</f>
        <v>29614000</v>
      </c>
      <c r="D335" s="18"/>
      <c r="E335" s="556" t="s">
        <v>739</v>
      </c>
      <c r="F335" s="507"/>
      <c r="G335" s="507"/>
      <c r="H335" s="507"/>
      <c r="I335" s="507"/>
      <c r="J335" s="507"/>
      <c r="K335" s="507"/>
      <c r="L335" s="507"/>
      <c r="M335" s="507"/>
      <c r="N335" s="507"/>
      <c r="O335" s="507"/>
      <c r="P335" s="507"/>
      <c r="Q335" s="507"/>
      <c r="R335" s="507"/>
      <c r="S335" s="507"/>
    </row>
    <row r="336" ht="35.25" customHeight="1">
      <c r="A336" s="655" t="s">
        <v>145</v>
      </c>
      <c r="B336" s="547" t="s">
        <v>770</v>
      </c>
      <c r="C336" s="659" t="s">
        <v>684</v>
      </c>
      <c r="D336" s="665">
        <f>SUM(C336:C340)</f>
        <v>40218000</v>
      </c>
      <c r="E336" s="701"/>
      <c r="F336" s="507"/>
      <c r="G336" s="507"/>
      <c r="H336" s="507"/>
      <c r="I336" s="507"/>
      <c r="J336" s="507"/>
      <c r="K336" s="507"/>
      <c r="L336" s="507"/>
      <c r="M336" s="507"/>
      <c r="N336" s="507"/>
      <c r="O336" s="507"/>
      <c r="P336" s="507"/>
      <c r="Q336" s="507"/>
      <c r="R336" s="507"/>
      <c r="S336" s="507"/>
    </row>
    <row r="337" ht="35.25" customHeight="1">
      <c r="A337" s="18"/>
      <c r="B337" s="547" t="s">
        <v>88</v>
      </c>
      <c r="C337" s="656" t="s">
        <v>684</v>
      </c>
      <c r="D337" s="18"/>
      <c r="E337" s="701"/>
      <c r="F337" s="507"/>
      <c r="G337" s="507"/>
      <c r="H337" s="507"/>
      <c r="I337" s="507"/>
      <c r="J337" s="507"/>
      <c r="K337" s="507"/>
      <c r="L337" s="507"/>
      <c r="M337" s="507"/>
      <c r="N337" s="507"/>
      <c r="O337" s="507"/>
      <c r="P337" s="507"/>
      <c r="Q337" s="507"/>
      <c r="R337" s="507"/>
      <c r="S337" s="507"/>
    </row>
    <row r="338" ht="35.25" customHeight="1">
      <c r="A338" s="18"/>
      <c r="B338" s="547" t="s">
        <v>219</v>
      </c>
      <c r="C338" s="656" t="s">
        <v>684</v>
      </c>
      <c r="D338" s="18"/>
      <c r="E338" s="556" t="s">
        <v>739</v>
      </c>
      <c r="F338" s="507"/>
      <c r="G338" s="507"/>
      <c r="H338" s="507"/>
      <c r="I338" s="507"/>
      <c r="J338" s="507"/>
      <c r="K338" s="507"/>
      <c r="L338" s="507"/>
      <c r="M338" s="507"/>
      <c r="N338" s="507"/>
      <c r="O338" s="507"/>
      <c r="P338" s="507"/>
      <c r="Q338" s="507"/>
      <c r="R338" s="507"/>
      <c r="S338" s="507"/>
    </row>
    <row r="339" ht="35.25" customHeight="1">
      <c r="A339" s="18"/>
      <c r="B339" s="547" t="s">
        <v>89</v>
      </c>
      <c r="C339" s="656" t="s">
        <v>684</v>
      </c>
      <c r="D339" s="18"/>
      <c r="E339" s="701" t="s">
        <v>905</v>
      </c>
      <c r="F339" s="507"/>
      <c r="G339" s="507"/>
      <c r="H339" s="507"/>
      <c r="I339" s="507"/>
      <c r="J339" s="507"/>
      <c r="K339" s="507"/>
      <c r="L339" s="507"/>
      <c r="M339" s="507"/>
      <c r="N339" s="507"/>
      <c r="O339" s="507"/>
      <c r="P339" s="507"/>
      <c r="Q339" s="507"/>
      <c r="R339" s="507"/>
      <c r="S339" s="507"/>
    </row>
    <row r="340" ht="35.25" customHeight="1">
      <c r="A340" s="22"/>
      <c r="B340" s="547" t="s">
        <v>220</v>
      </c>
      <c r="C340" s="656">
        <v>4.0218E7</v>
      </c>
      <c r="D340" s="18"/>
      <c r="E340" s="718" t="s">
        <v>906</v>
      </c>
      <c r="F340" s="507"/>
      <c r="G340" s="507"/>
      <c r="H340" s="507"/>
      <c r="I340" s="507"/>
      <c r="J340" s="507"/>
      <c r="K340" s="507"/>
      <c r="L340" s="507"/>
      <c r="M340" s="507"/>
      <c r="N340" s="507"/>
      <c r="O340" s="507"/>
      <c r="P340" s="507"/>
      <c r="Q340" s="507"/>
      <c r="R340" s="507"/>
      <c r="S340" s="507"/>
    </row>
    <row r="341" ht="35.25" customHeight="1">
      <c r="A341" s="655" t="s">
        <v>148</v>
      </c>
      <c r="B341" s="547" t="s">
        <v>770</v>
      </c>
      <c r="C341" s="666" t="s">
        <v>684</v>
      </c>
      <c r="D341" s="653">
        <f>SUM(C342:C345)</f>
        <v>0</v>
      </c>
      <c r="E341" s="701"/>
      <c r="F341" s="507"/>
      <c r="G341" s="507"/>
      <c r="H341" s="507"/>
      <c r="I341" s="507"/>
      <c r="J341" s="507"/>
      <c r="K341" s="507"/>
      <c r="L341" s="507"/>
      <c r="M341" s="507"/>
      <c r="N341" s="507"/>
      <c r="O341" s="507"/>
      <c r="P341" s="507"/>
      <c r="Q341" s="507"/>
      <c r="R341" s="507"/>
      <c r="S341" s="507"/>
    </row>
    <row r="342" ht="35.25" customHeight="1">
      <c r="A342" s="18"/>
      <c r="B342" s="547" t="s">
        <v>88</v>
      </c>
      <c r="C342" s="659">
        <v>0.0</v>
      </c>
      <c r="D342" s="18"/>
      <c r="E342" s="701"/>
      <c r="F342" s="507"/>
      <c r="G342" s="507"/>
      <c r="H342" s="507"/>
      <c r="I342" s="507"/>
      <c r="J342" s="507"/>
      <c r="K342" s="507"/>
      <c r="L342" s="507"/>
      <c r="M342" s="507"/>
      <c r="N342" s="507"/>
      <c r="O342" s="507"/>
      <c r="P342" s="507"/>
      <c r="Q342" s="507"/>
      <c r="R342" s="507"/>
      <c r="S342" s="507"/>
    </row>
    <row r="343" ht="35.25" customHeight="1">
      <c r="A343" s="18"/>
      <c r="B343" s="547" t="s">
        <v>219</v>
      </c>
      <c r="C343" s="659">
        <v>0.0</v>
      </c>
      <c r="D343" s="18"/>
      <c r="E343" s="701"/>
      <c r="F343" s="507"/>
      <c r="G343" s="507"/>
      <c r="H343" s="507"/>
      <c r="I343" s="507"/>
      <c r="J343" s="507"/>
      <c r="K343" s="507"/>
      <c r="L343" s="507"/>
      <c r="M343" s="507"/>
      <c r="N343" s="507"/>
      <c r="O343" s="507"/>
      <c r="P343" s="507"/>
      <c r="Q343" s="507"/>
      <c r="R343" s="507"/>
      <c r="S343" s="507"/>
    </row>
    <row r="344" ht="35.25" customHeight="1">
      <c r="A344" s="18"/>
      <c r="B344" s="547" t="s">
        <v>89</v>
      </c>
      <c r="C344" s="666" t="s">
        <v>684</v>
      </c>
      <c r="D344" s="18"/>
      <c r="E344" s="701"/>
      <c r="F344" s="507"/>
      <c r="G344" s="507"/>
      <c r="H344" s="507"/>
      <c r="I344" s="507"/>
      <c r="J344" s="507"/>
      <c r="K344" s="507"/>
      <c r="L344" s="507"/>
      <c r="M344" s="507"/>
      <c r="N344" s="507"/>
      <c r="O344" s="507"/>
      <c r="P344" s="507"/>
      <c r="Q344" s="507"/>
      <c r="R344" s="507"/>
      <c r="S344" s="507"/>
    </row>
    <row r="345" ht="35.25" customHeight="1">
      <c r="A345" s="18"/>
      <c r="B345" s="547" t="s">
        <v>220</v>
      </c>
      <c r="C345" s="666">
        <v>0.0</v>
      </c>
      <c r="D345" s="18"/>
      <c r="E345" s="556" t="s">
        <v>739</v>
      </c>
      <c r="F345" s="507"/>
      <c r="G345" s="507"/>
      <c r="H345" s="507"/>
      <c r="I345" s="507"/>
      <c r="J345" s="507"/>
      <c r="K345" s="507"/>
      <c r="L345" s="507"/>
      <c r="M345" s="507"/>
      <c r="N345" s="507"/>
      <c r="O345" s="507"/>
      <c r="P345" s="507"/>
      <c r="Q345" s="507"/>
      <c r="R345" s="507"/>
      <c r="S345" s="507"/>
    </row>
    <row r="346" ht="35.25" customHeight="1">
      <c r="A346" s="655" t="s">
        <v>149</v>
      </c>
      <c r="B346" s="719" t="s">
        <v>907</v>
      </c>
      <c r="C346" s="656">
        <f>sum(151407500-20000000-20000000-15000000)</f>
        <v>96407500</v>
      </c>
      <c r="D346" s="667">
        <f>SUM(C346:C352)</f>
        <v>246820300</v>
      </c>
      <c r="E346" s="701"/>
      <c r="F346" s="507"/>
      <c r="G346" s="507"/>
      <c r="H346" s="507"/>
      <c r="I346" s="507"/>
      <c r="J346" s="507"/>
      <c r="K346" s="507"/>
      <c r="L346" s="507"/>
      <c r="M346" s="507"/>
      <c r="N346" s="507"/>
      <c r="O346" s="507"/>
      <c r="P346" s="507"/>
      <c r="Q346" s="507"/>
      <c r="R346" s="507"/>
      <c r="S346" s="507"/>
    </row>
    <row r="347" ht="35.25" customHeight="1">
      <c r="A347" s="18"/>
      <c r="B347" s="547" t="s">
        <v>770</v>
      </c>
      <c r="C347" s="656">
        <v>9.43666E7</v>
      </c>
      <c r="D347" s="18"/>
      <c r="E347" s="701"/>
      <c r="F347" s="507"/>
      <c r="G347" s="507"/>
      <c r="H347" s="507"/>
      <c r="I347" s="507"/>
      <c r="J347" s="507"/>
      <c r="K347" s="507"/>
      <c r="L347" s="507"/>
      <c r="M347" s="507"/>
      <c r="N347" s="507"/>
      <c r="O347" s="507"/>
      <c r="P347" s="507"/>
      <c r="Q347" s="507"/>
      <c r="R347" s="507"/>
      <c r="S347" s="507"/>
    </row>
    <row r="348" ht="35.25" customHeight="1">
      <c r="A348" s="18"/>
      <c r="B348" s="547" t="s">
        <v>88</v>
      </c>
      <c r="C348" s="656">
        <v>1450000.0</v>
      </c>
      <c r="D348" s="18"/>
      <c r="E348" s="701"/>
      <c r="F348" s="507"/>
      <c r="G348" s="507"/>
      <c r="H348" s="507"/>
      <c r="I348" s="507"/>
      <c r="J348" s="507"/>
      <c r="K348" s="507"/>
      <c r="L348" s="507"/>
      <c r="M348" s="507"/>
      <c r="N348" s="507"/>
      <c r="O348" s="507"/>
      <c r="P348" s="507"/>
      <c r="Q348" s="507"/>
      <c r="R348" s="507"/>
      <c r="S348" s="507"/>
    </row>
    <row r="349" ht="35.25" customHeight="1">
      <c r="A349" s="18"/>
      <c r="B349" s="547" t="s">
        <v>219</v>
      </c>
      <c r="C349" s="656">
        <v>1.95786E7</v>
      </c>
      <c r="D349" s="18"/>
      <c r="E349" s="701"/>
      <c r="F349" s="507"/>
      <c r="G349" s="507"/>
      <c r="H349" s="507"/>
      <c r="I349" s="507"/>
      <c r="J349" s="507"/>
      <c r="K349" s="507"/>
      <c r="L349" s="507"/>
      <c r="M349" s="507"/>
      <c r="N349" s="507"/>
      <c r="O349" s="507"/>
      <c r="P349" s="507"/>
      <c r="Q349" s="507"/>
      <c r="R349" s="507"/>
      <c r="S349" s="507"/>
    </row>
    <row r="350" ht="35.25" customHeight="1">
      <c r="A350" s="18"/>
      <c r="B350" s="547" t="s">
        <v>89</v>
      </c>
      <c r="C350" s="656">
        <v>2730000.0</v>
      </c>
      <c r="D350" s="18"/>
      <c r="E350" s="701"/>
      <c r="F350" s="507"/>
      <c r="G350" s="507"/>
      <c r="H350" s="507"/>
      <c r="I350" s="507"/>
      <c r="J350" s="507"/>
      <c r="K350" s="507"/>
      <c r="L350" s="507"/>
      <c r="M350" s="507"/>
      <c r="N350" s="507"/>
      <c r="O350" s="507"/>
      <c r="P350" s="507"/>
      <c r="Q350" s="507"/>
      <c r="R350" s="507"/>
      <c r="S350" s="507"/>
    </row>
    <row r="351" ht="35.25" customHeight="1">
      <c r="A351" s="18"/>
      <c r="B351" s="547" t="s">
        <v>220</v>
      </c>
      <c r="C351" s="666">
        <v>1.42316E7</v>
      </c>
      <c r="D351" s="18"/>
      <c r="E351" s="556"/>
      <c r="F351" s="507"/>
      <c r="G351" s="507"/>
      <c r="H351" s="507"/>
      <c r="I351" s="507"/>
      <c r="J351" s="507"/>
      <c r="K351" s="507"/>
      <c r="L351" s="507"/>
      <c r="M351" s="507"/>
      <c r="N351" s="507"/>
      <c r="O351" s="507"/>
      <c r="P351" s="507"/>
      <c r="Q351" s="507"/>
      <c r="R351" s="507"/>
      <c r="S351" s="507"/>
    </row>
    <row r="352" ht="35.25" customHeight="1">
      <c r="A352" s="22"/>
      <c r="B352" s="547" t="s">
        <v>697</v>
      </c>
      <c r="C352" s="666">
        <v>1.8056E7</v>
      </c>
      <c r="D352" s="22"/>
      <c r="E352" s="556" t="s">
        <v>739</v>
      </c>
      <c r="F352" s="507"/>
      <c r="G352" s="507"/>
      <c r="H352" s="507"/>
      <c r="I352" s="507"/>
      <c r="J352" s="507"/>
      <c r="K352" s="507"/>
      <c r="L352" s="507"/>
      <c r="M352" s="507"/>
      <c r="N352" s="507"/>
      <c r="O352" s="507"/>
      <c r="P352" s="507"/>
      <c r="Q352" s="507"/>
      <c r="R352" s="507"/>
      <c r="S352" s="507"/>
    </row>
    <row r="353" ht="35.25" customHeight="1">
      <c r="A353" s="720" t="s">
        <v>150</v>
      </c>
      <c r="B353" s="547" t="s">
        <v>908</v>
      </c>
      <c r="C353" s="659" t="s">
        <v>684</v>
      </c>
      <c r="D353" s="721">
        <f>sum(C353:C358)</f>
        <v>89023000</v>
      </c>
      <c r="E353" s="701"/>
      <c r="F353" s="507"/>
      <c r="G353" s="507"/>
      <c r="H353" s="507"/>
      <c r="I353" s="507"/>
      <c r="J353" s="507"/>
      <c r="K353" s="507"/>
      <c r="L353" s="507"/>
      <c r="M353" s="507"/>
      <c r="N353" s="507"/>
      <c r="O353" s="507"/>
      <c r="P353" s="507"/>
      <c r="Q353" s="507"/>
      <c r="R353" s="507"/>
      <c r="S353" s="507"/>
    </row>
    <row r="354" ht="35.25" customHeight="1">
      <c r="A354" s="18"/>
      <c r="B354" s="547" t="s">
        <v>909</v>
      </c>
      <c r="C354" s="659" t="s">
        <v>684</v>
      </c>
      <c r="D354" s="18"/>
      <c r="E354" s="701"/>
      <c r="F354" s="507"/>
      <c r="G354" s="507"/>
      <c r="H354" s="507"/>
      <c r="I354" s="507"/>
      <c r="J354" s="507"/>
      <c r="K354" s="507"/>
      <c r="L354" s="507"/>
      <c r="M354" s="507"/>
      <c r="N354" s="507"/>
      <c r="O354" s="507"/>
      <c r="P354" s="507"/>
      <c r="Q354" s="507"/>
      <c r="R354" s="507"/>
      <c r="S354" s="507"/>
    </row>
    <row r="355" ht="35.25" customHeight="1">
      <c r="A355" s="18"/>
      <c r="B355" s="547" t="s">
        <v>910</v>
      </c>
      <c r="C355" s="659" t="s">
        <v>684</v>
      </c>
      <c r="D355" s="18"/>
      <c r="E355" s="701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</row>
    <row r="356" ht="35.25" customHeight="1">
      <c r="A356" s="18"/>
      <c r="B356" s="547" t="s">
        <v>911</v>
      </c>
      <c r="C356" s="659" t="s">
        <v>684</v>
      </c>
      <c r="D356" s="18"/>
      <c r="E356" s="701"/>
      <c r="F356" s="507"/>
      <c r="G356" s="507"/>
      <c r="H356" s="507"/>
      <c r="I356" s="507"/>
      <c r="J356" s="507"/>
      <c r="K356" s="507"/>
      <c r="L356" s="507"/>
      <c r="M356" s="507"/>
      <c r="N356" s="507"/>
      <c r="O356" s="507"/>
      <c r="P356" s="507"/>
      <c r="Q356" s="507"/>
      <c r="R356" s="507"/>
      <c r="S356" s="507"/>
    </row>
    <row r="357" ht="35.25" customHeight="1">
      <c r="A357" s="18"/>
      <c r="B357" s="547" t="s">
        <v>912</v>
      </c>
      <c r="C357" s="656">
        <v>4.33325E7</v>
      </c>
      <c r="D357" s="18"/>
      <c r="E357" s="701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</row>
    <row r="358" ht="35.25" customHeight="1">
      <c r="A358" s="18"/>
      <c r="B358" s="547" t="s">
        <v>913</v>
      </c>
      <c r="C358" s="656">
        <v>4.56905E7</v>
      </c>
      <c r="D358" s="18"/>
      <c r="E358" s="701"/>
      <c r="F358" s="507"/>
      <c r="G358" s="507"/>
      <c r="H358" s="507"/>
      <c r="I358" s="507"/>
      <c r="J358" s="507"/>
      <c r="K358" s="507"/>
      <c r="L358" s="507"/>
      <c r="M358" s="507"/>
      <c r="N358" s="507"/>
      <c r="O358" s="507"/>
      <c r="P358" s="507"/>
      <c r="Q358" s="507"/>
      <c r="R358" s="507"/>
      <c r="S358" s="507"/>
    </row>
    <row r="359" ht="35.25" customHeight="1">
      <c r="A359" s="18"/>
      <c r="B359" s="547" t="s">
        <v>914</v>
      </c>
      <c r="C359" s="656"/>
      <c r="D359" s="18"/>
      <c r="E359" s="701"/>
      <c r="F359" s="507"/>
      <c r="G359" s="507"/>
      <c r="H359" s="507"/>
      <c r="I359" s="507"/>
      <c r="J359" s="507"/>
      <c r="K359" s="507"/>
      <c r="L359" s="507"/>
      <c r="M359" s="507"/>
      <c r="N359" s="507"/>
      <c r="O359" s="507"/>
      <c r="P359" s="507"/>
      <c r="Q359" s="507"/>
      <c r="R359" s="507"/>
      <c r="S359" s="507"/>
    </row>
    <row r="360" ht="35.25" customHeight="1">
      <c r="A360" s="18"/>
      <c r="B360" s="547" t="s">
        <v>915</v>
      </c>
      <c r="C360" s="656"/>
      <c r="D360" s="18"/>
      <c r="E360" s="701"/>
      <c r="F360" s="507"/>
      <c r="G360" s="507"/>
      <c r="H360" s="507"/>
      <c r="I360" s="507"/>
      <c r="J360" s="507"/>
      <c r="K360" s="507"/>
      <c r="L360" s="507"/>
      <c r="M360" s="507"/>
      <c r="N360" s="507"/>
      <c r="O360" s="507"/>
      <c r="P360" s="507"/>
      <c r="Q360" s="507"/>
      <c r="R360" s="507"/>
      <c r="S360" s="507"/>
    </row>
    <row r="361" ht="35.25" customHeight="1">
      <c r="A361" s="22"/>
      <c r="B361" s="547" t="s">
        <v>916</v>
      </c>
      <c r="C361" s="656"/>
      <c r="D361" s="18"/>
      <c r="E361" s="701"/>
      <c r="F361" s="507"/>
      <c r="G361" s="507"/>
      <c r="H361" s="507"/>
      <c r="I361" s="507"/>
      <c r="J361" s="507"/>
      <c r="K361" s="507"/>
      <c r="L361" s="507"/>
      <c r="M361" s="507"/>
      <c r="N361" s="507"/>
      <c r="O361" s="507"/>
      <c r="P361" s="507"/>
      <c r="Q361" s="507"/>
      <c r="R361" s="507"/>
      <c r="S361" s="507"/>
    </row>
    <row r="362" ht="35.25" customHeight="1">
      <c r="A362" s="720" t="s">
        <v>153</v>
      </c>
      <c r="B362" s="547" t="s">
        <v>908</v>
      </c>
      <c r="C362" s="656" t="s">
        <v>684</v>
      </c>
      <c r="D362" s="722">
        <f>SUM(C362:C370)</f>
        <v>113123500</v>
      </c>
      <c r="E362" s="701"/>
      <c r="F362" s="507"/>
      <c r="G362" s="507"/>
      <c r="H362" s="507"/>
      <c r="I362" s="507"/>
      <c r="J362" s="507"/>
      <c r="K362" s="507"/>
      <c r="L362" s="507"/>
      <c r="M362" s="507"/>
      <c r="N362" s="507"/>
      <c r="O362" s="507"/>
      <c r="P362" s="507"/>
      <c r="Q362" s="507"/>
      <c r="R362" s="507"/>
      <c r="S362" s="507"/>
    </row>
    <row r="363" ht="35.25" customHeight="1">
      <c r="A363" s="18"/>
      <c r="B363" s="547" t="s">
        <v>909</v>
      </c>
      <c r="C363" s="656" t="s">
        <v>684</v>
      </c>
      <c r="D363" s="18"/>
      <c r="E363" s="701"/>
      <c r="G363" s="507"/>
      <c r="H363" s="507"/>
      <c r="I363" s="507"/>
      <c r="J363" s="507"/>
      <c r="K363" s="507"/>
      <c r="L363" s="507"/>
      <c r="M363" s="507"/>
      <c r="N363" s="507"/>
      <c r="O363" s="507"/>
      <c r="P363" s="507"/>
      <c r="Q363" s="507"/>
      <c r="R363" s="507"/>
      <c r="S363" s="507"/>
    </row>
    <row r="364" ht="35.25" customHeight="1">
      <c r="A364" s="18"/>
      <c r="B364" s="547" t="s">
        <v>910</v>
      </c>
      <c r="C364" s="656" t="s">
        <v>684</v>
      </c>
      <c r="D364" s="18"/>
      <c r="E364" s="701" t="s">
        <v>692</v>
      </c>
      <c r="F364" s="507"/>
      <c r="G364" s="507"/>
      <c r="H364" s="507"/>
      <c r="I364" s="507"/>
      <c r="J364" s="507"/>
      <c r="K364" s="507"/>
      <c r="L364" s="507"/>
      <c r="M364" s="507"/>
      <c r="N364" s="507"/>
      <c r="O364" s="507"/>
      <c r="P364" s="507"/>
      <c r="Q364" s="507"/>
      <c r="R364" s="507"/>
      <c r="S364" s="507"/>
    </row>
    <row r="365" ht="35.25" customHeight="1">
      <c r="A365" s="18"/>
      <c r="B365" s="547" t="s">
        <v>911</v>
      </c>
      <c r="C365" s="656" t="s">
        <v>684</v>
      </c>
      <c r="D365" s="18"/>
      <c r="E365" s="701" t="s">
        <v>792</v>
      </c>
      <c r="F365" s="507"/>
      <c r="G365" s="507"/>
      <c r="H365" s="507"/>
      <c r="I365" s="507"/>
      <c r="J365" s="507"/>
      <c r="K365" s="507"/>
      <c r="L365" s="507"/>
      <c r="M365" s="507"/>
      <c r="N365" s="507"/>
      <c r="O365" s="507"/>
      <c r="P365" s="507"/>
      <c r="Q365" s="507"/>
      <c r="R365" s="507"/>
      <c r="S365" s="507"/>
    </row>
    <row r="366" ht="35.25" customHeight="1">
      <c r="A366" s="18"/>
      <c r="B366" s="547" t="s">
        <v>912</v>
      </c>
      <c r="C366" s="656" t="s">
        <v>684</v>
      </c>
      <c r="D366" s="18"/>
      <c r="E366" s="701"/>
      <c r="F366" s="507"/>
      <c r="G366" s="507"/>
      <c r="H366" s="507"/>
      <c r="I366" s="507"/>
      <c r="J366" s="507"/>
      <c r="K366" s="507"/>
      <c r="L366" s="507"/>
      <c r="M366" s="507"/>
      <c r="N366" s="507"/>
      <c r="O366" s="507"/>
      <c r="P366" s="507"/>
      <c r="Q366" s="507"/>
      <c r="R366" s="507"/>
      <c r="S366" s="507"/>
    </row>
    <row r="367" ht="35.25" customHeight="1">
      <c r="A367" s="18"/>
      <c r="B367" s="547" t="s">
        <v>913</v>
      </c>
      <c r="C367" s="656">
        <v>1.131235E8</v>
      </c>
      <c r="D367" s="18"/>
      <c r="E367" s="701"/>
      <c r="F367" s="507"/>
      <c r="G367" s="507"/>
      <c r="H367" s="507"/>
      <c r="I367" s="507"/>
      <c r="J367" s="507"/>
      <c r="K367" s="507"/>
      <c r="L367" s="507"/>
      <c r="M367" s="507"/>
      <c r="N367" s="507"/>
      <c r="O367" s="507"/>
      <c r="P367" s="507"/>
      <c r="Q367" s="507"/>
      <c r="R367" s="507"/>
      <c r="S367" s="507"/>
    </row>
    <row r="368" ht="35.25" customHeight="1">
      <c r="A368" s="18"/>
      <c r="B368" s="547" t="s">
        <v>914</v>
      </c>
      <c r="C368" s="656"/>
      <c r="D368" s="18"/>
      <c r="E368" s="701"/>
      <c r="F368" s="507"/>
      <c r="G368" s="507"/>
      <c r="H368" s="507"/>
      <c r="I368" s="507"/>
      <c r="J368" s="507"/>
      <c r="K368" s="507"/>
      <c r="L368" s="507"/>
      <c r="M368" s="507"/>
      <c r="N368" s="507"/>
      <c r="O368" s="507"/>
      <c r="P368" s="507"/>
      <c r="Q368" s="507"/>
      <c r="R368" s="507"/>
      <c r="S368" s="507"/>
    </row>
    <row r="369" ht="35.25" customHeight="1">
      <c r="A369" s="18"/>
      <c r="B369" s="547" t="s">
        <v>915</v>
      </c>
      <c r="C369" s="656"/>
      <c r="D369" s="18"/>
      <c r="E369" s="701"/>
      <c r="F369" s="507"/>
      <c r="G369" s="507"/>
      <c r="H369" s="507"/>
      <c r="I369" s="507"/>
      <c r="J369" s="507"/>
      <c r="K369" s="507"/>
      <c r="L369" s="507"/>
      <c r="M369" s="507"/>
      <c r="N369" s="507"/>
      <c r="O369" s="507"/>
      <c r="P369" s="507"/>
      <c r="Q369" s="507"/>
      <c r="R369" s="507"/>
      <c r="S369" s="507"/>
    </row>
    <row r="370" ht="35.25" customHeight="1">
      <c r="A370" s="22"/>
      <c r="B370" s="547" t="s">
        <v>916</v>
      </c>
      <c r="C370" s="656"/>
      <c r="D370" s="18"/>
      <c r="E370" s="701"/>
      <c r="F370" s="507"/>
      <c r="G370" s="507"/>
      <c r="H370" s="507"/>
      <c r="I370" s="507"/>
      <c r="J370" s="507"/>
      <c r="K370" s="507"/>
      <c r="L370" s="507"/>
      <c r="M370" s="507"/>
      <c r="N370" s="507"/>
      <c r="O370" s="507"/>
      <c r="P370" s="507"/>
      <c r="Q370" s="507"/>
      <c r="R370" s="507"/>
      <c r="S370" s="507"/>
    </row>
    <row r="371" ht="35.25" customHeight="1">
      <c r="A371" s="723" t="s">
        <v>154</v>
      </c>
      <c r="B371" s="547" t="s">
        <v>770</v>
      </c>
      <c r="C371" s="666"/>
      <c r="D371" s="722">
        <f>SUM(C371:C380)</f>
        <v>113218300</v>
      </c>
      <c r="E371" s="701"/>
      <c r="F371" s="507"/>
      <c r="G371" s="507"/>
      <c r="H371" s="507"/>
      <c r="I371" s="507"/>
      <c r="J371" s="507"/>
      <c r="K371" s="507"/>
      <c r="L371" s="507"/>
      <c r="M371" s="507"/>
      <c r="N371" s="507"/>
      <c r="O371" s="507"/>
      <c r="P371" s="507"/>
      <c r="Q371" s="507"/>
      <c r="R371" s="507"/>
      <c r="S371" s="507"/>
    </row>
    <row r="372" ht="35.25" customHeight="1">
      <c r="A372" s="18"/>
      <c r="B372" s="547" t="s">
        <v>908</v>
      </c>
      <c r="C372" s="593"/>
      <c r="D372" s="18"/>
      <c r="E372" s="701"/>
      <c r="F372" s="507"/>
      <c r="G372" s="507"/>
      <c r="H372" s="507"/>
      <c r="I372" s="507"/>
      <c r="J372" s="507"/>
      <c r="K372" s="507"/>
      <c r="L372" s="507"/>
      <c r="M372" s="507"/>
      <c r="N372" s="507"/>
      <c r="O372" s="507"/>
      <c r="P372" s="507"/>
      <c r="Q372" s="507"/>
      <c r="R372" s="507"/>
      <c r="S372" s="507"/>
    </row>
    <row r="373" ht="35.25" customHeight="1">
      <c r="A373" s="18"/>
      <c r="B373" s="547" t="s">
        <v>909</v>
      </c>
      <c r="C373" s="593" t="s">
        <v>684</v>
      </c>
      <c r="D373" s="18"/>
      <c r="E373" s="701"/>
      <c r="F373" s="507"/>
      <c r="G373" s="507"/>
      <c r="H373" s="507"/>
      <c r="I373" s="507"/>
      <c r="J373" s="507"/>
      <c r="K373" s="507"/>
      <c r="L373" s="507"/>
      <c r="M373" s="507"/>
      <c r="N373" s="507"/>
      <c r="O373" s="507"/>
      <c r="P373" s="507"/>
      <c r="Q373" s="507"/>
      <c r="R373" s="507"/>
      <c r="S373" s="507"/>
    </row>
    <row r="374" ht="35.25" customHeight="1">
      <c r="A374" s="18"/>
      <c r="B374" s="547" t="s">
        <v>910</v>
      </c>
      <c r="C374" s="593" t="s">
        <v>684</v>
      </c>
      <c r="D374" s="18"/>
      <c r="E374" s="701"/>
      <c r="F374" s="507"/>
      <c r="G374" s="507"/>
      <c r="H374" s="507"/>
      <c r="I374" s="507"/>
      <c r="J374" s="507"/>
      <c r="K374" s="507"/>
      <c r="L374" s="507"/>
      <c r="M374" s="507"/>
      <c r="N374" s="507"/>
      <c r="O374" s="507"/>
      <c r="P374" s="507"/>
      <c r="Q374" s="507"/>
      <c r="R374" s="507"/>
      <c r="S374" s="507"/>
    </row>
    <row r="375" ht="35.25" customHeight="1">
      <c r="A375" s="18"/>
      <c r="B375" s="547" t="s">
        <v>911</v>
      </c>
      <c r="C375" s="593" t="s">
        <v>681</v>
      </c>
      <c r="D375" s="18"/>
      <c r="E375" s="701"/>
      <c r="F375" s="507"/>
      <c r="G375" s="507"/>
      <c r="H375" s="507"/>
      <c r="I375" s="507"/>
      <c r="J375" s="507"/>
      <c r="K375" s="507"/>
      <c r="L375" s="507"/>
      <c r="M375" s="507"/>
      <c r="N375" s="507"/>
      <c r="O375" s="507"/>
      <c r="P375" s="507"/>
      <c r="Q375" s="507"/>
      <c r="R375" s="507"/>
      <c r="S375" s="507"/>
    </row>
    <row r="376" ht="35.25" customHeight="1">
      <c r="A376" s="18"/>
      <c r="B376" s="547" t="s">
        <v>912</v>
      </c>
      <c r="C376" s="724">
        <v>4.64595E7</v>
      </c>
      <c r="D376" s="18"/>
      <c r="E376" s="701"/>
      <c r="F376" s="507"/>
      <c r="G376" s="507"/>
      <c r="H376" s="507"/>
      <c r="I376" s="507"/>
      <c r="J376" s="507"/>
      <c r="K376" s="507"/>
      <c r="L376" s="507"/>
      <c r="M376" s="507"/>
      <c r="N376" s="507"/>
      <c r="O376" s="507"/>
      <c r="P376" s="507"/>
      <c r="Q376" s="507"/>
      <c r="R376" s="507"/>
      <c r="S376" s="507"/>
    </row>
    <row r="377" ht="35.25" customHeight="1">
      <c r="A377" s="18"/>
      <c r="B377" s="547" t="s">
        <v>913</v>
      </c>
      <c r="C377" s="724">
        <v>6.67588E7</v>
      </c>
      <c r="D377" s="18"/>
      <c r="E377" s="701"/>
      <c r="F377" s="507"/>
      <c r="G377" s="507"/>
      <c r="H377" s="507"/>
      <c r="I377" s="507"/>
      <c r="J377" s="507"/>
      <c r="K377" s="507"/>
      <c r="L377" s="507"/>
      <c r="M377" s="507"/>
      <c r="N377" s="507"/>
      <c r="O377" s="507"/>
      <c r="P377" s="507"/>
      <c r="Q377" s="507"/>
      <c r="R377" s="507"/>
      <c r="S377" s="507"/>
    </row>
    <row r="378" ht="35.25" customHeight="1">
      <c r="A378" s="18"/>
      <c r="B378" s="547" t="s">
        <v>914</v>
      </c>
      <c r="C378" s="724"/>
      <c r="D378" s="18"/>
      <c r="E378" s="701"/>
      <c r="F378" s="507"/>
      <c r="G378" s="507"/>
      <c r="H378" s="507"/>
      <c r="I378" s="507"/>
      <c r="J378" s="507"/>
      <c r="K378" s="507"/>
      <c r="L378" s="507"/>
      <c r="M378" s="507"/>
      <c r="N378" s="507"/>
      <c r="O378" s="507"/>
      <c r="P378" s="507"/>
      <c r="Q378" s="507"/>
      <c r="R378" s="507"/>
      <c r="S378" s="507"/>
    </row>
    <row r="379" ht="35.25" customHeight="1">
      <c r="A379" s="18"/>
      <c r="B379" s="547" t="s">
        <v>915</v>
      </c>
      <c r="C379" s="724"/>
      <c r="D379" s="18"/>
      <c r="E379" s="701"/>
      <c r="F379" s="507"/>
      <c r="G379" s="507"/>
      <c r="H379" s="507"/>
      <c r="I379" s="507"/>
      <c r="J379" s="507"/>
      <c r="K379" s="507"/>
      <c r="L379" s="507"/>
      <c r="M379" s="507"/>
      <c r="N379" s="507"/>
      <c r="O379" s="507"/>
      <c r="P379" s="507"/>
      <c r="Q379" s="507"/>
      <c r="R379" s="507"/>
      <c r="S379" s="507"/>
    </row>
    <row r="380" ht="35.25" customHeight="1">
      <c r="A380" s="22"/>
      <c r="B380" s="547" t="s">
        <v>916</v>
      </c>
      <c r="C380" s="724"/>
      <c r="D380" s="18"/>
      <c r="E380" s="701"/>
      <c r="F380" s="507"/>
      <c r="G380" s="507"/>
      <c r="H380" s="507"/>
      <c r="I380" s="507"/>
      <c r="J380" s="507"/>
      <c r="K380" s="507"/>
      <c r="L380" s="507"/>
      <c r="M380" s="507"/>
      <c r="N380" s="507"/>
      <c r="O380" s="507"/>
      <c r="P380" s="507"/>
      <c r="Q380" s="507"/>
      <c r="R380" s="507"/>
      <c r="S380" s="507"/>
    </row>
    <row r="381" ht="35.25" customHeight="1">
      <c r="A381" s="720" t="s">
        <v>156</v>
      </c>
      <c r="B381" s="673" t="s">
        <v>904</v>
      </c>
      <c r="C381" s="656">
        <v>1.209765E8</v>
      </c>
      <c r="D381" s="722">
        <f>SUM(C381:C390)</f>
        <v>241751000</v>
      </c>
      <c r="E381" s="701"/>
      <c r="F381" s="507"/>
      <c r="G381" s="507"/>
      <c r="H381" s="507"/>
      <c r="I381" s="507"/>
      <c r="J381" s="507"/>
      <c r="K381" s="507"/>
      <c r="L381" s="507"/>
      <c r="M381" s="507"/>
      <c r="N381" s="507"/>
      <c r="O381" s="507"/>
      <c r="P381" s="507"/>
      <c r="Q381" s="507"/>
      <c r="R381" s="507"/>
      <c r="S381" s="507"/>
    </row>
    <row r="382" ht="35.25" customHeight="1">
      <c r="A382" s="18"/>
      <c r="B382" s="547" t="s">
        <v>908</v>
      </c>
      <c r="C382" s="656">
        <v>2.27705E7</v>
      </c>
      <c r="D382" s="18"/>
      <c r="E382" s="701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07"/>
      <c r="R382" s="507"/>
      <c r="S382" s="507"/>
    </row>
    <row r="383" ht="35.25" customHeight="1">
      <c r="A383" s="18"/>
      <c r="B383" s="547" t="s">
        <v>909</v>
      </c>
      <c r="C383" s="656">
        <v>2.3173E7</v>
      </c>
      <c r="D383" s="18"/>
      <c r="E383" s="701" t="s">
        <v>794</v>
      </c>
      <c r="F383" s="507"/>
      <c r="G383" s="507"/>
      <c r="H383" s="507"/>
      <c r="I383" s="507"/>
      <c r="J383" s="507"/>
      <c r="K383" s="507"/>
      <c r="L383" s="507"/>
      <c r="M383" s="507"/>
      <c r="N383" s="507"/>
      <c r="O383" s="507"/>
      <c r="P383" s="507"/>
      <c r="Q383" s="507"/>
      <c r="R383" s="507"/>
      <c r="S383" s="507"/>
    </row>
    <row r="384" ht="35.25" customHeight="1">
      <c r="A384" s="18"/>
      <c r="B384" s="547" t="s">
        <v>910</v>
      </c>
      <c r="C384" s="656">
        <v>2.9037E7</v>
      </c>
      <c r="D384" s="18"/>
      <c r="E384" s="701"/>
      <c r="F384" s="507"/>
      <c r="G384" s="507"/>
      <c r="H384" s="507"/>
      <c r="I384" s="507"/>
      <c r="J384" s="507"/>
      <c r="K384" s="507"/>
      <c r="L384" s="507"/>
      <c r="M384" s="507"/>
      <c r="N384" s="507"/>
      <c r="O384" s="507"/>
      <c r="P384" s="507"/>
      <c r="Q384" s="507"/>
      <c r="R384" s="507"/>
      <c r="S384" s="507"/>
    </row>
    <row r="385" ht="35.25" customHeight="1">
      <c r="A385" s="18"/>
      <c r="B385" s="547" t="s">
        <v>911</v>
      </c>
      <c r="C385" s="666">
        <v>2.59035E7</v>
      </c>
      <c r="D385" s="18"/>
      <c r="E385" s="701"/>
      <c r="F385" s="507"/>
      <c r="G385" s="507"/>
      <c r="H385" s="507"/>
      <c r="I385" s="507"/>
      <c r="J385" s="507"/>
      <c r="K385" s="507"/>
      <c r="L385" s="507"/>
      <c r="M385" s="507"/>
      <c r="N385" s="507"/>
      <c r="O385" s="507"/>
      <c r="P385" s="507"/>
      <c r="Q385" s="507"/>
      <c r="R385" s="507"/>
      <c r="S385" s="507"/>
    </row>
    <row r="386" ht="35.25" customHeight="1">
      <c r="A386" s="18"/>
      <c r="B386" s="547" t="s">
        <v>912</v>
      </c>
      <c r="C386" s="666">
        <v>1.98905E7</v>
      </c>
      <c r="D386" s="18"/>
      <c r="E386" s="701"/>
      <c r="F386" s="507"/>
      <c r="G386" s="507"/>
      <c r="H386" s="507"/>
      <c r="I386" s="507"/>
      <c r="J386" s="507"/>
      <c r="K386" s="507"/>
      <c r="L386" s="507"/>
      <c r="M386" s="507"/>
      <c r="N386" s="507"/>
      <c r="O386" s="507"/>
      <c r="P386" s="507"/>
      <c r="Q386" s="507"/>
      <c r="R386" s="507"/>
      <c r="S386" s="507"/>
    </row>
    <row r="387" ht="35.25" customHeight="1">
      <c r="A387" s="18"/>
      <c r="B387" s="547" t="s">
        <v>913</v>
      </c>
      <c r="C387" s="666"/>
      <c r="D387" s="18"/>
      <c r="E387" s="701"/>
      <c r="F387" s="507"/>
      <c r="G387" s="507"/>
      <c r="H387" s="507"/>
      <c r="I387" s="507"/>
      <c r="J387" s="507"/>
      <c r="K387" s="507"/>
      <c r="L387" s="507"/>
      <c r="M387" s="507"/>
      <c r="N387" s="507"/>
      <c r="O387" s="507"/>
      <c r="P387" s="507"/>
      <c r="Q387" s="507"/>
      <c r="R387" s="507"/>
      <c r="S387" s="507"/>
    </row>
    <row r="388" ht="35.25" customHeight="1">
      <c r="A388" s="18"/>
      <c r="B388" s="547" t="s">
        <v>914</v>
      </c>
      <c r="C388" s="666"/>
      <c r="D388" s="18"/>
      <c r="E388" s="701"/>
      <c r="F388" s="507"/>
      <c r="G388" s="507"/>
      <c r="H388" s="507"/>
      <c r="I388" s="507"/>
      <c r="J388" s="507"/>
      <c r="K388" s="507"/>
      <c r="L388" s="507"/>
      <c r="M388" s="507"/>
      <c r="N388" s="507"/>
      <c r="O388" s="507"/>
      <c r="P388" s="507"/>
      <c r="Q388" s="507"/>
      <c r="R388" s="507"/>
      <c r="S388" s="507"/>
    </row>
    <row r="389" ht="35.25" customHeight="1">
      <c r="A389" s="18"/>
      <c r="B389" s="547" t="s">
        <v>915</v>
      </c>
      <c r="C389" s="666"/>
      <c r="D389" s="18"/>
      <c r="E389" s="701"/>
      <c r="F389" s="507"/>
      <c r="G389" s="507"/>
      <c r="H389" s="507"/>
      <c r="I389" s="507"/>
      <c r="J389" s="507"/>
      <c r="K389" s="507"/>
      <c r="L389" s="507"/>
      <c r="M389" s="507"/>
      <c r="N389" s="507"/>
      <c r="O389" s="507"/>
      <c r="P389" s="507"/>
      <c r="Q389" s="507"/>
      <c r="R389" s="507"/>
      <c r="S389" s="507"/>
    </row>
    <row r="390" ht="35.25" customHeight="1">
      <c r="A390" s="22"/>
      <c r="B390" s="547" t="s">
        <v>916</v>
      </c>
      <c r="C390" s="666"/>
      <c r="D390" s="18"/>
      <c r="E390" s="701"/>
      <c r="F390" s="507"/>
      <c r="G390" s="507"/>
      <c r="H390" s="507"/>
      <c r="I390" s="507"/>
      <c r="J390" s="507"/>
      <c r="K390" s="507"/>
      <c r="L390" s="507"/>
      <c r="M390" s="507"/>
      <c r="N390" s="507"/>
      <c r="O390" s="507"/>
      <c r="P390" s="507"/>
      <c r="Q390" s="507"/>
      <c r="R390" s="507"/>
      <c r="S390" s="507"/>
    </row>
    <row r="391" ht="35.25" customHeight="1">
      <c r="A391" s="720" t="s">
        <v>158</v>
      </c>
      <c r="B391" s="547" t="s">
        <v>908</v>
      </c>
      <c r="C391" s="593" t="s">
        <v>684</v>
      </c>
      <c r="D391" s="725">
        <f>SUM(C394:C399)</f>
        <v>0</v>
      </c>
      <c r="E391" s="701"/>
      <c r="F391" s="507"/>
      <c r="G391" s="507"/>
      <c r="H391" s="507"/>
      <c r="I391" s="507"/>
      <c r="J391" s="507"/>
      <c r="K391" s="507"/>
      <c r="L391" s="507"/>
      <c r="M391" s="507"/>
      <c r="N391" s="507"/>
      <c r="O391" s="507"/>
      <c r="P391" s="507"/>
      <c r="Q391" s="507"/>
      <c r="R391" s="507"/>
      <c r="S391" s="507"/>
    </row>
    <row r="392" ht="35.25" customHeight="1">
      <c r="A392" s="18"/>
      <c r="B392" s="547" t="s">
        <v>909</v>
      </c>
      <c r="C392" s="593" t="s">
        <v>684</v>
      </c>
      <c r="D392" s="18"/>
      <c r="E392" s="701"/>
      <c r="F392" s="507"/>
      <c r="G392" s="507"/>
      <c r="H392" s="507"/>
      <c r="I392" s="507"/>
      <c r="J392" s="507"/>
      <c r="K392" s="507"/>
      <c r="L392" s="507"/>
      <c r="M392" s="507"/>
      <c r="N392" s="507"/>
      <c r="O392" s="507"/>
      <c r="P392" s="507"/>
      <c r="Q392" s="507"/>
      <c r="R392" s="507"/>
      <c r="S392" s="507"/>
    </row>
    <row r="393" ht="35.25" customHeight="1">
      <c r="A393" s="18"/>
      <c r="B393" s="547" t="s">
        <v>910</v>
      </c>
      <c r="C393" s="593" t="s">
        <v>684</v>
      </c>
      <c r="D393" s="18"/>
      <c r="E393" s="701"/>
      <c r="F393" s="507"/>
      <c r="G393" s="507"/>
      <c r="H393" s="507"/>
      <c r="I393" s="507"/>
      <c r="J393" s="507"/>
      <c r="K393" s="507"/>
      <c r="L393" s="507"/>
      <c r="M393" s="507"/>
      <c r="N393" s="507"/>
      <c r="O393" s="507"/>
      <c r="P393" s="507"/>
      <c r="Q393" s="507"/>
      <c r="R393" s="507"/>
      <c r="S393" s="507"/>
    </row>
    <row r="394" ht="35.25" customHeight="1">
      <c r="A394" s="18"/>
      <c r="B394" s="547" t="s">
        <v>911</v>
      </c>
      <c r="C394" s="593" t="s">
        <v>684</v>
      </c>
      <c r="D394" s="18"/>
      <c r="E394" s="701" t="s">
        <v>795</v>
      </c>
      <c r="F394" s="507"/>
      <c r="G394" s="507"/>
      <c r="H394" s="507"/>
      <c r="I394" s="507"/>
      <c r="J394" s="507"/>
      <c r="K394" s="507"/>
      <c r="L394" s="507"/>
      <c r="M394" s="507"/>
      <c r="N394" s="507"/>
      <c r="O394" s="507"/>
      <c r="P394" s="507"/>
      <c r="Q394" s="507"/>
      <c r="R394" s="507"/>
      <c r="S394" s="507"/>
    </row>
    <row r="395" ht="35.25" customHeight="1">
      <c r="A395" s="18"/>
      <c r="B395" s="547" t="s">
        <v>912</v>
      </c>
      <c r="C395" s="593" t="s">
        <v>684</v>
      </c>
      <c r="D395" s="18"/>
      <c r="E395" s="701"/>
      <c r="F395" s="507"/>
      <c r="G395" s="507"/>
      <c r="H395" s="507"/>
      <c r="I395" s="507"/>
      <c r="J395" s="507"/>
      <c r="K395" s="507"/>
      <c r="L395" s="507"/>
      <c r="M395" s="507"/>
      <c r="N395" s="507"/>
      <c r="O395" s="507"/>
      <c r="P395" s="507"/>
      <c r="Q395" s="507"/>
      <c r="R395" s="507"/>
      <c r="S395" s="507"/>
    </row>
    <row r="396" ht="35.25" customHeight="1">
      <c r="A396" s="18"/>
      <c r="B396" s="547" t="s">
        <v>913</v>
      </c>
      <c r="C396" s="593"/>
      <c r="D396" s="18"/>
      <c r="E396" s="701"/>
      <c r="F396" s="507"/>
      <c r="G396" s="507"/>
      <c r="H396" s="507"/>
      <c r="I396" s="507"/>
      <c r="J396" s="507"/>
      <c r="K396" s="507"/>
      <c r="L396" s="507"/>
      <c r="M396" s="507"/>
      <c r="N396" s="507"/>
      <c r="O396" s="507"/>
      <c r="P396" s="507"/>
      <c r="Q396" s="507"/>
      <c r="R396" s="507"/>
      <c r="S396" s="507"/>
    </row>
    <row r="397" ht="35.25" customHeight="1">
      <c r="A397" s="18"/>
      <c r="B397" s="547" t="s">
        <v>914</v>
      </c>
      <c r="C397" s="593"/>
      <c r="D397" s="18"/>
      <c r="E397" s="701"/>
      <c r="F397" s="507"/>
      <c r="G397" s="507"/>
      <c r="H397" s="507"/>
      <c r="I397" s="507"/>
      <c r="J397" s="507"/>
      <c r="K397" s="507"/>
      <c r="L397" s="507"/>
      <c r="M397" s="507"/>
      <c r="N397" s="507"/>
      <c r="O397" s="507"/>
      <c r="P397" s="507"/>
      <c r="Q397" s="507"/>
      <c r="R397" s="507"/>
      <c r="S397" s="507"/>
    </row>
    <row r="398" ht="35.25" customHeight="1">
      <c r="A398" s="18"/>
      <c r="B398" s="547" t="s">
        <v>915</v>
      </c>
      <c r="C398" s="593"/>
      <c r="D398" s="18"/>
      <c r="E398" s="701"/>
      <c r="F398" s="507"/>
      <c r="G398" s="507"/>
      <c r="H398" s="507"/>
      <c r="I398" s="507"/>
      <c r="J398" s="507"/>
      <c r="K398" s="507"/>
      <c r="L398" s="507"/>
      <c r="M398" s="507"/>
      <c r="N398" s="507"/>
      <c r="O398" s="507"/>
      <c r="P398" s="507"/>
      <c r="Q398" s="507"/>
      <c r="R398" s="507"/>
      <c r="S398" s="507"/>
    </row>
    <row r="399" ht="35.25" customHeight="1">
      <c r="A399" s="22"/>
      <c r="B399" s="547" t="s">
        <v>916</v>
      </c>
      <c r="C399" s="593"/>
      <c r="D399" s="18"/>
      <c r="E399" s="701"/>
      <c r="F399" s="507"/>
      <c r="G399" s="507"/>
      <c r="H399" s="507"/>
      <c r="I399" s="507"/>
      <c r="J399" s="507"/>
      <c r="K399" s="507"/>
      <c r="L399" s="507"/>
      <c r="M399" s="507"/>
      <c r="N399" s="507"/>
      <c r="O399" s="507"/>
      <c r="P399" s="507"/>
      <c r="Q399" s="507"/>
      <c r="R399" s="507"/>
      <c r="S399" s="507"/>
    </row>
    <row r="400" ht="35.25" customHeight="1">
      <c r="A400" s="726" t="s">
        <v>167</v>
      </c>
      <c r="B400" s="547" t="s">
        <v>88</v>
      </c>
      <c r="C400" s="593" t="s">
        <v>684</v>
      </c>
      <c r="D400" s="653">
        <f>SUM(C400:C404)</f>
        <v>24318000</v>
      </c>
      <c r="E400" s="701"/>
      <c r="F400" s="635"/>
      <c r="G400" s="507"/>
      <c r="H400" s="507"/>
      <c r="I400" s="507"/>
      <c r="J400" s="507"/>
      <c r="K400" s="507"/>
      <c r="L400" s="507"/>
      <c r="M400" s="507"/>
      <c r="N400" s="507"/>
      <c r="O400" s="507"/>
      <c r="P400" s="507"/>
      <c r="Q400" s="507"/>
      <c r="R400" s="507"/>
      <c r="S400" s="507"/>
    </row>
    <row r="401" ht="35.25" customHeight="1">
      <c r="A401" s="18"/>
      <c r="B401" s="547" t="s">
        <v>219</v>
      </c>
      <c r="C401" s="593" t="s">
        <v>684</v>
      </c>
      <c r="D401" s="18"/>
      <c r="E401" s="701"/>
      <c r="F401" s="507"/>
      <c r="G401" s="507"/>
      <c r="H401" s="507"/>
      <c r="I401" s="507"/>
      <c r="J401" s="507"/>
      <c r="K401" s="507"/>
      <c r="L401" s="507"/>
      <c r="M401" s="507"/>
      <c r="N401" s="507"/>
      <c r="O401" s="507"/>
      <c r="P401" s="507"/>
      <c r="Q401" s="507"/>
      <c r="R401" s="507"/>
      <c r="S401" s="507"/>
    </row>
    <row r="402" ht="35.25" customHeight="1">
      <c r="A402" s="18"/>
      <c r="B402" s="547" t="s">
        <v>89</v>
      </c>
      <c r="C402" s="593" t="s">
        <v>684</v>
      </c>
      <c r="D402" s="18"/>
      <c r="E402" s="701"/>
      <c r="F402" s="507"/>
      <c r="G402" s="507"/>
      <c r="H402" s="507"/>
      <c r="I402" s="507"/>
      <c r="J402" s="507"/>
      <c r="K402" s="507"/>
      <c r="L402" s="507"/>
      <c r="M402" s="507"/>
      <c r="N402" s="507"/>
      <c r="O402" s="507"/>
      <c r="P402" s="507"/>
      <c r="Q402" s="507"/>
      <c r="R402" s="507"/>
      <c r="S402" s="507"/>
    </row>
    <row r="403" ht="35.25" customHeight="1">
      <c r="A403" s="18"/>
      <c r="B403" s="547" t="s">
        <v>220</v>
      </c>
      <c r="C403" s="593" t="s">
        <v>684</v>
      </c>
      <c r="D403" s="18"/>
      <c r="E403" s="701" t="s">
        <v>797</v>
      </c>
      <c r="F403" s="507"/>
      <c r="G403" s="507"/>
      <c r="H403" s="507"/>
      <c r="I403" s="507"/>
      <c r="J403" s="507"/>
      <c r="K403" s="507"/>
      <c r="L403" s="507"/>
      <c r="M403" s="507"/>
      <c r="N403" s="507"/>
      <c r="O403" s="507"/>
      <c r="P403" s="507"/>
      <c r="Q403" s="507"/>
      <c r="R403" s="507"/>
      <c r="S403" s="507"/>
    </row>
    <row r="404" ht="35.25" customHeight="1">
      <c r="A404" s="22"/>
      <c r="B404" s="547" t="s">
        <v>697</v>
      </c>
      <c r="C404" s="593">
        <v>2.4318E7</v>
      </c>
      <c r="D404" s="22"/>
      <c r="E404" s="701"/>
      <c r="F404" s="507"/>
      <c r="G404" s="507"/>
      <c r="H404" s="507"/>
      <c r="I404" s="507"/>
      <c r="J404" s="507"/>
      <c r="K404" s="507"/>
      <c r="L404" s="507"/>
      <c r="M404" s="507"/>
      <c r="N404" s="507"/>
      <c r="O404" s="507"/>
      <c r="P404" s="507"/>
      <c r="Q404" s="507"/>
      <c r="R404" s="507"/>
      <c r="S404" s="507"/>
    </row>
    <row r="405" ht="35.25" customHeight="1">
      <c r="A405" s="727" t="s">
        <v>178</v>
      </c>
      <c r="B405" s="673" t="s">
        <v>770</v>
      </c>
      <c r="C405" s="515" t="s">
        <v>684</v>
      </c>
      <c r="D405" s="657">
        <f>SUM(C405:C410)</f>
        <v>215356000</v>
      </c>
      <c r="E405" s="701"/>
      <c r="F405" s="507"/>
      <c r="G405" s="507"/>
      <c r="H405" s="507"/>
      <c r="I405" s="507"/>
      <c r="J405" s="507"/>
      <c r="K405" s="507"/>
      <c r="L405" s="507"/>
      <c r="M405" s="507"/>
      <c r="N405" s="507"/>
      <c r="O405" s="507"/>
      <c r="P405" s="507"/>
      <c r="Q405" s="507"/>
      <c r="R405" s="507"/>
      <c r="S405" s="507"/>
    </row>
    <row r="406" ht="35.25" customHeight="1">
      <c r="A406" s="18"/>
      <c r="B406" s="547" t="s">
        <v>88</v>
      </c>
      <c r="D406" s="18"/>
      <c r="E406" s="701"/>
      <c r="F406" s="507"/>
      <c r="G406" s="507"/>
      <c r="H406" s="507"/>
      <c r="I406" s="507"/>
      <c r="J406" s="507"/>
      <c r="K406" s="507"/>
      <c r="L406" s="507"/>
      <c r="M406" s="507"/>
      <c r="N406" s="507"/>
      <c r="O406" s="507"/>
      <c r="P406" s="507"/>
      <c r="Q406" s="507"/>
      <c r="R406" s="507"/>
      <c r="S406" s="507"/>
    </row>
    <row r="407" ht="35.25" customHeight="1">
      <c r="A407" s="18"/>
      <c r="B407" s="547" t="s">
        <v>219</v>
      </c>
      <c r="C407" s="515">
        <v>5.99265E7</v>
      </c>
      <c r="D407" s="18"/>
      <c r="E407" s="701"/>
      <c r="F407" s="507"/>
      <c r="G407" s="507"/>
      <c r="H407" s="507"/>
      <c r="I407" s="507"/>
      <c r="J407" s="507"/>
      <c r="K407" s="507"/>
      <c r="L407" s="507"/>
      <c r="M407" s="507"/>
      <c r="N407" s="507"/>
      <c r="O407" s="507"/>
      <c r="P407" s="507"/>
      <c r="Q407" s="507"/>
      <c r="R407" s="507"/>
      <c r="S407" s="507"/>
    </row>
    <row r="408" ht="35.25" customHeight="1">
      <c r="A408" s="18"/>
      <c r="B408" s="547" t="s">
        <v>89</v>
      </c>
      <c r="C408" s="515">
        <v>5.4278E7</v>
      </c>
      <c r="D408" s="18"/>
      <c r="E408" s="701"/>
      <c r="F408" s="507"/>
      <c r="G408" s="507"/>
      <c r="H408" s="507"/>
      <c r="I408" s="507"/>
      <c r="J408" s="507"/>
      <c r="K408" s="507"/>
      <c r="L408" s="507"/>
      <c r="M408" s="507"/>
      <c r="N408" s="507"/>
      <c r="O408" s="507"/>
      <c r="P408" s="507"/>
      <c r="Q408" s="507"/>
      <c r="R408" s="507"/>
      <c r="S408" s="507"/>
    </row>
    <row r="409" ht="35.25" customHeight="1">
      <c r="A409" s="18"/>
      <c r="B409" s="547" t="s">
        <v>220</v>
      </c>
      <c r="C409" s="659">
        <v>5.8605E7</v>
      </c>
      <c r="D409" s="18"/>
      <c r="E409" s="701" t="s">
        <v>800</v>
      </c>
      <c r="F409" s="507"/>
      <c r="G409" s="507"/>
      <c r="H409" s="507"/>
      <c r="I409" s="507"/>
      <c r="J409" s="507"/>
      <c r="K409" s="507"/>
      <c r="L409" s="507"/>
      <c r="M409" s="507"/>
      <c r="N409" s="507"/>
      <c r="O409" s="507"/>
      <c r="P409" s="507"/>
      <c r="Q409" s="507"/>
      <c r="R409" s="507"/>
      <c r="S409" s="507"/>
    </row>
    <row r="410" ht="35.25" customHeight="1">
      <c r="A410" s="22"/>
      <c r="B410" s="547" t="s">
        <v>697</v>
      </c>
      <c r="C410" s="659">
        <v>4.25465E7</v>
      </c>
      <c r="D410" s="22"/>
      <c r="E410" s="701"/>
      <c r="F410" s="507"/>
      <c r="G410" s="507"/>
      <c r="H410" s="507"/>
      <c r="I410" s="507"/>
      <c r="J410" s="507"/>
      <c r="K410" s="507"/>
      <c r="L410" s="507"/>
      <c r="M410" s="507"/>
      <c r="N410" s="507"/>
      <c r="O410" s="507"/>
      <c r="P410" s="507"/>
      <c r="Q410" s="507"/>
      <c r="R410" s="507"/>
      <c r="S410" s="507"/>
    </row>
    <row r="411" ht="35.25" customHeight="1">
      <c r="A411" s="727" t="s">
        <v>182</v>
      </c>
      <c r="B411" s="673" t="s">
        <v>904</v>
      </c>
      <c r="C411" s="515">
        <f>SUM(168370100-25000000-20000000)-25000000</f>
        <v>98370100</v>
      </c>
      <c r="D411" s="653">
        <f>SUM(C411:C416)</f>
        <v>195713900</v>
      </c>
      <c r="E411" s="701"/>
      <c r="F411" s="507"/>
      <c r="G411" s="507"/>
      <c r="H411" s="507"/>
      <c r="I411" s="507"/>
      <c r="J411" s="507"/>
      <c r="K411" s="507"/>
      <c r="L411" s="507"/>
      <c r="M411" s="507"/>
      <c r="N411" s="507"/>
      <c r="O411" s="507"/>
      <c r="P411" s="507"/>
      <c r="Q411" s="507"/>
      <c r="R411" s="507"/>
      <c r="S411" s="507"/>
    </row>
    <row r="412" ht="35.25" customHeight="1">
      <c r="A412" s="18"/>
      <c r="B412" s="547" t="s">
        <v>88</v>
      </c>
      <c r="D412" s="18"/>
      <c r="E412" s="701"/>
      <c r="F412" s="507"/>
      <c r="G412" s="507"/>
      <c r="H412" s="507"/>
      <c r="I412" s="507"/>
      <c r="J412" s="507"/>
      <c r="K412" s="507"/>
      <c r="L412" s="507"/>
      <c r="M412" s="507"/>
      <c r="N412" s="507"/>
      <c r="O412" s="507"/>
      <c r="P412" s="507"/>
      <c r="Q412" s="507"/>
      <c r="R412" s="507"/>
      <c r="S412" s="507"/>
    </row>
    <row r="413" ht="35.25" customHeight="1">
      <c r="A413" s="18"/>
      <c r="B413" s="547" t="s">
        <v>219</v>
      </c>
      <c r="C413" s="515">
        <v>1.63455E7</v>
      </c>
      <c r="D413" s="18"/>
      <c r="E413" s="701"/>
      <c r="F413" s="507"/>
      <c r="G413" s="507"/>
      <c r="H413" s="507"/>
      <c r="I413" s="507"/>
      <c r="J413" s="507"/>
      <c r="K413" s="507"/>
      <c r="L413" s="507"/>
      <c r="M413" s="507"/>
      <c r="N413" s="507"/>
      <c r="O413" s="507"/>
      <c r="P413" s="507"/>
      <c r="Q413" s="507"/>
      <c r="R413" s="507"/>
      <c r="S413" s="507"/>
    </row>
    <row r="414" ht="35.25" customHeight="1">
      <c r="A414" s="18"/>
      <c r="B414" s="547" t="s">
        <v>89</v>
      </c>
      <c r="C414" s="515">
        <v>2.38585E7</v>
      </c>
      <c r="D414" s="18"/>
      <c r="E414" s="701"/>
      <c r="F414" s="507"/>
      <c r="G414" s="507"/>
      <c r="H414" s="507"/>
      <c r="I414" s="507"/>
      <c r="J414" s="507"/>
      <c r="K414" s="507"/>
      <c r="L414" s="507"/>
      <c r="M414" s="507"/>
      <c r="N414" s="507"/>
      <c r="O414" s="507"/>
      <c r="P414" s="507"/>
      <c r="Q414" s="507"/>
      <c r="R414" s="507"/>
      <c r="S414" s="507"/>
    </row>
    <row r="415" ht="35.25" customHeight="1">
      <c r="A415" s="18"/>
      <c r="B415" s="547" t="s">
        <v>220</v>
      </c>
      <c r="C415" s="515">
        <f>34445000-195000</f>
        <v>34250000</v>
      </c>
      <c r="D415" s="18"/>
      <c r="E415" s="701" t="s">
        <v>801</v>
      </c>
      <c r="F415" s="507"/>
      <c r="G415" s="507"/>
      <c r="H415" s="507"/>
      <c r="I415" s="507"/>
      <c r="J415" s="507"/>
      <c r="K415" s="507"/>
      <c r="L415" s="507"/>
      <c r="M415" s="507"/>
      <c r="N415" s="507"/>
      <c r="O415" s="507"/>
      <c r="P415" s="507"/>
      <c r="Q415" s="507"/>
      <c r="R415" s="507"/>
      <c r="S415" s="507"/>
    </row>
    <row r="416" ht="35.25" customHeight="1">
      <c r="A416" s="22"/>
      <c r="B416" s="547" t="s">
        <v>697</v>
      </c>
      <c r="C416" s="515">
        <v>2.28898E7</v>
      </c>
      <c r="D416" s="22"/>
      <c r="E416" s="701"/>
      <c r="F416" s="507"/>
      <c r="G416" s="507"/>
      <c r="H416" s="507"/>
      <c r="I416" s="507"/>
      <c r="J416" s="507"/>
      <c r="K416" s="507"/>
      <c r="L416" s="507"/>
      <c r="M416" s="507"/>
      <c r="N416" s="507"/>
      <c r="O416" s="507"/>
      <c r="P416" s="507"/>
      <c r="Q416" s="507"/>
      <c r="R416" s="507"/>
      <c r="S416" s="507"/>
    </row>
    <row r="417" ht="35.25" customHeight="1">
      <c r="A417" s="726" t="s">
        <v>184</v>
      </c>
      <c r="B417" s="673" t="s">
        <v>904</v>
      </c>
      <c r="C417" s="515">
        <f>SUM(182476000-50000000-50000000)</f>
        <v>82476000</v>
      </c>
      <c r="D417" s="653">
        <f>sum(C417:C421)</f>
        <v>157336000</v>
      </c>
      <c r="E417" s="701"/>
      <c r="F417" s="507"/>
      <c r="G417" s="507"/>
      <c r="H417" s="507"/>
      <c r="I417" s="507"/>
      <c r="J417" s="507"/>
      <c r="K417" s="507"/>
      <c r="L417" s="507"/>
      <c r="M417" s="507"/>
      <c r="N417" s="507"/>
      <c r="O417" s="507"/>
      <c r="P417" s="507"/>
      <c r="Q417" s="507"/>
      <c r="R417" s="507"/>
      <c r="S417" s="507"/>
    </row>
    <row r="418" ht="35.25" customHeight="1">
      <c r="A418" s="18"/>
      <c r="B418" s="547" t="s">
        <v>88</v>
      </c>
      <c r="D418" s="18"/>
      <c r="E418" s="701"/>
      <c r="F418" s="507"/>
      <c r="G418" s="507"/>
      <c r="H418" s="507"/>
      <c r="I418" s="507"/>
      <c r="J418" s="507"/>
      <c r="K418" s="507"/>
      <c r="L418" s="507"/>
      <c r="M418" s="507"/>
      <c r="N418" s="507"/>
      <c r="O418" s="507"/>
      <c r="P418" s="507"/>
      <c r="Q418" s="507"/>
      <c r="R418" s="507"/>
      <c r="S418" s="507"/>
    </row>
    <row r="419" ht="35.25" customHeight="1">
      <c r="A419" s="18"/>
      <c r="B419" s="547" t="s">
        <v>219</v>
      </c>
      <c r="C419" s="515">
        <v>3.73035E7</v>
      </c>
      <c r="D419" s="18"/>
      <c r="E419" s="701" t="s">
        <v>802</v>
      </c>
      <c r="F419" s="507"/>
      <c r="G419" s="507"/>
      <c r="H419" s="507"/>
      <c r="I419" s="507"/>
      <c r="J419" s="507"/>
      <c r="K419" s="507"/>
      <c r="L419" s="507"/>
      <c r="M419" s="507"/>
      <c r="N419" s="507"/>
      <c r="O419" s="507"/>
      <c r="P419" s="507"/>
      <c r="Q419" s="507"/>
      <c r="R419" s="507"/>
      <c r="S419" s="507"/>
    </row>
    <row r="420" ht="35.25" customHeight="1">
      <c r="A420" s="18"/>
      <c r="B420" s="547" t="s">
        <v>89</v>
      </c>
      <c r="C420" s="515"/>
      <c r="D420" s="18"/>
      <c r="E420" s="701"/>
      <c r="F420" s="507"/>
      <c r="G420" s="507"/>
      <c r="H420" s="507"/>
      <c r="I420" s="507"/>
      <c r="J420" s="507"/>
      <c r="K420" s="507"/>
      <c r="L420" s="507"/>
      <c r="M420" s="507"/>
      <c r="N420" s="507"/>
      <c r="O420" s="507"/>
      <c r="P420" s="507"/>
      <c r="Q420" s="507"/>
      <c r="R420" s="507"/>
      <c r="S420" s="507"/>
    </row>
    <row r="421" ht="35.25" customHeight="1">
      <c r="A421" s="18"/>
      <c r="B421" s="547" t="s">
        <v>220</v>
      </c>
      <c r="C421" s="515">
        <v>3.75565E7</v>
      </c>
      <c r="D421" s="18"/>
      <c r="E421" s="701"/>
      <c r="F421" s="507"/>
      <c r="G421" s="507"/>
      <c r="H421" s="507"/>
      <c r="I421" s="507"/>
      <c r="J421" s="507"/>
      <c r="K421" s="507"/>
      <c r="L421" s="507"/>
      <c r="M421" s="507"/>
      <c r="N421" s="507"/>
      <c r="O421" s="507"/>
      <c r="P421" s="507"/>
      <c r="Q421" s="507"/>
      <c r="R421" s="507"/>
      <c r="S421" s="507"/>
    </row>
    <row r="422" ht="35.25" customHeight="1">
      <c r="A422" s="18"/>
      <c r="B422" s="547"/>
      <c r="C422" s="515"/>
      <c r="D422" s="18"/>
      <c r="E422" s="701"/>
      <c r="F422" s="507"/>
      <c r="G422" s="507"/>
      <c r="H422" s="507"/>
      <c r="I422" s="507"/>
      <c r="J422" s="507"/>
      <c r="K422" s="507"/>
      <c r="L422" s="507"/>
      <c r="M422" s="507"/>
      <c r="N422" s="507"/>
      <c r="O422" s="507"/>
      <c r="P422" s="507"/>
      <c r="Q422" s="507"/>
      <c r="R422" s="507"/>
      <c r="S422" s="507"/>
    </row>
    <row r="423" ht="35.25" customHeight="1">
      <c r="A423" s="727" t="s">
        <v>367</v>
      </c>
      <c r="B423" s="673" t="s">
        <v>770</v>
      </c>
      <c r="C423" s="593" t="s">
        <v>684</v>
      </c>
      <c r="D423" s="657">
        <f>SUM(C423:C428)</f>
        <v>336582300</v>
      </c>
      <c r="E423" s="701"/>
      <c r="F423" s="507"/>
      <c r="G423" s="678"/>
      <c r="H423" s="507"/>
      <c r="I423" s="507"/>
      <c r="J423" s="507"/>
      <c r="K423" s="507"/>
      <c r="L423" s="507"/>
      <c r="M423" s="507"/>
      <c r="N423" s="507"/>
      <c r="O423" s="507"/>
      <c r="P423" s="507"/>
      <c r="Q423" s="507"/>
      <c r="R423" s="507"/>
      <c r="S423" s="507"/>
    </row>
    <row r="424" ht="35.25" customHeight="1">
      <c r="A424" s="18"/>
      <c r="B424" s="547" t="s">
        <v>88</v>
      </c>
      <c r="C424" s="593">
        <v>7.60493E7</v>
      </c>
      <c r="D424" s="18"/>
      <c r="E424" s="701"/>
      <c r="F424" s="507"/>
      <c r="G424" s="507"/>
      <c r="H424" s="507"/>
      <c r="I424" s="507"/>
      <c r="J424" s="507"/>
      <c r="K424" s="507"/>
      <c r="L424" s="507"/>
      <c r="M424" s="507"/>
      <c r="N424" s="507"/>
      <c r="O424" s="507"/>
      <c r="P424" s="507"/>
      <c r="Q424" s="507"/>
      <c r="R424" s="507"/>
      <c r="S424" s="507"/>
    </row>
    <row r="425" ht="35.25" customHeight="1">
      <c r="A425" s="18"/>
      <c r="B425" s="547" t="s">
        <v>219</v>
      </c>
      <c r="C425" s="593">
        <v>6.5696E7</v>
      </c>
      <c r="D425" s="18"/>
      <c r="E425" s="701"/>
      <c r="F425" s="507"/>
      <c r="G425" s="507"/>
      <c r="H425" s="507"/>
      <c r="I425" s="507"/>
      <c r="J425" s="507"/>
      <c r="K425" s="507"/>
      <c r="L425" s="507"/>
      <c r="M425" s="507"/>
      <c r="N425" s="507"/>
      <c r="O425" s="507"/>
      <c r="P425" s="507"/>
      <c r="Q425" s="507"/>
      <c r="R425" s="507"/>
      <c r="S425" s="507"/>
    </row>
    <row r="426" ht="35.25" customHeight="1">
      <c r="A426" s="18"/>
      <c r="B426" s="547" t="s">
        <v>89</v>
      </c>
      <c r="C426" s="593">
        <v>6.94055E7</v>
      </c>
      <c r="D426" s="18"/>
      <c r="E426" s="701"/>
      <c r="F426" s="507"/>
      <c r="G426" s="507"/>
      <c r="H426" s="507"/>
      <c r="I426" s="507"/>
      <c r="J426" s="507"/>
      <c r="K426" s="507"/>
      <c r="L426" s="507"/>
      <c r="M426" s="507"/>
      <c r="N426" s="507"/>
      <c r="O426" s="507"/>
      <c r="P426" s="507"/>
      <c r="Q426" s="507"/>
      <c r="R426" s="507"/>
      <c r="S426" s="507"/>
    </row>
    <row r="427" ht="35.25" customHeight="1">
      <c r="A427" s="18"/>
      <c r="B427" s="547" t="s">
        <v>220</v>
      </c>
      <c r="C427" s="593">
        <v>7.81185E7</v>
      </c>
      <c r="D427" s="18"/>
      <c r="E427" s="701"/>
      <c r="F427" s="507"/>
      <c r="G427" s="507"/>
      <c r="H427" s="507"/>
      <c r="I427" s="507"/>
      <c r="J427" s="507"/>
      <c r="K427" s="507"/>
      <c r="L427" s="507"/>
      <c r="M427" s="507"/>
      <c r="N427" s="507"/>
      <c r="O427" s="507"/>
      <c r="P427" s="507"/>
      <c r="Q427" s="507"/>
      <c r="R427" s="507"/>
      <c r="S427" s="507"/>
    </row>
    <row r="428" ht="35.25" customHeight="1">
      <c r="A428" s="18"/>
      <c r="B428" s="547" t="s">
        <v>697</v>
      </c>
      <c r="C428" s="593">
        <v>4.7313E7</v>
      </c>
      <c r="D428" s="18"/>
      <c r="E428" s="701"/>
      <c r="F428" s="507"/>
      <c r="G428" s="507"/>
      <c r="H428" s="507"/>
      <c r="I428" s="507"/>
      <c r="J428" s="507"/>
      <c r="K428" s="507"/>
      <c r="L428" s="507"/>
      <c r="M428" s="507"/>
      <c r="N428" s="507"/>
      <c r="O428" s="507"/>
      <c r="P428" s="507"/>
      <c r="Q428" s="507"/>
      <c r="R428" s="507"/>
      <c r="S428" s="507"/>
    </row>
    <row r="429" ht="35.25" customHeight="1">
      <c r="A429" s="726" t="s">
        <v>205</v>
      </c>
      <c r="B429" s="673" t="s">
        <v>76</v>
      </c>
      <c r="C429" s="593" t="s">
        <v>684</v>
      </c>
      <c r="D429" s="657">
        <f>SUM(C429:C434)</f>
        <v>36515500</v>
      </c>
      <c r="E429" s="701"/>
      <c r="F429" s="507"/>
      <c r="G429" s="507"/>
      <c r="H429" s="507"/>
      <c r="I429" s="507"/>
      <c r="J429" s="507"/>
      <c r="K429" s="507"/>
      <c r="L429" s="507"/>
      <c r="M429" s="507"/>
      <c r="N429" s="507"/>
      <c r="O429" s="507"/>
      <c r="P429" s="507"/>
      <c r="Q429" s="507"/>
      <c r="R429" s="507"/>
      <c r="S429" s="507"/>
    </row>
    <row r="430" ht="35.25" customHeight="1">
      <c r="A430" s="18"/>
      <c r="B430" s="547" t="s">
        <v>699</v>
      </c>
      <c r="D430" s="18"/>
      <c r="E430" s="701"/>
      <c r="F430" s="507"/>
      <c r="G430" s="507"/>
      <c r="H430" s="648"/>
      <c r="I430" s="648"/>
      <c r="J430" s="648"/>
      <c r="K430" s="648"/>
      <c r="L430" s="648"/>
      <c r="M430" s="648"/>
      <c r="N430" s="648"/>
      <c r="O430" s="648"/>
      <c r="P430" s="648"/>
      <c r="Q430" s="648"/>
      <c r="R430" s="648"/>
      <c r="S430" s="648"/>
    </row>
    <row r="431" ht="35.25" customHeight="1">
      <c r="A431" s="18"/>
      <c r="B431" s="547" t="s">
        <v>219</v>
      </c>
      <c r="C431" s="593" t="s">
        <v>684</v>
      </c>
      <c r="D431" s="18"/>
      <c r="E431" s="701" t="s">
        <v>813</v>
      </c>
      <c r="F431" s="507"/>
      <c r="G431" s="507"/>
      <c r="H431" s="648"/>
      <c r="I431" s="648"/>
      <c r="J431" s="648"/>
      <c r="K431" s="648"/>
      <c r="L431" s="648"/>
      <c r="M431" s="648"/>
      <c r="N431" s="648"/>
      <c r="O431" s="648"/>
      <c r="P431" s="648"/>
      <c r="Q431" s="648"/>
      <c r="R431" s="648"/>
      <c r="S431" s="648"/>
    </row>
    <row r="432" ht="35.25" customHeight="1">
      <c r="A432" s="18"/>
      <c r="B432" s="547" t="s">
        <v>89</v>
      </c>
      <c r="C432" s="593" t="s">
        <v>684</v>
      </c>
      <c r="D432" s="18"/>
      <c r="E432" s="701"/>
      <c r="F432" s="507"/>
      <c r="G432" s="507"/>
      <c r="H432" s="648"/>
      <c r="I432" s="648"/>
      <c r="J432" s="648"/>
      <c r="K432" s="648"/>
      <c r="L432" s="648"/>
      <c r="M432" s="648"/>
      <c r="N432" s="648"/>
      <c r="O432" s="648"/>
      <c r="P432" s="648"/>
      <c r="Q432" s="648"/>
      <c r="R432" s="648"/>
      <c r="S432" s="648"/>
    </row>
    <row r="433" ht="35.25" customHeight="1">
      <c r="A433" s="18"/>
      <c r="B433" s="547" t="s">
        <v>220</v>
      </c>
      <c r="C433" s="593" t="s">
        <v>684</v>
      </c>
      <c r="D433" s="18"/>
      <c r="E433" s="701"/>
      <c r="F433" s="507"/>
      <c r="G433" s="507"/>
      <c r="H433" s="648"/>
      <c r="I433" s="648"/>
      <c r="J433" s="648"/>
      <c r="K433" s="648"/>
      <c r="L433" s="648"/>
      <c r="M433" s="648"/>
      <c r="N433" s="648"/>
      <c r="O433" s="648"/>
      <c r="P433" s="648"/>
      <c r="Q433" s="648"/>
      <c r="R433" s="648"/>
      <c r="S433" s="648"/>
    </row>
    <row r="434" ht="35.25" customHeight="1">
      <c r="A434" s="22"/>
      <c r="B434" s="547" t="s">
        <v>697</v>
      </c>
      <c r="C434" s="593">
        <v>3.65155E7</v>
      </c>
      <c r="D434" s="22"/>
      <c r="E434" s="701"/>
      <c r="F434" s="507"/>
      <c r="G434" s="507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</row>
    <row r="435" ht="35.25" customHeight="1">
      <c r="A435" s="727" t="s">
        <v>292</v>
      </c>
      <c r="B435" s="673" t="s">
        <v>770</v>
      </c>
      <c r="C435" s="593" t="s">
        <v>684</v>
      </c>
      <c r="D435" s="728">
        <f>SUM(C438:C440)</f>
        <v>95931500</v>
      </c>
      <c r="E435" s="701"/>
      <c r="F435" s="507"/>
      <c r="G435" s="507"/>
      <c r="H435" s="507"/>
      <c r="I435" s="507"/>
      <c r="J435" s="507"/>
      <c r="K435" s="507"/>
      <c r="L435" s="507"/>
      <c r="M435" s="507"/>
      <c r="N435" s="507"/>
      <c r="O435" s="507"/>
      <c r="P435" s="507"/>
      <c r="Q435" s="507"/>
      <c r="R435" s="507"/>
      <c r="S435" s="507"/>
    </row>
    <row r="436" ht="35.25" customHeight="1">
      <c r="A436" s="18"/>
      <c r="B436" s="547" t="s">
        <v>88</v>
      </c>
      <c r="C436" s="593" t="s">
        <v>684</v>
      </c>
      <c r="D436" s="18"/>
      <c r="E436" s="701"/>
      <c r="F436" s="507"/>
      <c r="G436" s="507"/>
      <c r="H436" s="507"/>
      <c r="I436" s="507"/>
      <c r="J436" s="507"/>
      <c r="K436" s="507"/>
      <c r="L436" s="507"/>
      <c r="M436" s="507"/>
      <c r="N436" s="507"/>
      <c r="O436" s="507"/>
      <c r="P436" s="507"/>
      <c r="Q436" s="507"/>
      <c r="R436" s="507"/>
      <c r="S436" s="507"/>
    </row>
    <row r="437" ht="35.25" customHeight="1">
      <c r="A437" s="18"/>
      <c r="B437" s="547" t="s">
        <v>219</v>
      </c>
      <c r="C437" s="593" t="s">
        <v>684</v>
      </c>
      <c r="D437" s="18"/>
      <c r="E437" s="701" t="s">
        <v>815</v>
      </c>
      <c r="F437" s="507"/>
      <c r="G437" s="507"/>
      <c r="H437" s="507"/>
      <c r="I437" s="507"/>
      <c r="J437" s="507"/>
      <c r="K437" s="507"/>
      <c r="L437" s="507"/>
      <c r="M437" s="507"/>
      <c r="N437" s="507"/>
      <c r="O437" s="507"/>
      <c r="P437" s="507"/>
      <c r="Q437" s="507"/>
      <c r="R437" s="507"/>
      <c r="S437" s="507"/>
    </row>
    <row r="438" ht="35.25" customHeight="1">
      <c r="A438" s="18"/>
      <c r="B438" s="547" t="s">
        <v>89</v>
      </c>
      <c r="C438" s="593" t="s">
        <v>684</v>
      </c>
      <c r="D438" s="18"/>
      <c r="E438" s="701"/>
      <c r="F438" s="507"/>
      <c r="G438" s="507"/>
      <c r="H438" s="507"/>
      <c r="I438" s="507"/>
      <c r="J438" s="507"/>
      <c r="K438" s="507"/>
      <c r="L438" s="507"/>
      <c r="M438" s="507"/>
      <c r="N438" s="507"/>
      <c r="O438" s="507"/>
      <c r="P438" s="507"/>
      <c r="Q438" s="507"/>
      <c r="R438" s="507"/>
      <c r="S438" s="507"/>
    </row>
    <row r="439" ht="35.25" customHeight="1">
      <c r="A439" s="18"/>
      <c r="B439" s="547" t="s">
        <v>220</v>
      </c>
      <c r="C439" s="593">
        <v>4.5218E7</v>
      </c>
      <c r="D439" s="18"/>
      <c r="E439" s="701"/>
      <c r="F439" s="507"/>
      <c r="G439" s="507"/>
      <c r="H439" s="507"/>
      <c r="I439" s="507"/>
      <c r="J439" s="507"/>
      <c r="K439" s="507"/>
      <c r="L439" s="507"/>
      <c r="M439" s="507"/>
      <c r="N439" s="507"/>
      <c r="O439" s="507"/>
      <c r="P439" s="507"/>
      <c r="Q439" s="507"/>
      <c r="R439" s="507"/>
      <c r="S439" s="507"/>
    </row>
    <row r="440" ht="35.25" customHeight="1">
      <c r="A440" s="22"/>
      <c r="B440" s="547" t="s">
        <v>912</v>
      </c>
      <c r="C440" s="593">
        <v>5.07135E7</v>
      </c>
      <c r="D440" s="22"/>
      <c r="E440" s="701"/>
      <c r="F440" s="507"/>
      <c r="G440" s="507"/>
      <c r="H440" s="507"/>
      <c r="I440" s="507"/>
      <c r="J440" s="507"/>
      <c r="K440" s="507"/>
      <c r="L440" s="507"/>
      <c r="M440" s="507"/>
      <c r="N440" s="507"/>
      <c r="O440" s="507"/>
      <c r="P440" s="507"/>
      <c r="Q440" s="507"/>
      <c r="R440" s="507"/>
      <c r="S440" s="507"/>
    </row>
    <row r="441" ht="35.25" customHeight="1">
      <c r="A441" s="727" t="s">
        <v>296</v>
      </c>
      <c r="B441" s="673" t="s">
        <v>770</v>
      </c>
      <c r="C441" s="593" t="s">
        <v>684</v>
      </c>
      <c r="D441" s="728">
        <f>SUM(C445:C446)</f>
        <v>74893000</v>
      </c>
      <c r="E441" s="701"/>
      <c r="F441" s="507"/>
      <c r="G441" s="507"/>
      <c r="H441" s="507"/>
      <c r="I441" s="507"/>
      <c r="J441" s="507"/>
      <c r="K441" s="507"/>
      <c r="L441" s="507"/>
      <c r="M441" s="507"/>
      <c r="N441" s="507"/>
      <c r="O441" s="507"/>
      <c r="P441" s="507"/>
      <c r="Q441" s="507"/>
      <c r="R441" s="507"/>
      <c r="S441" s="507"/>
    </row>
    <row r="442" ht="35.25" customHeight="1">
      <c r="A442" s="18"/>
      <c r="B442" s="547" t="s">
        <v>88</v>
      </c>
      <c r="D442" s="18"/>
      <c r="E442" s="701"/>
      <c r="F442" s="507"/>
      <c r="G442" s="507"/>
      <c r="H442" s="507"/>
      <c r="I442" s="507"/>
      <c r="J442" s="507"/>
      <c r="K442" s="507"/>
      <c r="L442" s="507"/>
      <c r="M442" s="507"/>
      <c r="N442" s="507"/>
      <c r="O442" s="507"/>
      <c r="P442" s="507"/>
      <c r="Q442" s="507"/>
      <c r="R442" s="507"/>
      <c r="S442" s="507"/>
    </row>
    <row r="443" ht="35.25" customHeight="1">
      <c r="A443" s="18"/>
      <c r="B443" s="547" t="s">
        <v>219</v>
      </c>
      <c r="C443" s="593" t="s">
        <v>684</v>
      </c>
      <c r="D443" s="18"/>
      <c r="E443" s="701" t="s">
        <v>816</v>
      </c>
      <c r="F443" s="507"/>
      <c r="G443" s="507"/>
      <c r="H443" s="507"/>
      <c r="I443" s="507"/>
      <c r="J443" s="507"/>
      <c r="K443" s="507"/>
      <c r="L443" s="507"/>
      <c r="M443" s="507"/>
      <c r="N443" s="507"/>
      <c r="O443" s="507"/>
      <c r="P443" s="507"/>
      <c r="Q443" s="507"/>
      <c r="R443" s="507"/>
      <c r="S443" s="507"/>
    </row>
    <row r="444" ht="35.25" customHeight="1">
      <c r="A444" s="18"/>
      <c r="B444" s="547" t="s">
        <v>89</v>
      </c>
      <c r="C444" s="593" t="s">
        <v>684</v>
      </c>
      <c r="D444" s="18"/>
      <c r="E444" s="701"/>
      <c r="F444" s="507"/>
      <c r="G444" s="507"/>
      <c r="H444" s="507"/>
      <c r="I444" s="507"/>
      <c r="J444" s="507"/>
      <c r="K444" s="507"/>
      <c r="L444" s="507"/>
      <c r="M444" s="507"/>
      <c r="N444" s="507"/>
      <c r="O444" s="507"/>
      <c r="P444" s="507"/>
      <c r="Q444" s="507"/>
      <c r="R444" s="507"/>
      <c r="S444" s="507"/>
    </row>
    <row r="445" ht="35.25" customHeight="1">
      <c r="A445" s="18"/>
      <c r="B445" s="547" t="s">
        <v>220</v>
      </c>
      <c r="C445" s="593">
        <f>35948000-90000</f>
        <v>35858000</v>
      </c>
      <c r="D445" s="18"/>
      <c r="E445" s="701"/>
      <c r="F445" s="507"/>
      <c r="G445" s="507"/>
      <c r="H445" s="507"/>
      <c r="I445" s="507"/>
      <c r="J445" s="507"/>
      <c r="K445" s="507"/>
      <c r="L445" s="507"/>
      <c r="M445" s="507"/>
      <c r="N445" s="507"/>
      <c r="O445" s="507"/>
      <c r="P445" s="507"/>
      <c r="Q445" s="507"/>
      <c r="R445" s="507"/>
      <c r="S445" s="507"/>
    </row>
    <row r="446" ht="35.25" customHeight="1">
      <c r="A446" s="22"/>
      <c r="B446" s="547" t="s">
        <v>912</v>
      </c>
      <c r="C446" s="593">
        <v>3.9035E7</v>
      </c>
      <c r="D446" s="22"/>
      <c r="E446" s="701"/>
      <c r="F446" s="507"/>
      <c r="G446" s="507"/>
      <c r="H446" s="507"/>
      <c r="I446" s="507"/>
      <c r="J446" s="507"/>
      <c r="K446" s="507"/>
      <c r="L446" s="507"/>
      <c r="M446" s="507"/>
      <c r="N446" s="507"/>
      <c r="O446" s="507"/>
      <c r="P446" s="507"/>
      <c r="Q446" s="507"/>
      <c r="R446" s="507"/>
      <c r="S446" s="507"/>
    </row>
    <row r="447" ht="35.25" customHeight="1">
      <c r="A447" s="727" t="s">
        <v>207</v>
      </c>
      <c r="B447" s="547" t="s">
        <v>88</v>
      </c>
      <c r="C447" s="593"/>
      <c r="D447" s="728">
        <f>SUM(C451)</f>
        <v>15632000</v>
      </c>
      <c r="E447" s="701"/>
      <c r="F447" s="507"/>
      <c r="G447" s="507"/>
      <c r="H447" s="507"/>
      <c r="I447" s="507"/>
      <c r="J447" s="507"/>
      <c r="K447" s="507"/>
      <c r="L447" s="507"/>
      <c r="M447" s="507"/>
      <c r="N447" s="507"/>
      <c r="O447" s="507"/>
      <c r="P447" s="507"/>
      <c r="Q447" s="507"/>
      <c r="R447" s="507"/>
      <c r="S447" s="507"/>
    </row>
    <row r="448" ht="35.25" customHeight="1">
      <c r="A448" s="18"/>
      <c r="B448" s="547" t="s">
        <v>219</v>
      </c>
      <c r="C448" s="593"/>
      <c r="D448" s="18"/>
      <c r="E448" s="701" t="s">
        <v>819</v>
      </c>
      <c r="F448" s="507"/>
      <c r="G448" s="507"/>
      <c r="H448" s="507"/>
      <c r="I448" s="507"/>
      <c r="J448" s="507"/>
      <c r="K448" s="507"/>
      <c r="L448" s="507"/>
      <c r="M448" s="507"/>
      <c r="N448" s="507"/>
      <c r="O448" s="507"/>
      <c r="P448" s="507"/>
      <c r="Q448" s="507"/>
      <c r="R448" s="507"/>
      <c r="S448" s="507"/>
    </row>
    <row r="449" ht="35.25" customHeight="1">
      <c r="A449" s="18"/>
      <c r="B449" s="547" t="s">
        <v>89</v>
      </c>
      <c r="C449" s="593" t="s">
        <v>681</v>
      </c>
      <c r="D449" s="18"/>
      <c r="E449" s="701"/>
      <c r="F449" s="507"/>
      <c r="G449" s="507"/>
      <c r="H449" s="507"/>
      <c r="I449" s="507"/>
      <c r="J449" s="507"/>
      <c r="K449" s="507"/>
      <c r="L449" s="507"/>
      <c r="M449" s="507"/>
      <c r="N449" s="507"/>
      <c r="O449" s="507"/>
      <c r="P449" s="507"/>
      <c r="Q449" s="507"/>
      <c r="R449" s="507"/>
      <c r="S449" s="507"/>
    </row>
    <row r="450" ht="35.25" customHeight="1">
      <c r="A450" s="18"/>
      <c r="B450" s="547" t="s">
        <v>220</v>
      </c>
      <c r="C450" s="593" t="s">
        <v>681</v>
      </c>
      <c r="D450" s="18"/>
      <c r="E450" s="701"/>
      <c r="F450" s="507"/>
      <c r="G450" s="507"/>
      <c r="H450" s="507"/>
      <c r="I450" s="507"/>
      <c r="J450" s="507"/>
      <c r="K450" s="507"/>
      <c r="L450" s="507"/>
      <c r="M450" s="507"/>
      <c r="N450" s="507"/>
      <c r="O450" s="507"/>
      <c r="P450" s="507"/>
      <c r="Q450" s="507"/>
      <c r="R450" s="507"/>
      <c r="S450" s="507"/>
    </row>
    <row r="451" ht="35.25" customHeight="1">
      <c r="A451" s="22"/>
      <c r="B451" s="547" t="s">
        <v>912</v>
      </c>
      <c r="C451" s="593">
        <v>1.5632E7</v>
      </c>
      <c r="D451" s="22"/>
      <c r="E451" s="701"/>
      <c r="F451" s="507"/>
      <c r="G451" s="507"/>
      <c r="H451" s="507"/>
      <c r="I451" s="507"/>
      <c r="J451" s="507"/>
      <c r="K451" s="507"/>
      <c r="L451" s="507"/>
      <c r="M451" s="507"/>
      <c r="N451" s="507"/>
      <c r="O451" s="507"/>
      <c r="P451" s="507"/>
      <c r="Q451" s="507"/>
      <c r="R451" s="507"/>
      <c r="S451" s="507"/>
    </row>
    <row r="452" ht="35.25" customHeight="1">
      <c r="A452" s="727" t="s">
        <v>302</v>
      </c>
      <c r="B452" s="547" t="s">
        <v>908</v>
      </c>
      <c r="C452" s="593">
        <v>3.2569E7</v>
      </c>
      <c r="D452" s="728">
        <f>SUM(C452:C456)</f>
        <v>101926500</v>
      </c>
      <c r="E452" s="701"/>
      <c r="F452" s="507"/>
      <c r="G452" s="507"/>
      <c r="H452" s="507"/>
      <c r="I452" s="507"/>
      <c r="J452" s="507"/>
      <c r="K452" s="507"/>
      <c r="L452" s="507"/>
      <c r="M452" s="507"/>
      <c r="N452" s="507"/>
      <c r="O452" s="507"/>
      <c r="P452" s="507"/>
      <c r="Q452" s="507"/>
      <c r="R452" s="507"/>
      <c r="S452" s="507"/>
    </row>
    <row r="453" ht="35.25" customHeight="1">
      <c r="A453" s="18"/>
      <c r="B453" s="547" t="s">
        <v>909</v>
      </c>
      <c r="C453" s="593">
        <v>1.8685E7</v>
      </c>
      <c r="D453" s="18"/>
      <c r="E453" s="701" t="s">
        <v>917</v>
      </c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</row>
    <row r="454" ht="35.25" customHeight="1">
      <c r="A454" s="18"/>
      <c r="B454" s="547" t="s">
        <v>910</v>
      </c>
      <c r="C454" s="593">
        <v>1.7904E7</v>
      </c>
      <c r="D454" s="18"/>
      <c r="E454" s="701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</row>
    <row r="455" ht="35.25" customHeight="1">
      <c r="A455" s="18"/>
      <c r="B455" s="547" t="s">
        <v>911</v>
      </c>
      <c r="C455" s="593">
        <v>3.27685E7</v>
      </c>
      <c r="D455" s="18"/>
      <c r="E455" s="525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</row>
    <row r="456" ht="35.25" customHeight="1">
      <c r="A456" s="18"/>
      <c r="B456" s="547" t="s">
        <v>912</v>
      </c>
      <c r="C456" s="710">
        <v>0.0</v>
      </c>
      <c r="D456" s="18"/>
      <c r="E456" s="525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</row>
    <row r="457" ht="35.25" customHeight="1">
      <c r="A457" s="18"/>
      <c r="B457" s="157"/>
      <c r="C457" s="157"/>
      <c r="D457" s="18"/>
      <c r="E457" s="525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</row>
    <row r="458" ht="35.25" customHeight="1">
      <c r="A458" s="22"/>
      <c r="B458" s="157"/>
      <c r="C458" s="157"/>
      <c r="D458" s="22"/>
      <c r="E458" s="525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</row>
    <row r="459" ht="35.25" customHeight="1">
      <c r="A459" s="726" t="s">
        <v>215</v>
      </c>
      <c r="B459" s="547"/>
      <c r="C459" s="593"/>
      <c r="D459" s="728">
        <f>SUM(C459:C464)</f>
        <v>17498500</v>
      </c>
      <c r="E459" s="556" t="s">
        <v>918</v>
      </c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</row>
    <row r="460" ht="35.25" customHeight="1">
      <c r="A460" s="18"/>
      <c r="B460" s="547" t="s">
        <v>38</v>
      </c>
      <c r="C460" s="593">
        <v>4438000.0</v>
      </c>
      <c r="D460" s="18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</row>
    <row r="461" ht="35.25" customHeight="1">
      <c r="A461" s="18"/>
      <c r="B461" s="547" t="s">
        <v>911</v>
      </c>
      <c r="C461" s="593">
        <v>2709000.0</v>
      </c>
      <c r="D461" s="18"/>
      <c r="E461" s="644" t="s">
        <v>820</v>
      </c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</row>
    <row r="462" ht="35.25" customHeight="1">
      <c r="A462" s="18"/>
      <c r="B462" s="547" t="s">
        <v>912</v>
      </c>
      <c r="C462" s="593">
        <v>1.03515E7</v>
      </c>
      <c r="D462" s="18"/>
      <c r="E462" s="556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</row>
    <row r="463" ht="35.25" customHeight="1">
      <c r="A463" s="18"/>
      <c r="D463" s="18"/>
      <c r="E463" s="556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</row>
    <row r="464" ht="35.25" customHeight="1">
      <c r="A464" s="22"/>
      <c r="D464" s="22"/>
      <c r="E464" s="556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</row>
    <row r="465" ht="35.25" customHeight="1">
      <c r="A465" s="727" t="s">
        <v>216</v>
      </c>
      <c r="B465" s="547" t="s">
        <v>910</v>
      </c>
      <c r="C465" s="631" t="s">
        <v>684</v>
      </c>
      <c r="D465" s="728">
        <f>SUM(C466:C467)</f>
        <v>103478500</v>
      </c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</row>
    <row r="466" ht="35.25" customHeight="1">
      <c r="A466" s="18"/>
      <c r="B466" s="547" t="s">
        <v>911</v>
      </c>
      <c r="C466" s="631">
        <v>5.03445E7</v>
      </c>
      <c r="D466" s="18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</row>
    <row r="467" ht="35.25" customHeight="1">
      <c r="A467" s="18"/>
      <c r="B467" s="547" t="s">
        <v>912</v>
      </c>
      <c r="C467" s="631">
        <v>5.3134E7</v>
      </c>
      <c r="D467" s="18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</row>
    <row r="468" ht="35.25" customHeight="1">
      <c r="A468" s="22"/>
      <c r="D468" s="22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</row>
    <row r="469" ht="35.25" customHeight="1">
      <c r="A469" s="727" t="s">
        <v>510</v>
      </c>
      <c r="B469" s="547" t="s">
        <v>910</v>
      </c>
      <c r="C469" s="593" t="s">
        <v>684</v>
      </c>
      <c r="D469" s="728">
        <f>SUM(C470:C471)</f>
        <v>52406000</v>
      </c>
      <c r="E469" s="662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</row>
    <row r="470" ht="35.25" customHeight="1">
      <c r="A470" s="18"/>
      <c r="B470" s="547" t="s">
        <v>911</v>
      </c>
      <c r="C470" s="593">
        <v>2.1315E7</v>
      </c>
      <c r="D470" s="18"/>
      <c r="E470" s="556" t="s">
        <v>919</v>
      </c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</row>
    <row r="471" ht="35.25" customHeight="1">
      <c r="A471" s="18"/>
      <c r="B471" s="547" t="s">
        <v>912</v>
      </c>
      <c r="C471" s="593">
        <v>3.1091E7</v>
      </c>
      <c r="D471" s="18"/>
      <c r="E471" s="556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</row>
    <row r="472" ht="35.25" customHeight="1">
      <c r="A472" s="22"/>
      <c r="D472" s="22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</row>
    <row r="473" ht="35.25" customHeight="1">
      <c r="A473" s="727" t="s">
        <v>513</v>
      </c>
      <c r="B473" s="547" t="s">
        <v>908</v>
      </c>
      <c r="C473" s="593">
        <v>6.35002E7</v>
      </c>
      <c r="D473" s="729">
        <f>SUM(C473:C477)</f>
        <v>284857800</v>
      </c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</row>
    <row r="474" ht="35.25" customHeight="1">
      <c r="A474" s="18"/>
      <c r="B474" s="547" t="s">
        <v>909</v>
      </c>
      <c r="C474" s="593">
        <v>6.45075E7</v>
      </c>
      <c r="D474" s="18"/>
      <c r="E474" s="556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</row>
    <row r="475" ht="35.25" customHeight="1">
      <c r="A475" s="18"/>
      <c r="B475" s="547" t="s">
        <v>910</v>
      </c>
      <c r="C475" s="593">
        <v>4.79603E7</v>
      </c>
      <c r="D475" s="18"/>
      <c r="E475" s="662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</row>
    <row r="476" ht="35.25" customHeight="1">
      <c r="A476" s="18"/>
      <c r="B476" s="547" t="s">
        <v>911</v>
      </c>
      <c r="C476" s="593">
        <v>6.23428E7</v>
      </c>
      <c r="D476" s="18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</row>
    <row r="477" ht="35.25" customHeight="1">
      <c r="A477" s="22"/>
      <c r="B477" s="547" t="s">
        <v>912</v>
      </c>
      <c r="C477" s="593">
        <v>4.6547E7</v>
      </c>
      <c r="D477" s="22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</row>
    <row r="478" ht="35.25" customHeight="1">
      <c r="A478" s="679" t="s">
        <v>634</v>
      </c>
      <c r="B478" s="547" t="s">
        <v>88</v>
      </c>
      <c r="C478" s="593">
        <v>1.7568E7</v>
      </c>
      <c r="D478" s="680">
        <f>SUM(C478:C481)</f>
        <v>85234500</v>
      </c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</row>
    <row r="479" ht="35.25" customHeight="1">
      <c r="A479" s="18"/>
      <c r="B479" s="547" t="s">
        <v>219</v>
      </c>
      <c r="C479" s="593">
        <v>2.3982E7</v>
      </c>
      <c r="D479" s="18"/>
      <c r="E479" s="556" t="s">
        <v>920</v>
      </c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</row>
    <row r="480" ht="35.25" customHeight="1">
      <c r="A480" s="18"/>
      <c r="B480" s="547" t="s">
        <v>89</v>
      </c>
      <c r="C480" s="593">
        <v>1.6218E7</v>
      </c>
      <c r="D480" s="18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</row>
    <row r="481" ht="35.25" customHeight="1">
      <c r="A481" s="22"/>
      <c r="B481" s="547" t="s">
        <v>220</v>
      </c>
      <c r="C481" s="593">
        <v>2.74665E7</v>
      </c>
      <c r="D481" s="22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</row>
    <row r="482" ht="35.25" customHeight="1">
      <c r="A482" s="679" t="s">
        <v>635</v>
      </c>
      <c r="B482" s="547" t="s">
        <v>770</v>
      </c>
      <c r="C482" s="593">
        <v>1.556E7</v>
      </c>
      <c r="D482" s="680">
        <f>SUM(C482:C485)</f>
        <v>73400500</v>
      </c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</row>
    <row r="483" ht="35.25" customHeight="1">
      <c r="A483" s="18"/>
      <c r="B483" s="547" t="s">
        <v>219</v>
      </c>
      <c r="C483" s="593">
        <v>9240000.0</v>
      </c>
      <c r="D483" s="18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</row>
    <row r="484" ht="35.25" customHeight="1">
      <c r="A484" s="18"/>
      <c r="B484" s="547" t="s">
        <v>89</v>
      </c>
      <c r="C484" s="593">
        <v>8692000.0</v>
      </c>
      <c r="D484" s="18"/>
      <c r="E484" s="556" t="s">
        <v>921</v>
      </c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</row>
    <row r="485" ht="35.25" customHeight="1">
      <c r="A485" s="22"/>
      <c r="B485" s="547" t="s">
        <v>220</v>
      </c>
      <c r="C485" s="593">
        <v>3.99085E7</v>
      </c>
      <c r="D485" s="22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</row>
    <row r="486" ht="35.25" customHeight="1">
      <c r="A486" s="679" t="s">
        <v>636</v>
      </c>
      <c r="B486" s="547" t="s">
        <v>922</v>
      </c>
      <c r="C486" s="593">
        <v>0.0</v>
      </c>
      <c r="D486" s="680">
        <f>SUM(C486:C489)</f>
        <v>18205500</v>
      </c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</row>
    <row r="487" ht="35.25" customHeight="1">
      <c r="A487" s="18"/>
      <c r="B487" s="547" t="s">
        <v>923</v>
      </c>
      <c r="C487" s="593">
        <v>0.0</v>
      </c>
      <c r="D487" s="18"/>
      <c r="E487" s="556" t="s">
        <v>924</v>
      </c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</row>
    <row r="488" ht="35.25" customHeight="1">
      <c r="A488" s="18"/>
      <c r="B488" s="547" t="s">
        <v>867</v>
      </c>
      <c r="C488" s="593">
        <v>0.0</v>
      </c>
      <c r="D488" s="18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</row>
    <row r="489" ht="35.25" customHeight="1">
      <c r="A489" s="22"/>
      <c r="B489" s="547" t="s">
        <v>925</v>
      </c>
      <c r="C489" s="593">
        <v>1.82055E7</v>
      </c>
      <c r="D489" s="22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</row>
    <row r="490" ht="35.25" customHeight="1">
      <c r="A490" s="679" t="s">
        <v>643</v>
      </c>
      <c r="B490" s="547" t="s">
        <v>88</v>
      </c>
      <c r="C490" s="598">
        <f>20649000-45000</f>
        <v>20604000</v>
      </c>
      <c r="D490" s="680">
        <f>SUM(C490:C494)</f>
        <v>146089500</v>
      </c>
      <c r="E490" s="556"/>
      <c r="F490" s="507"/>
      <c r="G490" s="507"/>
      <c r="H490" s="507"/>
      <c r="I490" s="507"/>
      <c r="J490" s="507"/>
      <c r="K490" s="507"/>
      <c r="L490" s="507"/>
      <c r="M490" s="507"/>
      <c r="N490" s="507"/>
      <c r="O490" s="507"/>
      <c r="P490" s="507"/>
      <c r="Q490" s="507"/>
      <c r="R490" s="507"/>
      <c r="S490" s="507"/>
    </row>
    <row r="491" ht="35.25" customHeight="1">
      <c r="A491" s="18"/>
      <c r="B491" s="547" t="s">
        <v>219</v>
      </c>
      <c r="C491" s="598">
        <v>3.22415E7</v>
      </c>
      <c r="D491" s="18"/>
      <c r="E491" s="556" t="s">
        <v>926</v>
      </c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</row>
    <row r="492" ht="35.25" customHeight="1">
      <c r="A492" s="18"/>
      <c r="B492" s="547" t="s">
        <v>89</v>
      </c>
      <c r="C492" s="598">
        <v>3.31025E7</v>
      </c>
      <c r="D492" s="18"/>
      <c r="E492" s="556"/>
      <c r="F492" s="507"/>
      <c r="G492" s="507"/>
      <c r="H492" s="507"/>
      <c r="I492" s="507"/>
      <c r="J492" s="507"/>
      <c r="K492" s="507"/>
      <c r="L492" s="507"/>
      <c r="M492" s="507"/>
      <c r="N492" s="507"/>
      <c r="O492" s="507"/>
      <c r="P492" s="507"/>
      <c r="Q492" s="507"/>
      <c r="R492" s="507"/>
      <c r="S492" s="507"/>
    </row>
    <row r="493" ht="35.25" customHeight="1">
      <c r="A493" s="18"/>
      <c r="B493" s="547" t="s">
        <v>220</v>
      </c>
      <c r="C493" s="598">
        <f>28341000-45000</f>
        <v>28296000</v>
      </c>
      <c r="D493" s="18"/>
      <c r="E493" s="556"/>
      <c r="F493" s="507"/>
      <c r="G493" s="507"/>
      <c r="H493" s="507"/>
      <c r="I493" s="507"/>
      <c r="J493" s="507"/>
      <c r="K493" s="507"/>
      <c r="L493" s="507"/>
      <c r="M493" s="507"/>
      <c r="N493" s="507"/>
      <c r="O493" s="507"/>
      <c r="P493" s="507"/>
      <c r="Q493" s="507"/>
      <c r="R493" s="507"/>
      <c r="S493" s="507"/>
    </row>
    <row r="494" ht="35.25" customHeight="1">
      <c r="A494" s="22"/>
      <c r="B494" s="547" t="s">
        <v>697</v>
      </c>
      <c r="C494" s="598">
        <v>3.18455E7</v>
      </c>
      <c r="D494" s="22"/>
      <c r="E494" s="556"/>
      <c r="F494" s="507"/>
      <c r="G494" s="507"/>
      <c r="H494" s="507"/>
      <c r="I494" s="507"/>
      <c r="J494" s="507"/>
      <c r="K494" s="507"/>
      <c r="L494" s="507"/>
      <c r="M494" s="507"/>
      <c r="N494" s="507"/>
      <c r="O494" s="507"/>
      <c r="P494" s="507"/>
      <c r="Q494" s="507"/>
      <c r="R494" s="507"/>
      <c r="S494" s="507"/>
    </row>
    <row r="495" ht="35.25" customHeight="1">
      <c r="A495" s="679" t="s">
        <v>60</v>
      </c>
      <c r="B495" s="547" t="s">
        <v>88</v>
      </c>
      <c r="C495" s="593" t="s">
        <v>7</v>
      </c>
      <c r="D495" s="680">
        <f>sum(C495:C499)</f>
        <v>55687500</v>
      </c>
      <c r="E495" s="556"/>
      <c r="F495" s="507"/>
      <c r="G495" s="507"/>
      <c r="H495" s="507"/>
      <c r="I495" s="507"/>
      <c r="J495" s="507"/>
      <c r="K495" s="507"/>
      <c r="L495" s="507"/>
      <c r="M495" s="507"/>
      <c r="N495" s="507"/>
      <c r="O495" s="507"/>
      <c r="P495" s="507"/>
      <c r="Q495" s="507"/>
      <c r="R495" s="507"/>
      <c r="S495" s="507"/>
    </row>
    <row r="496" ht="35.25" customHeight="1">
      <c r="A496" s="18"/>
      <c r="B496" s="547" t="s">
        <v>219</v>
      </c>
      <c r="C496" s="593" t="s">
        <v>7</v>
      </c>
      <c r="D496" s="18"/>
      <c r="E496" s="556"/>
      <c r="F496" s="507"/>
      <c r="G496" s="507"/>
      <c r="H496" s="507"/>
      <c r="I496" s="507"/>
      <c r="J496" s="507"/>
      <c r="K496" s="507"/>
      <c r="L496" s="507"/>
      <c r="M496" s="507"/>
      <c r="N496" s="507"/>
      <c r="O496" s="507"/>
      <c r="P496" s="507"/>
      <c r="Q496" s="507"/>
      <c r="R496" s="507"/>
      <c r="S496" s="507"/>
    </row>
    <row r="497" ht="35.25" customHeight="1">
      <c r="A497" s="18"/>
      <c r="B497" s="547" t="s">
        <v>89</v>
      </c>
      <c r="C497" s="593" t="s">
        <v>7</v>
      </c>
      <c r="D497" s="18"/>
      <c r="E497" s="556" t="s">
        <v>927</v>
      </c>
      <c r="F497" s="507"/>
      <c r="G497" s="507"/>
      <c r="H497" s="507"/>
      <c r="I497" s="507"/>
      <c r="J497" s="507"/>
      <c r="K497" s="507"/>
      <c r="L497" s="507"/>
      <c r="M497" s="507"/>
      <c r="N497" s="507"/>
      <c r="O497" s="507"/>
      <c r="P497" s="507"/>
      <c r="Q497" s="507"/>
      <c r="R497" s="507"/>
      <c r="S497" s="507"/>
    </row>
    <row r="498" ht="35.25" customHeight="1">
      <c r="A498" s="18"/>
      <c r="B498" s="547" t="s">
        <v>220</v>
      </c>
      <c r="C498" s="593" t="s">
        <v>7</v>
      </c>
      <c r="D498" s="18"/>
      <c r="E498" s="556"/>
      <c r="F498" s="507"/>
      <c r="G498" s="507"/>
      <c r="H498" s="507"/>
      <c r="I498" s="507"/>
      <c r="J498" s="507"/>
      <c r="K498" s="507"/>
      <c r="L498" s="507"/>
      <c r="M498" s="507"/>
      <c r="N498" s="507"/>
      <c r="O498" s="507"/>
      <c r="P498" s="507"/>
      <c r="Q498" s="507"/>
      <c r="R498" s="507"/>
      <c r="S498" s="507"/>
    </row>
    <row r="499" ht="35.25" customHeight="1">
      <c r="A499" s="22"/>
      <c r="B499" s="547" t="s">
        <v>697</v>
      </c>
      <c r="C499" s="593">
        <v>5.56875E7</v>
      </c>
      <c r="D499" s="22"/>
      <c r="E499" s="556"/>
      <c r="F499" s="507"/>
      <c r="G499" s="507"/>
      <c r="H499" s="507"/>
      <c r="I499" s="507"/>
      <c r="J499" s="507"/>
      <c r="K499" s="507"/>
      <c r="L499" s="507"/>
      <c r="M499" s="507"/>
      <c r="N499" s="507"/>
      <c r="O499" s="507"/>
      <c r="P499" s="507"/>
      <c r="Q499" s="507"/>
      <c r="R499" s="507"/>
      <c r="S499" s="507"/>
    </row>
    <row r="500" ht="35.25" customHeight="1">
      <c r="A500" s="679" t="s">
        <v>714</v>
      </c>
      <c r="B500" s="547" t="s">
        <v>770</v>
      </c>
      <c r="C500" s="598">
        <v>2040500.0</v>
      </c>
      <c r="D500" s="680">
        <f>SUM(C500:C503)</f>
        <v>21789500</v>
      </c>
      <c r="E500" s="556"/>
      <c r="F500" s="507"/>
      <c r="G500" s="507"/>
      <c r="H500" s="507"/>
      <c r="I500" s="507"/>
      <c r="J500" s="507"/>
      <c r="K500" s="507"/>
      <c r="L500" s="507"/>
      <c r="M500" s="507"/>
      <c r="N500" s="507"/>
      <c r="O500" s="507"/>
      <c r="P500" s="507"/>
      <c r="Q500" s="507"/>
      <c r="R500" s="507"/>
      <c r="S500" s="507"/>
    </row>
    <row r="501" ht="35.25" customHeight="1">
      <c r="A501" s="18"/>
      <c r="B501" s="547" t="s">
        <v>697</v>
      </c>
      <c r="C501" s="593">
        <f>19905000-36000-120000</f>
        <v>19749000</v>
      </c>
      <c r="D501" s="18"/>
      <c r="E501" s="556" t="s">
        <v>928</v>
      </c>
      <c r="F501" s="507"/>
      <c r="G501" s="507"/>
      <c r="H501" s="507"/>
      <c r="I501" s="507"/>
      <c r="J501" s="507"/>
      <c r="K501" s="507"/>
      <c r="L501" s="507"/>
      <c r="M501" s="507"/>
      <c r="N501" s="507"/>
      <c r="O501" s="507"/>
      <c r="P501" s="507"/>
      <c r="Q501" s="507"/>
      <c r="R501" s="507"/>
      <c r="S501" s="507"/>
    </row>
    <row r="502" ht="35.25" customHeight="1">
      <c r="A502" s="18"/>
      <c r="B502" s="547"/>
      <c r="C502" s="593"/>
      <c r="D502" s="18"/>
      <c r="E502" s="556"/>
      <c r="F502" s="507"/>
      <c r="G502" s="507"/>
      <c r="H502" s="507"/>
      <c r="I502" s="507"/>
      <c r="J502" s="507"/>
      <c r="K502" s="507"/>
      <c r="L502" s="507"/>
      <c r="M502" s="507"/>
      <c r="N502" s="507"/>
      <c r="O502" s="507"/>
      <c r="P502" s="507"/>
      <c r="Q502" s="507"/>
      <c r="R502" s="507"/>
      <c r="S502" s="507"/>
    </row>
    <row r="503" ht="35.25" customHeight="1">
      <c r="A503" s="22"/>
      <c r="B503" s="547"/>
      <c r="C503" s="593"/>
      <c r="D503" s="22"/>
      <c r="E503" s="556"/>
      <c r="F503" s="507"/>
      <c r="G503" s="507"/>
      <c r="H503" s="507"/>
      <c r="I503" s="507"/>
      <c r="J503" s="507"/>
      <c r="K503" s="507"/>
      <c r="L503" s="507"/>
      <c r="M503" s="507"/>
      <c r="N503" s="507"/>
      <c r="O503" s="507"/>
      <c r="P503" s="507"/>
      <c r="Q503" s="507"/>
      <c r="R503" s="507"/>
      <c r="S503" s="507"/>
    </row>
    <row r="504" ht="35.25" customHeight="1">
      <c r="A504" s="679" t="s">
        <v>716</v>
      </c>
      <c r="B504" s="547" t="s">
        <v>88</v>
      </c>
      <c r="C504" s="593">
        <v>7.5789E7</v>
      </c>
      <c r="D504" s="680">
        <f>SUM(C504:C508)</f>
        <v>385004000</v>
      </c>
      <c r="E504" s="556"/>
      <c r="F504" s="507"/>
      <c r="G504" s="507"/>
      <c r="H504" s="507"/>
      <c r="I504" s="507"/>
      <c r="J504" s="507"/>
      <c r="K504" s="507"/>
      <c r="L504" s="507"/>
      <c r="M504" s="507"/>
      <c r="N504" s="507"/>
      <c r="O504" s="507"/>
      <c r="P504" s="507"/>
      <c r="Q504" s="507"/>
      <c r="R504" s="507"/>
      <c r="S504" s="507"/>
    </row>
    <row r="505" ht="35.25" customHeight="1">
      <c r="A505" s="18"/>
      <c r="B505" s="547" t="s">
        <v>219</v>
      </c>
      <c r="C505" s="593">
        <f>76673500+700000</f>
        <v>77373500</v>
      </c>
      <c r="D505" s="18"/>
      <c r="E505" s="556" t="s">
        <v>929</v>
      </c>
      <c r="F505" s="507"/>
      <c r="G505" s="507"/>
      <c r="H505" s="507"/>
      <c r="I505" s="507"/>
      <c r="J505" s="507"/>
      <c r="K505" s="507"/>
      <c r="L505" s="507"/>
      <c r="M505" s="507"/>
      <c r="N505" s="507"/>
      <c r="O505" s="507"/>
      <c r="P505" s="507"/>
      <c r="Q505" s="507"/>
      <c r="R505" s="507"/>
      <c r="S505" s="507"/>
    </row>
    <row r="506" ht="35.25" customHeight="1">
      <c r="A506" s="18"/>
      <c r="B506" s="547" t="s">
        <v>89</v>
      </c>
      <c r="C506" s="593">
        <v>7.3624E7</v>
      </c>
      <c r="D506" s="18"/>
      <c r="E506" s="556"/>
      <c r="F506" s="507"/>
      <c r="G506" s="507"/>
      <c r="H506" s="507"/>
      <c r="I506" s="507"/>
      <c r="J506" s="507"/>
      <c r="K506" s="507"/>
      <c r="L506" s="507"/>
      <c r="M506" s="507"/>
      <c r="N506" s="507"/>
      <c r="O506" s="507"/>
      <c r="P506" s="507"/>
      <c r="Q506" s="507"/>
      <c r="R506" s="507"/>
      <c r="S506" s="507"/>
    </row>
    <row r="507" ht="39.0" customHeight="1">
      <c r="A507" s="18"/>
      <c r="B507" s="547" t="s">
        <v>220</v>
      </c>
      <c r="C507" s="593">
        <v>7.70545E7</v>
      </c>
      <c r="D507" s="18"/>
      <c r="E507" s="556"/>
      <c r="F507" s="507"/>
      <c r="G507" s="507"/>
      <c r="H507" s="507"/>
      <c r="I507" s="507"/>
      <c r="J507" s="507"/>
      <c r="K507" s="507"/>
      <c r="L507" s="507"/>
      <c r="M507" s="507"/>
      <c r="N507" s="507"/>
      <c r="O507" s="507"/>
      <c r="P507" s="507"/>
      <c r="Q507" s="507"/>
      <c r="R507" s="507"/>
      <c r="S507" s="507"/>
    </row>
    <row r="508" ht="39.0" customHeight="1">
      <c r="A508" s="22"/>
      <c r="B508" s="547" t="s">
        <v>697</v>
      </c>
      <c r="C508" s="593">
        <v>8.1163E7</v>
      </c>
      <c r="D508" s="22"/>
      <c r="E508" s="556"/>
      <c r="F508" s="507"/>
      <c r="G508" s="507"/>
      <c r="H508" s="507"/>
      <c r="I508" s="507"/>
      <c r="J508" s="507"/>
      <c r="K508" s="507"/>
      <c r="L508" s="507"/>
      <c r="M508" s="507"/>
      <c r="N508" s="507"/>
      <c r="O508" s="507"/>
      <c r="P508" s="507"/>
      <c r="Q508" s="507"/>
      <c r="R508" s="507"/>
      <c r="S508" s="507"/>
    </row>
    <row r="509" ht="35.25" customHeight="1">
      <c r="A509" s="679" t="s">
        <v>718</v>
      </c>
      <c r="B509" s="547" t="s">
        <v>88</v>
      </c>
      <c r="C509" s="593">
        <f>22975000-81000</f>
        <v>22894000</v>
      </c>
      <c r="D509" s="680">
        <f>SUM(C509:C513)</f>
        <v>111606000</v>
      </c>
      <c r="E509" s="556"/>
      <c r="F509" s="507"/>
      <c r="G509" s="507"/>
      <c r="H509" s="507"/>
      <c r="I509" s="507"/>
      <c r="J509" s="507"/>
      <c r="K509" s="507"/>
      <c r="L509" s="507"/>
      <c r="M509" s="507"/>
      <c r="N509" s="507"/>
      <c r="O509" s="507"/>
      <c r="P509" s="507"/>
      <c r="Q509" s="507"/>
      <c r="R509" s="507"/>
      <c r="S509" s="507"/>
    </row>
    <row r="510" ht="35.25" customHeight="1">
      <c r="A510" s="18"/>
      <c r="B510" s="547" t="s">
        <v>219</v>
      </c>
      <c r="C510" s="593">
        <v>2.3706E7</v>
      </c>
      <c r="D510" s="18"/>
      <c r="E510" s="556" t="s">
        <v>930</v>
      </c>
      <c r="F510" s="507"/>
      <c r="G510" s="507"/>
      <c r="H510" s="507"/>
      <c r="I510" s="507"/>
      <c r="J510" s="507"/>
      <c r="K510" s="507"/>
      <c r="L510" s="507"/>
      <c r="M510" s="507"/>
      <c r="N510" s="507"/>
      <c r="O510" s="507"/>
      <c r="P510" s="507"/>
      <c r="Q510" s="507"/>
      <c r="R510" s="507"/>
      <c r="S510" s="507"/>
    </row>
    <row r="511" ht="35.25" customHeight="1">
      <c r="A511" s="18"/>
      <c r="B511" s="547" t="s">
        <v>89</v>
      </c>
      <c r="C511" s="598">
        <v>2.1034E7</v>
      </c>
      <c r="D511" s="18"/>
      <c r="E511" s="556"/>
      <c r="F511" s="507"/>
      <c r="G511" s="507"/>
      <c r="H511" s="507"/>
      <c r="I511" s="507"/>
      <c r="J511" s="507"/>
      <c r="K511" s="507"/>
      <c r="L511" s="507"/>
      <c r="M511" s="507"/>
      <c r="N511" s="507"/>
      <c r="O511" s="507"/>
      <c r="P511" s="507"/>
      <c r="Q511" s="507"/>
      <c r="R511" s="507"/>
      <c r="S511" s="507"/>
    </row>
    <row r="512" ht="35.25" customHeight="1">
      <c r="A512" s="18"/>
      <c r="B512" s="547" t="s">
        <v>220</v>
      </c>
      <c r="C512" s="593">
        <f>22559000-51000</f>
        <v>22508000</v>
      </c>
      <c r="D512" s="18"/>
      <c r="E512" s="556"/>
      <c r="F512" s="507"/>
      <c r="G512" s="507"/>
      <c r="H512" s="507"/>
      <c r="I512" s="507"/>
      <c r="J512" s="507"/>
      <c r="K512" s="507"/>
      <c r="L512" s="507"/>
      <c r="M512" s="507"/>
      <c r="N512" s="507"/>
      <c r="O512" s="507"/>
      <c r="P512" s="507"/>
      <c r="Q512" s="507"/>
      <c r="R512" s="507"/>
      <c r="S512" s="507"/>
    </row>
    <row r="513" ht="35.25" customHeight="1">
      <c r="A513" s="22"/>
      <c r="B513" s="547" t="s">
        <v>697</v>
      </c>
      <c r="C513" s="593">
        <v>2.1464E7</v>
      </c>
      <c r="D513" s="22"/>
      <c r="E513" s="556">
        <f>17*3</f>
        <v>51</v>
      </c>
      <c r="F513" s="507"/>
      <c r="G513" s="507"/>
      <c r="H513" s="507"/>
      <c r="I513" s="507"/>
      <c r="J513" s="507"/>
      <c r="K513" s="507"/>
      <c r="L513" s="507"/>
      <c r="M513" s="507"/>
      <c r="N513" s="507"/>
      <c r="O513" s="507"/>
      <c r="P513" s="507"/>
      <c r="Q513" s="507"/>
      <c r="R513" s="507"/>
      <c r="S513" s="507"/>
    </row>
    <row r="514" ht="35.25" customHeight="1">
      <c r="A514" s="679" t="s">
        <v>719</v>
      </c>
      <c r="B514" s="547" t="s">
        <v>88</v>
      </c>
      <c r="C514" s="593" t="s">
        <v>7</v>
      </c>
      <c r="D514" s="680">
        <f>SUM(C514:C518)</f>
        <v>47874000</v>
      </c>
      <c r="E514" s="556"/>
      <c r="F514" s="507"/>
      <c r="G514" s="507"/>
      <c r="H514" s="507"/>
      <c r="I514" s="507"/>
      <c r="J514" s="507"/>
      <c r="K514" s="507"/>
      <c r="L514" s="507"/>
      <c r="M514" s="507"/>
      <c r="N514" s="507"/>
      <c r="O514" s="507"/>
      <c r="P514" s="507"/>
      <c r="Q514" s="507"/>
      <c r="R514" s="507"/>
      <c r="S514" s="507"/>
    </row>
    <row r="515" ht="35.25" customHeight="1">
      <c r="A515" s="18"/>
      <c r="B515" s="547" t="s">
        <v>219</v>
      </c>
      <c r="C515" s="598" t="s">
        <v>7</v>
      </c>
      <c r="D515" s="18"/>
      <c r="E515" s="556" t="s">
        <v>931</v>
      </c>
      <c r="F515" s="507"/>
      <c r="G515" s="507"/>
      <c r="H515" s="507"/>
      <c r="I515" s="507"/>
      <c r="J515" s="507"/>
      <c r="K515" s="507"/>
      <c r="L515" s="507"/>
      <c r="M515" s="507"/>
      <c r="N515" s="507"/>
      <c r="O515" s="507"/>
      <c r="P515" s="507"/>
      <c r="Q515" s="507"/>
      <c r="R515" s="507"/>
      <c r="S515" s="507"/>
    </row>
    <row r="516" ht="35.25" customHeight="1">
      <c r="A516" s="18"/>
      <c r="B516" s="547" t="s">
        <v>89</v>
      </c>
      <c r="C516" s="593" t="s">
        <v>7</v>
      </c>
      <c r="D516" s="18"/>
      <c r="E516" s="556"/>
      <c r="F516" s="507"/>
      <c r="G516" s="507"/>
      <c r="H516" s="507"/>
      <c r="I516" s="507"/>
      <c r="J516" s="507"/>
      <c r="K516" s="507"/>
      <c r="L516" s="507"/>
      <c r="M516" s="507"/>
      <c r="N516" s="507"/>
      <c r="O516" s="507"/>
      <c r="P516" s="507"/>
      <c r="Q516" s="507"/>
      <c r="R516" s="507"/>
      <c r="S516" s="507"/>
    </row>
    <row r="517" ht="35.25" customHeight="1">
      <c r="A517" s="18"/>
      <c r="B517" s="547" t="s">
        <v>220</v>
      </c>
      <c r="C517" s="593">
        <f>26843000-1630000</f>
        <v>25213000</v>
      </c>
      <c r="D517" s="18"/>
      <c r="E517" s="556"/>
      <c r="F517" s="507"/>
      <c r="G517" s="507"/>
      <c r="H517" s="507"/>
      <c r="I517" s="507"/>
      <c r="J517" s="507"/>
      <c r="K517" s="507"/>
      <c r="L517" s="507"/>
      <c r="M517" s="507"/>
      <c r="N517" s="507"/>
      <c r="O517" s="507"/>
      <c r="P517" s="507"/>
      <c r="Q517" s="507"/>
      <c r="R517" s="507"/>
      <c r="S517" s="507"/>
    </row>
    <row r="518" ht="35.25" customHeight="1">
      <c r="A518" s="22"/>
      <c r="B518" s="547" t="s">
        <v>697</v>
      </c>
      <c r="C518" s="593">
        <v>2.2661E7</v>
      </c>
      <c r="D518" s="22"/>
      <c r="E518" s="556"/>
      <c r="F518" s="507"/>
      <c r="G518" s="507"/>
      <c r="H518" s="507"/>
      <c r="I518" s="507"/>
      <c r="J518" s="507"/>
      <c r="K518" s="507"/>
      <c r="L518" s="507"/>
      <c r="M518" s="507"/>
      <c r="N518" s="507"/>
      <c r="O518" s="507"/>
      <c r="P518" s="507"/>
      <c r="Q518" s="507"/>
      <c r="R518" s="507"/>
      <c r="S518" s="507"/>
    </row>
    <row r="519" ht="37.5" customHeight="1">
      <c r="A519" s="679" t="s">
        <v>743</v>
      </c>
      <c r="B519" s="547" t="s">
        <v>88</v>
      </c>
      <c r="C519" s="593" t="s">
        <v>7</v>
      </c>
      <c r="D519" s="680">
        <f>SUM(C519:C523)</f>
        <v>45241000</v>
      </c>
      <c r="E519" s="556"/>
      <c r="F519" s="507"/>
      <c r="G519" s="507"/>
      <c r="H519" s="507"/>
      <c r="I519" s="507"/>
      <c r="J519" s="507"/>
      <c r="K519" s="507"/>
      <c r="L519" s="507"/>
      <c r="M519" s="507"/>
      <c r="N519" s="507"/>
      <c r="O519" s="507"/>
      <c r="P519" s="507"/>
      <c r="Q519" s="507"/>
      <c r="R519" s="507"/>
      <c r="S519" s="507"/>
    </row>
    <row r="520" ht="37.5" customHeight="1">
      <c r="A520" s="18"/>
      <c r="B520" s="547" t="s">
        <v>219</v>
      </c>
      <c r="C520" s="593" t="s">
        <v>7</v>
      </c>
      <c r="D520" s="18"/>
      <c r="E520" s="556" t="s">
        <v>932</v>
      </c>
      <c r="F520" s="507"/>
      <c r="G520" s="507"/>
      <c r="H520" s="507"/>
      <c r="I520" s="507"/>
      <c r="J520" s="507"/>
      <c r="K520" s="507"/>
      <c r="L520" s="507"/>
      <c r="M520" s="507"/>
      <c r="N520" s="507"/>
      <c r="O520" s="507"/>
      <c r="P520" s="507"/>
      <c r="Q520" s="507"/>
      <c r="R520" s="507"/>
      <c r="S520" s="507"/>
    </row>
    <row r="521" ht="37.5" customHeight="1">
      <c r="A521" s="18"/>
      <c r="B521" s="547" t="s">
        <v>89</v>
      </c>
      <c r="C521" s="598" t="s">
        <v>7</v>
      </c>
      <c r="D521" s="18"/>
      <c r="E521" s="556"/>
      <c r="F521" s="507"/>
      <c r="G521" s="507"/>
      <c r="H521" s="507"/>
      <c r="I521" s="507"/>
      <c r="J521" s="507"/>
      <c r="K521" s="507"/>
      <c r="L521" s="507"/>
      <c r="M521" s="507"/>
      <c r="N521" s="507"/>
      <c r="O521" s="507"/>
      <c r="P521" s="507"/>
      <c r="Q521" s="507"/>
      <c r="R521" s="507"/>
      <c r="S521" s="507"/>
    </row>
    <row r="522" ht="37.5" customHeight="1">
      <c r="A522" s="18"/>
      <c r="B522" s="547" t="s">
        <v>220</v>
      </c>
      <c r="C522" s="593" t="s">
        <v>7</v>
      </c>
      <c r="D522" s="18"/>
      <c r="E522" s="556"/>
      <c r="F522" s="507"/>
      <c r="G522" s="507"/>
      <c r="H522" s="507"/>
      <c r="I522" s="507"/>
      <c r="J522" s="507"/>
      <c r="K522" s="507"/>
      <c r="L522" s="507"/>
      <c r="M522" s="507"/>
      <c r="N522" s="507"/>
      <c r="O522" s="507"/>
      <c r="P522" s="507"/>
      <c r="Q522" s="507"/>
      <c r="R522" s="507"/>
      <c r="S522" s="507"/>
    </row>
    <row r="523" ht="37.5" customHeight="1">
      <c r="A523" s="22"/>
      <c r="B523" s="547" t="s">
        <v>697</v>
      </c>
      <c r="C523" s="593">
        <v>4.5241E7</v>
      </c>
      <c r="D523" s="22"/>
      <c r="E523" s="556"/>
      <c r="F523" s="507"/>
      <c r="G523" s="507"/>
      <c r="H523" s="507"/>
      <c r="I523" s="507"/>
      <c r="J523" s="507"/>
      <c r="K523" s="507"/>
      <c r="L523" s="507"/>
      <c r="M523" s="507"/>
      <c r="N523" s="507"/>
      <c r="O523" s="507"/>
      <c r="P523" s="507"/>
      <c r="Q523" s="507"/>
      <c r="R523" s="507"/>
      <c r="S523" s="507"/>
    </row>
    <row r="524" ht="35.25" customHeight="1">
      <c r="A524" s="679" t="s">
        <v>744</v>
      </c>
      <c r="B524" s="547" t="s">
        <v>219</v>
      </c>
      <c r="C524" s="598" t="s">
        <v>7</v>
      </c>
      <c r="D524" s="680">
        <f>SUM(C524:C527)</f>
        <v>47239000</v>
      </c>
      <c r="E524" s="556"/>
      <c r="F524" s="507"/>
      <c r="G524" s="507"/>
      <c r="H524" s="507"/>
      <c r="I524" s="507"/>
      <c r="J524" s="507"/>
      <c r="K524" s="507"/>
      <c r="L524" s="507"/>
      <c r="M524" s="507"/>
      <c r="N524" s="507"/>
      <c r="O524" s="507"/>
      <c r="P524" s="507"/>
      <c r="Q524" s="507"/>
      <c r="R524" s="507"/>
      <c r="S524" s="507"/>
    </row>
    <row r="525" ht="35.25" customHeight="1">
      <c r="A525" s="18"/>
      <c r="B525" s="547" t="s">
        <v>89</v>
      </c>
      <c r="C525" s="593" t="s">
        <v>7</v>
      </c>
      <c r="D525" s="18"/>
      <c r="E525" s="556"/>
      <c r="F525" s="507"/>
      <c r="G525" s="507"/>
      <c r="H525" s="507"/>
      <c r="I525" s="507"/>
      <c r="J525" s="507"/>
      <c r="K525" s="507"/>
      <c r="L525" s="507"/>
      <c r="M525" s="507"/>
      <c r="N525" s="507"/>
      <c r="O525" s="507"/>
      <c r="P525" s="507"/>
      <c r="Q525" s="507"/>
      <c r="R525" s="507"/>
      <c r="S525" s="507"/>
    </row>
    <row r="526" ht="35.25" customHeight="1">
      <c r="A526" s="18"/>
      <c r="B526" s="547" t="s">
        <v>220</v>
      </c>
      <c r="C526" s="593">
        <v>2.9464E7</v>
      </c>
      <c r="D526" s="18"/>
      <c r="E526" s="556"/>
      <c r="F526" s="507"/>
      <c r="G526" s="507"/>
      <c r="H526" s="507"/>
      <c r="I526" s="507"/>
      <c r="J526" s="507"/>
      <c r="K526" s="507"/>
      <c r="L526" s="507"/>
      <c r="M526" s="507"/>
      <c r="N526" s="507"/>
      <c r="O526" s="507"/>
      <c r="P526" s="507"/>
      <c r="Q526" s="507"/>
      <c r="R526" s="507"/>
      <c r="S526" s="507"/>
    </row>
    <row r="527" ht="35.25" customHeight="1">
      <c r="A527" s="22"/>
      <c r="B527" s="547" t="s">
        <v>697</v>
      </c>
      <c r="C527" s="593">
        <v>1.7775E7</v>
      </c>
      <c r="D527" s="22"/>
      <c r="E527" s="556"/>
      <c r="F527" s="507"/>
      <c r="G527" s="507"/>
      <c r="H527" s="507"/>
      <c r="I527" s="507"/>
      <c r="J527" s="507"/>
      <c r="K527" s="507"/>
      <c r="L527" s="507"/>
      <c r="M527" s="507"/>
      <c r="N527" s="507"/>
      <c r="O527" s="507"/>
      <c r="P527" s="507"/>
      <c r="Q527" s="507"/>
      <c r="R527" s="507"/>
      <c r="S527" s="507"/>
    </row>
    <row r="528" ht="36.75" customHeight="1">
      <c r="A528" s="679" t="s">
        <v>750</v>
      </c>
      <c r="B528" s="547" t="s">
        <v>88</v>
      </c>
      <c r="C528" s="593">
        <v>8.1784E7</v>
      </c>
      <c r="D528" s="680">
        <f>SUM(C528:C532)</f>
        <v>283213900</v>
      </c>
      <c r="E528" s="556" t="s">
        <v>933</v>
      </c>
      <c r="F528" s="507"/>
      <c r="G528" s="507"/>
      <c r="H528" s="507"/>
      <c r="I528" s="507"/>
      <c r="J528" s="507"/>
      <c r="K528" s="507"/>
      <c r="L528" s="507"/>
      <c r="M528" s="507"/>
      <c r="N528" s="507"/>
      <c r="O528" s="507"/>
      <c r="P528" s="507"/>
      <c r="Q528" s="507"/>
      <c r="R528" s="507"/>
      <c r="S528" s="507"/>
    </row>
    <row r="529" ht="33.75" customHeight="1">
      <c r="A529" s="18"/>
      <c r="B529" s="547" t="s">
        <v>219</v>
      </c>
      <c r="C529" s="593">
        <v>4.49207E7</v>
      </c>
      <c r="D529" s="18"/>
      <c r="E529" s="556"/>
      <c r="F529" s="507"/>
      <c r="G529" s="507"/>
      <c r="H529" s="507"/>
      <c r="I529" s="507"/>
      <c r="J529" s="507"/>
      <c r="K529" s="507"/>
      <c r="L529" s="507"/>
      <c r="M529" s="507"/>
      <c r="N529" s="507"/>
      <c r="O529" s="507"/>
      <c r="P529" s="507"/>
      <c r="Q529" s="507"/>
      <c r="R529" s="507"/>
      <c r="S529" s="507"/>
    </row>
    <row r="530" ht="33.75" customHeight="1">
      <c r="A530" s="18"/>
      <c r="B530" s="547" t="s">
        <v>89</v>
      </c>
      <c r="C530" s="593">
        <f>73552600-250000</f>
        <v>73302600</v>
      </c>
      <c r="D530" s="18"/>
      <c r="E530" s="556"/>
      <c r="F530" s="507"/>
      <c r="G530" s="507"/>
      <c r="H530" s="507"/>
      <c r="I530" s="507"/>
      <c r="J530" s="507"/>
      <c r="K530" s="507"/>
      <c r="L530" s="507"/>
      <c r="M530" s="507"/>
      <c r="N530" s="507"/>
      <c r="O530" s="507"/>
      <c r="P530" s="507"/>
      <c r="Q530" s="507"/>
      <c r="R530" s="507"/>
      <c r="S530" s="507"/>
    </row>
    <row r="531" ht="33.75" customHeight="1">
      <c r="A531" s="18"/>
      <c r="B531" s="547" t="s">
        <v>220</v>
      </c>
      <c r="C531" s="593">
        <v>6.03105E7</v>
      </c>
      <c r="D531" s="18"/>
      <c r="E531" s="556"/>
      <c r="F531" s="507"/>
      <c r="G531" s="507"/>
      <c r="H531" s="507"/>
      <c r="I531" s="507"/>
      <c r="J531" s="507"/>
      <c r="K531" s="507"/>
      <c r="L531" s="507"/>
      <c r="M531" s="507"/>
      <c r="N531" s="507"/>
      <c r="O531" s="507"/>
      <c r="P531" s="507"/>
      <c r="Q531" s="507"/>
      <c r="R531" s="507"/>
      <c r="S531" s="507"/>
    </row>
    <row r="532" ht="33.75" customHeight="1">
      <c r="A532" s="22"/>
      <c r="B532" s="547" t="s">
        <v>697</v>
      </c>
      <c r="C532" s="593">
        <v>2.28961E7</v>
      </c>
      <c r="D532" s="22"/>
      <c r="E532" s="556"/>
      <c r="F532" s="507"/>
      <c r="G532" s="507"/>
      <c r="H532" s="507"/>
      <c r="I532" s="507"/>
      <c r="J532" s="507"/>
      <c r="K532" s="507"/>
      <c r="L532" s="507"/>
      <c r="M532" s="507"/>
      <c r="N532" s="507"/>
      <c r="O532" s="507"/>
      <c r="P532" s="507"/>
      <c r="Q532" s="507"/>
      <c r="R532" s="507"/>
      <c r="S532" s="507"/>
    </row>
    <row r="533" ht="35.25" customHeight="1">
      <c r="A533" s="679" t="s">
        <v>752</v>
      </c>
      <c r="B533" s="547" t="s">
        <v>88</v>
      </c>
      <c r="C533" s="593" t="s">
        <v>7</v>
      </c>
      <c r="D533" s="680">
        <f>SUM(C533:C537)</f>
        <v>131886000</v>
      </c>
      <c r="E533" s="556"/>
      <c r="F533" s="507"/>
      <c r="G533" s="507"/>
      <c r="H533" s="507"/>
      <c r="I533" s="507"/>
      <c r="J533" s="507"/>
      <c r="K533" s="507"/>
      <c r="L533" s="507"/>
      <c r="M533" s="507"/>
      <c r="N533" s="507"/>
      <c r="O533" s="507"/>
      <c r="P533" s="507"/>
      <c r="Q533" s="507"/>
      <c r="R533" s="507"/>
      <c r="S533" s="507"/>
    </row>
    <row r="534" ht="32.25" customHeight="1">
      <c r="A534" s="18"/>
      <c r="B534" s="547" t="s">
        <v>219</v>
      </c>
      <c r="C534" s="593" t="s">
        <v>7</v>
      </c>
      <c r="D534" s="18"/>
      <c r="E534" s="556" t="s">
        <v>934</v>
      </c>
      <c r="F534" s="507"/>
      <c r="G534" s="507"/>
      <c r="H534" s="507"/>
      <c r="I534" s="507"/>
      <c r="J534" s="507"/>
      <c r="K534" s="507"/>
      <c r="L534" s="507"/>
      <c r="M534" s="507"/>
      <c r="N534" s="507"/>
      <c r="O534" s="507"/>
      <c r="P534" s="507"/>
      <c r="Q534" s="507"/>
      <c r="R534" s="507"/>
      <c r="S534" s="507"/>
    </row>
    <row r="535" ht="35.25" customHeight="1">
      <c r="A535" s="18"/>
      <c r="B535" s="547" t="s">
        <v>89</v>
      </c>
      <c r="C535" s="593">
        <v>4.7335E7</v>
      </c>
      <c r="D535" s="18"/>
      <c r="E535" s="556"/>
      <c r="F535" s="507"/>
      <c r="G535" s="507"/>
      <c r="H535" s="507"/>
      <c r="I535" s="507"/>
      <c r="J535" s="507"/>
      <c r="K535" s="507"/>
      <c r="L535" s="507"/>
      <c r="M535" s="507"/>
      <c r="N535" s="507"/>
      <c r="O535" s="507"/>
      <c r="P535" s="507"/>
      <c r="Q535" s="507"/>
      <c r="R535" s="507"/>
      <c r="S535" s="507"/>
    </row>
    <row r="536" ht="35.25" customHeight="1">
      <c r="A536" s="18"/>
      <c r="B536" s="547" t="s">
        <v>220</v>
      </c>
      <c r="C536" s="593">
        <f>44643000-120000</f>
        <v>44523000</v>
      </c>
      <c r="D536" s="18"/>
      <c r="E536" s="556"/>
      <c r="F536" s="507"/>
      <c r="G536" s="507"/>
      <c r="H536" s="507"/>
      <c r="I536" s="507"/>
      <c r="J536" s="507"/>
      <c r="K536" s="507"/>
      <c r="L536" s="507"/>
      <c r="M536" s="507"/>
      <c r="N536" s="507"/>
      <c r="O536" s="507"/>
      <c r="P536" s="507"/>
      <c r="Q536" s="507"/>
      <c r="R536" s="507"/>
      <c r="S536" s="507"/>
    </row>
    <row r="537" ht="35.25" customHeight="1">
      <c r="A537" s="22"/>
      <c r="B537" s="547" t="s">
        <v>697</v>
      </c>
      <c r="C537" s="593">
        <v>4.0028E7</v>
      </c>
      <c r="D537" s="22"/>
      <c r="E537" s="556"/>
      <c r="F537" s="507"/>
      <c r="G537" s="507"/>
      <c r="H537" s="507"/>
      <c r="I537" s="507"/>
      <c r="J537" s="507"/>
      <c r="K537" s="507"/>
      <c r="L537" s="507"/>
      <c r="M537" s="507"/>
      <c r="N537" s="507"/>
      <c r="O537" s="507"/>
      <c r="P537" s="507"/>
      <c r="Q537" s="507"/>
      <c r="R537" s="507"/>
      <c r="S537" s="507"/>
    </row>
    <row r="538" ht="38.25" customHeight="1">
      <c r="A538" s="679" t="s">
        <v>753</v>
      </c>
      <c r="B538" s="547" t="s">
        <v>88</v>
      </c>
      <c r="C538" s="593" t="s">
        <v>7</v>
      </c>
      <c r="D538" s="680">
        <f>SUM(C538:C541)</f>
        <v>25075000</v>
      </c>
      <c r="E538" s="556" t="s">
        <v>935</v>
      </c>
      <c r="F538" s="507"/>
      <c r="G538" s="507"/>
      <c r="H538" s="507"/>
      <c r="I538" s="507"/>
      <c r="J538" s="507"/>
      <c r="K538" s="507"/>
      <c r="L538" s="507"/>
      <c r="M538" s="507"/>
      <c r="N538" s="507"/>
      <c r="O538" s="507"/>
      <c r="P538" s="507"/>
      <c r="Q538" s="507"/>
      <c r="R538" s="507"/>
      <c r="S538" s="507"/>
    </row>
    <row r="539" ht="38.25" customHeight="1">
      <c r="A539" s="18"/>
      <c r="B539" s="547" t="s">
        <v>219</v>
      </c>
      <c r="C539" s="593" t="s">
        <v>7</v>
      </c>
      <c r="D539" s="18"/>
      <c r="E539" s="556"/>
      <c r="F539" s="507"/>
      <c r="G539" s="507"/>
      <c r="H539" s="507"/>
      <c r="I539" s="507"/>
      <c r="J539" s="507"/>
      <c r="K539" s="507"/>
      <c r="L539" s="507"/>
      <c r="M539" s="507"/>
      <c r="N539" s="507"/>
      <c r="O539" s="507"/>
      <c r="P539" s="507"/>
      <c r="Q539" s="507"/>
      <c r="R539" s="507"/>
      <c r="S539" s="507"/>
    </row>
    <row r="540" ht="38.25" customHeight="1">
      <c r="A540" s="18"/>
      <c r="B540" s="547" t="s">
        <v>89</v>
      </c>
      <c r="C540" s="593" t="s">
        <v>7</v>
      </c>
      <c r="D540" s="18"/>
      <c r="E540" s="556"/>
      <c r="F540" s="507"/>
      <c r="G540" s="507"/>
      <c r="H540" s="507"/>
      <c r="I540" s="507"/>
      <c r="J540" s="507"/>
      <c r="K540" s="507"/>
      <c r="L540" s="507"/>
      <c r="M540" s="507"/>
      <c r="N540" s="507"/>
      <c r="O540" s="507"/>
      <c r="P540" s="507"/>
      <c r="Q540" s="507"/>
      <c r="R540" s="507"/>
      <c r="S540" s="507"/>
    </row>
    <row r="541" ht="38.25" customHeight="1">
      <c r="A541" s="22"/>
      <c r="B541" s="547" t="s">
        <v>220</v>
      </c>
      <c r="C541" s="593">
        <v>2.5075E7</v>
      </c>
      <c r="D541" s="22"/>
      <c r="E541" s="556"/>
      <c r="F541" s="507"/>
      <c r="G541" s="507"/>
      <c r="H541" s="507"/>
      <c r="I541" s="507"/>
      <c r="J541" s="507"/>
      <c r="K541" s="507"/>
      <c r="L541" s="507"/>
      <c r="M541" s="507"/>
      <c r="N541" s="507"/>
      <c r="O541" s="507"/>
      <c r="P541" s="507"/>
      <c r="Q541" s="507"/>
      <c r="R541" s="507"/>
      <c r="S541" s="507"/>
    </row>
    <row r="542" ht="35.25" customHeight="1">
      <c r="A542" s="679" t="s">
        <v>936</v>
      </c>
      <c r="B542" s="547" t="s">
        <v>88</v>
      </c>
      <c r="C542" s="593">
        <v>6.6717E7</v>
      </c>
      <c r="D542" s="680">
        <f>SUM(C542:C546)</f>
        <v>330132300</v>
      </c>
      <c r="E542" s="507"/>
      <c r="F542" s="507"/>
      <c r="G542" s="507"/>
      <c r="H542" s="507"/>
      <c r="I542" s="507"/>
      <c r="J542" s="507"/>
      <c r="K542" s="507"/>
      <c r="L542" s="507"/>
      <c r="M542" s="507"/>
      <c r="N542" s="507"/>
      <c r="O542" s="507"/>
      <c r="P542" s="507"/>
      <c r="Q542" s="507"/>
      <c r="R542" s="507"/>
      <c r="S542" s="507"/>
    </row>
    <row r="543" ht="35.25" customHeight="1">
      <c r="A543" s="18"/>
      <c r="B543" s="547" t="s">
        <v>219</v>
      </c>
      <c r="C543" s="593">
        <v>9.5384E7</v>
      </c>
      <c r="D543" s="18"/>
      <c r="E543" s="507"/>
      <c r="F543" s="507"/>
      <c r="G543" s="507"/>
      <c r="H543" s="507"/>
      <c r="I543" s="507"/>
      <c r="J543" s="507"/>
      <c r="K543" s="507"/>
      <c r="L543" s="507"/>
      <c r="M543" s="507"/>
      <c r="N543" s="507"/>
      <c r="O543" s="507"/>
      <c r="P543" s="507"/>
      <c r="Q543" s="507"/>
      <c r="R543" s="507"/>
      <c r="S543" s="507"/>
    </row>
    <row r="544" ht="35.25" customHeight="1">
      <c r="A544" s="18"/>
      <c r="B544" s="547" t="s">
        <v>89</v>
      </c>
      <c r="C544" s="598">
        <f>63669000-1800000-183000</f>
        <v>61686000</v>
      </c>
      <c r="D544" s="18"/>
      <c r="E544" s="556" t="s">
        <v>937</v>
      </c>
      <c r="F544" s="507"/>
      <c r="G544" s="507"/>
      <c r="H544" s="507"/>
      <c r="I544" s="507"/>
      <c r="J544" s="507"/>
      <c r="K544" s="507"/>
      <c r="L544" s="507"/>
      <c r="M544" s="507"/>
      <c r="N544" s="507"/>
      <c r="O544" s="507"/>
      <c r="P544" s="507"/>
      <c r="Q544" s="507"/>
      <c r="R544" s="507"/>
      <c r="S544" s="507"/>
    </row>
    <row r="545" ht="35.25" customHeight="1">
      <c r="A545" s="18"/>
      <c r="B545" s="547" t="s">
        <v>220</v>
      </c>
      <c r="C545" s="593">
        <f>64163000-75000</f>
        <v>64088000</v>
      </c>
      <c r="D545" s="18"/>
      <c r="E545" s="507"/>
      <c r="F545" s="507"/>
      <c r="G545" s="507"/>
      <c r="H545" s="507"/>
      <c r="I545" s="507"/>
      <c r="J545" s="507"/>
      <c r="K545" s="507"/>
      <c r="L545" s="507"/>
      <c r="M545" s="507"/>
      <c r="N545" s="507"/>
      <c r="O545" s="507"/>
      <c r="P545" s="507"/>
      <c r="Q545" s="507"/>
      <c r="R545" s="507"/>
      <c r="S545" s="507"/>
    </row>
    <row r="546" ht="35.25" customHeight="1">
      <c r="A546" s="22"/>
      <c r="B546" s="547" t="s">
        <v>697</v>
      </c>
      <c r="C546" s="593">
        <f>42356300-99000</f>
        <v>42257300</v>
      </c>
      <c r="D546" s="22"/>
      <c r="E546" s="507">
        <f>25*3</f>
        <v>75</v>
      </c>
      <c r="F546" s="507"/>
      <c r="G546" s="507"/>
      <c r="H546" s="507"/>
      <c r="I546" s="507"/>
      <c r="J546" s="507"/>
      <c r="K546" s="507"/>
      <c r="L546" s="507"/>
      <c r="M546" s="507"/>
      <c r="N546" s="507"/>
      <c r="O546" s="507"/>
      <c r="P546" s="507"/>
      <c r="Q546" s="507"/>
      <c r="R546" s="507"/>
      <c r="S546" s="507"/>
    </row>
    <row r="547" ht="35.25" customHeight="1">
      <c r="A547" s="679" t="s">
        <v>938</v>
      </c>
      <c r="B547" s="547" t="s">
        <v>88</v>
      </c>
      <c r="C547" s="593" t="s">
        <v>7</v>
      </c>
      <c r="D547" s="680">
        <f>SUM(C547:C551)</f>
        <v>54220000</v>
      </c>
      <c r="E547" s="507"/>
      <c r="F547" s="507"/>
      <c r="G547" s="507"/>
      <c r="H547" s="507"/>
      <c r="I547" s="507"/>
      <c r="J547" s="507"/>
      <c r="K547" s="507"/>
      <c r="L547" s="507"/>
      <c r="M547" s="507"/>
      <c r="N547" s="507"/>
      <c r="O547" s="507"/>
      <c r="P547" s="507"/>
      <c r="Q547" s="507"/>
      <c r="R547" s="507"/>
      <c r="S547" s="507"/>
    </row>
    <row r="548" ht="35.25" customHeight="1">
      <c r="A548" s="18"/>
      <c r="B548" s="547" t="s">
        <v>219</v>
      </c>
      <c r="C548" s="593" t="s">
        <v>7</v>
      </c>
      <c r="D548" s="18"/>
      <c r="E548" s="730" t="s">
        <v>939</v>
      </c>
      <c r="F548" s="507"/>
      <c r="G548" s="507"/>
      <c r="H548" s="507"/>
      <c r="I548" s="507"/>
      <c r="J548" s="507"/>
      <c r="K548" s="507"/>
      <c r="L548" s="507"/>
      <c r="M548" s="507"/>
      <c r="N548" s="507"/>
      <c r="O548" s="507"/>
      <c r="P548" s="507"/>
      <c r="Q548" s="507"/>
      <c r="R548" s="507"/>
      <c r="S548" s="507"/>
    </row>
    <row r="549" ht="35.25" customHeight="1">
      <c r="A549" s="18"/>
      <c r="B549" s="547" t="s">
        <v>89</v>
      </c>
      <c r="C549" s="598" t="s">
        <v>7</v>
      </c>
      <c r="D549" s="18"/>
      <c r="E549" s="507"/>
      <c r="F549" s="507"/>
      <c r="G549" s="507"/>
      <c r="H549" s="507"/>
      <c r="I549" s="507"/>
      <c r="J549" s="507"/>
      <c r="K549" s="507"/>
      <c r="L549" s="507"/>
      <c r="M549" s="507"/>
      <c r="N549" s="507"/>
      <c r="O549" s="507"/>
      <c r="P549" s="507"/>
      <c r="Q549" s="507"/>
      <c r="R549" s="507"/>
      <c r="S549" s="507"/>
    </row>
    <row r="550" ht="35.25" customHeight="1">
      <c r="A550" s="18"/>
      <c r="B550" s="547" t="s">
        <v>220</v>
      </c>
      <c r="C550" s="593">
        <f>37435000-645000</f>
        <v>36790000</v>
      </c>
      <c r="D550" s="18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  <c r="O550" s="507"/>
      <c r="P550" s="507"/>
      <c r="Q550" s="507"/>
      <c r="R550" s="507"/>
      <c r="S550" s="507"/>
    </row>
    <row r="551" ht="35.25" customHeight="1">
      <c r="A551" s="22"/>
      <c r="B551" s="547" t="s">
        <v>697</v>
      </c>
      <c r="C551" s="593">
        <v>1.743E7</v>
      </c>
      <c r="D551" s="22"/>
      <c r="E551" s="507"/>
      <c r="F551" s="507"/>
      <c r="G551" s="507"/>
      <c r="H551" s="507"/>
      <c r="I551" s="507"/>
      <c r="J551" s="507"/>
      <c r="K551" s="507"/>
      <c r="L551" s="507"/>
      <c r="M551" s="507"/>
      <c r="N551" s="507"/>
      <c r="O551" s="507"/>
      <c r="P551" s="507"/>
      <c r="Q551" s="507"/>
      <c r="R551" s="507"/>
      <c r="S551" s="507"/>
    </row>
    <row r="552" ht="35.25" customHeight="1">
      <c r="A552" s="679" t="s">
        <v>940</v>
      </c>
      <c r="B552" s="547" t="s">
        <v>219</v>
      </c>
      <c r="C552" s="593" t="s">
        <v>7</v>
      </c>
      <c r="D552" s="680">
        <f>SUM(C552:C555)</f>
        <v>66441500</v>
      </c>
      <c r="E552" s="507"/>
      <c r="F552" s="507"/>
      <c r="G552" s="507"/>
      <c r="H552" s="507"/>
      <c r="I552" s="507"/>
      <c r="J552" s="507"/>
      <c r="K552" s="507"/>
      <c r="L552" s="507"/>
      <c r="M552" s="507"/>
      <c r="N552" s="507"/>
      <c r="O552" s="507"/>
      <c r="P552" s="507"/>
      <c r="Q552" s="507"/>
      <c r="R552" s="507"/>
      <c r="S552" s="507"/>
    </row>
    <row r="553" ht="35.25" customHeight="1">
      <c r="A553" s="18"/>
      <c r="B553" s="547" t="s">
        <v>89</v>
      </c>
      <c r="C553" s="598">
        <v>3.55335E7</v>
      </c>
      <c r="D553" s="18"/>
      <c r="E553" s="556" t="s">
        <v>941</v>
      </c>
      <c r="F553" s="507"/>
      <c r="G553" s="507"/>
      <c r="H553" s="507"/>
      <c r="I553" s="507"/>
      <c r="J553" s="507"/>
      <c r="K553" s="507"/>
      <c r="L553" s="507"/>
      <c r="M553" s="507"/>
      <c r="N553" s="507"/>
      <c r="O553" s="507"/>
      <c r="P553" s="507"/>
      <c r="Q553" s="507"/>
      <c r="R553" s="507"/>
      <c r="S553" s="507"/>
    </row>
    <row r="554" ht="35.25" customHeight="1">
      <c r="A554" s="18"/>
      <c r="B554" s="547" t="s">
        <v>220</v>
      </c>
      <c r="C554" s="598">
        <f>34673000-1890000-740000-775000-1125000</f>
        <v>30143000</v>
      </c>
      <c r="D554" s="18"/>
      <c r="E554" s="507"/>
      <c r="F554" s="507"/>
      <c r="G554" s="507"/>
      <c r="H554" s="507"/>
      <c r="I554" s="507"/>
      <c r="J554" s="507"/>
      <c r="K554" s="507"/>
      <c r="L554" s="507"/>
      <c r="M554" s="507"/>
      <c r="N554" s="507"/>
      <c r="O554" s="507"/>
      <c r="P554" s="507"/>
      <c r="Q554" s="507"/>
      <c r="R554" s="507"/>
      <c r="S554" s="507"/>
    </row>
    <row r="555" ht="35.25" customHeight="1">
      <c r="A555" s="22"/>
      <c r="B555" s="547" t="s">
        <v>697</v>
      </c>
      <c r="C555" s="598">
        <v>765000.0</v>
      </c>
      <c r="D555" s="22"/>
      <c r="E555" s="507"/>
      <c r="F555" s="507"/>
      <c r="G555" s="507"/>
      <c r="H555" s="507"/>
      <c r="I555" s="507"/>
      <c r="J555" s="507"/>
      <c r="K555" s="507"/>
      <c r="L555" s="507"/>
      <c r="M555" s="507"/>
      <c r="N555" s="507"/>
      <c r="O555" s="507"/>
      <c r="P555" s="507"/>
      <c r="Q555" s="507"/>
      <c r="R555" s="507"/>
      <c r="S555" s="507"/>
    </row>
    <row r="556" ht="35.25" customHeight="1">
      <c r="A556" s="679" t="s">
        <v>942</v>
      </c>
      <c r="B556" s="547" t="s">
        <v>88</v>
      </c>
      <c r="C556" s="593">
        <v>1.31755E8</v>
      </c>
      <c r="D556" s="680">
        <f>SUM(C556:C560)</f>
        <v>651771000</v>
      </c>
      <c r="E556" s="507"/>
      <c r="F556" s="507"/>
      <c r="G556" s="507"/>
      <c r="H556" s="507"/>
      <c r="I556" s="507"/>
      <c r="J556" s="507"/>
      <c r="K556" s="507"/>
      <c r="L556" s="507"/>
      <c r="M556" s="507"/>
      <c r="N556" s="507"/>
      <c r="O556" s="507"/>
      <c r="P556" s="507"/>
      <c r="Q556" s="507"/>
      <c r="R556" s="507"/>
      <c r="S556" s="507"/>
    </row>
    <row r="557" ht="35.25" customHeight="1">
      <c r="A557" s="18"/>
      <c r="B557" s="547" t="s">
        <v>219</v>
      </c>
      <c r="C557" s="593">
        <v>1.003315E8</v>
      </c>
      <c r="D557" s="18"/>
      <c r="E557" s="507"/>
      <c r="F557" s="507"/>
      <c r="G557" s="507"/>
      <c r="H557" s="507"/>
      <c r="I557" s="507"/>
      <c r="J557" s="507"/>
      <c r="K557" s="507"/>
      <c r="L557" s="507"/>
      <c r="M557" s="507"/>
      <c r="N557" s="507"/>
      <c r="O557" s="507"/>
      <c r="P557" s="507"/>
      <c r="Q557" s="507"/>
      <c r="R557" s="507"/>
      <c r="S557" s="507"/>
    </row>
    <row r="558" ht="35.25" customHeight="1">
      <c r="A558" s="18"/>
      <c r="B558" s="547" t="s">
        <v>89</v>
      </c>
      <c r="C558" s="598">
        <v>1.020675E8</v>
      </c>
      <c r="D558" s="18"/>
      <c r="E558" s="507"/>
      <c r="F558" s="507"/>
      <c r="G558" s="507"/>
      <c r="H558" s="507"/>
      <c r="I558" s="507"/>
      <c r="J558" s="507"/>
      <c r="K558" s="507"/>
      <c r="L558" s="507"/>
      <c r="M558" s="507"/>
      <c r="N558" s="507"/>
      <c r="O558" s="507"/>
      <c r="P558" s="507"/>
      <c r="Q558" s="507"/>
      <c r="R558" s="507"/>
      <c r="S558" s="507"/>
    </row>
    <row r="559" ht="35.25" customHeight="1">
      <c r="A559" s="18"/>
      <c r="B559" s="547" t="s">
        <v>220</v>
      </c>
      <c r="C559" s="593">
        <v>1.588085E8</v>
      </c>
      <c r="D559" s="18"/>
      <c r="E559" s="507"/>
      <c r="F559" s="507"/>
      <c r="G559" s="507"/>
      <c r="H559" s="507"/>
      <c r="I559" s="507"/>
      <c r="J559" s="507"/>
      <c r="K559" s="507"/>
      <c r="L559" s="507"/>
      <c r="M559" s="507"/>
      <c r="N559" s="507"/>
      <c r="O559" s="507"/>
      <c r="P559" s="507"/>
      <c r="Q559" s="507"/>
      <c r="R559" s="507"/>
      <c r="S559" s="507"/>
    </row>
    <row r="560" ht="35.25" customHeight="1">
      <c r="A560" s="22"/>
      <c r="B560" s="547" t="s">
        <v>220</v>
      </c>
      <c r="C560" s="593">
        <v>1.588085E8</v>
      </c>
      <c r="D560" s="22"/>
      <c r="E560" s="507"/>
      <c r="F560" s="507"/>
      <c r="G560" s="507"/>
      <c r="H560" s="507"/>
      <c r="I560" s="507"/>
      <c r="J560" s="507"/>
      <c r="K560" s="507"/>
      <c r="L560" s="507"/>
      <c r="M560" s="507"/>
      <c r="N560" s="507"/>
      <c r="O560" s="507"/>
      <c r="P560" s="507"/>
      <c r="Q560" s="507"/>
      <c r="R560" s="507"/>
      <c r="S560" s="507"/>
    </row>
    <row r="561" ht="35.25" customHeight="1">
      <c r="A561" s="679" t="s">
        <v>943</v>
      </c>
      <c r="B561" s="547" t="s">
        <v>770</v>
      </c>
      <c r="C561" s="593">
        <v>6.39185E7</v>
      </c>
      <c r="D561" s="680">
        <f>SUM(C561:C564)</f>
        <v>135171000</v>
      </c>
      <c r="E561" s="507"/>
      <c r="F561" s="507"/>
      <c r="G561" s="507"/>
      <c r="H561" s="507"/>
      <c r="I561" s="507"/>
      <c r="J561" s="507"/>
      <c r="K561" s="507"/>
      <c r="L561" s="507"/>
      <c r="M561" s="507"/>
      <c r="N561" s="507"/>
      <c r="O561" s="507"/>
      <c r="P561" s="507"/>
      <c r="Q561" s="507"/>
      <c r="R561" s="507"/>
      <c r="S561" s="507"/>
    </row>
    <row r="562" ht="35.25" customHeight="1">
      <c r="A562" s="18"/>
      <c r="B562" s="547" t="s">
        <v>92</v>
      </c>
      <c r="C562" s="593">
        <v>7.12525E7</v>
      </c>
      <c r="D562" s="18"/>
      <c r="E562" s="507"/>
      <c r="F562" s="507"/>
      <c r="G562" s="507"/>
      <c r="H562" s="507"/>
      <c r="I562" s="507"/>
      <c r="J562" s="507"/>
      <c r="K562" s="507"/>
      <c r="L562" s="507"/>
      <c r="M562" s="507"/>
      <c r="N562" s="507"/>
      <c r="O562" s="507"/>
      <c r="P562" s="507"/>
      <c r="Q562" s="507"/>
      <c r="R562" s="507"/>
      <c r="S562" s="507"/>
    </row>
    <row r="563" ht="35.25" customHeight="1">
      <c r="A563" s="18"/>
      <c r="B563" s="547"/>
      <c r="C563" s="598"/>
      <c r="D563" s="18"/>
      <c r="E563" s="507"/>
      <c r="F563" s="507"/>
      <c r="G563" s="507"/>
      <c r="H563" s="507"/>
      <c r="I563" s="507"/>
      <c r="J563" s="507"/>
      <c r="K563" s="507"/>
      <c r="L563" s="507"/>
      <c r="M563" s="507"/>
      <c r="N563" s="507"/>
      <c r="O563" s="507"/>
      <c r="P563" s="507"/>
      <c r="Q563" s="507"/>
      <c r="R563" s="507"/>
      <c r="S563" s="507"/>
    </row>
    <row r="564" ht="35.25" customHeight="1">
      <c r="A564" s="22"/>
      <c r="B564" s="547"/>
      <c r="C564" s="593"/>
      <c r="D564" s="22"/>
      <c r="E564" s="507"/>
      <c r="F564" s="507"/>
      <c r="G564" s="507"/>
      <c r="H564" s="507"/>
      <c r="I564" s="507"/>
      <c r="J564" s="507"/>
      <c r="K564" s="507"/>
      <c r="L564" s="507"/>
      <c r="M564" s="507"/>
      <c r="N564" s="507"/>
      <c r="O564" s="507"/>
      <c r="P564" s="507"/>
      <c r="Q564" s="507"/>
      <c r="R564" s="507"/>
      <c r="S564" s="507"/>
    </row>
    <row r="565" ht="35.25" customHeight="1">
      <c r="A565" s="679" t="s">
        <v>944</v>
      </c>
      <c r="B565" s="547" t="s">
        <v>88</v>
      </c>
      <c r="C565" s="593"/>
      <c r="D565" s="680">
        <f>SUM(C565:C568)</f>
        <v>0</v>
      </c>
      <c r="E565" s="507"/>
      <c r="F565" s="507"/>
      <c r="G565" s="507"/>
      <c r="H565" s="507"/>
      <c r="I565" s="507"/>
      <c r="J565" s="507"/>
      <c r="K565" s="507"/>
      <c r="L565" s="507"/>
      <c r="M565" s="507"/>
      <c r="N565" s="507"/>
      <c r="O565" s="507"/>
      <c r="P565" s="507"/>
      <c r="Q565" s="507"/>
      <c r="R565" s="507"/>
      <c r="S565" s="507"/>
    </row>
    <row r="566" ht="35.25" customHeight="1">
      <c r="A566" s="18"/>
      <c r="B566" s="547" t="s">
        <v>219</v>
      </c>
      <c r="C566" s="593"/>
      <c r="D566" s="18"/>
      <c r="E566" s="507"/>
      <c r="F566" s="507"/>
      <c r="G566" s="507"/>
      <c r="H566" s="507"/>
      <c r="I566" s="507"/>
      <c r="J566" s="507"/>
      <c r="K566" s="507"/>
      <c r="L566" s="507"/>
      <c r="M566" s="507"/>
      <c r="N566" s="507"/>
      <c r="O566" s="507"/>
      <c r="P566" s="507"/>
      <c r="Q566" s="507"/>
      <c r="R566" s="507"/>
      <c r="S566" s="507"/>
    </row>
    <row r="567" ht="35.25" customHeight="1">
      <c r="A567" s="18"/>
      <c r="B567" s="547" t="s">
        <v>89</v>
      </c>
      <c r="C567" s="598"/>
      <c r="D567" s="18"/>
      <c r="E567" s="556" t="s">
        <v>945</v>
      </c>
      <c r="F567" s="507"/>
      <c r="G567" s="507"/>
      <c r="H567" s="507"/>
      <c r="I567" s="507"/>
      <c r="J567" s="507"/>
      <c r="K567" s="507"/>
      <c r="L567" s="507"/>
      <c r="M567" s="507"/>
      <c r="N567" s="507"/>
      <c r="O567" s="507"/>
      <c r="P567" s="507"/>
      <c r="Q567" s="507"/>
      <c r="R567" s="507"/>
      <c r="S567" s="507"/>
    </row>
    <row r="568" ht="35.25" customHeight="1">
      <c r="A568" s="22"/>
      <c r="B568" s="547" t="s">
        <v>220</v>
      </c>
      <c r="C568" s="593"/>
      <c r="D568" s="22"/>
      <c r="E568" s="507"/>
      <c r="F568" s="507"/>
      <c r="G568" s="507"/>
      <c r="H568" s="507"/>
      <c r="I568" s="507"/>
      <c r="J568" s="507"/>
      <c r="K568" s="507"/>
      <c r="L568" s="507"/>
      <c r="M568" s="507"/>
      <c r="N568" s="507"/>
      <c r="O568" s="507"/>
      <c r="P568" s="507"/>
      <c r="Q568" s="507"/>
      <c r="R568" s="507"/>
      <c r="S568" s="507"/>
    </row>
    <row r="569" ht="35.25" customHeight="1">
      <c r="A569" s="679" t="s">
        <v>946</v>
      </c>
      <c r="B569" s="547" t="s">
        <v>88</v>
      </c>
      <c r="C569" s="593">
        <v>0.0</v>
      </c>
      <c r="D569" s="680">
        <f>SUM(C569:C572)</f>
        <v>53659000</v>
      </c>
      <c r="E569" s="507"/>
      <c r="F569" s="507"/>
      <c r="G569" s="507"/>
      <c r="H569" s="507"/>
      <c r="I569" s="507"/>
      <c r="J569" s="507"/>
      <c r="K569" s="507"/>
      <c r="L569" s="507"/>
      <c r="M569" s="507"/>
      <c r="N569" s="507"/>
      <c r="O569" s="507"/>
      <c r="P569" s="507"/>
      <c r="Q569" s="507"/>
      <c r="R569" s="507"/>
      <c r="S569" s="507"/>
    </row>
    <row r="570" ht="35.25" customHeight="1">
      <c r="A570" s="18"/>
      <c r="B570" s="547" t="s">
        <v>219</v>
      </c>
      <c r="C570" s="593">
        <v>0.0</v>
      </c>
      <c r="D570" s="18"/>
      <c r="E570" s="507"/>
      <c r="F570" s="507"/>
      <c r="G570" s="507"/>
      <c r="H570" s="507"/>
      <c r="I570" s="507"/>
      <c r="J570" s="507"/>
      <c r="K570" s="507"/>
      <c r="L570" s="507"/>
      <c r="M570" s="507"/>
      <c r="N570" s="507"/>
      <c r="O570" s="507"/>
      <c r="P570" s="507"/>
      <c r="Q570" s="507"/>
      <c r="R570" s="507"/>
      <c r="S570" s="507"/>
    </row>
    <row r="571" ht="35.25" customHeight="1">
      <c r="A571" s="18"/>
      <c r="B571" s="547" t="s">
        <v>89</v>
      </c>
      <c r="C571" s="598">
        <v>0.0</v>
      </c>
      <c r="D571" s="18"/>
      <c r="E571" s="507"/>
      <c r="F571" s="507"/>
      <c r="G571" s="507"/>
      <c r="H571" s="507"/>
      <c r="I571" s="507"/>
      <c r="J571" s="507"/>
      <c r="K571" s="507"/>
      <c r="L571" s="507"/>
      <c r="M571" s="507"/>
      <c r="N571" s="507"/>
      <c r="O571" s="507"/>
      <c r="P571" s="507"/>
      <c r="Q571" s="507"/>
      <c r="R571" s="507"/>
      <c r="S571" s="507"/>
    </row>
    <row r="572" ht="35.25" customHeight="1">
      <c r="A572" s="22"/>
      <c r="B572" s="547" t="s">
        <v>220</v>
      </c>
      <c r="C572" s="593">
        <v>5.3659E7</v>
      </c>
      <c r="D572" s="22"/>
      <c r="E572" s="507"/>
      <c r="F572" s="507"/>
      <c r="G572" s="507"/>
      <c r="H572" s="507"/>
      <c r="I572" s="507"/>
      <c r="J572" s="507"/>
      <c r="K572" s="507"/>
      <c r="L572" s="507"/>
      <c r="M572" s="507"/>
      <c r="N572" s="507"/>
      <c r="O572" s="507"/>
      <c r="P572" s="507"/>
      <c r="Q572" s="507"/>
      <c r="R572" s="507"/>
      <c r="S572" s="507"/>
    </row>
    <row r="573" ht="35.25" customHeight="1">
      <c r="A573" s="679" t="s">
        <v>947</v>
      </c>
      <c r="B573" s="547" t="s">
        <v>89</v>
      </c>
      <c r="C573" s="598">
        <v>1.5848E7</v>
      </c>
      <c r="D573" s="680">
        <f>SUM(C573:C576)</f>
        <v>152914000</v>
      </c>
      <c r="E573" s="507"/>
      <c r="F573" s="507"/>
      <c r="G573" s="507"/>
      <c r="H573" s="507"/>
      <c r="I573" s="507"/>
      <c r="J573" s="507"/>
      <c r="K573" s="507"/>
      <c r="L573" s="507"/>
      <c r="M573" s="507"/>
      <c r="N573" s="507"/>
      <c r="O573" s="507"/>
      <c r="P573" s="507"/>
      <c r="Q573" s="507"/>
      <c r="R573" s="507"/>
      <c r="S573" s="507"/>
    </row>
    <row r="574" ht="35.25" customHeight="1">
      <c r="A574" s="18"/>
      <c r="B574" s="547" t="s">
        <v>220</v>
      </c>
      <c r="C574" s="593">
        <v>7.6005E7</v>
      </c>
      <c r="D574" s="18"/>
      <c r="E574" s="507"/>
      <c r="F574" s="556" t="s">
        <v>948</v>
      </c>
      <c r="G574" s="507"/>
      <c r="H574" s="507"/>
      <c r="I574" s="507"/>
      <c r="J574" s="507"/>
      <c r="K574" s="507"/>
      <c r="L574" s="507"/>
      <c r="M574" s="507"/>
      <c r="N574" s="507"/>
      <c r="O574" s="507"/>
      <c r="P574" s="507"/>
      <c r="Q574" s="507"/>
      <c r="R574" s="507"/>
      <c r="S574" s="507"/>
    </row>
    <row r="575" ht="35.25" customHeight="1">
      <c r="A575" s="18"/>
      <c r="B575" s="547" t="s">
        <v>697</v>
      </c>
      <c r="C575" s="598">
        <f>62264000-363000-840000</f>
        <v>61061000</v>
      </c>
      <c r="D575" s="18"/>
      <c r="E575" s="507"/>
      <c r="F575" s="556" t="s">
        <v>949</v>
      </c>
      <c r="G575" s="507"/>
      <c r="H575" s="507"/>
      <c r="I575" s="507"/>
      <c r="J575" s="507"/>
      <c r="K575" s="507"/>
      <c r="L575" s="507"/>
      <c r="M575" s="507"/>
      <c r="N575" s="507"/>
      <c r="O575" s="507"/>
      <c r="P575" s="507"/>
      <c r="Q575" s="507"/>
      <c r="R575" s="507"/>
      <c r="S575" s="507"/>
    </row>
    <row r="576" ht="35.25" customHeight="1">
      <c r="A576" s="22"/>
      <c r="B576" s="547"/>
      <c r="C576" s="593"/>
      <c r="D576" s="22"/>
      <c r="E576" s="507"/>
      <c r="F576" s="556" t="s">
        <v>950</v>
      </c>
      <c r="G576" s="507">
        <f>280*3</f>
        <v>840</v>
      </c>
      <c r="H576" s="507"/>
      <c r="I576" s="507"/>
      <c r="J576" s="507"/>
      <c r="K576" s="507"/>
      <c r="L576" s="507"/>
      <c r="M576" s="507"/>
      <c r="N576" s="507"/>
      <c r="O576" s="507"/>
      <c r="P576" s="507"/>
      <c r="Q576" s="507"/>
      <c r="R576" s="507"/>
      <c r="S576" s="507"/>
    </row>
    <row r="577" ht="35.25" customHeight="1">
      <c r="A577" s="507"/>
      <c r="B577" s="507"/>
      <c r="C577" s="507"/>
      <c r="D577" s="508"/>
      <c r="E577" s="507"/>
      <c r="F577" s="507"/>
      <c r="G577" s="507"/>
      <c r="H577" s="507"/>
      <c r="I577" s="507"/>
      <c r="J577" s="507"/>
      <c r="K577" s="507"/>
      <c r="L577" s="507"/>
      <c r="M577" s="507"/>
      <c r="N577" s="507"/>
      <c r="O577" s="507"/>
      <c r="P577" s="507"/>
      <c r="Q577" s="507"/>
      <c r="R577" s="507"/>
      <c r="S577" s="507"/>
    </row>
    <row r="578" ht="35.25" customHeight="1">
      <c r="A578" s="507"/>
      <c r="B578" s="507"/>
      <c r="C578" s="507"/>
      <c r="D578" s="508"/>
      <c r="E578" s="507"/>
      <c r="F578" s="507"/>
      <c r="G578" s="507"/>
      <c r="H578" s="507"/>
      <c r="I578" s="507"/>
      <c r="J578" s="507"/>
      <c r="K578" s="507"/>
      <c r="L578" s="507"/>
      <c r="M578" s="507"/>
      <c r="N578" s="507"/>
      <c r="O578" s="507"/>
      <c r="P578" s="507"/>
      <c r="Q578" s="507"/>
      <c r="R578" s="507"/>
      <c r="S578" s="507"/>
    </row>
    <row r="579" ht="35.25" customHeight="1">
      <c r="A579" s="507"/>
      <c r="B579" s="507"/>
      <c r="C579" s="507"/>
      <c r="D579" s="508"/>
      <c r="E579" s="507"/>
      <c r="F579" s="507"/>
      <c r="G579" s="507"/>
      <c r="H579" s="507"/>
      <c r="I579" s="507"/>
      <c r="J579" s="507"/>
      <c r="K579" s="507"/>
      <c r="L579" s="507"/>
      <c r="M579" s="507"/>
      <c r="N579" s="507"/>
      <c r="O579" s="507"/>
      <c r="P579" s="507"/>
      <c r="Q579" s="507"/>
      <c r="R579" s="507"/>
      <c r="S579" s="507"/>
    </row>
    <row r="580" ht="35.25" customHeight="1">
      <c r="A580" s="507"/>
      <c r="B580" s="507"/>
      <c r="C580" s="507"/>
      <c r="D580" s="508"/>
      <c r="E580" s="507"/>
      <c r="F580" s="507"/>
      <c r="G580" s="507"/>
      <c r="H580" s="507"/>
      <c r="I580" s="507"/>
      <c r="J580" s="507"/>
      <c r="K580" s="507"/>
      <c r="L580" s="507"/>
      <c r="M580" s="507"/>
      <c r="N580" s="507"/>
      <c r="O580" s="507"/>
      <c r="P580" s="507"/>
      <c r="Q580" s="507"/>
      <c r="R580" s="507"/>
      <c r="S580" s="507"/>
    </row>
    <row r="581" ht="35.25" customHeight="1">
      <c r="A581" s="507"/>
      <c r="B581" s="507"/>
      <c r="C581" s="507"/>
      <c r="D581" s="508"/>
      <c r="E581" s="507"/>
      <c r="F581" s="507"/>
      <c r="G581" s="507"/>
      <c r="H581" s="507"/>
      <c r="I581" s="507"/>
      <c r="J581" s="507"/>
      <c r="K581" s="507"/>
      <c r="L581" s="507"/>
      <c r="M581" s="507"/>
      <c r="N581" s="507"/>
      <c r="O581" s="507"/>
      <c r="P581" s="507"/>
      <c r="Q581" s="507"/>
      <c r="R581" s="507"/>
      <c r="S581" s="507"/>
    </row>
    <row r="582" ht="35.25" customHeight="1">
      <c r="A582" s="507"/>
      <c r="B582" s="507"/>
      <c r="C582" s="507"/>
      <c r="D582" s="508"/>
      <c r="E582" s="507"/>
      <c r="F582" s="507"/>
      <c r="G582" s="507"/>
      <c r="H582" s="507"/>
      <c r="I582" s="507"/>
      <c r="J582" s="507"/>
      <c r="K582" s="507"/>
      <c r="L582" s="507"/>
      <c r="M582" s="507"/>
      <c r="N582" s="507"/>
      <c r="O582" s="507"/>
      <c r="P582" s="507"/>
      <c r="Q582" s="507"/>
      <c r="R582" s="507"/>
      <c r="S582" s="507"/>
    </row>
    <row r="583" ht="35.25" customHeight="1">
      <c r="A583" s="507"/>
      <c r="B583" s="507"/>
      <c r="C583" s="507"/>
      <c r="D583" s="508"/>
      <c r="E583" s="507"/>
      <c r="F583" s="507"/>
      <c r="G583" s="507"/>
      <c r="H583" s="507"/>
      <c r="I583" s="507"/>
      <c r="J583" s="507"/>
      <c r="K583" s="507"/>
      <c r="L583" s="507"/>
      <c r="M583" s="507"/>
      <c r="N583" s="507"/>
      <c r="O583" s="507"/>
      <c r="P583" s="507"/>
      <c r="Q583" s="507"/>
      <c r="R583" s="507"/>
      <c r="S583" s="507"/>
    </row>
    <row r="584" ht="35.25" customHeight="1">
      <c r="A584" s="507"/>
      <c r="B584" s="507"/>
      <c r="C584" s="507"/>
      <c r="D584" s="508"/>
      <c r="E584" s="507"/>
      <c r="F584" s="507"/>
      <c r="G584" s="507"/>
      <c r="H584" s="507"/>
      <c r="I584" s="507"/>
      <c r="J584" s="507"/>
      <c r="K584" s="507"/>
      <c r="L584" s="507"/>
      <c r="M584" s="507"/>
      <c r="N584" s="507"/>
      <c r="O584" s="507"/>
      <c r="P584" s="507"/>
      <c r="Q584" s="507"/>
      <c r="R584" s="507"/>
      <c r="S584" s="507"/>
    </row>
    <row r="585" ht="35.25" customHeight="1">
      <c r="A585" s="507"/>
      <c r="B585" s="507"/>
      <c r="C585" s="507"/>
      <c r="D585" s="508"/>
      <c r="E585" s="507"/>
      <c r="F585" s="507"/>
      <c r="G585" s="507"/>
      <c r="H585" s="507"/>
      <c r="I585" s="507"/>
      <c r="J585" s="507"/>
      <c r="K585" s="507"/>
      <c r="L585" s="507"/>
      <c r="M585" s="507"/>
      <c r="N585" s="507"/>
      <c r="O585" s="507"/>
      <c r="P585" s="507"/>
      <c r="Q585" s="507"/>
      <c r="R585" s="507"/>
      <c r="S585" s="507"/>
    </row>
    <row r="586" ht="35.25" customHeight="1">
      <c r="A586" s="507"/>
      <c r="B586" s="507"/>
      <c r="C586" s="507"/>
      <c r="D586" s="508"/>
      <c r="E586" s="507"/>
      <c r="F586" s="507"/>
      <c r="G586" s="507"/>
      <c r="H586" s="507"/>
      <c r="I586" s="507"/>
      <c r="J586" s="507"/>
      <c r="K586" s="507"/>
      <c r="L586" s="507"/>
      <c r="M586" s="507"/>
      <c r="N586" s="507"/>
      <c r="O586" s="507"/>
      <c r="P586" s="507"/>
      <c r="Q586" s="507"/>
      <c r="R586" s="507"/>
      <c r="S586" s="507"/>
    </row>
    <row r="587" ht="35.25" customHeight="1">
      <c r="A587" s="507"/>
      <c r="B587" s="507"/>
      <c r="C587" s="507"/>
      <c r="D587" s="508"/>
      <c r="E587" s="507"/>
      <c r="F587" s="507"/>
      <c r="G587" s="507"/>
      <c r="H587" s="507"/>
      <c r="I587" s="507"/>
      <c r="J587" s="507"/>
      <c r="K587" s="507"/>
      <c r="L587" s="507"/>
      <c r="M587" s="507"/>
      <c r="N587" s="507"/>
      <c r="O587" s="507"/>
      <c r="P587" s="507"/>
      <c r="Q587" s="507"/>
      <c r="R587" s="507"/>
      <c r="S587" s="507"/>
    </row>
    <row r="588" ht="35.25" customHeight="1">
      <c r="A588" s="507"/>
      <c r="B588" s="507"/>
      <c r="C588" s="507"/>
      <c r="D588" s="508"/>
      <c r="E588" s="507"/>
      <c r="F588" s="507"/>
      <c r="G588" s="507"/>
      <c r="H588" s="507"/>
      <c r="I588" s="507"/>
      <c r="J588" s="507"/>
      <c r="K588" s="507"/>
      <c r="L588" s="507"/>
      <c r="M588" s="507"/>
      <c r="N588" s="507"/>
      <c r="O588" s="507"/>
      <c r="P588" s="507"/>
      <c r="Q588" s="507"/>
      <c r="R588" s="507"/>
      <c r="S588" s="507"/>
    </row>
    <row r="589" ht="35.25" customHeight="1">
      <c r="A589" s="507"/>
      <c r="B589" s="507"/>
      <c r="C589" s="507"/>
      <c r="D589" s="508"/>
      <c r="E589" s="507"/>
      <c r="F589" s="507"/>
      <c r="G589" s="507"/>
      <c r="H589" s="507"/>
      <c r="I589" s="507"/>
      <c r="J589" s="507"/>
      <c r="K589" s="507"/>
      <c r="L589" s="507"/>
      <c r="M589" s="507"/>
      <c r="N589" s="507"/>
      <c r="O589" s="507"/>
      <c r="P589" s="507"/>
      <c r="Q589" s="507"/>
      <c r="R589" s="507"/>
      <c r="S589" s="507"/>
    </row>
    <row r="590" ht="35.25" customHeight="1">
      <c r="A590" s="507"/>
      <c r="B590" s="507"/>
      <c r="C590" s="507"/>
      <c r="D590" s="508"/>
      <c r="E590" s="507"/>
      <c r="F590" s="507"/>
      <c r="G590" s="507"/>
      <c r="H590" s="507"/>
      <c r="I590" s="507"/>
      <c r="J590" s="507"/>
      <c r="K590" s="507"/>
      <c r="L590" s="507"/>
      <c r="M590" s="507"/>
      <c r="N590" s="507"/>
      <c r="O590" s="507"/>
      <c r="P590" s="507"/>
      <c r="Q590" s="507"/>
      <c r="R590" s="507"/>
      <c r="S590" s="507"/>
    </row>
    <row r="591" ht="35.25" customHeight="1">
      <c r="A591" s="507"/>
      <c r="B591" s="507"/>
      <c r="C591" s="507"/>
      <c r="D591" s="508"/>
      <c r="E591" s="507"/>
      <c r="F591" s="507"/>
      <c r="G591" s="507"/>
      <c r="H591" s="507"/>
      <c r="I591" s="507"/>
      <c r="J591" s="507"/>
      <c r="K591" s="507"/>
      <c r="L591" s="507"/>
      <c r="M591" s="507"/>
      <c r="N591" s="507"/>
      <c r="O591" s="507"/>
      <c r="P591" s="507"/>
      <c r="Q591" s="507"/>
      <c r="R591" s="507"/>
      <c r="S591" s="507"/>
    </row>
    <row r="592" ht="35.25" customHeight="1">
      <c r="A592" s="507"/>
      <c r="B592" s="507"/>
      <c r="C592" s="507"/>
      <c r="D592" s="508"/>
      <c r="E592" s="507"/>
      <c r="F592" s="507"/>
      <c r="G592" s="507"/>
      <c r="H592" s="507"/>
      <c r="I592" s="507"/>
      <c r="J592" s="507"/>
      <c r="K592" s="507"/>
      <c r="L592" s="507"/>
      <c r="M592" s="507"/>
      <c r="N592" s="507"/>
      <c r="O592" s="507"/>
      <c r="P592" s="507"/>
      <c r="Q592" s="507"/>
      <c r="R592" s="507"/>
      <c r="S592" s="507"/>
    </row>
    <row r="593" ht="35.25" customHeight="1">
      <c r="A593" s="507"/>
      <c r="B593" s="507"/>
      <c r="C593" s="507"/>
      <c r="D593" s="508"/>
      <c r="E593" s="507"/>
      <c r="F593" s="507"/>
      <c r="G593" s="507"/>
      <c r="H593" s="507"/>
      <c r="I593" s="507"/>
      <c r="J593" s="507"/>
      <c r="K593" s="507"/>
      <c r="L593" s="507"/>
      <c r="M593" s="507"/>
      <c r="N593" s="507"/>
      <c r="O593" s="507"/>
      <c r="P593" s="507"/>
      <c r="Q593" s="507"/>
      <c r="R593" s="507"/>
      <c r="S593" s="507"/>
    </row>
    <row r="594" ht="35.25" customHeight="1">
      <c r="A594" s="507"/>
      <c r="B594" s="507"/>
      <c r="C594" s="507"/>
      <c r="D594" s="508"/>
      <c r="E594" s="507"/>
      <c r="F594" s="507"/>
      <c r="G594" s="507"/>
      <c r="H594" s="507"/>
      <c r="I594" s="507"/>
      <c r="J594" s="507"/>
      <c r="K594" s="507"/>
      <c r="L594" s="507"/>
      <c r="M594" s="507"/>
      <c r="N594" s="507"/>
      <c r="O594" s="507"/>
      <c r="P594" s="507"/>
      <c r="Q594" s="507"/>
      <c r="R594" s="507"/>
      <c r="S594" s="507"/>
    </row>
    <row r="595" ht="35.25" customHeight="1">
      <c r="A595" s="507"/>
      <c r="B595" s="507"/>
      <c r="C595" s="507"/>
      <c r="D595" s="508"/>
      <c r="E595" s="507"/>
      <c r="F595" s="507"/>
      <c r="G595" s="507"/>
      <c r="H595" s="507"/>
      <c r="I595" s="507"/>
      <c r="J595" s="507"/>
      <c r="K595" s="507"/>
      <c r="L595" s="507"/>
      <c r="M595" s="507"/>
      <c r="N595" s="507"/>
      <c r="O595" s="507"/>
      <c r="P595" s="507"/>
      <c r="Q595" s="507"/>
      <c r="R595" s="507"/>
      <c r="S595" s="507"/>
    </row>
    <row r="596" ht="35.25" customHeight="1">
      <c r="A596" s="507"/>
      <c r="B596" s="507"/>
      <c r="C596" s="507"/>
      <c r="D596" s="508"/>
      <c r="E596" s="507"/>
      <c r="F596" s="507"/>
      <c r="G596" s="507"/>
      <c r="H596" s="507"/>
      <c r="I596" s="507"/>
      <c r="J596" s="507"/>
      <c r="K596" s="507"/>
      <c r="L596" s="507"/>
      <c r="M596" s="507"/>
      <c r="N596" s="507"/>
      <c r="O596" s="507"/>
      <c r="P596" s="507"/>
      <c r="Q596" s="507"/>
      <c r="R596" s="507"/>
      <c r="S596" s="507"/>
    </row>
    <row r="597" ht="35.25" customHeight="1">
      <c r="A597" s="507"/>
      <c r="B597" s="507"/>
      <c r="C597" s="507"/>
      <c r="D597" s="508"/>
      <c r="E597" s="507"/>
      <c r="F597" s="507"/>
      <c r="G597" s="507"/>
      <c r="H597" s="507"/>
      <c r="I597" s="507"/>
      <c r="J597" s="507"/>
      <c r="K597" s="507"/>
      <c r="L597" s="507"/>
      <c r="M597" s="507"/>
      <c r="N597" s="507"/>
      <c r="O597" s="507"/>
      <c r="P597" s="507"/>
      <c r="Q597" s="507"/>
      <c r="R597" s="507"/>
      <c r="S597" s="507"/>
    </row>
    <row r="598" ht="35.25" customHeight="1">
      <c r="A598" s="507"/>
      <c r="B598" s="507"/>
      <c r="C598" s="507"/>
      <c r="D598" s="508"/>
      <c r="E598" s="507"/>
      <c r="F598" s="507"/>
      <c r="G598" s="507"/>
      <c r="H598" s="507"/>
      <c r="I598" s="507"/>
      <c r="J598" s="507"/>
      <c r="K598" s="507"/>
      <c r="L598" s="507"/>
      <c r="M598" s="507"/>
      <c r="N598" s="507"/>
      <c r="O598" s="507"/>
      <c r="P598" s="507"/>
      <c r="Q598" s="507"/>
      <c r="R598" s="507"/>
      <c r="S598" s="507"/>
    </row>
    <row r="599" ht="35.25" customHeight="1">
      <c r="A599" s="507"/>
      <c r="B599" s="507"/>
      <c r="C599" s="507"/>
      <c r="D599" s="508"/>
      <c r="E599" s="507"/>
      <c r="F599" s="507"/>
      <c r="G599" s="507"/>
      <c r="H599" s="507"/>
      <c r="I599" s="507"/>
      <c r="J599" s="507"/>
      <c r="K599" s="507"/>
      <c r="L599" s="507"/>
      <c r="M599" s="507"/>
      <c r="N599" s="507"/>
      <c r="O599" s="507"/>
      <c r="P599" s="507"/>
      <c r="Q599" s="507"/>
      <c r="R599" s="507"/>
      <c r="S599" s="507"/>
    </row>
    <row r="600" ht="35.25" customHeight="1">
      <c r="A600" s="507"/>
      <c r="B600" s="507"/>
      <c r="C600" s="507"/>
      <c r="D600" s="508"/>
      <c r="E600" s="507"/>
      <c r="F600" s="507"/>
      <c r="G600" s="507"/>
      <c r="H600" s="507"/>
      <c r="I600" s="507"/>
      <c r="J600" s="507"/>
      <c r="K600" s="507"/>
      <c r="L600" s="507"/>
      <c r="M600" s="507"/>
      <c r="N600" s="507"/>
      <c r="O600" s="507"/>
      <c r="P600" s="507"/>
      <c r="Q600" s="507"/>
      <c r="R600" s="507"/>
      <c r="S600" s="507"/>
    </row>
    <row r="601" ht="35.25" customHeight="1">
      <c r="A601" s="507"/>
      <c r="B601" s="507"/>
      <c r="C601" s="507"/>
      <c r="D601" s="508"/>
      <c r="E601" s="507"/>
      <c r="F601" s="507"/>
      <c r="G601" s="507"/>
      <c r="H601" s="507"/>
      <c r="I601" s="507"/>
      <c r="J601" s="507"/>
      <c r="K601" s="507"/>
      <c r="L601" s="507"/>
      <c r="M601" s="507"/>
      <c r="N601" s="507"/>
      <c r="O601" s="507"/>
      <c r="P601" s="507"/>
      <c r="Q601" s="507"/>
      <c r="R601" s="507"/>
      <c r="S601" s="507"/>
    </row>
    <row r="602" ht="35.25" customHeight="1">
      <c r="A602" s="507"/>
      <c r="B602" s="507"/>
      <c r="C602" s="507"/>
      <c r="D602" s="508"/>
      <c r="E602" s="507"/>
      <c r="F602" s="507"/>
      <c r="G602" s="507"/>
      <c r="H602" s="507"/>
      <c r="I602" s="507"/>
      <c r="J602" s="507"/>
      <c r="K602" s="507"/>
      <c r="L602" s="507"/>
      <c r="M602" s="507"/>
      <c r="N602" s="507"/>
      <c r="O602" s="507"/>
      <c r="P602" s="507"/>
      <c r="Q602" s="507"/>
      <c r="R602" s="507"/>
      <c r="S602" s="507"/>
    </row>
    <row r="603" ht="35.25" customHeight="1">
      <c r="A603" s="507"/>
      <c r="B603" s="507"/>
      <c r="C603" s="507"/>
      <c r="D603" s="508"/>
      <c r="E603" s="507"/>
      <c r="F603" s="507"/>
      <c r="G603" s="507"/>
      <c r="H603" s="507"/>
      <c r="I603" s="507"/>
      <c r="J603" s="507"/>
      <c r="K603" s="507"/>
      <c r="L603" s="507"/>
      <c r="M603" s="507"/>
      <c r="N603" s="507"/>
      <c r="O603" s="507"/>
      <c r="P603" s="507"/>
      <c r="Q603" s="507"/>
      <c r="R603" s="507"/>
      <c r="S603" s="507"/>
    </row>
    <row r="604" ht="35.25" customHeight="1">
      <c r="A604" s="507"/>
      <c r="B604" s="507"/>
      <c r="C604" s="507"/>
      <c r="D604" s="508"/>
      <c r="E604" s="507"/>
      <c r="F604" s="507"/>
      <c r="G604" s="507"/>
      <c r="H604" s="507"/>
      <c r="I604" s="507"/>
      <c r="J604" s="507"/>
      <c r="K604" s="507"/>
      <c r="L604" s="507"/>
      <c r="M604" s="507"/>
      <c r="N604" s="507"/>
      <c r="O604" s="507"/>
      <c r="P604" s="507"/>
      <c r="Q604" s="507"/>
      <c r="R604" s="507"/>
      <c r="S604" s="507"/>
    </row>
    <row r="605" ht="35.25" customHeight="1">
      <c r="A605" s="507"/>
      <c r="B605" s="507"/>
      <c r="C605" s="507"/>
      <c r="D605" s="508"/>
      <c r="E605" s="507"/>
      <c r="F605" s="507"/>
      <c r="G605" s="507"/>
      <c r="H605" s="507"/>
      <c r="I605" s="507"/>
      <c r="J605" s="507"/>
      <c r="K605" s="507"/>
      <c r="L605" s="507"/>
      <c r="M605" s="507"/>
      <c r="N605" s="507"/>
      <c r="O605" s="507"/>
      <c r="P605" s="507"/>
      <c r="Q605" s="507"/>
      <c r="R605" s="507"/>
      <c r="S605" s="507"/>
    </row>
    <row r="606" ht="35.25" customHeight="1">
      <c r="A606" s="507"/>
      <c r="B606" s="507"/>
      <c r="C606" s="507"/>
      <c r="D606" s="508"/>
      <c r="E606" s="507"/>
      <c r="F606" s="507"/>
      <c r="G606" s="507"/>
      <c r="H606" s="507"/>
      <c r="I606" s="507"/>
      <c r="J606" s="507"/>
      <c r="K606" s="507"/>
      <c r="L606" s="507"/>
      <c r="M606" s="507"/>
      <c r="N606" s="507"/>
      <c r="O606" s="507"/>
      <c r="P606" s="507"/>
      <c r="Q606" s="507"/>
      <c r="R606" s="507"/>
      <c r="S606" s="507"/>
    </row>
    <row r="607" ht="35.25" customHeight="1">
      <c r="A607" s="507"/>
      <c r="B607" s="507"/>
      <c r="C607" s="507"/>
      <c r="D607" s="508"/>
      <c r="E607" s="507"/>
      <c r="F607" s="507"/>
      <c r="G607" s="507"/>
      <c r="H607" s="507"/>
      <c r="I607" s="507"/>
      <c r="J607" s="507"/>
      <c r="K607" s="507"/>
      <c r="L607" s="507"/>
      <c r="M607" s="507"/>
      <c r="N607" s="507"/>
      <c r="O607" s="507"/>
      <c r="P607" s="507"/>
      <c r="Q607" s="507"/>
      <c r="R607" s="507"/>
      <c r="S607" s="507"/>
    </row>
    <row r="608" ht="35.25" customHeight="1">
      <c r="A608" s="507"/>
      <c r="B608" s="507"/>
      <c r="C608" s="507"/>
      <c r="D608" s="508"/>
      <c r="E608" s="507"/>
      <c r="F608" s="507"/>
      <c r="G608" s="507"/>
      <c r="H608" s="507"/>
      <c r="I608" s="507"/>
      <c r="J608" s="507"/>
      <c r="K608" s="507"/>
      <c r="L608" s="507"/>
      <c r="M608" s="507"/>
      <c r="N608" s="507"/>
      <c r="O608" s="507"/>
      <c r="P608" s="507"/>
      <c r="Q608" s="507"/>
      <c r="R608" s="507"/>
      <c r="S608" s="507"/>
    </row>
    <row r="609" ht="35.25" customHeight="1">
      <c r="A609" s="507"/>
      <c r="B609" s="507"/>
      <c r="C609" s="507"/>
      <c r="D609" s="508"/>
      <c r="E609" s="507"/>
      <c r="F609" s="507"/>
      <c r="G609" s="507"/>
      <c r="H609" s="507"/>
      <c r="I609" s="507"/>
      <c r="J609" s="507"/>
      <c r="K609" s="507"/>
      <c r="L609" s="507"/>
      <c r="M609" s="507"/>
      <c r="N609" s="507"/>
      <c r="O609" s="507"/>
      <c r="P609" s="507"/>
      <c r="Q609" s="507"/>
      <c r="R609" s="507"/>
      <c r="S609" s="507"/>
    </row>
    <row r="610" ht="35.25" customHeight="1">
      <c r="A610" s="507"/>
      <c r="B610" s="507"/>
      <c r="C610" s="507"/>
      <c r="D610" s="508"/>
      <c r="E610" s="507"/>
      <c r="F610" s="507"/>
      <c r="G610" s="507"/>
      <c r="H610" s="507"/>
      <c r="I610" s="507"/>
      <c r="J610" s="507"/>
      <c r="K610" s="507"/>
      <c r="L610" s="507"/>
      <c r="M610" s="507"/>
      <c r="N610" s="507"/>
      <c r="O610" s="507"/>
      <c r="P610" s="507"/>
      <c r="Q610" s="507"/>
      <c r="R610" s="507"/>
      <c r="S610" s="507"/>
    </row>
    <row r="611" ht="35.25" customHeight="1">
      <c r="A611" s="507"/>
      <c r="B611" s="507"/>
      <c r="C611" s="507"/>
      <c r="D611" s="508"/>
      <c r="E611" s="507"/>
      <c r="F611" s="507"/>
      <c r="G611" s="507"/>
      <c r="H611" s="507"/>
      <c r="I611" s="507"/>
      <c r="J611" s="507"/>
      <c r="K611" s="507"/>
      <c r="L611" s="507"/>
      <c r="M611" s="507"/>
      <c r="N611" s="507"/>
      <c r="O611" s="507"/>
      <c r="P611" s="507"/>
      <c r="Q611" s="507"/>
      <c r="R611" s="507"/>
      <c r="S611" s="507"/>
    </row>
    <row r="612" ht="35.25" customHeight="1">
      <c r="A612" s="507"/>
      <c r="B612" s="507"/>
      <c r="C612" s="507"/>
      <c r="D612" s="508"/>
      <c r="E612" s="507"/>
      <c r="F612" s="507"/>
      <c r="G612" s="507"/>
      <c r="H612" s="507"/>
      <c r="I612" s="507"/>
      <c r="J612" s="507"/>
      <c r="K612" s="507"/>
      <c r="L612" s="507"/>
      <c r="M612" s="507"/>
      <c r="N612" s="507"/>
      <c r="O612" s="507"/>
      <c r="P612" s="507"/>
      <c r="Q612" s="507"/>
      <c r="R612" s="507"/>
      <c r="S612" s="507"/>
    </row>
    <row r="613" ht="35.25" customHeight="1">
      <c r="A613" s="507"/>
      <c r="B613" s="507"/>
      <c r="C613" s="507"/>
      <c r="D613" s="508"/>
      <c r="E613" s="507"/>
      <c r="F613" s="507"/>
      <c r="G613" s="507"/>
      <c r="H613" s="507"/>
      <c r="I613" s="507"/>
      <c r="J613" s="507"/>
      <c r="K613" s="507"/>
      <c r="L613" s="507"/>
      <c r="M613" s="507"/>
      <c r="N613" s="507"/>
      <c r="O613" s="507"/>
      <c r="P613" s="507"/>
      <c r="Q613" s="507"/>
      <c r="R613" s="507"/>
      <c r="S613" s="507"/>
    </row>
    <row r="614" ht="35.25" customHeight="1">
      <c r="A614" s="507"/>
      <c r="B614" s="507"/>
      <c r="C614" s="507"/>
      <c r="D614" s="508"/>
      <c r="E614" s="507"/>
      <c r="F614" s="507"/>
      <c r="G614" s="507"/>
      <c r="H614" s="507"/>
      <c r="I614" s="507"/>
      <c r="J614" s="507"/>
      <c r="K614" s="507"/>
      <c r="L614" s="507"/>
      <c r="M614" s="507"/>
      <c r="N614" s="507"/>
      <c r="O614" s="507"/>
      <c r="P614" s="507"/>
      <c r="Q614" s="507"/>
      <c r="R614" s="507"/>
      <c r="S614" s="507"/>
    </row>
    <row r="615" ht="35.25" customHeight="1">
      <c r="A615" s="507"/>
      <c r="B615" s="507"/>
      <c r="C615" s="507"/>
      <c r="D615" s="508"/>
      <c r="E615" s="507"/>
      <c r="F615" s="507"/>
      <c r="G615" s="507"/>
      <c r="H615" s="507"/>
      <c r="I615" s="507"/>
      <c r="J615" s="507"/>
      <c r="K615" s="507"/>
      <c r="L615" s="507"/>
      <c r="M615" s="507"/>
      <c r="N615" s="507"/>
      <c r="O615" s="507"/>
      <c r="P615" s="507"/>
      <c r="Q615" s="507"/>
      <c r="R615" s="507"/>
      <c r="S615" s="507"/>
    </row>
    <row r="616" ht="35.25" customHeight="1">
      <c r="A616" s="507"/>
      <c r="B616" s="507"/>
      <c r="C616" s="507"/>
      <c r="D616" s="508"/>
      <c r="E616" s="507"/>
      <c r="F616" s="507"/>
      <c r="G616" s="507"/>
      <c r="H616" s="507"/>
      <c r="I616" s="507"/>
      <c r="J616" s="507"/>
      <c r="K616" s="507"/>
      <c r="L616" s="507"/>
      <c r="M616" s="507"/>
      <c r="N616" s="507"/>
      <c r="O616" s="507"/>
      <c r="P616" s="507"/>
      <c r="Q616" s="507"/>
      <c r="R616" s="507"/>
      <c r="S616" s="507"/>
    </row>
    <row r="617" ht="35.25" customHeight="1">
      <c r="A617" s="507"/>
      <c r="B617" s="507"/>
      <c r="C617" s="507"/>
      <c r="D617" s="508"/>
      <c r="E617" s="507"/>
      <c r="F617" s="507"/>
      <c r="G617" s="507"/>
      <c r="H617" s="507"/>
      <c r="I617" s="507"/>
      <c r="J617" s="507"/>
      <c r="K617" s="507"/>
      <c r="L617" s="507"/>
      <c r="M617" s="507"/>
      <c r="N617" s="507"/>
      <c r="O617" s="507"/>
      <c r="P617" s="507"/>
      <c r="Q617" s="507"/>
      <c r="R617" s="507"/>
      <c r="S617" s="507"/>
    </row>
    <row r="618" ht="35.25" customHeight="1">
      <c r="A618" s="507"/>
      <c r="B618" s="507"/>
      <c r="C618" s="507"/>
      <c r="D618" s="508"/>
      <c r="E618" s="507"/>
      <c r="F618" s="507"/>
      <c r="G618" s="507"/>
      <c r="H618" s="507"/>
      <c r="I618" s="507"/>
      <c r="J618" s="507"/>
      <c r="K618" s="507"/>
      <c r="L618" s="507"/>
      <c r="M618" s="507"/>
      <c r="N618" s="507"/>
      <c r="O618" s="507"/>
      <c r="P618" s="507"/>
      <c r="Q618" s="507"/>
      <c r="R618" s="507"/>
      <c r="S618" s="507"/>
    </row>
    <row r="619" ht="35.25" customHeight="1">
      <c r="A619" s="507"/>
      <c r="B619" s="507"/>
      <c r="C619" s="507"/>
      <c r="D619" s="508"/>
      <c r="E619" s="507"/>
      <c r="F619" s="507"/>
      <c r="G619" s="507"/>
      <c r="H619" s="507"/>
      <c r="I619" s="507"/>
      <c r="J619" s="507"/>
      <c r="K619" s="507"/>
      <c r="L619" s="507"/>
      <c r="M619" s="507"/>
      <c r="N619" s="507"/>
      <c r="O619" s="507"/>
      <c r="P619" s="507"/>
      <c r="Q619" s="507"/>
      <c r="R619" s="507"/>
      <c r="S619" s="507"/>
    </row>
    <row r="620" ht="35.25" customHeight="1">
      <c r="A620" s="507"/>
      <c r="B620" s="507"/>
      <c r="C620" s="507"/>
      <c r="D620" s="508"/>
      <c r="E620" s="507"/>
      <c r="F620" s="507"/>
      <c r="G620" s="507"/>
      <c r="H620" s="507"/>
      <c r="I620" s="507"/>
      <c r="J620" s="507"/>
      <c r="K620" s="507"/>
      <c r="L620" s="507"/>
      <c r="M620" s="507"/>
      <c r="N620" s="507"/>
      <c r="O620" s="507"/>
      <c r="P620" s="507"/>
      <c r="Q620" s="507"/>
      <c r="R620" s="507"/>
      <c r="S620" s="507"/>
    </row>
    <row r="621" ht="35.25" customHeight="1">
      <c r="A621" s="507"/>
      <c r="B621" s="507"/>
      <c r="C621" s="507"/>
      <c r="D621" s="508"/>
      <c r="E621" s="507"/>
      <c r="F621" s="507"/>
      <c r="G621" s="507"/>
      <c r="H621" s="507"/>
      <c r="I621" s="507"/>
      <c r="J621" s="507"/>
      <c r="K621" s="507"/>
      <c r="L621" s="507"/>
      <c r="M621" s="507"/>
      <c r="N621" s="507"/>
      <c r="O621" s="507"/>
      <c r="P621" s="507"/>
      <c r="Q621" s="507"/>
      <c r="R621" s="507"/>
      <c r="S621" s="507"/>
    </row>
    <row r="622" ht="35.25" customHeight="1">
      <c r="A622" s="507"/>
      <c r="B622" s="507"/>
      <c r="C622" s="507"/>
      <c r="D622" s="508"/>
      <c r="E622" s="507"/>
      <c r="F622" s="507"/>
      <c r="G622" s="507"/>
      <c r="H622" s="507"/>
      <c r="I622" s="507"/>
      <c r="J622" s="507"/>
      <c r="K622" s="507"/>
      <c r="L622" s="507"/>
      <c r="M622" s="507"/>
      <c r="N622" s="507"/>
      <c r="O622" s="507"/>
      <c r="P622" s="507"/>
      <c r="Q622" s="507"/>
      <c r="R622" s="507"/>
      <c r="S622" s="507"/>
    </row>
    <row r="623" ht="35.25" customHeight="1">
      <c r="A623" s="507"/>
      <c r="B623" s="507"/>
      <c r="C623" s="507"/>
      <c r="D623" s="508"/>
      <c r="E623" s="507"/>
      <c r="F623" s="507"/>
      <c r="G623" s="507"/>
      <c r="H623" s="507"/>
      <c r="I623" s="507"/>
      <c r="J623" s="507"/>
      <c r="K623" s="507"/>
      <c r="L623" s="507"/>
      <c r="M623" s="507"/>
      <c r="N623" s="507"/>
      <c r="O623" s="507"/>
      <c r="P623" s="507"/>
      <c r="Q623" s="507"/>
      <c r="R623" s="507"/>
      <c r="S623" s="507"/>
    </row>
    <row r="624" ht="35.25" customHeight="1">
      <c r="A624" s="507"/>
      <c r="B624" s="507"/>
      <c r="C624" s="507"/>
      <c r="D624" s="508"/>
      <c r="E624" s="507"/>
      <c r="F624" s="507"/>
      <c r="G624" s="507"/>
      <c r="H624" s="507"/>
      <c r="I624" s="507"/>
      <c r="J624" s="507"/>
      <c r="K624" s="507"/>
      <c r="L624" s="507"/>
      <c r="M624" s="507"/>
      <c r="N624" s="507"/>
      <c r="O624" s="507"/>
      <c r="P624" s="507"/>
      <c r="Q624" s="507"/>
      <c r="R624" s="507"/>
      <c r="S624" s="507"/>
    </row>
    <row r="625" ht="35.25" customHeight="1">
      <c r="A625" s="507"/>
      <c r="B625" s="507"/>
      <c r="C625" s="507"/>
      <c r="D625" s="508"/>
      <c r="E625" s="507"/>
      <c r="F625" s="507"/>
      <c r="G625" s="507"/>
      <c r="H625" s="507"/>
      <c r="I625" s="507"/>
      <c r="J625" s="507"/>
      <c r="K625" s="507"/>
      <c r="L625" s="507"/>
      <c r="M625" s="507"/>
      <c r="N625" s="507"/>
      <c r="O625" s="507"/>
      <c r="P625" s="507"/>
      <c r="Q625" s="507"/>
      <c r="R625" s="507"/>
      <c r="S625" s="507"/>
    </row>
    <row r="626" ht="35.25" customHeight="1">
      <c r="A626" s="507"/>
      <c r="B626" s="507"/>
      <c r="C626" s="507"/>
      <c r="D626" s="508"/>
      <c r="E626" s="507"/>
      <c r="F626" s="507"/>
      <c r="G626" s="507"/>
      <c r="H626" s="507"/>
      <c r="I626" s="507"/>
      <c r="J626" s="507"/>
      <c r="K626" s="507"/>
      <c r="L626" s="507"/>
      <c r="M626" s="507"/>
      <c r="N626" s="507"/>
      <c r="O626" s="507"/>
      <c r="P626" s="507"/>
      <c r="Q626" s="507"/>
      <c r="R626" s="507"/>
      <c r="S626" s="507"/>
    </row>
    <row r="627" ht="35.25" customHeight="1">
      <c r="A627" s="507"/>
      <c r="B627" s="507"/>
      <c r="C627" s="507"/>
      <c r="D627" s="508"/>
      <c r="E627" s="507"/>
      <c r="F627" s="507"/>
      <c r="G627" s="507"/>
      <c r="H627" s="507"/>
      <c r="I627" s="507"/>
      <c r="J627" s="507"/>
      <c r="K627" s="507"/>
      <c r="L627" s="507"/>
      <c r="M627" s="507"/>
      <c r="N627" s="507"/>
      <c r="O627" s="507"/>
      <c r="P627" s="507"/>
      <c r="Q627" s="507"/>
      <c r="R627" s="507"/>
      <c r="S627" s="507"/>
    </row>
    <row r="628" ht="35.25" customHeight="1">
      <c r="A628" s="507"/>
      <c r="B628" s="507"/>
      <c r="C628" s="507"/>
      <c r="D628" s="508"/>
      <c r="E628" s="507"/>
      <c r="F628" s="507"/>
      <c r="G628" s="507"/>
      <c r="H628" s="507"/>
      <c r="I628" s="507"/>
      <c r="J628" s="507"/>
      <c r="K628" s="507"/>
      <c r="L628" s="507"/>
      <c r="M628" s="507"/>
      <c r="N628" s="507"/>
      <c r="O628" s="507"/>
      <c r="P628" s="507"/>
      <c r="Q628" s="507"/>
      <c r="R628" s="507"/>
      <c r="S628" s="507"/>
    </row>
    <row r="629" ht="35.25" customHeight="1">
      <c r="A629" s="507"/>
      <c r="B629" s="507"/>
      <c r="C629" s="507"/>
      <c r="D629" s="508"/>
      <c r="E629" s="507"/>
      <c r="F629" s="507"/>
      <c r="G629" s="507"/>
      <c r="H629" s="507"/>
      <c r="I629" s="507"/>
      <c r="J629" s="507"/>
      <c r="K629" s="507"/>
      <c r="L629" s="507"/>
      <c r="M629" s="507"/>
      <c r="N629" s="507"/>
      <c r="O629" s="507"/>
      <c r="P629" s="507"/>
      <c r="Q629" s="507"/>
      <c r="R629" s="507"/>
      <c r="S629" s="507"/>
    </row>
    <row r="630" ht="35.25" customHeight="1">
      <c r="A630" s="507"/>
      <c r="B630" s="507"/>
      <c r="C630" s="507"/>
      <c r="D630" s="508"/>
      <c r="E630" s="507"/>
      <c r="F630" s="507"/>
      <c r="G630" s="507"/>
      <c r="H630" s="507"/>
      <c r="I630" s="507"/>
      <c r="J630" s="507"/>
      <c r="K630" s="507"/>
      <c r="L630" s="507"/>
      <c r="M630" s="507"/>
      <c r="N630" s="507"/>
      <c r="O630" s="507"/>
      <c r="P630" s="507"/>
      <c r="Q630" s="507"/>
      <c r="R630" s="507"/>
      <c r="S630" s="507"/>
    </row>
    <row r="631" ht="35.25" customHeight="1">
      <c r="A631" s="507"/>
      <c r="B631" s="507"/>
      <c r="C631" s="507"/>
      <c r="D631" s="508"/>
      <c r="E631" s="507"/>
      <c r="F631" s="507"/>
      <c r="G631" s="507"/>
      <c r="H631" s="507"/>
      <c r="I631" s="507"/>
      <c r="J631" s="507"/>
      <c r="K631" s="507"/>
      <c r="L631" s="507"/>
      <c r="M631" s="507"/>
      <c r="N631" s="507"/>
      <c r="O631" s="507"/>
      <c r="P631" s="507"/>
      <c r="Q631" s="507"/>
      <c r="R631" s="507"/>
      <c r="S631" s="507"/>
    </row>
    <row r="632" ht="35.25" customHeight="1">
      <c r="A632" s="507"/>
      <c r="B632" s="507"/>
      <c r="C632" s="507"/>
      <c r="D632" s="508"/>
      <c r="E632" s="507"/>
      <c r="F632" s="507"/>
      <c r="G632" s="507"/>
      <c r="H632" s="507"/>
      <c r="I632" s="507"/>
      <c r="J632" s="507"/>
      <c r="K632" s="507"/>
      <c r="L632" s="507"/>
      <c r="M632" s="507"/>
      <c r="N632" s="507"/>
      <c r="O632" s="507"/>
      <c r="P632" s="507"/>
      <c r="Q632" s="507"/>
      <c r="R632" s="507"/>
      <c r="S632" s="507"/>
    </row>
    <row r="633" ht="35.25" customHeight="1">
      <c r="A633" s="507"/>
      <c r="B633" s="507"/>
      <c r="C633" s="507"/>
      <c r="D633" s="508"/>
      <c r="E633" s="507"/>
      <c r="F633" s="507"/>
      <c r="G633" s="507"/>
      <c r="H633" s="507"/>
      <c r="I633" s="507"/>
      <c r="J633" s="507"/>
      <c r="K633" s="507"/>
      <c r="L633" s="507"/>
      <c r="M633" s="507"/>
      <c r="N633" s="507"/>
      <c r="O633" s="507"/>
      <c r="P633" s="507"/>
      <c r="Q633" s="507"/>
      <c r="R633" s="507"/>
      <c r="S633" s="507"/>
    </row>
    <row r="634" ht="35.25" customHeight="1">
      <c r="A634" s="507"/>
      <c r="B634" s="507"/>
      <c r="C634" s="507"/>
      <c r="D634" s="508"/>
      <c r="E634" s="507"/>
      <c r="F634" s="507"/>
      <c r="G634" s="507"/>
      <c r="H634" s="507"/>
      <c r="I634" s="507"/>
      <c r="J634" s="507"/>
      <c r="K634" s="507"/>
      <c r="L634" s="507"/>
      <c r="M634" s="507"/>
      <c r="N634" s="507"/>
      <c r="O634" s="507"/>
      <c r="P634" s="507"/>
      <c r="Q634" s="507"/>
      <c r="R634" s="507"/>
      <c r="S634" s="507"/>
    </row>
    <row r="635" ht="35.25" customHeight="1">
      <c r="A635" s="507"/>
      <c r="B635" s="507"/>
      <c r="C635" s="507"/>
      <c r="D635" s="508"/>
      <c r="E635" s="507"/>
      <c r="F635" s="507"/>
      <c r="G635" s="507"/>
      <c r="H635" s="507"/>
      <c r="I635" s="507"/>
      <c r="J635" s="507"/>
      <c r="K635" s="507"/>
      <c r="L635" s="507"/>
      <c r="M635" s="507"/>
      <c r="N635" s="507"/>
      <c r="O635" s="507"/>
      <c r="P635" s="507"/>
      <c r="Q635" s="507"/>
      <c r="R635" s="507"/>
      <c r="S635" s="507"/>
    </row>
    <row r="636" ht="35.25" customHeight="1">
      <c r="A636" s="507"/>
      <c r="B636" s="507"/>
      <c r="C636" s="507"/>
      <c r="D636" s="508"/>
      <c r="E636" s="507"/>
      <c r="F636" s="507"/>
      <c r="G636" s="507"/>
      <c r="H636" s="507"/>
      <c r="I636" s="507"/>
      <c r="J636" s="507"/>
      <c r="K636" s="507"/>
      <c r="L636" s="507"/>
      <c r="M636" s="507"/>
      <c r="N636" s="507"/>
      <c r="O636" s="507"/>
      <c r="P636" s="507"/>
      <c r="Q636" s="507"/>
      <c r="R636" s="507"/>
      <c r="S636" s="507"/>
    </row>
    <row r="637" ht="35.25" customHeight="1">
      <c r="A637" s="507"/>
      <c r="B637" s="507"/>
      <c r="C637" s="507"/>
      <c r="D637" s="508"/>
      <c r="E637" s="507"/>
      <c r="F637" s="507"/>
      <c r="G637" s="507"/>
      <c r="H637" s="507"/>
      <c r="I637" s="507"/>
      <c r="J637" s="507"/>
      <c r="K637" s="507"/>
      <c r="L637" s="507"/>
      <c r="M637" s="507"/>
      <c r="N637" s="507"/>
      <c r="O637" s="507"/>
      <c r="P637" s="507"/>
      <c r="Q637" s="507"/>
      <c r="R637" s="507"/>
      <c r="S637" s="507"/>
    </row>
    <row r="638" ht="35.25" customHeight="1">
      <c r="A638" s="507"/>
      <c r="B638" s="507"/>
      <c r="C638" s="507"/>
      <c r="D638" s="508"/>
      <c r="E638" s="507"/>
      <c r="F638" s="507"/>
      <c r="G638" s="507"/>
      <c r="H638" s="507"/>
      <c r="I638" s="507"/>
      <c r="J638" s="507"/>
      <c r="K638" s="507"/>
      <c r="L638" s="507"/>
      <c r="M638" s="507"/>
      <c r="N638" s="507"/>
      <c r="O638" s="507"/>
      <c r="P638" s="507"/>
      <c r="Q638" s="507"/>
      <c r="R638" s="507"/>
      <c r="S638" s="507"/>
    </row>
    <row r="639" ht="35.25" customHeight="1">
      <c r="A639" s="507"/>
      <c r="B639" s="507"/>
      <c r="C639" s="507"/>
      <c r="D639" s="508"/>
      <c r="E639" s="507"/>
      <c r="F639" s="507"/>
      <c r="G639" s="507"/>
      <c r="H639" s="507"/>
      <c r="I639" s="507"/>
      <c r="J639" s="507"/>
      <c r="K639" s="507"/>
      <c r="L639" s="507"/>
      <c r="M639" s="507"/>
      <c r="N639" s="507"/>
      <c r="O639" s="507"/>
      <c r="P639" s="507"/>
      <c r="Q639" s="507"/>
      <c r="R639" s="507"/>
      <c r="S639" s="507"/>
    </row>
    <row r="640" ht="35.25" customHeight="1">
      <c r="A640" s="507"/>
      <c r="B640" s="507"/>
      <c r="C640" s="507"/>
      <c r="D640" s="508"/>
      <c r="E640" s="507"/>
      <c r="F640" s="507"/>
      <c r="G640" s="507"/>
      <c r="H640" s="507"/>
      <c r="I640" s="507"/>
      <c r="J640" s="507"/>
      <c r="K640" s="507"/>
      <c r="L640" s="507"/>
      <c r="M640" s="507"/>
      <c r="N640" s="507"/>
      <c r="O640" s="507"/>
      <c r="P640" s="507"/>
      <c r="Q640" s="507"/>
      <c r="R640" s="507"/>
      <c r="S640" s="507"/>
    </row>
    <row r="641" ht="35.25" customHeight="1">
      <c r="A641" s="507"/>
      <c r="B641" s="507"/>
      <c r="C641" s="507"/>
      <c r="D641" s="508"/>
      <c r="E641" s="507"/>
      <c r="F641" s="507"/>
      <c r="G641" s="507"/>
      <c r="H641" s="507"/>
      <c r="I641" s="507"/>
      <c r="J641" s="507"/>
      <c r="K641" s="507"/>
      <c r="L641" s="507"/>
      <c r="M641" s="507"/>
      <c r="N641" s="507"/>
      <c r="O641" s="507"/>
      <c r="P641" s="507"/>
      <c r="Q641" s="507"/>
      <c r="R641" s="507"/>
      <c r="S641" s="507"/>
    </row>
    <row r="642" ht="35.25" customHeight="1">
      <c r="A642" s="507"/>
      <c r="B642" s="507"/>
      <c r="C642" s="507"/>
      <c r="D642" s="508"/>
      <c r="E642" s="507"/>
      <c r="F642" s="507"/>
      <c r="G642" s="507"/>
      <c r="H642" s="507"/>
      <c r="I642" s="507"/>
      <c r="J642" s="507"/>
      <c r="K642" s="507"/>
      <c r="L642" s="507"/>
      <c r="M642" s="507"/>
      <c r="N642" s="507"/>
      <c r="O642" s="507"/>
      <c r="P642" s="507"/>
      <c r="Q642" s="507"/>
      <c r="R642" s="507"/>
      <c r="S642" s="507"/>
    </row>
    <row r="643" ht="35.25" customHeight="1">
      <c r="A643" s="507"/>
      <c r="B643" s="507"/>
      <c r="C643" s="507"/>
      <c r="D643" s="508"/>
      <c r="E643" s="507"/>
      <c r="F643" s="507"/>
      <c r="G643" s="507"/>
      <c r="H643" s="507"/>
      <c r="I643" s="507"/>
      <c r="J643" s="507"/>
      <c r="K643" s="507"/>
      <c r="L643" s="507"/>
      <c r="M643" s="507"/>
      <c r="N643" s="507"/>
      <c r="O643" s="507"/>
      <c r="P643" s="507"/>
      <c r="Q643" s="507"/>
      <c r="R643" s="507"/>
      <c r="S643" s="507"/>
    </row>
    <row r="644" ht="35.25" customHeight="1">
      <c r="A644" s="507"/>
      <c r="B644" s="507"/>
      <c r="C644" s="507"/>
      <c r="D644" s="508"/>
      <c r="E644" s="507"/>
      <c r="F644" s="507"/>
      <c r="G644" s="507"/>
      <c r="H644" s="507"/>
      <c r="I644" s="507"/>
      <c r="J644" s="507"/>
      <c r="K644" s="507"/>
      <c r="L644" s="507"/>
      <c r="M644" s="507"/>
      <c r="N644" s="507"/>
      <c r="O644" s="507"/>
      <c r="P644" s="507"/>
      <c r="Q644" s="507"/>
      <c r="R644" s="507"/>
      <c r="S644" s="507"/>
    </row>
    <row r="645" ht="35.25" customHeight="1">
      <c r="A645" s="507"/>
      <c r="B645" s="507"/>
      <c r="C645" s="507"/>
      <c r="D645" s="508"/>
      <c r="E645" s="507"/>
      <c r="F645" s="507"/>
      <c r="G645" s="507"/>
      <c r="H645" s="507"/>
      <c r="I645" s="507"/>
      <c r="J645" s="507"/>
      <c r="K645" s="507"/>
      <c r="L645" s="507"/>
      <c r="M645" s="507"/>
      <c r="N645" s="507"/>
      <c r="O645" s="507"/>
      <c r="P645" s="507"/>
      <c r="Q645" s="507"/>
      <c r="R645" s="507"/>
      <c r="S645" s="507"/>
    </row>
    <row r="646" ht="35.25" customHeight="1">
      <c r="A646" s="507"/>
      <c r="B646" s="507"/>
      <c r="C646" s="507"/>
      <c r="D646" s="508"/>
      <c r="E646" s="507"/>
      <c r="F646" s="507"/>
      <c r="G646" s="507"/>
      <c r="H646" s="507"/>
      <c r="I646" s="507"/>
      <c r="J646" s="507"/>
      <c r="K646" s="507"/>
      <c r="L646" s="507"/>
      <c r="M646" s="507"/>
      <c r="N646" s="507"/>
      <c r="O646" s="507"/>
      <c r="P646" s="507"/>
      <c r="Q646" s="507"/>
      <c r="R646" s="507"/>
      <c r="S646" s="507"/>
    </row>
    <row r="647" ht="35.25" customHeight="1">
      <c r="A647" s="507"/>
      <c r="B647" s="507"/>
      <c r="C647" s="507"/>
      <c r="D647" s="508"/>
      <c r="E647" s="507"/>
      <c r="F647" s="507"/>
      <c r="G647" s="507"/>
      <c r="H647" s="507"/>
      <c r="I647" s="507"/>
      <c r="J647" s="507"/>
      <c r="K647" s="507"/>
      <c r="L647" s="507"/>
      <c r="M647" s="507"/>
      <c r="N647" s="507"/>
      <c r="O647" s="507"/>
      <c r="P647" s="507"/>
      <c r="Q647" s="507"/>
      <c r="R647" s="507"/>
      <c r="S647" s="507"/>
    </row>
    <row r="648" ht="35.25" customHeight="1">
      <c r="A648" s="507"/>
      <c r="B648" s="507"/>
      <c r="C648" s="507"/>
      <c r="D648" s="508"/>
      <c r="E648" s="507"/>
      <c r="F648" s="507"/>
      <c r="G648" s="507"/>
      <c r="H648" s="507"/>
      <c r="I648" s="507"/>
      <c r="J648" s="507"/>
      <c r="K648" s="507"/>
      <c r="L648" s="507"/>
      <c r="M648" s="507"/>
      <c r="N648" s="507"/>
      <c r="O648" s="507"/>
      <c r="P648" s="507"/>
      <c r="Q648" s="507"/>
      <c r="R648" s="507"/>
      <c r="S648" s="507"/>
    </row>
    <row r="649" ht="35.25" customHeight="1">
      <c r="A649" s="507"/>
      <c r="B649" s="507"/>
      <c r="C649" s="507"/>
      <c r="D649" s="508"/>
      <c r="E649" s="507"/>
      <c r="F649" s="507"/>
      <c r="G649" s="507"/>
      <c r="H649" s="507"/>
      <c r="I649" s="507"/>
      <c r="J649" s="507"/>
      <c r="K649" s="507"/>
      <c r="L649" s="507"/>
      <c r="M649" s="507"/>
      <c r="N649" s="507"/>
      <c r="O649" s="507"/>
      <c r="P649" s="507"/>
      <c r="Q649" s="507"/>
      <c r="R649" s="507"/>
      <c r="S649" s="507"/>
    </row>
    <row r="650" ht="35.25" customHeight="1">
      <c r="A650" s="507"/>
      <c r="B650" s="507"/>
      <c r="C650" s="507"/>
      <c r="D650" s="508"/>
      <c r="E650" s="507"/>
      <c r="F650" s="507"/>
      <c r="G650" s="507"/>
      <c r="H650" s="507"/>
      <c r="I650" s="507"/>
      <c r="J650" s="507"/>
      <c r="K650" s="507"/>
      <c r="L650" s="507"/>
      <c r="M650" s="507"/>
      <c r="N650" s="507"/>
      <c r="O650" s="507"/>
      <c r="P650" s="507"/>
      <c r="Q650" s="507"/>
      <c r="R650" s="507"/>
      <c r="S650" s="507"/>
    </row>
    <row r="651" ht="35.25" customHeight="1">
      <c r="A651" s="507"/>
      <c r="B651" s="507"/>
      <c r="C651" s="507"/>
      <c r="D651" s="508"/>
      <c r="E651" s="507"/>
      <c r="F651" s="507"/>
      <c r="G651" s="507"/>
      <c r="H651" s="507"/>
      <c r="I651" s="507"/>
      <c r="J651" s="507"/>
      <c r="K651" s="507"/>
      <c r="L651" s="507"/>
      <c r="M651" s="507"/>
      <c r="N651" s="507"/>
      <c r="O651" s="507"/>
      <c r="P651" s="507"/>
      <c r="Q651" s="507"/>
      <c r="R651" s="507"/>
      <c r="S651" s="507"/>
    </row>
    <row r="652" ht="35.25" customHeight="1">
      <c r="A652" s="507"/>
      <c r="B652" s="507"/>
      <c r="C652" s="507"/>
      <c r="D652" s="508"/>
      <c r="E652" s="507"/>
      <c r="F652" s="507"/>
      <c r="G652" s="507"/>
      <c r="H652" s="507"/>
      <c r="I652" s="507"/>
      <c r="J652" s="507"/>
      <c r="K652" s="507"/>
      <c r="L652" s="507"/>
      <c r="M652" s="507"/>
      <c r="N652" s="507"/>
      <c r="O652" s="507"/>
      <c r="P652" s="507"/>
      <c r="Q652" s="507"/>
      <c r="R652" s="507"/>
      <c r="S652" s="507"/>
    </row>
    <row r="653" ht="35.25" customHeight="1">
      <c r="A653" s="507"/>
      <c r="B653" s="507"/>
      <c r="C653" s="507"/>
      <c r="D653" s="508"/>
      <c r="E653" s="507"/>
      <c r="F653" s="507"/>
      <c r="G653" s="507"/>
      <c r="H653" s="507"/>
      <c r="I653" s="507"/>
      <c r="J653" s="507"/>
      <c r="K653" s="507"/>
      <c r="L653" s="507"/>
      <c r="M653" s="507"/>
      <c r="N653" s="507"/>
      <c r="O653" s="507"/>
      <c r="P653" s="507"/>
      <c r="Q653" s="507"/>
      <c r="R653" s="507"/>
      <c r="S653" s="507"/>
    </row>
    <row r="654" ht="35.25" customHeight="1">
      <c r="A654" s="507"/>
      <c r="B654" s="507"/>
      <c r="C654" s="507"/>
      <c r="D654" s="508"/>
      <c r="E654" s="507"/>
      <c r="F654" s="507"/>
      <c r="G654" s="507"/>
      <c r="H654" s="507"/>
      <c r="I654" s="507"/>
      <c r="J654" s="507"/>
      <c r="K654" s="507"/>
      <c r="L654" s="507"/>
      <c r="M654" s="507"/>
      <c r="N654" s="507"/>
      <c r="O654" s="507"/>
      <c r="P654" s="507"/>
      <c r="Q654" s="507"/>
      <c r="R654" s="507"/>
      <c r="S654" s="507"/>
    </row>
    <row r="655" ht="35.25" customHeight="1">
      <c r="A655" s="507"/>
      <c r="B655" s="507"/>
      <c r="C655" s="507"/>
      <c r="D655" s="508"/>
      <c r="E655" s="507"/>
      <c r="F655" s="507"/>
      <c r="G655" s="507"/>
      <c r="H655" s="507"/>
      <c r="I655" s="507"/>
      <c r="J655" s="507"/>
      <c r="K655" s="507"/>
      <c r="L655" s="507"/>
      <c r="M655" s="507"/>
      <c r="N655" s="507"/>
      <c r="O655" s="507"/>
      <c r="P655" s="507"/>
      <c r="Q655" s="507"/>
      <c r="R655" s="507"/>
      <c r="S655" s="507"/>
    </row>
    <row r="656" ht="35.25" customHeight="1">
      <c r="A656" s="507"/>
      <c r="B656" s="507"/>
      <c r="C656" s="507"/>
      <c r="D656" s="508"/>
      <c r="E656" s="507"/>
      <c r="F656" s="507"/>
      <c r="G656" s="507"/>
      <c r="H656" s="507"/>
      <c r="I656" s="507"/>
      <c r="J656" s="507"/>
      <c r="K656" s="507"/>
      <c r="L656" s="507"/>
      <c r="M656" s="507"/>
      <c r="N656" s="507"/>
      <c r="O656" s="507"/>
      <c r="P656" s="507"/>
      <c r="Q656" s="507"/>
      <c r="R656" s="507"/>
      <c r="S656" s="507"/>
    </row>
    <row r="657" ht="35.25" customHeight="1">
      <c r="A657" s="507"/>
      <c r="B657" s="507"/>
      <c r="C657" s="507"/>
      <c r="D657" s="508"/>
      <c r="E657" s="507"/>
      <c r="F657" s="507"/>
      <c r="G657" s="507"/>
      <c r="H657" s="507"/>
      <c r="I657" s="507"/>
      <c r="J657" s="507"/>
      <c r="K657" s="507"/>
      <c r="L657" s="507"/>
      <c r="M657" s="507"/>
      <c r="N657" s="507"/>
      <c r="O657" s="507"/>
      <c r="P657" s="507"/>
      <c r="Q657" s="507"/>
      <c r="R657" s="507"/>
      <c r="S657" s="507"/>
    </row>
    <row r="658" ht="35.25" customHeight="1">
      <c r="A658" s="507"/>
      <c r="B658" s="507"/>
      <c r="C658" s="507"/>
      <c r="D658" s="508"/>
      <c r="E658" s="507"/>
      <c r="F658" s="507"/>
      <c r="G658" s="507"/>
      <c r="H658" s="507"/>
      <c r="I658" s="507"/>
      <c r="J658" s="507"/>
      <c r="K658" s="507"/>
      <c r="L658" s="507"/>
      <c r="M658" s="507"/>
      <c r="N658" s="507"/>
      <c r="O658" s="507"/>
      <c r="P658" s="507"/>
      <c r="Q658" s="507"/>
      <c r="R658" s="507"/>
      <c r="S658" s="507"/>
    </row>
    <row r="659" ht="35.25" customHeight="1">
      <c r="A659" s="507"/>
      <c r="B659" s="507"/>
      <c r="C659" s="507"/>
      <c r="D659" s="508"/>
      <c r="E659" s="507"/>
      <c r="F659" s="507"/>
      <c r="G659" s="507"/>
      <c r="H659" s="507"/>
      <c r="I659" s="507"/>
      <c r="J659" s="507"/>
      <c r="K659" s="507"/>
      <c r="L659" s="507"/>
      <c r="M659" s="507"/>
      <c r="N659" s="507"/>
      <c r="O659" s="507"/>
      <c r="P659" s="507"/>
      <c r="Q659" s="507"/>
      <c r="R659" s="507"/>
      <c r="S659" s="507"/>
    </row>
    <row r="660" ht="35.25" customHeight="1">
      <c r="A660" s="507"/>
      <c r="B660" s="507"/>
      <c r="C660" s="507"/>
      <c r="D660" s="508"/>
      <c r="E660" s="507"/>
      <c r="F660" s="507"/>
      <c r="G660" s="507"/>
      <c r="H660" s="507"/>
      <c r="I660" s="507"/>
      <c r="J660" s="507"/>
      <c r="K660" s="507"/>
      <c r="L660" s="507"/>
      <c r="M660" s="507"/>
      <c r="N660" s="507"/>
      <c r="O660" s="507"/>
      <c r="P660" s="507"/>
      <c r="Q660" s="507"/>
      <c r="R660" s="507"/>
      <c r="S660" s="507"/>
    </row>
    <row r="661" ht="35.25" customHeight="1">
      <c r="A661" s="507"/>
      <c r="B661" s="507"/>
      <c r="C661" s="507"/>
      <c r="D661" s="508"/>
      <c r="E661" s="507"/>
      <c r="F661" s="507"/>
      <c r="G661" s="507"/>
      <c r="H661" s="507"/>
      <c r="I661" s="507"/>
      <c r="J661" s="507"/>
      <c r="K661" s="507"/>
      <c r="L661" s="507"/>
      <c r="M661" s="507"/>
      <c r="N661" s="507"/>
      <c r="O661" s="507"/>
      <c r="P661" s="507"/>
      <c r="Q661" s="507"/>
      <c r="R661" s="507"/>
      <c r="S661" s="507"/>
    </row>
    <row r="662" ht="35.25" customHeight="1">
      <c r="A662" s="507"/>
      <c r="B662" s="507"/>
      <c r="C662" s="507"/>
      <c r="D662" s="508"/>
      <c r="E662" s="507"/>
      <c r="F662" s="507"/>
      <c r="G662" s="507"/>
      <c r="H662" s="507"/>
      <c r="I662" s="507"/>
      <c r="J662" s="507"/>
      <c r="K662" s="507"/>
      <c r="L662" s="507"/>
      <c r="M662" s="507"/>
      <c r="N662" s="507"/>
      <c r="O662" s="507"/>
      <c r="P662" s="507"/>
      <c r="Q662" s="507"/>
      <c r="R662" s="507"/>
      <c r="S662" s="507"/>
    </row>
    <row r="663" ht="35.25" customHeight="1">
      <c r="A663" s="507"/>
      <c r="B663" s="507"/>
      <c r="C663" s="507"/>
      <c r="D663" s="508"/>
      <c r="E663" s="507"/>
      <c r="F663" s="507"/>
      <c r="G663" s="507"/>
      <c r="H663" s="507"/>
      <c r="I663" s="507"/>
      <c r="J663" s="507"/>
      <c r="K663" s="507"/>
      <c r="L663" s="507"/>
      <c r="M663" s="507"/>
      <c r="N663" s="507"/>
      <c r="O663" s="507"/>
      <c r="P663" s="507"/>
      <c r="Q663" s="507"/>
      <c r="R663" s="507"/>
      <c r="S663" s="507"/>
    </row>
    <row r="664" ht="35.25" customHeight="1">
      <c r="A664" s="507"/>
      <c r="B664" s="507"/>
      <c r="C664" s="507"/>
      <c r="D664" s="508"/>
      <c r="E664" s="507"/>
      <c r="F664" s="507"/>
      <c r="G664" s="507"/>
      <c r="H664" s="507"/>
      <c r="I664" s="507"/>
      <c r="J664" s="507"/>
      <c r="K664" s="507"/>
      <c r="L664" s="507"/>
      <c r="M664" s="507"/>
      <c r="N664" s="507"/>
      <c r="O664" s="507"/>
      <c r="P664" s="507"/>
      <c r="Q664" s="507"/>
      <c r="R664" s="507"/>
      <c r="S664" s="507"/>
    </row>
    <row r="665" ht="35.25" customHeight="1">
      <c r="A665" s="507"/>
      <c r="B665" s="507"/>
      <c r="C665" s="507"/>
      <c r="D665" s="508"/>
      <c r="E665" s="507"/>
      <c r="F665" s="507"/>
      <c r="G665" s="507"/>
      <c r="H665" s="507"/>
      <c r="I665" s="507"/>
      <c r="J665" s="507"/>
      <c r="K665" s="507"/>
      <c r="L665" s="507"/>
      <c r="M665" s="507"/>
      <c r="N665" s="507"/>
      <c r="O665" s="507"/>
      <c r="P665" s="507"/>
      <c r="Q665" s="507"/>
      <c r="R665" s="507"/>
      <c r="S665" s="507"/>
    </row>
    <row r="666" ht="35.25" customHeight="1">
      <c r="A666" s="507"/>
      <c r="B666" s="507"/>
      <c r="C666" s="507"/>
      <c r="D666" s="508"/>
      <c r="E666" s="507"/>
      <c r="F666" s="507"/>
      <c r="G666" s="507"/>
      <c r="H666" s="507"/>
      <c r="I666" s="507"/>
      <c r="J666" s="507"/>
      <c r="K666" s="507"/>
      <c r="L666" s="507"/>
      <c r="M666" s="507"/>
      <c r="N666" s="507"/>
      <c r="O666" s="507"/>
      <c r="P666" s="507"/>
      <c r="Q666" s="507"/>
      <c r="R666" s="507"/>
      <c r="S666" s="507"/>
    </row>
    <row r="667" ht="35.25" customHeight="1">
      <c r="A667" s="507"/>
      <c r="B667" s="507"/>
      <c r="C667" s="507"/>
      <c r="D667" s="508"/>
      <c r="E667" s="507"/>
      <c r="F667" s="507"/>
      <c r="G667" s="507"/>
      <c r="H667" s="507"/>
      <c r="I667" s="507"/>
      <c r="J667" s="507"/>
      <c r="K667" s="507"/>
      <c r="L667" s="507"/>
      <c r="M667" s="507"/>
      <c r="N667" s="507"/>
      <c r="O667" s="507"/>
      <c r="P667" s="507"/>
      <c r="Q667" s="507"/>
      <c r="R667" s="507"/>
      <c r="S667" s="507"/>
    </row>
    <row r="668" ht="35.25" customHeight="1">
      <c r="A668" s="507"/>
      <c r="B668" s="507"/>
      <c r="C668" s="507"/>
      <c r="D668" s="508"/>
      <c r="E668" s="507"/>
      <c r="F668" s="507"/>
      <c r="G668" s="507"/>
      <c r="H668" s="507"/>
      <c r="I668" s="507"/>
      <c r="J668" s="507"/>
      <c r="K668" s="507"/>
      <c r="L668" s="507"/>
      <c r="M668" s="507"/>
      <c r="N668" s="507"/>
      <c r="O668" s="507"/>
      <c r="P668" s="507"/>
      <c r="Q668" s="507"/>
      <c r="R668" s="507"/>
      <c r="S668" s="507"/>
    </row>
    <row r="669" ht="35.25" customHeight="1">
      <c r="A669" s="507"/>
      <c r="B669" s="507"/>
      <c r="C669" s="507"/>
      <c r="D669" s="508"/>
      <c r="E669" s="507"/>
      <c r="F669" s="507"/>
      <c r="G669" s="507"/>
      <c r="H669" s="507"/>
      <c r="I669" s="507"/>
      <c r="J669" s="507"/>
      <c r="K669" s="507"/>
      <c r="L669" s="507"/>
      <c r="M669" s="507"/>
      <c r="N669" s="507"/>
      <c r="O669" s="507"/>
      <c r="P669" s="507"/>
      <c r="Q669" s="507"/>
      <c r="R669" s="507"/>
      <c r="S669" s="507"/>
    </row>
    <row r="670" ht="35.25" customHeight="1">
      <c r="A670" s="507"/>
      <c r="B670" s="507"/>
      <c r="C670" s="507"/>
      <c r="D670" s="508"/>
      <c r="E670" s="507"/>
      <c r="F670" s="507"/>
      <c r="G670" s="507"/>
      <c r="H670" s="507"/>
      <c r="I670" s="507"/>
      <c r="J670" s="507"/>
      <c r="K670" s="507"/>
      <c r="L670" s="507"/>
      <c r="M670" s="507"/>
      <c r="N670" s="507"/>
      <c r="O670" s="507"/>
      <c r="P670" s="507"/>
      <c r="Q670" s="507"/>
      <c r="R670" s="507"/>
      <c r="S670" s="507"/>
    </row>
    <row r="671" ht="35.25" customHeight="1">
      <c r="A671" s="507"/>
      <c r="B671" s="507"/>
      <c r="C671" s="507"/>
      <c r="D671" s="508"/>
      <c r="E671" s="507"/>
      <c r="F671" s="507"/>
      <c r="G671" s="507"/>
      <c r="H671" s="507"/>
      <c r="I671" s="507"/>
      <c r="J671" s="507"/>
      <c r="K671" s="507"/>
      <c r="L671" s="507"/>
      <c r="M671" s="507"/>
      <c r="N671" s="507"/>
      <c r="O671" s="507"/>
      <c r="P671" s="507"/>
      <c r="Q671" s="507"/>
      <c r="R671" s="507"/>
      <c r="S671" s="507"/>
    </row>
    <row r="672" ht="35.25" customHeight="1">
      <c r="A672" s="507"/>
      <c r="B672" s="507"/>
      <c r="C672" s="507"/>
      <c r="D672" s="508"/>
      <c r="E672" s="507"/>
      <c r="F672" s="507"/>
      <c r="G672" s="507"/>
      <c r="H672" s="507"/>
      <c r="I672" s="507"/>
      <c r="J672" s="507"/>
      <c r="K672" s="507"/>
      <c r="L672" s="507"/>
      <c r="M672" s="507"/>
      <c r="N672" s="507"/>
      <c r="O672" s="507"/>
      <c r="P672" s="507"/>
      <c r="Q672" s="507"/>
      <c r="R672" s="507"/>
      <c r="S672" s="507"/>
    </row>
    <row r="673" ht="35.25" customHeight="1">
      <c r="A673" s="507"/>
      <c r="B673" s="507"/>
      <c r="C673" s="507"/>
      <c r="D673" s="508"/>
      <c r="E673" s="507"/>
      <c r="F673" s="507"/>
      <c r="G673" s="507"/>
      <c r="H673" s="507"/>
      <c r="I673" s="507"/>
      <c r="J673" s="507"/>
      <c r="K673" s="507"/>
      <c r="L673" s="507"/>
      <c r="M673" s="507"/>
      <c r="N673" s="507"/>
      <c r="O673" s="507"/>
      <c r="P673" s="507"/>
      <c r="Q673" s="507"/>
      <c r="R673" s="507"/>
      <c r="S673" s="507"/>
    </row>
    <row r="674" ht="35.25" customHeight="1">
      <c r="A674" s="507"/>
      <c r="B674" s="507"/>
      <c r="C674" s="507"/>
      <c r="D674" s="508"/>
      <c r="E674" s="507"/>
      <c r="F674" s="507"/>
      <c r="G674" s="507"/>
      <c r="H674" s="507"/>
      <c r="I674" s="507"/>
      <c r="J674" s="507"/>
      <c r="K674" s="507"/>
      <c r="L674" s="507"/>
      <c r="M674" s="507"/>
      <c r="N674" s="507"/>
      <c r="O674" s="507"/>
      <c r="P674" s="507"/>
      <c r="Q674" s="507"/>
      <c r="R674" s="507"/>
      <c r="S674" s="507"/>
    </row>
    <row r="675" ht="35.25" customHeight="1">
      <c r="A675" s="507"/>
      <c r="B675" s="507"/>
      <c r="C675" s="507"/>
      <c r="D675" s="508"/>
      <c r="E675" s="507"/>
      <c r="F675" s="507"/>
      <c r="G675" s="507"/>
      <c r="H675" s="507"/>
      <c r="I675" s="507"/>
      <c r="J675" s="507"/>
      <c r="K675" s="507"/>
      <c r="L675" s="507"/>
      <c r="M675" s="507"/>
      <c r="N675" s="507"/>
      <c r="O675" s="507"/>
      <c r="P675" s="507"/>
      <c r="Q675" s="507"/>
      <c r="R675" s="507"/>
      <c r="S675" s="507"/>
    </row>
    <row r="676" ht="35.25" customHeight="1">
      <c r="A676" s="507"/>
      <c r="B676" s="507"/>
      <c r="C676" s="507"/>
      <c r="D676" s="508"/>
      <c r="E676" s="507"/>
      <c r="F676" s="507"/>
      <c r="G676" s="507"/>
      <c r="H676" s="507"/>
      <c r="I676" s="507"/>
      <c r="J676" s="507"/>
      <c r="K676" s="507"/>
      <c r="L676" s="507"/>
      <c r="M676" s="507"/>
      <c r="N676" s="507"/>
      <c r="O676" s="507"/>
      <c r="P676" s="507"/>
      <c r="Q676" s="507"/>
      <c r="R676" s="507"/>
      <c r="S676" s="507"/>
    </row>
    <row r="677" ht="35.25" customHeight="1">
      <c r="A677" s="507"/>
      <c r="B677" s="507"/>
      <c r="C677" s="507"/>
      <c r="D677" s="508"/>
      <c r="E677" s="507"/>
      <c r="F677" s="507"/>
      <c r="G677" s="507"/>
      <c r="H677" s="507"/>
      <c r="I677" s="507"/>
      <c r="J677" s="507"/>
      <c r="K677" s="507"/>
      <c r="L677" s="507"/>
      <c r="M677" s="507"/>
      <c r="N677" s="507"/>
      <c r="O677" s="507"/>
      <c r="P677" s="507"/>
      <c r="Q677" s="507"/>
      <c r="R677" s="507"/>
      <c r="S677" s="507"/>
    </row>
    <row r="678" ht="35.25" customHeight="1">
      <c r="A678" s="507"/>
      <c r="B678" s="507"/>
      <c r="C678" s="507"/>
      <c r="D678" s="508"/>
      <c r="E678" s="507"/>
      <c r="F678" s="507"/>
      <c r="G678" s="507"/>
      <c r="H678" s="507"/>
      <c r="I678" s="507"/>
      <c r="J678" s="507"/>
      <c r="K678" s="507"/>
      <c r="L678" s="507"/>
      <c r="M678" s="507"/>
      <c r="N678" s="507"/>
      <c r="O678" s="507"/>
      <c r="P678" s="507"/>
      <c r="Q678" s="507"/>
      <c r="R678" s="507"/>
      <c r="S678" s="507"/>
    </row>
    <row r="679" ht="35.25" customHeight="1">
      <c r="A679" s="507"/>
      <c r="B679" s="507"/>
      <c r="C679" s="507"/>
      <c r="D679" s="508"/>
      <c r="E679" s="507"/>
      <c r="F679" s="507"/>
      <c r="G679" s="507"/>
      <c r="H679" s="507"/>
      <c r="I679" s="507"/>
      <c r="J679" s="507"/>
      <c r="K679" s="507"/>
      <c r="L679" s="507"/>
      <c r="M679" s="507"/>
      <c r="N679" s="507"/>
      <c r="O679" s="507"/>
      <c r="P679" s="507"/>
      <c r="Q679" s="507"/>
      <c r="R679" s="507"/>
      <c r="S679" s="507"/>
    </row>
    <row r="680" ht="35.25" customHeight="1">
      <c r="A680" s="507"/>
      <c r="B680" s="507"/>
      <c r="C680" s="507"/>
      <c r="D680" s="508"/>
      <c r="E680" s="507"/>
      <c r="F680" s="507"/>
      <c r="G680" s="507"/>
      <c r="H680" s="507"/>
      <c r="I680" s="507"/>
      <c r="J680" s="507"/>
      <c r="K680" s="507"/>
      <c r="L680" s="507"/>
      <c r="M680" s="507"/>
      <c r="N680" s="507"/>
      <c r="O680" s="507"/>
      <c r="P680" s="507"/>
      <c r="Q680" s="507"/>
      <c r="R680" s="507"/>
      <c r="S680" s="507"/>
    </row>
    <row r="681" ht="35.25" customHeight="1">
      <c r="A681" s="507"/>
      <c r="B681" s="507"/>
      <c r="C681" s="507"/>
      <c r="D681" s="508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  <c r="O681" s="507"/>
      <c r="P681" s="507"/>
      <c r="Q681" s="507"/>
      <c r="R681" s="507"/>
      <c r="S681" s="507"/>
    </row>
    <row r="682" ht="35.25" customHeight="1">
      <c r="A682" s="507"/>
      <c r="B682" s="507"/>
      <c r="C682" s="507"/>
      <c r="D682" s="508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  <c r="O682" s="507"/>
      <c r="P682" s="507"/>
      <c r="Q682" s="507"/>
      <c r="R682" s="507"/>
      <c r="S682" s="507"/>
    </row>
    <row r="683" ht="35.25" customHeight="1">
      <c r="A683" s="507"/>
      <c r="B683" s="507"/>
      <c r="C683" s="507"/>
      <c r="D683" s="508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  <c r="O683" s="507"/>
      <c r="P683" s="507"/>
      <c r="Q683" s="507"/>
      <c r="R683" s="507"/>
      <c r="S683" s="507"/>
    </row>
    <row r="684" ht="35.25" customHeight="1">
      <c r="A684" s="507"/>
      <c r="B684" s="507"/>
      <c r="C684" s="507"/>
      <c r="D684" s="508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  <c r="O684" s="507"/>
      <c r="P684" s="507"/>
      <c r="Q684" s="507"/>
      <c r="R684" s="507"/>
      <c r="S684" s="507"/>
    </row>
    <row r="685" ht="35.25" customHeight="1">
      <c r="A685" s="507"/>
      <c r="B685" s="507"/>
      <c r="C685" s="507"/>
      <c r="D685" s="508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  <c r="O685" s="507"/>
      <c r="P685" s="507"/>
      <c r="Q685" s="507"/>
      <c r="R685" s="507"/>
      <c r="S685" s="507"/>
    </row>
    <row r="686" ht="35.25" customHeight="1">
      <c r="A686" s="507"/>
      <c r="B686" s="507"/>
      <c r="C686" s="507"/>
      <c r="D686" s="508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  <c r="O686" s="507"/>
      <c r="P686" s="507"/>
      <c r="Q686" s="507"/>
      <c r="R686" s="507"/>
      <c r="S686" s="507"/>
    </row>
    <row r="687" ht="35.25" customHeight="1">
      <c r="A687" s="507"/>
      <c r="B687" s="507"/>
      <c r="C687" s="507"/>
      <c r="D687" s="508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  <c r="O687" s="507"/>
      <c r="P687" s="507"/>
      <c r="Q687" s="507"/>
      <c r="R687" s="507"/>
      <c r="S687" s="507"/>
    </row>
    <row r="688" ht="35.25" customHeight="1">
      <c r="A688" s="507"/>
      <c r="B688" s="507"/>
      <c r="C688" s="507"/>
      <c r="D688" s="508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  <c r="O688" s="507"/>
      <c r="P688" s="507"/>
      <c r="Q688" s="507"/>
      <c r="R688" s="507"/>
      <c r="S688" s="507"/>
    </row>
    <row r="689" ht="35.25" customHeight="1">
      <c r="A689" s="507"/>
      <c r="B689" s="507"/>
      <c r="C689" s="507"/>
      <c r="D689" s="508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  <c r="O689" s="507"/>
      <c r="P689" s="507"/>
      <c r="Q689" s="507"/>
      <c r="R689" s="507"/>
      <c r="S689" s="507"/>
    </row>
    <row r="690" ht="35.25" customHeight="1">
      <c r="A690" s="507"/>
      <c r="B690" s="507"/>
      <c r="C690" s="507"/>
      <c r="D690" s="508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  <c r="O690" s="507"/>
      <c r="P690" s="507"/>
      <c r="Q690" s="507"/>
      <c r="R690" s="507"/>
      <c r="S690" s="507"/>
    </row>
    <row r="691" ht="35.25" customHeight="1">
      <c r="A691" s="507"/>
      <c r="B691" s="507"/>
      <c r="C691" s="507"/>
      <c r="D691" s="508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  <c r="O691" s="507"/>
      <c r="P691" s="507"/>
      <c r="Q691" s="507"/>
      <c r="R691" s="507"/>
      <c r="S691" s="507"/>
    </row>
    <row r="692" ht="35.25" customHeight="1">
      <c r="A692" s="507"/>
      <c r="B692" s="507"/>
      <c r="C692" s="507"/>
      <c r="D692" s="508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  <c r="O692" s="507"/>
      <c r="P692" s="507"/>
      <c r="Q692" s="507"/>
      <c r="R692" s="507"/>
      <c r="S692" s="507"/>
    </row>
    <row r="693" ht="35.25" customHeight="1">
      <c r="A693" s="507"/>
      <c r="B693" s="507"/>
      <c r="C693" s="507"/>
      <c r="D693" s="508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  <c r="O693" s="507"/>
      <c r="P693" s="507"/>
      <c r="Q693" s="507"/>
      <c r="R693" s="507"/>
      <c r="S693" s="507"/>
    </row>
    <row r="694" ht="35.25" customHeight="1">
      <c r="A694" s="507"/>
      <c r="B694" s="507"/>
      <c r="C694" s="507"/>
      <c r="D694" s="508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  <c r="O694" s="507"/>
      <c r="P694" s="507"/>
      <c r="Q694" s="507"/>
      <c r="R694" s="507"/>
      <c r="S694" s="507"/>
    </row>
    <row r="695" ht="35.25" customHeight="1">
      <c r="A695" s="507"/>
      <c r="B695" s="507"/>
      <c r="C695" s="507"/>
      <c r="D695" s="508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  <c r="O695" s="507"/>
      <c r="P695" s="507"/>
      <c r="Q695" s="507"/>
      <c r="R695" s="507"/>
      <c r="S695" s="507"/>
    </row>
    <row r="696" ht="35.25" customHeight="1">
      <c r="A696" s="507"/>
      <c r="B696" s="507"/>
      <c r="C696" s="507"/>
      <c r="D696" s="508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  <c r="O696" s="507"/>
      <c r="P696" s="507"/>
      <c r="Q696" s="507"/>
      <c r="R696" s="507"/>
      <c r="S696" s="507"/>
    </row>
    <row r="697" ht="35.25" customHeight="1">
      <c r="A697" s="507"/>
      <c r="B697" s="507"/>
      <c r="C697" s="507"/>
      <c r="D697" s="508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  <c r="O697" s="507"/>
      <c r="P697" s="507"/>
      <c r="Q697" s="507"/>
      <c r="R697" s="507"/>
      <c r="S697" s="507"/>
    </row>
    <row r="698" ht="35.25" customHeight="1">
      <c r="A698" s="507"/>
      <c r="B698" s="507"/>
      <c r="C698" s="507"/>
      <c r="D698" s="508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  <c r="O698" s="507"/>
      <c r="P698" s="507"/>
      <c r="Q698" s="507"/>
      <c r="R698" s="507"/>
      <c r="S698" s="507"/>
    </row>
    <row r="699" ht="35.25" customHeight="1">
      <c r="A699" s="507"/>
      <c r="B699" s="507"/>
      <c r="C699" s="507"/>
      <c r="D699" s="508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  <c r="O699" s="507"/>
      <c r="P699" s="507"/>
      <c r="Q699" s="507"/>
      <c r="R699" s="507"/>
      <c r="S699" s="507"/>
    </row>
    <row r="700" ht="35.25" customHeight="1">
      <c r="A700" s="507"/>
      <c r="B700" s="507"/>
      <c r="C700" s="507"/>
      <c r="D700" s="508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  <c r="O700" s="507"/>
      <c r="P700" s="507"/>
      <c r="Q700" s="507"/>
      <c r="R700" s="507"/>
      <c r="S700" s="507"/>
    </row>
    <row r="701" ht="35.25" customHeight="1">
      <c r="A701" s="507"/>
      <c r="B701" s="507"/>
      <c r="C701" s="507"/>
      <c r="D701" s="508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  <c r="O701" s="507"/>
      <c r="P701" s="507"/>
      <c r="Q701" s="507"/>
      <c r="R701" s="507"/>
      <c r="S701" s="507"/>
    </row>
    <row r="702" ht="35.25" customHeight="1">
      <c r="A702" s="507"/>
      <c r="B702" s="507"/>
      <c r="C702" s="507"/>
      <c r="D702" s="508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  <c r="O702" s="507"/>
      <c r="P702" s="507"/>
      <c r="Q702" s="507"/>
      <c r="R702" s="507"/>
      <c r="S702" s="507"/>
    </row>
    <row r="703" ht="35.25" customHeight="1">
      <c r="A703" s="507"/>
      <c r="B703" s="507"/>
      <c r="C703" s="507"/>
      <c r="D703" s="508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  <c r="O703" s="507"/>
      <c r="P703" s="507"/>
      <c r="Q703" s="507"/>
      <c r="R703" s="507"/>
      <c r="S703" s="507"/>
    </row>
    <row r="704" ht="35.25" customHeight="1">
      <c r="A704" s="507"/>
      <c r="B704" s="507"/>
      <c r="C704" s="507"/>
      <c r="D704" s="508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  <c r="O704" s="507"/>
      <c r="P704" s="507"/>
      <c r="Q704" s="507"/>
      <c r="R704" s="507"/>
      <c r="S704" s="507"/>
    </row>
    <row r="705" ht="35.25" customHeight="1">
      <c r="A705" s="507"/>
      <c r="B705" s="507"/>
      <c r="C705" s="507"/>
      <c r="D705" s="508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  <c r="O705" s="507"/>
      <c r="P705" s="507"/>
      <c r="Q705" s="507"/>
      <c r="R705" s="507"/>
      <c r="S705" s="507"/>
    </row>
    <row r="706" ht="35.25" customHeight="1">
      <c r="A706" s="507"/>
      <c r="B706" s="507"/>
      <c r="C706" s="507"/>
      <c r="D706" s="508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  <c r="O706" s="507"/>
      <c r="P706" s="507"/>
      <c r="Q706" s="507"/>
      <c r="R706" s="507"/>
      <c r="S706" s="507"/>
    </row>
    <row r="707" ht="35.25" customHeight="1">
      <c r="A707" s="507"/>
      <c r="B707" s="507"/>
      <c r="C707" s="507"/>
      <c r="D707" s="508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  <c r="O707" s="507"/>
      <c r="P707" s="507"/>
      <c r="Q707" s="507"/>
      <c r="R707" s="507"/>
      <c r="S707" s="507"/>
    </row>
    <row r="708" ht="35.25" customHeight="1">
      <c r="A708" s="507"/>
      <c r="B708" s="507"/>
      <c r="C708" s="507"/>
      <c r="D708" s="508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  <c r="O708" s="507"/>
      <c r="P708" s="507"/>
      <c r="Q708" s="507"/>
      <c r="R708" s="507"/>
      <c r="S708" s="507"/>
    </row>
    <row r="709" ht="35.25" customHeight="1">
      <c r="A709" s="507"/>
      <c r="B709" s="507"/>
      <c r="C709" s="507"/>
      <c r="D709" s="508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  <c r="O709" s="507"/>
      <c r="P709" s="507"/>
      <c r="Q709" s="507"/>
      <c r="R709" s="507"/>
      <c r="S709" s="507"/>
    </row>
    <row r="710" ht="35.25" customHeight="1">
      <c r="A710" s="507"/>
      <c r="B710" s="507"/>
      <c r="C710" s="507"/>
      <c r="D710" s="508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  <c r="O710" s="507"/>
      <c r="P710" s="507"/>
      <c r="Q710" s="507"/>
      <c r="R710" s="507"/>
      <c r="S710" s="507"/>
    </row>
    <row r="711" ht="35.25" customHeight="1">
      <c r="A711" s="507"/>
      <c r="B711" s="507"/>
      <c r="C711" s="507"/>
      <c r="D711" s="508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  <c r="O711" s="507"/>
      <c r="P711" s="507"/>
      <c r="Q711" s="507"/>
      <c r="R711" s="507"/>
      <c r="S711" s="507"/>
    </row>
    <row r="712" ht="35.25" customHeight="1">
      <c r="A712" s="507"/>
      <c r="B712" s="507"/>
      <c r="C712" s="507"/>
      <c r="D712" s="508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  <c r="O712" s="507"/>
      <c r="P712" s="507"/>
      <c r="Q712" s="507"/>
      <c r="R712" s="507"/>
      <c r="S712" s="507"/>
    </row>
    <row r="713" ht="35.25" customHeight="1">
      <c r="A713" s="507"/>
      <c r="B713" s="507"/>
      <c r="C713" s="507"/>
      <c r="D713" s="508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  <c r="O713" s="507"/>
      <c r="P713" s="507"/>
      <c r="Q713" s="507"/>
      <c r="R713" s="507"/>
      <c r="S713" s="507"/>
    </row>
    <row r="714" ht="35.25" customHeight="1">
      <c r="A714" s="507"/>
      <c r="B714" s="507"/>
      <c r="C714" s="507"/>
      <c r="D714" s="508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  <c r="O714" s="507"/>
      <c r="P714" s="507"/>
      <c r="Q714" s="507"/>
      <c r="R714" s="507"/>
      <c r="S714" s="507"/>
    </row>
    <row r="715" ht="35.25" customHeight="1">
      <c r="A715" s="507"/>
      <c r="B715" s="507"/>
      <c r="C715" s="507"/>
      <c r="D715" s="508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  <c r="O715" s="507"/>
      <c r="P715" s="507"/>
      <c r="Q715" s="507"/>
      <c r="R715" s="507"/>
      <c r="S715" s="507"/>
    </row>
    <row r="716" ht="35.25" customHeight="1">
      <c r="A716" s="507"/>
      <c r="B716" s="507"/>
      <c r="C716" s="507"/>
      <c r="D716" s="508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  <c r="O716" s="507"/>
      <c r="P716" s="507"/>
      <c r="Q716" s="507"/>
      <c r="R716" s="507"/>
      <c r="S716" s="507"/>
    </row>
    <row r="717" ht="35.25" customHeight="1">
      <c r="A717" s="507"/>
      <c r="B717" s="507"/>
      <c r="C717" s="507"/>
      <c r="D717" s="508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  <c r="O717" s="507"/>
      <c r="P717" s="507"/>
      <c r="Q717" s="507"/>
      <c r="R717" s="507"/>
      <c r="S717" s="507"/>
    </row>
    <row r="718" ht="35.25" customHeight="1">
      <c r="A718" s="507"/>
      <c r="B718" s="507"/>
      <c r="C718" s="507"/>
      <c r="D718" s="508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  <c r="O718" s="507"/>
      <c r="P718" s="507"/>
      <c r="Q718" s="507"/>
      <c r="R718" s="507"/>
      <c r="S718" s="507"/>
    </row>
    <row r="719" ht="35.25" customHeight="1">
      <c r="A719" s="507"/>
      <c r="B719" s="507"/>
      <c r="C719" s="507"/>
      <c r="D719" s="508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  <c r="O719" s="507"/>
      <c r="P719" s="507"/>
      <c r="Q719" s="507"/>
      <c r="R719" s="507"/>
      <c r="S719" s="507"/>
    </row>
    <row r="720" ht="35.25" customHeight="1">
      <c r="A720" s="507"/>
      <c r="B720" s="507"/>
      <c r="C720" s="507"/>
      <c r="D720" s="508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  <c r="O720" s="507"/>
      <c r="P720" s="507"/>
      <c r="Q720" s="507"/>
      <c r="R720" s="507"/>
      <c r="S720" s="507"/>
    </row>
    <row r="721" ht="35.25" customHeight="1">
      <c r="A721" s="507"/>
      <c r="B721" s="507"/>
      <c r="C721" s="507"/>
      <c r="D721" s="508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  <c r="O721" s="507"/>
      <c r="P721" s="507"/>
      <c r="Q721" s="507"/>
      <c r="R721" s="507"/>
      <c r="S721" s="507"/>
    </row>
    <row r="722" ht="35.25" customHeight="1">
      <c r="A722" s="507"/>
      <c r="B722" s="507"/>
      <c r="C722" s="507"/>
      <c r="D722" s="508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  <c r="O722" s="507"/>
      <c r="P722" s="507"/>
      <c r="Q722" s="507"/>
      <c r="R722" s="507"/>
      <c r="S722" s="507"/>
    </row>
    <row r="723" ht="35.25" customHeight="1">
      <c r="A723" s="507"/>
      <c r="B723" s="507"/>
      <c r="C723" s="507"/>
      <c r="D723" s="508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  <c r="O723" s="507"/>
      <c r="P723" s="507"/>
      <c r="Q723" s="507"/>
      <c r="R723" s="507"/>
      <c r="S723" s="507"/>
    </row>
    <row r="724" ht="35.25" customHeight="1">
      <c r="A724" s="507"/>
      <c r="B724" s="507"/>
      <c r="C724" s="507"/>
      <c r="D724" s="508"/>
      <c r="E724" s="507"/>
      <c r="F724" s="507"/>
      <c r="G724" s="507"/>
      <c r="H724" s="507"/>
      <c r="I724" s="507"/>
      <c r="J724" s="507"/>
      <c r="K724" s="507"/>
      <c r="L724" s="507"/>
      <c r="M724" s="507"/>
      <c r="N724" s="507"/>
      <c r="O724" s="507"/>
      <c r="P724" s="507"/>
      <c r="Q724" s="507"/>
      <c r="R724" s="507"/>
      <c r="S724" s="507"/>
    </row>
    <row r="725" ht="35.25" customHeight="1">
      <c r="A725" s="507"/>
      <c r="B725" s="507"/>
      <c r="C725" s="507"/>
      <c r="D725" s="508"/>
      <c r="E725" s="507"/>
      <c r="F725" s="507"/>
      <c r="G725" s="507"/>
      <c r="H725" s="507"/>
      <c r="I725" s="507"/>
      <c r="J725" s="507"/>
      <c r="K725" s="507"/>
      <c r="L725" s="507"/>
      <c r="M725" s="507"/>
      <c r="N725" s="507"/>
      <c r="O725" s="507"/>
      <c r="P725" s="507"/>
      <c r="Q725" s="507"/>
      <c r="R725" s="507"/>
      <c r="S725" s="507"/>
    </row>
    <row r="726" ht="35.25" customHeight="1">
      <c r="A726" s="507"/>
      <c r="B726" s="507"/>
      <c r="C726" s="507"/>
      <c r="D726" s="508"/>
      <c r="E726" s="507"/>
      <c r="F726" s="507"/>
      <c r="G726" s="507"/>
      <c r="H726" s="507"/>
      <c r="I726" s="507"/>
      <c r="J726" s="507"/>
      <c r="K726" s="507"/>
      <c r="L726" s="507"/>
      <c r="M726" s="507"/>
      <c r="N726" s="507"/>
      <c r="O726" s="507"/>
      <c r="P726" s="507"/>
      <c r="Q726" s="507"/>
      <c r="R726" s="507"/>
      <c r="S726" s="507"/>
    </row>
    <row r="727" ht="35.25" customHeight="1">
      <c r="A727" s="507"/>
      <c r="B727" s="507"/>
      <c r="C727" s="507"/>
      <c r="D727" s="508"/>
      <c r="E727" s="507"/>
      <c r="F727" s="507"/>
      <c r="G727" s="507"/>
      <c r="H727" s="507"/>
      <c r="I727" s="507"/>
      <c r="J727" s="507"/>
      <c r="K727" s="507"/>
      <c r="L727" s="507"/>
      <c r="M727" s="507"/>
      <c r="N727" s="507"/>
      <c r="O727" s="507"/>
      <c r="P727" s="507"/>
      <c r="Q727" s="507"/>
      <c r="R727" s="507"/>
      <c r="S727" s="507"/>
    </row>
    <row r="728" ht="35.25" customHeight="1">
      <c r="A728" s="507"/>
      <c r="B728" s="507"/>
      <c r="C728" s="507"/>
      <c r="D728" s="508"/>
      <c r="E728" s="507"/>
      <c r="F728" s="507"/>
      <c r="G728" s="507"/>
      <c r="H728" s="507"/>
      <c r="I728" s="507"/>
      <c r="J728" s="507"/>
      <c r="K728" s="507"/>
      <c r="L728" s="507"/>
      <c r="M728" s="507"/>
      <c r="N728" s="507"/>
      <c r="O728" s="507"/>
      <c r="P728" s="507"/>
      <c r="Q728" s="507"/>
      <c r="R728" s="507"/>
      <c r="S728" s="507"/>
    </row>
    <row r="729" ht="35.25" customHeight="1">
      <c r="A729" s="507"/>
      <c r="B729" s="507"/>
      <c r="C729" s="507"/>
      <c r="D729" s="508"/>
      <c r="E729" s="507"/>
      <c r="F729" s="507"/>
      <c r="G729" s="507"/>
      <c r="H729" s="507"/>
      <c r="I729" s="507"/>
      <c r="J729" s="507"/>
      <c r="K729" s="507"/>
      <c r="L729" s="507"/>
      <c r="M729" s="507"/>
      <c r="N729" s="507"/>
      <c r="O729" s="507"/>
      <c r="P729" s="507"/>
      <c r="Q729" s="507"/>
      <c r="R729" s="507"/>
      <c r="S729" s="507"/>
    </row>
    <row r="730" ht="35.25" customHeight="1">
      <c r="A730" s="507"/>
      <c r="B730" s="507"/>
      <c r="C730" s="507"/>
      <c r="D730" s="508"/>
      <c r="E730" s="507"/>
      <c r="F730" s="507"/>
      <c r="G730" s="507"/>
      <c r="H730" s="507"/>
      <c r="I730" s="507"/>
      <c r="J730" s="507"/>
      <c r="K730" s="507"/>
      <c r="L730" s="507"/>
      <c r="M730" s="507"/>
      <c r="N730" s="507"/>
      <c r="O730" s="507"/>
      <c r="P730" s="507"/>
      <c r="Q730" s="507"/>
      <c r="R730" s="507"/>
      <c r="S730" s="507"/>
    </row>
    <row r="731" ht="35.25" customHeight="1">
      <c r="A731" s="507"/>
      <c r="B731" s="507"/>
      <c r="C731" s="507"/>
      <c r="D731" s="508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  <c r="O731" s="507"/>
      <c r="P731" s="507"/>
      <c r="Q731" s="507"/>
      <c r="R731" s="507"/>
      <c r="S731" s="507"/>
    </row>
    <row r="732" ht="35.25" customHeight="1">
      <c r="A732" s="507"/>
      <c r="B732" s="507"/>
      <c r="C732" s="507"/>
      <c r="D732" s="508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  <c r="O732" s="507"/>
      <c r="P732" s="507"/>
      <c r="Q732" s="507"/>
      <c r="R732" s="507"/>
      <c r="S732" s="507"/>
    </row>
    <row r="733" ht="35.25" customHeight="1">
      <c r="A733" s="507"/>
      <c r="B733" s="507"/>
      <c r="C733" s="507"/>
      <c r="D733" s="508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  <c r="O733" s="507"/>
      <c r="P733" s="507"/>
      <c r="Q733" s="507"/>
      <c r="R733" s="507"/>
      <c r="S733" s="507"/>
    </row>
    <row r="734" ht="35.25" customHeight="1">
      <c r="A734" s="507"/>
      <c r="B734" s="507"/>
      <c r="C734" s="507"/>
      <c r="D734" s="508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  <c r="O734" s="507"/>
      <c r="P734" s="507"/>
      <c r="Q734" s="507"/>
      <c r="R734" s="507"/>
      <c r="S734" s="507"/>
    </row>
    <row r="735" ht="35.25" customHeight="1">
      <c r="A735" s="507"/>
      <c r="B735" s="507"/>
      <c r="C735" s="507"/>
      <c r="D735" s="508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  <c r="O735" s="507"/>
      <c r="P735" s="507"/>
      <c r="Q735" s="507"/>
      <c r="R735" s="507"/>
      <c r="S735" s="507"/>
    </row>
    <row r="736" ht="35.25" customHeight="1">
      <c r="A736" s="507"/>
      <c r="B736" s="507"/>
      <c r="C736" s="507"/>
      <c r="D736" s="508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  <c r="O736" s="507"/>
      <c r="P736" s="507"/>
      <c r="Q736" s="507"/>
      <c r="R736" s="507"/>
      <c r="S736" s="507"/>
    </row>
    <row r="737" ht="35.25" customHeight="1">
      <c r="A737" s="507"/>
      <c r="B737" s="507"/>
      <c r="C737" s="507"/>
      <c r="D737" s="508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  <c r="O737" s="507"/>
      <c r="P737" s="507"/>
      <c r="Q737" s="507"/>
      <c r="R737" s="507"/>
      <c r="S737" s="507"/>
    </row>
    <row r="738" ht="35.25" customHeight="1">
      <c r="A738" s="507"/>
      <c r="B738" s="507"/>
      <c r="C738" s="507"/>
      <c r="D738" s="508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  <c r="O738" s="507"/>
      <c r="P738" s="507"/>
      <c r="Q738" s="507"/>
      <c r="R738" s="507"/>
      <c r="S738" s="507"/>
    </row>
    <row r="739" ht="35.25" customHeight="1">
      <c r="A739" s="507"/>
      <c r="B739" s="507"/>
      <c r="C739" s="507"/>
      <c r="D739" s="508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  <c r="O739" s="507"/>
      <c r="P739" s="507"/>
      <c r="Q739" s="507"/>
      <c r="R739" s="507"/>
      <c r="S739" s="507"/>
    </row>
    <row r="740" ht="35.25" customHeight="1">
      <c r="A740" s="507"/>
      <c r="B740" s="507"/>
      <c r="C740" s="507"/>
      <c r="D740" s="508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  <c r="O740" s="507"/>
      <c r="P740" s="507"/>
      <c r="Q740" s="507"/>
      <c r="R740" s="507"/>
      <c r="S740" s="507"/>
    </row>
    <row r="741" ht="35.25" customHeight="1">
      <c r="A741" s="507"/>
      <c r="B741" s="507"/>
      <c r="C741" s="507"/>
      <c r="D741" s="508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  <c r="O741" s="507"/>
      <c r="P741" s="507"/>
      <c r="Q741" s="507"/>
      <c r="R741" s="507"/>
      <c r="S741" s="507"/>
    </row>
    <row r="742" ht="35.25" customHeight="1">
      <c r="A742" s="507"/>
      <c r="B742" s="507"/>
      <c r="C742" s="507"/>
      <c r="D742" s="508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  <c r="O742" s="507"/>
      <c r="P742" s="507"/>
      <c r="Q742" s="507"/>
      <c r="R742" s="507"/>
      <c r="S742" s="507"/>
    </row>
    <row r="743" ht="35.25" customHeight="1">
      <c r="A743" s="507"/>
      <c r="B743" s="507"/>
      <c r="C743" s="507"/>
      <c r="D743" s="508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  <c r="O743" s="507"/>
      <c r="P743" s="507"/>
      <c r="Q743" s="507"/>
      <c r="R743" s="507"/>
      <c r="S743" s="507"/>
    </row>
    <row r="744" ht="35.25" customHeight="1">
      <c r="A744" s="507"/>
      <c r="B744" s="507"/>
      <c r="C744" s="507"/>
      <c r="D744" s="508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  <c r="O744" s="507"/>
      <c r="P744" s="507"/>
      <c r="Q744" s="507"/>
      <c r="R744" s="507"/>
      <c r="S744" s="507"/>
    </row>
    <row r="745" ht="35.25" customHeight="1">
      <c r="A745" s="507"/>
      <c r="B745" s="507"/>
      <c r="C745" s="507"/>
      <c r="D745" s="508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  <c r="O745" s="507"/>
      <c r="P745" s="507"/>
      <c r="Q745" s="507"/>
      <c r="R745" s="507"/>
      <c r="S745" s="507"/>
    </row>
    <row r="746" ht="35.25" customHeight="1">
      <c r="A746" s="507"/>
      <c r="B746" s="507"/>
      <c r="C746" s="507"/>
      <c r="D746" s="508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  <c r="O746" s="507"/>
      <c r="P746" s="507"/>
      <c r="Q746" s="507"/>
      <c r="R746" s="507"/>
      <c r="S746" s="507"/>
    </row>
    <row r="747" ht="35.25" customHeight="1">
      <c r="A747" s="507"/>
      <c r="B747" s="507"/>
      <c r="C747" s="507"/>
      <c r="D747" s="508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  <c r="O747" s="507"/>
      <c r="P747" s="507"/>
      <c r="Q747" s="507"/>
      <c r="R747" s="507"/>
      <c r="S747" s="507"/>
    </row>
    <row r="748" ht="35.25" customHeight="1">
      <c r="A748" s="507"/>
      <c r="B748" s="507"/>
      <c r="C748" s="507"/>
      <c r="D748" s="508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  <c r="O748" s="507"/>
      <c r="P748" s="507"/>
      <c r="Q748" s="507"/>
      <c r="R748" s="507"/>
      <c r="S748" s="507"/>
    </row>
    <row r="749" ht="35.25" customHeight="1">
      <c r="A749" s="507"/>
      <c r="B749" s="507"/>
      <c r="C749" s="507"/>
      <c r="D749" s="508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  <c r="O749" s="507"/>
      <c r="P749" s="507"/>
      <c r="Q749" s="507"/>
      <c r="R749" s="507"/>
      <c r="S749" s="507"/>
    </row>
    <row r="750" ht="35.25" customHeight="1">
      <c r="A750" s="507"/>
      <c r="B750" s="507"/>
      <c r="C750" s="507"/>
      <c r="D750" s="508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  <c r="O750" s="507"/>
      <c r="P750" s="507"/>
      <c r="Q750" s="507"/>
      <c r="R750" s="507"/>
      <c r="S750" s="507"/>
    </row>
    <row r="751" ht="35.25" customHeight="1">
      <c r="A751" s="507"/>
      <c r="B751" s="507"/>
      <c r="C751" s="507"/>
      <c r="D751" s="508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  <c r="O751" s="507"/>
      <c r="P751" s="507"/>
      <c r="Q751" s="507"/>
      <c r="R751" s="507"/>
      <c r="S751" s="507"/>
    </row>
    <row r="752" ht="35.25" customHeight="1">
      <c r="A752" s="507"/>
      <c r="B752" s="507"/>
      <c r="C752" s="507"/>
      <c r="D752" s="508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  <c r="O752" s="507"/>
      <c r="P752" s="507"/>
      <c r="Q752" s="507"/>
      <c r="R752" s="507"/>
      <c r="S752" s="507"/>
    </row>
    <row r="753" ht="35.25" customHeight="1">
      <c r="A753" s="507"/>
      <c r="B753" s="507"/>
      <c r="C753" s="507"/>
      <c r="D753" s="508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  <c r="O753" s="507"/>
      <c r="P753" s="507"/>
      <c r="Q753" s="507"/>
      <c r="R753" s="507"/>
      <c r="S753" s="507"/>
    </row>
    <row r="754" ht="35.25" customHeight="1">
      <c r="A754" s="507"/>
      <c r="B754" s="507"/>
      <c r="C754" s="507"/>
      <c r="D754" s="508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  <c r="O754" s="507"/>
      <c r="P754" s="507"/>
      <c r="Q754" s="507"/>
      <c r="R754" s="507"/>
      <c r="S754" s="507"/>
    </row>
    <row r="755" ht="35.25" customHeight="1">
      <c r="A755" s="507"/>
      <c r="B755" s="507"/>
      <c r="C755" s="507"/>
      <c r="D755" s="508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  <c r="O755" s="507"/>
      <c r="P755" s="507"/>
      <c r="Q755" s="507"/>
      <c r="R755" s="507"/>
      <c r="S755" s="507"/>
    </row>
    <row r="756" ht="35.25" customHeight="1">
      <c r="A756" s="507"/>
      <c r="B756" s="507"/>
      <c r="C756" s="507"/>
      <c r="D756" s="508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  <c r="O756" s="507"/>
      <c r="P756" s="507"/>
      <c r="Q756" s="507"/>
      <c r="R756" s="507"/>
      <c r="S756" s="507"/>
    </row>
    <row r="757" ht="35.25" customHeight="1">
      <c r="A757" s="507"/>
      <c r="B757" s="507"/>
      <c r="C757" s="507"/>
      <c r="D757" s="508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  <c r="O757" s="507"/>
      <c r="P757" s="507"/>
      <c r="Q757" s="507"/>
      <c r="R757" s="507"/>
      <c r="S757" s="507"/>
    </row>
    <row r="758" ht="35.25" customHeight="1">
      <c r="A758" s="507"/>
      <c r="B758" s="507"/>
      <c r="C758" s="507"/>
      <c r="D758" s="508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  <c r="O758" s="507"/>
      <c r="P758" s="507"/>
      <c r="Q758" s="507"/>
      <c r="R758" s="507"/>
      <c r="S758" s="507"/>
    </row>
    <row r="759" ht="35.25" customHeight="1">
      <c r="A759" s="507"/>
      <c r="B759" s="507"/>
      <c r="C759" s="507"/>
      <c r="D759" s="508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  <c r="O759" s="507"/>
      <c r="P759" s="507"/>
      <c r="Q759" s="507"/>
      <c r="R759" s="507"/>
      <c r="S759" s="507"/>
    </row>
    <row r="760" ht="35.25" customHeight="1">
      <c r="A760" s="507"/>
      <c r="B760" s="507"/>
      <c r="C760" s="507"/>
      <c r="D760" s="508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  <c r="O760" s="507"/>
      <c r="P760" s="507"/>
      <c r="Q760" s="507"/>
      <c r="R760" s="507"/>
      <c r="S760" s="507"/>
    </row>
    <row r="761" ht="35.25" customHeight="1">
      <c r="A761" s="507"/>
      <c r="B761" s="507"/>
      <c r="C761" s="507"/>
      <c r="D761" s="508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  <c r="O761" s="507"/>
      <c r="P761" s="507"/>
      <c r="Q761" s="507"/>
      <c r="R761" s="507"/>
      <c r="S761" s="507"/>
    </row>
    <row r="762" ht="35.25" customHeight="1">
      <c r="A762" s="507"/>
      <c r="B762" s="507"/>
      <c r="C762" s="507"/>
      <c r="D762" s="508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  <c r="O762" s="507"/>
      <c r="P762" s="507"/>
      <c r="Q762" s="507"/>
      <c r="R762" s="507"/>
      <c r="S762" s="507"/>
    </row>
    <row r="763" ht="35.25" customHeight="1">
      <c r="A763" s="507"/>
      <c r="B763" s="507"/>
      <c r="C763" s="507"/>
      <c r="D763" s="508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  <c r="O763" s="507"/>
      <c r="P763" s="507"/>
      <c r="Q763" s="507"/>
      <c r="R763" s="507"/>
      <c r="S763" s="507"/>
    </row>
    <row r="764" ht="35.25" customHeight="1">
      <c r="A764" s="507"/>
      <c r="B764" s="507"/>
      <c r="C764" s="507"/>
      <c r="D764" s="508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  <c r="O764" s="507"/>
      <c r="P764" s="507"/>
      <c r="Q764" s="507"/>
      <c r="R764" s="507"/>
      <c r="S764" s="507"/>
    </row>
    <row r="765" ht="35.25" customHeight="1">
      <c r="A765" s="507"/>
      <c r="B765" s="507"/>
      <c r="C765" s="507"/>
      <c r="D765" s="508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  <c r="O765" s="507"/>
      <c r="P765" s="507"/>
      <c r="Q765" s="507"/>
      <c r="R765" s="507"/>
      <c r="S765" s="507"/>
    </row>
    <row r="766" ht="35.25" customHeight="1">
      <c r="A766" s="507"/>
      <c r="B766" s="507"/>
      <c r="C766" s="507"/>
      <c r="D766" s="508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  <c r="O766" s="507"/>
      <c r="P766" s="507"/>
      <c r="Q766" s="507"/>
      <c r="R766" s="507"/>
      <c r="S766" s="507"/>
    </row>
    <row r="767" ht="35.25" customHeight="1">
      <c r="A767" s="507"/>
      <c r="B767" s="507"/>
      <c r="C767" s="507"/>
      <c r="D767" s="508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  <c r="O767" s="507"/>
      <c r="P767" s="507"/>
      <c r="Q767" s="507"/>
      <c r="R767" s="507"/>
      <c r="S767" s="507"/>
    </row>
    <row r="768" ht="35.25" customHeight="1">
      <c r="A768" s="507"/>
      <c r="B768" s="507"/>
      <c r="C768" s="507"/>
      <c r="D768" s="508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  <c r="O768" s="507"/>
      <c r="P768" s="507"/>
      <c r="Q768" s="507"/>
      <c r="R768" s="507"/>
      <c r="S768" s="507"/>
    </row>
    <row r="769" ht="35.25" customHeight="1">
      <c r="A769" s="507"/>
      <c r="B769" s="507"/>
      <c r="C769" s="507"/>
      <c r="D769" s="508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  <c r="O769" s="507"/>
      <c r="P769" s="507"/>
      <c r="Q769" s="507"/>
      <c r="R769" s="507"/>
      <c r="S769" s="507"/>
    </row>
    <row r="770" ht="35.25" customHeight="1">
      <c r="A770" s="507"/>
      <c r="B770" s="507"/>
      <c r="C770" s="507"/>
      <c r="D770" s="508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  <c r="O770" s="507"/>
      <c r="P770" s="507"/>
      <c r="Q770" s="507"/>
      <c r="R770" s="507"/>
      <c r="S770" s="507"/>
    </row>
    <row r="771" ht="35.25" customHeight="1">
      <c r="A771" s="507"/>
      <c r="B771" s="507"/>
      <c r="C771" s="507"/>
      <c r="D771" s="508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  <c r="O771" s="507"/>
      <c r="P771" s="507"/>
      <c r="Q771" s="507"/>
      <c r="R771" s="507"/>
      <c r="S771" s="507"/>
    </row>
    <row r="772" ht="35.25" customHeight="1">
      <c r="A772" s="507"/>
      <c r="B772" s="507"/>
      <c r="C772" s="507"/>
      <c r="D772" s="508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  <c r="O772" s="507"/>
      <c r="P772" s="507"/>
      <c r="Q772" s="507"/>
      <c r="R772" s="507"/>
      <c r="S772" s="507"/>
    </row>
    <row r="773" ht="35.25" customHeight="1">
      <c r="A773" s="507"/>
      <c r="B773" s="507"/>
      <c r="C773" s="507"/>
      <c r="D773" s="508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  <c r="O773" s="507"/>
      <c r="P773" s="507"/>
      <c r="Q773" s="507"/>
      <c r="R773" s="507"/>
      <c r="S773" s="507"/>
    </row>
    <row r="774" ht="35.25" customHeight="1">
      <c r="A774" s="507"/>
      <c r="B774" s="507"/>
      <c r="C774" s="507"/>
      <c r="D774" s="508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  <c r="O774" s="507"/>
      <c r="P774" s="507"/>
      <c r="Q774" s="507"/>
      <c r="R774" s="507"/>
      <c r="S774" s="507"/>
    </row>
    <row r="775" ht="35.25" customHeight="1">
      <c r="A775" s="507"/>
      <c r="B775" s="507"/>
      <c r="C775" s="507"/>
      <c r="D775" s="508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  <c r="O775" s="507"/>
      <c r="P775" s="507"/>
      <c r="Q775" s="507"/>
      <c r="R775" s="507"/>
      <c r="S775" s="507"/>
    </row>
    <row r="776" ht="35.25" customHeight="1">
      <c r="A776" s="507"/>
      <c r="B776" s="507"/>
      <c r="C776" s="507"/>
      <c r="D776" s="508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  <c r="O776" s="507"/>
      <c r="P776" s="507"/>
      <c r="Q776" s="507"/>
      <c r="R776" s="507"/>
      <c r="S776" s="507"/>
    </row>
    <row r="777" ht="35.25" customHeight="1">
      <c r="A777" s="507"/>
      <c r="B777" s="507"/>
      <c r="C777" s="507"/>
      <c r="D777" s="508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  <c r="O777" s="507"/>
      <c r="P777" s="507"/>
      <c r="Q777" s="507"/>
      <c r="R777" s="507"/>
      <c r="S777" s="507"/>
    </row>
    <row r="778" ht="35.25" customHeight="1">
      <c r="A778" s="507"/>
      <c r="B778" s="507"/>
      <c r="C778" s="507"/>
      <c r="D778" s="508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  <c r="O778" s="507"/>
      <c r="P778" s="507"/>
      <c r="Q778" s="507"/>
      <c r="R778" s="507"/>
      <c r="S778" s="507"/>
    </row>
    <row r="779" ht="35.25" customHeight="1">
      <c r="A779" s="507"/>
      <c r="B779" s="507"/>
      <c r="C779" s="507"/>
      <c r="D779" s="508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  <c r="O779" s="507"/>
      <c r="P779" s="507"/>
      <c r="Q779" s="507"/>
      <c r="R779" s="507"/>
      <c r="S779" s="507"/>
    </row>
    <row r="780" ht="35.25" customHeight="1">
      <c r="A780" s="507"/>
      <c r="B780" s="507"/>
      <c r="C780" s="507"/>
      <c r="D780" s="508"/>
      <c r="E780" s="507"/>
      <c r="F780" s="507"/>
      <c r="G780" s="507"/>
      <c r="H780" s="507"/>
      <c r="I780" s="507"/>
      <c r="J780" s="507"/>
      <c r="K780" s="507"/>
      <c r="L780" s="507"/>
      <c r="M780" s="507"/>
      <c r="N780" s="507"/>
      <c r="O780" s="507"/>
      <c r="P780" s="507"/>
      <c r="Q780" s="507"/>
      <c r="R780" s="507"/>
      <c r="S780" s="507"/>
    </row>
    <row r="781" ht="35.25" customHeight="1">
      <c r="A781" s="507"/>
      <c r="B781" s="507"/>
      <c r="C781" s="507"/>
      <c r="D781" s="508"/>
      <c r="E781" s="507"/>
      <c r="F781" s="507"/>
      <c r="G781" s="507"/>
      <c r="H781" s="507"/>
      <c r="I781" s="507"/>
      <c r="J781" s="507"/>
      <c r="K781" s="507"/>
      <c r="L781" s="507"/>
      <c r="M781" s="507"/>
      <c r="N781" s="507"/>
      <c r="O781" s="507"/>
      <c r="P781" s="507"/>
      <c r="Q781" s="507"/>
      <c r="R781" s="507"/>
      <c r="S781" s="507"/>
    </row>
    <row r="782" ht="35.25" customHeight="1">
      <c r="A782" s="507"/>
      <c r="B782" s="507"/>
      <c r="C782" s="507"/>
      <c r="D782" s="508"/>
      <c r="E782" s="507"/>
      <c r="F782" s="507"/>
      <c r="G782" s="507"/>
      <c r="H782" s="507"/>
      <c r="I782" s="507"/>
      <c r="J782" s="507"/>
      <c r="K782" s="507"/>
      <c r="L782" s="507"/>
      <c r="M782" s="507"/>
      <c r="N782" s="507"/>
      <c r="O782" s="507"/>
      <c r="P782" s="507"/>
      <c r="Q782" s="507"/>
      <c r="R782" s="507"/>
      <c r="S782" s="507"/>
    </row>
    <row r="783" ht="35.25" customHeight="1">
      <c r="A783" s="507"/>
      <c r="B783" s="507"/>
      <c r="C783" s="507"/>
      <c r="D783" s="508"/>
      <c r="E783" s="507"/>
      <c r="F783" s="507"/>
      <c r="G783" s="507"/>
      <c r="H783" s="507"/>
      <c r="I783" s="507"/>
      <c r="J783" s="507"/>
      <c r="K783" s="507"/>
      <c r="L783" s="507"/>
      <c r="M783" s="507"/>
      <c r="N783" s="507"/>
      <c r="O783" s="507"/>
      <c r="P783" s="507"/>
      <c r="Q783" s="507"/>
      <c r="R783" s="507"/>
      <c r="S783" s="507"/>
    </row>
    <row r="784" ht="35.25" customHeight="1">
      <c r="A784" s="507"/>
      <c r="B784" s="507"/>
      <c r="C784" s="507"/>
      <c r="D784" s="508"/>
      <c r="E784" s="507"/>
      <c r="F784" s="507"/>
      <c r="G784" s="507"/>
      <c r="H784" s="507"/>
      <c r="I784" s="507"/>
      <c r="J784" s="507"/>
      <c r="K784" s="507"/>
      <c r="L784" s="507"/>
      <c r="M784" s="507"/>
      <c r="N784" s="507"/>
      <c r="O784" s="507"/>
      <c r="P784" s="507"/>
      <c r="Q784" s="507"/>
      <c r="R784" s="507"/>
      <c r="S784" s="507"/>
    </row>
    <row r="785" ht="35.25" customHeight="1">
      <c r="A785" s="507"/>
      <c r="B785" s="507"/>
      <c r="C785" s="507"/>
      <c r="D785" s="508"/>
      <c r="E785" s="507"/>
      <c r="F785" s="507"/>
      <c r="G785" s="507"/>
      <c r="H785" s="507"/>
      <c r="I785" s="507"/>
      <c r="J785" s="507"/>
      <c r="K785" s="507"/>
      <c r="L785" s="507"/>
      <c r="M785" s="507"/>
      <c r="N785" s="507"/>
      <c r="O785" s="507"/>
      <c r="P785" s="507"/>
      <c r="Q785" s="507"/>
      <c r="R785" s="507"/>
      <c r="S785" s="507"/>
    </row>
    <row r="786" ht="35.25" customHeight="1">
      <c r="A786" s="507"/>
      <c r="B786" s="507"/>
      <c r="C786" s="507"/>
      <c r="D786" s="508"/>
      <c r="E786" s="507"/>
      <c r="F786" s="507"/>
      <c r="G786" s="507"/>
      <c r="H786" s="507"/>
      <c r="I786" s="507"/>
      <c r="J786" s="507"/>
      <c r="K786" s="507"/>
      <c r="L786" s="507"/>
      <c r="M786" s="507"/>
      <c r="N786" s="507"/>
      <c r="O786" s="507"/>
      <c r="P786" s="507"/>
      <c r="Q786" s="507"/>
      <c r="R786" s="507"/>
      <c r="S786" s="507"/>
    </row>
    <row r="787" ht="35.25" customHeight="1">
      <c r="A787" s="507"/>
      <c r="B787" s="507"/>
      <c r="C787" s="507"/>
      <c r="D787" s="508"/>
      <c r="E787" s="507"/>
      <c r="F787" s="507"/>
      <c r="G787" s="507"/>
      <c r="H787" s="507"/>
      <c r="I787" s="507"/>
      <c r="J787" s="507"/>
      <c r="K787" s="507"/>
      <c r="L787" s="507"/>
      <c r="M787" s="507"/>
      <c r="N787" s="507"/>
      <c r="O787" s="507"/>
      <c r="P787" s="507"/>
      <c r="Q787" s="507"/>
      <c r="R787" s="507"/>
      <c r="S787" s="507"/>
    </row>
    <row r="788" ht="35.25" customHeight="1">
      <c r="A788" s="507"/>
      <c r="B788" s="507"/>
      <c r="C788" s="507"/>
      <c r="D788" s="508"/>
      <c r="E788" s="507"/>
      <c r="F788" s="507"/>
      <c r="G788" s="507"/>
      <c r="H788" s="507"/>
      <c r="I788" s="507"/>
      <c r="J788" s="507"/>
      <c r="K788" s="507"/>
      <c r="L788" s="507"/>
      <c r="M788" s="507"/>
      <c r="N788" s="507"/>
      <c r="O788" s="507"/>
      <c r="P788" s="507"/>
      <c r="Q788" s="507"/>
      <c r="R788" s="507"/>
      <c r="S788" s="507"/>
    </row>
    <row r="789" ht="35.25" customHeight="1">
      <c r="A789" s="507"/>
      <c r="B789" s="507"/>
      <c r="C789" s="507"/>
      <c r="D789" s="508"/>
      <c r="E789" s="507"/>
      <c r="F789" s="507"/>
      <c r="G789" s="507"/>
      <c r="H789" s="507"/>
      <c r="I789" s="507"/>
      <c r="J789" s="507"/>
      <c r="K789" s="507"/>
      <c r="L789" s="507"/>
      <c r="M789" s="507"/>
      <c r="N789" s="507"/>
      <c r="O789" s="507"/>
      <c r="P789" s="507"/>
      <c r="Q789" s="507"/>
      <c r="R789" s="507"/>
      <c r="S789" s="507"/>
    </row>
    <row r="790" ht="35.25" customHeight="1">
      <c r="A790" s="507"/>
      <c r="B790" s="507"/>
      <c r="C790" s="507"/>
      <c r="D790" s="508"/>
      <c r="E790" s="507"/>
      <c r="F790" s="507"/>
      <c r="G790" s="507"/>
      <c r="H790" s="507"/>
      <c r="I790" s="507"/>
      <c r="J790" s="507"/>
      <c r="K790" s="507"/>
      <c r="L790" s="507"/>
      <c r="M790" s="507"/>
      <c r="N790" s="507"/>
      <c r="O790" s="507"/>
      <c r="P790" s="507"/>
      <c r="Q790" s="507"/>
      <c r="R790" s="507"/>
      <c r="S790" s="507"/>
    </row>
    <row r="791" ht="35.25" customHeight="1">
      <c r="A791" s="507"/>
      <c r="B791" s="507"/>
      <c r="C791" s="507"/>
      <c r="D791" s="508"/>
      <c r="E791" s="507"/>
      <c r="F791" s="507"/>
      <c r="G791" s="507"/>
      <c r="H791" s="507"/>
      <c r="I791" s="507"/>
      <c r="J791" s="507"/>
      <c r="K791" s="507"/>
      <c r="L791" s="507"/>
      <c r="M791" s="507"/>
      <c r="N791" s="507"/>
      <c r="O791" s="507"/>
      <c r="P791" s="507"/>
      <c r="Q791" s="507"/>
      <c r="R791" s="507"/>
      <c r="S791" s="507"/>
    </row>
    <row r="792" ht="35.25" customHeight="1">
      <c r="A792" s="507"/>
      <c r="B792" s="507"/>
      <c r="C792" s="507"/>
      <c r="D792" s="508"/>
      <c r="E792" s="507"/>
      <c r="F792" s="507"/>
      <c r="G792" s="507"/>
      <c r="H792" s="507"/>
      <c r="I792" s="507"/>
      <c r="J792" s="507"/>
      <c r="K792" s="507"/>
      <c r="L792" s="507"/>
      <c r="M792" s="507"/>
      <c r="N792" s="507"/>
      <c r="O792" s="507"/>
      <c r="P792" s="507"/>
      <c r="Q792" s="507"/>
      <c r="R792" s="507"/>
      <c r="S792" s="507"/>
    </row>
    <row r="793" ht="35.25" customHeight="1">
      <c r="A793" s="507"/>
      <c r="B793" s="507"/>
      <c r="C793" s="507"/>
      <c r="D793" s="508"/>
      <c r="E793" s="507"/>
      <c r="F793" s="507"/>
      <c r="G793" s="507"/>
      <c r="H793" s="507"/>
      <c r="I793" s="507"/>
      <c r="J793" s="507"/>
      <c r="K793" s="507"/>
      <c r="L793" s="507"/>
      <c r="M793" s="507"/>
      <c r="N793" s="507"/>
      <c r="O793" s="507"/>
      <c r="P793" s="507"/>
      <c r="Q793" s="507"/>
      <c r="R793" s="507"/>
      <c r="S793" s="507"/>
    </row>
    <row r="794" ht="35.25" customHeight="1">
      <c r="A794" s="507"/>
      <c r="B794" s="507"/>
      <c r="C794" s="507"/>
      <c r="D794" s="508"/>
      <c r="E794" s="507"/>
      <c r="F794" s="507"/>
      <c r="G794" s="507"/>
      <c r="H794" s="507"/>
      <c r="I794" s="507"/>
      <c r="J794" s="507"/>
      <c r="K794" s="507"/>
      <c r="L794" s="507"/>
      <c r="M794" s="507"/>
      <c r="N794" s="507"/>
      <c r="O794" s="507"/>
      <c r="P794" s="507"/>
      <c r="Q794" s="507"/>
      <c r="R794" s="507"/>
      <c r="S794" s="507"/>
    </row>
    <row r="795" ht="35.25" customHeight="1">
      <c r="A795" s="507"/>
      <c r="B795" s="507"/>
      <c r="C795" s="507"/>
      <c r="D795" s="508"/>
      <c r="E795" s="507"/>
      <c r="F795" s="507"/>
      <c r="G795" s="507"/>
      <c r="H795" s="507"/>
      <c r="I795" s="507"/>
      <c r="J795" s="507"/>
      <c r="K795" s="507"/>
      <c r="L795" s="507"/>
      <c r="M795" s="507"/>
      <c r="N795" s="507"/>
      <c r="O795" s="507"/>
      <c r="P795" s="507"/>
      <c r="Q795" s="507"/>
      <c r="R795" s="507"/>
      <c r="S795" s="507"/>
    </row>
    <row r="796" ht="35.25" customHeight="1">
      <c r="A796" s="507"/>
      <c r="B796" s="507"/>
      <c r="C796" s="507"/>
      <c r="D796" s="508"/>
      <c r="E796" s="507"/>
      <c r="F796" s="507"/>
      <c r="G796" s="507"/>
      <c r="H796" s="507"/>
      <c r="I796" s="507"/>
      <c r="J796" s="507"/>
      <c r="K796" s="507"/>
      <c r="L796" s="507"/>
      <c r="M796" s="507"/>
      <c r="N796" s="507"/>
      <c r="O796" s="507"/>
      <c r="P796" s="507"/>
      <c r="Q796" s="507"/>
      <c r="R796" s="507"/>
      <c r="S796" s="507"/>
    </row>
    <row r="797" ht="35.25" customHeight="1">
      <c r="A797" s="507"/>
      <c r="B797" s="507"/>
      <c r="C797" s="507"/>
      <c r="D797" s="508"/>
      <c r="E797" s="507"/>
      <c r="F797" s="507"/>
      <c r="G797" s="507"/>
      <c r="H797" s="507"/>
      <c r="I797" s="507"/>
      <c r="J797" s="507"/>
      <c r="K797" s="507"/>
      <c r="L797" s="507"/>
      <c r="M797" s="507"/>
      <c r="N797" s="507"/>
      <c r="O797" s="507"/>
      <c r="P797" s="507"/>
      <c r="Q797" s="507"/>
      <c r="R797" s="507"/>
      <c r="S797" s="507"/>
    </row>
    <row r="798" ht="35.25" customHeight="1">
      <c r="A798" s="507"/>
      <c r="B798" s="507"/>
      <c r="C798" s="507"/>
      <c r="D798" s="508"/>
      <c r="E798" s="507"/>
      <c r="F798" s="507"/>
      <c r="G798" s="507"/>
      <c r="H798" s="507"/>
      <c r="I798" s="507"/>
      <c r="J798" s="507"/>
      <c r="K798" s="507"/>
      <c r="L798" s="507"/>
      <c r="M798" s="507"/>
      <c r="N798" s="507"/>
      <c r="O798" s="507"/>
      <c r="P798" s="507"/>
      <c r="Q798" s="507"/>
      <c r="R798" s="507"/>
      <c r="S798" s="507"/>
    </row>
    <row r="799" ht="35.25" customHeight="1">
      <c r="A799" s="507"/>
      <c r="B799" s="507"/>
      <c r="C799" s="507"/>
      <c r="D799" s="508"/>
      <c r="E799" s="507"/>
      <c r="F799" s="507"/>
      <c r="G799" s="507"/>
      <c r="H799" s="507"/>
      <c r="I799" s="507"/>
      <c r="J799" s="507"/>
      <c r="K799" s="507"/>
      <c r="L799" s="507"/>
      <c r="M799" s="507"/>
      <c r="N799" s="507"/>
      <c r="O799" s="507"/>
      <c r="P799" s="507"/>
      <c r="Q799" s="507"/>
      <c r="R799" s="507"/>
      <c r="S799" s="507"/>
    </row>
    <row r="800" ht="35.25" customHeight="1">
      <c r="A800" s="507"/>
      <c r="B800" s="507"/>
      <c r="C800" s="507"/>
      <c r="D800" s="508"/>
      <c r="E800" s="507"/>
      <c r="F800" s="507"/>
      <c r="G800" s="507"/>
      <c r="H800" s="507"/>
      <c r="I800" s="507"/>
      <c r="J800" s="507"/>
      <c r="K800" s="507"/>
      <c r="L800" s="507"/>
      <c r="M800" s="507"/>
      <c r="N800" s="507"/>
      <c r="O800" s="507"/>
      <c r="P800" s="507"/>
      <c r="Q800" s="507"/>
      <c r="R800" s="507"/>
      <c r="S800" s="507"/>
    </row>
    <row r="801" ht="35.25" customHeight="1">
      <c r="A801" s="507"/>
      <c r="B801" s="507"/>
      <c r="C801" s="507"/>
      <c r="D801" s="508"/>
      <c r="E801" s="507"/>
      <c r="F801" s="507"/>
      <c r="G801" s="507"/>
      <c r="H801" s="507"/>
      <c r="I801" s="507"/>
      <c r="J801" s="507"/>
      <c r="K801" s="507"/>
      <c r="L801" s="507"/>
      <c r="M801" s="507"/>
      <c r="N801" s="507"/>
      <c r="O801" s="507"/>
      <c r="P801" s="507"/>
      <c r="Q801" s="507"/>
      <c r="R801" s="507"/>
      <c r="S801" s="507"/>
    </row>
    <row r="802" ht="35.25" customHeight="1">
      <c r="A802" s="507"/>
      <c r="B802" s="507"/>
      <c r="C802" s="507"/>
      <c r="D802" s="508"/>
      <c r="E802" s="507"/>
      <c r="F802" s="507"/>
      <c r="G802" s="507"/>
      <c r="H802" s="507"/>
      <c r="I802" s="507"/>
      <c r="J802" s="507"/>
      <c r="K802" s="507"/>
      <c r="L802" s="507"/>
      <c r="M802" s="507"/>
      <c r="N802" s="507"/>
      <c r="O802" s="507"/>
      <c r="P802" s="507"/>
      <c r="Q802" s="507"/>
      <c r="R802" s="507"/>
      <c r="S802" s="507"/>
    </row>
    <row r="803" ht="35.25" customHeight="1">
      <c r="A803" s="507"/>
      <c r="B803" s="507"/>
      <c r="C803" s="507"/>
      <c r="D803" s="508"/>
      <c r="E803" s="507"/>
      <c r="F803" s="507"/>
      <c r="G803" s="507"/>
      <c r="H803" s="507"/>
      <c r="I803" s="507"/>
      <c r="J803" s="507"/>
      <c r="K803" s="507"/>
      <c r="L803" s="507"/>
      <c r="M803" s="507"/>
      <c r="N803" s="507"/>
      <c r="O803" s="507"/>
      <c r="P803" s="507"/>
      <c r="Q803" s="507"/>
      <c r="R803" s="507"/>
      <c r="S803" s="507"/>
    </row>
    <row r="804" ht="35.25" customHeight="1">
      <c r="A804" s="507"/>
      <c r="B804" s="507"/>
      <c r="C804" s="507"/>
      <c r="D804" s="508"/>
      <c r="E804" s="507"/>
      <c r="F804" s="507"/>
      <c r="G804" s="507"/>
      <c r="H804" s="507"/>
      <c r="I804" s="507"/>
      <c r="J804" s="507"/>
      <c r="K804" s="507"/>
      <c r="L804" s="507"/>
      <c r="M804" s="507"/>
      <c r="N804" s="507"/>
      <c r="O804" s="507"/>
      <c r="P804" s="507"/>
      <c r="Q804" s="507"/>
      <c r="R804" s="507"/>
      <c r="S804" s="507"/>
    </row>
    <row r="805" ht="35.25" customHeight="1">
      <c r="A805" s="507"/>
      <c r="B805" s="507"/>
      <c r="C805" s="507"/>
      <c r="D805" s="508"/>
      <c r="E805" s="507"/>
      <c r="F805" s="507"/>
      <c r="G805" s="507"/>
      <c r="H805" s="507"/>
      <c r="I805" s="507"/>
      <c r="J805" s="507"/>
      <c r="K805" s="507"/>
      <c r="L805" s="507"/>
      <c r="M805" s="507"/>
      <c r="N805" s="507"/>
      <c r="O805" s="507"/>
      <c r="P805" s="507"/>
      <c r="Q805" s="507"/>
      <c r="R805" s="507"/>
      <c r="S805" s="507"/>
    </row>
    <row r="806" ht="35.25" customHeight="1">
      <c r="A806" s="507"/>
      <c r="B806" s="507"/>
      <c r="C806" s="507"/>
      <c r="D806" s="508"/>
      <c r="E806" s="507"/>
      <c r="F806" s="507"/>
      <c r="G806" s="507"/>
      <c r="H806" s="507"/>
      <c r="I806" s="507"/>
      <c r="J806" s="507"/>
      <c r="K806" s="507"/>
      <c r="L806" s="507"/>
      <c r="M806" s="507"/>
      <c r="N806" s="507"/>
      <c r="O806" s="507"/>
      <c r="P806" s="507"/>
      <c r="Q806" s="507"/>
      <c r="R806" s="507"/>
      <c r="S806" s="507"/>
    </row>
    <row r="807" ht="35.25" customHeight="1">
      <c r="A807" s="507"/>
      <c r="B807" s="507"/>
      <c r="C807" s="507"/>
      <c r="D807" s="508"/>
      <c r="E807" s="507"/>
      <c r="F807" s="507"/>
      <c r="G807" s="507"/>
      <c r="H807" s="507"/>
      <c r="I807" s="507"/>
      <c r="J807" s="507"/>
      <c r="K807" s="507"/>
      <c r="L807" s="507"/>
      <c r="M807" s="507"/>
      <c r="N807" s="507"/>
      <c r="O807" s="507"/>
      <c r="P807" s="507"/>
      <c r="Q807" s="507"/>
      <c r="R807" s="507"/>
      <c r="S807" s="507"/>
    </row>
    <row r="808" ht="35.25" customHeight="1">
      <c r="A808" s="507"/>
      <c r="B808" s="507"/>
      <c r="C808" s="507"/>
      <c r="D808" s="508"/>
      <c r="E808" s="507"/>
      <c r="F808" s="507"/>
      <c r="G808" s="507"/>
      <c r="H808" s="507"/>
      <c r="I808" s="507"/>
      <c r="J808" s="507"/>
      <c r="K808" s="507"/>
      <c r="L808" s="507"/>
      <c r="M808" s="507"/>
      <c r="N808" s="507"/>
      <c r="O808" s="507"/>
      <c r="P808" s="507"/>
      <c r="Q808" s="507"/>
      <c r="R808" s="507"/>
      <c r="S808" s="507"/>
    </row>
    <row r="809" ht="35.25" customHeight="1">
      <c r="A809" s="507"/>
      <c r="B809" s="507"/>
      <c r="C809" s="507"/>
      <c r="D809" s="508"/>
      <c r="E809" s="507"/>
      <c r="F809" s="507"/>
      <c r="G809" s="507"/>
      <c r="H809" s="507"/>
      <c r="I809" s="507"/>
      <c r="J809" s="507"/>
      <c r="K809" s="507"/>
      <c r="L809" s="507"/>
      <c r="M809" s="507"/>
      <c r="N809" s="507"/>
      <c r="O809" s="507"/>
      <c r="P809" s="507"/>
      <c r="Q809" s="507"/>
      <c r="R809" s="507"/>
      <c r="S809" s="507"/>
    </row>
    <row r="810" ht="35.25" customHeight="1">
      <c r="A810" s="507"/>
      <c r="B810" s="507"/>
      <c r="C810" s="507"/>
      <c r="D810" s="508"/>
      <c r="E810" s="507"/>
      <c r="F810" s="507"/>
      <c r="G810" s="507"/>
      <c r="H810" s="507"/>
      <c r="I810" s="507"/>
      <c r="J810" s="507"/>
      <c r="K810" s="507"/>
      <c r="L810" s="507"/>
      <c r="M810" s="507"/>
      <c r="N810" s="507"/>
      <c r="O810" s="507"/>
      <c r="P810" s="507"/>
      <c r="Q810" s="507"/>
      <c r="R810" s="507"/>
      <c r="S810" s="507"/>
    </row>
    <row r="811" ht="35.25" customHeight="1">
      <c r="A811" s="507"/>
      <c r="B811" s="507"/>
      <c r="C811" s="507"/>
      <c r="D811" s="508"/>
      <c r="E811" s="507"/>
      <c r="F811" s="507"/>
      <c r="G811" s="507"/>
      <c r="H811" s="507"/>
      <c r="I811" s="507"/>
      <c r="J811" s="507"/>
      <c r="K811" s="507"/>
      <c r="L811" s="507"/>
      <c r="M811" s="507"/>
      <c r="N811" s="507"/>
      <c r="O811" s="507"/>
      <c r="P811" s="507"/>
      <c r="Q811" s="507"/>
      <c r="R811" s="507"/>
      <c r="S811" s="507"/>
    </row>
    <row r="812" ht="35.25" customHeight="1">
      <c r="A812" s="507"/>
      <c r="B812" s="507"/>
      <c r="C812" s="507"/>
      <c r="D812" s="508"/>
      <c r="E812" s="507"/>
      <c r="F812" s="507"/>
      <c r="G812" s="507"/>
      <c r="H812" s="507"/>
      <c r="I812" s="507"/>
      <c r="J812" s="507"/>
      <c r="K812" s="507"/>
      <c r="L812" s="507"/>
      <c r="M812" s="507"/>
      <c r="N812" s="507"/>
      <c r="O812" s="507"/>
      <c r="P812" s="507"/>
      <c r="Q812" s="507"/>
      <c r="R812" s="507"/>
      <c r="S812" s="507"/>
    </row>
    <row r="813" ht="35.25" customHeight="1">
      <c r="A813" s="507"/>
      <c r="B813" s="507"/>
      <c r="C813" s="507"/>
      <c r="D813" s="508"/>
      <c r="E813" s="507"/>
      <c r="F813" s="507"/>
      <c r="G813" s="507"/>
      <c r="H813" s="507"/>
      <c r="I813" s="507"/>
      <c r="J813" s="507"/>
      <c r="K813" s="507"/>
      <c r="L813" s="507"/>
      <c r="M813" s="507"/>
      <c r="N813" s="507"/>
      <c r="O813" s="507"/>
      <c r="P813" s="507"/>
      <c r="Q813" s="507"/>
      <c r="R813" s="507"/>
      <c r="S813" s="507"/>
    </row>
    <row r="814" ht="35.25" customHeight="1">
      <c r="A814" s="507"/>
      <c r="B814" s="507"/>
      <c r="C814" s="507"/>
      <c r="D814" s="508"/>
      <c r="E814" s="507"/>
      <c r="F814" s="507"/>
      <c r="G814" s="507"/>
      <c r="H814" s="507"/>
      <c r="I814" s="507"/>
      <c r="J814" s="507"/>
      <c r="K814" s="507"/>
      <c r="L814" s="507"/>
      <c r="M814" s="507"/>
      <c r="N814" s="507"/>
      <c r="O814" s="507"/>
      <c r="P814" s="507"/>
      <c r="Q814" s="507"/>
      <c r="R814" s="507"/>
      <c r="S814" s="507"/>
    </row>
    <row r="815" ht="35.25" customHeight="1">
      <c r="A815" s="507"/>
      <c r="B815" s="507"/>
      <c r="C815" s="507"/>
      <c r="D815" s="508"/>
      <c r="E815" s="507"/>
      <c r="F815" s="507"/>
      <c r="G815" s="507"/>
      <c r="H815" s="507"/>
      <c r="I815" s="507"/>
      <c r="J815" s="507"/>
      <c r="K815" s="507"/>
      <c r="L815" s="507"/>
      <c r="M815" s="507"/>
      <c r="N815" s="507"/>
      <c r="O815" s="507"/>
      <c r="P815" s="507"/>
      <c r="Q815" s="507"/>
      <c r="R815" s="507"/>
      <c r="S815" s="507"/>
    </row>
    <row r="816" ht="35.25" customHeight="1">
      <c r="A816" s="507"/>
      <c r="B816" s="507"/>
      <c r="C816" s="507"/>
      <c r="D816" s="508"/>
      <c r="E816" s="507"/>
      <c r="F816" s="507"/>
      <c r="G816" s="507"/>
      <c r="H816" s="507"/>
      <c r="I816" s="507"/>
      <c r="J816" s="507"/>
      <c r="K816" s="507"/>
      <c r="L816" s="507"/>
      <c r="M816" s="507"/>
      <c r="N816" s="507"/>
      <c r="O816" s="507"/>
      <c r="P816" s="507"/>
      <c r="Q816" s="507"/>
      <c r="R816" s="507"/>
      <c r="S816" s="507"/>
    </row>
    <row r="817" ht="35.25" customHeight="1">
      <c r="A817" s="507"/>
      <c r="B817" s="507"/>
      <c r="C817" s="507"/>
      <c r="D817" s="508"/>
      <c r="E817" s="507"/>
      <c r="F817" s="507"/>
      <c r="G817" s="507"/>
      <c r="H817" s="507"/>
      <c r="I817" s="507"/>
      <c r="J817" s="507"/>
      <c r="K817" s="507"/>
      <c r="L817" s="507"/>
      <c r="M817" s="507"/>
      <c r="N817" s="507"/>
      <c r="O817" s="507"/>
      <c r="P817" s="507"/>
      <c r="Q817" s="507"/>
      <c r="R817" s="507"/>
      <c r="S817" s="507"/>
    </row>
    <row r="818" ht="35.25" customHeight="1">
      <c r="A818" s="507"/>
      <c r="B818" s="507"/>
      <c r="C818" s="507"/>
      <c r="D818" s="508"/>
      <c r="E818" s="507"/>
      <c r="F818" s="507"/>
      <c r="G818" s="507"/>
      <c r="H818" s="507"/>
      <c r="I818" s="507"/>
      <c r="J818" s="507"/>
      <c r="K818" s="507"/>
      <c r="L818" s="507"/>
      <c r="M818" s="507"/>
      <c r="N818" s="507"/>
      <c r="O818" s="507"/>
      <c r="P818" s="507"/>
      <c r="Q818" s="507"/>
      <c r="R818" s="507"/>
      <c r="S818" s="507"/>
    </row>
    <row r="819" ht="35.25" customHeight="1">
      <c r="A819" s="507"/>
      <c r="B819" s="507"/>
      <c r="C819" s="507"/>
      <c r="D819" s="508"/>
      <c r="E819" s="507"/>
      <c r="F819" s="507"/>
      <c r="G819" s="507"/>
      <c r="H819" s="507"/>
      <c r="I819" s="507"/>
      <c r="J819" s="507"/>
      <c r="K819" s="507"/>
      <c r="L819" s="507"/>
      <c r="M819" s="507"/>
      <c r="N819" s="507"/>
      <c r="O819" s="507"/>
      <c r="P819" s="507"/>
      <c r="Q819" s="507"/>
      <c r="R819" s="507"/>
      <c r="S819" s="507"/>
    </row>
    <row r="820" ht="35.25" customHeight="1">
      <c r="A820" s="507"/>
      <c r="B820" s="507"/>
      <c r="C820" s="507"/>
      <c r="D820" s="508"/>
      <c r="E820" s="507"/>
      <c r="F820" s="507"/>
      <c r="G820" s="507"/>
      <c r="H820" s="507"/>
      <c r="I820" s="507"/>
      <c r="J820" s="507"/>
      <c r="K820" s="507"/>
      <c r="L820" s="507"/>
      <c r="M820" s="507"/>
      <c r="N820" s="507"/>
      <c r="O820" s="507"/>
      <c r="P820" s="507"/>
      <c r="Q820" s="507"/>
      <c r="R820" s="507"/>
      <c r="S820" s="507"/>
    </row>
    <row r="821" ht="35.25" customHeight="1">
      <c r="A821" s="507"/>
      <c r="B821" s="507"/>
      <c r="C821" s="507"/>
      <c r="D821" s="508"/>
      <c r="E821" s="507"/>
      <c r="F821" s="507"/>
      <c r="G821" s="507"/>
      <c r="H821" s="507"/>
      <c r="I821" s="507"/>
      <c r="J821" s="507"/>
      <c r="K821" s="507"/>
      <c r="L821" s="507"/>
      <c r="M821" s="507"/>
      <c r="N821" s="507"/>
      <c r="O821" s="507"/>
      <c r="P821" s="507"/>
      <c r="Q821" s="507"/>
      <c r="R821" s="507"/>
      <c r="S821" s="507"/>
    </row>
    <row r="822" ht="35.25" customHeight="1">
      <c r="A822" s="507"/>
      <c r="B822" s="507"/>
      <c r="C822" s="507"/>
      <c r="D822" s="508"/>
      <c r="E822" s="507"/>
      <c r="F822" s="507"/>
      <c r="G822" s="507"/>
      <c r="H822" s="507"/>
      <c r="I822" s="507"/>
      <c r="J822" s="507"/>
      <c r="K822" s="507"/>
      <c r="L822" s="507"/>
      <c r="M822" s="507"/>
      <c r="N822" s="507"/>
      <c r="O822" s="507"/>
      <c r="P822" s="507"/>
      <c r="Q822" s="507"/>
      <c r="R822" s="507"/>
      <c r="S822" s="507"/>
    </row>
    <row r="823" ht="35.25" customHeight="1">
      <c r="A823" s="507"/>
      <c r="B823" s="507"/>
      <c r="C823" s="507"/>
      <c r="D823" s="508"/>
      <c r="E823" s="507"/>
      <c r="F823" s="507"/>
      <c r="G823" s="507"/>
      <c r="H823" s="507"/>
      <c r="I823" s="507"/>
      <c r="J823" s="507"/>
      <c r="K823" s="507"/>
      <c r="L823" s="507"/>
      <c r="M823" s="507"/>
      <c r="N823" s="507"/>
      <c r="O823" s="507"/>
      <c r="P823" s="507"/>
      <c r="Q823" s="507"/>
      <c r="R823" s="507"/>
      <c r="S823" s="507"/>
    </row>
    <row r="824" ht="35.25" customHeight="1">
      <c r="A824" s="507"/>
      <c r="B824" s="507"/>
      <c r="C824" s="507"/>
      <c r="D824" s="508"/>
      <c r="E824" s="507"/>
      <c r="F824" s="507"/>
      <c r="G824" s="507"/>
      <c r="H824" s="507"/>
      <c r="I824" s="507"/>
      <c r="J824" s="507"/>
      <c r="K824" s="507"/>
      <c r="L824" s="507"/>
      <c r="M824" s="507"/>
      <c r="N824" s="507"/>
      <c r="O824" s="507"/>
      <c r="P824" s="507"/>
      <c r="Q824" s="507"/>
      <c r="R824" s="507"/>
      <c r="S824" s="507"/>
    </row>
    <row r="825" ht="35.25" customHeight="1">
      <c r="A825" s="507"/>
      <c r="B825" s="507"/>
      <c r="C825" s="507"/>
      <c r="D825" s="508"/>
      <c r="E825" s="507"/>
      <c r="F825" s="507"/>
      <c r="G825" s="507"/>
      <c r="H825" s="507"/>
      <c r="I825" s="507"/>
      <c r="J825" s="507"/>
      <c r="K825" s="507"/>
      <c r="L825" s="507"/>
      <c r="M825" s="507"/>
      <c r="N825" s="507"/>
      <c r="O825" s="507"/>
      <c r="P825" s="507"/>
      <c r="Q825" s="507"/>
      <c r="R825" s="507"/>
      <c r="S825" s="507"/>
    </row>
    <row r="826" ht="35.25" customHeight="1">
      <c r="A826" s="507"/>
      <c r="B826" s="507"/>
      <c r="C826" s="507"/>
      <c r="D826" s="508"/>
      <c r="E826" s="507"/>
      <c r="F826" s="507"/>
      <c r="G826" s="507"/>
      <c r="H826" s="507"/>
      <c r="I826" s="507"/>
      <c r="J826" s="507"/>
      <c r="K826" s="507"/>
      <c r="L826" s="507"/>
      <c r="M826" s="507"/>
      <c r="N826" s="507"/>
      <c r="O826" s="507"/>
      <c r="P826" s="507"/>
      <c r="Q826" s="507"/>
      <c r="R826" s="507"/>
      <c r="S826" s="507"/>
    </row>
    <row r="827" ht="35.25" customHeight="1">
      <c r="A827" s="507"/>
      <c r="B827" s="507"/>
      <c r="C827" s="507"/>
      <c r="D827" s="508"/>
      <c r="E827" s="507"/>
      <c r="F827" s="507"/>
      <c r="G827" s="507"/>
      <c r="H827" s="507"/>
      <c r="I827" s="507"/>
      <c r="J827" s="507"/>
      <c r="K827" s="507"/>
      <c r="L827" s="507"/>
      <c r="M827" s="507"/>
      <c r="N827" s="507"/>
      <c r="O827" s="507"/>
      <c r="P827" s="507"/>
      <c r="Q827" s="507"/>
      <c r="R827" s="507"/>
      <c r="S827" s="507"/>
    </row>
    <row r="828" ht="35.25" customHeight="1">
      <c r="A828" s="507"/>
      <c r="B828" s="507"/>
      <c r="C828" s="507"/>
      <c r="D828" s="508"/>
      <c r="E828" s="507"/>
      <c r="F828" s="507"/>
      <c r="G828" s="507"/>
      <c r="H828" s="507"/>
      <c r="I828" s="507"/>
      <c r="J828" s="507"/>
      <c r="K828" s="507"/>
      <c r="L828" s="507"/>
      <c r="M828" s="507"/>
      <c r="N828" s="507"/>
      <c r="O828" s="507"/>
      <c r="P828" s="507"/>
      <c r="Q828" s="507"/>
      <c r="R828" s="507"/>
      <c r="S828" s="507"/>
    </row>
    <row r="829" ht="35.25" customHeight="1">
      <c r="A829" s="507"/>
      <c r="B829" s="507"/>
      <c r="C829" s="507"/>
      <c r="D829" s="508"/>
      <c r="E829" s="507"/>
      <c r="F829" s="507"/>
      <c r="G829" s="507"/>
      <c r="H829" s="507"/>
      <c r="I829" s="507"/>
      <c r="J829" s="507"/>
      <c r="K829" s="507"/>
      <c r="L829" s="507"/>
      <c r="M829" s="507"/>
      <c r="N829" s="507"/>
      <c r="O829" s="507"/>
      <c r="P829" s="507"/>
      <c r="Q829" s="507"/>
      <c r="R829" s="507"/>
      <c r="S829" s="507"/>
    </row>
    <row r="830" ht="35.25" customHeight="1">
      <c r="A830" s="507"/>
      <c r="B830" s="507"/>
      <c r="C830" s="507"/>
      <c r="D830" s="508"/>
      <c r="E830" s="507"/>
      <c r="F830" s="507"/>
      <c r="G830" s="507"/>
      <c r="H830" s="507"/>
      <c r="I830" s="507"/>
      <c r="J830" s="507"/>
      <c r="K830" s="507"/>
      <c r="L830" s="507"/>
      <c r="M830" s="507"/>
      <c r="N830" s="507"/>
      <c r="O830" s="507"/>
      <c r="P830" s="507"/>
      <c r="Q830" s="507"/>
      <c r="R830" s="507"/>
      <c r="S830" s="507"/>
    </row>
    <row r="831" ht="35.25" customHeight="1">
      <c r="A831" s="507"/>
      <c r="B831" s="507"/>
      <c r="C831" s="507"/>
      <c r="D831" s="508"/>
      <c r="E831" s="507"/>
      <c r="F831" s="507"/>
      <c r="G831" s="507"/>
      <c r="H831" s="507"/>
      <c r="I831" s="507"/>
      <c r="J831" s="507"/>
      <c r="K831" s="507"/>
      <c r="L831" s="507"/>
      <c r="M831" s="507"/>
      <c r="N831" s="507"/>
      <c r="O831" s="507"/>
      <c r="P831" s="507"/>
      <c r="Q831" s="507"/>
      <c r="R831" s="507"/>
      <c r="S831" s="507"/>
    </row>
    <row r="832" ht="35.25" customHeight="1">
      <c r="A832" s="507"/>
      <c r="B832" s="507"/>
      <c r="C832" s="507"/>
      <c r="D832" s="508"/>
      <c r="E832" s="507"/>
      <c r="F832" s="507"/>
      <c r="G832" s="507"/>
      <c r="H832" s="507"/>
      <c r="I832" s="507"/>
      <c r="J832" s="507"/>
      <c r="K832" s="507"/>
      <c r="L832" s="507"/>
      <c r="M832" s="507"/>
      <c r="N832" s="507"/>
      <c r="O832" s="507"/>
      <c r="P832" s="507"/>
      <c r="Q832" s="507"/>
      <c r="R832" s="507"/>
      <c r="S832" s="507"/>
    </row>
    <row r="833" ht="35.25" customHeight="1">
      <c r="A833" s="507"/>
      <c r="B833" s="507"/>
      <c r="C833" s="507"/>
      <c r="D833" s="508"/>
      <c r="E833" s="507"/>
      <c r="F833" s="507"/>
      <c r="G833" s="507"/>
      <c r="H833" s="507"/>
      <c r="I833" s="507"/>
      <c r="J833" s="507"/>
      <c r="K833" s="507"/>
      <c r="L833" s="507"/>
      <c r="M833" s="507"/>
      <c r="N833" s="507"/>
      <c r="O833" s="507"/>
      <c r="P833" s="507"/>
      <c r="Q833" s="507"/>
      <c r="R833" s="507"/>
      <c r="S833" s="507"/>
    </row>
    <row r="834" ht="35.25" customHeight="1">
      <c r="A834" s="507"/>
      <c r="B834" s="507"/>
      <c r="C834" s="507"/>
      <c r="D834" s="508"/>
      <c r="E834" s="507"/>
      <c r="F834" s="507"/>
      <c r="G834" s="507"/>
      <c r="H834" s="507"/>
      <c r="I834" s="507"/>
      <c r="J834" s="507"/>
      <c r="K834" s="507"/>
      <c r="L834" s="507"/>
      <c r="M834" s="507"/>
      <c r="N834" s="507"/>
      <c r="O834" s="507"/>
      <c r="P834" s="507"/>
      <c r="Q834" s="507"/>
      <c r="R834" s="507"/>
      <c r="S834" s="507"/>
    </row>
    <row r="835" ht="35.25" customHeight="1">
      <c r="A835" s="507"/>
      <c r="B835" s="507"/>
      <c r="C835" s="507"/>
      <c r="D835" s="508"/>
      <c r="E835" s="507"/>
      <c r="F835" s="507"/>
      <c r="G835" s="507"/>
      <c r="H835" s="507"/>
      <c r="I835" s="507"/>
      <c r="J835" s="507"/>
      <c r="K835" s="507"/>
      <c r="L835" s="507"/>
      <c r="M835" s="507"/>
      <c r="N835" s="507"/>
      <c r="O835" s="507"/>
      <c r="P835" s="507"/>
      <c r="Q835" s="507"/>
      <c r="R835" s="507"/>
      <c r="S835" s="507"/>
    </row>
    <row r="836" ht="35.25" customHeight="1">
      <c r="A836" s="507"/>
      <c r="B836" s="507"/>
      <c r="C836" s="507"/>
      <c r="D836" s="508"/>
      <c r="E836" s="507"/>
      <c r="F836" s="507"/>
      <c r="G836" s="507"/>
      <c r="H836" s="507"/>
      <c r="I836" s="507"/>
      <c r="J836" s="507"/>
      <c r="K836" s="507"/>
      <c r="L836" s="507"/>
      <c r="M836" s="507"/>
      <c r="N836" s="507"/>
      <c r="O836" s="507"/>
      <c r="P836" s="507"/>
      <c r="Q836" s="507"/>
      <c r="R836" s="507"/>
      <c r="S836" s="507"/>
    </row>
    <row r="837" ht="35.25" customHeight="1">
      <c r="A837" s="507"/>
      <c r="B837" s="507"/>
      <c r="C837" s="507"/>
      <c r="D837" s="508"/>
      <c r="E837" s="507"/>
      <c r="F837" s="507"/>
      <c r="G837" s="507"/>
      <c r="H837" s="507"/>
      <c r="I837" s="507"/>
      <c r="J837" s="507"/>
      <c r="K837" s="507"/>
      <c r="L837" s="507"/>
      <c r="M837" s="507"/>
      <c r="N837" s="507"/>
      <c r="O837" s="507"/>
      <c r="P837" s="507"/>
      <c r="Q837" s="507"/>
      <c r="R837" s="507"/>
      <c r="S837" s="507"/>
    </row>
    <row r="838" ht="35.25" customHeight="1">
      <c r="A838" s="507"/>
      <c r="B838" s="507"/>
      <c r="C838" s="507"/>
      <c r="D838" s="508"/>
      <c r="E838" s="507"/>
      <c r="F838" s="507"/>
      <c r="G838" s="507"/>
      <c r="H838" s="507"/>
      <c r="I838" s="507"/>
      <c r="J838" s="507"/>
      <c r="K838" s="507"/>
      <c r="L838" s="507"/>
      <c r="M838" s="507"/>
      <c r="N838" s="507"/>
      <c r="O838" s="507"/>
      <c r="P838" s="507"/>
      <c r="Q838" s="507"/>
      <c r="R838" s="507"/>
      <c r="S838" s="507"/>
    </row>
    <row r="839" ht="35.25" customHeight="1">
      <c r="A839" s="507"/>
      <c r="B839" s="507"/>
      <c r="C839" s="507"/>
      <c r="D839" s="508"/>
      <c r="E839" s="507"/>
      <c r="F839" s="507"/>
      <c r="G839" s="507"/>
      <c r="H839" s="507"/>
      <c r="I839" s="507"/>
      <c r="J839" s="507"/>
      <c r="K839" s="507"/>
      <c r="L839" s="507"/>
      <c r="M839" s="507"/>
      <c r="N839" s="507"/>
      <c r="O839" s="507"/>
      <c r="P839" s="507"/>
      <c r="Q839" s="507"/>
      <c r="R839" s="507"/>
      <c r="S839" s="507"/>
    </row>
    <row r="840" ht="35.25" customHeight="1">
      <c r="A840" s="507"/>
      <c r="B840" s="507"/>
      <c r="C840" s="507"/>
      <c r="D840" s="508"/>
      <c r="E840" s="507"/>
      <c r="F840" s="507"/>
      <c r="G840" s="507"/>
      <c r="H840" s="507"/>
      <c r="I840" s="507"/>
      <c r="J840" s="507"/>
      <c r="K840" s="507"/>
      <c r="L840" s="507"/>
      <c r="M840" s="507"/>
      <c r="N840" s="507"/>
      <c r="O840" s="507"/>
      <c r="P840" s="507"/>
      <c r="Q840" s="507"/>
      <c r="R840" s="507"/>
      <c r="S840" s="507"/>
    </row>
    <row r="841" ht="35.25" customHeight="1">
      <c r="A841" s="507"/>
      <c r="B841" s="507"/>
      <c r="C841" s="507"/>
      <c r="D841" s="508"/>
      <c r="E841" s="507"/>
      <c r="F841" s="507"/>
      <c r="G841" s="507"/>
      <c r="H841" s="507"/>
      <c r="I841" s="507"/>
      <c r="J841" s="507"/>
      <c r="K841" s="507"/>
      <c r="L841" s="507"/>
      <c r="M841" s="507"/>
      <c r="N841" s="507"/>
      <c r="O841" s="507"/>
      <c r="P841" s="507"/>
      <c r="Q841" s="507"/>
      <c r="R841" s="507"/>
      <c r="S841" s="507"/>
    </row>
    <row r="842" ht="35.25" customHeight="1">
      <c r="A842" s="507"/>
      <c r="B842" s="507"/>
      <c r="C842" s="507"/>
      <c r="D842" s="508"/>
      <c r="E842" s="507"/>
      <c r="F842" s="507"/>
      <c r="G842" s="507"/>
      <c r="H842" s="507"/>
      <c r="I842" s="507"/>
      <c r="J842" s="507"/>
      <c r="K842" s="507"/>
      <c r="L842" s="507"/>
      <c r="M842" s="507"/>
      <c r="N842" s="507"/>
      <c r="O842" s="507"/>
      <c r="P842" s="507"/>
      <c r="Q842" s="507"/>
      <c r="R842" s="507"/>
      <c r="S842" s="507"/>
    </row>
    <row r="843" ht="35.25" customHeight="1">
      <c r="A843" s="507"/>
      <c r="B843" s="507"/>
      <c r="C843" s="507"/>
      <c r="D843" s="508"/>
      <c r="E843" s="507"/>
      <c r="F843" s="507"/>
      <c r="G843" s="507"/>
      <c r="H843" s="507"/>
      <c r="I843" s="507"/>
      <c r="J843" s="507"/>
      <c r="K843" s="507"/>
      <c r="L843" s="507"/>
      <c r="M843" s="507"/>
      <c r="N843" s="507"/>
      <c r="O843" s="507"/>
      <c r="P843" s="507"/>
      <c r="Q843" s="507"/>
      <c r="R843" s="507"/>
      <c r="S843" s="507"/>
    </row>
    <row r="844" ht="35.25" customHeight="1">
      <c r="A844" s="507"/>
      <c r="B844" s="507"/>
      <c r="C844" s="507"/>
      <c r="D844" s="508"/>
      <c r="E844" s="507"/>
      <c r="F844" s="507"/>
      <c r="G844" s="507"/>
      <c r="H844" s="507"/>
      <c r="I844" s="507"/>
      <c r="J844" s="507"/>
      <c r="K844" s="507"/>
      <c r="L844" s="507"/>
      <c r="M844" s="507"/>
      <c r="N844" s="507"/>
      <c r="O844" s="507"/>
      <c r="P844" s="507"/>
      <c r="Q844" s="507"/>
      <c r="R844" s="507"/>
      <c r="S844" s="507"/>
    </row>
    <row r="845" ht="35.25" customHeight="1">
      <c r="A845" s="507"/>
      <c r="B845" s="507"/>
      <c r="C845" s="507"/>
      <c r="D845" s="508"/>
      <c r="E845" s="507"/>
      <c r="F845" s="507"/>
      <c r="G845" s="507"/>
      <c r="H845" s="507"/>
      <c r="I845" s="507"/>
      <c r="J845" s="507"/>
      <c r="K845" s="507"/>
      <c r="L845" s="507"/>
      <c r="M845" s="507"/>
      <c r="N845" s="507"/>
      <c r="O845" s="507"/>
      <c r="P845" s="507"/>
      <c r="Q845" s="507"/>
      <c r="R845" s="507"/>
      <c r="S845" s="507"/>
    </row>
    <row r="846" ht="35.25" customHeight="1">
      <c r="A846" s="507"/>
      <c r="B846" s="507"/>
      <c r="C846" s="507"/>
      <c r="D846" s="508"/>
      <c r="E846" s="507"/>
      <c r="F846" s="507"/>
      <c r="G846" s="507"/>
      <c r="H846" s="507"/>
      <c r="I846" s="507"/>
      <c r="J846" s="507"/>
      <c r="K846" s="507"/>
      <c r="L846" s="507"/>
      <c r="M846" s="507"/>
      <c r="N846" s="507"/>
      <c r="O846" s="507"/>
      <c r="P846" s="507"/>
      <c r="Q846" s="507"/>
      <c r="R846" s="507"/>
      <c r="S846" s="507"/>
    </row>
    <row r="847" ht="35.25" customHeight="1">
      <c r="A847" s="507"/>
      <c r="B847" s="507"/>
      <c r="C847" s="507"/>
      <c r="D847" s="508"/>
      <c r="E847" s="507"/>
      <c r="F847" s="507"/>
      <c r="G847" s="507"/>
      <c r="H847" s="507"/>
      <c r="I847" s="507"/>
      <c r="J847" s="507"/>
      <c r="K847" s="507"/>
      <c r="L847" s="507"/>
      <c r="M847" s="507"/>
      <c r="N847" s="507"/>
      <c r="O847" s="507"/>
      <c r="P847" s="507"/>
      <c r="Q847" s="507"/>
      <c r="R847" s="507"/>
      <c r="S847" s="507"/>
    </row>
    <row r="848" ht="35.25" customHeight="1">
      <c r="A848" s="507"/>
      <c r="B848" s="507"/>
      <c r="C848" s="507"/>
      <c r="D848" s="508"/>
      <c r="E848" s="507"/>
      <c r="F848" s="507"/>
      <c r="G848" s="507"/>
      <c r="H848" s="507"/>
      <c r="I848" s="507"/>
      <c r="J848" s="507"/>
      <c r="K848" s="507"/>
      <c r="L848" s="507"/>
      <c r="M848" s="507"/>
      <c r="N848" s="507"/>
      <c r="O848" s="507"/>
      <c r="P848" s="507"/>
      <c r="Q848" s="507"/>
      <c r="R848" s="507"/>
      <c r="S848" s="507"/>
    </row>
    <row r="849" ht="35.25" customHeight="1">
      <c r="A849" s="507"/>
      <c r="B849" s="507"/>
      <c r="C849" s="507"/>
      <c r="D849" s="508"/>
      <c r="E849" s="507"/>
      <c r="F849" s="507"/>
      <c r="G849" s="507"/>
      <c r="H849" s="507"/>
      <c r="I849" s="507"/>
      <c r="J849" s="507"/>
      <c r="K849" s="507"/>
      <c r="L849" s="507"/>
      <c r="M849" s="507"/>
      <c r="N849" s="507"/>
      <c r="O849" s="507"/>
      <c r="P849" s="507"/>
      <c r="Q849" s="507"/>
      <c r="R849" s="507"/>
      <c r="S849" s="507"/>
    </row>
    <row r="850" ht="35.25" customHeight="1">
      <c r="A850" s="507"/>
      <c r="B850" s="507"/>
      <c r="C850" s="507"/>
      <c r="D850" s="508"/>
      <c r="E850" s="507"/>
      <c r="F850" s="507"/>
      <c r="G850" s="507"/>
      <c r="H850" s="507"/>
      <c r="I850" s="507"/>
      <c r="J850" s="507"/>
      <c r="K850" s="507"/>
      <c r="L850" s="507"/>
      <c r="M850" s="507"/>
      <c r="N850" s="507"/>
      <c r="O850" s="507"/>
      <c r="P850" s="507"/>
      <c r="Q850" s="507"/>
      <c r="R850" s="507"/>
      <c r="S850" s="507"/>
    </row>
    <row r="851" ht="35.25" customHeight="1">
      <c r="A851" s="507"/>
      <c r="B851" s="507"/>
      <c r="C851" s="507"/>
      <c r="D851" s="508"/>
      <c r="E851" s="507"/>
      <c r="F851" s="507"/>
      <c r="G851" s="507"/>
      <c r="H851" s="507"/>
      <c r="I851" s="507"/>
      <c r="J851" s="507"/>
      <c r="K851" s="507"/>
      <c r="L851" s="507"/>
      <c r="M851" s="507"/>
      <c r="N851" s="507"/>
      <c r="O851" s="507"/>
      <c r="P851" s="507"/>
      <c r="Q851" s="507"/>
      <c r="R851" s="507"/>
      <c r="S851" s="507"/>
    </row>
    <row r="852" ht="35.25" customHeight="1">
      <c r="A852" s="507"/>
      <c r="B852" s="507"/>
      <c r="C852" s="507"/>
      <c r="D852" s="508"/>
      <c r="E852" s="507"/>
      <c r="F852" s="507"/>
      <c r="G852" s="507"/>
      <c r="H852" s="507"/>
      <c r="I852" s="507"/>
      <c r="J852" s="507"/>
      <c r="K852" s="507"/>
      <c r="L852" s="507"/>
      <c r="M852" s="507"/>
      <c r="N852" s="507"/>
      <c r="O852" s="507"/>
      <c r="P852" s="507"/>
      <c r="Q852" s="507"/>
      <c r="R852" s="507"/>
      <c r="S852" s="507"/>
    </row>
    <row r="853" ht="35.25" customHeight="1">
      <c r="A853" s="507"/>
      <c r="B853" s="507"/>
      <c r="C853" s="507"/>
      <c r="D853" s="508"/>
      <c r="E853" s="507"/>
      <c r="F853" s="507"/>
      <c r="G853" s="507"/>
      <c r="H853" s="507"/>
      <c r="I853" s="507"/>
      <c r="J853" s="507"/>
      <c r="K853" s="507"/>
      <c r="L853" s="507"/>
      <c r="M853" s="507"/>
      <c r="N853" s="507"/>
      <c r="O853" s="507"/>
      <c r="P853" s="507"/>
      <c r="Q853" s="507"/>
      <c r="R853" s="507"/>
      <c r="S853" s="507"/>
    </row>
    <row r="854" ht="35.25" customHeight="1">
      <c r="A854" s="507"/>
      <c r="B854" s="507"/>
      <c r="C854" s="507"/>
      <c r="D854" s="508"/>
      <c r="E854" s="507"/>
      <c r="F854" s="507"/>
      <c r="G854" s="507"/>
      <c r="H854" s="507"/>
      <c r="I854" s="507"/>
      <c r="J854" s="507"/>
      <c r="K854" s="507"/>
      <c r="L854" s="507"/>
      <c r="M854" s="507"/>
      <c r="N854" s="507"/>
      <c r="O854" s="507"/>
      <c r="P854" s="507"/>
      <c r="Q854" s="507"/>
      <c r="R854" s="507"/>
      <c r="S854" s="507"/>
    </row>
    <row r="855" ht="35.25" customHeight="1">
      <c r="A855" s="507"/>
      <c r="B855" s="507"/>
      <c r="C855" s="507"/>
      <c r="D855" s="508"/>
      <c r="E855" s="507"/>
      <c r="F855" s="507"/>
      <c r="G855" s="507"/>
      <c r="H855" s="507"/>
      <c r="I855" s="507"/>
      <c r="J855" s="507"/>
      <c r="K855" s="507"/>
      <c r="L855" s="507"/>
      <c r="M855" s="507"/>
      <c r="N855" s="507"/>
      <c r="O855" s="507"/>
      <c r="P855" s="507"/>
      <c r="Q855" s="507"/>
      <c r="R855" s="507"/>
      <c r="S855" s="507"/>
    </row>
    <row r="856" ht="35.25" customHeight="1">
      <c r="A856" s="507"/>
      <c r="B856" s="507"/>
      <c r="C856" s="507"/>
      <c r="D856" s="508"/>
      <c r="E856" s="507"/>
      <c r="F856" s="507"/>
      <c r="G856" s="507"/>
      <c r="H856" s="507"/>
      <c r="I856" s="507"/>
      <c r="J856" s="507"/>
      <c r="K856" s="507"/>
      <c r="L856" s="507"/>
      <c r="M856" s="507"/>
      <c r="N856" s="507"/>
      <c r="O856" s="507"/>
      <c r="P856" s="507"/>
      <c r="Q856" s="507"/>
      <c r="R856" s="507"/>
      <c r="S856" s="507"/>
    </row>
    <row r="857" ht="35.25" customHeight="1">
      <c r="A857" s="507"/>
      <c r="B857" s="507"/>
      <c r="C857" s="507"/>
      <c r="D857" s="508"/>
      <c r="E857" s="507"/>
      <c r="F857" s="507"/>
      <c r="G857" s="507"/>
      <c r="H857" s="507"/>
      <c r="I857" s="507"/>
      <c r="J857" s="507"/>
      <c r="K857" s="507"/>
      <c r="L857" s="507"/>
      <c r="M857" s="507"/>
      <c r="N857" s="507"/>
      <c r="O857" s="507"/>
      <c r="P857" s="507"/>
      <c r="Q857" s="507"/>
      <c r="R857" s="507"/>
      <c r="S857" s="507"/>
    </row>
    <row r="858" ht="35.25" customHeight="1">
      <c r="A858" s="507"/>
      <c r="B858" s="507"/>
      <c r="C858" s="507"/>
      <c r="D858" s="508"/>
      <c r="E858" s="507"/>
      <c r="F858" s="507"/>
      <c r="G858" s="507"/>
      <c r="H858" s="507"/>
      <c r="I858" s="507"/>
      <c r="J858" s="507"/>
      <c r="K858" s="507"/>
      <c r="L858" s="507"/>
      <c r="M858" s="507"/>
      <c r="N858" s="507"/>
      <c r="O858" s="507"/>
      <c r="P858" s="507"/>
      <c r="Q858" s="507"/>
      <c r="R858" s="507"/>
      <c r="S858" s="507"/>
    </row>
    <row r="859" ht="35.25" customHeight="1">
      <c r="A859" s="507"/>
      <c r="B859" s="507"/>
      <c r="C859" s="507"/>
      <c r="D859" s="508"/>
      <c r="E859" s="507"/>
      <c r="F859" s="507"/>
      <c r="G859" s="507"/>
      <c r="H859" s="507"/>
      <c r="I859" s="507"/>
      <c r="J859" s="507"/>
      <c r="K859" s="507"/>
      <c r="L859" s="507"/>
      <c r="M859" s="507"/>
      <c r="N859" s="507"/>
      <c r="O859" s="507"/>
      <c r="P859" s="507"/>
      <c r="Q859" s="507"/>
      <c r="R859" s="507"/>
      <c r="S859" s="507"/>
    </row>
    <row r="860" ht="35.25" customHeight="1">
      <c r="A860" s="507"/>
      <c r="B860" s="507"/>
      <c r="C860" s="507"/>
      <c r="D860" s="508"/>
      <c r="E860" s="507"/>
      <c r="F860" s="507"/>
      <c r="G860" s="507"/>
      <c r="H860" s="507"/>
      <c r="I860" s="507"/>
      <c r="J860" s="507"/>
      <c r="K860" s="507"/>
      <c r="L860" s="507"/>
      <c r="M860" s="507"/>
      <c r="N860" s="507"/>
      <c r="O860" s="507"/>
      <c r="P860" s="507"/>
      <c r="Q860" s="507"/>
      <c r="R860" s="507"/>
      <c r="S860" s="507"/>
    </row>
    <row r="861" ht="35.25" customHeight="1">
      <c r="A861" s="507"/>
      <c r="B861" s="507"/>
      <c r="C861" s="507"/>
      <c r="D861" s="508"/>
      <c r="E861" s="507"/>
      <c r="F861" s="507"/>
      <c r="G861" s="507"/>
      <c r="H861" s="507"/>
      <c r="I861" s="507"/>
      <c r="J861" s="507"/>
      <c r="K861" s="507"/>
      <c r="L861" s="507"/>
      <c r="M861" s="507"/>
      <c r="N861" s="507"/>
      <c r="O861" s="507"/>
      <c r="P861" s="507"/>
      <c r="Q861" s="507"/>
      <c r="R861" s="507"/>
      <c r="S861" s="507"/>
    </row>
    <row r="862" ht="35.25" customHeight="1">
      <c r="A862" s="507"/>
      <c r="B862" s="507"/>
      <c r="C862" s="507"/>
      <c r="D862" s="508"/>
      <c r="E862" s="507"/>
      <c r="F862" s="507"/>
      <c r="G862" s="507"/>
      <c r="H862" s="507"/>
      <c r="I862" s="507"/>
      <c r="J862" s="507"/>
      <c r="K862" s="507"/>
      <c r="L862" s="507"/>
      <c r="M862" s="507"/>
      <c r="N862" s="507"/>
      <c r="O862" s="507"/>
      <c r="P862" s="507"/>
      <c r="Q862" s="507"/>
      <c r="R862" s="507"/>
      <c r="S862" s="507"/>
    </row>
    <row r="863" ht="35.25" customHeight="1">
      <c r="A863" s="507"/>
      <c r="B863" s="507"/>
      <c r="C863" s="507"/>
      <c r="D863" s="508"/>
      <c r="E863" s="507"/>
      <c r="F863" s="507"/>
      <c r="G863" s="507"/>
      <c r="H863" s="507"/>
      <c r="I863" s="507"/>
      <c r="J863" s="507"/>
      <c r="K863" s="507"/>
      <c r="L863" s="507"/>
      <c r="M863" s="507"/>
      <c r="N863" s="507"/>
      <c r="O863" s="507"/>
      <c r="P863" s="507"/>
      <c r="Q863" s="507"/>
      <c r="R863" s="507"/>
      <c r="S863" s="507"/>
    </row>
    <row r="864" ht="35.25" customHeight="1">
      <c r="A864" s="507"/>
      <c r="B864" s="507"/>
      <c r="C864" s="507"/>
      <c r="D864" s="508"/>
      <c r="E864" s="507"/>
      <c r="F864" s="507"/>
      <c r="G864" s="507"/>
      <c r="H864" s="507"/>
      <c r="I864" s="507"/>
      <c r="J864" s="507"/>
      <c r="K864" s="507"/>
      <c r="L864" s="507"/>
      <c r="M864" s="507"/>
      <c r="N864" s="507"/>
      <c r="O864" s="507"/>
      <c r="P864" s="507"/>
      <c r="Q864" s="507"/>
      <c r="R864" s="507"/>
      <c r="S864" s="507"/>
    </row>
    <row r="865" ht="35.25" customHeight="1">
      <c r="A865" s="507"/>
      <c r="B865" s="507"/>
      <c r="C865" s="507"/>
      <c r="D865" s="508"/>
      <c r="E865" s="507"/>
      <c r="F865" s="507"/>
      <c r="G865" s="507"/>
      <c r="H865" s="507"/>
      <c r="I865" s="507"/>
      <c r="J865" s="507"/>
      <c r="K865" s="507"/>
      <c r="L865" s="507"/>
      <c r="M865" s="507"/>
      <c r="N865" s="507"/>
      <c r="O865" s="507"/>
      <c r="P865" s="507"/>
      <c r="Q865" s="507"/>
      <c r="R865" s="507"/>
      <c r="S865" s="507"/>
    </row>
    <row r="866" ht="35.25" customHeight="1">
      <c r="A866" s="507"/>
      <c r="B866" s="507"/>
      <c r="C866" s="507"/>
      <c r="D866" s="508"/>
      <c r="E866" s="507"/>
      <c r="F866" s="507"/>
      <c r="G866" s="507"/>
      <c r="H866" s="507"/>
      <c r="I866" s="507"/>
      <c r="J866" s="507"/>
      <c r="K866" s="507"/>
      <c r="L866" s="507"/>
      <c r="M866" s="507"/>
      <c r="N866" s="507"/>
      <c r="O866" s="507"/>
      <c r="P866" s="507"/>
      <c r="Q866" s="507"/>
      <c r="R866" s="507"/>
      <c r="S866" s="507"/>
    </row>
    <row r="867" ht="35.25" customHeight="1">
      <c r="A867" s="507"/>
      <c r="B867" s="507"/>
      <c r="C867" s="507"/>
      <c r="D867" s="508"/>
      <c r="E867" s="507"/>
      <c r="F867" s="507"/>
      <c r="G867" s="507"/>
      <c r="H867" s="507"/>
      <c r="I867" s="507"/>
      <c r="J867" s="507"/>
      <c r="K867" s="507"/>
      <c r="L867" s="507"/>
      <c r="M867" s="507"/>
      <c r="N867" s="507"/>
      <c r="O867" s="507"/>
      <c r="P867" s="507"/>
      <c r="Q867" s="507"/>
      <c r="R867" s="507"/>
      <c r="S867" s="507"/>
    </row>
    <row r="868" ht="35.25" customHeight="1">
      <c r="A868" s="507"/>
      <c r="B868" s="507"/>
      <c r="C868" s="507"/>
      <c r="D868" s="508"/>
      <c r="E868" s="507"/>
      <c r="F868" s="507"/>
      <c r="G868" s="507"/>
      <c r="H868" s="507"/>
      <c r="I868" s="507"/>
      <c r="J868" s="507"/>
      <c r="K868" s="507"/>
      <c r="L868" s="507"/>
      <c r="M868" s="507"/>
      <c r="N868" s="507"/>
      <c r="O868" s="507"/>
      <c r="P868" s="507"/>
      <c r="Q868" s="507"/>
      <c r="R868" s="507"/>
      <c r="S868" s="507"/>
    </row>
    <row r="869" ht="35.25" customHeight="1">
      <c r="A869" s="507"/>
      <c r="B869" s="507"/>
      <c r="C869" s="507"/>
      <c r="D869" s="508"/>
      <c r="E869" s="507"/>
      <c r="F869" s="507"/>
      <c r="G869" s="507"/>
      <c r="H869" s="507"/>
      <c r="I869" s="507"/>
      <c r="J869" s="507"/>
      <c r="K869" s="507"/>
      <c r="L869" s="507"/>
      <c r="M869" s="507"/>
      <c r="N869" s="507"/>
      <c r="O869" s="507"/>
      <c r="P869" s="507"/>
      <c r="Q869" s="507"/>
      <c r="R869" s="507"/>
      <c r="S869" s="507"/>
    </row>
    <row r="870" ht="35.25" customHeight="1">
      <c r="A870" s="507"/>
      <c r="B870" s="507"/>
      <c r="C870" s="507"/>
      <c r="D870" s="508"/>
      <c r="E870" s="507"/>
      <c r="F870" s="507"/>
      <c r="G870" s="507"/>
      <c r="H870" s="507"/>
      <c r="I870" s="507"/>
      <c r="J870" s="507"/>
      <c r="K870" s="507"/>
      <c r="L870" s="507"/>
      <c r="M870" s="507"/>
      <c r="N870" s="507"/>
      <c r="O870" s="507"/>
      <c r="P870" s="507"/>
      <c r="Q870" s="507"/>
      <c r="R870" s="507"/>
      <c r="S870" s="507"/>
    </row>
    <row r="871" ht="35.25" customHeight="1">
      <c r="A871" s="507"/>
      <c r="B871" s="507"/>
      <c r="C871" s="507"/>
      <c r="D871" s="508"/>
      <c r="E871" s="507"/>
      <c r="F871" s="507"/>
      <c r="G871" s="507"/>
      <c r="H871" s="507"/>
      <c r="I871" s="507"/>
      <c r="J871" s="507"/>
      <c r="K871" s="507"/>
      <c r="L871" s="507"/>
      <c r="M871" s="507"/>
      <c r="N871" s="507"/>
      <c r="O871" s="507"/>
      <c r="P871" s="507"/>
      <c r="Q871" s="507"/>
      <c r="R871" s="507"/>
      <c r="S871" s="507"/>
    </row>
    <row r="872" ht="35.25" customHeight="1">
      <c r="A872" s="507"/>
      <c r="B872" s="507"/>
      <c r="C872" s="507"/>
      <c r="D872" s="508"/>
      <c r="E872" s="507"/>
      <c r="F872" s="507"/>
      <c r="G872" s="507"/>
      <c r="H872" s="507"/>
      <c r="I872" s="507"/>
      <c r="J872" s="507"/>
      <c r="K872" s="507"/>
      <c r="L872" s="507"/>
      <c r="M872" s="507"/>
      <c r="N872" s="507"/>
      <c r="O872" s="507"/>
      <c r="P872" s="507"/>
      <c r="Q872" s="507"/>
      <c r="R872" s="507"/>
      <c r="S872" s="507"/>
    </row>
    <row r="873" ht="35.25" customHeight="1">
      <c r="A873" s="507"/>
      <c r="B873" s="507"/>
      <c r="C873" s="507"/>
      <c r="D873" s="508"/>
      <c r="E873" s="507"/>
      <c r="F873" s="507"/>
      <c r="G873" s="507"/>
      <c r="H873" s="507"/>
      <c r="I873" s="507"/>
      <c r="J873" s="507"/>
      <c r="K873" s="507"/>
      <c r="L873" s="507"/>
      <c r="M873" s="507"/>
      <c r="N873" s="507"/>
      <c r="O873" s="507"/>
      <c r="P873" s="507"/>
      <c r="Q873" s="507"/>
      <c r="R873" s="507"/>
      <c r="S873" s="507"/>
    </row>
    <row r="874" ht="35.25" customHeight="1">
      <c r="A874" s="507"/>
      <c r="B874" s="507"/>
      <c r="C874" s="507"/>
      <c r="D874" s="508"/>
      <c r="E874" s="507"/>
      <c r="F874" s="507"/>
      <c r="G874" s="507"/>
      <c r="H874" s="507"/>
      <c r="I874" s="507"/>
      <c r="J874" s="507"/>
      <c r="K874" s="507"/>
      <c r="L874" s="507"/>
      <c r="M874" s="507"/>
      <c r="N874" s="507"/>
      <c r="O874" s="507"/>
      <c r="P874" s="507"/>
      <c r="Q874" s="507"/>
      <c r="R874" s="507"/>
      <c r="S874" s="507"/>
    </row>
    <row r="875" ht="35.25" customHeight="1">
      <c r="A875" s="507"/>
      <c r="B875" s="507"/>
      <c r="C875" s="507"/>
      <c r="D875" s="508"/>
      <c r="E875" s="507"/>
      <c r="F875" s="507"/>
      <c r="G875" s="507"/>
      <c r="H875" s="507"/>
      <c r="I875" s="507"/>
      <c r="J875" s="507"/>
      <c r="K875" s="507"/>
      <c r="L875" s="507"/>
      <c r="M875" s="507"/>
      <c r="N875" s="507"/>
      <c r="O875" s="507"/>
      <c r="P875" s="507"/>
      <c r="Q875" s="507"/>
      <c r="R875" s="507"/>
      <c r="S875" s="507"/>
    </row>
    <row r="876" ht="35.25" customHeight="1">
      <c r="A876" s="507"/>
      <c r="B876" s="507"/>
      <c r="C876" s="507"/>
      <c r="D876" s="508"/>
      <c r="E876" s="507"/>
      <c r="F876" s="507"/>
      <c r="G876" s="507"/>
      <c r="H876" s="507"/>
      <c r="I876" s="507"/>
      <c r="J876" s="507"/>
      <c r="K876" s="507"/>
      <c r="L876" s="507"/>
      <c r="M876" s="507"/>
      <c r="N876" s="507"/>
      <c r="O876" s="507"/>
      <c r="P876" s="507"/>
      <c r="Q876" s="507"/>
      <c r="R876" s="507"/>
      <c r="S876" s="507"/>
    </row>
    <row r="877" ht="35.25" customHeight="1">
      <c r="A877" s="507"/>
      <c r="B877" s="507"/>
      <c r="C877" s="507"/>
      <c r="D877" s="508"/>
      <c r="E877" s="507"/>
      <c r="F877" s="507"/>
      <c r="G877" s="507"/>
      <c r="H877" s="507"/>
      <c r="I877" s="507"/>
      <c r="J877" s="507"/>
      <c r="K877" s="507"/>
      <c r="L877" s="507"/>
      <c r="M877" s="507"/>
      <c r="N877" s="507"/>
      <c r="O877" s="507"/>
      <c r="P877" s="507"/>
      <c r="Q877" s="507"/>
      <c r="R877" s="507"/>
      <c r="S877" s="507"/>
    </row>
    <row r="878" ht="35.25" customHeight="1">
      <c r="A878" s="507"/>
      <c r="B878" s="507"/>
      <c r="C878" s="507"/>
      <c r="D878" s="508"/>
      <c r="E878" s="507"/>
      <c r="F878" s="507"/>
      <c r="G878" s="507"/>
      <c r="H878" s="507"/>
      <c r="I878" s="507"/>
      <c r="J878" s="507"/>
      <c r="K878" s="507"/>
      <c r="L878" s="507"/>
      <c r="M878" s="507"/>
      <c r="N878" s="507"/>
      <c r="O878" s="507"/>
      <c r="P878" s="507"/>
      <c r="Q878" s="507"/>
      <c r="R878" s="507"/>
      <c r="S878" s="507"/>
    </row>
    <row r="879" ht="35.25" customHeight="1">
      <c r="A879" s="507"/>
      <c r="B879" s="507"/>
      <c r="C879" s="507"/>
      <c r="D879" s="508"/>
      <c r="E879" s="507"/>
      <c r="F879" s="507"/>
      <c r="G879" s="507"/>
      <c r="H879" s="507"/>
      <c r="I879" s="507"/>
      <c r="J879" s="507"/>
      <c r="K879" s="507"/>
      <c r="L879" s="507"/>
      <c r="M879" s="507"/>
      <c r="N879" s="507"/>
      <c r="O879" s="507"/>
      <c r="P879" s="507"/>
      <c r="Q879" s="507"/>
      <c r="R879" s="507"/>
      <c r="S879" s="507"/>
    </row>
    <row r="880" ht="35.25" customHeight="1">
      <c r="A880" s="507"/>
      <c r="B880" s="507"/>
      <c r="C880" s="507"/>
      <c r="D880" s="508"/>
      <c r="E880" s="507"/>
      <c r="F880" s="507"/>
      <c r="G880" s="507"/>
      <c r="H880" s="507"/>
      <c r="I880" s="507"/>
      <c r="J880" s="507"/>
      <c r="K880" s="507"/>
      <c r="L880" s="507"/>
      <c r="M880" s="507"/>
      <c r="N880" s="507"/>
      <c r="O880" s="507"/>
      <c r="P880" s="507"/>
      <c r="Q880" s="507"/>
      <c r="R880" s="507"/>
      <c r="S880" s="507"/>
    </row>
    <row r="881" ht="35.25" customHeight="1">
      <c r="A881" s="507"/>
      <c r="B881" s="507"/>
      <c r="C881" s="507"/>
      <c r="D881" s="508"/>
      <c r="E881" s="507"/>
      <c r="F881" s="507"/>
      <c r="G881" s="507"/>
      <c r="H881" s="507"/>
      <c r="I881" s="507"/>
      <c r="J881" s="507"/>
      <c r="K881" s="507"/>
      <c r="L881" s="507"/>
      <c r="M881" s="507"/>
      <c r="N881" s="507"/>
      <c r="O881" s="507"/>
      <c r="P881" s="507"/>
      <c r="Q881" s="507"/>
      <c r="R881" s="507"/>
      <c r="S881" s="507"/>
    </row>
    <row r="882" ht="35.25" customHeight="1">
      <c r="A882" s="507"/>
      <c r="B882" s="507"/>
      <c r="C882" s="507"/>
      <c r="D882" s="508"/>
      <c r="E882" s="507"/>
      <c r="F882" s="507"/>
      <c r="G882" s="507"/>
      <c r="H882" s="507"/>
      <c r="I882" s="507"/>
      <c r="J882" s="507"/>
      <c r="K882" s="507"/>
      <c r="L882" s="507"/>
      <c r="M882" s="507"/>
      <c r="N882" s="507"/>
      <c r="O882" s="507"/>
      <c r="P882" s="507"/>
      <c r="Q882" s="507"/>
      <c r="R882" s="507"/>
      <c r="S882" s="507"/>
    </row>
    <row r="883" ht="35.25" customHeight="1">
      <c r="A883" s="507"/>
      <c r="B883" s="507"/>
      <c r="C883" s="507"/>
      <c r="D883" s="508"/>
      <c r="E883" s="507"/>
      <c r="F883" s="507"/>
      <c r="G883" s="507"/>
      <c r="H883" s="507"/>
      <c r="I883" s="507"/>
      <c r="J883" s="507"/>
      <c r="K883" s="507"/>
      <c r="L883" s="507"/>
      <c r="M883" s="507"/>
      <c r="N883" s="507"/>
      <c r="O883" s="507"/>
      <c r="P883" s="507"/>
      <c r="Q883" s="507"/>
      <c r="R883" s="507"/>
      <c r="S883" s="507"/>
    </row>
    <row r="884" ht="35.25" customHeight="1">
      <c r="A884" s="507"/>
      <c r="B884" s="507"/>
      <c r="C884" s="507"/>
      <c r="D884" s="508"/>
      <c r="E884" s="507"/>
      <c r="F884" s="507"/>
      <c r="G884" s="507"/>
      <c r="H884" s="507"/>
      <c r="I884" s="507"/>
      <c r="J884" s="507"/>
      <c r="K884" s="507"/>
      <c r="L884" s="507"/>
      <c r="M884" s="507"/>
      <c r="N884" s="507"/>
      <c r="O884" s="507"/>
      <c r="P884" s="507"/>
      <c r="Q884" s="507"/>
      <c r="R884" s="507"/>
      <c r="S884" s="507"/>
    </row>
    <row r="885" ht="35.25" customHeight="1">
      <c r="A885" s="507"/>
      <c r="B885" s="507"/>
      <c r="C885" s="507"/>
      <c r="D885" s="508"/>
      <c r="E885" s="507"/>
      <c r="F885" s="507"/>
      <c r="G885" s="507"/>
      <c r="H885" s="507"/>
      <c r="I885" s="507"/>
      <c r="J885" s="507"/>
      <c r="K885" s="507"/>
      <c r="L885" s="507"/>
      <c r="M885" s="507"/>
      <c r="N885" s="507"/>
      <c r="O885" s="507"/>
      <c r="P885" s="507"/>
      <c r="Q885" s="507"/>
      <c r="R885" s="507"/>
      <c r="S885" s="507"/>
    </row>
    <row r="886" ht="35.25" customHeight="1">
      <c r="A886" s="507"/>
      <c r="B886" s="507"/>
      <c r="C886" s="507"/>
      <c r="D886" s="508"/>
      <c r="E886" s="507"/>
      <c r="F886" s="507"/>
      <c r="G886" s="507"/>
      <c r="H886" s="507"/>
      <c r="I886" s="507"/>
      <c r="J886" s="507"/>
      <c r="K886" s="507"/>
      <c r="L886" s="507"/>
      <c r="M886" s="507"/>
      <c r="N886" s="507"/>
      <c r="O886" s="507"/>
      <c r="P886" s="507"/>
      <c r="Q886" s="507"/>
      <c r="R886" s="507"/>
      <c r="S886" s="507"/>
    </row>
    <row r="887" ht="35.25" customHeight="1">
      <c r="A887" s="507"/>
      <c r="B887" s="507"/>
      <c r="C887" s="507"/>
      <c r="D887" s="508"/>
      <c r="E887" s="507"/>
      <c r="F887" s="507"/>
      <c r="G887" s="507"/>
      <c r="H887" s="507"/>
      <c r="I887" s="507"/>
      <c r="J887" s="507"/>
      <c r="K887" s="507"/>
      <c r="L887" s="507"/>
      <c r="M887" s="507"/>
      <c r="N887" s="507"/>
      <c r="O887" s="507"/>
      <c r="P887" s="507"/>
      <c r="Q887" s="507"/>
      <c r="R887" s="507"/>
      <c r="S887" s="507"/>
    </row>
    <row r="888" ht="35.25" customHeight="1">
      <c r="A888" s="507"/>
      <c r="B888" s="507"/>
      <c r="C888" s="507"/>
      <c r="D888" s="508"/>
      <c r="E888" s="507"/>
      <c r="F888" s="507"/>
      <c r="G888" s="507"/>
      <c r="H888" s="507"/>
      <c r="I888" s="507"/>
      <c r="J888" s="507"/>
      <c r="K888" s="507"/>
      <c r="L888" s="507"/>
      <c r="M888" s="507"/>
      <c r="N888" s="507"/>
      <c r="O888" s="507"/>
      <c r="P888" s="507"/>
      <c r="Q888" s="507"/>
      <c r="R888" s="507"/>
      <c r="S888" s="507"/>
    </row>
    <row r="889" ht="35.25" customHeight="1">
      <c r="A889" s="507"/>
      <c r="B889" s="507"/>
      <c r="C889" s="507"/>
      <c r="D889" s="508"/>
      <c r="E889" s="507"/>
      <c r="F889" s="507"/>
      <c r="G889" s="507"/>
      <c r="H889" s="507"/>
      <c r="I889" s="507"/>
      <c r="J889" s="507"/>
      <c r="K889" s="507"/>
      <c r="L889" s="507"/>
      <c r="M889" s="507"/>
      <c r="N889" s="507"/>
      <c r="O889" s="507"/>
      <c r="P889" s="507"/>
      <c r="Q889" s="507"/>
      <c r="R889" s="507"/>
      <c r="S889" s="507"/>
    </row>
    <row r="890" ht="35.25" customHeight="1">
      <c r="A890" s="507"/>
      <c r="B890" s="507"/>
      <c r="C890" s="507"/>
      <c r="D890" s="508"/>
      <c r="E890" s="507"/>
      <c r="F890" s="507"/>
      <c r="G890" s="507"/>
      <c r="H890" s="507"/>
      <c r="I890" s="507"/>
      <c r="J890" s="507"/>
      <c r="K890" s="507"/>
      <c r="L890" s="507"/>
      <c r="M890" s="507"/>
      <c r="N890" s="507"/>
      <c r="O890" s="507"/>
      <c r="P890" s="507"/>
      <c r="Q890" s="507"/>
      <c r="R890" s="507"/>
      <c r="S890" s="507"/>
    </row>
    <row r="891" ht="35.25" customHeight="1">
      <c r="A891" s="507"/>
      <c r="B891" s="507"/>
      <c r="C891" s="507"/>
      <c r="D891" s="508"/>
      <c r="E891" s="507"/>
      <c r="F891" s="507"/>
      <c r="G891" s="507"/>
      <c r="H891" s="507"/>
      <c r="I891" s="507"/>
      <c r="J891" s="507"/>
      <c r="K891" s="507"/>
      <c r="L891" s="507"/>
      <c r="M891" s="507"/>
      <c r="N891" s="507"/>
      <c r="O891" s="507"/>
      <c r="P891" s="507"/>
      <c r="Q891" s="507"/>
      <c r="R891" s="507"/>
      <c r="S891" s="507"/>
    </row>
    <row r="892" ht="35.25" customHeight="1">
      <c r="A892" s="507"/>
      <c r="B892" s="507"/>
      <c r="C892" s="507"/>
      <c r="D892" s="508"/>
      <c r="E892" s="507"/>
      <c r="F892" s="507"/>
      <c r="G892" s="507"/>
      <c r="H892" s="507"/>
      <c r="I892" s="507"/>
      <c r="J892" s="507"/>
      <c r="K892" s="507"/>
      <c r="L892" s="507"/>
      <c r="M892" s="507"/>
      <c r="N892" s="507"/>
      <c r="O892" s="507"/>
      <c r="P892" s="507"/>
      <c r="Q892" s="507"/>
      <c r="R892" s="507"/>
      <c r="S892" s="507"/>
    </row>
    <row r="893" ht="35.25" customHeight="1">
      <c r="A893" s="507"/>
      <c r="B893" s="507"/>
      <c r="C893" s="507"/>
      <c r="D893" s="508"/>
      <c r="E893" s="507"/>
      <c r="F893" s="507"/>
      <c r="G893" s="507"/>
      <c r="H893" s="507"/>
      <c r="I893" s="507"/>
      <c r="J893" s="507"/>
      <c r="K893" s="507"/>
      <c r="L893" s="507"/>
      <c r="M893" s="507"/>
      <c r="N893" s="507"/>
      <c r="O893" s="507"/>
      <c r="P893" s="507"/>
      <c r="Q893" s="507"/>
      <c r="R893" s="507"/>
      <c r="S893" s="507"/>
    </row>
    <row r="894" ht="35.25" customHeight="1">
      <c r="A894" s="507"/>
      <c r="B894" s="507"/>
      <c r="C894" s="507"/>
      <c r="D894" s="508"/>
      <c r="E894" s="507"/>
      <c r="F894" s="507"/>
      <c r="G894" s="507"/>
      <c r="H894" s="507"/>
      <c r="I894" s="507"/>
      <c r="J894" s="507"/>
      <c r="K894" s="507"/>
      <c r="L894" s="507"/>
      <c r="M894" s="507"/>
      <c r="N894" s="507"/>
      <c r="O894" s="507"/>
      <c r="P894" s="507"/>
      <c r="Q894" s="507"/>
      <c r="R894" s="507"/>
      <c r="S894" s="507"/>
    </row>
    <row r="895" ht="35.25" customHeight="1">
      <c r="A895" s="507"/>
      <c r="B895" s="507"/>
      <c r="C895" s="507"/>
      <c r="D895" s="508"/>
      <c r="E895" s="507"/>
      <c r="F895" s="507"/>
      <c r="G895" s="507"/>
      <c r="H895" s="507"/>
      <c r="I895" s="507"/>
      <c r="J895" s="507"/>
      <c r="K895" s="507"/>
      <c r="L895" s="507"/>
      <c r="M895" s="507"/>
      <c r="N895" s="507"/>
      <c r="O895" s="507"/>
      <c r="P895" s="507"/>
      <c r="Q895" s="507"/>
      <c r="R895" s="507"/>
      <c r="S895" s="507"/>
    </row>
    <row r="896" ht="35.25" customHeight="1">
      <c r="A896" s="507"/>
      <c r="B896" s="507"/>
      <c r="C896" s="507"/>
      <c r="D896" s="508"/>
      <c r="E896" s="507"/>
      <c r="F896" s="507"/>
      <c r="G896" s="507"/>
      <c r="H896" s="507"/>
      <c r="I896" s="507"/>
      <c r="J896" s="507"/>
      <c r="K896" s="507"/>
      <c r="L896" s="507"/>
      <c r="M896" s="507"/>
      <c r="N896" s="507"/>
      <c r="O896" s="507"/>
      <c r="P896" s="507"/>
      <c r="Q896" s="507"/>
      <c r="R896" s="507"/>
      <c r="S896" s="507"/>
    </row>
    <row r="897" ht="35.25" customHeight="1">
      <c r="A897" s="507"/>
      <c r="B897" s="507"/>
      <c r="C897" s="507"/>
      <c r="D897" s="508"/>
      <c r="E897" s="507"/>
      <c r="F897" s="507"/>
      <c r="G897" s="507"/>
      <c r="H897" s="507"/>
      <c r="I897" s="507"/>
      <c r="J897" s="507"/>
      <c r="K897" s="507"/>
      <c r="L897" s="507"/>
      <c r="M897" s="507"/>
      <c r="N897" s="507"/>
      <c r="O897" s="507"/>
      <c r="P897" s="507"/>
      <c r="Q897" s="507"/>
      <c r="R897" s="507"/>
      <c r="S897" s="507"/>
    </row>
    <row r="898" ht="35.25" customHeight="1">
      <c r="A898" s="507"/>
      <c r="B898" s="507"/>
      <c r="C898" s="507"/>
      <c r="D898" s="508"/>
      <c r="E898" s="507"/>
      <c r="F898" s="507"/>
      <c r="G898" s="507"/>
      <c r="H898" s="507"/>
      <c r="I898" s="507"/>
      <c r="J898" s="507"/>
      <c r="K898" s="507"/>
      <c r="L898" s="507"/>
      <c r="M898" s="507"/>
      <c r="N898" s="507"/>
      <c r="O898" s="507"/>
      <c r="P898" s="507"/>
      <c r="Q898" s="507"/>
      <c r="R898" s="507"/>
      <c r="S898" s="507"/>
    </row>
    <row r="899" ht="35.25" customHeight="1">
      <c r="A899" s="507"/>
      <c r="B899" s="507"/>
      <c r="C899" s="507"/>
      <c r="D899" s="508"/>
      <c r="E899" s="507"/>
      <c r="F899" s="507"/>
      <c r="G899" s="507"/>
      <c r="H899" s="507"/>
      <c r="I899" s="507"/>
      <c r="J899" s="507"/>
      <c r="K899" s="507"/>
      <c r="L899" s="507"/>
      <c r="M899" s="507"/>
      <c r="N899" s="507"/>
      <c r="O899" s="507"/>
      <c r="P899" s="507"/>
      <c r="Q899" s="507"/>
      <c r="R899" s="507"/>
      <c r="S899" s="507"/>
    </row>
    <row r="900" ht="35.25" customHeight="1">
      <c r="A900" s="507"/>
      <c r="B900" s="507"/>
      <c r="C900" s="507"/>
      <c r="D900" s="508"/>
      <c r="E900" s="507"/>
      <c r="F900" s="507"/>
      <c r="G900" s="507"/>
      <c r="H900" s="507"/>
      <c r="I900" s="507"/>
      <c r="J900" s="507"/>
      <c r="K900" s="507"/>
      <c r="L900" s="507"/>
      <c r="M900" s="507"/>
      <c r="N900" s="507"/>
      <c r="O900" s="507"/>
      <c r="P900" s="507"/>
      <c r="Q900" s="507"/>
      <c r="R900" s="507"/>
      <c r="S900" s="507"/>
    </row>
    <row r="901" ht="35.25" customHeight="1">
      <c r="A901" s="507"/>
      <c r="B901" s="507"/>
      <c r="C901" s="507"/>
      <c r="D901" s="508"/>
      <c r="E901" s="507"/>
      <c r="F901" s="507"/>
      <c r="G901" s="507"/>
      <c r="H901" s="507"/>
      <c r="I901" s="507"/>
      <c r="J901" s="507"/>
      <c r="K901" s="507"/>
      <c r="L901" s="507"/>
      <c r="M901" s="507"/>
      <c r="N901" s="507"/>
      <c r="O901" s="507"/>
      <c r="P901" s="507"/>
      <c r="Q901" s="507"/>
      <c r="R901" s="507"/>
      <c r="S901" s="507"/>
    </row>
    <row r="902" ht="35.25" customHeight="1">
      <c r="A902" s="507"/>
      <c r="B902" s="507"/>
      <c r="C902" s="507"/>
      <c r="D902" s="508"/>
      <c r="E902" s="507"/>
      <c r="F902" s="507"/>
      <c r="G902" s="507"/>
      <c r="H902" s="507"/>
      <c r="I902" s="507"/>
      <c r="J902" s="507"/>
      <c r="K902" s="507"/>
      <c r="L902" s="507"/>
      <c r="M902" s="507"/>
      <c r="N902" s="507"/>
      <c r="O902" s="507"/>
      <c r="P902" s="507"/>
      <c r="Q902" s="507"/>
      <c r="R902" s="507"/>
      <c r="S902" s="507"/>
    </row>
    <row r="903" ht="35.25" customHeight="1">
      <c r="A903" s="507"/>
      <c r="B903" s="507"/>
      <c r="C903" s="507"/>
      <c r="D903" s="508"/>
      <c r="E903" s="507"/>
      <c r="F903" s="507"/>
      <c r="G903" s="507"/>
      <c r="H903" s="507"/>
      <c r="I903" s="507"/>
      <c r="J903" s="507"/>
      <c r="K903" s="507"/>
      <c r="L903" s="507"/>
      <c r="M903" s="507"/>
      <c r="N903" s="507"/>
      <c r="O903" s="507"/>
      <c r="P903" s="507"/>
      <c r="Q903" s="507"/>
      <c r="R903" s="507"/>
      <c r="S903" s="507"/>
    </row>
    <row r="904" ht="35.25" customHeight="1">
      <c r="A904" s="507"/>
      <c r="B904" s="507"/>
      <c r="C904" s="507"/>
      <c r="D904" s="508"/>
      <c r="E904" s="507"/>
      <c r="F904" s="507"/>
      <c r="G904" s="507"/>
      <c r="H904" s="507"/>
      <c r="I904" s="507"/>
      <c r="J904" s="507"/>
      <c r="K904" s="507"/>
      <c r="L904" s="507"/>
      <c r="M904" s="507"/>
      <c r="N904" s="507"/>
      <c r="O904" s="507"/>
      <c r="P904" s="507"/>
      <c r="Q904" s="507"/>
      <c r="R904" s="507"/>
      <c r="S904" s="507"/>
    </row>
    <row r="905" ht="35.25" customHeight="1">
      <c r="A905" s="507"/>
      <c r="B905" s="507"/>
      <c r="C905" s="507"/>
      <c r="D905" s="508"/>
      <c r="E905" s="507"/>
      <c r="F905" s="507"/>
      <c r="G905" s="507"/>
      <c r="H905" s="507"/>
      <c r="I905" s="507"/>
      <c r="J905" s="507"/>
      <c r="K905" s="507"/>
      <c r="L905" s="507"/>
      <c r="M905" s="507"/>
      <c r="N905" s="507"/>
      <c r="O905" s="507"/>
      <c r="P905" s="507"/>
      <c r="Q905" s="507"/>
      <c r="R905" s="507"/>
      <c r="S905" s="507"/>
    </row>
    <row r="906" ht="35.25" customHeight="1">
      <c r="A906" s="507"/>
      <c r="B906" s="507"/>
      <c r="C906" s="507"/>
      <c r="D906" s="508"/>
      <c r="E906" s="507"/>
      <c r="F906" s="507"/>
      <c r="G906" s="507"/>
      <c r="H906" s="507"/>
      <c r="I906" s="507"/>
      <c r="J906" s="507"/>
      <c r="K906" s="507"/>
      <c r="L906" s="507"/>
      <c r="M906" s="507"/>
      <c r="N906" s="507"/>
      <c r="O906" s="507"/>
      <c r="P906" s="507"/>
      <c r="Q906" s="507"/>
      <c r="R906" s="507"/>
      <c r="S906" s="507"/>
    </row>
    <row r="907" ht="35.25" customHeight="1">
      <c r="A907" s="507"/>
      <c r="B907" s="507"/>
      <c r="C907" s="507"/>
      <c r="D907" s="508"/>
      <c r="E907" s="507"/>
      <c r="F907" s="507"/>
      <c r="G907" s="507"/>
      <c r="H907" s="507"/>
      <c r="I907" s="507"/>
      <c r="J907" s="507"/>
      <c r="K907" s="507"/>
      <c r="L907" s="507"/>
      <c r="M907" s="507"/>
      <c r="N907" s="507"/>
      <c r="O907" s="507"/>
      <c r="P907" s="507"/>
      <c r="Q907" s="507"/>
      <c r="R907" s="507"/>
      <c r="S907" s="507"/>
    </row>
    <row r="908" ht="35.25" customHeight="1">
      <c r="A908" s="507"/>
      <c r="B908" s="507"/>
      <c r="C908" s="507"/>
      <c r="D908" s="508"/>
      <c r="E908" s="507"/>
      <c r="F908" s="507"/>
      <c r="G908" s="507"/>
      <c r="H908" s="507"/>
      <c r="I908" s="507"/>
      <c r="J908" s="507"/>
      <c r="K908" s="507"/>
      <c r="L908" s="507"/>
      <c r="M908" s="507"/>
      <c r="N908" s="507"/>
      <c r="O908" s="507"/>
      <c r="P908" s="507"/>
      <c r="Q908" s="507"/>
      <c r="R908" s="507"/>
      <c r="S908" s="507"/>
    </row>
    <row r="909" ht="35.25" customHeight="1">
      <c r="A909" s="507"/>
      <c r="B909" s="507"/>
      <c r="C909" s="507"/>
      <c r="D909" s="508"/>
      <c r="E909" s="507"/>
      <c r="F909" s="507"/>
      <c r="G909" s="507"/>
      <c r="H909" s="507"/>
      <c r="I909" s="507"/>
      <c r="J909" s="507"/>
      <c r="K909" s="507"/>
      <c r="L909" s="507"/>
      <c r="M909" s="507"/>
      <c r="N909" s="507"/>
      <c r="O909" s="507"/>
      <c r="P909" s="507"/>
      <c r="Q909" s="507"/>
      <c r="R909" s="507"/>
      <c r="S909" s="507"/>
    </row>
    <row r="910" ht="35.25" customHeight="1">
      <c r="A910" s="507"/>
      <c r="B910" s="507"/>
      <c r="C910" s="507"/>
      <c r="D910" s="508"/>
      <c r="E910" s="507"/>
      <c r="F910" s="507"/>
      <c r="G910" s="507"/>
      <c r="H910" s="507"/>
      <c r="I910" s="507"/>
      <c r="J910" s="507"/>
      <c r="K910" s="507"/>
      <c r="L910" s="507"/>
      <c r="M910" s="507"/>
      <c r="N910" s="507"/>
      <c r="O910" s="507"/>
      <c r="P910" s="507"/>
      <c r="Q910" s="507"/>
      <c r="R910" s="507"/>
      <c r="S910" s="507"/>
    </row>
    <row r="911" ht="35.25" customHeight="1">
      <c r="A911" s="507"/>
      <c r="B911" s="507"/>
      <c r="C911" s="507"/>
      <c r="D911" s="508"/>
      <c r="E911" s="507"/>
      <c r="F911" s="507"/>
      <c r="G911" s="507"/>
      <c r="H911" s="507"/>
      <c r="I911" s="507"/>
      <c r="J911" s="507"/>
      <c r="K911" s="507"/>
      <c r="L911" s="507"/>
      <c r="M911" s="507"/>
      <c r="N911" s="507"/>
      <c r="O911" s="507"/>
      <c r="P911" s="507"/>
      <c r="Q911" s="507"/>
      <c r="R911" s="507"/>
      <c r="S911" s="507"/>
    </row>
    <row r="912" ht="35.25" customHeight="1">
      <c r="A912" s="507"/>
      <c r="B912" s="507"/>
      <c r="C912" s="507"/>
      <c r="D912" s="508"/>
      <c r="E912" s="507"/>
      <c r="F912" s="507"/>
      <c r="G912" s="507"/>
      <c r="H912" s="507"/>
      <c r="I912" s="507"/>
      <c r="J912" s="507"/>
      <c r="K912" s="507"/>
      <c r="L912" s="507"/>
      <c r="M912" s="507"/>
      <c r="N912" s="507"/>
      <c r="O912" s="507"/>
      <c r="P912" s="507"/>
      <c r="Q912" s="507"/>
      <c r="R912" s="507"/>
      <c r="S912" s="507"/>
    </row>
    <row r="913" ht="35.25" customHeight="1">
      <c r="A913" s="507"/>
      <c r="B913" s="507"/>
      <c r="C913" s="507"/>
      <c r="D913" s="508"/>
      <c r="E913" s="507"/>
      <c r="F913" s="507"/>
      <c r="G913" s="507"/>
      <c r="H913" s="507"/>
      <c r="I913" s="507"/>
      <c r="J913" s="507"/>
      <c r="K913" s="507"/>
      <c r="L913" s="507"/>
      <c r="M913" s="507"/>
      <c r="N913" s="507"/>
      <c r="O913" s="507"/>
      <c r="P913" s="507"/>
      <c r="Q913" s="507"/>
      <c r="R913" s="507"/>
      <c r="S913" s="507"/>
    </row>
    <row r="914" ht="35.25" customHeight="1">
      <c r="A914" s="507"/>
      <c r="B914" s="507"/>
      <c r="C914" s="507"/>
      <c r="D914" s="508"/>
      <c r="E914" s="507"/>
      <c r="F914" s="507"/>
      <c r="G914" s="507"/>
      <c r="H914" s="507"/>
      <c r="I914" s="507"/>
      <c r="J914" s="507"/>
      <c r="K914" s="507"/>
      <c r="L914" s="507"/>
      <c r="M914" s="507"/>
      <c r="N914" s="507"/>
      <c r="O914" s="507"/>
      <c r="P914" s="507"/>
      <c r="Q914" s="507"/>
      <c r="R914" s="507"/>
      <c r="S914" s="507"/>
    </row>
    <row r="915" ht="35.25" customHeight="1">
      <c r="A915" s="507"/>
      <c r="B915" s="507"/>
      <c r="C915" s="507"/>
      <c r="D915" s="508"/>
      <c r="E915" s="507"/>
      <c r="F915" s="507"/>
      <c r="G915" s="507"/>
      <c r="H915" s="507"/>
      <c r="I915" s="507"/>
      <c r="J915" s="507"/>
      <c r="K915" s="507"/>
      <c r="L915" s="507"/>
      <c r="M915" s="507"/>
      <c r="N915" s="507"/>
      <c r="O915" s="507"/>
      <c r="P915" s="507"/>
      <c r="Q915" s="507"/>
      <c r="R915" s="507"/>
      <c r="S915" s="507"/>
    </row>
    <row r="916" ht="35.25" customHeight="1">
      <c r="A916" s="507"/>
      <c r="B916" s="507"/>
      <c r="C916" s="507"/>
      <c r="D916" s="508"/>
      <c r="E916" s="507"/>
      <c r="F916" s="507"/>
      <c r="G916" s="507"/>
      <c r="H916" s="507"/>
      <c r="I916" s="507"/>
      <c r="J916" s="507"/>
      <c r="K916" s="507"/>
      <c r="L916" s="507"/>
      <c r="M916" s="507"/>
      <c r="N916" s="507"/>
      <c r="O916" s="507"/>
      <c r="P916" s="507"/>
      <c r="Q916" s="507"/>
      <c r="R916" s="507"/>
      <c r="S916" s="507"/>
    </row>
    <row r="917" ht="35.25" customHeight="1">
      <c r="A917" s="507"/>
      <c r="B917" s="507"/>
      <c r="C917" s="507"/>
      <c r="D917" s="508"/>
      <c r="E917" s="507"/>
      <c r="F917" s="507"/>
      <c r="G917" s="507"/>
      <c r="H917" s="507"/>
      <c r="I917" s="507"/>
      <c r="J917" s="507"/>
      <c r="K917" s="507"/>
      <c r="L917" s="507"/>
      <c r="M917" s="507"/>
      <c r="N917" s="507"/>
      <c r="O917" s="507"/>
      <c r="P917" s="507"/>
      <c r="Q917" s="507"/>
      <c r="R917" s="507"/>
      <c r="S917" s="507"/>
    </row>
    <row r="918" ht="35.25" customHeight="1">
      <c r="A918" s="507"/>
      <c r="B918" s="507"/>
      <c r="C918" s="507"/>
      <c r="D918" s="508"/>
      <c r="E918" s="507"/>
      <c r="F918" s="507"/>
      <c r="G918" s="507"/>
      <c r="H918" s="507"/>
      <c r="I918" s="507"/>
      <c r="J918" s="507"/>
      <c r="K918" s="507"/>
      <c r="L918" s="507"/>
      <c r="M918" s="507"/>
      <c r="N918" s="507"/>
      <c r="O918" s="507"/>
      <c r="P918" s="507"/>
      <c r="Q918" s="507"/>
      <c r="R918" s="507"/>
      <c r="S918" s="507"/>
    </row>
    <row r="919" ht="35.25" customHeight="1">
      <c r="A919" s="507"/>
      <c r="B919" s="507"/>
      <c r="C919" s="507"/>
      <c r="D919" s="508"/>
      <c r="E919" s="507"/>
      <c r="F919" s="507"/>
      <c r="G919" s="507"/>
      <c r="H919" s="507"/>
      <c r="I919" s="507"/>
      <c r="J919" s="507"/>
      <c r="K919" s="507"/>
      <c r="L919" s="507"/>
      <c r="M919" s="507"/>
      <c r="N919" s="507"/>
      <c r="O919" s="507"/>
      <c r="P919" s="507"/>
      <c r="Q919" s="507"/>
      <c r="R919" s="507"/>
      <c r="S919" s="507"/>
    </row>
    <row r="920" ht="35.25" customHeight="1">
      <c r="A920" s="507"/>
      <c r="B920" s="507"/>
      <c r="C920" s="507"/>
      <c r="D920" s="508"/>
      <c r="E920" s="507"/>
      <c r="F920" s="507"/>
      <c r="G920" s="507"/>
      <c r="H920" s="507"/>
      <c r="I920" s="507"/>
      <c r="J920" s="507"/>
      <c r="K920" s="507"/>
      <c r="L920" s="507"/>
      <c r="M920" s="507"/>
      <c r="N920" s="507"/>
      <c r="O920" s="507"/>
      <c r="P920" s="507"/>
      <c r="Q920" s="507"/>
      <c r="R920" s="507"/>
      <c r="S920" s="507"/>
    </row>
    <row r="921" ht="35.25" customHeight="1">
      <c r="A921" s="507"/>
      <c r="B921" s="507"/>
      <c r="C921" s="507"/>
      <c r="D921" s="508"/>
      <c r="E921" s="507"/>
      <c r="F921" s="507"/>
      <c r="G921" s="507"/>
      <c r="H921" s="507"/>
      <c r="I921" s="507"/>
      <c r="J921" s="507"/>
      <c r="K921" s="507"/>
      <c r="L921" s="507"/>
      <c r="M921" s="507"/>
      <c r="N921" s="507"/>
      <c r="O921" s="507"/>
      <c r="P921" s="507"/>
      <c r="Q921" s="507"/>
      <c r="R921" s="507"/>
      <c r="S921" s="507"/>
    </row>
    <row r="922" ht="35.25" customHeight="1">
      <c r="A922" s="507"/>
      <c r="B922" s="507"/>
      <c r="C922" s="507"/>
      <c r="D922" s="508"/>
      <c r="E922" s="507"/>
      <c r="F922" s="507"/>
      <c r="G922" s="507"/>
      <c r="H922" s="507"/>
      <c r="I922" s="507"/>
      <c r="J922" s="507"/>
      <c r="K922" s="507"/>
      <c r="L922" s="507"/>
      <c r="M922" s="507"/>
      <c r="N922" s="507"/>
      <c r="O922" s="507"/>
      <c r="P922" s="507"/>
      <c r="Q922" s="507"/>
      <c r="R922" s="507"/>
      <c r="S922" s="507"/>
    </row>
    <row r="923" ht="35.25" customHeight="1">
      <c r="A923" s="507"/>
      <c r="B923" s="507"/>
      <c r="C923" s="507"/>
      <c r="D923" s="508"/>
      <c r="E923" s="507"/>
      <c r="F923" s="507"/>
      <c r="G923" s="507"/>
      <c r="H923" s="507"/>
      <c r="I923" s="507"/>
      <c r="J923" s="507"/>
      <c r="K923" s="507"/>
      <c r="L923" s="507"/>
      <c r="M923" s="507"/>
      <c r="N923" s="507"/>
      <c r="O923" s="507"/>
      <c r="P923" s="507"/>
      <c r="Q923" s="507"/>
      <c r="R923" s="507"/>
      <c r="S923" s="507"/>
    </row>
    <row r="924" ht="35.25" customHeight="1">
      <c r="A924" s="507"/>
      <c r="B924" s="507"/>
      <c r="C924" s="507"/>
      <c r="D924" s="508"/>
      <c r="E924" s="507"/>
      <c r="F924" s="507"/>
      <c r="G924" s="507"/>
      <c r="H924" s="507"/>
      <c r="I924" s="507"/>
      <c r="J924" s="507"/>
      <c r="K924" s="507"/>
      <c r="L924" s="507"/>
      <c r="M924" s="507"/>
      <c r="N924" s="507"/>
      <c r="O924" s="507"/>
      <c r="P924" s="507"/>
      <c r="Q924" s="507"/>
      <c r="R924" s="507"/>
      <c r="S924" s="507"/>
    </row>
    <row r="925" ht="35.25" customHeight="1">
      <c r="A925" s="507"/>
      <c r="B925" s="507"/>
      <c r="C925" s="507"/>
      <c r="D925" s="508"/>
      <c r="E925" s="507"/>
      <c r="F925" s="507"/>
      <c r="G925" s="507"/>
      <c r="H925" s="507"/>
      <c r="I925" s="507"/>
      <c r="J925" s="507"/>
      <c r="K925" s="507"/>
      <c r="L925" s="507"/>
      <c r="M925" s="507"/>
      <c r="N925" s="507"/>
      <c r="O925" s="507"/>
      <c r="P925" s="507"/>
      <c r="Q925" s="507"/>
      <c r="R925" s="507"/>
      <c r="S925" s="507"/>
    </row>
    <row r="926" ht="35.25" customHeight="1">
      <c r="A926" s="507"/>
      <c r="B926" s="507"/>
      <c r="C926" s="507"/>
      <c r="D926" s="508"/>
      <c r="E926" s="507"/>
      <c r="F926" s="507"/>
      <c r="G926" s="507"/>
      <c r="H926" s="507"/>
      <c r="I926" s="507"/>
      <c r="J926" s="507"/>
      <c r="K926" s="507"/>
      <c r="L926" s="507"/>
      <c r="M926" s="507"/>
      <c r="N926" s="507"/>
      <c r="O926" s="507"/>
      <c r="P926" s="507"/>
      <c r="Q926" s="507"/>
      <c r="R926" s="507"/>
      <c r="S926" s="507"/>
    </row>
    <row r="927" ht="35.25" customHeight="1">
      <c r="A927" s="507"/>
      <c r="B927" s="507"/>
      <c r="C927" s="507"/>
      <c r="D927" s="508"/>
      <c r="E927" s="507"/>
      <c r="F927" s="507"/>
      <c r="G927" s="507"/>
      <c r="H927" s="507"/>
      <c r="I927" s="507"/>
      <c r="J927" s="507"/>
      <c r="K927" s="507"/>
      <c r="L927" s="507"/>
      <c r="M927" s="507"/>
      <c r="N927" s="507"/>
      <c r="O927" s="507"/>
      <c r="P927" s="507"/>
      <c r="Q927" s="507"/>
      <c r="R927" s="507"/>
      <c r="S927" s="507"/>
    </row>
    <row r="928" ht="35.25" customHeight="1">
      <c r="A928" s="507"/>
      <c r="B928" s="507"/>
      <c r="C928" s="507"/>
      <c r="D928" s="508"/>
      <c r="E928" s="507"/>
      <c r="F928" s="507"/>
      <c r="G928" s="507"/>
      <c r="H928" s="507"/>
      <c r="I928" s="507"/>
      <c r="J928" s="507"/>
      <c r="K928" s="507"/>
      <c r="L928" s="507"/>
      <c r="M928" s="507"/>
      <c r="N928" s="507"/>
      <c r="O928" s="507"/>
      <c r="P928" s="507"/>
      <c r="Q928" s="507"/>
      <c r="R928" s="507"/>
      <c r="S928" s="507"/>
    </row>
    <row r="929" ht="35.25" customHeight="1">
      <c r="A929" s="507"/>
      <c r="B929" s="507"/>
      <c r="C929" s="507"/>
      <c r="D929" s="508"/>
      <c r="E929" s="507"/>
      <c r="F929" s="507"/>
      <c r="G929" s="507"/>
      <c r="H929" s="507"/>
      <c r="I929" s="507"/>
      <c r="J929" s="507"/>
      <c r="K929" s="507"/>
      <c r="L929" s="507"/>
      <c r="M929" s="507"/>
      <c r="N929" s="507"/>
      <c r="O929" s="507"/>
      <c r="P929" s="507"/>
      <c r="Q929" s="507"/>
      <c r="R929" s="507"/>
      <c r="S929" s="507"/>
    </row>
    <row r="930" ht="35.25" customHeight="1">
      <c r="A930" s="507"/>
      <c r="B930" s="507"/>
      <c r="C930" s="507"/>
      <c r="D930" s="508"/>
      <c r="E930" s="507"/>
      <c r="F930" s="507"/>
      <c r="G930" s="507"/>
      <c r="H930" s="507"/>
      <c r="I930" s="507"/>
      <c r="J930" s="507"/>
      <c r="K930" s="507"/>
      <c r="L930" s="507"/>
      <c r="M930" s="507"/>
      <c r="N930" s="507"/>
      <c r="O930" s="507"/>
      <c r="P930" s="507"/>
      <c r="Q930" s="507"/>
      <c r="R930" s="507"/>
      <c r="S930" s="507"/>
    </row>
    <row r="931" ht="35.25" customHeight="1">
      <c r="A931" s="507"/>
      <c r="B931" s="507"/>
      <c r="C931" s="507"/>
      <c r="D931" s="508"/>
      <c r="E931" s="507"/>
      <c r="F931" s="507"/>
      <c r="G931" s="507"/>
      <c r="H931" s="507"/>
      <c r="I931" s="507"/>
      <c r="J931" s="507"/>
      <c r="K931" s="507"/>
      <c r="L931" s="507"/>
      <c r="M931" s="507"/>
      <c r="N931" s="507"/>
      <c r="O931" s="507"/>
      <c r="P931" s="507"/>
      <c r="Q931" s="507"/>
      <c r="R931" s="507"/>
      <c r="S931" s="507"/>
    </row>
    <row r="932" ht="35.25" customHeight="1">
      <c r="A932" s="507"/>
      <c r="B932" s="507"/>
      <c r="C932" s="507"/>
      <c r="D932" s="508"/>
      <c r="E932" s="507"/>
      <c r="F932" s="507"/>
      <c r="G932" s="507"/>
      <c r="H932" s="507"/>
      <c r="I932" s="507"/>
      <c r="J932" s="507"/>
      <c r="K932" s="507"/>
      <c r="L932" s="507"/>
      <c r="M932" s="507"/>
      <c r="N932" s="507"/>
      <c r="O932" s="507"/>
      <c r="P932" s="507"/>
      <c r="Q932" s="507"/>
      <c r="R932" s="507"/>
      <c r="S932" s="507"/>
    </row>
    <row r="933" ht="35.25" customHeight="1">
      <c r="A933" s="507"/>
      <c r="B933" s="507"/>
      <c r="C933" s="507"/>
      <c r="D933" s="508"/>
      <c r="E933" s="507"/>
      <c r="F933" s="507"/>
      <c r="G933" s="507"/>
      <c r="H933" s="507"/>
      <c r="I933" s="507"/>
      <c r="J933" s="507"/>
      <c r="K933" s="507"/>
      <c r="L933" s="507"/>
      <c r="M933" s="507"/>
      <c r="N933" s="507"/>
      <c r="O933" s="507"/>
      <c r="P933" s="507"/>
      <c r="Q933" s="507"/>
      <c r="R933" s="507"/>
      <c r="S933" s="507"/>
    </row>
    <row r="934" ht="35.25" customHeight="1">
      <c r="A934" s="507"/>
      <c r="B934" s="507"/>
      <c r="C934" s="507"/>
      <c r="D934" s="508"/>
      <c r="E934" s="507"/>
      <c r="F934" s="507"/>
      <c r="G934" s="507"/>
      <c r="H934" s="507"/>
      <c r="I934" s="507"/>
      <c r="J934" s="507"/>
      <c r="K934" s="507"/>
      <c r="L934" s="507"/>
      <c r="M934" s="507"/>
      <c r="N934" s="507"/>
      <c r="O934" s="507"/>
      <c r="P934" s="507"/>
      <c r="Q934" s="507"/>
      <c r="R934" s="507"/>
      <c r="S934" s="507"/>
    </row>
    <row r="935" ht="35.25" customHeight="1">
      <c r="A935" s="507"/>
      <c r="B935" s="507"/>
      <c r="C935" s="507"/>
      <c r="D935" s="508"/>
      <c r="E935" s="507"/>
      <c r="F935" s="507"/>
      <c r="G935" s="507"/>
      <c r="H935" s="507"/>
      <c r="I935" s="507"/>
      <c r="J935" s="507"/>
      <c r="K935" s="507"/>
      <c r="L935" s="507"/>
      <c r="M935" s="507"/>
      <c r="N935" s="507"/>
      <c r="O935" s="507"/>
      <c r="P935" s="507"/>
      <c r="Q935" s="507"/>
      <c r="R935" s="507"/>
      <c r="S935" s="507"/>
    </row>
    <row r="936" ht="35.25" customHeight="1">
      <c r="A936" s="507"/>
      <c r="B936" s="507"/>
      <c r="C936" s="507"/>
      <c r="D936" s="508"/>
      <c r="E936" s="507"/>
      <c r="F936" s="507"/>
      <c r="G936" s="507"/>
      <c r="H936" s="507"/>
      <c r="I936" s="507"/>
      <c r="J936" s="507"/>
      <c r="K936" s="507"/>
      <c r="L936" s="507"/>
      <c r="M936" s="507"/>
      <c r="N936" s="507"/>
      <c r="O936" s="507"/>
      <c r="P936" s="507"/>
      <c r="Q936" s="507"/>
      <c r="R936" s="507"/>
      <c r="S936" s="507"/>
    </row>
    <row r="937" ht="35.25" customHeight="1">
      <c r="A937" s="507"/>
      <c r="B937" s="507"/>
      <c r="C937" s="507"/>
      <c r="D937" s="508"/>
      <c r="E937" s="507"/>
      <c r="F937" s="507"/>
      <c r="G937" s="507"/>
      <c r="H937" s="507"/>
      <c r="I937" s="507"/>
      <c r="J937" s="507"/>
      <c r="K937" s="507"/>
      <c r="L937" s="507"/>
      <c r="M937" s="507"/>
      <c r="N937" s="507"/>
      <c r="O937" s="507"/>
      <c r="P937" s="507"/>
      <c r="Q937" s="507"/>
      <c r="R937" s="507"/>
      <c r="S937" s="507"/>
    </row>
    <row r="938" ht="35.25" customHeight="1">
      <c r="A938" s="507"/>
      <c r="B938" s="507"/>
      <c r="C938" s="507"/>
      <c r="D938" s="508"/>
      <c r="E938" s="507"/>
      <c r="F938" s="507"/>
      <c r="G938" s="507"/>
      <c r="H938" s="507"/>
      <c r="I938" s="507"/>
      <c r="J938" s="507"/>
      <c r="K938" s="507"/>
      <c r="L938" s="507"/>
      <c r="M938" s="507"/>
      <c r="N938" s="507"/>
      <c r="O938" s="507"/>
      <c r="P938" s="507"/>
      <c r="Q938" s="507"/>
      <c r="R938" s="507"/>
      <c r="S938" s="507"/>
    </row>
    <row r="939" ht="35.25" customHeight="1">
      <c r="A939" s="507"/>
      <c r="B939" s="507"/>
      <c r="C939" s="507"/>
      <c r="D939" s="508"/>
      <c r="E939" s="507"/>
      <c r="F939" s="507"/>
      <c r="G939" s="507"/>
      <c r="H939" s="507"/>
      <c r="I939" s="507"/>
      <c r="J939" s="507"/>
      <c r="K939" s="507"/>
      <c r="L939" s="507"/>
      <c r="M939" s="507"/>
      <c r="N939" s="507"/>
      <c r="O939" s="507"/>
      <c r="P939" s="507"/>
      <c r="Q939" s="507"/>
      <c r="R939" s="507"/>
      <c r="S939" s="507"/>
    </row>
    <row r="940" ht="35.25" customHeight="1">
      <c r="A940" s="507"/>
      <c r="B940" s="507"/>
      <c r="C940" s="507"/>
      <c r="D940" s="508"/>
      <c r="E940" s="507"/>
      <c r="F940" s="507"/>
      <c r="G940" s="507"/>
      <c r="H940" s="507"/>
      <c r="I940" s="507"/>
      <c r="J940" s="507"/>
      <c r="K940" s="507"/>
      <c r="L940" s="507"/>
      <c r="M940" s="507"/>
      <c r="N940" s="507"/>
      <c r="O940" s="507"/>
      <c r="P940" s="507"/>
      <c r="Q940" s="507"/>
      <c r="R940" s="507"/>
      <c r="S940" s="507"/>
    </row>
    <row r="941" ht="35.25" customHeight="1">
      <c r="A941" s="507"/>
      <c r="B941" s="507"/>
      <c r="C941" s="507"/>
      <c r="D941" s="508"/>
      <c r="E941" s="507"/>
      <c r="F941" s="507"/>
      <c r="G941" s="507"/>
      <c r="H941" s="507"/>
      <c r="I941" s="507"/>
      <c r="J941" s="507"/>
      <c r="K941" s="507"/>
      <c r="L941" s="507"/>
      <c r="M941" s="507"/>
      <c r="N941" s="507"/>
      <c r="O941" s="507"/>
      <c r="P941" s="507"/>
      <c r="Q941" s="507"/>
      <c r="R941" s="507"/>
      <c r="S941" s="507"/>
    </row>
    <row r="942" ht="35.25" customHeight="1">
      <c r="A942" s="507"/>
      <c r="B942" s="507"/>
      <c r="C942" s="507"/>
      <c r="D942" s="508"/>
      <c r="E942" s="507"/>
      <c r="F942" s="507"/>
      <c r="G942" s="507"/>
      <c r="H942" s="507"/>
      <c r="I942" s="507"/>
      <c r="J942" s="507"/>
      <c r="K942" s="507"/>
      <c r="L942" s="507"/>
      <c r="M942" s="507"/>
      <c r="N942" s="507"/>
      <c r="O942" s="507"/>
      <c r="P942" s="507"/>
      <c r="Q942" s="507"/>
      <c r="R942" s="507"/>
      <c r="S942" s="507"/>
    </row>
    <row r="943" ht="35.25" customHeight="1">
      <c r="A943" s="507"/>
      <c r="B943" s="507"/>
      <c r="C943" s="507"/>
      <c r="D943" s="508"/>
      <c r="E943" s="507"/>
      <c r="F943" s="507"/>
      <c r="G943" s="507"/>
      <c r="H943" s="507"/>
      <c r="I943" s="507"/>
      <c r="J943" s="507"/>
      <c r="K943" s="507"/>
      <c r="L943" s="507"/>
      <c r="M943" s="507"/>
      <c r="N943" s="507"/>
      <c r="O943" s="507"/>
      <c r="P943" s="507"/>
      <c r="Q943" s="507"/>
      <c r="R943" s="507"/>
      <c r="S943" s="507"/>
    </row>
    <row r="944" ht="35.25" customHeight="1">
      <c r="A944" s="507"/>
      <c r="B944" s="507"/>
      <c r="C944" s="507"/>
      <c r="D944" s="508"/>
      <c r="E944" s="507"/>
      <c r="F944" s="507"/>
      <c r="G944" s="507"/>
      <c r="H944" s="507"/>
      <c r="I944" s="507"/>
      <c r="J944" s="507"/>
      <c r="K944" s="507"/>
      <c r="L944" s="507"/>
      <c r="M944" s="507"/>
      <c r="N944" s="507"/>
      <c r="O944" s="507"/>
      <c r="P944" s="507"/>
      <c r="Q944" s="507"/>
      <c r="R944" s="507"/>
      <c r="S944" s="507"/>
    </row>
    <row r="945" ht="35.25" customHeight="1">
      <c r="A945" s="507"/>
      <c r="B945" s="507"/>
      <c r="C945" s="507"/>
      <c r="D945" s="508"/>
      <c r="E945" s="507"/>
      <c r="F945" s="507"/>
      <c r="G945" s="507"/>
      <c r="H945" s="507"/>
      <c r="I945" s="507"/>
      <c r="J945" s="507"/>
      <c r="K945" s="507"/>
      <c r="L945" s="507"/>
      <c r="M945" s="507"/>
      <c r="N945" s="507"/>
      <c r="O945" s="507"/>
      <c r="P945" s="507"/>
      <c r="Q945" s="507"/>
      <c r="R945" s="507"/>
      <c r="S945" s="507"/>
    </row>
    <row r="946" ht="35.25" customHeight="1">
      <c r="A946" s="507"/>
      <c r="B946" s="507"/>
      <c r="C946" s="507"/>
      <c r="D946" s="508"/>
      <c r="E946" s="507"/>
      <c r="F946" s="507"/>
      <c r="G946" s="507"/>
      <c r="H946" s="507"/>
      <c r="I946" s="507"/>
      <c r="J946" s="507"/>
      <c r="K946" s="507"/>
      <c r="L946" s="507"/>
      <c r="M946" s="507"/>
      <c r="N946" s="507"/>
      <c r="O946" s="507"/>
      <c r="P946" s="507"/>
      <c r="Q946" s="507"/>
      <c r="R946" s="507"/>
      <c r="S946" s="507"/>
    </row>
    <row r="947" ht="35.25" customHeight="1">
      <c r="A947" s="507"/>
      <c r="B947" s="507"/>
      <c r="C947" s="507"/>
      <c r="D947" s="508"/>
      <c r="E947" s="507"/>
      <c r="F947" s="507"/>
      <c r="G947" s="507"/>
      <c r="H947" s="507"/>
      <c r="I947" s="507"/>
      <c r="J947" s="507"/>
      <c r="K947" s="507"/>
      <c r="L947" s="507"/>
      <c r="M947" s="507"/>
      <c r="N947" s="507"/>
      <c r="O947" s="507"/>
      <c r="P947" s="507"/>
      <c r="Q947" s="507"/>
      <c r="R947" s="507"/>
      <c r="S947" s="507"/>
    </row>
    <row r="948" ht="35.25" customHeight="1">
      <c r="A948" s="507"/>
      <c r="B948" s="507"/>
      <c r="C948" s="507"/>
      <c r="D948" s="508"/>
      <c r="E948" s="507"/>
      <c r="F948" s="507"/>
      <c r="G948" s="507"/>
      <c r="H948" s="507"/>
      <c r="I948" s="507"/>
      <c r="J948" s="507"/>
      <c r="K948" s="507"/>
      <c r="L948" s="507"/>
      <c r="M948" s="507"/>
      <c r="N948" s="507"/>
      <c r="O948" s="507"/>
      <c r="P948" s="507"/>
      <c r="Q948" s="507"/>
      <c r="R948" s="507"/>
      <c r="S948" s="507"/>
    </row>
    <row r="949" ht="35.25" customHeight="1">
      <c r="A949" s="507"/>
      <c r="B949" s="507"/>
      <c r="C949" s="507"/>
      <c r="D949" s="508"/>
      <c r="E949" s="507"/>
      <c r="F949" s="507"/>
      <c r="G949" s="507"/>
      <c r="H949" s="507"/>
      <c r="I949" s="507"/>
      <c r="J949" s="507"/>
      <c r="K949" s="507"/>
      <c r="L949" s="507"/>
      <c r="M949" s="507"/>
      <c r="N949" s="507"/>
      <c r="O949" s="507"/>
      <c r="P949" s="507"/>
      <c r="Q949" s="507"/>
      <c r="R949" s="507"/>
      <c r="S949" s="507"/>
    </row>
    <row r="950" ht="35.25" customHeight="1">
      <c r="A950" s="507"/>
      <c r="B950" s="507"/>
      <c r="C950" s="507"/>
      <c r="D950" s="508"/>
      <c r="E950" s="507"/>
      <c r="F950" s="507"/>
      <c r="G950" s="507"/>
      <c r="H950" s="507"/>
      <c r="I950" s="507"/>
      <c r="J950" s="507"/>
      <c r="K950" s="507"/>
      <c r="L950" s="507"/>
      <c r="M950" s="507"/>
      <c r="N950" s="507"/>
      <c r="O950" s="507"/>
      <c r="P950" s="507"/>
      <c r="Q950" s="507"/>
      <c r="R950" s="507"/>
      <c r="S950" s="507"/>
    </row>
    <row r="951" ht="35.25" customHeight="1">
      <c r="A951" s="507"/>
      <c r="B951" s="507"/>
      <c r="C951" s="507"/>
      <c r="D951" s="508"/>
      <c r="E951" s="507"/>
      <c r="F951" s="507"/>
      <c r="G951" s="507"/>
      <c r="H951" s="507"/>
      <c r="I951" s="507"/>
      <c r="J951" s="507"/>
      <c r="K951" s="507"/>
      <c r="L951" s="507"/>
      <c r="M951" s="507"/>
      <c r="N951" s="507"/>
      <c r="O951" s="507"/>
      <c r="P951" s="507"/>
      <c r="Q951" s="507"/>
      <c r="R951" s="507"/>
      <c r="S951" s="507"/>
    </row>
    <row r="952" ht="35.25" customHeight="1">
      <c r="A952" s="507"/>
      <c r="B952" s="507"/>
      <c r="C952" s="507"/>
      <c r="D952" s="508"/>
      <c r="E952" s="507"/>
      <c r="F952" s="507"/>
      <c r="G952" s="507"/>
      <c r="H952" s="507"/>
      <c r="I952" s="507"/>
      <c r="J952" s="507"/>
      <c r="K952" s="507"/>
      <c r="L952" s="507"/>
      <c r="M952" s="507"/>
      <c r="N952" s="507"/>
      <c r="O952" s="507"/>
      <c r="P952" s="507"/>
      <c r="Q952" s="507"/>
      <c r="R952" s="507"/>
      <c r="S952" s="507"/>
    </row>
    <row r="953" ht="35.25" customHeight="1">
      <c r="A953" s="507"/>
      <c r="B953" s="507"/>
      <c r="C953" s="507"/>
      <c r="D953" s="508"/>
      <c r="E953" s="507"/>
      <c r="F953" s="507"/>
      <c r="G953" s="507"/>
      <c r="H953" s="507"/>
      <c r="I953" s="507"/>
      <c r="J953" s="507"/>
      <c r="K953" s="507"/>
      <c r="L953" s="507"/>
      <c r="M953" s="507"/>
      <c r="N953" s="507"/>
      <c r="O953" s="507"/>
      <c r="P953" s="507"/>
      <c r="Q953" s="507"/>
      <c r="R953" s="507"/>
      <c r="S953" s="507"/>
    </row>
    <row r="954" ht="35.25" customHeight="1">
      <c r="A954" s="507"/>
      <c r="B954" s="507"/>
      <c r="C954" s="507"/>
      <c r="D954" s="508"/>
      <c r="E954" s="507"/>
      <c r="F954" s="507"/>
      <c r="G954" s="507"/>
      <c r="H954" s="507"/>
      <c r="I954" s="507"/>
      <c r="J954" s="507"/>
      <c r="K954" s="507"/>
      <c r="L954" s="507"/>
      <c r="M954" s="507"/>
      <c r="N954" s="507"/>
      <c r="O954" s="507"/>
      <c r="P954" s="507"/>
      <c r="Q954" s="507"/>
      <c r="R954" s="507"/>
      <c r="S954" s="507"/>
    </row>
    <row r="955" ht="35.25" customHeight="1">
      <c r="A955" s="507"/>
      <c r="B955" s="507"/>
      <c r="C955" s="507"/>
      <c r="D955" s="508"/>
      <c r="E955" s="507"/>
      <c r="F955" s="507"/>
      <c r="G955" s="507"/>
      <c r="H955" s="507"/>
      <c r="I955" s="507"/>
      <c r="J955" s="507"/>
      <c r="K955" s="507"/>
      <c r="L955" s="507"/>
      <c r="M955" s="507"/>
      <c r="N955" s="507"/>
      <c r="O955" s="507"/>
      <c r="P955" s="507"/>
      <c r="Q955" s="507"/>
      <c r="R955" s="507"/>
      <c r="S955" s="507"/>
    </row>
    <row r="956" ht="35.25" customHeight="1">
      <c r="A956" s="507"/>
      <c r="B956" s="507"/>
      <c r="C956" s="507"/>
      <c r="D956" s="508"/>
      <c r="E956" s="507"/>
      <c r="F956" s="507"/>
      <c r="G956" s="507"/>
      <c r="H956" s="507"/>
      <c r="I956" s="507"/>
      <c r="J956" s="507"/>
      <c r="K956" s="507"/>
      <c r="L956" s="507"/>
      <c r="M956" s="507"/>
      <c r="N956" s="507"/>
      <c r="O956" s="507"/>
      <c r="P956" s="507"/>
      <c r="Q956" s="507"/>
      <c r="R956" s="507"/>
      <c r="S956" s="507"/>
    </row>
    <row r="957" ht="35.25" customHeight="1">
      <c r="A957" s="507"/>
      <c r="B957" s="507"/>
      <c r="C957" s="507"/>
      <c r="D957" s="508"/>
      <c r="E957" s="507"/>
      <c r="F957" s="507"/>
      <c r="G957" s="507"/>
      <c r="H957" s="507"/>
      <c r="I957" s="507"/>
      <c r="J957" s="507"/>
      <c r="K957" s="507"/>
      <c r="L957" s="507"/>
      <c r="M957" s="507"/>
      <c r="N957" s="507"/>
      <c r="O957" s="507"/>
      <c r="P957" s="507"/>
      <c r="Q957" s="507"/>
      <c r="R957" s="507"/>
      <c r="S957" s="507"/>
    </row>
    <row r="958" ht="35.25" customHeight="1">
      <c r="A958" s="507"/>
      <c r="B958" s="507"/>
      <c r="C958" s="507"/>
      <c r="D958" s="508"/>
      <c r="E958" s="507"/>
      <c r="F958" s="507"/>
      <c r="G958" s="507"/>
      <c r="H958" s="507"/>
      <c r="I958" s="507"/>
      <c r="J958" s="507"/>
      <c r="K958" s="507"/>
      <c r="L958" s="507"/>
      <c r="M958" s="507"/>
      <c r="N958" s="507"/>
      <c r="O958" s="507"/>
      <c r="P958" s="507"/>
      <c r="Q958" s="507"/>
      <c r="R958" s="507"/>
      <c r="S958" s="507"/>
    </row>
    <row r="959" ht="35.25" customHeight="1">
      <c r="A959" s="507"/>
      <c r="B959" s="507"/>
      <c r="C959" s="507"/>
      <c r="D959" s="508"/>
      <c r="E959" s="507"/>
      <c r="F959" s="507"/>
      <c r="G959" s="507"/>
      <c r="H959" s="507"/>
      <c r="I959" s="507"/>
      <c r="J959" s="507"/>
      <c r="K959" s="507"/>
      <c r="L959" s="507"/>
      <c r="M959" s="507"/>
      <c r="N959" s="507"/>
      <c r="O959" s="507"/>
      <c r="P959" s="507"/>
      <c r="Q959" s="507"/>
      <c r="R959" s="507"/>
      <c r="S959" s="507"/>
    </row>
    <row r="960" ht="35.25" customHeight="1">
      <c r="A960" s="507"/>
      <c r="B960" s="507"/>
      <c r="C960" s="507"/>
      <c r="D960" s="508"/>
      <c r="E960" s="507"/>
      <c r="F960" s="507"/>
      <c r="G960" s="507"/>
      <c r="H960" s="507"/>
      <c r="I960" s="507"/>
      <c r="J960" s="507"/>
      <c r="K960" s="507"/>
      <c r="L960" s="507"/>
      <c r="M960" s="507"/>
      <c r="N960" s="507"/>
      <c r="O960" s="507"/>
      <c r="P960" s="507"/>
      <c r="Q960" s="507"/>
      <c r="R960" s="507"/>
      <c r="S960" s="507"/>
    </row>
    <row r="961" ht="35.25" customHeight="1">
      <c r="A961" s="507"/>
      <c r="B961" s="507"/>
      <c r="C961" s="507"/>
      <c r="D961" s="508"/>
      <c r="E961" s="507"/>
      <c r="F961" s="507"/>
      <c r="G961" s="507"/>
      <c r="H961" s="507"/>
      <c r="I961" s="507"/>
      <c r="J961" s="507"/>
      <c r="K961" s="507"/>
      <c r="L961" s="507"/>
      <c r="M961" s="507"/>
      <c r="N961" s="507"/>
      <c r="O961" s="507"/>
      <c r="P961" s="507"/>
      <c r="Q961" s="507"/>
      <c r="R961" s="507"/>
      <c r="S961" s="507"/>
    </row>
    <row r="962" ht="35.25" customHeight="1">
      <c r="A962" s="507"/>
      <c r="B962" s="507"/>
      <c r="C962" s="507"/>
      <c r="D962" s="508"/>
      <c r="E962" s="507"/>
      <c r="F962" s="507"/>
      <c r="G962" s="507"/>
      <c r="H962" s="507"/>
      <c r="I962" s="507"/>
      <c r="J962" s="507"/>
      <c r="K962" s="507"/>
      <c r="L962" s="507"/>
      <c r="M962" s="507"/>
      <c r="N962" s="507"/>
      <c r="O962" s="507"/>
      <c r="P962" s="507"/>
      <c r="Q962" s="507"/>
      <c r="R962" s="507"/>
      <c r="S962" s="507"/>
    </row>
    <row r="963" ht="35.25" customHeight="1">
      <c r="A963" s="507"/>
      <c r="B963" s="507"/>
      <c r="C963" s="507"/>
      <c r="D963" s="508"/>
      <c r="E963" s="507"/>
      <c r="F963" s="507"/>
      <c r="G963" s="507"/>
      <c r="H963" s="507"/>
      <c r="I963" s="507"/>
      <c r="J963" s="507"/>
      <c r="K963" s="507"/>
      <c r="L963" s="507"/>
      <c r="M963" s="507"/>
      <c r="N963" s="507"/>
      <c r="O963" s="507"/>
      <c r="P963" s="507"/>
      <c r="Q963" s="507"/>
      <c r="R963" s="507"/>
      <c r="S963" s="507"/>
    </row>
    <row r="964" ht="35.25" customHeight="1">
      <c r="A964" s="507"/>
      <c r="B964" s="507"/>
      <c r="C964" s="507"/>
      <c r="D964" s="508"/>
      <c r="E964" s="507"/>
      <c r="F964" s="507"/>
      <c r="G964" s="507"/>
      <c r="H964" s="507"/>
      <c r="I964" s="507"/>
      <c r="J964" s="507"/>
      <c r="K964" s="507"/>
      <c r="L964" s="507"/>
      <c r="M964" s="507"/>
      <c r="N964" s="507"/>
      <c r="O964" s="507"/>
      <c r="P964" s="507"/>
      <c r="Q964" s="507"/>
      <c r="R964" s="507"/>
      <c r="S964" s="507"/>
    </row>
    <row r="965" ht="35.25" customHeight="1">
      <c r="A965" s="507"/>
      <c r="B965" s="507"/>
      <c r="C965" s="507"/>
      <c r="D965" s="508"/>
      <c r="E965" s="507"/>
      <c r="F965" s="507"/>
      <c r="G965" s="507"/>
      <c r="H965" s="507"/>
      <c r="I965" s="507"/>
      <c r="J965" s="507"/>
      <c r="K965" s="507"/>
      <c r="L965" s="507"/>
      <c r="M965" s="507"/>
      <c r="N965" s="507"/>
      <c r="O965" s="507"/>
      <c r="P965" s="507"/>
      <c r="Q965" s="507"/>
      <c r="R965" s="507"/>
      <c r="S965" s="507"/>
    </row>
    <row r="966" ht="35.25" customHeight="1">
      <c r="A966" s="507"/>
      <c r="B966" s="507"/>
      <c r="C966" s="507"/>
      <c r="D966" s="508"/>
      <c r="E966" s="507"/>
      <c r="F966" s="507"/>
      <c r="G966" s="507"/>
      <c r="H966" s="507"/>
      <c r="I966" s="507"/>
      <c r="J966" s="507"/>
      <c r="K966" s="507"/>
      <c r="L966" s="507"/>
      <c r="M966" s="507"/>
      <c r="N966" s="507"/>
      <c r="O966" s="507"/>
      <c r="P966" s="507"/>
      <c r="Q966" s="507"/>
      <c r="R966" s="507"/>
      <c r="S966" s="507"/>
    </row>
    <row r="967" ht="35.25" customHeight="1">
      <c r="A967" s="507"/>
      <c r="B967" s="507"/>
      <c r="C967" s="507"/>
      <c r="D967" s="508"/>
      <c r="E967" s="507"/>
      <c r="F967" s="507"/>
      <c r="G967" s="507"/>
      <c r="H967" s="507"/>
      <c r="I967" s="507"/>
      <c r="J967" s="507"/>
      <c r="K967" s="507"/>
      <c r="L967" s="507"/>
      <c r="M967" s="507"/>
      <c r="N967" s="507"/>
      <c r="O967" s="507"/>
      <c r="P967" s="507"/>
      <c r="Q967" s="507"/>
      <c r="R967" s="507"/>
      <c r="S967" s="507"/>
    </row>
    <row r="968" ht="35.25" customHeight="1">
      <c r="A968" s="507"/>
      <c r="B968" s="507"/>
      <c r="C968" s="507"/>
      <c r="D968" s="508"/>
      <c r="E968" s="507"/>
      <c r="F968" s="507"/>
      <c r="G968" s="507"/>
      <c r="H968" s="507"/>
      <c r="I968" s="507"/>
      <c r="J968" s="507"/>
      <c r="K968" s="507"/>
      <c r="L968" s="507"/>
      <c r="M968" s="507"/>
      <c r="N968" s="507"/>
      <c r="O968" s="507"/>
      <c r="P968" s="507"/>
      <c r="Q968" s="507"/>
      <c r="R968" s="507"/>
      <c r="S968" s="507"/>
    </row>
    <row r="969" ht="35.25" customHeight="1">
      <c r="A969" s="507"/>
      <c r="B969" s="507"/>
      <c r="C969" s="507"/>
      <c r="D969" s="508"/>
      <c r="E969" s="507"/>
      <c r="F969" s="507"/>
      <c r="G969" s="507"/>
      <c r="H969" s="507"/>
      <c r="I969" s="507"/>
      <c r="J969" s="507"/>
      <c r="K969" s="507"/>
      <c r="L969" s="507"/>
      <c r="M969" s="507"/>
      <c r="N969" s="507"/>
      <c r="O969" s="507"/>
      <c r="P969" s="507"/>
      <c r="Q969" s="507"/>
      <c r="R969" s="507"/>
      <c r="S969" s="507"/>
    </row>
    <row r="970" ht="35.25" customHeight="1">
      <c r="A970" s="507"/>
      <c r="B970" s="507"/>
      <c r="C970" s="507"/>
      <c r="D970" s="508"/>
      <c r="E970" s="507"/>
      <c r="F970" s="507"/>
      <c r="G970" s="507"/>
      <c r="H970" s="507"/>
      <c r="I970" s="507"/>
      <c r="J970" s="507"/>
      <c r="K970" s="507"/>
      <c r="L970" s="507"/>
      <c r="M970" s="507"/>
      <c r="N970" s="507"/>
      <c r="O970" s="507"/>
      <c r="P970" s="507"/>
      <c r="Q970" s="507"/>
      <c r="R970" s="507"/>
      <c r="S970" s="507"/>
    </row>
    <row r="971" ht="35.25" customHeight="1">
      <c r="A971" s="507"/>
      <c r="B971" s="507"/>
      <c r="C971" s="507"/>
      <c r="D971" s="508"/>
      <c r="E971" s="507"/>
      <c r="F971" s="507"/>
      <c r="G971" s="507"/>
      <c r="H971" s="507"/>
      <c r="I971" s="507"/>
      <c r="J971" s="507"/>
      <c r="K971" s="507"/>
      <c r="L971" s="507"/>
      <c r="M971" s="507"/>
      <c r="N971" s="507"/>
      <c r="O971" s="507"/>
      <c r="P971" s="507"/>
      <c r="Q971" s="507"/>
      <c r="R971" s="507"/>
      <c r="S971" s="507"/>
    </row>
    <row r="972" ht="35.25" customHeight="1">
      <c r="A972" s="507"/>
      <c r="B972" s="507"/>
      <c r="C972" s="507"/>
      <c r="D972" s="508"/>
      <c r="E972" s="507"/>
      <c r="F972" s="507"/>
      <c r="G972" s="507"/>
      <c r="H972" s="507"/>
      <c r="I972" s="507"/>
      <c r="J972" s="507"/>
      <c r="K972" s="507"/>
      <c r="L972" s="507"/>
      <c r="M972" s="507"/>
      <c r="N972" s="507"/>
      <c r="O972" s="507"/>
      <c r="P972" s="507"/>
      <c r="Q972" s="507"/>
      <c r="R972" s="507"/>
      <c r="S972" s="507"/>
    </row>
    <row r="973" ht="35.25" customHeight="1">
      <c r="A973" s="507"/>
      <c r="B973" s="507"/>
      <c r="C973" s="507"/>
      <c r="D973" s="508"/>
      <c r="E973" s="507"/>
      <c r="F973" s="507"/>
      <c r="G973" s="507"/>
      <c r="H973" s="507"/>
      <c r="I973" s="507"/>
      <c r="J973" s="507"/>
      <c r="K973" s="507"/>
      <c r="L973" s="507"/>
      <c r="M973" s="507"/>
      <c r="N973" s="507"/>
      <c r="O973" s="507"/>
      <c r="P973" s="507"/>
      <c r="Q973" s="507"/>
      <c r="R973" s="507"/>
      <c r="S973" s="507"/>
    </row>
    <row r="974" ht="35.25" customHeight="1">
      <c r="A974" s="507"/>
      <c r="B974" s="507"/>
      <c r="C974" s="507"/>
      <c r="D974" s="508"/>
      <c r="E974" s="507"/>
      <c r="F974" s="507"/>
      <c r="G974" s="507"/>
      <c r="H974" s="507"/>
      <c r="I974" s="507"/>
      <c r="J974" s="507"/>
      <c r="K974" s="507"/>
      <c r="L974" s="507"/>
      <c r="M974" s="507"/>
      <c r="N974" s="507"/>
      <c r="O974" s="507"/>
      <c r="P974" s="507"/>
      <c r="Q974" s="507"/>
      <c r="R974" s="507"/>
      <c r="S974" s="507"/>
    </row>
    <row r="975" ht="35.25" customHeight="1">
      <c r="A975" s="507"/>
      <c r="B975" s="507"/>
      <c r="C975" s="507"/>
      <c r="D975" s="508"/>
      <c r="E975" s="507"/>
      <c r="F975" s="507"/>
      <c r="G975" s="507"/>
      <c r="H975" s="507"/>
      <c r="I975" s="507"/>
      <c r="J975" s="507"/>
      <c r="K975" s="507"/>
      <c r="L975" s="507"/>
      <c r="M975" s="507"/>
      <c r="N975" s="507"/>
      <c r="O975" s="507"/>
      <c r="P975" s="507"/>
      <c r="Q975" s="507"/>
      <c r="R975" s="507"/>
      <c r="S975" s="507"/>
    </row>
    <row r="976" ht="35.25" customHeight="1">
      <c r="A976" s="507"/>
      <c r="B976" s="507"/>
      <c r="C976" s="507"/>
      <c r="D976" s="508"/>
      <c r="E976" s="507"/>
      <c r="F976" s="507"/>
      <c r="G976" s="507"/>
      <c r="H976" s="507"/>
      <c r="I976" s="507"/>
      <c r="J976" s="507"/>
      <c r="K976" s="507"/>
      <c r="L976" s="507"/>
      <c r="M976" s="507"/>
      <c r="N976" s="507"/>
      <c r="O976" s="507"/>
      <c r="P976" s="507"/>
      <c r="Q976" s="507"/>
      <c r="R976" s="507"/>
      <c r="S976" s="507"/>
    </row>
    <row r="977" ht="35.25" customHeight="1">
      <c r="A977" s="507"/>
      <c r="B977" s="507"/>
      <c r="C977" s="507"/>
      <c r="D977" s="508"/>
      <c r="E977" s="507"/>
      <c r="F977" s="507"/>
      <c r="G977" s="507"/>
      <c r="H977" s="507"/>
      <c r="I977" s="507"/>
      <c r="J977" s="507"/>
      <c r="K977" s="507"/>
      <c r="L977" s="507"/>
      <c r="M977" s="507"/>
      <c r="N977" s="507"/>
      <c r="O977" s="507"/>
      <c r="P977" s="507"/>
      <c r="Q977" s="507"/>
      <c r="R977" s="507"/>
      <c r="S977" s="507"/>
    </row>
    <row r="978" ht="35.25" customHeight="1">
      <c r="A978" s="507"/>
      <c r="B978" s="507"/>
      <c r="C978" s="507"/>
      <c r="D978" s="508"/>
      <c r="E978" s="507"/>
      <c r="F978" s="507"/>
      <c r="G978" s="507"/>
      <c r="H978" s="507"/>
      <c r="I978" s="507"/>
      <c r="J978" s="507"/>
      <c r="K978" s="507"/>
      <c r="L978" s="507"/>
      <c r="M978" s="507"/>
      <c r="N978" s="507"/>
      <c r="O978" s="507"/>
      <c r="P978" s="507"/>
      <c r="Q978" s="507"/>
      <c r="R978" s="507"/>
      <c r="S978" s="507"/>
    </row>
    <row r="979" ht="35.25" customHeight="1">
      <c r="A979" s="507"/>
      <c r="B979" s="507"/>
      <c r="C979" s="507"/>
      <c r="D979" s="508"/>
      <c r="E979" s="507"/>
      <c r="F979" s="507"/>
      <c r="G979" s="507"/>
      <c r="H979" s="507"/>
      <c r="I979" s="507"/>
      <c r="J979" s="507"/>
      <c r="K979" s="507"/>
      <c r="L979" s="507"/>
      <c r="M979" s="507"/>
      <c r="N979" s="507"/>
      <c r="O979" s="507"/>
      <c r="P979" s="507"/>
      <c r="Q979" s="507"/>
      <c r="R979" s="507"/>
      <c r="S979" s="507"/>
    </row>
    <row r="980" ht="35.25" customHeight="1">
      <c r="A980" s="507"/>
      <c r="B980" s="507"/>
      <c r="C980" s="507"/>
      <c r="D980" s="508"/>
      <c r="E980" s="507"/>
      <c r="F980" s="507"/>
      <c r="G980" s="507"/>
      <c r="H980" s="507"/>
      <c r="I980" s="507"/>
      <c r="J980" s="507"/>
      <c r="K980" s="507"/>
      <c r="L980" s="507"/>
      <c r="M980" s="507"/>
      <c r="N980" s="507"/>
      <c r="O980" s="507"/>
      <c r="P980" s="507"/>
      <c r="Q980" s="507"/>
      <c r="R980" s="507"/>
      <c r="S980" s="507"/>
    </row>
    <row r="981" ht="35.25" customHeight="1">
      <c r="A981" s="507"/>
      <c r="B981" s="507"/>
      <c r="C981" s="507"/>
      <c r="D981" s="508"/>
      <c r="E981" s="507"/>
      <c r="F981" s="507"/>
      <c r="G981" s="507"/>
      <c r="H981" s="507"/>
      <c r="I981" s="507"/>
      <c r="J981" s="507"/>
      <c r="K981" s="507"/>
      <c r="L981" s="507"/>
      <c r="M981" s="507"/>
      <c r="N981" s="507"/>
      <c r="O981" s="507"/>
      <c r="P981" s="507"/>
      <c r="Q981" s="507"/>
      <c r="R981" s="507"/>
      <c r="S981" s="507"/>
    </row>
    <row r="982" ht="35.25" customHeight="1">
      <c r="A982" s="507"/>
      <c r="B982" s="507"/>
      <c r="C982" s="507"/>
      <c r="D982" s="508"/>
      <c r="E982" s="507"/>
      <c r="F982" s="507"/>
      <c r="G982" s="507"/>
      <c r="H982" s="507"/>
      <c r="I982" s="507"/>
      <c r="J982" s="507"/>
      <c r="K982" s="507"/>
      <c r="L982" s="507"/>
      <c r="M982" s="507"/>
      <c r="N982" s="507"/>
      <c r="O982" s="507"/>
      <c r="P982" s="507"/>
      <c r="Q982" s="507"/>
      <c r="R982" s="507"/>
      <c r="S982" s="507"/>
    </row>
    <row r="983" ht="35.25" customHeight="1">
      <c r="A983" s="507"/>
      <c r="B983" s="507"/>
      <c r="C983" s="507"/>
      <c r="D983" s="507"/>
      <c r="E983" s="507"/>
      <c r="F983" s="507"/>
      <c r="G983" s="507"/>
      <c r="H983" s="507"/>
      <c r="I983" s="507"/>
      <c r="J983" s="507"/>
      <c r="K983" s="507"/>
      <c r="L983" s="507"/>
      <c r="M983" s="507"/>
      <c r="N983" s="507"/>
      <c r="O983" s="507"/>
      <c r="P983" s="507"/>
      <c r="Q983" s="507"/>
      <c r="R983" s="507"/>
      <c r="S983" s="507"/>
    </row>
    <row r="984" ht="35.25" customHeight="1">
      <c r="A984" s="507"/>
      <c r="B984" s="507"/>
      <c r="C984" s="507"/>
      <c r="D984" s="507"/>
      <c r="E984" s="507"/>
      <c r="F984" s="507"/>
      <c r="G984" s="507"/>
      <c r="H984" s="507"/>
      <c r="I984" s="507"/>
      <c r="J984" s="507"/>
      <c r="K984" s="507"/>
      <c r="L984" s="507"/>
      <c r="M984" s="507"/>
      <c r="N984" s="507"/>
      <c r="O984" s="507"/>
      <c r="P984" s="507"/>
      <c r="Q984" s="507"/>
      <c r="R984" s="507"/>
      <c r="S984" s="507"/>
    </row>
    <row r="985" ht="35.25" customHeight="1">
      <c r="A985" s="507"/>
      <c r="B985" s="507"/>
      <c r="C985" s="507"/>
      <c r="D985" s="507"/>
      <c r="E985" s="507"/>
      <c r="F985" s="507"/>
      <c r="G985" s="507"/>
      <c r="H985" s="507"/>
      <c r="I985" s="507"/>
      <c r="J985" s="507"/>
      <c r="K985" s="507"/>
      <c r="L985" s="507"/>
      <c r="M985" s="507"/>
      <c r="N985" s="507"/>
      <c r="O985" s="507"/>
      <c r="P985" s="507"/>
      <c r="Q985" s="507"/>
      <c r="R985" s="507"/>
      <c r="S985" s="507"/>
    </row>
    <row r="986" ht="35.25" customHeight="1">
      <c r="A986" s="507"/>
      <c r="B986" s="507"/>
      <c r="C986" s="507"/>
      <c r="D986" s="507"/>
      <c r="E986" s="507"/>
      <c r="F986" s="507"/>
      <c r="G986" s="507"/>
      <c r="H986" s="507"/>
      <c r="I986" s="507"/>
      <c r="J986" s="507"/>
      <c r="K986" s="507"/>
      <c r="L986" s="507"/>
      <c r="M986" s="507"/>
      <c r="N986" s="507"/>
      <c r="O986" s="507"/>
      <c r="P986" s="507"/>
      <c r="Q986" s="507"/>
      <c r="R986" s="507"/>
      <c r="S986" s="507"/>
    </row>
  </sheetData>
  <mergeCells count="221">
    <mergeCell ref="D130:D133"/>
    <mergeCell ref="D134:D138"/>
    <mergeCell ref="D95:D98"/>
    <mergeCell ref="D99:D104"/>
    <mergeCell ref="D105:D109"/>
    <mergeCell ref="D110:D116"/>
    <mergeCell ref="D117:D121"/>
    <mergeCell ref="D122:D125"/>
    <mergeCell ref="D126:D129"/>
    <mergeCell ref="A2:D2"/>
    <mergeCell ref="A4:A9"/>
    <mergeCell ref="D4:D9"/>
    <mergeCell ref="E4:E5"/>
    <mergeCell ref="A10:A14"/>
    <mergeCell ref="D10:D14"/>
    <mergeCell ref="D15:D20"/>
    <mergeCell ref="A15:A20"/>
    <mergeCell ref="A21:A24"/>
    <mergeCell ref="A25:A29"/>
    <mergeCell ref="A30:A34"/>
    <mergeCell ref="A35:A38"/>
    <mergeCell ref="A39:A43"/>
    <mergeCell ref="A44:A50"/>
    <mergeCell ref="D21:D24"/>
    <mergeCell ref="D25:D29"/>
    <mergeCell ref="D30:D34"/>
    <mergeCell ref="D35:D38"/>
    <mergeCell ref="D40:D43"/>
    <mergeCell ref="D44:D50"/>
    <mergeCell ref="D51:D55"/>
    <mergeCell ref="A51:A55"/>
    <mergeCell ref="A56:A62"/>
    <mergeCell ref="A63:A69"/>
    <mergeCell ref="A70:A73"/>
    <mergeCell ref="A74:A77"/>
    <mergeCell ref="A78:A81"/>
    <mergeCell ref="A82:A87"/>
    <mergeCell ref="A88:A94"/>
    <mergeCell ref="A95:A98"/>
    <mergeCell ref="A99:A104"/>
    <mergeCell ref="A105:A109"/>
    <mergeCell ref="A110:A116"/>
    <mergeCell ref="A117:A121"/>
    <mergeCell ref="A122:A125"/>
    <mergeCell ref="D56:D62"/>
    <mergeCell ref="D63:D69"/>
    <mergeCell ref="D70:D73"/>
    <mergeCell ref="D74:D77"/>
    <mergeCell ref="D78:D81"/>
    <mergeCell ref="D82:D87"/>
    <mergeCell ref="D88:D94"/>
    <mergeCell ref="D139:D142"/>
    <mergeCell ref="D143:D146"/>
    <mergeCell ref="D147:D150"/>
    <mergeCell ref="D151:D159"/>
    <mergeCell ref="D160:D163"/>
    <mergeCell ref="D164:D167"/>
    <mergeCell ref="D168:D171"/>
    <mergeCell ref="A400:A404"/>
    <mergeCell ref="A405:A410"/>
    <mergeCell ref="A411:A416"/>
    <mergeCell ref="A417:A422"/>
    <mergeCell ref="A423:A428"/>
    <mergeCell ref="A429:A434"/>
    <mergeCell ref="A435:A440"/>
    <mergeCell ref="A441:A446"/>
    <mergeCell ref="A447:A451"/>
    <mergeCell ref="A452:A458"/>
    <mergeCell ref="A459:A464"/>
    <mergeCell ref="A465:A468"/>
    <mergeCell ref="A469:A472"/>
    <mergeCell ref="A473:A477"/>
    <mergeCell ref="A478:A481"/>
    <mergeCell ref="A482:A485"/>
    <mergeCell ref="A486:A489"/>
    <mergeCell ref="A490:A494"/>
    <mergeCell ref="A495:A499"/>
    <mergeCell ref="A500:A503"/>
    <mergeCell ref="A504:A508"/>
    <mergeCell ref="A542:A546"/>
    <mergeCell ref="A547:A551"/>
    <mergeCell ref="A552:A555"/>
    <mergeCell ref="A556:A560"/>
    <mergeCell ref="A561:A564"/>
    <mergeCell ref="A565:A568"/>
    <mergeCell ref="A569:A572"/>
    <mergeCell ref="A573:A576"/>
    <mergeCell ref="A509:A513"/>
    <mergeCell ref="A514:A518"/>
    <mergeCell ref="A519:A523"/>
    <mergeCell ref="A524:A527"/>
    <mergeCell ref="A528:A532"/>
    <mergeCell ref="A533:A537"/>
    <mergeCell ref="A538:A541"/>
    <mergeCell ref="A126:A129"/>
    <mergeCell ref="A130:A133"/>
    <mergeCell ref="A134:A138"/>
    <mergeCell ref="A139:A142"/>
    <mergeCell ref="A143:A146"/>
    <mergeCell ref="A147:A150"/>
    <mergeCell ref="A151:A159"/>
    <mergeCell ref="A160:A163"/>
    <mergeCell ref="A164:A167"/>
    <mergeCell ref="A168:A171"/>
    <mergeCell ref="A172:A178"/>
    <mergeCell ref="A179:A183"/>
    <mergeCell ref="A184:A188"/>
    <mergeCell ref="A189:A193"/>
    <mergeCell ref="A194:A198"/>
    <mergeCell ref="A199:A205"/>
    <mergeCell ref="A206:A212"/>
    <mergeCell ref="A213:A216"/>
    <mergeCell ref="A217:A222"/>
    <mergeCell ref="A223:A227"/>
    <mergeCell ref="A228:A233"/>
    <mergeCell ref="A234:A238"/>
    <mergeCell ref="A239:A243"/>
    <mergeCell ref="A244:A248"/>
    <mergeCell ref="A249:A253"/>
    <mergeCell ref="A254:A257"/>
    <mergeCell ref="A258:A262"/>
    <mergeCell ref="A263:A267"/>
    <mergeCell ref="A268:A272"/>
    <mergeCell ref="A273:A278"/>
    <mergeCell ref="A279:A282"/>
    <mergeCell ref="A283:A288"/>
    <mergeCell ref="A289:A292"/>
    <mergeCell ref="A293:A297"/>
    <mergeCell ref="A298:A302"/>
    <mergeCell ref="A303:A308"/>
    <mergeCell ref="A309:A314"/>
    <mergeCell ref="A315:A320"/>
    <mergeCell ref="A321:A325"/>
    <mergeCell ref="A326:A330"/>
    <mergeCell ref="A331:A335"/>
    <mergeCell ref="A336:A340"/>
    <mergeCell ref="A341:A345"/>
    <mergeCell ref="A346:A352"/>
    <mergeCell ref="A353:A361"/>
    <mergeCell ref="A362:A370"/>
    <mergeCell ref="A371:A380"/>
    <mergeCell ref="A381:A390"/>
    <mergeCell ref="A391:A399"/>
    <mergeCell ref="D429:D434"/>
    <mergeCell ref="D435:D440"/>
    <mergeCell ref="D441:D446"/>
    <mergeCell ref="D447:D451"/>
    <mergeCell ref="D452:D458"/>
    <mergeCell ref="D459:D464"/>
    <mergeCell ref="D465:D468"/>
    <mergeCell ref="D469:D472"/>
    <mergeCell ref="D473:D477"/>
    <mergeCell ref="D478:D481"/>
    <mergeCell ref="D482:D485"/>
    <mergeCell ref="D486:D489"/>
    <mergeCell ref="D490:D494"/>
    <mergeCell ref="D495:D499"/>
    <mergeCell ref="D500:D503"/>
    <mergeCell ref="D504:D508"/>
    <mergeCell ref="D509:D513"/>
    <mergeCell ref="D514:D518"/>
    <mergeCell ref="D519:D523"/>
    <mergeCell ref="D524:D527"/>
    <mergeCell ref="D528:D532"/>
    <mergeCell ref="D565:D568"/>
    <mergeCell ref="D569:D572"/>
    <mergeCell ref="D573:D576"/>
    <mergeCell ref="D533:D537"/>
    <mergeCell ref="D538:D541"/>
    <mergeCell ref="D542:D546"/>
    <mergeCell ref="D547:D551"/>
    <mergeCell ref="D552:D555"/>
    <mergeCell ref="D556:D560"/>
    <mergeCell ref="D561:D564"/>
    <mergeCell ref="D213:D216"/>
    <mergeCell ref="D217:D222"/>
    <mergeCell ref="H221:H222"/>
    <mergeCell ref="H223:H226"/>
    <mergeCell ref="H228:H235"/>
    <mergeCell ref="D172:D178"/>
    <mergeCell ref="D179:D183"/>
    <mergeCell ref="D184:D188"/>
    <mergeCell ref="D189:D193"/>
    <mergeCell ref="D194:D198"/>
    <mergeCell ref="D199:D205"/>
    <mergeCell ref="D206:D212"/>
    <mergeCell ref="D223:D227"/>
    <mergeCell ref="D228:D233"/>
    <mergeCell ref="D234:D238"/>
    <mergeCell ref="D239:D243"/>
    <mergeCell ref="D244:D248"/>
    <mergeCell ref="D249:D253"/>
    <mergeCell ref="D254:D257"/>
    <mergeCell ref="D258:D262"/>
    <mergeCell ref="D263:D267"/>
    <mergeCell ref="D268:D272"/>
    <mergeCell ref="D273:D278"/>
    <mergeCell ref="D279:D282"/>
    <mergeCell ref="D283:D288"/>
    <mergeCell ref="D289:D292"/>
    <mergeCell ref="D293:D297"/>
    <mergeCell ref="D298:D302"/>
    <mergeCell ref="D303:D308"/>
    <mergeCell ref="D309:D314"/>
    <mergeCell ref="D315:D320"/>
    <mergeCell ref="D321:D325"/>
    <mergeCell ref="D326:D330"/>
    <mergeCell ref="D331:D335"/>
    <mergeCell ref="D336:D340"/>
    <mergeCell ref="D341:D345"/>
    <mergeCell ref="D346:D352"/>
    <mergeCell ref="D353:D361"/>
    <mergeCell ref="D362:D370"/>
    <mergeCell ref="D371:D380"/>
    <mergeCell ref="D381:D390"/>
    <mergeCell ref="D391:D399"/>
    <mergeCell ref="D400:D404"/>
    <mergeCell ref="D405:D410"/>
    <mergeCell ref="D411:D416"/>
    <mergeCell ref="D417:D422"/>
    <mergeCell ref="D423:D428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29.43"/>
    <col customWidth="1" min="3" max="3" width="25.57"/>
    <col customWidth="1" min="4" max="4" width="34.29"/>
    <col customWidth="1" min="5" max="5" width="38.71"/>
    <col customWidth="1" min="6" max="7" width="8.71"/>
    <col customWidth="1" min="8" max="8" width="24.57"/>
    <col customWidth="1" min="9" max="9" width="23.86"/>
    <col customWidth="1" min="10" max="14" width="8.71"/>
  </cols>
  <sheetData>
    <row r="1" ht="35.25" customHeight="1">
      <c r="A1" s="506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</row>
    <row r="2" ht="35.25" customHeight="1">
      <c r="A2" s="509" t="s">
        <v>951</v>
      </c>
      <c r="B2" s="4"/>
      <c r="C2" s="4"/>
      <c r="D2" s="5"/>
      <c r="E2" s="507"/>
      <c r="F2" s="507"/>
      <c r="G2" s="507"/>
      <c r="H2" s="507"/>
      <c r="I2" s="507"/>
      <c r="J2" s="507"/>
      <c r="K2" s="507"/>
      <c r="L2" s="507"/>
      <c r="M2" s="507"/>
      <c r="N2" s="507"/>
    </row>
    <row r="3" ht="35.25" customHeight="1">
      <c r="A3" s="511" t="s">
        <v>1</v>
      </c>
      <c r="B3" s="511"/>
      <c r="C3" s="511" t="s">
        <v>2</v>
      </c>
      <c r="D3" s="511" t="s">
        <v>4</v>
      </c>
      <c r="E3" s="507"/>
      <c r="F3" s="507"/>
      <c r="G3" s="507"/>
      <c r="H3" s="507"/>
      <c r="I3" s="507"/>
      <c r="J3" s="507"/>
      <c r="K3" s="507"/>
      <c r="L3" s="507"/>
      <c r="M3" s="507"/>
      <c r="N3" s="507"/>
    </row>
    <row r="4" ht="35.25" customHeight="1">
      <c r="A4" s="731" t="s">
        <v>952</v>
      </c>
      <c r="B4" s="514" t="s">
        <v>861</v>
      </c>
      <c r="C4" s="515" t="s">
        <v>684</v>
      </c>
      <c r="D4" s="653">
        <f>sum(C4:C7)</f>
        <v>25077500</v>
      </c>
      <c r="E4" s="506"/>
      <c r="F4" s="507"/>
      <c r="G4" s="507"/>
      <c r="H4" s="507"/>
      <c r="I4" s="507"/>
      <c r="J4" s="507"/>
      <c r="K4" s="507"/>
      <c r="L4" s="507"/>
      <c r="M4" s="507"/>
      <c r="N4" s="507"/>
    </row>
    <row r="5" ht="35.25" customHeight="1">
      <c r="A5" s="18"/>
      <c r="B5" s="514" t="s">
        <v>738</v>
      </c>
      <c r="C5" s="515" t="s">
        <v>684</v>
      </c>
      <c r="D5" s="18"/>
      <c r="F5" s="507"/>
      <c r="G5" s="507"/>
      <c r="H5" s="507"/>
      <c r="I5" s="507"/>
      <c r="J5" s="507"/>
      <c r="K5" s="507"/>
      <c r="L5" s="507"/>
      <c r="M5" s="507"/>
      <c r="N5" s="507"/>
    </row>
    <row r="6" ht="35.25" customHeight="1">
      <c r="A6" s="18"/>
      <c r="B6" s="514" t="s">
        <v>915</v>
      </c>
      <c r="C6" s="515">
        <v>2.09815E7</v>
      </c>
      <c r="D6" s="18"/>
      <c r="E6" s="556" t="s">
        <v>834</v>
      </c>
      <c r="F6" s="507"/>
      <c r="G6" s="507"/>
      <c r="H6" s="507"/>
      <c r="I6" s="507"/>
      <c r="J6" s="507"/>
      <c r="K6" s="507"/>
      <c r="L6" s="507"/>
      <c r="M6" s="507"/>
      <c r="N6" s="507"/>
    </row>
    <row r="7" ht="35.25" customHeight="1">
      <c r="A7" s="22"/>
      <c r="B7" s="514" t="s">
        <v>916</v>
      </c>
      <c r="C7" s="515">
        <v>4096000.0</v>
      </c>
      <c r="D7" s="22"/>
      <c r="E7" s="669" t="s">
        <v>837</v>
      </c>
      <c r="F7" s="517"/>
      <c r="G7" s="517"/>
      <c r="H7" s="517"/>
      <c r="I7" s="517"/>
      <c r="J7" s="517"/>
      <c r="K7" s="517"/>
      <c r="L7" s="517"/>
      <c r="M7" s="517"/>
      <c r="N7" s="517"/>
    </row>
    <row r="8" ht="35.25" customHeight="1">
      <c r="A8" s="731" t="s">
        <v>953</v>
      </c>
      <c r="B8" s="514" t="s">
        <v>954</v>
      </c>
      <c r="C8" s="514">
        <f>sum(77930000-38840000)</f>
        <v>39090000</v>
      </c>
      <c r="D8" s="657">
        <f>sum(C8:C12)</f>
        <v>72404000</v>
      </c>
      <c r="E8" s="507"/>
      <c r="F8" s="507"/>
      <c r="G8" s="507"/>
      <c r="H8" s="507"/>
      <c r="I8" s="507"/>
      <c r="J8" s="507"/>
      <c r="K8" s="507"/>
      <c r="L8" s="507"/>
      <c r="M8" s="507"/>
      <c r="N8" s="507"/>
    </row>
    <row r="9" ht="35.25" customHeight="1">
      <c r="A9" s="18"/>
      <c r="B9" s="514" t="s">
        <v>861</v>
      </c>
      <c r="C9" s="514">
        <v>5413600.0</v>
      </c>
      <c r="D9" s="18"/>
      <c r="E9" s="523"/>
      <c r="F9" s="507"/>
      <c r="G9" s="507"/>
      <c r="H9" s="507"/>
      <c r="I9" s="507"/>
      <c r="J9" s="507"/>
      <c r="K9" s="507"/>
      <c r="L9" s="507"/>
      <c r="M9" s="507"/>
      <c r="N9" s="507"/>
    </row>
    <row r="10" ht="35.25" customHeight="1">
      <c r="A10" s="18"/>
      <c r="B10" s="514" t="s">
        <v>738</v>
      </c>
      <c r="C10" s="514">
        <v>1.06104E7</v>
      </c>
      <c r="D10" s="18"/>
      <c r="E10" s="523" t="s">
        <v>839</v>
      </c>
      <c r="F10" s="507"/>
      <c r="G10" s="507"/>
      <c r="H10" s="507"/>
      <c r="I10" s="507"/>
      <c r="J10" s="507"/>
      <c r="K10" s="507"/>
      <c r="L10" s="507"/>
      <c r="M10" s="507"/>
      <c r="N10" s="507"/>
    </row>
    <row r="11" ht="35.25" customHeight="1">
      <c r="A11" s="18"/>
      <c r="B11" s="688" t="s">
        <v>915</v>
      </c>
      <c r="C11" s="514">
        <v>8745000.0</v>
      </c>
      <c r="D11" s="18"/>
      <c r="E11" s="523"/>
      <c r="F11" s="507"/>
      <c r="G11" s="507"/>
      <c r="H11" s="507"/>
      <c r="I11" s="507"/>
      <c r="J11" s="507"/>
      <c r="K11" s="507"/>
      <c r="L11" s="507"/>
      <c r="M11" s="507"/>
      <c r="N11" s="507"/>
    </row>
    <row r="12" ht="35.25" customHeight="1">
      <c r="A12" s="22"/>
      <c r="B12" s="688" t="s">
        <v>916</v>
      </c>
      <c r="C12" s="514">
        <v>8545000.0</v>
      </c>
      <c r="D12" s="22"/>
      <c r="E12" s="523" t="s">
        <v>837</v>
      </c>
      <c r="F12" s="507"/>
      <c r="G12" s="507"/>
      <c r="H12" s="507"/>
      <c r="I12" s="507"/>
      <c r="J12" s="507"/>
      <c r="K12" s="507"/>
      <c r="L12" s="507"/>
      <c r="M12" s="507"/>
      <c r="N12" s="507"/>
    </row>
    <row r="13" ht="35.25" customHeight="1">
      <c r="A13" s="731" t="s">
        <v>840</v>
      </c>
      <c r="B13" s="514" t="s">
        <v>955</v>
      </c>
      <c r="C13" s="514">
        <v>1.52E7</v>
      </c>
      <c r="D13" s="657">
        <f>sum(C13:C17)</f>
        <v>79800000</v>
      </c>
      <c r="E13" s="507"/>
      <c r="F13" s="507"/>
      <c r="G13" s="507"/>
      <c r="H13" s="507"/>
      <c r="I13" s="507"/>
      <c r="J13" s="507"/>
      <c r="K13" s="507"/>
      <c r="L13" s="507"/>
      <c r="M13" s="507"/>
      <c r="N13" s="507"/>
    </row>
    <row r="14" ht="35.25" customHeight="1">
      <c r="A14" s="18"/>
      <c r="B14" s="514" t="s">
        <v>76</v>
      </c>
      <c r="C14" s="514">
        <v>1.9E7</v>
      </c>
      <c r="D14" s="18"/>
      <c r="E14" s="507"/>
      <c r="F14" s="507"/>
      <c r="G14" s="507"/>
      <c r="H14" s="507"/>
      <c r="I14" s="507"/>
      <c r="J14" s="507"/>
      <c r="K14" s="507"/>
      <c r="L14" s="507"/>
      <c r="M14" s="507"/>
      <c r="N14" s="507"/>
    </row>
    <row r="15" ht="35.25" customHeight="1">
      <c r="A15" s="18"/>
      <c r="B15" s="514" t="s">
        <v>770</v>
      </c>
      <c r="C15" s="514">
        <v>1.52E7</v>
      </c>
      <c r="D15" s="18"/>
      <c r="E15" s="556" t="s">
        <v>841</v>
      </c>
      <c r="F15" s="507"/>
      <c r="G15" s="507"/>
      <c r="H15" s="507"/>
      <c r="I15" s="507"/>
      <c r="J15" s="507"/>
      <c r="K15" s="507"/>
      <c r="L15" s="507"/>
      <c r="M15" s="507"/>
      <c r="N15" s="507"/>
    </row>
    <row r="16" ht="35.25" customHeight="1">
      <c r="A16" s="18"/>
      <c r="B16" s="514" t="s">
        <v>92</v>
      </c>
      <c r="C16" s="514">
        <v>1.52E7</v>
      </c>
      <c r="D16" s="18"/>
      <c r="E16" s="507"/>
      <c r="F16" s="507"/>
      <c r="G16" s="507"/>
      <c r="H16" s="507"/>
      <c r="I16" s="507"/>
      <c r="J16" s="507"/>
      <c r="K16" s="507"/>
      <c r="L16" s="507"/>
      <c r="M16" s="507"/>
      <c r="N16" s="507"/>
    </row>
    <row r="17" ht="35.25" customHeight="1">
      <c r="A17" s="22"/>
      <c r="B17" s="514" t="s">
        <v>81</v>
      </c>
      <c r="C17" s="514">
        <v>1.52E7</v>
      </c>
      <c r="D17" s="22"/>
      <c r="E17" s="507"/>
      <c r="F17" s="507"/>
      <c r="G17" s="507"/>
      <c r="H17" s="507"/>
      <c r="I17" s="507"/>
      <c r="J17" s="507"/>
      <c r="K17" s="507"/>
      <c r="L17" s="507"/>
      <c r="M17" s="507"/>
      <c r="N17" s="507"/>
    </row>
    <row r="18" ht="35.25" customHeight="1">
      <c r="A18" s="731" t="s">
        <v>956</v>
      </c>
      <c r="B18" s="514" t="s">
        <v>738</v>
      </c>
      <c r="C18" s="515" t="s">
        <v>684</v>
      </c>
      <c r="D18" s="653">
        <f>sum(C20)</f>
        <v>25290000</v>
      </c>
      <c r="E18" s="556" t="s">
        <v>842</v>
      </c>
      <c r="F18" s="507"/>
      <c r="G18" s="507"/>
      <c r="H18" s="507"/>
      <c r="I18" s="507"/>
      <c r="J18" s="507"/>
      <c r="K18" s="507"/>
      <c r="L18" s="507"/>
      <c r="M18" s="507"/>
      <c r="N18" s="507"/>
    </row>
    <row r="19" ht="35.25" customHeight="1">
      <c r="A19" s="18"/>
      <c r="B19" s="514" t="s">
        <v>89</v>
      </c>
      <c r="C19" s="515" t="s">
        <v>684</v>
      </c>
      <c r="D19" s="18"/>
      <c r="E19" s="507"/>
      <c r="F19" s="507"/>
      <c r="G19" s="507"/>
      <c r="H19" s="507"/>
      <c r="I19" s="507"/>
      <c r="J19" s="507"/>
      <c r="K19" s="507"/>
      <c r="L19" s="507"/>
      <c r="M19" s="507"/>
      <c r="N19" s="507"/>
    </row>
    <row r="20" ht="35.25" customHeight="1">
      <c r="A20" s="22"/>
      <c r="B20" s="514" t="s">
        <v>220</v>
      </c>
      <c r="C20" s="515">
        <v>2.529E7</v>
      </c>
      <c r="D20" s="22"/>
      <c r="E20" s="556" t="s">
        <v>837</v>
      </c>
      <c r="F20" s="507"/>
      <c r="G20" s="507"/>
      <c r="H20" s="507"/>
      <c r="I20" s="507"/>
      <c r="J20" s="507"/>
      <c r="K20" s="507"/>
      <c r="L20" s="507"/>
      <c r="M20" s="507"/>
      <c r="N20" s="507"/>
    </row>
    <row r="21" ht="35.25" customHeight="1">
      <c r="A21" s="731" t="s">
        <v>957</v>
      </c>
      <c r="B21" s="514" t="s">
        <v>861</v>
      </c>
      <c r="C21" s="529" t="s">
        <v>684</v>
      </c>
      <c r="D21" s="653">
        <f>sum(C21:C24)</f>
        <v>63333000</v>
      </c>
      <c r="E21" s="732" t="s">
        <v>958</v>
      </c>
      <c r="F21" s="507"/>
      <c r="G21" s="507"/>
      <c r="H21" s="507"/>
      <c r="I21" s="507"/>
      <c r="J21" s="507"/>
      <c r="K21" s="507"/>
      <c r="L21" s="507"/>
      <c r="M21" s="507"/>
      <c r="N21" s="507"/>
    </row>
    <row r="22" ht="35.25" customHeight="1">
      <c r="A22" s="18"/>
      <c r="B22" s="514" t="s">
        <v>738</v>
      </c>
      <c r="C22" s="529" t="s">
        <v>684</v>
      </c>
      <c r="D22" s="18"/>
      <c r="E22" s="556" t="s">
        <v>844</v>
      </c>
      <c r="F22" s="507"/>
      <c r="G22" s="507"/>
      <c r="H22" s="507"/>
      <c r="I22" s="507"/>
      <c r="J22" s="507"/>
      <c r="K22" s="507"/>
      <c r="L22" s="507"/>
      <c r="M22" s="507"/>
      <c r="N22" s="507"/>
    </row>
    <row r="23" ht="35.25" customHeight="1">
      <c r="A23" s="18"/>
      <c r="B23" s="514" t="s">
        <v>89</v>
      </c>
      <c r="C23" s="529" t="s">
        <v>684</v>
      </c>
      <c r="D23" s="18"/>
      <c r="E23" s="506"/>
      <c r="F23" s="507"/>
      <c r="G23" s="507"/>
      <c r="H23" s="507"/>
      <c r="I23" s="507"/>
      <c r="J23" s="507"/>
      <c r="K23" s="507"/>
      <c r="L23" s="507"/>
      <c r="M23" s="507"/>
      <c r="N23" s="507"/>
    </row>
    <row r="24" ht="35.25" customHeight="1">
      <c r="A24" s="22"/>
      <c r="B24" s="514" t="s">
        <v>220</v>
      </c>
      <c r="C24" s="529">
        <v>6.3333E7</v>
      </c>
      <c r="D24" s="22"/>
      <c r="E24" s="506" t="s">
        <v>837</v>
      </c>
      <c r="F24" s="507"/>
      <c r="G24" s="507"/>
      <c r="H24" s="507"/>
      <c r="I24" s="507"/>
      <c r="J24" s="507"/>
      <c r="K24" s="507"/>
      <c r="L24" s="507"/>
      <c r="M24" s="507"/>
      <c r="N24" s="507"/>
    </row>
    <row r="25" ht="35.25" customHeight="1">
      <c r="A25" s="731" t="s">
        <v>959</v>
      </c>
      <c r="B25" s="514" t="s">
        <v>861</v>
      </c>
      <c r="C25" s="529" t="s">
        <v>684</v>
      </c>
      <c r="D25" s="653">
        <f>sum(C25:C28)</f>
        <v>18310000</v>
      </c>
      <c r="E25" s="507"/>
      <c r="F25" s="507"/>
      <c r="G25" s="507"/>
      <c r="H25" s="507"/>
      <c r="I25" s="507"/>
      <c r="J25" s="507"/>
      <c r="K25" s="507"/>
      <c r="L25" s="507"/>
      <c r="M25" s="507"/>
      <c r="N25" s="507"/>
    </row>
    <row r="26" ht="35.25" customHeight="1">
      <c r="A26" s="18"/>
      <c r="B26" s="514" t="s">
        <v>738</v>
      </c>
      <c r="C26" s="529">
        <v>4401000.0</v>
      </c>
      <c r="D26" s="18"/>
      <c r="E26" s="507"/>
      <c r="F26" s="507"/>
      <c r="G26" s="507"/>
      <c r="H26" s="507"/>
      <c r="I26" s="507"/>
      <c r="J26" s="507"/>
      <c r="K26" s="507"/>
      <c r="L26" s="507"/>
      <c r="M26" s="507"/>
      <c r="N26" s="507"/>
    </row>
    <row r="27" ht="35.25" customHeight="1">
      <c r="A27" s="18"/>
      <c r="B27" s="514" t="s">
        <v>89</v>
      </c>
      <c r="C27" s="529">
        <v>1.0118E7</v>
      </c>
      <c r="D27" s="18"/>
      <c r="E27" s="556"/>
      <c r="F27" s="507"/>
      <c r="G27" s="507"/>
      <c r="H27" s="507"/>
      <c r="I27" s="507"/>
      <c r="J27" s="507"/>
      <c r="K27" s="507"/>
      <c r="L27" s="507"/>
      <c r="M27" s="507"/>
      <c r="N27" s="507"/>
    </row>
    <row r="28" ht="35.25" customHeight="1">
      <c r="A28" s="18"/>
      <c r="B28" s="514" t="s">
        <v>220</v>
      </c>
      <c r="C28" s="529">
        <v>3791000.0</v>
      </c>
      <c r="D28" s="18"/>
      <c r="E28" s="556"/>
      <c r="F28" s="507"/>
      <c r="G28" s="507"/>
      <c r="H28" s="507"/>
      <c r="I28" s="507"/>
      <c r="J28" s="507"/>
      <c r="K28" s="507"/>
      <c r="L28" s="507"/>
      <c r="M28" s="507"/>
      <c r="N28" s="507"/>
    </row>
    <row r="29" ht="35.25" customHeight="1">
      <c r="A29" s="22"/>
      <c r="B29" s="157"/>
      <c r="C29" s="529"/>
      <c r="D29" s="22"/>
      <c r="E29" s="556" t="s">
        <v>845</v>
      </c>
      <c r="F29" s="507"/>
      <c r="G29" s="507"/>
      <c r="H29" s="507"/>
      <c r="I29" s="507"/>
      <c r="J29" s="507"/>
      <c r="K29" s="507"/>
      <c r="L29" s="507"/>
      <c r="M29" s="507"/>
      <c r="N29" s="507"/>
    </row>
    <row r="30" ht="35.25" customHeight="1">
      <c r="A30" s="731" t="s">
        <v>960</v>
      </c>
      <c r="B30" s="514" t="s">
        <v>92</v>
      </c>
      <c r="C30" s="514" t="s">
        <v>684</v>
      </c>
      <c r="D30" s="653">
        <f>sum(C30:C34)</f>
        <v>56020000</v>
      </c>
      <c r="E30" s="507"/>
      <c r="F30" s="507"/>
      <c r="G30" s="507"/>
      <c r="H30" s="507"/>
      <c r="I30" s="507"/>
      <c r="J30" s="507"/>
      <c r="K30" s="507"/>
      <c r="L30" s="507"/>
      <c r="M30" s="507"/>
      <c r="N30" s="507"/>
    </row>
    <row r="31" ht="35.25" customHeight="1">
      <c r="A31" s="18"/>
      <c r="B31" s="514" t="s">
        <v>861</v>
      </c>
      <c r="C31" s="514" t="s">
        <v>684</v>
      </c>
      <c r="D31" s="18"/>
      <c r="E31" s="556" t="s">
        <v>846</v>
      </c>
      <c r="F31" s="507"/>
      <c r="G31" s="507"/>
      <c r="H31" s="507"/>
      <c r="I31" s="507"/>
      <c r="J31" s="507"/>
      <c r="K31" s="507"/>
      <c r="L31" s="507"/>
      <c r="M31" s="507"/>
      <c r="N31" s="507"/>
    </row>
    <row r="32" ht="35.25" customHeight="1">
      <c r="A32" s="18"/>
      <c r="B32" s="514" t="s">
        <v>738</v>
      </c>
      <c r="C32" s="514" t="s">
        <v>684</v>
      </c>
      <c r="D32" s="18"/>
      <c r="E32" s="556"/>
      <c r="F32" s="507"/>
      <c r="G32" s="507"/>
      <c r="H32" s="507"/>
      <c r="I32" s="507"/>
      <c r="J32" s="507"/>
      <c r="K32" s="507"/>
      <c r="L32" s="507"/>
      <c r="M32" s="507"/>
      <c r="N32" s="507"/>
    </row>
    <row r="33" ht="35.25" customHeight="1">
      <c r="A33" s="18"/>
      <c r="B33" s="514" t="s">
        <v>89</v>
      </c>
      <c r="C33" s="514">
        <v>3.21635E7</v>
      </c>
      <c r="D33" s="18"/>
      <c r="E33" s="556"/>
      <c r="F33" s="507"/>
      <c r="G33" s="507"/>
      <c r="H33" s="507"/>
      <c r="I33" s="507"/>
      <c r="J33" s="507"/>
      <c r="K33" s="507"/>
      <c r="L33" s="507"/>
      <c r="M33" s="507"/>
      <c r="N33" s="507"/>
    </row>
    <row r="34" ht="35.25" customHeight="1">
      <c r="A34" s="22"/>
      <c r="B34" s="514" t="s">
        <v>220</v>
      </c>
      <c r="C34" s="514">
        <v>2.38565E7</v>
      </c>
      <c r="D34" s="22"/>
      <c r="E34" s="556"/>
      <c r="F34" s="507"/>
      <c r="G34" s="507"/>
      <c r="H34" s="507"/>
      <c r="I34" s="507"/>
      <c r="J34" s="507"/>
      <c r="K34" s="507"/>
      <c r="L34" s="507"/>
      <c r="M34" s="507"/>
      <c r="N34" s="507"/>
    </row>
    <row r="35" ht="35.25" hidden="1" customHeight="1">
      <c r="A35" s="733" t="s">
        <v>961</v>
      </c>
      <c r="B35" s="514" t="s">
        <v>656</v>
      </c>
      <c r="C35" s="515" t="s">
        <v>657</v>
      </c>
      <c r="D35" s="734">
        <v>7.96643E7</v>
      </c>
      <c r="E35" s="507"/>
      <c r="F35" s="507"/>
      <c r="G35" s="507"/>
      <c r="H35" s="507"/>
      <c r="I35" s="507"/>
      <c r="J35" s="507"/>
      <c r="K35" s="507"/>
      <c r="L35" s="507"/>
      <c r="M35" s="507"/>
      <c r="N35" s="507"/>
    </row>
    <row r="36" ht="35.25" customHeight="1">
      <c r="A36" s="18"/>
      <c r="B36" s="514" t="s">
        <v>861</v>
      </c>
      <c r="C36" s="514" t="s">
        <v>684</v>
      </c>
      <c r="D36" s="653">
        <f>SUM(C36:C39)</f>
        <v>109889000</v>
      </c>
      <c r="E36" s="525"/>
      <c r="F36" s="507"/>
      <c r="G36" s="507"/>
      <c r="H36" s="507"/>
      <c r="I36" s="507"/>
      <c r="J36" s="507"/>
      <c r="K36" s="507"/>
      <c r="L36" s="507"/>
      <c r="M36" s="507"/>
      <c r="N36" s="507"/>
    </row>
    <row r="37" ht="35.25" customHeight="1">
      <c r="A37" s="18"/>
      <c r="B37" s="514" t="s">
        <v>738</v>
      </c>
      <c r="C37" s="514" t="s">
        <v>684</v>
      </c>
      <c r="D37" s="18"/>
      <c r="E37" s="556" t="s">
        <v>849</v>
      </c>
      <c r="F37" s="507"/>
      <c r="G37" s="507"/>
      <c r="H37" s="507"/>
      <c r="I37" s="507"/>
      <c r="J37" s="507"/>
      <c r="K37" s="507"/>
      <c r="L37" s="507"/>
      <c r="M37" s="507"/>
      <c r="N37" s="507"/>
    </row>
    <row r="38" ht="35.25" customHeight="1">
      <c r="A38" s="18"/>
      <c r="B38" s="514" t="s">
        <v>89</v>
      </c>
      <c r="C38" s="514" t="s">
        <v>684</v>
      </c>
      <c r="D38" s="18"/>
      <c r="E38" s="556"/>
      <c r="F38" s="507"/>
      <c r="G38" s="507"/>
      <c r="H38" s="507"/>
      <c r="I38" s="507"/>
      <c r="J38" s="507"/>
      <c r="K38" s="507"/>
      <c r="L38" s="507"/>
      <c r="M38" s="507"/>
      <c r="N38" s="507"/>
    </row>
    <row r="39" ht="35.25" customHeight="1">
      <c r="A39" s="22"/>
      <c r="B39" s="514" t="s">
        <v>220</v>
      </c>
      <c r="C39" s="514">
        <v>1.09889E8</v>
      </c>
      <c r="D39" s="22"/>
      <c r="E39" s="556" t="s">
        <v>850</v>
      </c>
      <c r="F39" s="507"/>
      <c r="G39" s="507"/>
      <c r="H39" s="507"/>
      <c r="I39" s="507"/>
      <c r="J39" s="507"/>
      <c r="K39" s="507"/>
      <c r="L39" s="507"/>
      <c r="M39" s="507"/>
      <c r="N39" s="507"/>
    </row>
    <row r="40" ht="35.25" customHeight="1">
      <c r="A40" s="733" t="s">
        <v>962</v>
      </c>
      <c r="B40" s="514" t="s">
        <v>92</v>
      </c>
      <c r="C40" s="514">
        <f>SUM(113622600-40000000)</f>
        <v>73622600</v>
      </c>
      <c r="D40" s="653">
        <f>SUM(C40:C44)</f>
        <v>215039000</v>
      </c>
      <c r="E40" s="507"/>
      <c r="F40" s="507"/>
      <c r="G40" s="507"/>
      <c r="H40" s="507"/>
      <c r="I40" s="507"/>
      <c r="J40" s="507"/>
      <c r="K40" s="507"/>
      <c r="L40" s="507"/>
      <c r="M40" s="507"/>
      <c r="N40" s="507"/>
    </row>
    <row r="41" ht="35.25" customHeight="1">
      <c r="A41" s="18"/>
      <c r="B41" s="514" t="s">
        <v>913</v>
      </c>
      <c r="C41" s="514">
        <v>3.19788E7</v>
      </c>
      <c r="D41" s="18"/>
      <c r="E41" s="507"/>
      <c r="F41" s="507"/>
      <c r="G41" s="507"/>
      <c r="H41" s="507"/>
      <c r="I41" s="507"/>
      <c r="J41" s="507"/>
      <c r="K41" s="507"/>
      <c r="L41" s="507"/>
      <c r="M41" s="507"/>
      <c r="N41" s="507"/>
    </row>
    <row r="42" ht="35.25" customHeight="1">
      <c r="A42" s="18"/>
      <c r="B42" s="514" t="s">
        <v>914</v>
      </c>
      <c r="C42" s="514">
        <v>4.02121E7</v>
      </c>
      <c r="D42" s="18"/>
      <c r="E42" s="507"/>
      <c r="F42" s="507"/>
      <c r="G42" s="507"/>
      <c r="H42" s="507"/>
      <c r="I42" s="507"/>
      <c r="J42" s="507"/>
      <c r="K42" s="507"/>
      <c r="L42" s="507"/>
      <c r="M42" s="507"/>
      <c r="N42" s="507"/>
    </row>
    <row r="43" ht="35.25" customHeight="1">
      <c r="A43" s="18"/>
      <c r="B43" s="514" t="s">
        <v>915</v>
      </c>
      <c r="C43" s="514">
        <v>4.0206E7</v>
      </c>
      <c r="D43" s="18"/>
      <c r="E43" s="556" t="s">
        <v>851</v>
      </c>
      <c r="F43" s="507"/>
      <c r="G43" s="507"/>
      <c r="H43" s="507"/>
      <c r="I43" s="507"/>
      <c r="J43" s="507"/>
      <c r="K43" s="507"/>
      <c r="L43" s="507"/>
      <c r="M43" s="507"/>
      <c r="N43" s="507"/>
    </row>
    <row r="44" ht="35.25" customHeight="1">
      <c r="A44" s="22"/>
      <c r="B44" s="514" t="s">
        <v>916</v>
      </c>
      <c r="C44" s="514">
        <v>2.90195E7</v>
      </c>
      <c r="D44" s="18"/>
      <c r="E44" s="556" t="s">
        <v>848</v>
      </c>
      <c r="F44" s="507"/>
      <c r="G44" s="507"/>
      <c r="H44" s="507"/>
      <c r="I44" s="507"/>
      <c r="J44" s="507"/>
      <c r="K44" s="507"/>
      <c r="L44" s="507"/>
      <c r="M44" s="507"/>
      <c r="N44" s="507"/>
    </row>
    <row r="45" ht="35.25" customHeight="1">
      <c r="A45" s="731" t="s">
        <v>963</v>
      </c>
      <c r="B45" s="514" t="s">
        <v>913</v>
      </c>
      <c r="C45" s="529" t="s">
        <v>684</v>
      </c>
      <c r="D45" s="653">
        <f>sum(C45:C48)</f>
        <v>31886000</v>
      </c>
      <c r="E45" s="507"/>
      <c r="F45" s="507"/>
      <c r="G45" s="507"/>
      <c r="H45" s="507"/>
      <c r="I45" s="507"/>
      <c r="J45" s="507"/>
      <c r="K45" s="507"/>
      <c r="L45" s="507"/>
      <c r="M45" s="507"/>
      <c r="N45" s="507"/>
    </row>
    <row r="46" ht="35.25" customHeight="1">
      <c r="A46" s="18"/>
      <c r="B46" s="514" t="s">
        <v>914</v>
      </c>
      <c r="C46" s="529" t="s">
        <v>684</v>
      </c>
      <c r="D46" s="18"/>
      <c r="E46" s="507"/>
      <c r="F46" s="507"/>
      <c r="G46" s="507"/>
      <c r="H46" s="507"/>
      <c r="I46" s="507"/>
      <c r="J46" s="507"/>
      <c r="K46" s="507"/>
      <c r="L46" s="507"/>
      <c r="M46" s="507"/>
      <c r="N46" s="507"/>
    </row>
    <row r="47" ht="35.25" customHeight="1">
      <c r="A47" s="18"/>
      <c r="B47" s="514" t="s">
        <v>915</v>
      </c>
      <c r="C47" s="529" t="s">
        <v>684</v>
      </c>
      <c r="D47" s="18"/>
      <c r="E47" s="556" t="s">
        <v>852</v>
      </c>
      <c r="F47" s="507"/>
      <c r="G47" s="507"/>
      <c r="H47" s="507"/>
      <c r="I47" s="507"/>
      <c r="J47" s="507"/>
      <c r="K47" s="507"/>
      <c r="L47" s="507"/>
      <c r="M47" s="507"/>
      <c r="N47" s="507"/>
    </row>
    <row r="48" ht="35.25" customHeight="1">
      <c r="A48" s="22"/>
      <c r="B48" s="514" t="s">
        <v>916</v>
      </c>
      <c r="C48" s="514">
        <v>3.1886E7</v>
      </c>
      <c r="D48" s="22"/>
      <c r="E48" s="556" t="s">
        <v>848</v>
      </c>
      <c r="F48" s="507"/>
      <c r="G48" s="507"/>
      <c r="H48" s="507"/>
      <c r="I48" s="507"/>
      <c r="J48" s="507"/>
      <c r="K48" s="507"/>
      <c r="L48" s="507"/>
      <c r="M48" s="507"/>
      <c r="N48" s="507"/>
    </row>
    <row r="49" ht="35.25" customHeight="1">
      <c r="A49" s="731" t="s">
        <v>964</v>
      </c>
      <c r="B49" s="514" t="s">
        <v>74</v>
      </c>
      <c r="C49" s="544">
        <v>2866000.0</v>
      </c>
      <c r="D49" s="657">
        <f>sum(C49:C52)</f>
        <v>154529000</v>
      </c>
      <c r="E49" s="556" t="s">
        <v>853</v>
      </c>
      <c r="F49" s="507"/>
      <c r="G49" s="507"/>
      <c r="H49" s="507"/>
      <c r="I49" s="507"/>
      <c r="J49" s="507"/>
      <c r="K49" s="507"/>
      <c r="L49" s="507"/>
      <c r="M49" s="507"/>
      <c r="N49" s="507"/>
    </row>
    <row r="50" ht="35.25" customHeight="1">
      <c r="A50" s="18"/>
      <c r="B50" s="514" t="s">
        <v>76</v>
      </c>
      <c r="C50" s="544">
        <v>6.3547E7</v>
      </c>
      <c r="D50" s="18"/>
      <c r="E50" s="556"/>
      <c r="F50" s="507"/>
      <c r="G50" s="507"/>
      <c r="H50" s="507"/>
      <c r="I50" s="507"/>
      <c r="J50" s="507"/>
      <c r="K50" s="507"/>
      <c r="L50" s="507"/>
      <c r="M50" s="507"/>
      <c r="N50" s="507"/>
    </row>
    <row r="51" ht="35.25" customHeight="1">
      <c r="A51" s="18"/>
      <c r="B51" s="514" t="s">
        <v>770</v>
      </c>
      <c r="C51" s="544">
        <v>3.7809E7</v>
      </c>
      <c r="D51" s="18"/>
      <c r="E51" s="525"/>
      <c r="F51" s="507"/>
      <c r="G51" s="507"/>
      <c r="H51" s="507"/>
      <c r="I51" s="507"/>
      <c r="J51" s="507"/>
      <c r="K51" s="507"/>
      <c r="L51" s="507"/>
      <c r="M51" s="507"/>
      <c r="N51" s="507"/>
    </row>
    <row r="52" ht="35.25" customHeight="1">
      <c r="A52" s="18"/>
      <c r="B52" s="514" t="s">
        <v>92</v>
      </c>
      <c r="C52" s="544">
        <v>5.0307E7</v>
      </c>
      <c r="D52" s="18"/>
      <c r="E52" s="556" t="s">
        <v>50</v>
      </c>
      <c r="F52" s="507"/>
      <c r="G52" s="507"/>
      <c r="H52" s="507"/>
      <c r="I52" s="507"/>
      <c r="J52" s="507"/>
      <c r="K52" s="507"/>
      <c r="L52" s="507"/>
      <c r="M52" s="507"/>
      <c r="N52" s="507"/>
    </row>
    <row r="53" ht="35.25" customHeight="1">
      <c r="A53" s="18"/>
      <c r="B53" s="514" t="s">
        <v>965</v>
      </c>
      <c r="C53" s="735" t="s">
        <v>966</v>
      </c>
      <c r="D53" s="18"/>
      <c r="E53" s="556"/>
      <c r="F53" s="507"/>
      <c r="G53" s="507"/>
      <c r="H53" s="507"/>
      <c r="I53" s="507"/>
      <c r="J53" s="507"/>
      <c r="K53" s="507"/>
      <c r="L53" s="507"/>
      <c r="M53" s="507"/>
      <c r="N53" s="507"/>
    </row>
    <row r="54" ht="35.25" customHeight="1">
      <c r="A54" s="22"/>
      <c r="B54" s="514"/>
      <c r="C54" s="544"/>
      <c r="D54" s="22"/>
      <c r="E54" s="556"/>
      <c r="F54" s="507"/>
      <c r="G54" s="507"/>
      <c r="H54" s="507"/>
      <c r="I54" s="507"/>
      <c r="J54" s="507"/>
      <c r="K54" s="507"/>
      <c r="L54" s="507"/>
      <c r="M54" s="507"/>
      <c r="N54" s="507"/>
    </row>
    <row r="55" ht="35.25" customHeight="1">
      <c r="A55" s="731" t="s">
        <v>967</v>
      </c>
      <c r="B55" s="514" t="s">
        <v>92</v>
      </c>
      <c r="C55" s="529">
        <f>SUM(178541000-28541000-57695000)</f>
        <v>92305000</v>
      </c>
      <c r="D55" s="657">
        <f>sum(C55:C59)</f>
        <v>207800000</v>
      </c>
      <c r="E55" s="556" t="s">
        <v>854</v>
      </c>
      <c r="F55" s="507"/>
      <c r="G55" s="507"/>
      <c r="H55" s="507"/>
      <c r="I55" s="507"/>
      <c r="J55" s="507"/>
      <c r="K55" s="507"/>
      <c r="L55" s="507"/>
      <c r="M55" s="507"/>
      <c r="N55" s="507"/>
    </row>
    <row r="56" ht="35.25" customHeight="1">
      <c r="A56" s="18"/>
      <c r="B56" s="514" t="s">
        <v>913</v>
      </c>
      <c r="C56" s="544">
        <v>3.67455E7</v>
      </c>
      <c r="D56" s="18"/>
      <c r="F56" s="507"/>
      <c r="G56" s="507"/>
      <c r="H56" s="507"/>
      <c r="I56" s="507"/>
      <c r="J56" s="507"/>
      <c r="K56" s="507"/>
      <c r="L56" s="507"/>
      <c r="M56" s="507"/>
      <c r="N56" s="507"/>
    </row>
    <row r="57" ht="35.25" customHeight="1">
      <c r="A57" s="18"/>
      <c r="B57" s="514" t="s">
        <v>914</v>
      </c>
      <c r="C57" s="544">
        <v>2.09495E7</v>
      </c>
      <c r="D57" s="18"/>
      <c r="E57" s="556"/>
      <c r="F57" s="507"/>
      <c r="G57" s="507"/>
      <c r="H57" s="507"/>
      <c r="I57" s="507"/>
      <c r="J57" s="507"/>
      <c r="K57" s="507"/>
      <c r="L57" s="507"/>
      <c r="M57" s="507"/>
      <c r="N57" s="507"/>
    </row>
    <row r="58" ht="35.25" customHeight="1">
      <c r="A58" s="18"/>
      <c r="B58" s="514" t="s">
        <v>915</v>
      </c>
      <c r="C58" s="544">
        <v>3.8983E7</v>
      </c>
      <c r="D58" s="18"/>
      <c r="E58" s="556"/>
      <c r="F58" s="507"/>
      <c r="G58" s="507"/>
      <c r="H58" s="507"/>
      <c r="I58" s="507"/>
      <c r="J58" s="507"/>
      <c r="K58" s="507"/>
      <c r="L58" s="507"/>
      <c r="M58" s="507"/>
      <c r="N58" s="507"/>
    </row>
    <row r="59" ht="35.25" customHeight="1">
      <c r="A59" s="22"/>
      <c r="B59" s="514" t="s">
        <v>916</v>
      </c>
      <c r="C59" s="544">
        <v>1.8817E7</v>
      </c>
      <c r="D59" s="22"/>
      <c r="E59" s="556"/>
      <c r="F59" s="507"/>
      <c r="G59" s="507"/>
      <c r="H59" s="507"/>
      <c r="I59" s="507"/>
      <c r="J59" s="507"/>
      <c r="K59" s="507"/>
      <c r="L59" s="507"/>
      <c r="M59" s="507"/>
      <c r="N59" s="507"/>
    </row>
    <row r="60" ht="35.25" customHeight="1">
      <c r="A60" s="731" t="s">
        <v>968</v>
      </c>
      <c r="B60" s="514" t="s">
        <v>913</v>
      </c>
      <c r="C60" s="529" t="s">
        <v>684</v>
      </c>
      <c r="D60" s="653">
        <f>SUM(C60:C63)</f>
        <v>81616500</v>
      </c>
      <c r="E60" s="507"/>
      <c r="F60" s="507"/>
      <c r="G60" s="507"/>
      <c r="H60" s="507"/>
      <c r="I60" s="507"/>
      <c r="J60" s="507"/>
      <c r="K60" s="507"/>
      <c r="L60" s="507"/>
      <c r="M60" s="507"/>
      <c r="N60" s="507"/>
    </row>
    <row r="61" ht="35.25" customHeight="1">
      <c r="A61" s="18"/>
      <c r="B61" s="514" t="s">
        <v>914</v>
      </c>
      <c r="C61" s="529" t="s">
        <v>684</v>
      </c>
      <c r="D61" s="18"/>
      <c r="E61" s="556" t="s">
        <v>855</v>
      </c>
      <c r="F61" s="507"/>
      <c r="G61" s="507"/>
      <c r="H61" s="507"/>
      <c r="I61" s="507"/>
      <c r="J61" s="507"/>
      <c r="K61" s="507"/>
      <c r="L61" s="507"/>
      <c r="M61" s="507"/>
      <c r="N61" s="507"/>
    </row>
    <row r="62" ht="35.25" customHeight="1">
      <c r="A62" s="18"/>
      <c r="B62" s="514" t="s">
        <v>915</v>
      </c>
      <c r="C62" s="529" t="s">
        <v>684</v>
      </c>
      <c r="D62" s="18"/>
      <c r="E62" s="507"/>
      <c r="F62" s="507"/>
      <c r="G62" s="507"/>
      <c r="H62" s="507"/>
      <c r="I62" s="507"/>
      <c r="J62" s="507"/>
      <c r="K62" s="507"/>
      <c r="L62" s="507"/>
      <c r="M62" s="507"/>
      <c r="N62" s="507"/>
    </row>
    <row r="63" ht="35.25" customHeight="1">
      <c r="A63" s="22"/>
      <c r="B63" s="514" t="s">
        <v>916</v>
      </c>
      <c r="C63" s="529">
        <v>8.16165E7</v>
      </c>
      <c r="D63" s="22"/>
      <c r="E63" s="556" t="s">
        <v>848</v>
      </c>
      <c r="F63" s="507"/>
      <c r="G63" s="507"/>
      <c r="H63" s="507"/>
      <c r="I63" s="507"/>
      <c r="J63" s="507"/>
      <c r="K63" s="507"/>
      <c r="L63" s="507"/>
      <c r="M63" s="507"/>
      <c r="N63" s="507"/>
    </row>
    <row r="64" ht="35.25" customHeight="1">
      <c r="A64" s="731" t="s">
        <v>969</v>
      </c>
      <c r="B64" s="514" t="s">
        <v>913</v>
      </c>
      <c r="C64" s="529" t="s">
        <v>684</v>
      </c>
      <c r="D64" s="657">
        <f>SUM(C64:C67)</f>
        <v>12042500</v>
      </c>
      <c r="E64" s="507"/>
      <c r="F64" s="507"/>
      <c r="G64" s="507"/>
      <c r="H64" s="507"/>
      <c r="I64" s="507"/>
      <c r="J64" s="507"/>
      <c r="K64" s="507"/>
      <c r="L64" s="507"/>
      <c r="M64" s="507"/>
      <c r="N64" s="507"/>
    </row>
    <row r="65" ht="35.25" customHeight="1">
      <c r="A65" s="18"/>
      <c r="B65" s="514" t="s">
        <v>914</v>
      </c>
      <c r="C65" s="529" t="s">
        <v>684</v>
      </c>
      <c r="D65" s="18"/>
      <c r="E65" s="556"/>
      <c r="F65" s="507"/>
      <c r="G65" s="507"/>
      <c r="H65" s="507"/>
      <c r="I65" s="507"/>
      <c r="J65" s="507"/>
      <c r="K65" s="507"/>
      <c r="L65" s="507"/>
      <c r="M65" s="507"/>
      <c r="N65" s="507"/>
    </row>
    <row r="66" ht="35.25" customHeight="1">
      <c r="A66" s="18"/>
      <c r="B66" s="514" t="s">
        <v>915</v>
      </c>
      <c r="C66" s="529" t="s">
        <v>684</v>
      </c>
      <c r="D66" s="18"/>
      <c r="E66" s="556"/>
      <c r="F66" s="507"/>
      <c r="G66" s="507"/>
      <c r="H66" s="507"/>
      <c r="I66" s="507"/>
      <c r="J66" s="507"/>
      <c r="K66" s="507"/>
      <c r="L66" s="507"/>
      <c r="M66" s="507"/>
      <c r="N66" s="507"/>
    </row>
    <row r="67" ht="35.25" customHeight="1">
      <c r="A67" s="22"/>
      <c r="B67" s="514" t="s">
        <v>916</v>
      </c>
      <c r="C67" s="529">
        <v>1.20425E7</v>
      </c>
      <c r="D67" s="22"/>
      <c r="E67" s="556"/>
      <c r="F67" s="507"/>
      <c r="G67" s="507"/>
      <c r="H67" s="507"/>
      <c r="I67" s="507"/>
      <c r="J67" s="507"/>
      <c r="K67" s="507"/>
      <c r="L67" s="507"/>
      <c r="M67" s="507"/>
      <c r="N67" s="507"/>
    </row>
    <row r="68" ht="35.25" customHeight="1">
      <c r="A68" s="731" t="s">
        <v>970</v>
      </c>
      <c r="B68" s="514" t="s">
        <v>913</v>
      </c>
      <c r="C68" s="529" t="s">
        <v>684</v>
      </c>
      <c r="D68" s="653">
        <f>SUM(C68:C71)</f>
        <v>60542700</v>
      </c>
      <c r="E68" s="556" t="s">
        <v>857</v>
      </c>
      <c r="F68" s="507"/>
      <c r="G68" s="507"/>
      <c r="H68" s="507"/>
      <c r="I68" s="507"/>
      <c r="J68" s="507"/>
      <c r="K68" s="507"/>
      <c r="L68" s="507"/>
      <c r="M68" s="507"/>
      <c r="N68" s="507"/>
    </row>
    <row r="69" ht="35.25" customHeight="1">
      <c r="A69" s="18"/>
      <c r="B69" s="514" t="s">
        <v>914</v>
      </c>
      <c r="C69" s="529" t="s">
        <v>684</v>
      </c>
      <c r="D69" s="18"/>
      <c r="E69" s="507"/>
      <c r="F69" s="507"/>
      <c r="G69" s="507"/>
      <c r="H69" s="507"/>
      <c r="I69" s="507"/>
      <c r="J69" s="507"/>
      <c r="K69" s="507"/>
      <c r="L69" s="507"/>
      <c r="M69" s="507"/>
      <c r="N69" s="507"/>
    </row>
    <row r="70" ht="35.25" customHeight="1">
      <c r="A70" s="18"/>
      <c r="B70" s="514" t="s">
        <v>915</v>
      </c>
      <c r="C70" s="529">
        <v>3.07582E7</v>
      </c>
      <c r="D70" s="18"/>
      <c r="E70" s="507"/>
      <c r="F70" s="507"/>
      <c r="G70" s="507"/>
      <c r="H70" s="507"/>
      <c r="I70" s="507"/>
      <c r="J70" s="507"/>
      <c r="K70" s="507"/>
      <c r="L70" s="507"/>
      <c r="M70" s="507"/>
      <c r="N70" s="507"/>
    </row>
    <row r="71" ht="35.25" customHeight="1">
      <c r="A71" s="22"/>
      <c r="B71" s="514" t="s">
        <v>916</v>
      </c>
      <c r="C71" s="529">
        <v>2.97845E7</v>
      </c>
      <c r="D71" s="22"/>
      <c r="F71" s="507"/>
      <c r="G71" s="507"/>
      <c r="H71" s="507"/>
      <c r="I71" s="507"/>
      <c r="J71" s="507"/>
      <c r="K71" s="507"/>
      <c r="L71" s="507"/>
      <c r="M71" s="507"/>
      <c r="N71" s="507"/>
    </row>
    <row r="72" ht="35.25" customHeight="1">
      <c r="A72" s="731" t="s">
        <v>971</v>
      </c>
      <c r="B72" s="514" t="s">
        <v>92</v>
      </c>
      <c r="C72" s="552">
        <f>SUM(220102500-46547000-42576000-42271000)</f>
        <v>88708500</v>
      </c>
      <c r="D72" s="657">
        <f>SUM(C72:C76)</f>
        <v>244302000</v>
      </c>
      <c r="E72" s="556" t="s">
        <v>858</v>
      </c>
      <c r="F72" s="507"/>
      <c r="G72" s="507"/>
      <c r="H72" s="507"/>
      <c r="I72" s="507"/>
      <c r="J72" s="507"/>
      <c r="K72" s="507"/>
      <c r="L72" s="507"/>
      <c r="M72" s="507"/>
      <c r="N72" s="507"/>
    </row>
    <row r="73" ht="35.25" customHeight="1">
      <c r="A73" s="18"/>
      <c r="B73" s="514" t="s">
        <v>913</v>
      </c>
      <c r="C73" s="552">
        <v>2.9287E7</v>
      </c>
      <c r="D73" s="18"/>
      <c r="E73" s="507"/>
      <c r="F73" s="507"/>
      <c r="G73" s="507"/>
      <c r="H73" s="507"/>
      <c r="I73" s="507"/>
      <c r="J73" s="507"/>
      <c r="K73" s="507"/>
      <c r="L73" s="507"/>
      <c r="M73" s="507"/>
      <c r="N73" s="507"/>
    </row>
    <row r="74" ht="35.25" customHeight="1">
      <c r="A74" s="18"/>
      <c r="B74" s="514" t="s">
        <v>914</v>
      </c>
      <c r="C74" s="552">
        <v>4.3964E7</v>
      </c>
      <c r="D74" s="18"/>
      <c r="E74" s="507"/>
      <c r="F74" s="507"/>
      <c r="G74" s="507"/>
      <c r="H74" s="507"/>
      <c r="I74" s="507"/>
      <c r="J74" s="507"/>
      <c r="K74" s="507"/>
      <c r="L74" s="507"/>
      <c r="M74" s="507"/>
      <c r="N74" s="507"/>
    </row>
    <row r="75" ht="35.25" customHeight="1">
      <c r="A75" s="18"/>
      <c r="B75" s="514" t="s">
        <v>915</v>
      </c>
      <c r="C75" s="552">
        <v>4.3023E7</v>
      </c>
      <c r="D75" s="18"/>
      <c r="E75" s="507"/>
      <c r="F75" s="507"/>
      <c r="G75" s="507"/>
      <c r="H75" s="507"/>
      <c r="I75" s="507"/>
      <c r="J75" s="507"/>
      <c r="K75" s="507"/>
      <c r="L75" s="507"/>
      <c r="M75" s="507"/>
      <c r="N75" s="507"/>
    </row>
    <row r="76" ht="35.25" customHeight="1">
      <c r="A76" s="22"/>
      <c r="B76" s="514" t="s">
        <v>916</v>
      </c>
      <c r="C76" s="552">
        <v>3.93195E7</v>
      </c>
      <c r="D76" s="22"/>
      <c r="E76" s="507"/>
      <c r="F76" s="507"/>
      <c r="G76" s="507"/>
      <c r="H76" s="507"/>
      <c r="I76" s="507"/>
      <c r="J76" s="507"/>
      <c r="K76" s="507"/>
      <c r="L76" s="507"/>
      <c r="M76" s="507"/>
      <c r="N76" s="507"/>
    </row>
    <row r="77" ht="35.25" customHeight="1">
      <c r="A77" s="733" t="s">
        <v>972</v>
      </c>
      <c r="B77" s="514" t="s">
        <v>92</v>
      </c>
      <c r="C77" s="552">
        <v>9.6759E7</v>
      </c>
      <c r="D77" s="657">
        <f>sum(C77:C80)</f>
        <v>163236500</v>
      </c>
      <c r="E77" s="556" t="s">
        <v>860</v>
      </c>
      <c r="F77" s="507"/>
      <c r="G77" s="507"/>
      <c r="H77" s="507"/>
      <c r="I77" s="507"/>
      <c r="J77" s="507"/>
      <c r="K77" s="507"/>
      <c r="L77" s="507"/>
      <c r="M77" s="507"/>
      <c r="N77" s="507"/>
    </row>
    <row r="78" ht="35.25" customHeight="1">
      <c r="A78" s="18"/>
      <c r="B78" s="514" t="s">
        <v>913</v>
      </c>
      <c r="C78" s="552">
        <v>3.0845E7</v>
      </c>
      <c r="D78" s="18"/>
      <c r="F78" s="507"/>
      <c r="G78" s="507"/>
      <c r="H78" s="507"/>
      <c r="I78" s="507"/>
      <c r="J78" s="507"/>
      <c r="K78" s="507"/>
      <c r="L78" s="507"/>
      <c r="M78" s="507"/>
      <c r="N78" s="507"/>
    </row>
    <row r="79" ht="35.25" customHeight="1">
      <c r="A79" s="18"/>
      <c r="B79" s="514" t="s">
        <v>914</v>
      </c>
      <c r="C79" s="552">
        <v>2.13875E7</v>
      </c>
      <c r="D79" s="18"/>
      <c r="E79" s="507"/>
      <c r="F79" s="507"/>
      <c r="G79" s="507"/>
      <c r="H79" s="507"/>
      <c r="I79" s="507"/>
      <c r="J79" s="507"/>
      <c r="K79" s="507"/>
      <c r="L79" s="507"/>
      <c r="M79" s="507"/>
      <c r="N79" s="507"/>
    </row>
    <row r="80" ht="35.25" customHeight="1">
      <c r="A80" s="18"/>
      <c r="B80" s="514" t="s">
        <v>915</v>
      </c>
      <c r="C80" s="552">
        <v>1.4245E7</v>
      </c>
      <c r="D80" s="18"/>
      <c r="E80" s="556"/>
      <c r="F80" s="507"/>
      <c r="G80" s="507"/>
      <c r="H80" s="507"/>
      <c r="I80" s="507"/>
      <c r="J80" s="507"/>
      <c r="K80" s="507"/>
      <c r="L80" s="507"/>
      <c r="M80" s="507"/>
      <c r="N80" s="507"/>
    </row>
    <row r="81" ht="35.25" customHeight="1">
      <c r="A81" s="22"/>
      <c r="B81" s="514" t="s">
        <v>916</v>
      </c>
      <c r="C81" s="546"/>
      <c r="D81" s="22"/>
      <c r="E81" s="556" t="s">
        <v>856</v>
      </c>
      <c r="F81" s="507"/>
      <c r="G81" s="507"/>
      <c r="H81" s="507"/>
      <c r="I81" s="507"/>
      <c r="J81" s="507"/>
      <c r="K81" s="507"/>
      <c r="L81" s="507"/>
      <c r="M81" s="507"/>
      <c r="N81" s="507"/>
    </row>
    <row r="82" ht="35.25" customHeight="1">
      <c r="A82" s="731" t="s">
        <v>973</v>
      </c>
      <c r="B82" s="514" t="s">
        <v>913</v>
      </c>
      <c r="C82" s="546">
        <v>7.77195E7</v>
      </c>
      <c r="D82" s="653">
        <f>SUM(C82:C85)</f>
        <v>191733300</v>
      </c>
      <c r="E82" s="507"/>
      <c r="F82" s="507"/>
      <c r="G82" s="507"/>
      <c r="H82" s="507"/>
      <c r="I82" s="507"/>
      <c r="J82" s="507"/>
      <c r="K82" s="507"/>
      <c r="L82" s="507"/>
      <c r="M82" s="507"/>
      <c r="N82" s="507"/>
    </row>
    <row r="83" ht="35.25" customHeight="1">
      <c r="A83" s="18"/>
      <c r="B83" s="514" t="s">
        <v>914</v>
      </c>
      <c r="C83" s="546">
        <v>3.4415E7</v>
      </c>
      <c r="D83" s="18"/>
      <c r="E83" s="507"/>
      <c r="F83" s="507"/>
      <c r="G83" s="507"/>
      <c r="H83" s="507"/>
      <c r="I83" s="507"/>
      <c r="J83" s="507"/>
      <c r="K83" s="507"/>
      <c r="L83" s="507"/>
      <c r="M83" s="507"/>
      <c r="N83" s="507"/>
    </row>
    <row r="84" ht="35.25" customHeight="1">
      <c r="A84" s="18"/>
      <c r="B84" s="514" t="s">
        <v>915</v>
      </c>
      <c r="C84" s="546">
        <v>3.05118E7</v>
      </c>
      <c r="D84" s="18"/>
      <c r="E84" s="507"/>
      <c r="F84" s="507"/>
      <c r="G84" s="507"/>
      <c r="H84" s="507"/>
      <c r="I84" s="507"/>
      <c r="J84" s="507"/>
      <c r="K84" s="507"/>
      <c r="L84" s="507"/>
      <c r="M84" s="507"/>
      <c r="N84" s="507"/>
    </row>
    <row r="85" ht="35.25" customHeight="1">
      <c r="A85" s="22"/>
      <c r="B85" s="514" t="s">
        <v>916</v>
      </c>
      <c r="C85" s="546">
        <v>4.9087E7</v>
      </c>
      <c r="D85" s="22"/>
      <c r="E85" s="507"/>
      <c r="F85" s="507"/>
      <c r="G85" s="507"/>
      <c r="H85" s="507"/>
      <c r="I85" s="507"/>
      <c r="J85" s="507"/>
      <c r="K85" s="507"/>
      <c r="L85" s="507"/>
      <c r="M85" s="507"/>
      <c r="N85" s="507"/>
    </row>
    <row r="86" ht="35.25" customHeight="1">
      <c r="A86" s="731" t="s">
        <v>974</v>
      </c>
      <c r="B86" s="514" t="s">
        <v>92</v>
      </c>
      <c r="C86" s="529">
        <f>(55150000)</f>
        <v>55150000</v>
      </c>
      <c r="D86" s="657">
        <f>sum(C86:C90)</f>
        <v>179183500</v>
      </c>
      <c r="E86" s="507"/>
      <c r="F86" s="507"/>
      <c r="G86" s="507"/>
      <c r="H86" s="507"/>
      <c r="I86" s="507"/>
      <c r="J86" s="507"/>
      <c r="K86" s="507"/>
      <c r="L86" s="507"/>
      <c r="M86" s="507"/>
      <c r="N86" s="507"/>
    </row>
    <row r="87" ht="35.25" customHeight="1">
      <c r="A87" s="18"/>
      <c r="B87" s="514" t="s">
        <v>913</v>
      </c>
      <c r="C87" s="529">
        <v>3.9748E7</v>
      </c>
      <c r="D87" s="18"/>
      <c r="E87" s="556" t="s">
        <v>862</v>
      </c>
      <c r="F87" s="507"/>
      <c r="G87" s="507"/>
      <c r="H87" s="507"/>
      <c r="I87" s="507"/>
      <c r="J87" s="507"/>
      <c r="K87" s="507"/>
      <c r="L87" s="507"/>
      <c r="M87" s="507"/>
      <c r="N87" s="507"/>
    </row>
    <row r="88" ht="35.25" customHeight="1">
      <c r="A88" s="18"/>
      <c r="B88" s="514" t="s">
        <v>914</v>
      </c>
      <c r="C88" s="529">
        <v>2.8275E7</v>
      </c>
      <c r="D88" s="18"/>
      <c r="E88" s="556"/>
      <c r="F88" s="507"/>
      <c r="G88" s="507"/>
      <c r="H88" s="507"/>
      <c r="I88" s="507"/>
      <c r="J88" s="507"/>
      <c r="K88" s="507"/>
      <c r="L88" s="507"/>
      <c r="M88" s="507"/>
      <c r="N88" s="507"/>
    </row>
    <row r="89" ht="35.25" customHeight="1">
      <c r="A89" s="18"/>
      <c r="B89" s="514" t="s">
        <v>915</v>
      </c>
      <c r="C89" s="529">
        <v>3.00145E7</v>
      </c>
      <c r="D89" s="18"/>
      <c r="E89" s="556"/>
      <c r="F89" s="507"/>
      <c r="G89" s="507"/>
      <c r="H89" s="507"/>
      <c r="I89" s="507"/>
      <c r="J89" s="507"/>
      <c r="K89" s="507"/>
      <c r="L89" s="507"/>
      <c r="M89" s="507"/>
      <c r="N89" s="507"/>
    </row>
    <row r="90" ht="35.25" customHeight="1">
      <c r="A90" s="22"/>
      <c r="B90" s="514" t="s">
        <v>916</v>
      </c>
      <c r="C90" s="546">
        <v>2.5996E7</v>
      </c>
      <c r="D90" s="22"/>
      <c r="E90" s="556"/>
      <c r="F90" s="507"/>
      <c r="G90" s="507"/>
      <c r="H90" s="507"/>
      <c r="I90" s="507"/>
      <c r="J90" s="507"/>
      <c r="K90" s="507"/>
      <c r="L90" s="507"/>
      <c r="M90" s="507"/>
      <c r="N90" s="507"/>
    </row>
    <row r="91" ht="35.25" customHeight="1">
      <c r="A91" s="731" t="s">
        <v>975</v>
      </c>
      <c r="B91" s="514" t="s">
        <v>913</v>
      </c>
      <c r="C91" s="544">
        <v>4.6984E7</v>
      </c>
      <c r="D91" s="653">
        <f>sum(C91:C94)</f>
        <v>145311000</v>
      </c>
      <c r="E91" s="557"/>
      <c r="F91" s="507"/>
      <c r="G91" s="507"/>
      <c r="H91" s="507"/>
      <c r="I91" s="507"/>
      <c r="J91" s="507"/>
      <c r="K91" s="507"/>
      <c r="L91" s="507"/>
      <c r="M91" s="507"/>
      <c r="N91" s="507"/>
    </row>
    <row r="92" ht="35.25" customHeight="1">
      <c r="A92" s="18"/>
      <c r="B92" s="514" t="s">
        <v>914</v>
      </c>
      <c r="C92" s="515">
        <v>3.5098E7</v>
      </c>
      <c r="D92" s="18"/>
      <c r="E92" s="556"/>
      <c r="F92" s="507"/>
      <c r="G92" s="507"/>
      <c r="H92" s="507"/>
      <c r="I92" s="507"/>
      <c r="J92" s="507"/>
      <c r="K92" s="507"/>
      <c r="L92" s="507"/>
      <c r="M92" s="507"/>
      <c r="N92" s="507"/>
    </row>
    <row r="93" ht="35.25" customHeight="1">
      <c r="A93" s="18"/>
      <c r="B93" s="514" t="s">
        <v>915</v>
      </c>
      <c r="C93" s="515">
        <v>3.3135E7</v>
      </c>
      <c r="D93" s="18"/>
      <c r="E93" s="556"/>
      <c r="F93" s="507"/>
      <c r="G93" s="507"/>
      <c r="H93" s="507"/>
      <c r="I93" s="507"/>
      <c r="J93" s="507"/>
      <c r="K93" s="507"/>
      <c r="L93" s="507"/>
      <c r="M93" s="507"/>
      <c r="N93" s="507"/>
    </row>
    <row r="94" ht="35.25" customHeight="1">
      <c r="A94" s="22"/>
      <c r="B94" s="514" t="s">
        <v>916</v>
      </c>
      <c r="C94" s="546">
        <v>3.0094E7</v>
      </c>
      <c r="D94" s="22"/>
      <c r="E94" s="556"/>
      <c r="F94" s="507"/>
      <c r="G94" s="507"/>
      <c r="H94" s="507"/>
      <c r="I94" s="507"/>
      <c r="J94" s="507"/>
      <c r="K94" s="507"/>
      <c r="L94" s="507"/>
      <c r="M94" s="507"/>
      <c r="N94" s="507"/>
    </row>
    <row r="95" ht="35.25" customHeight="1">
      <c r="A95" s="731" t="s">
        <v>976</v>
      </c>
      <c r="B95" s="514" t="s">
        <v>913</v>
      </c>
      <c r="C95" s="564">
        <v>2600000.0</v>
      </c>
      <c r="D95" s="736">
        <f>sum(C95:C98)</f>
        <v>45405000</v>
      </c>
      <c r="E95" s="570" t="s">
        <v>863</v>
      </c>
      <c r="F95" s="507"/>
      <c r="G95" s="507"/>
      <c r="H95" s="507"/>
      <c r="I95" s="507"/>
      <c r="J95" s="507"/>
      <c r="K95" s="507"/>
      <c r="L95" s="507"/>
      <c r="M95" s="507"/>
      <c r="N95" s="507"/>
    </row>
    <row r="96" ht="35.25" customHeight="1">
      <c r="A96" s="18"/>
      <c r="B96" s="514" t="s">
        <v>914</v>
      </c>
      <c r="C96" s="564">
        <v>3.7605E7</v>
      </c>
      <c r="D96" s="86"/>
      <c r="E96" s="556"/>
      <c r="F96" s="507"/>
      <c r="G96" s="507"/>
      <c r="H96" s="507"/>
      <c r="I96" s="507"/>
      <c r="J96" s="507"/>
      <c r="K96" s="507"/>
      <c r="L96" s="507"/>
      <c r="M96" s="507"/>
      <c r="N96" s="507"/>
    </row>
    <row r="97" ht="35.25" customHeight="1">
      <c r="A97" s="18"/>
      <c r="B97" s="514" t="s">
        <v>915</v>
      </c>
      <c r="C97" s="564">
        <v>2600000.0</v>
      </c>
      <c r="D97" s="86"/>
      <c r="E97" s="556"/>
      <c r="F97" s="507"/>
      <c r="G97" s="507"/>
      <c r="H97" s="507"/>
      <c r="I97" s="507"/>
      <c r="J97" s="507"/>
      <c r="K97" s="507"/>
      <c r="L97" s="507"/>
      <c r="M97" s="507"/>
      <c r="N97" s="507"/>
    </row>
    <row r="98" ht="35.25" customHeight="1">
      <c r="A98" s="22"/>
      <c r="B98" s="514" t="s">
        <v>916</v>
      </c>
      <c r="C98" s="564">
        <v>2600000.0</v>
      </c>
      <c r="D98" s="89"/>
      <c r="E98" s="556"/>
      <c r="F98" s="507"/>
      <c r="G98" s="507"/>
      <c r="H98" s="507"/>
      <c r="I98" s="507"/>
      <c r="J98" s="507"/>
      <c r="K98" s="507"/>
      <c r="L98" s="507"/>
      <c r="M98" s="507"/>
      <c r="N98" s="507"/>
    </row>
    <row r="99" ht="35.25" customHeight="1">
      <c r="A99" s="731" t="s">
        <v>977</v>
      </c>
      <c r="B99" s="514" t="s">
        <v>913</v>
      </c>
      <c r="C99" s="529" t="s">
        <v>684</v>
      </c>
      <c r="D99" s="653">
        <f>sum(C99:C102)</f>
        <v>36842600</v>
      </c>
      <c r="E99" s="570" t="s">
        <v>864</v>
      </c>
      <c r="F99" s="507"/>
      <c r="G99" s="507"/>
      <c r="H99" s="507"/>
      <c r="I99" s="507"/>
      <c r="J99" s="507"/>
      <c r="K99" s="507"/>
      <c r="L99" s="507"/>
      <c r="M99" s="507"/>
      <c r="N99" s="507"/>
    </row>
    <row r="100" ht="35.25" customHeight="1">
      <c r="A100" s="18"/>
      <c r="B100" s="514" t="s">
        <v>914</v>
      </c>
      <c r="C100" s="529" t="s">
        <v>684</v>
      </c>
      <c r="D100" s="18"/>
      <c r="E100" s="582"/>
      <c r="F100" s="507"/>
      <c r="G100" s="507"/>
      <c r="H100" s="507"/>
      <c r="I100" s="507"/>
      <c r="J100" s="507"/>
      <c r="K100" s="507"/>
      <c r="L100" s="507"/>
      <c r="M100" s="507"/>
      <c r="N100" s="507"/>
    </row>
    <row r="101" ht="35.25" customHeight="1">
      <c r="A101" s="18"/>
      <c r="B101" s="514" t="s">
        <v>915</v>
      </c>
      <c r="C101" s="529">
        <v>3.57846E7</v>
      </c>
      <c r="D101" s="18"/>
      <c r="E101" s="584"/>
      <c r="F101" s="507"/>
      <c r="G101" s="507"/>
      <c r="H101" s="507"/>
      <c r="I101" s="507"/>
      <c r="J101" s="507"/>
      <c r="K101" s="507"/>
      <c r="L101" s="507"/>
      <c r="M101" s="507"/>
      <c r="N101" s="507"/>
    </row>
    <row r="102" ht="35.25" customHeight="1">
      <c r="A102" s="22"/>
      <c r="B102" s="514" t="s">
        <v>916</v>
      </c>
      <c r="C102" s="529">
        <v>1058000.0</v>
      </c>
      <c r="D102" s="22"/>
      <c r="E102" s="584"/>
      <c r="F102" s="507"/>
      <c r="G102" s="507"/>
      <c r="H102" s="507"/>
      <c r="I102" s="507"/>
      <c r="J102" s="507"/>
      <c r="K102" s="507"/>
      <c r="L102" s="507"/>
      <c r="M102" s="507"/>
      <c r="N102" s="507"/>
    </row>
    <row r="103" ht="35.25" customHeight="1">
      <c r="A103" s="731" t="s">
        <v>978</v>
      </c>
      <c r="B103" s="514" t="s">
        <v>913</v>
      </c>
      <c r="C103" s="587">
        <v>1.34592E7</v>
      </c>
      <c r="D103" s="653">
        <f>sum(C103:C106)</f>
        <v>70289400</v>
      </c>
      <c r="E103" s="507"/>
      <c r="F103" s="507"/>
      <c r="G103" s="507"/>
      <c r="H103" s="507"/>
      <c r="I103" s="507"/>
      <c r="J103" s="507"/>
      <c r="K103" s="507"/>
      <c r="L103" s="507"/>
      <c r="M103" s="507"/>
      <c r="N103" s="507"/>
    </row>
    <row r="104" ht="35.25" customHeight="1">
      <c r="A104" s="18"/>
      <c r="B104" s="514" t="s">
        <v>914</v>
      </c>
      <c r="C104" s="529">
        <v>1.1901E7</v>
      </c>
      <c r="D104" s="18"/>
      <c r="E104" s="507"/>
      <c r="F104" s="507"/>
      <c r="G104" s="507"/>
      <c r="H104" s="507"/>
      <c r="I104" s="507"/>
      <c r="J104" s="507"/>
      <c r="K104" s="507"/>
      <c r="L104" s="507"/>
      <c r="M104" s="507"/>
      <c r="N104" s="507"/>
    </row>
    <row r="105" ht="35.25" customHeight="1">
      <c r="A105" s="18"/>
      <c r="B105" s="514" t="s">
        <v>915</v>
      </c>
      <c r="C105" s="529">
        <v>4.49292E7</v>
      </c>
      <c r="D105" s="18"/>
      <c r="E105" s="507"/>
      <c r="F105" s="507"/>
      <c r="G105" s="507"/>
      <c r="H105" s="507"/>
      <c r="I105" s="507"/>
      <c r="J105" s="507"/>
      <c r="K105" s="507"/>
      <c r="L105" s="507"/>
      <c r="M105" s="507"/>
      <c r="N105" s="507"/>
    </row>
    <row r="106" ht="35.25" customHeight="1">
      <c r="A106" s="22"/>
      <c r="B106" s="514" t="s">
        <v>916</v>
      </c>
      <c r="C106" s="529"/>
      <c r="D106" s="22"/>
      <c r="E106" s="556" t="s">
        <v>865</v>
      </c>
      <c r="F106" s="507"/>
      <c r="G106" s="507"/>
      <c r="H106" s="507"/>
      <c r="I106" s="507"/>
      <c r="J106" s="507"/>
      <c r="K106" s="507"/>
      <c r="L106" s="507"/>
      <c r="M106" s="507"/>
      <c r="N106" s="507"/>
    </row>
    <row r="107" ht="35.25" customHeight="1">
      <c r="A107" s="731" t="s">
        <v>979</v>
      </c>
      <c r="B107" s="514" t="s">
        <v>770</v>
      </c>
      <c r="C107" s="514">
        <v>1.752E7</v>
      </c>
      <c r="D107" s="653">
        <f>sum(C107:C112)</f>
        <v>94093000</v>
      </c>
      <c r="E107" s="507"/>
      <c r="F107" s="507"/>
      <c r="G107" s="507"/>
      <c r="H107" s="507"/>
      <c r="I107" s="507"/>
      <c r="J107" s="507"/>
      <c r="K107" s="507"/>
      <c r="L107" s="507"/>
      <c r="M107" s="507"/>
      <c r="N107" s="507"/>
    </row>
    <row r="108" ht="35.25" customHeight="1">
      <c r="A108" s="18"/>
      <c r="B108" s="514" t="s">
        <v>92</v>
      </c>
      <c r="C108" s="514">
        <v>1.3442E7</v>
      </c>
      <c r="D108" s="18"/>
      <c r="E108" s="507"/>
      <c r="F108" s="507"/>
      <c r="G108" s="507"/>
      <c r="H108" s="507"/>
      <c r="I108" s="507"/>
      <c r="J108" s="507"/>
      <c r="K108" s="507"/>
      <c r="L108" s="507"/>
      <c r="M108" s="507"/>
      <c r="N108" s="507"/>
    </row>
    <row r="109" ht="35.25" customHeight="1">
      <c r="A109" s="18"/>
      <c r="B109" s="514" t="s">
        <v>913</v>
      </c>
      <c r="C109" s="514"/>
      <c r="D109" s="18"/>
      <c r="E109" s="507"/>
      <c r="F109" s="507"/>
      <c r="G109" s="507"/>
      <c r="H109" s="507"/>
      <c r="I109" s="507"/>
      <c r="J109" s="507"/>
      <c r="K109" s="507"/>
      <c r="L109" s="507"/>
      <c r="M109" s="507"/>
      <c r="N109" s="507"/>
    </row>
    <row r="110" ht="35.25" customHeight="1">
      <c r="A110" s="18"/>
      <c r="B110" s="514" t="s">
        <v>914</v>
      </c>
      <c r="C110" s="514">
        <v>2.588E7</v>
      </c>
      <c r="D110" s="18"/>
      <c r="E110" s="507"/>
      <c r="F110" s="507"/>
      <c r="G110" s="507"/>
      <c r="H110" s="507"/>
      <c r="I110" s="507"/>
      <c r="J110" s="507"/>
      <c r="K110" s="507"/>
      <c r="L110" s="507"/>
      <c r="M110" s="507"/>
      <c r="N110" s="507"/>
    </row>
    <row r="111" ht="35.25" customHeight="1">
      <c r="A111" s="18"/>
      <c r="B111" s="514" t="s">
        <v>915</v>
      </c>
      <c r="C111" s="514">
        <v>1.6286E7</v>
      </c>
      <c r="D111" s="18"/>
      <c r="E111" s="507"/>
      <c r="F111" s="507"/>
      <c r="G111" s="507"/>
      <c r="H111" s="507"/>
      <c r="I111" s="507"/>
      <c r="J111" s="507"/>
      <c r="K111" s="507"/>
      <c r="L111" s="507"/>
      <c r="M111" s="507"/>
      <c r="N111" s="507"/>
    </row>
    <row r="112" ht="35.25" customHeight="1">
      <c r="A112" s="22"/>
      <c r="B112" s="514" t="s">
        <v>916</v>
      </c>
      <c r="C112" s="514">
        <v>2.0965E7</v>
      </c>
      <c r="D112" s="22"/>
      <c r="E112" s="507"/>
      <c r="F112" s="507"/>
      <c r="G112" s="507"/>
      <c r="H112" s="507"/>
      <c r="I112" s="507"/>
      <c r="J112" s="507"/>
      <c r="K112" s="507"/>
      <c r="L112" s="507"/>
      <c r="M112" s="507"/>
      <c r="N112" s="507"/>
    </row>
    <row r="113" ht="35.25" customHeight="1">
      <c r="A113" s="731" t="s">
        <v>980</v>
      </c>
      <c r="B113" s="514" t="s">
        <v>92</v>
      </c>
      <c r="C113" s="515">
        <v>4.0E7</v>
      </c>
      <c r="D113" s="653">
        <f>sum(C113:C118)</f>
        <v>108985000</v>
      </c>
      <c r="E113" s="556" t="s">
        <v>868</v>
      </c>
      <c r="F113" s="507"/>
      <c r="G113" s="507"/>
      <c r="H113" s="507"/>
      <c r="I113" s="507"/>
      <c r="J113" s="507"/>
      <c r="K113" s="507"/>
      <c r="L113" s="507"/>
      <c r="M113" s="507"/>
      <c r="N113" s="507"/>
    </row>
    <row r="114" ht="35.25" customHeight="1">
      <c r="A114" s="18"/>
      <c r="B114" s="514" t="s">
        <v>866</v>
      </c>
      <c r="C114" s="515">
        <v>1.744E7</v>
      </c>
      <c r="D114" s="18"/>
      <c r="E114" s="507"/>
      <c r="F114" s="507"/>
      <c r="G114" s="507"/>
      <c r="H114" s="507"/>
      <c r="I114" s="507"/>
      <c r="J114" s="507"/>
      <c r="K114" s="507"/>
      <c r="L114" s="507"/>
      <c r="M114" s="507"/>
      <c r="N114" s="507"/>
    </row>
    <row r="115" ht="35.25" customHeight="1">
      <c r="A115" s="18"/>
      <c r="B115" s="524" t="s">
        <v>867</v>
      </c>
      <c r="C115" s="515">
        <v>1.48E7</v>
      </c>
      <c r="D115" s="18"/>
      <c r="E115" s="507"/>
      <c r="F115" s="507"/>
      <c r="G115" s="507"/>
      <c r="H115" s="507"/>
      <c r="I115" s="507"/>
      <c r="J115" s="507"/>
      <c r="K115" s="507"/>
      <c r="L115" s="507"/>
      <c r="M115" s="507"/>
      <c r="N115" s="507"/>
    </row>
    <row r="116" ht="35.25" customHeight="1">
      <c r="A116" s="18"/>
      <c r="B116" s="524" t="s">
        <v>981</v>
      </c>
      <c r="C116" s="515">
        <v>1.8955E7</v>
      </c>
      <c r="D116" s="18"/>
      <c r="E116" s="556"/>
      <c r="F116" s="507"/>
      <c r="G116" s="507"/>
      <c r="H116" s="507"/>
      <c r="I116" s="507"/>
      <c r="J116" s="507"/>
      <c r="K116" s="507"/>
      <c r="L116" s="507"/>
      <c r="M116" s="507"/>
      <c r="N116" s="507"/>
    </row>
    <row r="117" ht="35.25" customHeight="1">
      <c r="A117" s="18"/>
      <c r="B117" s="524" t="s">
        <v>982</v>
      </c>
      <c r="C117" s="515">
        <v>1.779E7</v>
      </c>
      <c r="D117" s="18"/>
      <c r="E117" s="556"/>
      <c r="F117" s="507"/>
      <c r="G117" s="507"/>
      <c r="H117" s="507"/>
      <c r="I117" s="507"/>
      <c r="J117" s="507"/>
      <c r="K117" s="507"/>
      <c r="L117" s="507"/>
      <c r="M117" s="507"/>
      <c r="N117" s="507"/>
    </row>
    <row r="118" ht="35.25" customHeight="1">
      <c r="A118" s="22"/>
      <c r="B118" s="524"/>
      <c r="C118" s="515"/>
      <c r="D118" s="22"/>
      <c r="F118" s="507"/>
      <c r="G118" s="507"/>
      <c r="I118" s="507"/>
      <c r="J118" s="507"/>
      <c r="K118" s="507"/>
      <c r="L118" s="507"/>
      <c r="M118" s="507"/>
      <c r="N118" s="507"/>
    </row>
    <row r="119" ht="35.25" customHeight="1">
      <c r="A119" s="731" t="s">
        <v>983</v>
      </c>
      <c r="B119" s="514" t="s">
        <v>913</v>
      </c>
      <c r="C119" s="587">
        <v>4.3401E7</v>
      </c>
      <c r="D119" s="653">
        <f>sum(C119:C122)</f>
        <v>170663500</v>
      </c>
      <c r="E119" s="590"/>
      <c r="F119" s="507"/>
      <c r="G119" s="507"/>
      <c r="H119" s="507"/>
      <c r="I119" s="507"/>
      <c r="J119" s="507"/>
      <c r="K119" s="507"/>
      <c r="L119" s="507"/>
      <c r="M119" s="507"/>
      <c r="N119" s="507"/>
    </row>
    <row r="120" ht="35.25" customHeight="1">
      <c r="A120" s="18"/>
      <c r="B120" s="514" t="s">
        <v>914</v>
      </c>
      <c r="C120" s="514">
        <v>4.4648E7</v>
      </c>
      <c r="D120" s="18"/>
      <c r="E120" s="556" t="s">
        <v>870</v>
      </c>
      <c r="F120" s="507"/>
      <c r="G120" s="507"/>
      <c r="H120" s="507"/>
      <c r="I120" s="507"/>
      <c r="J120" s="507"/>
      <c r="K120" s="507"/>
      <c r="L120" s="507"/>
      <c r="M120" s="507"/>
      <c r="N120" s="507"/>
    </row>
    <row r="121" ht="35.25" customHeight="1">
      <c r="A121" s="18"/>
      <c r="B121" s="514" t="s">
        <v>915</v>
      </c>
      <c r="C121" s="514">
        <v>5.14055E7</v>
      </c>
      <c r="D121" s="18"/>
      <c r="E121" s="507"/>
      <c r="F121" s="507"/>
      <c r="G121" s="507"/>
      <c r="H121" s="507"/>
      <c r="I121" s="507"/>
      <c r="J121" s="507"/>
      <c r="K121" s="507"/>
      <c r="L121" s="507"/>
      <c r="M121" s="507"/>
      <c r="N121" s="507"/>
    </row>
    <row r="122" ht="35.25" customHeight="1">
      <c r="A122" s="22"/>
      <c r="B122" s="514" t="s">
        <v>916</v>
      </c>
      <c r="C122" s="514">
        <v>3.1209E7</v>
      </c>
      <c r="D122" s="22"/>
      <c r="E122" s="507"/>
      <c r="F122" s="507"/>
      <c r="G122" s="507"/>
      <c r="H122" s="507"/>
      <c r="I122" s="507"/>
      <c r="J122" s="507"/>
      <c r="K122" s="507"/>
      <c r="L122" s="507"/>
      <c r="M122" s="507"/>
      <c r="N122" s="507"/>
    </row>
    <row r="123" ht="35.25" customHeight="1">
      <c r="A123" s="733" t="s">
        <v>984</v>
      </c>
      <c r="B123" s="514" t="s">
        <v>847</v>
      </c>
      <c r="C123" s="708" t="s">
        <v>871</v>
      </c>
      <c r="D123" s="653"/>
      <c r="E123" s="507"/>
      <c r="F123" s="507"/>
      <c r="G123" s="507"/>
      <c r="H123" s="507"/>
      <c r="I123" s="507"/>
      <c r="J123" s="507"/>
      <c r="K123" s="507"/>
      <c r="L123" s="507"/>
      <c r="M123" s="507"/>
      <c r="N123" s="507"/>
    </row>
    <row r="124" ht="35.25" customHeight="1">
      <c r="A124" s="18"/>
      <c r="B124" s="514" t="s">
        <v>861</v>
      </c>
      <c r="C124" s="737" t="s">
        <v>985</v>
      </c>
      <c r="D124" s="18"/>
      <c r="E124" s="556" t="s">
        <v>872</v>
      </c>
      <c r="F124" s="507"/>
      <c r="G124" s="507"/>
      <c r="H124" s="507"/>
      <c r="I124" s="507"/>
      <c r="J124" s="507"/>
      <c r="K124" s="507"/>
      <c r="L124" s="507"/>
      <c r="M124" s="507"/>
      <c r="N124" s="507"/>
    </row>
    <row r="125" ht="35.25" customHeight="1">
      <c r="A125" s="18"/>
      <c r="B125" s="514" t="s">
        <v>914</v>
      </c>
      <c r="C125" s="708" t="s">
        <v>986</v>
      </c>
      <c r="D125" s="18"/>
      <c r="E125" s="507"/>
      <c r="F125" s="507"/>
      <c r="G125" s="507"/>
      <c r="H125" s="507"/>
      <c r="I125" s="507"/>
      <c r="J125" s="507"/>
      <c r="K125" s="507"/>
      <c r="L125" s="507"/>
      <c r="M125" s="507"/>
      <c r="N125" s="507"/>
    </row>
    <row r="126" ht="35.25" customHeight="1">
      <c r="A126" s="18"/>
      <c r="B126" s="514" t="s">
        <v>915</v>
      </c>
      <c r="C126" s="708" t="s">
        <v>987</v>
      </c>
      <c r="D126" s="18"/>
      <c r="E126" s="556"/>
      <c r="F126" s="507"/>
      <c r="G126" s="507"/>
      <c r="H126" s="507"/>
      <c r="I126" s="507"/>
      <c r="J126" s="507"/>
      <c r="K126" s="507"/>
      <c r="L126" s="507"/>
      <c r="M126" s="507"/>
      <c r="N126" s="507"/>
    </row>
    <row r="127" ht="35.25" customHeight="1">
      <c r="A127" s="22"/>
      <c r="B127" s="514" t="s">
        <v>916</v>
      </c>
      <c r="C127" s="737" t="s">
        <v>988</v>
      </c>
      <c r="D127" s="22"/>
      <c r="E127" s="556"/>
      <c r="F127" s="507"/>
      <c r="G127" s="507"/>
      <c r="H127" s="507"/>
      <c r="I127" s="507"/>
      <c r="J127" s="507"/>
      <c r="K127" s="507"/>
      <c r="L127" s="507"/>
      <c r="M127" s="507"/>
      <c r="N127" s="507"/>
    </row>
    <row r="128" ht="35.25" customHeight="1">
      <c r="A128" s="733" t="s">
        <v>989</v>
      </c>
      <c r="B128" s="514" t="s">
        <v>913</v>
      </c>
      <c r="C128" s="514" t="s">
        <v>684</v>
      </c>
      <c r="D128" s="653">
        <f>sum(C128:C131)</f>
        <v>71016000</v>
      </c>
      <c r="E128" s="556" t="s">
        <v>873</v>
      </c>
      <c r="F128" s="507"/>
      <c r="G128" s="507"/>
      <c r="H128" s="507"/>
      <c r="I128" s="507"/>
      <c r="J128" s="507"/>
      <c r="K128" s="507"/>
      <c r="L128" s="507"/>
      <c r="M128" s="507"/>
      <c r="N128" s="507"/>
    </row>
    <row r="129" ht="35.25" customHeight="1">
      <c r="A129" s="18"/>
      <c r="B129" s="514" t="s">
        <v>914</v>
      </c>
      <c r="C129" s="593" t="s">
        <v>684</v>
      </c>
      <c r="D129" s="18"/>
      <c r="E129" s="507"/>
      <c r="F129" s="507"/>
      <c r="G129" s="507"/>
      <c r="H129" s="507"/>
      <c r="I129" s="507"/>
      <c r="J129" s="507"/>
      <c r="K129" s="507"/>
      <c r="L129" s="507"/>
      <c r="M129" s="507"/>
      <c r="N129" s="507"/>
    </row>
    <row r="130" ht="35.25" customHeight="1">
      <c r="A130" s="18"/>
      <c r="B130" s="514" t="s">
        <v>915</v>
      </c>
      <c r="C130" s="593">
        <v>4.4292E7</v>
      </c>
      <c r="D130" s="18"/>
      <c r="E130" s="507"/>
      <c r="F130" s="507"/>
      <c r="G130" s="507"/>
      <c r="H130" s="507"/>
      <c r="I130" s="507"/>
      <c r="J130" s="507"/>
      <c r="K130" s="507"/>
      <c r="L130" s="507"/>
      <c r="M130" s="507"/>
      <c r="N130" s="507"/>
    </row>
    <row r="131" ht="35.25" customHeight="1">
      <c r="A131" s="22"/>
      <c r="B131" s="514" t="s">
        <v>916</v>
      </c>
      <c r="C131" s="593">
        <v>2.6724E7</v>
      </c>
      <c r="D131" s="22"/>
      <c r="E131" s="507"/>
      <c r="F131" s="507"/>
      <c r="G131" s="507"/>
      <c r="H131" s="507"/>
      <c r="I131" s="507"/>
      <c r="J131" s="507"/>
      <c r="K131" s="507"/>
      <c r="L131" s="507"/>
      <c r="M131" s="507"/>
      <c r="N131" s="507"/>
    </row>
    <row r="132" ht="35.25" customHeight="1">
      <c r="A132" s="733" t="s">
        <v>990</v>
      </c>
      <c r="B132" s="514" t="s">
        <v>913</v>
      </c>
      <c r="C132" s="596" t="s">
        <v>684</v>
      </c>
      <c r="D132" s="653">
        <f>SUM(C132:C136)</f>
        <v>77259000</v>
      </c>
      <c r="E132" s="507"/>
      <c r="F132" s="507"/>
      <c r="G132" s="507"/>
      <c r="H132" s="507"/>
      <c r="I132" s="507"/>
      <c r="J132" s="507"/>
      <c r="K132" s="507"/>
      <c r="L132" s="507"/>
      <c r="M132" s="507"/>
      <c r="N132" s="507"/>
    </row>
    <row r="133" ht="35.25" customHeight="1">
      <c r="A133" s="18"/>
      <c r="B133" s="514" t="s">
        <v>914</v>
      </c>
      <c r="C133" s="596" t="s">
        <v>684</v>
      </c>
      <c r="D133" s="18"/>
      <c r="E133" s="556" t="s">
        <v>874</v>
      </c>
      <c r="F133" s="507"/>
      <c r="G133" s="507"/>
      <c r="H133" s="507"/>
      <c r="I133" s="507"/>
      <c r="J133" s="507"/>
      <c r="K133" s="507"/>
      <c r="L133" s="507"/>
      <c r="M133" s="507"/>
      <c r="N133" s="507"/>
    </row>
    <row r="134" ht="35.25" customHeight="1">
      <c r="A134" s="18"/>
      <c r="B134" s="514" t="s">
        <v>915</v>
      </c>
      <c r="C134" s="596" t="s">
        <v>684</v>
      </c>
      <c r="D134" s="18"/>
      <c r="E134" s="556"/>
      <c r="F134" s="507"/>
      <c r="G134" s="507"/>
      <c r="H134" s="507"/>
      <c r="I134" s="507"/>
      <c r="J134" s="507"/>
      <c r="K134" s="507"/>
      <c r="L134" s="507"/>
      <c r="M134" s="507"/>
      <c r="N134" s="507"/>
    </row>
    <row r="135" ht="35.25" customHeight="1">
      <c r="A135" s="18"/>
      <c r="B135" s="514" t="s">
        <v>916</v>
      </c>
      <c r="C135" s="596">
        <v>7.7259E7</v>
      </c>
      <c r="D135" s="18"/>
      <c r="E135" s="556"/>
      <c r="F135" s="507"/>
      <c r="G135" s="507"/>
      <c r="H135" s="507"/>
      <c r="I135" s="507"/>
      <c r="J135" s="507"/>
      <c r="K135" s="507"/>
      <c r="L135" s="507"/>
      <c r="M135" s="507"/>
      <c r="N135" s="507"/>
    </row>
    <row r="136" ht="35.25" customHeight="1">
      <c r="A136" s="22"/>
      <c r="B136" s="514"/>
      <c r="C136" s="596"/>
      <c r="D136" s="22"/>
      <c r="E136" s="556" t="s">
        <v>844</v>
      </c>
      <c r="F136" s="507"/>
      <c r="G136" s="507"/>
      <c r="H136" s="507"/>
      <c r="I136" s="507"/>
      <c r="J136" s="507"/>
      <c r="K136" s="507"/>
      <c r="L136" s="507"/>
      <c r="M136" s="507"/>
      <c r="N136" s="507"/>
    </row>
    <row r="137" ht="35.25" customHeight="1">
      <c r="A137" s="609" t="s">
        <v>875</v>
      </c>
      <c r="B137" s="514" t="s">
        <v>771</v>
      </c>
      <c r="C137" s="598">
        <v>1.13415E7</v>
      </c>
      <c r="D137" s="618">
        <f>sum(C137:C140)</f>
        <v>222774500</v>
      </c>
      <c r="E137" s="507"/>
      <c r="F137" s="507"/>
      <c r="G137" s="507"/>
      <c r="H137" s="507"/>
      <c r="I137" s="507"/>
      <c r="J137" s="507"/>
      <c r="K137" s="507"/>
      <c r="L137" s="507"/>
      <c r="M137" s="507"/>
      <c r="N137" s="507"/>
    </row>
    <row r="138" ht="35.25" customHeight="1">
      <c r="A138" s="18"/>
      <c r="B138" s="514" t="s">
        <v>92</v>
      </c>
      <c r="C138" s="598">
        <v>8.866E7</v>
      </c>
      <c r="D138" s="18"/>
      <c r="E138" s="507"/>
      <c r="F138" s="507"/>
      <c r="G138" s="507"/>
      <c r="H138" s="507"/>
      <c r="I138" s="507"/>
      <c r="J138" s="507"/>
      <c r="K138" s="507"/>
      <c r="L138" s="507"/>
      <c r="M138" s="507"/>
      <c r="N138" s="507"/>
    </row>
    <row r="139" ht="35.25" customHeight="1">
      <c r="A139" s="18"/>
      <c r="B139" s="514" t="s">
        <v>81</v>
      </c>
      <c r="C139" s="598">
        <v>9.8703E7</v>
      </c>
      <c r="D139" s="18"/>
      <c r="E139" s="507"/>
      <c r="F139" s="507"/>
      <c r="G139" s="507"/>
      <c r="H139" s="507"/>
      <c r="I139" s="507"/>
      <c r="J139" s="507"/>
      <c r="K139" s="507"/>
      <c r="L139" s="507"/>
      <c r="M139" s="507"/>
      <c r="N139" s="507"/>
    </row>
    <row r="140" ht="35.25" customHeight="1">
      <c r="A140" s="18"/>
      <c r="B140" s="514" t="s">
        <v>13</v>
      </c>
      <c r="C140" s="598">
        <v>2.407E7</v>
      </c>
      <c r="D140" s="18"/>
      <c r="E140" s="556" t="s">
        <v>877</v>
      </c>
      <c r="F140" s="507"/>
      <c r="G140" s="507"/>
      <c r="H140" s="507"/>
      <c r="I140" s="507"/>
      <c r="J140" s="507"/>
      <c r="K140" s="507"/>
      <c r="L140" s="507"/>
      <c r="M140" s="507"/>
      <c r="N140" s="507"/>
    </row>
    <row r="141" ht="35.25" customHeight="1">
      <c r="A141" s="18"/>
      <c r="B141" s="514" t="s">
        <v>24</v>
      </c>
      <c r="C141" s="598"/>
      <c r="D141" s="18"/>
      <c r="E141" s="556"/>
      <c r="F141" s="507"/>
      <c r="G141" s="507"/>
      <c r="H141" s="507"/>
      <c r="I141" s="507"/>
      <c r="J141" s="507"/>
      <c r="K141" s="507"/>
      <c r="L141" s="507"/>
      <c r="M141" s="507"/>
      <c r="N141" s="507"/>
    </row>
    <row r="142" ht="35.25" customHeight="1">
      <c r="A142" s="18"/>
      <c r="B142" s="639" t="s">
        <v>17</v>
      </c>
      <c r="C142" s="598"/>
      <c r="D142" s="18"/>
      <c r="E142" s="556"/>
      <c r="F142" s="507"/>
      <c r="G142" s="507"/>
      <c r="H142" s="507"/>
      <c r="I142" s="507"/>
      <c r="J142" s="507"/>
      <c r="K142" s="507"/>
      <c r="L142" s="507"/>
      <c r="M142" s="507"/>
      <c r="N142" s="507"/>
    </row>
    <row r="143" ht="35.25" customHeight="1">
      <c r="A143" s="18"/>
      <c r="B143" s="514"/>
      <c r="C143" s="598"/>
      <c r="D143" s="18"/>
      <c r="E143" s="507"/>
      <c r="F143" s="507"/>
      <c r="G143" s="507"/>
      <c r="H143" s="507"/>
      <c r="I143" s="507"/>
      <c r="J143" s="507"/>
      <c r="K143" s="507"/>
      <c r="L143" s="507"/>
      <c r="M143" s="507"/>
      <c r="N143" s="507"/>
    </row>
    <row r="144" ht="35.25" customHeight="1">
      <c r="A144" s="18"/>
      <c r="B144" s="738"/>
      <c r="C144" s="738"/>
      <c r="D144" s="18"/>
      <c r="E144" s="556"/>
      <c r="F144" s="507"/>
      <c r="G144" s="507"/>
      <c r="H144" s="507"/>
      <c r="I144" s="507"/>
      <c r="J144" s="507"/>
      <c r="K144" s="507"/>
      <c r="L144" s="507"/>
      <c r="M144" s="507"/>
      <c r="N144" s="507"/>
    </row>
    <row r="145" ht="35.25" customHeight="1">
      <c r="A145" s="22"/>
      <c r="B145" s="738"/>
      <c r="C145" s="738"/>
      <c r="D145" s="22"/>
      <c r="E145" s="507"/>
      <c r="F145" s="507"/>
      <c r="G145" s="507"/>
      <c r="H145" s="507"/>
      <c r="I145" s="507"/>
      <c r="J145" s="507"/>
      <c r="K145" s="507"/>
      <c r="L145" s="507"/>
      <c r="M145" s="507"/>
      <c r="N145" s="507"/>
    </row>
    <row r="146" ht="35.25" customHeight="1">
      <c r="A146" s="599" t="s">
        <v>68</v>
      </c>
      <c r="B146" s="639" t="s">
        <v>106</v>
      </c>
      <c r="C146" s="598">
        <v>3.1466E7</v>
      </c>
      <c r="D146" s="618">
        <f>sum(C146:C147)</f>
        <v>74287000</v>
      </c>
      <c r="E146" s="507"/>
      <c r="F146" s="507"/>
      <c r="G146" s="507"/>
      <c r="H146" s="507"/>
      <c r="I146" s="507"/>
      <c r="J146" s="507"/>
      <c r="K146" s="507"/>
      <c r="L146" s="507"/>
      <c r="M146" s="507"/>
      <c r="N146" s="507"/>
    </row>
    <row r="147" ht="35.25" customHeight="1">
      <c r="A147" s="18"/>
      <c r="B147" s="514" t="s">
        <v>13</v>
      </c>
      <c r="C147" s="598">
        <v>4.2821E7</v>
      </c>
      <c r="D147" s="18"/>
      <c r="E147" s="556"/>
      <c r="F147" s="507"/>
      <c r="G147" s="507"/>
      <c r="H147" s="507"/>
      <c r="I147" s="507"/>
      <c r="J147" s="507"/>
      <c r="K147" s="507"/>
      <c r="L147" s="507"/>
      <c r="M147" s="507"/>
      <c r="N147" s="507"/>
    </row>
    <row r="148" ht="35.25" customHeight="1">
      <c r="A148" s="18"/>
      <c r="B148" s="514" t="s">
        <v>24</v>
      </c>
      <c r="C148" s="598"/>
      <c r="D148" s="18"/>
      <c r="E148" s="556" t="s">
        <v>879</v>
      </c>
      <c r="F148" s="507"/>
      <c r="G148" s="507"/>
      <c r="H148" s="507"/>
      <c r="I148" s="507"/>
      <c r="J148" s="507"/>
      <c r="K148" s="507"/>
      <c r="L148" s="507"/>
      <c r="M148" s="507"/>
      <c r="N148" s="507"/>
    </row>
    <row r="149" ht="35.25" customHeight="1">
      <c r="A149" s="22"/>
      <c r="B149" s="700" t="s">
        <v>17</v>
      </c>
      <c r="C149" s="739"/>
      <c r="D149" s="22"/>
      <c r="E149" s="507"/>
      <c r="F149" s="507"/>
      <c r="G149" s="507"/>
      <c r="H149" s="507"/>
      <c r="I149" s="507"/>
      <c r="J149" s="507"/>
      <c r="K149" s="507"/>
      <c r="L149" s="507"/>
      <c r="M149" s="507"/>
      <c r="N149" s="507"/>
    </row>
    <row r="150" ht="35.25" customHeight="1">
      <c r="A150" s="599" t="s">
        <v>75</v>
      </c>
      <c r="B150" s="514" t="s">
        <v>13</v>
      </c>
      <c r="C150" s="598">
        <v>1.89245E7</v>
      </c>
      <c r="D150" s="618">
        <f>SUM(C153)</f>
        <v>0</v>
      </c>
      <c r="E150" s="507"/>
      <c r="F150" s="507"/>
      <c r="G150" s="507"/>
      <c r="H150" s="507"/>
      <c r="I150" s="507"/>
      <c r="J150" s="507"/>
      <c r="K150" s="507"/>
      <c r="L150" s="507"/>
      <c r="M150" s="507"/>
      <c r="N150" s="507"/>
    </row>
    <row r="151" ht="35.25" customHeight="1">
      <c r="A151" s="18"/>
      <c r="B151" s="514" t="s">
        <v>24</v>
      </c>
      <c r="C151" s="598"/>
      <c r="D151" s="18"/>
      <c r="E151" s="556" t="s">
        <v>880</v>
      </c>
      <c r="F151" s="507"/>
      <c r="G151" s="507"/>
      <c r="H151" s="507"/>
      <c r="I151" s="507"/>
      <c r="J151" s="507"/>
      <c r="K151" s="507"/>
      <c r="L151" s="507"/>
      <c r="M151" s="507"/>
      <c r="N151" s="507"/>
    </row>
    <row r="152" ht="35.25" customHeight="1">
      <c r="A152" s="18"/>
      <c r="B152" s="639" t="s">
        <v>17</v>
      </c>
      <c r="C152" s="598"/>
      <c r="D152" s="18"/>
      <c r="E152" s="507"/>
      <c r="F152" s="507"/>
      <c r="G152" s="507"/>
      <c r="H152" s="507"/>
      <c r="I152" s="507"/>
      <c r="J152" s="507"/>
      <c r="K152" s="507"/>
      <c r="L152" s="507"/>
      <c r="M152" s="507"/>
      <c r="N152" s="507"/>
    </row>
    <row r="153" ht="35.25" customHeight="1">
      <c r="A153" s="22"/>
      <c r="B153" s="514" t="s">
        <v>67</v>
      </c>
      <c r="C153" s="598"/>
      <c r="D153" s="22"/>
      <c r="E153" s="507"/>
      <c r="F153" s="507"/>
      <c r="G153" s="507"/>
      <c r="H153" s="507"/>
      <c r="I153" s="507"/>
      <c r="J153" s="507"/>
      <c r="K153" s="507"/>
      <c r="L153" s="507"/>
      <c r="M153" s="507"/>
      <c r="N153" s="507"/>
    </row>
    <row r="154" ht="35.25" customHeight="1">
      <c r="A154" s="599" t="s">
        <v>79</v>
      </c>
      <c r="B154" s="639" t="s">
        <v>106</v>
      </c>
      <c r="C154" s="612">
        <v>4.6229E7</v>
      </c>
      <c r="D154" s="618">
        <f>sum(C154:C155)</f>
        <v>106420500</v>
      </c>
      <c r="E154" s="507"/>
      <c r="F154" s="507"/>
      <c r="G154" s="507"/>
      <c r="H154" s="507"/>
      <c r="I154" s="507"/>
      <c r="J154" s="507"/>
      <c r="K154" s="507"/>
      <c r="L154" s="507"/>
      <c r="M154" s="507"/>
      <c r="N154" s="507"/>
    </row>
    <row r="155" ht="35.25" customHeight="1">
      <c r="A155" s="18"/>
      <c r="B155" s="514" t="s">
        <v>13</v>
      </c>
      <c r="C155" s="612">
        <v>6.01915E7</v>
      </c>
      <c r="D155" s="18"/>
      <c r="E155" s="556" t="s">
        <v>881</v>
      </c>
      <c r="F155" s="507"/>
      <c r="G155" s="507"/>
      <c r="H155" s="507"/>
      <c r="I155" s="507"/>
      <c r="J155" s="507"/>
      <c r="K155" s="507"/>
      <c r="L155" s="507"/>
      <c r="M155" s="507"/>
      <c r="N155" s="507"/>
    </row>
    <row r="156" ht="35.25" customHeight="1">
      <c r="A156" s="18"/>
      <c r="B156" s="639" t="s">
        <v>24</v>
      </c>
      <c r="C156" s="738"/>
      <c r="D156" s="18"/>
      <c r="E156" s="507"/>
      <c r="F156" s="507"/>
      <c r="G156" s="507"/>
      <c r="H156" s="507"/>
      <c r="I156" s="507"/>
      <c r="J156" s="507"/>
      <c r="K156" s="507"/>
      <c r="L156" s="507"/>
      <c r="M156" s="507"/>
      <c r="N156" s="507"/>
    </row>
    <row r="157" ht="35.25" customHeight="1">
      <c r="A157" s="22"/>
      <c r="B157" s="639" t="s">
        <v>17</v>
      </c>
      <c r="C157" s="738"/>
      <c r="D157" s="22"/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</row>
    <row r="158" ht="35.25" customHeight="1">
      <c r="A158" s="609" t="s">
        <v>80</v>
      </c>
      <c r="B158" s="514" t="s">
        <v>92</v>
      </c>
      <c r="C158" s="635">
        <v>5860500.0</v>
      </c>
      <c r="D158" s="618">
        <f>sum(C158:C160)</f>
        <v>261331000</v>
      </c>
      <c r="E158" s="507"/>
      <c r="F158" s="507"/>
      <c r="G158" s="507"/>
      <c r="H158" s="507"/>
      <c r="I158" s="507"/>
      <c r="J158" s="507"/>
      <c r="K158" s="507"/>
      <c r="L158" s="507"/>
      <c r="M158" s="507"/>
      <c r="N158" s="507"/>
    </row>
    <row r="159" ht="35.25" customHeight="1">
      <c r="A159" s="18"/>
      <c r="B159" s="514" t="s">
        <v>81</v>
      </c>
      <c r="C159" s="622">
        <v>2.043675E8</v>
      </c>
      <c r="D159" s="18"/>
      <c r="E159" s="507"/>
      <c r="F159" s="507"/>
      <c r="G159" s="507"/>
      <c r="H159" s="507"/>
      <c r="I159" s="507"/>
      <c r="J159" s="507"/>
      <c r="K159" s="507"/>
      <c r="L159" s="507"/>
      <c r="M159" s="507"/>
      <c r="N159" s="507"/>
    </row>
    <row r="160" ht="35.25" customHeight="1">
      <c r="A160" s="18"/>
      <c r="B160" s="514" t="s">
        <v>13</v>
      </c>
      <c r="C160" s="598">
        <v>5.1103E7</v>
      </c>
      <c r="D160" s="18"/>
      <c r="E160" s="507"/>
      <c r="F160" s="507"/>
      <c r="G160" s="507"/>
      <c r="H160" s="507"/>
      <c r="I160" s="507"/>
      <c r="J160" s="507"/>
      <c r="K160" s="507"/>
      <c r="L160" s="507"/>
      <c r="M160" s="507"/>
      <c r="N160" s="507"/>
    </row>
    <row r="161" ht="35.25" customHeight="1">
      <c r="A161" s="18"/>
      <c r="B161" s="514" t="s">
        <v>24</v>
      </c>
      <c r="C161" s="650"/>
      <c r="D161" s="18"/>
      <c r="E161" s="556"/>
      <c r="F161" s="507"/>
      <c r="G161" s="507"/>
      <c r="H161" s="507"/>
      <c r="I161" s="507"/>
      <c r="J161" s="507"/>
      <c r="K161" s="507"/>
      <c r="L161" s="507"/>
      <c r="M161" s="507"/>
      <c r="N161" s="507"/>
    </row>
    <row r="162" ht="35.25" customHeight="1">
      <c r="A162" s="18"/>
      <c r="B162" s="636" t="s">
        <v>17</v>
      </c>
      <c r="C162" s="637"/>
      <c r="D162" s="18"/>
      <c r="E162" s="507"/>
      <c r="F162" s="507"/>
      <c r="G162" s="507"/>
      <c r="H162" s="507"/>
      <c r="I162" s="507"/>
      <c r="J162" s="507"/>
      <c r="K162" s="507"/>
      <c r="L162" s="507"/>
      <c r="M162" s="507"/>
      <c r="N162" s="507"/>
    </row>
    <row r="163" ht="35.25" customHeight="1">
      <c r="A163" s="18"/>
      <c r="B163" s="639" t="s">
        <v>67</v>
      </c>
      <c r="C163" s="738"/>
      <c r="D163" s="18"/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</row>
    <row r="164" ht="35.25" customHeight="1">
      <c r="A164" s="22"/>
      <c r="B164" s="514"/>
      <c r="C164" s="622"/>
      <c r="D164" s="22"/>
      <c r="E164" s="507"/>
      <c r="F164" s="507"/>
      <c r="G164" s="507"/>
      <c r="H164" s="507"/>
      <c r="I164" s="507"/>
      <c r="J164" s="507"/>
      <c r="K164" s="507"/>
      <c r="L164" s="507"/>
      <c r="M164" s="507"/>
      <c r="N164" s="507"/>
    </row>
    <row r="165" ht="35.25" customHeight="1">
      <c r="A165" s="609" t="s">
        <v>86</v>
      </c>
      <c r="B165" s="524" t="s">
        <v>13</v>
      </c>
      <c r="C165" s="619">
        <v>3.2587E7</v>
      </c>
      <c r="D165" s="618">
        <f>sum(C165)</f>
        <v>32587000</v>
      </c>
      <c r="E165" s="507"/>
      <c r="F165" s="507"/>
      <c r="G165" s="507"/>
      <c r="H165" s="507"/>
      <c r="I165" s="507"/>
      <c r="J165" s="507"/>
      <c r="K165" s="507"/>
      <c r="L165" s="507"/>
      <c r="M165" s="507"/>
      <c r="N165" s="507"/>
    </row>
    <row r="166" ht="35.25" customHeight="1">
      <c r="A166" s="18"/>
      <c r="B166" s="639" t="s">
        <v>24</v>
      </c>
      <c r="C166" s="637"/>
      <c r="D166" s="18"/>
      <c r="E166" s="556" t="s">
        <v>884</v>
      </c>
      <c r="F166" s="507"/>
      <c r="G166" s="507"/>
      <c r="H166" s="507"/>
      <c r="I166" s="507"/>
      <c r="J166" s="507"/>
      <c r="K166" s="507"/>
      <c r="L166" s="507"/>
      <c r="M166" s="507"/>
      <c r="N166" s="507"/>
    </row>
    <row r="167" ht="35.25" customHeight="1">
      <c r="A167" s="18"/>
      <c r="B167" s="639" t="s">
        <v>17</v>
      </c>
      <c r="C167" s="637"/>
      <c r="D167" s="18"/>
      <c r="E167" s="635"/>
      <c r="F167" s="507"/>
      <c r="G167" s="507"/>
      <c r="H167" s="507"/>
      <c r="I167" s="507"/>
      <c r="J167" s="507"/>
      <c r="K167" s="507"/>
      <c r="L167" s="507"/>
      <c r="M167" s="507"/>
      <c r="N167" s="507"/>
    </row>
    <row r="168" ht="35.25" customHeight="1">
      <c r="A168" s="18"/>
      <c r="B168" s="639" t="s">
        <v>67</v>
      </c>
      <c r="C168" s="738"/>
      <c r="D168" s="18"/>
      <c r="E168" s="556"/>
      <c r="F168" s="507"/>
      <c r="G168" s="507"/>
      <c r="H168" s="507"/>
      <c r="I168" s="507"/>
      <c r="J168" s="507"/>
      <c r="K168" s="507"/>
      <c r="L168" s="507"/>
      <c r="M168" s="507"/>
      <c r="N168" s="507"/>
    </row>
    <row r="169" ht="35.25" customHeight="1">
      <c r="A169" s="22"/>
      <c r="B169" s="738"/>
      <c r="C169" s="738"/>
      <c r="D169" s="22"/>
      <c r="E169" s="556"/>
      <c r="F169" s="507"/>
      <c r="G169" s="507"/>
      <c r="H169" s="507"/>
      <c r="I169" s="507"/>
      <c r="J169" s="507"/>
      <c r="K169" s="507"/>
      <c r="L169" s="507"/>
      <c r="M169" s="507"/>
      <c r="N169" s="507"/>
    </row>
    <row r="170" ht="35.25" customHeight="1">
      <c r="A170" s="599" t="s">
        <v>90</v>
      </c>
      <c r="B170" s="514" t="s">
        <v>81</v>
      </c>
      <c r="C170" s="696">
        <v>9.11265E7</v>
      </c>
      <c r="D170" s="618">
        <f>sum(C170:C171)</f>
        <v>135069500</v>
      </c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</row>
    <row r="171" ht="35.25" customHeight="1">
      <c r="A171" s="18"/>
      <c r="B171" s="639" t="s">
        <v>13</v>
      </c>
      <c r="C171" s="696">
        <v>4.3943E7</v>
      </c>
      <c r="D171" s="18"/>
      <c r="E171" s="556" t="s">
        <v>885</v>
      </c>
      <c r="F171" s="507"/>
      <c r="G171" s="507"/>
      <c r="H171" s="507"/>
      <c r="I171" s="507"/>
      <c r="J171" s="507"/>
      <c r="K171" s="507"/>
      <c r="L171" s="507"/>
      <c r="M171" s="507"/>
      <c r="N171" s="507"/>
    </row>
    <row r="172" ht="35.25" customHeight="1">
      <c r="A172" s="18"/>
      <c r="B172" s="514" t="s">
        <v>24</v>
      </c>
      <c r="C172" s="627"/>
      <c r="D172" s="18"/>
      <c r="E172" s="626"/>
      <c r="F172" s="507"/>
      <c r="G172" s="507"/>
      <c r="H172" s="507"/>
      <c r="I172" s="507"/>
      <c r="J172" s="507"/>
      <c r="K172" s="507"/>
      <c r="L172" s="507"/>
      <c r="M172" s="507"/>
      <c r="N172" s="507"/>
    </row>
    <row r="173" ht="35.25" customHeight="1">
      <c r="A173" s="18"/>
      <c r="B173" s="157"/>
      <c r="C173" s="157"/>
      <c r="D173" s="18"/>
      <c r="E173" s="556"/>
      <c r="F173" s="507"/>
      <c r="G173" s="507"/>
      <c r="H173" s="507"/>
      <c r="I173" s="507"/>
      <c r="J173" s="507"/>
      <c r="K173" s="507"/>
      <c r="L173" s="507"/>
      <c r="M173" s="507"/>
      <c r="N173" s="507"/>
    </row>
    <row r="174" ht="35.25" customHeight="1">
      <c r="A174" s="22"/>
      <c r="B174" s="157"/>
      <c r="C174" s="157"/>
      <c r="D174" s="22"/>
      <c r="E174" s="556"/>
      <c r="F174" s="507"/>
      <c r="G174" s="507"/>
      <c r="H174" s="507"/>
      <c r="I174" s="507"/>
      <c r="J174" s="507"/>
      <c r="K174" s="507"/>
      <c r="L174" s="507"/>
      <c r="M174" s="507"/>
      <c r="N174" s="507"/>
    </row>
    <row r="175" ht="35.25" customHeight="1">
      <c r="A175" s="609" t="s">
        <v>610</v>
      </c>
      <c r="B175" s="514" t="s">
        <v>13</v>
      </c>
      <c r="C175" s="627">
        <v>2.5002E7</v>
      </c>
      <c r="D175" s="618">
        <f>sum(C175)</f>
        <v>25002000</v>
      </c>
      <c r="E175" s="507"/>
      <c r="F175" s="507"/>
      <c r="G175" s="507"/>
      <c r="H175" s="507"/>
      <c r="I175" s="507"/>
      <c r="J175" s="507"/>
      <c r="K175" s="507"/>
      <c r="L175" s="507"/>
      <c r="M175" s="507"/>
      <c r="N175" s="507"/>
    </row>
    <row r="176" ht="35.25" customHeight="1">
      <c r="A176" s="18"/>
      <c r="B176" s="636" t="s">
        <v>24</v>
      </c>
      <c r="C176" s="627"/>
      <c r="D176" s="18"/>
      <c r="E176" s="556" t="s">
        <v>886</v>
      </c>
      <c r="F176" s="507"/>
      <c r="G176" s="507"/>
      <c r="H176" s="507"/>
      <c r="I176" s="507"/>
      <c r="J176" s="507"/>
      <c r="K176" s="507"/>
      <c r="L176" s="507"/>
      <c r="M176" s="507"/>
      <c r="N176" s="507"/>
    </row>
    <row r="177" ht="35.25" customHeight="1">
      <c r="A177" s="18"/>
      <c r="B177" s="700" t="s">
        <v>17</v>
      </c>
      <c r="C177" s="637"/>
      <c r="D177" s="18"/>
      <c r="E177" s="507"/>
      <c r="F177" s="507"/>
      <c r="G177" s="507"/>
      <c r="H177" s="507"/>
      <c r="I177" s="507"/>
      <c r="J177" s="507"/>
      <c r="K177" s="507"/>
      <c r="L177" s="507"/>
      <c r="M177" s="507"/>
      <c r="N177" s="507"/>
    </row>
    <row r="178" ht="35.25" customHeight="1">
      <c r="A178" s="18"/>
      <c r="B178" s="639" t="s">
        <v>67</v>
      </c>
      <c r="C178" s="738"/>
      <c r="D178" s="18"/>
      <c r="E178" s="628"/>
      <c r="F178" s="507"/>
      <c r="G178" s="507"/>
      <c r="H178" s="507"/>
      <c r="I178" s="507"/>
      <c r="J178" s="507"/>
      <c r="K178" s="507"/>
      <c r="L178" s="507"/>
      <c r="M178" s="507"/>
      <c r="N178" s="507"/>
    </row>
    <row r="179" ht="35.25" customHeight="1">
      <c r="A179" s="22"/>
      <c r="B179" s="738"/>
      <c r="C179" s="738"/>
      <c r="D179" s="22"/>
      <c r="E179" s="556"/>
      <c r="F179" s="507"/>
      <c r="G179" s="507"/>
      <c r="H179" s="507"/>
      <c r="I179" s="507"/>
      <c r="J179" s="507"/>
      <c r="K179" s="507"/>
      <c r="L179" s="507"/>
      <c r="M179" s="507"/>
      <c r="N179" s="507"/>
    </row>
    <row r="180" ht="35.25" customHeight="1">
      <c r="A180" s="618" t="s">
        <v>96</v>
      </c>
      <c r="B180" s="547" t="s">
        <v>13</v>
      </c>
      <c r="C180" s="598">
        <v>3.82585E7</v>
      </c>
      <c r="D180" s="618">
        <f>sum(C180:C183)</f>
        <v>38258500</v>
      </c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</row>
    <row r="181" ht="35.25" customHeight="1">
      <c r="A181" s="18"/>
      <c r="B181" s="524" t="s">
        <v>24</v>
      </c>
      <c r="C181" s="593"/>
      <c r="D181" s="18"/>
      <c r="E181" s="556"/>
      <c r="F181" s="507"/>
      <c r="G181" s="507"/>
      <c r="H181" s="507"/>
      <c r="I181" s="507"/>
      <c r="J181" s="507"/>
      <c r="K181" s="507"/>
      <c r="L181" s="507"/>
      <c r="M181" s="507"/>
      <c r="N181" s="507"/>
    </row>
    <row r="182" ht="35.25" customHeight="1">
      <c r="A182" s="18"/>
      <c r="B182" s="634" t="s">
        <v>17</v>
      </c>
      <c r="C182" s="593"/>
      <c r="D182" s="18"/>
      <c r="E182" s="556"/>
      <c r="F182" s="507"/>
      <c r="G182" s="507"/>
      <c r="H182" s="507"/>
      <c r="I182" s="507"/>
      <c r="J182" s="507"/>
      <c r="K182" s="507"/>
      <c r="L182" s="507"/>
      <c r="M182" s="507"/>
      <c r="N182" s="507"/>
    </row>
    <row r="183" ht="35.25" customHeight="1">
      <c r="A183" s="18"/>
      <c r="B183" s="639" t="s">
        <v>67</v>
      </c>
      <c r="C183" s="637"/>
      <c r="D183" s="18"/>
      <c r="E183" s="556" t="s">
        <v>887</v>
      </c>
      <c r="F183" s="507"/>
      <c r="G183" s="507"/>
      <c r="H183" s="507"/>
      <c r="I183" s="507"/>
      <c r="J183" s="507"/>
      <c r="K183" s="507"/>
      <c r="L183" s="507"/>
      <c r="M183" s="507"/>
      <c r="N183" s="507"/>
    </row>
    <row r="184" ht="35.25" customHeight="1">
      <c r="A184" s="18"/>
      <c r="B184" s="157"/>
      <c r="C184" s="157"/>
      <c r="D184" s="18"/>
      <c r="E184" s="556"/>
      <c r="F184" s="507"/>
      <c r="G184" s="507"/>
      <c r="H184" s="507"/>
      <c r="I184" s="507"/>
      <c r="J184" s="507"/>
      <c r="K184" s="507"/>
      <c r="L184" s="507"/>
      <c r="M184" s="507"/>
      <c r="N184" s="507"/>
    </row>
    <row r="185" ht="35.25" customHeight="1">
      <c r="A185" s="618" t="s">
        <v>100</v>
      </c>
      <c r="B185" s="636" t="s">
        <v>892</v>
      </c>
      <c r="C185" s="709">
        <v>1.032384E8</v>
      </c>
      <c r="D185" s="618"/>
      <c r="E185" s="507"/>
      <c r="F185" s="507"/>
      <c r="G185" s="507"/>
      <c r="H185" s="507"/>
      <c r="I185" s="507"/>
      <c r="J185" s="507"/>
      <c r="K185" s="507"/>
      <c r="L185" s="507"/>
      <c r="M185" s="507"/>
      <c r="N185" s="507"/>
    </row>
    <row r="186" ht="35.25" customHeight="1">
      <c r="A186" s="18"/>
      <c r="B186" s="639" t="s">
        <v>893</v>
      </c>
      <c r="C186" s="637">
        <v>1.533345E8</v>
      </c>
      <c r="D186" s="18"/>
      <c r="E186" s="556" t="s">
        <v>890</v>
      </c>
      <c r="F186" s="507"/>
      <c r="G186" s="507"/>
      <c r="H186" s="507"/>
      <c r="I186" s="507"/>
      <c r="J186" s="507"/>
      <c r="K186" s="507"/>
      <c r="L186" s="507"/>
      <c r="M186" s="507"/>
      <c r="N186" s="507"/>
    </row>
    <row r="187" ht="35.25" customHeight="1">
      <c r="A187" s="18"/>
      <c r="B187" s="639" t="s">
        <v>991</v>
      </c>
      <c r="C187" s="637">
        <v>1.43282E8</v>
      </c>
      <c r="D187" s="18"/>
      <c r="E187" s="507"/>
      <c r="F187" s="507"/>
      <c r="G187" s="507"/>
      <c r="H187" s="507"/>
      <c r="I187" s="507"/>
      <c r="J187" s="507"/>
      <c r="K187" s="507"/>
      <c r="L187" s="507"/>
      <c r="M187" s="507"/>
      <c r="N187" s="507"/>
    </row>
    <row r="188" ht="35.25" customHeight="1">
      <c r="A188" s="18"/>
      <c r="B188" s="636" t="s">
        <v>992</v>
      </c>
      <c r="C188" s="637">
        <v>1.45155E8</v>
      </c>
      <c r="D188" s="18"/>
      <c r="E188" s="507"/>
      <c r="F188" s="507"/>
      <c r="G188" s="507"/>
      <c r="H188" s="507"/>
      <c r="I188" s="507"/>
      <c r="J188" s="507"/>
      <c r="K188" s="507"/>
      <c r="L188" s="507"/>
      <c r="M188" s="507"/>
      <c r="N188" s="507"/>
    </row>
    <row r="189" ht="35.25" customHeight="1">
      <c r="A189" s="18"/>
      <c r="B189" s="636" t="s">
        <v>982</v>
      </c>
      <c r="C189" s="637">
        <v>1.619718E8</v>
      </c>
      <c r="D189" s="18"/>
      <c r="E189" s="629"/>
      <c r="F189" s="740"/>
      <c r="G189" s="507"/>
      <c r="H189" s="507"/>
      <c r="I189" s="507"/>
      <c r="J189" s="507"/>
      <c r="K189" s="507"/>
      <c r="L189" s="507"/>
      <c r="M189" s="507"/>
      <c r="N189" s="507"/>
    </row>
    <row r="190" ht="35.25" customHeight="1">
      <c r="A190" s="18"/>
      <c r="B190" s="700" t="s">
        <v>993</v>
      </c>
      <c r="C190" s="637">
        <v>2.034381E8</v>
      </c>
      <c r="D190" s="18"/>
      <c r="E190" s="507"/>
      <c r="F190" s="507"/>
      <c r="G190" s="507"/>
      <c r="H190" s="507"/>
      <c r="I190" s="507"/>
      <c r="J190" s="507"/>
      <c r="K190" s="507"/>
      <c r="L190" s="507"/>
      <c r="M190" s="507"/>
      <c r="N190" s="507"/>
    </row>
    <row r="191" ht="35.25" customHeight="1">
      <c r="A191" s="18"/>
      <c r="B191" s="636" t="s">
        <v>99</v>
      </c>
      <c r="C191" s="638">
        <f>sum(C185:C190)</f>
        <v>910419800</v>
      </c>
      <c r="D191" s="18"/>
      <c r="E191" s="556"/>
      <c r="F191" s="507"/>
      <c r="G191" s="507"/>
      <c r="H191" s="507"/>
      <c r="I191" s="507"/>
      <c r="J191" s="507"/>
      <c r="K191" s="507"/>
      <c r="L191" s="507"/>
      <c r="M191" s="507"/>
      <c r="N191" s="507"/>
    </row>
    <row r="192" ht="35.25" customHeight="1">
      <c r="A192" s="618" t="s">
        <v>101</v>
      </c>
      <c r="B192" s="629" t="s">
        <v>81</v>
      </c>
      <c r="C192" s="741">
        <v>1.03705E8</v>
      </c>
      <c r="D192" s="618">
        <f>SUM(C192:C193)</f>
        <v>144202000</v>
      </c>
      <c r="E192" s="556">
        <v>7.74365E7</v>
      </c>
      <c r="F192" s="507"/>
      <c r="G192" s="507"/>
      <c r="H192" s="507"/>
      <c r="I192" s="507"/>
      <c r="J192" s="507"/>
      <c r="K192" s="507"/>
      <c r="L192" s="507"/>
      <c r="M192" s="507"/>
      <c r="N192" s="507"/>
    </row>
    <row r="193" ht="35.25" customHeight="1">
      <c r="A193" s="18"/>
      <c r="B193" s="524" t="s">
        <v>13</v>
      </c>
      <c r="C193" s="593">
        <v>4.0497E7</v>
      </c>
      <c r="D193" s="18"/>
      <c r="E193" s="507"/>
      <c r="F193" s="507"/>
      <c r="G193" s="507"/>
      <c r="H193" s="507"/>
      <c r="I193" s="507"/>
      <c r="J193" s="507"/>
      <c r="K193" s="507"/>
      <c r="L193" s="507"/>
      <c r="M193" s="507"/>
      <c r="N193" s="507"/>
    </row>
    <row r="194" ht="35.25" customHeight="1">
      <c r="A194" s="18"/>
      <c r="B194" s="524" t="s">
        <v>24</v>
      </c>
      <c r="C194" s="593"/>
      <c r="D194" s="18"/>
      <c r="E194" s="556"/>
      <c r="F194" s="507"/>
      <c r="G194" s="507"/>
      <c r="H194" s="507"/>
      <c r="I194" s="507"/>
      <c r="J194" s="507"/>
      <c r="K194" s="507"/>
      <c r="L194" s="507"/>
      <c r="M194" s="507"/>
      <c r="N194" s="507"/>
    </row>
    <row r="195" ht="35.25" customHeight="1">
      <c r="A195" s="18"/>
      <c r="B195" s="524" t="s">
        <v>17</v>
      </c>
      <c r="C195" s="593"/>
      <c r="D195" s="18"/>
      <c r="E195" s="556" t="s">
        <v>894</v>
      </c>
      <c r="F195" s="507"/>
      <c r="G195" s="507"/>
      <c r="H195" s="507"/>
      <c r="I195" s="507"/>
      <c r="J195" s="507"/>
      <c r="K195" s="507"/>
      <c r="L195" s="507"/>
      <c r="M195" s="507"/>
      <c r="N195" s="507"/>
    </row>
    <row r="196" ht="35.25" customHeight="1">
      <c r="A196" s="18"/>
      <c r="B196" s="524" t="s">
        <v>67</v>
      </c>
      <c r="C196" s="593"/>
      <c r="D196" s="18"/>
      <c r="E196" s="507"/>
      <c r="F196" s="507"/>
      <c r="G196" s="507"/>
      <c r="H196" s="507"/>
      <c r="I196" s="507"/>
      <c r="J196" s="507"/>
      <c r="K196" s="507"/>
      <c r="L196" s="507"/>
      <c r="M196" s="507"/>
      <c r="N196" s="507"/>
    </row>
    <row r="197" ht="35.25" customHeight="1">
      <c r="A197" s="18"/>
      <c r="B197" s="636"/>
      <c r="C197" s="637"/>
      <c r="D197" s="18"/>
      <c r="E197" s="507"/>
      <c r="F197" s="507"/>
      <c r="G197" s="507"/>
      <c r="H197" s="507"/>
      <c r="I197" s="507"/>
      <c r="J197" s="507"/>
      <c r="K197" s="507"/>
      <c r="L197" s="507"/>
      <c r="M197" s="507"/>
      <c r="N197" s="507"/>
    </row>
    <row r="198" ht="35.25" customHeight="1">
      <c r="A198" s="18"/>
      <c r="B198" s="636"/>
      <c r="C198" s="620"/>
      <c r="D198" s="18"/>
      <c r="E198" s="507"/>
      <c r="F198" s="507"/>
      <c r="G198" s="507"/>
      <c r="H198" s="507"/>
      <c r="I198" s="507"/>
      <c r="J198" s="507"/>
      <c r="K198" s="507"/>
      <c r="L198" s="507"/>
      <c r="M198" s="507"/>
      <c r="N198" s="507"/>
    </row>
    <row r="199" ht="35.25" customHeight="1">
      <c r="A199" s="618" t="s">
        <v>107</v>
      </c>
      <c r="B199" s="636" t="s">
        <v>106</v>
      </c>
      <c r="C199" s="637">
        <v>4.09795E7</v>
      </c>
      <c r="D199" s="618">
        <f>SUM(C199:C200)</f>
        <v>91579500</v>
      </c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</row>
    <row r="200" ht="35.25" customHeight="1">
      <c r="A200" s="18"/>
      <c r="B200" s="639" t="s">
        <v>13</v>
      </c>
      <c r="C200" s="696">
        <v>5.06E7</v>
      </c>
      <c r="D200" s="18"/>
      <c r="E200" s="556" t="s">
        <v>895</v>
      </c>
      <c r="F200" s="507"/>
      <c r="G200" s="507"/>
      <c r="H200" s="507"/>
      <c r="I200" s="507"/>
      <c r="J200" s="507"/>
      <c r="K200" s="507"/>
      <c r="L200" s="507"/>
      <c r="M200" s="507"/>
      <c r="N200" s="507"/>
    </row>
    <row r="201" ht="35.25" customHeight="1">
      <c r="A201" s="18"/>
      <c r="B201" s="639" t="s">
        <v>24</v>
      </c>
      <c r="C201" s="637"/>
      <c r="D201" s="18"/>
      <c r="E201" s="556"/>
      <c r="F201" s="507"/>
      <c r="G201" s="507"/>
      <c r="H201" s="507"/>
      <c r="I201" s="507"/>
      <c r="J201" s="507"/>
      <c r="K201" s="507"/>
      <c r="L201" s="507"/>
      <c r="M201" s="507"/>
      <c r="N201" s="507"/>
    </row>
    <row r="202" ht="35.25" customHeight="1">
      <c r="A202" s="18"/>
      <c r="B202" s="636" t="s">
        <v>17</v>
      </c>
      <c r="C202" s="637"/>
      <c r="D202" s="18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</row>
    <row r="203" ht="35.25" customHeight="1">
      <c r="A203" s="18"/>
      <c r="B203" s="639" t="s">
        <v>67</v>
      </c>
      <c r="C203" s="738"/>
      <c r="D203" s="18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</row>
    <row r="204" ht="35.25" customHeight="1">
      <c r="A204" s="618" t="s">
        <v>108</v>
      </c>
      <c r="B204" s="524" t="s">
        <v>92</v>
      </c>
      <c r="C204" s="593">
        <v>2.63278E7</v>
      </c>
      <c r="D204" s="618">
        <f>sum(C204:C206)</f>
        <v>159152400</v>
      </c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</row>
    <row r="205" ht="35.25" customHeight="1">
      <c r="A205" s="18"/>
      <c r="B205" s="524" t="s">
        <v>81</v>
      </c>
      <c r="C205" s="593">
        <v>1.046186E8</v>
      </c>
      <c r="D205" s="18"/>
      <c r="E205" s="635">
        <f>sum(C206:C209)</f>
        <v>28206000</v>
      </c>
      <c r="F205" s="507"/>
      <c r="G205" s="507"/>
      <c r="H205" s="507"/>
      <c r="I205" s="507"/>
      <c r="J205" s="507"/>
      <c r="K205" s="507"/>
      <c r="L205" s="507"/>
      <c r="M205" s="507"/>
      <c r="N205" s="507"/>
    </row>
    <row r="206" ht="35.25" customHeight="1">
      <c r="A206" s="18"/>
      <c r="B206" s="639" t="s">
        <v>13</v>
      </c>
      <c r="C206" s="699">
        <v>2.8206E7</v>
      </c>
      <c r="D206" s="18"/>
      <c r="E206" s="556"/>
      <c r="F206" s="507"/>
      <c r="G206" s="507"/>
      <c r="H206" s="507"/>
      <c r="I206" s="507"/>
      <c r="J206" s="507"/>
      <c r="K206" s="507"/>
      <c r="L206" s="507"/>
      <c r="M206" s="507"/>
      <c r="N206" s="507"/>
    </row>
    <row r="207" ht="35.25" customHeight="1">
      <c r="A207" s="18"/>
      <c r="B207" s="639" t="s">
        <v>24</v>
      </c>
      <c r="C207" s="637"/>
      <c r="D207" s="18"/>
      <c r="E207" s="556">
        <v>1.046186E8</v>
      </c>
      <c r="F207" s="507"/>
      <c r="G207" s="507"/>
      <c r="H207" s="507"/>
      <c r="I207" s="507"/>
      <c r="J207" s="507"/>
      <c r="K207" s="507"/>
      <c r="L207" s="507"/>
      <c r="M207" s="507"/>
      <c r="N207" s="507"/>
    </row>
    <row r="208" ht="35.25" customHeight="1">
      <c r="A208" s="18"/>
      <c r="B208" s="636" t="s">
        <v>17</v>
      </c>
      <c r="C208" s="637"/>
      <c r="D208" s="18"/>
      <c r="E208" s="556"/>
      <c r="F208" s="507"/>
      <c r="G208" s="507"/>
      <c r="H208" s="507"/>
      <c r="I208" s="507"/>
      <c r="J208" s="507"/>
      <c r="K208" s="507"/>
      <c r="L208" s="507"/>
      <c r="M208" s="507"/>
      <c r="N208" s="507"/>
    </row>
    <row r="209" ht="35.25" customHeight="1">
      <c r="A209" s="18"/>
      <c r="B209" s="639" t="s">
        <v>67</v>
      </c>
      <c r="C209" s="620"/>
      <c r="D209" s="18"/>
      <c r="E209" s="507"/>
      <c r="F209" s="507"/>
      <c r="G209" s="507"/>
      <c r="H209" s="507"/>
      <c r="I209" s="507"/>
      <c r="J209" s="507"/>
      <c r="K209" s="507"/>
      <c r="L209" s="507"/>
      <c r="M209" s="507"/>
      <c r="N209" s="507"/>
    </row>
    <row r="210" ht="35.25" customHeight="1">
      <c r="A210" s="618" t="s">
        <v>112</v>
      </c>
      <c r="B210" s="639" t="s">
        <v>13</v>
      </c>
      <c r="C210" s="637">
        <v>7.21285E7</v>
      </c>
      <c r="D210" s="618">
        <f>SUM(C210)</f>
        <v>72128500</v>
      </c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</row>
    <row r="211" ht="35.25" customHeight="1">
      <c r="A211" s="18"/>
      <c r="B211" s="639" t="s">
        <v>24</v>
      </c>
      <c r="C211" s="598"/>
      <c r="D211" s="18"/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</row>
    <row r="212" ht="35.25" customHeight="1">
      <c r="A212" s="18"/>
      <c r="B212" s="636" t="s">
        <v>17</v>
      </c>
      <c r="C212" s="593"/>
      <c r="D212" s="18"/>
      <c r="E212" s="556"/>
      <c r="F212" s="507"/>
      <c r="G212" s="507"/>
      <c r="H212" s="507"/>
      <c r="I212" s="507"/>
      <c r="J212" s="507"/>
      <c r="K212" s="507"/>
      <c r="L212" s="507"/>
      <c r="M212" s="507"/>
      <c r="N212" s="507"/>
    </row>
    <row r="213" ht="35.25" customHeight="1">
      <c r="A213" s="18"/>
      <c r="B213" s="639" t="s">
        <v>67</v>
      </c>
      <c r="C213" s="637"/>
      <c r="D213" s="18"/>
      <c r="E213" s="556"/>
      <c r="F213" s="507"/>
      <c r="G213" s="507"/>
      <c r="H213" s="507"/>
      <c r="I213" s="507"/>
      <c r="J213" s="507"/>
      <c r="K213" s="507"/>
      <c r="L213" s="507"/>
      <c r="M213" s="507"/>
      <c r="N213" s="507"/>
    </row>
    <row r="214" ht="35.25" customHeight="1">
      <c r="A214" s="18"/>
      <c r="B214" s="639"/>
      <c r="C214" s="637"/>
      <c r="D214" s="18"/>
      <c r="E214" s="556"/>
      <c r="F214" s="507"/>
      <c r="G214" s="507"/>
      <c r="H214" s="507"/>
      <c r="I214" s="507"/>
      <c r="J214" s="507"/>
      <c r="K214" s="507"/>
      <c r="L214" s="507"/>
      <c r="M214" s="507"/>
      <c r="N214" s="507"/>
    </row>
    <row r="215" ht="35.25" customHeight="1">
      <c r="A215" s="618" t="s">
        <v>115</v>
      </c>
      <c r="B215" s="636" t="s">
        <v>994</v>
      </c>
      <c r="C215" s="598">
        <v>1.0E8</v>
      </c>
      <c r="D215" s="618">
        <f>SUM(C215:C216)</f>
        <v>133223000</v>
      </c>
      <c r="E215" s="556"/>
      <c r="F215" s="507"/>
      <c r="G215" s="507"/>
      <c r="H215" s="507"/>
      <c r="I215" s="507"/>
      <c r="J215" s="507"/>
      <c r="K215" s="507"/>
      <c r="L215" s="507"/>
      <c r="M215" s="507"/>
      <c r="N215" s="507"/>
    </row>
    <row r="216" ht="35.25" customHeight="1">
      <c r="A216" s="18"/>
      <c r="B216" s="639" t="s">
        <v>13</v>
      </c>
      <c r="C216" s="598">
        <v>3.3223E7</v>
      </c>
      <c r="D216" s="18"/>
      <c r="E216" s="556"/>
      <c r="F216" s="507"/>
      <c r="G216" s="507"/>
      <c r="H216" s="507"/>
      <c r="I216" s="507"/>
      <c r="J216" s="507"/>
      <c r="K216" s="507"/>
      <c r="L216" s="507"/>
      <c r="M216" s="507"/>
      <c r="N216" s="507"/>
    </row>
    <row r="217" ht="35.25" customHeight="1">
      <c r="A217" s="18"/>
      <c r="B217" s="639"/>
      <c r="C217" s="598"/>
      <c r="D217" s="18"/>
      <c r="E217" s="556" t="s">
        <v>898</v>
      </c>
      <c r="F217" s="507"/>
      <c r="G217" s="507"/>
      <c r="H217" s="507"/>
      <c r="I217" s="507"/>
      <c r="J217" s="507"/>
      <c r="K217" s="507"/>
      <c r="L217" s="507"/>
      <c r="M217" s="507"/>
      <c r="N217" s="507"/>
    </row>
    <row r="218" ht="35.25" customHeight="1">
      <c r="A218" s="18"/>
      <c r="B218" s="639"/>
      <c r="C218" s="598"/>
      <c r="D218" s="18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</row>
    <row r="219" ht="35.25" customHeight="1">
      <c r="A219" s="618" t="s">
        <v>116</v>
      </c>
      <c r="B219" s="639" t="s">
        <v>106</v>
      </c>
      <c r="C219" s="696">
        <v>4.07125E7</v>
      </c>
      <c r="D219" s="618">
        <f>SUM(C219)</f>
        <v>40712500</v>
      </c>
      <c r="E219" s="507"/>
      <c r="F219" s="507"/>
      <c r="G219" s="507"/>
      <c r="H219" s="507"/>
      <c r="I219" s="507"/>
      <c r="J219" s="507"/>
      <c r="K219" s="507"/>
      <c r="L219" s="507"/>
      <c r="M219" s="507"/>
      <c r="N219" s="507"/>
    </row>
    <row r="220" ht="35.25" customHeight="1">
      <c r="A220" s="18"/>
      <c r="B220" s="524"/>
      <c r="C220" s="617"/>
      <c r="D220" s="18"/>
      <c r="E220" s="556"/>
      <c r="F220" s="507"/>
      <c r="G220" s="507"/>
      <c r="H220" s="507"/>
      <c r="I220" s="507"/>
      <c r="J220" s="507"/>
      <c r="K220" s="507"/>
      <c r="L220" s="507"/>
      <c r="M220" s="507"/>
      <c r="N220" s="507"/>
    </row>
    <row r="221" ht="35.25" customHeight="1">
      <c r="A221" s="18"/>
      <c r="B221" s="639"/>
      <c r="C221" s="617"/>
      <c r="D221" s="18"/>
      <c r="E221" s="556"/>
      <c r="F221" s="507"/>
      <c r="G221" s="507"/>
      <c r="H221" s="507"/>
      <c r="I221" s="507"/>
      <c r="J221" s="507"/>
      <c r="K221" s="507"/>
      <c r="L221" s="507"/>
      <c r="M221" s="507"/>
      <c r="N221" s="507"/>
    </row>
    <row r="222" ht="35.25" customHeight="1">
      <c r="A222" s="18"/>
      <c r="B222" s="639"/>
      <c r="C222" s="696"/>
      <c r="D222" s="18"/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</row>
    <row r="223" ht="35.25" customHeight="1">
      <c r="A223" s="18"/>
      <c r="B223" s="639"/>
      <c r="C223" s="696"/>
      <c r="D223" s="18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</row>
    <row r="224" ht="35.25" customHeight="1">
      <c r="A224" s="618" t="s">
        <v>117</v>
      </c>
      <c r="B224" s="639" t="s">
        <v>13</v>
      </c>
      <c r="C224" s="637"/>
      <c r="D224" s="618">
        <f>SUM(C226:C227)</f>
        <v>0</v>
      </c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</row>
    <row r="225" ht="35.25" customHeight="1">
      <c r="A225" s="18"/>
      <c r="B225" s="639" t="s">
        <v>24</v>
      </c>
      <c r="C225" s="598"/>
      <c r="D225" s="18"/>
      <c r="E225" s="651"/>
      <c r="F225" s="507"/>
      <c r="G225" s="507"/>
      <c r="H225" s="507"/>
      <c r="I225" s="507"/>
      <c r="J225" s="507"/>
      <c r="K225" s="507"/>
      <c r="L225" s="507"/>
      <c r="M225" s="507"/>
      <c r="N225" s="507"/>
    </row>
    <row r="226" ht="35.25" customHeight="1">
      <c r="A226" s="18"/>
      <c r="B226" s="639" t="s">
        <v>17</v>
      </c>
      <c r="C226" s="598"/>
      <c r="D226" s="18"/>
      <c r="E226" s="556"/>
      <c r="F226" s="507"/>
      <c r="G226" s="507"/>
      <c r="H226" s="507"/>
      <c r="I226" s="507"/>
      <c r="J226" s="507"/>
      <c r="K226" s="507"/>
      <c r="L226" s="507"/>
      <c r="M226" s="507"/>
      <c r="N226" s="507"/>
    </row>
    <row r="227" ht="35.25" customHeight="1">
      <c r="A227" s="18"/>
      <c r="B227" s="639" t="s">
        <v>67</v>
      </c>
      <c r="C227" s="598"/>
      <c r="D227" s="18"/>
      <c r="E227" s="556"/>
      <c r="F227" s="507"/>
      <c r="G227" s="507"/>
      <c r="H227" s="507"/>
      <c r="I227" s="507"/>
      <c r="J227" s="507"/>
      <c r="K227" s="507"/>
      <c r="L227" s="507"/>
      <c r="M227" s="507"/>
      <c r="N227" s="507"/>
    </row>
    <row r="228" ht="35.25" customHeight="1">
      <c r="A228" s="18"/>
      <c r="B228" s="157"/>
      <c r="C228" s="637"/>
      <c r="D228" s="18"/>
      <c r="E228" s="556"/>
      <c r="F228" s="507"/>
      <c r="G228" s="507"/>
      <c r="H228" s="507"/>
      <c r="I228" s="507"/>
      <c r="J228" s="507"/>
      <c r="K228" s="507"/>
      <c r="L228" s="507"/>
      <c r="M228" s="507"/>
      <c r="N228" s="507"/>
    </row>
    <row r="229" ht="35.25" customHeight="1">
      <c r="A229" s="618" t="s">
        <v>118</v>
      </c>
      <c r="B229" s="524" t="s">
        <v>876</v>
      </c>
      <c r="C229" s="625" t="s">
        <v>684</v>
      </c>
      <c r="D229" s="618">
        <f>sum(C231:C232)</f>
        <v>109858500</v>
      </c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</row>
    <row r="230" ht="35.25" customHeight="1">
      <c r="A230" s="18"/>
      <c r="B230" s="639" t="s">
        <v>883</v>
      </c>
      <c r="C230" s="627" t="s">
        <v>684</v>
      </c>
      <c r="D230" s="18"/>
      <c r="E230" s="556"/>
      <c r="F230" s="507"/>
      <c r="G230" s="507"/>
      <c r="H230" s="507"/>
      <c r="I230" s="507"/>
      <c r="J230" s="507"/>
      <c r="K230" s="507"/>
      <c r="L230" s="507"/>
      <c r="M230" s="507"/>
      <c r="N230" s="507"/>
    </row>
    <row r="231" ht="35.25" customHeight="1">
      <c r="A231" s="18"/>
      <c r="B231" s="639" t="s">
        <v>105</v>
      </c>
      <c r="C231" s="627">
        <v>5.06415E7</v>
      </c>
      <c r="D231" s="18"/>
      <c r="E231" s="556"/>
      <c r="F231" s="507"/>
      <c r="G231" s="507"/>
      <c r="H231" s="507"/>
      <c r="I231" s="507"/>
      <c r="J231" s="507"/>
      <c r="K231" s="507"/>
      <c r="L231" s="507"/>
      <c r="M231" s="507"/>
      <c r="N231" s="507"/>
    </row>
    <row r="232" ht="35.25" customHeight="1">
      <c r="A232" s="18"/>
      <c r="B232" s="547" t="s">
        <v>106</v>
      </c>
      <c r="C232" s="627">
        <v>5.9217E7</v>
      </c>
      <c r="D232" s="18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</row>
    <row r="233" ht="35.25" customHeight="1">
      <c r="A233" s="18"/>
      <c r="B233" s="629"/>
      <c r="C233" s="598"/>
      <c r="D233" s="18"/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</row>
    <row r="234" ht="35.25" customHeight="1">
      <c r="A234" s="618" t="s">
        <v>119</v>
      </c>
      <c r="B234" s="547" t="s">
        <v>13</v>
      </c>
      <c r="C234" s="741"/>
      <c r="D234" s="618">
        <f>SUM(C236:C237)</f>
        <v>0</v>
      </c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</row>
    <row r="235" ht="35.25" customHeight="1">
      <c r="A235" s="18"/>
      <c r="B235" s="524" t="s">
        <v>24</v>
      </c>
      <c r="C235" s="627"/>
      <c r="D235" s="18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</row>
    <row r="236" ht="35.25" customHeight="1">
      <c r="A236" s="18"/>
      <c r="B236" s="639" t="s">
        <v>17</v>
      </c>
      <c r="C236" s="627"/>
      <c r="D236" s="18"/>
      <c r="E236" s="556" t="s">
        <v>899</v>
      </c>
      <c r="F236" s="507"/>
      <c r="G236" s="507"/>
      <c r="H236" s="507"/>
      <c r="I236" s="507"/>
      <c r="J236" s="507"/>
      <c r="K236" s="507"/>
      <c r="L236" s="507"/>
      <c r="M236" s="507"/>
      <c r="N236" s="507"/>
    </row>
    <row r="237" ht="35.25" customHeight="1">
      <c r="A237" s="18"/>
      <c r="B237" s="639" t="s">
        <v>67</v>
      </c>
      <c r="C237" s="696"/>
      <c r="D237" s="18"/>
      <c r="E237" s="556"/>
      <c r="F237" s="507"/>
      <c r="G237" s="507"/>
      <c r="H237" s="507"/>
      <c r="I237" s="507"/>
      <c r="J237" s="507"/>
      <c r="K237" s="507"/>
      <c r="L237" s="507"/>
      <c r="M237" s="507"/>
      <c r="N237" s="507"/>
    </row>
    <row r="238" ht="35.25" customHeight="1">
      <c r="A238" s="18"/>
      <c r="B238" s="157"/>
      <c r="C238" s="157"/>
      <c r="D238" s="18"/>
      <c r="E238" s="556"/>
      <c r="F238" s="507"/>
      <c r="G238" s="507"/>
      <c r="H238" s="507"/>
      <c r="I238" s="507"/>
      <c r="J238" s="507"/>
      <c r="K238" s="507"/>
      <c r="L238" s="507"/>
      <c r="M238" s="507"/>
      <c r="N238" s="507"/>
    </row>
    <row r="239" ht="35.25" customHeight="1">
      <c r="A239" s="618" t="s">
        <v>120</v>
      </c>
      <c r="B239" s="636" t="s">
        <v>13</v>
      </c>
      <c r="C239" s="627"/>
      <c r="D239" s="618">
        <f>SUM(C240)</f>
        <v>0</v>
      </c>
      <c r="E239" s="556"/>
      <c r="F239" s="507"/>
      <c r="G239" s="507"/>
      <c r="H239" s="507"/>
      <c r="I239" s="507"/>
      <c r="J239" s="507"/>
      <c r="K239" s="507"/>
      <c r="L239" s="507"/>
      <c r="M239" s="507"/>
      <c r="N239" s="507"/>
    </row>
    <row r="240" ht="35.25" customHeight="1">
      <c r="A240" s="18"/>
      <c r="B240" s="524" t="s">
        <v>24</v>
      </c>
      <c r="C240" s="617"/>
      <c r="D240" s="18"/>
      <c r="E240" s="556"/>
      <c r="F240" s="507"/>
      <c r="G240" s="507"/>
      <c r="H240" s="507"/>
      <c r="I240" s="507"/>
      <c r="J240" s="507"/>
      <c r="K240" s="507"/>
      <c r="L240" s="507"/>
      <c r="M240" s="507"/>
      <c r="N240" s="507"/>
    </row>
    <row r="241" ht="35.25" customHeight="1">
      <c r="A241" s="18"/>
      <c r="B241" s="636"/>
      <c r="C241" s="627"/>
      <c r="D241" s="18"/>
      <c r="E241" s="556"/>
      <c r="F241" s="507"/>
      <c r="G241" s="507"/>
      <c r="H241" s="507"/>
      <c r="I241" s="507"/>
      <c r="J241" s="507"/>
      <c r="K241" s="507"/>
      <c r="L241" s="507"/>
      <c r="M241" s="507"/>
      <c r="N241" s="507"/>
    </row>
    <row r="242" ht="35.25" customHeight="1">
      <c r="A242" s="18"/>
      <c r="D242" s="18"/>
      <c r="E242" s="556">
        <v>5.6905E7</v>
      </c>
      <c r="F242" s="507"/>
      <c r="G242" s="507"/>
      <c r="H242" s="507"/>
      <c r="I242" s="507"/>
      <c r="J242" s="507"/>
      <c r="K242" s="507"/>
      <c r="L242" s="507"/>
      <c r="M242" s="507"/>
      <c r="N242" s="507"/>
    </row>
    <row r="243" ht="35.25" customHeight="1">
      <c r="A243" s="618" t="s">
        <v>121</v>
      </c>
      <c r="B243" s="524" t="s">
        <v>13</v>
      </c>
      <c r="C243" s="598"/>
      <c r="D243" s="618">
        <f>SUM(C243:C246)</f>
        <v>0</v>
      </c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</row>
    <row r="244" ht="35.25" customHeight="1">
      <c r="A244" s="18"/>
      <c r="B244" s="639" t="s">
        <v>24</v>
      </c>
      <c r="C244" s="591"/>
      <c r="D244" s="18"/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</row>
    <row r="245" ht="35.25" customHeight="1">
      <c r="A245" s="18"/>
      <c r="B245" s="639" t="s">
        <v>17</v>
      </c>
      <c r="C245" s="593"/>
      <c r="D245" s="18"/>
      <c r="E245" s="556"/>
      <c r="F245" s="507"/>
      <c r="G245" s="507"/>
      <c r="H245" s="507"/>
      <c r="I245" s="507"/>
      <c r="J245" s="507"/>
      <c r="K245" s="507"/>
      <c r="L245" s="507"/>
      <c r="M245" s="507"/>
      <c r="N245" s="507"/>
    </row>
    <row r="246" ht="35.25" customHeight="1">
      <c r="A246" s="18"/>
      <c r="B246" s="547" t="s">
        <v>67</v>
      </c>
      <c r="C246" s="593"/>
      <c r="D246" s="18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</row>
    <row r="247" ht="35.25" customHeight="1">
      <c r="A247" s="18"/>
      <c r="B247" s="629"/>
      <c r="C247" s="637"/>
      <c r="D247" s="18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</row>
    <row r="248" ht="35.25" customHeight="1">
      <c r="A248" s="618" t="s">
        <v>122</v>
      </c>
      <c r="B248" s="524" t="s">
        <v>13</v>
      </c>
      <c r="C248" s="620"/>
      <c r="D248" s="618">
        <f>SUM(C248:C251)</f>
        <v>0</v>
      </c>
      <c r="E248" s="556"/>
      <c r="F248" s="507"/>
      <c r="G248" s="507"/>
      <c r="H248" s="507"/>
      <c r="I248" s="507"/>
      <c r="J248" s="507"/>
      <c r="K248" s="507"/>
      <c r="L248" s="507"/>
      <c r="M248" s="507"/>
      <c r="N248" s="507"/>
    </row>
    <row r="249" ht="35.25" customHeight="1">
      <c r="A249" s="18"/>
      <c r="B249" s="639" t="s">
        <v>24</v>
      </c>
      <c r="C249" s="713"/>
      <c r="D249" s="18"/>
      <c r="E249" s="629" t="s">
        <v>901</v>
      </c>
      <c r="F249" s="507"/>
      <c r="G249" s="507"/>
      <c r="H249" s="507"/>
      <c r="I249" s="507"/>
      <c r="J249" s="507"/>
      <c r="K249" s="507"/>
      <c r="L249" s="507"/>
      <c r="M249" s="507"/>
      <c r="N249" s="507"/>
    </row>
    <row r="250" ht="35.25" customHeight="1">
      <c r="A250" s="18"/>
      <c r="B250" s="639" t="s">
        <v>17</v>
      </c>
      <c r="C250" s="598"/>
      <c r="D250" s="18"/>
      <c r="E250" s="556"/>
      <c r="F250" s="507"/>
      <c r="G250" s="507"/>
      <c r="H250" s="507"/>
      <c r="I250" s="507"/>
      <c r="J250" s="507"/>
      <c r="K250" s="507"/>
      <c r="L250" s="507"/>
      <c r="M250" s="507"/>
      <c r="N250" s="507"/>
    </row>
    <row r="251" ht="35.25" customHeight="1">
      <c r="A251" s="18"/>
      <c r="B251" s="639" t="s">
        <v>67</v>
      </c>
      <c r="C251" s="620"/>
      <c r="D251" s="18"/>
      <c r="E251" s="556" t="s">
        <v>690</v>
      </c>
      <c r="F251" s="507"/>
      <c r="G251" s="507"/>
      <c r="H251" s="507"/>
      <c r="I251" s="507"/>
      <c r="J251" s="507"/>
      <c r="K251" s="507"/>
      <c r="L251" s="507"/>
      <c r="M251" s="507"/>
      <c r="N251" s="507"/>
    </row>
    <row r="252" ht="35.25" customHeight="1">
      <c r="A252" s="18"/>
      <c r="B252" s="636"/>
      <c r="C252" s="620"/>
      <c r="D252" s="18"/>
      <c r="E252" s="507"/>
      <c r="F252" s="507"/>
      <c r="G252" s="507"/>
      <c r="H252" s="507"/>
      <c r="I252" s="507"/>
      <c r="J252" s="507"/>
      <c r="K252" s="507"/>
      <c r="L252" s="507"/>
      <c r="M252" s="507"/>
      <c r="N252" s="507"/>
    </row>
    <row r="253" ht="35.25" customHeight="1">
      <c r="A253" s="618" t="s">
        <v>123</v>
      </c>
      <c r="B253" s="547" t="s">
        <v>81</v>
      </c>
      <c r="C253" s="598">
        <v>3.7944E7</v>
      </c>
      <c r="D253" s="618">
        <f>SUM(C253)</f>
        <v>37944000</v>
      </c>
      <c r="E253" s="701" t="s">
        <v>779</v>
      </c>
      <c r="F253" s="507"/>
      <c r="G253" s="507"/>
      <c r="H253" s="507"/>
      <c r="I253" s="507"/>
      <c r="J253" s="507"/>
      <c r="K253" s="507"/>
      <c r="L253" s="507"/>
      <c r="M253" s="507"/>
      <c r="N253" s="507"/>
    </row>
    <row r="254" ht="35.25" customHeight="1">
      <c r="A254" s="18"/>
      <c r="B254" s="588" t="s">
        <v>13</v>
      </c>
      <c r="C254" s="598"/>
      <c r="D254" s="18"/>
      <c r="E254" s="701"/>
      <c r="F254" s="507"/>
      <c r="G254" s="507"/>
      <c r="H254" s="507"/>
      <c r="I254" s="507"/>
      <c r="J254" s="507"/>
      <c r="K254" s="507"/>
      <c r="L254" s="507"/>
      <c r="M254" s="507"/>
      <c r="N254" s="507"/>
    </row>
    <row r="255" ht="35.25" customHeight="1">
      <c r="A255" s="18"/>
      <c r="B255" s="588" t="s">
        <v>24</v>
      </c>
      <c r="C255" s="598"/>
      <c r="D255" s="18"/>
      <c r="E255" s="701"/>
      <c r="F255" s="507"/>
      <c r="G255" s="507"/>
      <c r="H255" s="507"/>
      <c r="I255" s="507"/>
      <c r="J255" s="507"/>
      <c r="K255" s="507"/>
      <c r="L255" s="507"/>
      <c r="M255" s="507"/>
      <c r="N255" s="507"/>
    </row>
    <row r="256" ht="35.25" customHeight="1">
      <c r="A256" s="18"/>
      <c r="B256" s="742" t="s">
        <v>17</v>
      </c>
      <c r="C256" s="620"/>
      <c r="D256" s="18"/>
      <c r="F256" s="507"/>
      <c r="G256" s="507"/>
      <c r="H256" s="507"/>
      <c r="I256" s="507"/>
      <c r="J256" s="507"/>
      <c r="K256" s="507"/>
      <c r="L256" s="507"/>
      <c r="M256" s="507"/>
      <c r="N256" s="507"/>
    </row>
    <row r="257" ht="35.25" customHeight="1">
      <c r="A257" s="18"/>
      <c r="B257" s="743" t="s">
        <v>67</v>
      </c>
      <c r="C257" s="620"/>
      <c r="D257" s="18"/>
      <c r="E257" s="701" t="s">
        <v>995</v>
      </c>
      <c r="F257" s="507"/>
      <c r="G257" s="507"/>
      <c r="H257" s="507"/>
      <c r="I257" s="507"/>
      <c r="J257" s="507"/>
      <c r="K257" s="507"/>
      <c r="L257" s="507"/>
      <c r="M257" s="507"/>
      <c r="N257" s="507"/>
    </row>
    <row r="258" ht="35.25" customHeight="1">
      <c r="A258" s="618" t="s">
        <v>124</v>
      </c>
      <c r="B258" s="547" t="s">
        <v>92</v>
      </c>
      <c r="C258" s="598">
        <v>1.270925E8</v>
      </c>
      <c r="D258" s="618">
        <f>SUM(C258:C262)</f>
        <v>127092500</v>
      </c>
      <c r="E258" s="701"/>
      <c r="F258" s="507"/>
      <c r="G258" s="507"/>
      <c r="H258" s="507"/>
      <c r="I258" s="507"/>
      <c r="J258" s="507"/>
      <c r="K258" s="507"/>
      <c r="L258" s="507"/>
      <c r="M258" s="507"/>
      <c r="N258" s="507"/>
    </row>
    <row r="259" ht="35.25" customHeight="1">
      <c r="A259" s="18"/>
      <c r="B259" s="547" t="s">
        <v>88</v>
      </c>
      <c r="C259" s="598"/>
      <c r="D259" s="18"/>
      <c r="E259" s="701"/>
      <c r="F259" s="507"/>
      <c r="G259" s="507"/>
      <c r="H259" s="507"/>
      <c r="I259" s="507"/>
      <c r="J259" s="507"/>
      <c r="K259" s="507"/>
      <c r="L259" s="507"/>
      <c r="M259" s="507"/>
      <c r="N259" s="507"/>
    </row>
    <row r="260" ht="35.25" customHeight="1">
      <c r="A260" s="18"/>
      <c r="B260" s="547" t="s">
        <v>219</v>
      </c>
      <c r="C260" s="598"/>
      <c r="D260" s="18"/>
      <c r="E260" s="701" t="s">
        <v>996</v>
      </c>
      <c r="F260" s="507"/>
      <c r="G260" s="507"/>
      <c r="H260" s="507"/>
      <c r="I260" s="507"/>
      <c r="J260" s="507"/>
      <c r="K260" s="507"/>
      <c r="L260" s="507"/>
      <c r="M260" s="507"/>
      <c r="N260" s="507"/>
    </row>
    <row r="261" ht="35.25" customHeight="1">
      <c r="A261" s="18"/>
      <c r="B261" s="547" t="s">
        <v>89</v>
      </c>
      <c r="C261" s="622"/>
      <c r="D261" s="18"/>
      <c r="E261" s="701"/>
      <c r="F261" s="507"/>
      <c r="G261" s="507"/>
      <c r="H261" s="507"/>
      <c r="I261" s="507"/>
      <c r="J261" s="507"/>
      <c r="K261" s="507"/>
      <c r="L261" s="507"/>
      <c r="M261" s="507"/>
      <c r="N261" s="507"/>
    </row>
    <row r="262" ht="35.25" customHeight="1">
      <c r="A262" s="18"/>
      <c r="B262" s="547" t="s">
        <v>220</v>
      </c>
      <c r="C262" s="622"/>
      <c r="D262" s="18"/>
      <c r="E262" s="701" t="s">
        <v>780</v>
      </c>
      <c r="F262" s="507"/>
      <c r="G262" s="507"/>
      <c r="H262" s="507"/>
      <c r="I262" s="507"/>
      <c r="J262" s="507"/>
      <c r="K262" s="507"/>
      <c r="L262" s="507"/>
      <c r="M262" s="507"/>
      <c r="N262" s="507"/>
    </row>
    <row r="263" ht="35.25" customHeight="1">
      <c r="A263" s="18"/>
      <c r="C263" s="622"/>
      <c r="D263" s="18"/>
      <c r="E263" s="701"/>
      <c r="F263" s="507"/>
      <c r="G263" s="507"/>
      <c r="H263" s="507"/>
      <c r="I263" s="507"/>
      <c r="J263" s="507"/>
      <c r="K263" s="507"/>
      <c r="L263" s="507"/>
      <c r="M263" s="507"/>
      <c r="N263" s="507"/>
    </row>
    <row r="264" ht="35.25" customHeight="1">
      <c r="A264" s="744" t="s">
        <v>126</v>
      </c>
      <c r="B264" s="743" t="s">
        <v>220</v>
      </c>
      <c r="C264" s="598">
        <v>6.67715E7</v>
      </c>
      <c r="D264" s="618">
        <f>SUM(C264)</f>
        <v>66771500</v>
      </c>
      <c r="E264" s="701"/>
      <c r="F264" s="507"/>
      <c r="G264" s="507"/>
      <c r="H264" s="507"/>
      <c r="I264" s="507"/>
      <c r="J264" s="507"/>
      <c r="K264" s="507"/>
      <c r="L264" s="507"/>
      <c r="M264" s="507"/>
      <c r="N264" s="507"/>
    </row>
    <row r="265" ht="35.25" customHeight="1">
      <c r="A265" s="18"/>
      <c r="B265" s="743"/>
      <c r="C265" s="598"/>
      <c r="D265" s="18"/>
      <c r="E265" s="701"/>
      <c r="F265" s="507"/>
      <c r="G265" s="507"/>
      <c r="H265" s="507"/>
      <c r="I265" s="507"/>
      <c r="J265" s="507"/>
      <c r="K265" s="507"/>
      <c r="L265" s="507"/>
      <c r="M265" s="507"/>
      <c r="N265" s="507"/>
    </row>
    <row r="266" ht="35.25" customHeight="1">
      <c r="A266" s="18"/>
      <c r="B266" s="547"/>
      <c r="C266" s="598"/>
      <c r="D266" s="18"/>
      <c r="E266" s="701"/>
      <c r="F266" s="507"/>
      <c r="G266" s="507"/>
      <c r="H266" s="507"/>
      <c r="I266" s="507"/>
      <c r="J266" s="507"/>
      <c r="K266" s="507"/>
      <c r="L266" s="507"/>
      <c r="M266" s="507"/>
      <c r="N266" s="507"/>
    </row>
    <row r="267" ht="35.25" customHeight="1">
      <c r="A267" s="18"/>
      <c r="B267" s="743"/>
      <c r="C267" s="598"/>
      <c r="D267" s="18"/>
      <c r="E267" s="701" t="s">
        <v>902</v>
      </c>
      <c r="F267" s="507"/>
      <c r="G267" s="507"/>
      <c r="H267" s="507"/>
      <c r="I267" s="507"/>
      <c r="J267" s="507"/>
      <c r="K267" s="507"/>
      <c r="L267" s="507"/>
      <c r="M267" s="507"/>
      <c r="N267" s="507"/>
    </row>
    <row r="268" ht="35.25" customHeight="1">
      <c r="A268" s="618" t="s">
        <v>128</v>
      </c>
      <c r="B268" s="547" t="s">
        <v>92</v>
      </c>
      <c r="C268" s="622">
        <v>1.12072E8</v>
      </c>
      <c r="D268" s="618">
        <f>SUM(C268:C269)</f>
        <v>192657000</v>
      </c>
      <c r="E268" s="701"/>
      <c r="F268" s="507"/>
      <c r="G268" s="507"/>
      <c r="H268" s="507"/>
      <c r="I268" s="507"/>
      <c r="J268" s="507"/>
      <c r="K268" s="507"/>
      <c r="L268" s="507"/>
      <c r="M268" s="507"/>
      <c r="N268" s="507"/>
    </row>
    <row r="269" ht="35.25" customHeight="1">
      <c r="A269" s="18"/>
      <c r="B269" s="547" t="s">
        <v>81</v>
      </c>
      <c r="C269" s="622">
        <v>8.0585E7</v>
      </c>
      <c r="D269" s="18"/>
      <c r="E269" s="701"/>
      <c r="F269" s="507"/>
      <c r="G269" s="507"/>
      <c r="H269" s="507"/>
      <c r="I269" s="507"/>
      <c r="J269" s="507"/>
      <c r="K269" s="507"/>
      <c r="L269" s="507"/>
      <c r="M269" s="507"/>
      <c r="N269" s="507"/>
    </row>
    <row r="270" ht="35.25" customHeight="1">
      <c r="A270" s="18"/>
      <c r="B270" s="547" t="s">
        <v>88</v>
      </c>
      <c r="C270" s="598"/>
      <c r="D270" s="18"/>
      <c r="E270" s="701"/>
      <c r="F270" s="507"/>
      <c r="G270" s="507"/>
      <c r="H270" s="507"/>
      <c r="I270" s="507"/>
      <c r="J270" s="507"/>
      <c r="K270" s="507"/>
      <c r="L270" s="507"/>
      <c r="M270" s="507"/>
      <c r="N270" s="507"/>
    </row>
    <row r="271" ht="35.25" customHeight="1">
      <c r="A271" s="18"/>
      <c r="B271" s="547" t="s">
        <v>219</v>
      </c>
      <c r="C271" s="622"/>
      <c r="D271" s="18"/>
      <c r="E271" s="701"/>
      <c r="F271" s="507"/>
      <c r="G271" s="507"/>
      <c r="H271" s="507"/>
      <c r="I271" s="507"/>
      <c r="J271" s="507"/>
      <c r="K271" s="507"/>
      <c r="L271" s="507"/>
      <c r="M271" s="507"/>
      <c r="N271" s="507"/>
    </row>
    <row r="272" ht="35.25" customHeight="1">
      <c r="A272" s="18"/>
      <c r="B272" s="547" t="s">
        <v>89</v>
      </c>
      <c r="C272" s="622"/>
      <c r="D272" s="18"/>
      <c r="E272" s="701"/>
      <c r="F272" s="507"/>
      <c r="G272" s="507"/>
      <c r="H272" s="507"/>
      <c r="I272" s="507"/>
      <c r="J272" s="507"/>
      <c r="K272" s="507"/>
      <c r="L272" s="507"/>
      <c r="M272" s="507"/>
      <c r="N272" s="507"/>
    </row>
    <row r="273" ht="35.25" customHeight="1">
      <c r="A273" s="18"/>
      <c r="B273" s="547" t="s">
        <v>220</v>
      </c>
      <c r="C273" s="622"/>
      <c r="D273" s="18"/>
      <c r="E273" s="701"/>
      <c r="F273" s="507"/>
      <c r="G273" s="507"/>
      <c r="H273" s="507"/>
      <c r="I273" s="507"/>
      <c r="J273" s="507"/>
      <c r="K273" s="507"/>
      <c r="L273" s="507"/>
      <c r="M273" s="507"/>
      <c r="N273" s="507"/>
    </row>
    <row r="274" ht="35.25" customHeight="1">
      <c r="A274" s="618" t="s">
        <v>129</v>
      </c>
      <c r="B274" s="743" t="s">
        <v>89</v>
      </c>
      <c r="C274" s="598" t="s">
        <v>684</v>
      </c>
      <c r="D274" s="618">
        <f>SUM(C275)</f>
        <v>44498500</v>
      </c>
      <c r="E274" s="701"/>
      <c r="F274" s="507"/>
      <c r="G274" s="507"/>
      <c r="H274" s="507"/>
      <c r="I274" s="507"/>
      <c r="J274" s="507"/>
      <c r="K274" s="507"/>
      <c r="L274" s="507"/>
      <c r="M274" s="507"/>
      <c r="N274" s="507"/>
    </row>
    <row r="275" ht="35.25" customHeight="1">
      <c r="A275" s="18"/>
      <c r="B275" s="745" t="s">
        <v>220</v>
      </c>
      <c r="C275" s="650">
        <v>4.44985E7</v>
      </c>
      <c r="D275" s="18"/>
      <c r="E275" s="701"/>
      <c r="F275" s="507"/>
      <c r="G275" s="507"/>
      <c r="H275" s="507"/>
      <c r="I275" s="507"/>
      <c r="J275" s="507"/>
      <c r="K275" s="507"/>
      <c r="L275" s="507"/>
      <c r="M275" s="507"/>
      <c r="N275" s="507"/>
    </row>
    <row r="276" ht="35.25" customHeight="1">
      <c r="A276" s="18"/>
      <c r="B276" s="547"/>
      <c r="C276" s="598"/>
      <c r="D276" s="18"/>
      <c r="E276" s="701"/>
      <c r="F276" s="507"/>
      <c r="G276" s="507"/>
      <c r="H276" s="507"/>
      <c r="I276" s="507"/>
      <c r="J276" s="507"/>
      <c r="K276" s="507"/>
      <c r="L276" s="507"/>
      <c r="M276" s="507"/>
      <c r="N276" s="507"/>
    </row>
    <row r="277" ht="35.25" customHeight="1">
      <c r="A277" s="18"/>
      <c r="C277" s="157"/>
      <c r="D277" s="18"/>
      <c r="E277" s="701"/>
      <c r="F277" s="507"/>
      <c r="G277" s="507"/>
      <c r="H277" s="507"/>
      <c r="I277" s="507"/>
      <c r="J277" s="507"/>
      <c r="K277" s="507"/>
      <c r="L277" s="507"/>
      <c r="M277" s="507"/>
      <c r="N277" s="507"/>
    </row>
    <row r="278" ht="35.25" customHeight="1">
      <c r="A278" s="714" t="s">
        <v>131</v>
      </c>
      <c r="B278" s="547" t="s">
        <v>81</v>
      </c>
      <c r="C278" s="659">
        <v>6.77495E7</v>
      </c>
      <c r="D278" s="715">
        <f>SUM(C278)</f>
        <v>67749500</v>
      </c>
      <c r="E278" s="701"/>
      <c r="F278" s="507"/>
      <c r="G278" s="507"/>
      <c r="H278" s="507"/>
      <c r="I278" s="507"/>
      <c r="J278" s="507"/>
      <c r="K278" s="507"/>
      <c r="L278" s="507"/>
      <c r="M278" s="507"/>
      <c r="N278" s="507"/>
    </row>
    <row r="279" ht="35.25" customHeight="1">
      <c r="A279" s="18"/>
      <c r="B279" s="547"/>
      <c r="C279" s="630"/>
      <c r="D279" s="18"/>
      <c r="E279" s="701"/>
      <c r="F279" s="507"/>
      <c r="G279" s="507"/>
      <c r="H279" s="507"/>
      <c r="I279" s="507"/>
      <c r="J279" s="507"/>
      <c r="K279" s="507"/>
      <c r="L279" s="507"/>
      <c r="M279" s="507"/>
      <c r="N279" s="507"/>
    </row>
    <row r="280" ht="35.25" customHeight="1">
      <c r="A280" s="18"/>
      <c r="B280" s="547"/>
      <c r="C280" s="659"/>
      <c r="D280" s="18"/>
      <c r="E280" s="701"/>
      <c r="F280" s="507"/>
      <c r="G280" s="507"/>
      <c r="H280" s="507"/>
      <c r="I280" s="507"/>
      <c r="J280" s="507"/>
      <c r="K280" s="507"/>
      <c r="L280" s="507"/>
      <c r="M280" s="507"/>
      <c r="N280" s="507"/>
    </row>
    <row r="281" ht="35.25" customHeight="1">
      <c r="A281" s="18"/>
      <c r="B281" s="698"/>
      <c r="C281" s="659"/>
      <c r="D281" s="18"/>
      <c r="E281" s="701"/>
      <c r="F281" s="507"/>
      <c r="G281" s="507"/>
      <c r="H281" s="507"/>
      <c r="I281" s="507"/>
      <c r="J281" s="507"/>
      <c r="K281" s="507"/>
      <c r="L281" s="507"/>
      <c r="M281" s="507"/>
      <c r="N281" s="507"/>
    </row>
    <row r="282" ht="35.25" customHeight="1">
      <c r="A282" s="22"/>
      <c r="B282" s="698"/>
      <c r="C282" s="659"/>
      <c r="D282" s="18"/>
      <c r="E282" s="701" t="s">
        <v>782</v>
      </c>
      <c r="F282" s="507"/>
      <c r="G282" s="507"/>
      <c r="H282" s="507"/>
      <c r="I282" s="507"/>
      <c r="J282" s="507"/>
      <c r="K282" s="507"/>
      <c r="L282" s="507"/>
      <c r="M282" s="507"/>
      <c r="N282" s="507"/>
    </row>
    <row r="283" ht="35.25" customHeight="1">
      <c r="A283" s="714" t="s">
        <v>130</v>
      </c>
      <c r="B283" s="547" t="s">
        <v>81</v>
      </c>
      <c r="C283" s="659">
        <v>1.029305E8</v>
      </c>
      <c r="D283" s="618">
        <f>SUM(C283)</f>
        <v>102930500</v>
      </c>
      <c r="E283" s="701"/>
      <c r="F283" s="507"/>
      <c r="G283" s="507"/>
      <c r="H283" s="507"/>
      <c r="I283" s="507"/>
      <c r="J283" s="507"/>
      <c r="K283" s="507"/>
      <c r="L283" s="507"/>
      <c r="M283" s="507"/>
      <c r="N283" s="507"/>
    </row>
    <row r="284" ht="35.25" customHeight="1">
      <c r="A284" s="18"/>
      <c r="B284" s="547" t="s">
        <v>88</v>
      </c>
      <c r="C284" s="659"/>
      <c r="D284" s="18"/>
      <c r="E284" s="701"/>
      <c r="F284" s="507"/>
      <c r="G284" s="507"/>
      <c r="H284" s="507"/>
      <c r="I284" s="507"/>
      <c r="J284" s="507"/>
      <c r="K284" s="507"/>
      <c r="L284" s="507"/>
      <c r="M284" s="507"/>
      <c r="N284" s="507"/>
    </row>
    <row r="285" ht="35.25" customHeight="1">
      <c r="A285" s="18"/>
      <c r="B285" s="547" t="s">
        <v>219</v>
      </c>
      <c r="C285" s="659"/>
      <c r="D285" s="18"/>
      <c r="E285" s="701" t="s">
        <v>997</v>
      </c>
      <c r="F285" s="507"/>
      <c r="G285" s="507"/>
      <c r="H285" s="507"/>
      <c r="I285" s="507"/>
      <c r="J285" s="507"/>
      <c r="K285" s="507"/>
      <c r="L285" s="507"/>
      <c r="M285" s="507"/>
      <c r="N285" s="507"/>
    </row>
    <row r="286" ht="35.25" customHeight="1">
      <c r="A286" s="18"/>
      <c r="B286" s="743" t="s">
        <v>89</v>
      </c>
      <c r="C286" s="659"/>
      <c r="D286" s="18"/>
      <c r="E286" s="701"/>
      <c r="F286" s="507"/>
      <c r="G286" s="507"/>
      <c r="H286" s="507"/>
      <c r="I286" s="507"/>
      <c r="J286" s="507"/>
      <c r="K286" s="507"/>
      <c r="L286" s="507"/>
      <c r="M286" s="507"/>
      <c r="N286" s="507"/>
    </row>
    <row r="287" ht="35.25" customHeight="1">
      <c r="A287" s="22"/>
      <c r="B287" s="743" t="s">
        <v>220</v>
      </c>
      <c r="C287" s="659"/>
      <c r="D287" s="18"/>
      <c r="E287" s="701" t="s">
        <v>783</v>
      </c>
      <c r="F287" s="507"/>
      <c r="G287" s="507"/>
      <c r="H287" s="507"/>
      <c r="I287" s="507"/>
      <c r="J287" s="507"/>
      <c r="K287" s="507"/>
      <c r="L287" s="507"/>
      <c r="M287" s="507"/>
      <c r="N287" s="507"/>
    </row>
    <row r="288" ht="35.25" customHeight="1">
      <c r="A288" s="714" t="s">
        <v>138</v>
      </c>
      <c r="B288" s="547" t="s">
        <v>770</v>
      </c>
      <c r="C288" s="656">
        <v>3.1755E7</v>
      </c>
      <c r="D288" s="715">
        <f>sum(C288:C290)</f>
        <v>201019000</v>
      </c>
      <c r="E288" s="701"/>
      <c r="F288" s="507"/>
      <c r="G288" s="507"/>
      <c r="H288" s="507"/>
      <c r="I288" s="507"/>
      <c r="J288" s="507"/>
      <c r="K288" s="507"/>
      <c r="L288" s="507"/>
      <c r="M288" s="507"/>
      <c r="N288" s="507"/>
    </row>
    <row r="289" ht="35.25" customHeight="1">
      <c r="A289" s="18"/>
      <c r="B289" s="547" t="s">
        <v>92</v>
      </c>
      <c r="C289" s="656">
        <v>9.95645E7</v>
      </c>
      <c r="D289" s="18"/>
      <c r="E289" s="701"/>
      <c r="F289" s="507"/>
      <c r="G289" s="507"/>
      <c r="H289" s="507"/>
      <c r="I289" s="507"/>
      <c r="J289" s="507"/>
      <c r="K289" s="507"/>
      <c r="L289" s="507"/>
      <c r="M289" s="507"/>
      <c r="N289" s="507"/>
    </row>
    <row r="290" ht="35.25" customHeight="1">
      <c r="A290" s="18"/>
      <c r="B290" s="547" t="s">
        <v>81</v>
      </c>
      <c r="C290" s="656">
        <v>6.96995E7</v>
      </c>
      <c r="D290" s="18"/>
      <c r="E290" s="701"/>
      <c r="F290" s="507"/>
      <c r="G290" s="507"/>
      <c r="H290" s="507"/>
      <c r="I290" s="507"/>
      <c r="J290" s="507"/>
      <c r="K290" s="507"/>
      <c r="L290" s="507"/>
      <c r="M290" s="507"/>
      <c r="N290" s="507"/>
    </row>
    <row r="291" ht="35.25" customHeight="1">
      <c r="A291" s="18"/>
      <c r="B291" s="547" t="s">
        <v>88</v>
      </c>
      <c r="C291" s="656"/>
      <c r="D291" s="18"/>
      <c r="E291" s="701"/>
      <c r="F291" s="507"/>
      <c r="G291" s="507"/>
      <c r="H291" s="507"/>
      <c r="I291" s="507"/>
      <c r="J291" s="507"/>
      <c r="K291" s="507"/>
      <c r="L291" s="507"/>
      <c r="M291" s="507"/>
      <c r="N291" s="507"/>
    </row>
    <row r="292" ht="35.25" customHeight="1">
      <c r="A292" s="18"/>
      <c r="B292" s="547" t="s">
        <v>219</v>
      </c>
      <c r="C292" s="656"/>
      <c r="D292" s="18"/>
      <c r="E292" s="701"/>
      <c r="F292" s="507"/>
      <c r="G292" s="507"/>
      <c r="H292" s="507"/>
      <c r="I292" s="507"/>
      <c r="J292" s="507"/>
      <c r="K292" s="507"/>
      <c r="L292" s="507"/>
      <c r="M292" s="507"/>
      <c r="N292" s="507"/>
    </row>
    <row r="293" ht="35.25" customHeight="1">
      <c r="A293" s="22"/>
      <c r="B293" s="547" t="s">
        <v>89</v>
      </c>
      <c r="C293" s="656"/>
      <c r="D293" s="18"/>
      <c r="E293" s="701"/>
      <c r="F293" s="507"/>
      <c r="G293" s="507"/>
      <c r="H293" s="507"/>
      <c r="I293" s="507"/>
      <c r="J293" s="507"/>
      <c r="K293" s="507"/>
      <c r="L293" s="507"/>
      <c r="M293" s="507"/>
      <c r="N293" s="507"/>
    </row>
    <row r="294" ht="35.25" customHeight="1">
      <c r="A294" s="714" t="s">
        <v>139</v>
      </c>
      <c r="B294" s="674"/>
      <c r="C294" s="598"/>
      <c r="D294" s="618">
        <f>SUM(C295)</f>
        <v>25195000</v>
      </c>
      <c r="E294" s="701"/>
      <c r="F294" s="507"/>
      <c r="G294" s="507"/>
      <c r="H294" s="507"/>
      <c r="I294" s="507"/>
      <c r="J294" s="507"/>
      <c r="K294" s="507"/>
      <c r="L294" s="507"/>
      <c r="M294" s="507"/>
      <c r="N294" s="507"/>
    </row>
    <row r="295" ht="35.25" customHeight="1">
      <c r="A295" s="18"/>
      <c r="B295" s="674">
        <v>45987.0</v>
      </c>
      <c r="C295" s="598">
        <v>2.5195E7</v>
      </c>
      <c r="D295" s="18"/>
      <c r="E295" s="701" t="s">
        <v>342</v>
      </c>
      <c r="F295" s="507"/>
      <c r="G295" s="507"/>
      <c r="H295" s="507"/>
      <c r="I295" s="507"/>
      <c r="J295" s="507"/>
      <c r="K295" s="507"/>
      <c r="L295" s="507"/>
      <c r="M295" s="507"/>
      <c r="N295" s="507"/>
    </row>
    <row r="296" ht="35.25" customHeight="1">
      <c r="A296" s="18"/>
      <c r="B296" s="716"/>
      <c r="C296" s="598"/>
      <c r="D296" s="18"/>
      <c r="E296" s="701"/>
      <c r="F296" s="507"/>
      <c r="G296" s="507"/>
      <c r="H296" s="507"/>
      <c r="I296" s="507"/>
      <c r="J296" s="507"/>
      <c r="K296" s="507"/>
      <c r="L296" s="507"/>
      <c r="M296" s="507"/>
      <c r="N296" s="507"/>
    </row>
    <row r="297" ht="35.25" customHeight="1">
      <c r="A297" s="18"/>
      <c r="B297" s="746"/>
      <c r="C297" s="598"/>
      <c r="D297" s="18"/>
      <c r="E297" s="701"/>
      <c r="F297" s="507"/>
      <c r="G297" s="507"/>
      <c r="H297" s="507"/>
      <c r="I297" s="507"/>
      <c r="J297" s="507"/>
      <c r="K297" s="507"/>
      <c r="L297" s="507"/>
      <c r="M297" s="507"/>
      <c r="N297" s="507"/>
    </row>
    <row r="298" ht="35.25" customHeight="1">
      <c r="A298" s="18"/>
      <c r="B298" s="674"/>
      <c r="C298" s="598"/>
      <c r="D298" s="18"/>
      <c r="E298" s="701" t="s">
        <v>786</v>
      </c>
      <c r="F298" s="507"/>
      <c r="G298" s="507"/>
      <c r="H298" s="507"/>
      <c r="I298" s="507"/>
      <c r="J298" s="507"/>
      <c r="K298" s="507"/>
      <c r="L298" s="507"/>
      <c r="M298" s="507"/>
      <c r="N298" s="507"/>
    </row>
    <row r="299" ht="35.25" customHeight="1">
      <c r="A299" s="22"/>
      <c r="B299" s="747"/>
      <c r="C299" s="738"/>
      <c r="D299" s="22"/>
      <c r="E299" s="701"/>
      <c r="F299" s="507"/>
      <c r="G299" s="507"/>
      <c r="H299" s="507"/>
      <c r="I299" s="507"/>
      <c r="J299" s="507"/>
      <c r="K299" s="507"/>
      <c r="L299" s="507"/>
      <c r="M299" s="507"/>
      <c r="N299" s="507"/>
    </row>
    <row r="300" ht="35.25" customHeight="1">
      <c r="A300" s="717" t="s">
        <v>140</v>
      </c>
      <c r="B300" s="547" t="s">
        <v>81</v>
      </c>
      <c r="C300" s="656">
        <v>7.9216E7</v>
      </c>
      <c r="D300" s="715">
        <f>sum(C300)</f>
        <v>79216000</v>
      </c>
      <c r="E300" s="701"/>
      <c r="F300" s="507"/>
      <c r="G300" s="507"/>
      <c r="H300" s="507"/>
      <c r="I300" s="507"/>
      <c r="J300" s="507"/>
      <c r="K300" s="507"/>
      <c r="L300" s="507"/>
      <c r="M300" s="507"/>
      <c r="N300" s="507"/>
    </row>
    <row r="301" ht="35.25" customHeight="1">
      <c r="A301" s="18"/>
      <c r="B301" s="547" t="s">
        <v>88</v>
      </c>
      <c r="C301" s="656"/>
      <c r="D301" s="18"/>
      <c r="E301" s="701"/>
      <c r="F301" s="507"/>
      <c r="G301" s="507"/>
      <c r="H301" s="507"/>
      <c r="I301" s="507"/>
      <c r="J301" s="507"/>
      <c r="K301" s="507"/>
      <c r="L301" s="507"/>
      <c r="M301" s="507"/>
      <c r="N301" s="507"/>
    </row>
    <row r="302" ht="35.25" customHeight="1">
      <c r="A302" s="18"/>
      <c r="B302" s="547" t="s">
        <v>219</v>
      </c>
      <c r="C302" s="656"/>
      <c r="D302" s="18"/>
      <c r="E302" s="701"/>
      <c r="F302" s="507"/>
      <c r="G302" s="507"/>
      <c r="H302" s="507"/>
      <c r="I302" s="507"/>
      <c r="J302" s="507"/>
      <c r="K302" s="507"/>
      <c r="L302" s="507"/>
      <c r="M302" s="507"/>
      <c r="N302" s="507"/>
    </row>
    <row r="303" ht="35.25" customHeight="1">
      <c r="A303" s="18"/>
      <c r="B303" s="547" t="s">
        <v>89</v>
      </c>
      <c r="C303" s="656"/>
      <c r="D303" s="18"/>
      <c r="E303" s="701"/>
      <c r="F303" s="507"/>
      <c r="G303" s="507"/>
      <c r="H303" s="507"/>
      <c r="I303" s="507"/>
      <c r="J303" s="507"/>
      <c r="K303" s="507"/>
      <c r="L303" s="507"/>
      <c r="M303" s="507"/>
      <c r="N303" s="507"/>
    </row>
    <row r="304" ht="35.25" customHeight="1">
      <c r="A304" s="18"/>
      <c r="B304" s="547" t="s">
        <v>220</v>
      </c>
      <c r="C304" s="656"/>
      <c r="D304" s="18"/>
      <c r="E304" s="701"/>
      <c r="F304" s="507"/>
      <c r="G304" s="507"/>
      <c r="H304" s="507"/>
      <c r="I304" s="507"/>
      <c r="J304" s="507"/>
      <c r="K304" s="507"/>
      <c r="L304" s="507"/>
      <c r="M304" s="507"/>
      <c r="N304" s="507"/>
    </row>
    <row r="305" ht="35.25" customHeight="1">
      <c r="A305" s="22"/>
      <c r="B305" s="547" t="s">
        <v>697</v>
      </c>
      <c r="C305" s="656"/>
      <c r="D305" s="22"/>
      <c r="E305" s="701"/>
      <c r="F305" s="507"/>
      <c r="G305" s="507"/>
      <c r="H305" s="507"/>
      <c r="I305" s="507"/>
      <c r="J305" s="507"/>
      <c r="K305" s="507"/>
      <c r="L305" s="507"/>
      <c r="M305" s="507"/>
      <c r="N305" s="507"/>
    </row>
    <row r="306" ht="35.25" customHeight="1">
      <c r="A306" s="723" t="s">
        <v>141</v>
      </c>
      <c r="B306" s="547" t="s">
        <v>913</v>
      </c>
      <c r="C306" s="622" t="s">
        <v>684</v>
      </c>
      <c r="D306" s="722">
        <f>SUM(C306:C309)</f>
        <v>80732800</v>
      </c>
      <c r="E306" s="701"/>
      <c r="F306" s="507"/>
      <c r="G306" s="507"/>
      <c r="H306" s="507"/>
      <c r="I306" s="507"/>
      <c r="J306" s="507"/>
      <c r="K306" s="507"/>
      <c r="L306" s="507"/>
      <c r="M306" s="507"/>
      <c r="N306" s="507"/>
    </row>
    <row r="307" ht="35.25" customHeight="1">
      <c r="A307" s="18"/>
      <c r="B307" s="547" t="s">
        <v>914</v>
      </c>
      <c r="C307" s="622" t="s">
        <v>684</v>
      </c>
      <c r="D307" s="18"/>
      <c r="E307" s="701"/>
      <c r="F307" s="507"/>
      <c r="G307" s="507"/>
      <c r="H307" s="507"/>
      <c r="I307" s="507"/>
      <c r="J307" s="507"/>
      <c r="K307" s="507"/>
      <c r="L307" s="507"/>
      <c r="M307" s="507"/>
      <c r="N307" s="507"/>
    </row>
    <row r="308" ht="35.25" customHeight="1">
      <c r="A308" s="18"/>
      <c r="B308" s="547" t="s">
        <v>915</v>
      </c>
      <c r="C308" s="622">
        <v>4.10398E7</v>
      </c>
      <c r="D308" s="18"/>
      <c r="E308" s="701"/>
      <c r="F308" s="507"/>
      <c r="G308" s="507"/>
      <c r="H308" s="507"/>
      <c r="I308" s="507"/>
      <c r="J308" s="507"/>
      <c r="K308" s="507"/>
      <c r="L308" s="507"/>
      <c r="M308" s="507"/>
      <c r="N308" s="507"/>
    </row>
    <row r="309" ht="35.25" customHeight="1">
      <c r="A309" s="18"/>
      <c r="B309" s="547" t="s">
        <v>916</v>
      </c>
      <c r="C309" s="622">
        <v>3.9693E7</v>
      </c>
      <c r="D309" s="18"/>
      <c r="E309" s="556"/>
      <c r="F309" s="507"/>
      <c r="G309" s="507"/>
      <c r="H309" s="507"/>
      <c r="I309" s="507"/>
      <c r="J309" s="507"/>
      <c r="K309" s="507"/>
      <c r="L309" s="507"/>
      <c r="M309" s="507"/>
      <c r="N309" s="507"/>
    </row>
    <row r="310" ht="35.25" customHeight="1">
      <c r="A310" s="723" t="s">
        <v>253</v>
      </c>
      <c r="B310" s="547" t="s">
        <v>92</v>
      </c>
      <c r="C310" s="622">
        <v>2.898425E8</v>
      </c>
      <c r="D310" s="722">
        <f>SUM(C310:C314)</f>
        <v>578655000</v>
      </c>
      <c r="E310" s="701"/>
      <c r="F310" s="507"/>
      <c r="G310" s="507"/>
      <c r="H310" s="507"/>
      <c r="I310" s="507"/>
      <c r="J310" s="507"/>
      <c r="K310" s="507"/>
      <c r="L310" s="507"/>
      <c r="M310" s="507"/>
      <c r="N310" s="507"/>
    </row>
    <row r="311" ht="35.25" customHeight="1">
      <c r="A311" s="18"/>
      <c r="B311" s="547" t="s">
        <v>913</v>
      </c>
      <c r="C311" s="622">
        <v>6.8142E7</v>
      </c>
      <c r="D311" s="18"/>
      <c r="E311" s="701"/>
      <c r="F311" s="507"/>
      <c r="G311" s="507"/>
      <c r="H311" s="507"/>
      <c r="I311" s="507"/>
      <c r="J311" s="507"/>
      <c r="K311" s="507"/>
      <c r="L311" s="507"/>
      <c r="M311" s="507"/>
      <c r="N311" s="507"/>
    </row>
    <row r="312" ht="35.25" customHeight="1">
      <c r="A312" s="18"/>
      <c r="B312" s="547" t="s">
        <v>914</v>
      </c>
      <c r="C312" s="622">
        <v>6.86225E7</v>
      </c>
      <c r="D312" s="18"/>
      <c r="E312" s="701"/>
      <c r="F312" s="507"/>
      <c r="G312" s="507"/>
      <c r="H312" s="507"/>
      <c r="I312" s="507"/>
      <c r="J312" s="507"/>
      <c r="K312" s="507"/>
      <c r="L312" s="507"/>
      <c r="M312" s="507"/>
      <c r="N312" s="507"/>
    </row>
    <row r="313" ht="35.25" customHeight="1">
      <c r="A313" s="18"/>
      <c r="B313" s="547" t="s">
        <v>915</v>
      </c>
      <c r="C313" s="622">
        <v>9.09275E7</v>
      </c>
      <c r="D313" s="18"/>
      <c r="E313" s="701"/>
      <c r="F313" s="507"/>
      <c r="G313" s="507"/>
      <c r="H313" s="507"/>
      <c r="I313" s="507"/>
      <c r="J313" s="507"/>
      <c r="K313" s="507"/>
      <c r="L313" s="507"/>
      <c r="M313" s="507"/>
      <c r="N313" s="507"/>
    </row>
    <row r="314" ht="35.25" customHeight="1">
      <c r="A314" s="18"/>
      <c r="B314" s="547" t="s">
        <v>916</v>
      </c>
      <c r="C314" s="622">
        <v>6.11205E7</v>
      </c>
      <c r="D314" s="18"/>
      <c r="E314" s="701"/>
      <c r="F314" s="507"/>
      <c r="G314" s="507"/>
      <c r="H314" s="507"/>
      <c r="I314" s="507"/>
      <c r="J314" s="507"/>
      <c r="K314" s="507"/>
      <c r="L314" s="507"/>
      <c r="M314" s="507"/>
      <c r="N314" s="507"/>
    </row>
    <row r="315" ht="35.25" customHeight="1">
      <c r="A315" s="723" t="s">
        <v>149</v>
      </c>
      <c r="B315" s="547" t="s">
        <v>998</v>
      </c>
      <c r="C315" s="659">
        <f>96407500-50000000</f>
        <v>46407500</v>
      </c>
      <c r="D315" s="722">
        <f>SUM(C315:C325)</f>
        <v>256829100</v>
      </c>
      <c r="E315" s="701"/>
      <c r="F315" s="507"/>
      <c r="G315" s="507"/>
      <c r="H315" s="507"/>
      <c r="I315" s="507"/>
      <c r="J315" s="507"/>
      <c r="K315" s="507"/>
      <c r="L315" s="507"/>
      <c r="M315" s="507"/>
      <c r="N315" s="507"/>
    </row>
    <row r="316" ht="35.25" customHeight="1">
      <c r="A316" s="18"/>
      <c r="B316" s="547" t="s">
        <v>770</v>
      </c>
      <c r="C316" s="659">
        <v>9.43666E7</v>
      </c>
      <c r="D316" s="18"/>
      <c r="E316" s="701"/>
      <c r="F316" s="507"/>
      <c r="G316" s="507"/>
      <c r="H316" s="507"/>
      <c r="I316" s="507"/>
      <c r="J316" s="507"/>
      <c r="K316" s="507"/>
      <c r="L316" s="507"/>
      <c r="M316" s="507"/>
      <c r="N316" s="507"/>
    </row>
    <row r="317" ht="35.25" customHeight="1">
      <c r="A317" s="18"/>
      <c r="B317" s="547" t="s">
        <v>908</v>
      </c>
      <c r="C317" s="659">
        <v>1450000.0</v>
      </c>
      <c r="D317" s="18"/>
      <c r="E317" s="701"/>
      <c r="F317" s="507"/>
      <c r="G317" s="507"/>
      <c r="H317" s="507"/>
      <c r="I317" s="507"/>
      <c r="J317" s="507"/>
      <c r="K317" s="507"/>
      <c r="L317" s="507"/>
      <c r="M317" s="507"/>
      <c r="N317" s="507"/>
    </row>
    <row r="318" ht="35.25" customHeight="1">
      <c r="A318" s="18"/>
      <c r="B318" s="547" t="s">
        <v>909</v>
      </c>
      <c r="C318" s="659">
        <v>1.95786E7</v>
      </c>
      <c r="D318" s="18"/>
      <c r="E318" s="701"/>
      <c r="F318" s="507"/>
      <c r="G318" s="507"/>
      <c r="H318" s="507"/>
      <c r="I318" s="507"/>
      <c r="J318" s="507"/>
      <c r="K318" s="507"/>
      <c r="L318" s="507"/>
      <c r="M318" s="507"/>
      <c r="N318" s="507"/>
    </row>
    <row r="319" ht="35.25" customHeight="1">
      <c r="A319" s="18"/>
      <c r="B319" s="547" t="s">
        <v>910</v>
      </c>
      <c r="C319" s="659">
        <v>2730000.0</v>
      </c>
      <c r="D319" s="18"/>
      <c r="E319" s="701"/>
      <c r="F319" s="507"/>
      <c r="G319" s="507"/>
      <c r="H319" s="507"/>
      <c r="I319" s="507"/>
      <c r="J319" s="507"/>
      <c r="K319" s="507"/>
      <c r="L319" s="507"/>
      <c r="M319" s="507"/>
      <c r="N319" s="507"/>
    </row>
    <row r="320" ht="35.25" customHeight="1">
      <c r="A320" s="18"/>
      <c r="B320" s="547" t="s">
        <v>911</v>
      </c>
      <c r="C320" s="659">
        <v>1.42316E7</v>
      </c>
      <c r="D320" s="18"/>
      <c r="E320" s="701"/>
      <c r="F320" s="507"/>
      <c r="G320" s="507"/>
      <c r="H320" s="507"/>
      <c r="I320" s="507"/>
      <c r="J320" s="507"/>
      <c r="K320" s="507"/>
      <c r="L320" s="507"/>
      <c r="M320" s="507"/>
      <c r="N320" s="507"/>
    </row>
    <row r="321" ht="35.25" customHeight="1">
      <c r="A321" s="18"/>
      <c r="B321" s="547" t="s">
        <v>912</v>
      </c>
      <c r="C321" s="659">
        <v>1.8056E7</v>
      </c>
      <c r="D321" s="18"/>
      <c r="E321" s="701"/>
      <c r="F321" s="507"/>
      <c r="G321" s="507"/>
      <c r="H321" s="507"/>
      <c r="I321" s="507"/>
      <c r="J321" s="507"/>
      <c r="K321" s="507"/>
      <c r="L321" s="507"/>
      <c r="M321" s="507"/>
      <c r="N321" s="507"/>
    </row>
    <row r="322" ht="35.25" customHeight="1">
      <c r="A322" s="18"/>
      <c r="B322" s="547" t="s">
        <v>913</v>
      </c>
      <c r="C322" s="659">
        <v>1.3942E7</v>
      </c>
      <c r="D322" s="18"/>
      <c r="E322" s="701"/>
      <c r="F322" s="507"/>
      <c r="G322" s="507"/>
      <c r="H322" s="507"/>
      <c r="I322" s="507"/>
      <c r="J322" s="507"/>
      <c r="K322" s="507"/>
      <c r="L322" s="507"/>
      <c r="M322" s="507"/>
      <c r="N322" s="507"/>
    </row>
    <row r="323" ht="35.25" customHeight="1">
      <c r="A323" s="18"/>
      <c r="B323" s="547" t="s">
        <v>914</v>
      </c>
      <c r="C323" s="659">
        <v>1.71864E7</v>
      </c>
      <c r="D323" s="18"/>
      <c r="E323" s="556" t="s">
        <v>739</v>
      </c>
      <c r="F323" s="507"/>
      <c r="G323" s="507"/>
      <c r="H323" s="507"/>
      <c r="I323" s="507"/>
      <c r="J323" s="507"/>
      <c r="K323" s="507"/>
      <c r="L323" s="507"/>
      <c r="M323" s="507"/>
      <c r="N323" s="507"/>
    </row>
    <row r="324" ht="35.25" customHeight="1">
      <c r="A324" s="18"/>
      <c r="B324" s="547" t="s">
        <v>915</v>
      </c>
      <c r="C324" s="622">
        <v>1.55506E7</v>
      </c>
      <c r="D324" s="18"/>
      <c r="E324" s="701"/>
      <c r="F324" s="507"/>
      <c r="G324" s="507"/>
      <c r="H324" s="507"/>
      <c r="I324" s="507"/>
      <c r="J324" s="507"/>
      <c r="K324" s="507"/>
      <c r="L324" s="507"/>
      <c r="M324" s="507"/>
      <c r="N324" s="507"/>
    </row>
    <row r="325" ht="35.25" customHeight="1">
      <c r="A325" s="22"/>
      <c r="B325" s="547" t="s">
        <v>916</v>
      </c>
      <c r="C325" s="622">
        <v>1.33298E7</v>
      </c>
      <c r="D325" s="18"/>
      <c r="E325" s="701" t="s">
        <v>787</v>
      </c>
      <c r="F325" s="507"/>
      <c r="G325" s="507"/>
      <c r="H325" s="507"/>
      <c r="I325" s="507"/>
      <c r="J325" s="507"/>
      <c r="K325" s="507"/>
      <c r="L325" s="507"/>
      <c r="M325" s="507"/>
      <c r="N325" s="507"/>
    </row>
    <row r="326" ht="35.25" customHeight="1">
      <c r="A326" s="720" t="s">
        <v>143</v>
      </c>
      <c r="B326" s="547" t="s">
        <v>913</v>
      </c>
      <c r="C326" s="659">
        <v>3.2078E7</v>
      </c>
      <c r="D326" s="722">
        <f>SUM(C326:C329)</f>
        <v>124037000</v>
      </c>
      <c r="E326" s="701"/>
      <c r="F326" s="507"/>
      <c r="G326" s="507"/>
      <c r="H326" s="507"/>
      <c r="I326" s="507"/>
      <c r="J326" s="507"/>
      <c r="K326" s="507"/>
      <c r="L326" s="507"/>
      <c r="M326" s="507"/>
      <c r="N326" s="507"/>
    </row>
    <row r="327" ht="35.25" customHeight="1">
      <c r="A327" s="18"/>
      <c r="B327" s="547" t="s">
        <v>914</v>
      </c>
      <c r="C327" s="659">
        <v>3.0758E7</v>
      </c>
      <c r="D327" s="18"/>
      <c r="E327" s="701"/>
      <c r="F327" s="507"/>
      <c r="G327" s="507"/>
      <c r="H327" s="507"/>
      <c r="I327" s="507"/>
      <c r="J327" s="507"/>
      <c r="K327" s="507"/>
      <c r="L327" s="507"/>
      <c r="M327" s="507"/>
      <c r="N327" s="507"/>
    </row>
    <row r="328" ht="35.25" customHeight="1">
      <c r="A328" s="18"/>
      <c r="B328" s="547" t="s">
        <v>915</v>
      </c>
      <c r="C328" s="659">
        <v>3.1213E7</v>
      </c>
      <c r="D328" s="18"/>
      <c r="E328" s="701" t="s">
        <v>788</v>
      </c>
      <c r="F328" s="507"/>
      <c r="G328" s="507"/>
      <c r="H328" s="507"/>
      <c r="I328" s="507"/>
      <c r="J328" s="507"/>
      <c r="K328" s="507"/>
      <c r="L328" s="507"/>
      <c r="M328" s="507"/>
      <c r="N328" s="507"/>
    </row>
    <row r="329" ht="35.25" customHeight="1">
      <c r="A329" s="18"/>
      <c r="B329" s="547" t="s">
        <v>916</v>
      </c>
      <c r="C329" s="659">
        <v>2.9988E7</v>
      </c>
      <c r="D329" s="18"/>
      <c r="E329" s="556"/>
      <c r="F329" s="507"/>
      <c r="G329" s="507"/>
      <c r="H329" s="507"/>
      <c r="I329" s="507"/>
      <c r="J329" s="507"/>
      <c r="K329" s="507"/>
      <c r="L329" s="507"/>
      <c r="M329" s="507"/>
      <c r="N329" s="507"/>
    </row>
    <row r="330" ht="35.25" customHeight="1">
      <c r="A330" s="720" t="s">
        <v>145</v>
      </c>
      <c r="B330" s="547" t="s">
        <v>913</v>
      </c>
      <c r="C330" s="659" t="s">
        <v>684</v>
      </c>
      <c r="D330" s="721">
        <f>SUM(C330:C333)</f>
        <v>66187000</v>
      </c>
      <c r="E330" s="556" t="s">
        <v>739</v>
      </c>
      <c r="F330" s="507"/>
      <c r="G330" s="507"/>
      <c r="H330" s="507"/>
      <c r="I330" s="507"/>
      <c r="J330" s="507"/>
      <c r="K330" s="507"/>
      <c r="L330" s="507"/>
      <c r="M330" s="507"/>
      <c r="N330" s="507"/>
    </row>
    <row r="331" ht="35.25" customHeight="1">
      <c r="A331" s="18"/>
      <c r="B331" s="547" t="s">
        <v>914</v>
      </c>
      <c r="C331" s="656" t="s">
        <v>684</v>
      </c>
      <c r="D331" s="18"/>
      <c r="E331" s="701" t="s">
        <v>905</v>
      </c>
      <c r="F331" s="507"/>
      <c r="G331" s="507"/>
      <c r="H331" s="507"/>
      <c r="I331" s="507"/>
      <c r="J331" s="507"/>
      <c r="K331" s="507"/>
      <c r="L331" s="507"/>
      <c r="M331" s="507"/>
      <c r="N331" s="507"/>
    </row>
    <row r="332" ht="35.25" customHeight="1">
      <c r="A332" s="18"/>
      <c r="B332" s="547" t="s">
        <v>915</v>
      </c>
      <c r="C332" s="656">
        <v>4.1306E7</v>
      </c>
      <c r="D332" s="18"/>
      <c r="E332" s="718"/>
      <c r="F332" s="507"/>
      <c r="G332" s="507"/>
      <c r="H332" s="507"/>
      <c r="I332" s="507"/>
      <c r="J332" s="507"/>
      <c r="K332" s="507"/>
      <c r="L332" s="507"/>
      <c r="M332" s="507"/>
      <c r="N332" s="507"/>
    </row>
    <row r="333" ht="35.25" customHeight="1">
      <c r="A333" s="18"/>
      <c r="B333" s="547" t="s">
        <v>916</v>
      </c>
      <c r="C333" s="656">
        <v>2.4881E7</v>
      </c>
      <c r="D333" s="18"/>
      <c r="F333" s="507"/>
      <c r="G333" s="507"/>
      <c r="H333" s="507"/>
      <c r="I333" s="507"/>
      <c r="J333" s="507"/>
      <c r="K333" s="507"/>
      <c r="L333" s="507"/>
      <c r="M333" s="507"/>
      <c r="N333" s="507"/>
    </row>
    <row r="334" ht="35.25" customHeight="1">
      <c r="A334" s="720" t="s">
        <v>148</v>
      </c>
      <c r="B334" s="547" t="s">
        <v>913</v>
      </c>
      <c r="C334" s="666"/>
      <c r="D334" s="721">
        <f>SUM(C334:C337)</f>
        <v>158489000</v>
      </c>
      <c r="E334" s="701"/>
      <c r="F334" s="507"/>
      <c r="G334" s="507"/>
      <c r="H334" s="507"/>
      <c r="I334" s="507"/>
      <c r="J334" s="507"/>
      <c r="K334" s="507"/>
      <c r="L334" s="507"/>
      <c r="M334" s="507"/>
      <c r="N334" s="507"/>
    </row>
    <row r="335" ht="35.25" customHeight="1">
      <c r="A335" s="18"/>
      <c r="B335" s="547" t="s">
        <v>914</v>
      </c>
      <c r="C335" s="659">
        <v>1.58489E8</v>
      </c>
      <c r="D335" s="18"/>
      <c r="E335" s="701"/>
      <c r="F335" s="507"/>
      <c r="G335" s="507"/>
      <c r="H335" s="507"/>
      <c r="I335" s="507"/>
      <c r="J335" s="507"/>
      <c r="K335" s="507"/>
      <c r="L335" s="507"/>
      <c r="M335" s="507"/>
      <c r="N335" s="507"/>
    </row>
    <row r="336" ht="35.25" customHeight="1">
      <c r="A336" s="18"/>
      <c r="B336" s="547" t="s">
        <v>915</v>
      </c>
      <c r="C336" s="659">
        <v>0.0</v>
      </c>
      <c r="D336" s="18"/>
      <c r="E336" s="701"/>
      <c r="F336" s="507"/>
      <c r="G336" s="507"/>
      <c r="H336" s="507"/>
      <c r="I336" s="507"/>
      <c r="J336" s="507"/>
      <c r="K336" s="507"/>
      <c r="L336" s="507"/>
      <c r="M336" s="507"/>
      <c r="N336" s="507"/>
    </row>
    <row r="337" ht="35.25" customHeight="1">
      <c r="A337" s="18"/>
      <c r="B337" s="547" t="s">
        <v>916</v>
      </c>
      <c r="C337" s="666"/>
      <c r="D337" s="18"/>
      <c r="E337" s="701"/>
      <c r="F337" s="507"/>
      <c r="G337" s="507"/>
      <c r="H337" s="507"/>
      <c r="I337" s="507"/>
      <c r="J337" s="507"/>
      <c r="K337" s="507"/>
      <c r="L337" s="507"/>
      <c r="M337" s="507"/>
      <c r="N337" s="507"/>
    </row>
    <row r="338" ht="35.25" customHeight="1">
      <c r="A338" s="720" t="s">
        <v>150</v>
      </c>
      <c r="B338" s="547" t="s">
        <v>912</v>
      </c>
      <c r="C338" s="656" t="s">
        <v>684</v>
      </c>
      <c r="D338" s="721">
        <f>SUM(C338:C342)</f>
        <v>41127000</v>
      </c>
      <c r="E338" s="169"/>
      <c r="F338" s="507"/>
      <c r="G338" s="507"/>
      <c r="H338" s="507"/>
      <c r="I338" s="507"/>
      <c r="J338" s="507"/>
      <c r="K338" s="507"/>
      <c r="L338" s="507"/>
      <c r="M338" s="507"/>
      <c r="N338" s="507"/>
    </row>
    <row r="339" ht="35.25" customHeight="1">
      <c r="A339" s="18"/>
      <c r="B339" s="547" t="s">
        <v>913</v>
      </c>
      <c r="C339" s="656" t="s">
        <v>684</v>
      </c>
      <c r="D339" s="18"/>
      <c r="E339" s="701"/>
      <c r="F339" s="507"/>
      <c r="G339" s="507"/>
      <c r="H339" s="507"/>
      <c r="I339" s="507"/>
      <c r="J339" s="507"/>
      <c r="K339" s="507"/>
      <c r="L339" s="507"/>
      <c r="M339" s="507"/>
      <c r="N339" s="507"/>
    </row>
    <row r="340" ht="35.25" customHeight="1">
      <c r="A340" s="18"/>
      <c r="B340" s="547" t="s">
        <v>914</v>
      </c>
      <c r="C340" s="659" t="s">
        <v>684</v>
      </c>
      <c r="D340" s="18"/>
      <c r="E340" s="701"/>
      <c r="F340" s="507"/>
      <c r="G340" s="507"/>
      <c r="H340" s="507"/>
      <c r="I340" s="507"/>
      <c r="J340" s="507"/>
      <c r="K340" s="507"/>
      <c r="L340" s="507"/>
      <c r="M340" s="507"/>
      <c r="N340" s="507"/>
    </row>
    <row r="341" ht="35.25" customHeight="1">
      <c r="A341" s="18"/>
      <c r="B341" s="547" t="s">
        <v>915</v>
      </c>
      <c r="C341" s="659" t="s">
        <v>684</v>
      </c>
      <c r="D341" s="18"/>
      <c r="E341" s="701"/>
      <c r="F341" s="507"/>
      <c r="G341" s="507"/>
      <c r="H341" s="507"/>
      <c r="I341" s="507"/>
      <c r="J341" s="507"/>
      <c r="K341" s="507"/>
      <c r="L341" s="507"/>
      <c r="M341" s="507"/>
      <c r="N341" s="507"/>
    </row>
    <row r="342" ht="35.25" customHeight="1">
      <c r="A342" s="18"/>
      <c r="B342" s="547" t="s">
        <v>916</v>
      </c>
      <c r="C342" s="659">
        <v>4.1127E7</v>
      </c>
      <c r="D342" s="18"/>
      <c r="E342" s="701"/>
      <c r="F342" s="507"/>
      <c r="G342" s="507"/>
      <c r="H342" s="507"/>
      <c r="I342" s="507"/>
      <c r="J342" s="507"/>
      <c r="K342" s="507"/>
      <c r="L342" s="507"/>
      <c r="M342" s="507"/>
      <c r="N342" s="507"/>
    </row>
    <row r="343" ht="35.25" customHeight="1">
      <c r="A343" s="720" t="s">
        <v>153</v>
      </c>
      <c r="B343" s="547" t="s">
        <v>913</v>
      </c>
      <c r="C343" s="656" t="s">
        <v>684</v>
      </c>
      <c r="D343" s="722">
        <f>SUM(C343:C346)</f>
        <v>116380500</v>
      </c>
      <c r="E343" s="701"/>
      <c r="F343" s="507"/>
      <c r="G343" s="507"/>
      <c r="H343" s="507"/>
      <c r="I343" s="507"/>
      <c r="J343" s="507"/>
      <c r="K343" s="507"/>
      <c r="L343" s="507"/>
      <c r="M343" s="507"/>
      <c r="N343" s="507"/>
    </row>
    <row r="344" ht="35.25" customHeight="1">
      <c r="A344" s="18"/>
      <c r="B344" s="547" t="s">
        <v>914</v>
      </c>
      <c r="C344" s="656" t="s">
        <v>684</v>
      </c>
      <c r="D344" s="18"/>
      <c r="E344" s="701"/>
      <c r="F344" s="507"/>
      <c r="G344" s="507"/>
      <c r="H344" s="507"/>
      <c r="I344" s="507"/>
      <c r="J344" s="507"/>
      <c r="K344" s="507"/>
      <c r="L344" s="507"/>
      <c r="M344" s="507"/>
      <c r="N344" s="507"/>
    </row>
    <row r="345" ht="35.25" customHeight="1">
      <c r="A345" s="18"/>
      <c r="B345" s="547" t="s">
        <v>915</v>
      </c>
      <c r="C345" s="656" t="s">
        <v>684</v>
      </c>
      <c r="D345" s="18"/>
      <c r="E345" s="701" t="s">
        <v>692</v>
      </c>
      <c r="F345" s="507"/>
      <c r="G345" s="507"/>
      <c r="H345" s="507"/>
      <c r="I345" s="507"/>
      <c r="J345" s="507"/>
      <c r="K345" s="507"/>
      <c r="L345" s="507"/>
      <c r="M345" s="507"/>
      <c r="N345" s="507"/>
    </row>
    <row r="346" ht="35.25" customHeight="1">
      <c r="A346" s="18"/>
      <c r="B346" s="547" t="s">
        <v>916</v>
      </c>
      <c r="C346" s="656">
        <v>1.163805E8</v>
      </c>
      <c r="D346" s="18"/>
      <c r="E346" s="701" t="s">
        <v>792</v>
      </c>
      <c r="F346" s="507"/>
      <c r="G346" s="507"/>
      <c r="H346" s="507"/>
      <c r="I346" s="507"/>
      <c r="J346" s="507"/>
      <c r="K346" s="507"/>
      <c r="L346" s="507"/>
      <c r="M346" s="507"/>
      <c r="N346" s="507"/>
    </row>
    <row r="347" ht="35.25" customHeight="1">
      <c r="A347" s="723" t="s">
        <v>154</v>
      </c>
      <c r="B347" s="547" t="s">
        <v>912</v>
      </c>
      <c r="C347" s="724">
        <v>4.64595E7</v>
      </c>
      <c r="D347" s="722">
        <f>SUM(C347:C351)</f>
        <v>138094800</v>
      </c>
      <c r="E347" s="701"/>
      <c r="F347" s="507"/>
      <c r="G347" s="507"/>
      <c r="H347" s="507"/>
      <c r="I347" s="507"/>
      <c r="J347" s="507"/>
      <c r="K347" s="507"/>
      <c r="L347" s="507"/>
      <c r="M347" s="507"/>
      <c r="N347" s="507"/>
    </row>
    <row r="348" ht="35.25" customHeight="1">
      <c r="A348" s="18"/>
      <c r="B348" s="547" t="s">
        <v>913</v>
      </c>
      <c r="C348" s="724" t="s">
        <v>684</v>
      </c>
      <c r="D348" s="18"/>
      <c r="E348" s="701"/>
      <c r="F348" s="507"/>
      <c r="G348" s="507"/>
      <c r="H348" s="507"/>
      <c r="I348" s="507"/>
      <c r="J348" s="507"/>
      <c r="K348" s="507"/>
      <c r="L348" s="507"/>
      <c r="M348" s="507"/>
      <c r="N348" s="507"/>
    </row>
    <row r="349" ht="35.25" customHeight="1">
      <c r="A349" s="18"/>
      <c r="B349" s="547" t="s">
        <v>914</v>
      </c>
      <c r="C349" s="724" t="s">
        <v>681</v>
      </c>
      <c r="D349" s="18"/>
      <c r="E349" s="701"/>
      <c r="F349" s="507"/>
      <c r="G349" s="507"/>
      <c r="H349" s="507"/>
      <c r="I349" s="507"/>
      <c r="J349" s="507"/>
      <c r="K349" s="507"/>
      <c r="L349" s="507"/>
      <c r="M349" s="507"/>
      <c r="N349" s="507"/>
    </row>
    <row r="350" ht="35.25" customHeight="1">
      <c r="A350" s="18"/>
      <c r="B350" s="547" t="s">
        <v>915</v>
      </c>
      <c r="C350" s="724">
        <v>5.32472E7</v>
      </c>
      <c r="D350" s="18"/>
      <c r="E350" s="701"/>
      <c r="F350" s="507"/>
      <c r="G350" s="507"/>
      <c r="H350" s="507"/>
      <c r="I350" s="507"/>
      <c r="J350" s="507"/>
      <c r="K350" s="507"/>
      <c r="L350" s="507"/>
      <c r="M350" s="507"/>
      <c r="N350" s="507"/>
    </row>
    <row r="351" ht="35.25" customHeight="1">
      <c r="A351" s="18"/>
      <c r="B351" s="547" t="s">
        <v>916</v>
      </c>
      <c r="C351" s="724">
        <v>3.83881E7</v>
      </c>
      <c r="D351" s="18"/>
      <c r="E351" s="701"/>
      <c r="F351" s="507"/>
      <c r="G351" s="507"/>
      <c r="H351" s="507"/>
      <c r="I351" s="507"/>
      <c r="J351" s="507"/>
      <c r="K351" s="507"/>
      <c r="L351" s="507"/>
      <c r="M351" s="507"/>
      <c r="N351" s="507"/>
    </row>
    <row r="352" ht="35.25" customHeight="1">
      <c r="A352" s="720" t="s">
        <v>156</v>
      </c>
      <c r="B352" s="547" t="s">
        <v>904</v>
      </c>
      <c r="C352" s="656" t="s">
        <v>684</v>
      </c>
      <c r="D352" s="722">
        <f>SUM(C352:C361)</f>
        <v>181237000</v>
      </c>
      <c r="E352" s="701"/>
      <c r="F352" s="507"/>
      <c r="G352" s="507"/>
      <c r="H352" s="507"/>
      <c r="I352" s="507"/>
      <c r="J352" s="507"/>
      <c r="K352" s="507"/>
      <c r="L352" s="507"/>
      <c r="M352" s="507"/>
      <c r="N352" s="507"/>
    </row>
    <row r="353" ht="35.25" customHeight="1">
      <c r="A353" s="18"/>
      <c r="B353" s="547" t="s">
        <v>908</v>
      </c>
      <c r="C353" s="656" t="s">
        <v>684</v>
      </c>
      <c r="D353" s="18"/>
      <c r="E353" s="701"/>
      <c r="F353" s="507"/>
      <c r="G353" s="507"/>
      <c r="H353" s="507"/>
      <c r="I353" s="507"/>
      <c r="J353" s="507"/>
      <c r="K353" s="507"/>
      <c r="L353" s="507"/>
      <c r="M353" s="507"/>
      <c r="N353" s="507"/>
    </row>
    <row r="354" ht="35.25" customHeight="1">
      <c r="A354" s="18"/>
      <c r="B354" s="547" t="s">
        <v>909</v>
      </c>
      <c r="C354" s="656" t="s">
        <v>684</v>
      </c>
      <c r="D354" s="18"/>
      <c r="E354" s="701"/>
      <c r="F354" s="507"/>
      <c r="G354" s="507"/>
      <c r="H354" s="507"/>
      <c r="I354" s="507"/>
      <c r="J354" s="507"/>
      <c r="K354" s="507"/>
      <c r="L354" s="507"/>
      <c r="M354" s="507"/>
      <c r="N354" s="507"/>
    </row>
    <row r="355" ht="35.25" customHeight="1">
      <c r="A355" s="18"/>
      <c r="B355" s="547" t="s">
        <v>910</v>
      </c>
      <c r="C355" s="656">
        <v>2.9037E7</v>
      </c>
      <c r="D355" s="18"/>
      <c r="E355" s="701"/>
      <c r="F355" s="507"/>
      <c r="G355" s="507"/>
      <c r="H355" s="507"/>
      <c r="I355" s="507"/>
      <c r="J355" s="507"/>
      <c r="K355" s="507"/>
      <c r="L355" s="507"/>
      <c r="M355" s="507"/>
      <c r="N355" s="507"/>
    </row>
    <row r="356" ht="35.25" customHeight="1">
      <c r="A356" s="18"/>
      <c r="B356" s="547" t="s">
        <v>911</v>
      </c>
      <c r="C356" s="656">
        <v>2.59035E7</v>
      </c>
      <c r="D356" s="18"/>
      <c r="E356" s="701"/>
      <c r="F356" s="507"/>
      <c r="G356" s="507"/>
      <c r="H356" s="507"/>
      <c r="I356" s="507"/>
      <c r="J356" s="507"/>
      <c r="K356" s="507"/>
      <c r="L356" s="507"/>
      <c r="M356" s="507"/>
      <c r="N356" s="507"/>
    </row>
    <row r="357" ht="35.25" customHeight="1">
      <c r="A357" s="18"/>
      <c r="B357" s="547" t="s">
        <v>912</v>
      </c>
      <c r="C357" s="656">
        <v>1.98905E7</v>
      </c>
      <c r="D357" s="18"/>
      <c r="E357" s="701"/>
      <c r="F357" s="507"/>
      <c r="G357" s="507"/>
      <c r="H357" s="507"/>
      <c r="I357" s="507"/>
      <c r="J357" s="507"/>
      <c r="K357" s="507"/>
      <c r="L357" s="507"/>
      <c r="M357" s="507"/>
      <c r="N357" s="507"/>
    </row>
    <row r="358" ht="35.25" customHeight="1">
      <c r="A358" s="18"/>
      <c r="B358" s="547" t="s">
        <v>913</v>
      </c>
      <c r="C358" s="656">
        <v>2.50875E7</v>
      </c>
      <c r="D358" s="18"/>
      <c r="E358" s="701"/>
      <c r="F358" s="507"/>
      <c r="G358" s="507"/>
      <c r="H358" s="507"/>
      <c r="I358" s="507"/>
      <c r="J358" s="507"/>
      <c r="K358" s="507"/>
      <c r="L358" s="507"/>
      <c r="M358" s="507"/>
      <c r="N358" s="507"/>
    </row>
    <row r="359" ht="35.25" customHeight="1">
      <c r="A359" s="18"/>
      <c r="B359" s="547" t="s">
        <v>914</v>
      </c>
      <c r="C359" s="656">
        <v>2.6415E7</v>
      </c>
      <c r="D359" s="18"/>
      <c r="E359" s="701"/>
      <c r="F359" s="507"/>
      <c r="G359" s="507"/>
      <c r="H359" s="507"/>
      <c r="I359" s="507"/>
      <c r="J359" s="507"/>
      <c r="K359" s="507"/>
      <c r="L359" s="507"/>
      <c r="M359" s="507"/>
      <c r="N359" s="507"/>
    </row>
    <row r="360" ht="35.25" customHeight="1">
      <c r="A360" s="18"/>
      <c r="B360" s="547" t="s">
        <v>915</v>
      </c>
      <c r="C360" s="656">
        <v>2.81735E7</v>
      </c>
      <c r="D360" s="18"/>
      <c r="E360" s="701" t="s">
        <v>794</v>
      </c>
      <c r="F360" s="507"/>
      <c r="G360" s="507"/>
      <c r="H360" s="507"/>
      <c r="I360" s="507"/>
      <c r="J360" s="507"/>
      <c r="K360" s="507"/>
      <c r="L360" s="507"/>
      <c r="M360" s="507"/>
      <c r="N360" s="507"/>
    </row>
    <row r="361" ht="35.25" customHeight="1">
      <c r="A361" s="18"/>
      <c r="B361" s="547" t="s">
        <v>916</v>
      </c>
      <c r="C361" s="656">
        <v>2.673E7</v>
      </c>
      <c r="D361" s="18"/>
      <c r="E361" s="701"/>
      <c r="F361" s="507"/>
      <c r="G361" s="507"/>
      <c r="H361" s="507"/>
      <c r="I361" s="507"/>
      <c r="J361" s="507"/>
      <c r="K361" s="507"/>
      <c r="L361" s="507"/>
      <c r="M361" s="507"/>
      <c r="N361" s="507"/>
    </row>
    <row r="362" ht="35.25" customHeight="1">
      <c r="A362" s="720" t="s">
        <v>158</v>
      </c>
      <c r="B362" s="547" t="s">
        <v>913</v>
      </c>
      <c r="C362" s="593">
        <v>1.5036E7</v>
      </c>
      <c r="D362" s="722">
        <f>SUM(C362:C365)</f>
        <v>90413000</v>
      </c>
      <c r="E362" s="701"/>
      <c r="F362" s="507"/>
      <c r="G362" s="507"/>
      <c r="H362" s="507"/>
      <c r="I362" s="507"/>
      <c r="J362" s="507"/>
      <c r="K362" s="507"/>
      <c r="L362" s="507"/>
      <c r="M362" s="507"/>
      <c r="N362" s="507"/>
    </row>
    <row r="363" ht="35.25" customHeight="1">
      <c r="A363" s="18"/>
      <c r="B363" s="547" t="s">
        <v>914</v>
      </c>
      <c r="C363" s="593">
        <v>2.3921E7</v>
      </c>
      <c r="D363" s="18"/>
      <c r="E363" s="701"/>
      <c r="F363" s="507"/>
      <c r="G363" s="507"/>
      <c r="H363" s="507"/>
      <c r="I363" s="507"/>
      <c r="J363" s="507"/>
      <c r="K363" s="507"/>
      <c r="L363" s="507"/>
      <c r="M363" s="507"/>
      <c r="N363" s="507"/>
    </row>
    <row r="364" ht="35.25" customHeight="1">
      <c r="A364" s="18"/>
      <c r="B364" s="547" t="s">
        <v>915</v>
      </c>
      <c r="C364" s="593">
        <v>3.10575E7</v>
      </c>
      <c r="D364" s="18"/>
      <c r="E364" s="701"/>
      <c r="F364" s="507"/>
      <c r="G364" s="507"/>
      <c r="H364" s="507"/>
      <c r="I364" s="507"/>
      <c r="J364" s="507"/>
      <c r="K364" s="507"/>
      <c r="L364" s="507"/>
      <c r="M364" s="507"/>
      <c r="N364" s="507"/>
    </row>
    <row r="365" ht="35.25" customHeight="1">
      <c r="A365" s="22"/>
      <c r="B365" s="748" t="s">
        <v>916</v>
      </c>
      <c r="C365" s="749">
        <v>2.03985E7</v>
      </c>
      <c r="D365" s="22"/>
      <c r="E365" s="701"/>
      <c r="F365" s="507"/>
      <c r="G365" s="507"/>
      <c r="H365" s="507"/>
      <c r="I365" s="507"/>
      <c r="J365" s="507"/>
      <c r="K365" s="507"/>
      <c r="L365" s="507"/>
      <c r="M365" s="507"/>
      <c r="N365" s="507"/>
    </row>
    <row r="366" ht="35.25" customHeight="1">
      <c r="A366" s="750" t="s">
        <v>167</v>
      </c>
      <c r="B366" s="751" t="s">
        <v>915</v>
      </c>
      <c r="C366" s="752" t="s">
        <v>684</v>
      </c>
      <c r="D366" s="753">
        <f>SUM(C366:C368)</f>
        <v>19655500</v>
      </c>
      <c r="E366" s="701"/>
      <c r="F366" s="507"/>
      <c r="G366" s="507"/>
      <c r="H366" s="507"/>
      <c r="I366" s="507"/>
      <c r="J366" s="507"/>
      <c r="K366" s="507"/>
      <c r="L366" s="507"/>
      <c r="M366" s="507"/>
      <c r="N366" s="507"/>
    </row>
    <row r="367" ht="35.25" customHeight="1">
      <c r="A367" s="754"/>
      <c r="B367" s="751" t="s">
        <v>916</v>
      </c>
      <c r="C367" s="752">
        <v>1.96555E7</v>
      </c>
      <c r="D367" s="755"/>
      <c r="E367" s="701"/>
      <c r="F367" s="507"/>
      <c r="G367" s="507"/>
      <c r="H367" s="507"/>
      <c r="I367" s="507"/>
      <c r="J367" s="507"/>
      <c r="K367" s="507"/>
      <c r="L367" s="507"/>
      <c r="M367" s="507"/>
      <c r="N367" s="507"/>
    </row>
    <row r="368" ht="35.25" customHeight="1">
      <c r="A368" s="754"/>
      <c r="B368" s="751"/>
      <c r="C368" s="752"/>
      <c r="D368" s="755"/>
      <c r="E368" s="701"/>
      <c r="F368" s="507"/>
      <c r="G368" s="507"/>
      <c r="H368" s="507"/>
      <c r="I368" s="507"/>
      <c r="J368" s="507"/>
      <c r="K368" s="507"/>
      <c r="L368" s="507"/>
      <c r="M368" s="507"/>
      <c r="N368" s="507"/>
    </row>
    <row r="369" ht="35.25" customHeight="1">
      <c r="A369" s="754"/>
      <c r="B369" s="756"/>
      <c r="C369" s="756"/>
      <c r="D369" s="755"/>
      <c r="E369" s="701" t="s">
        <v>797</v>
      </c>
      <c r="F369" s="507"/>
      <c r="G369" s="507"/>
      <c r="H369" s="507"/>
      <c r="I369" s="507"/>
      <c r="J369" s="507"/>
      <c r="K369" s="507"/>
      <c r="L369" s="507"/>
      <c r="M369" s="507"/>
      <c r="N369" s="507"/>
    </row>
    <row r="370" ht="35.25" customHeight="1">
      <c r="A370" s="757"/>
      <c r="B370" s="756"/>
      <c r="C370" s="756"/>
      <c r="D370" s="758"/>
      <c r="E370" s="701"/>
      <c r="F370" s="507"/>
      <c r="G370" s="507"/>
      <c r="H370" s="507"/>
      <c r="I370" s="507"/>
      <c r="J370" s="507"/>
      <c r="K370" s="507"/>
      <c r="L370" s="507"/>
      <c r="M370" s="507"/>
      <c r="N370" s="507"/>
    </row>
    <row r="371" ht="35.25" customHeight="1">
      <c r="A371" s="759" t="s">
        <v>178</v>
      </c>
      <c r="B371" s="760" t="s">
        <v>219</v>
      </c>
      <c r="C371" s="761">
        <v>5.99265E7</v>
      </c>
      <c r="D371" s="762">
        <f>SUM(C371:C378)</f>
        <v>413636000</v>
      </c>
      <c r="E371" s="701"/>
      <c r="F371" s="507"/>
      <c r="G371" s="507"/>
      <c r="H371" s="507"/>
      <c r="I371" s="507"/>
      <c r="J371" s="507"/>
      <c r="K371" s="507"/>
      <c r="L371" s="507"/>
      <c r="M371" s="507"/>
      <c r="N371" s="507"/>
    </row>
    <row r="372" ht="35.25" customHeight="1">
      <c r="A372" s="763"/>
      <c r="B372" s="760" t="s">
        <v>89</v>
      </c>
      <c r="C372" s="761">
        <v>5.4278E7</v>
      </c>
      <c r="D372" s="764"/>
      <c r="E372" s="701"/>
      <c r="F372" s="507"/>
      <c r="G372" s="507"/>
      <c r="H372" s="507"/>
      <c r="I372" s="507"/>
      <c r="J372" s="507"/>
      <c r="K372" s="507"/>
      <c r="L372" s="507"/>
      <c r="M372" s="507"/>
      <c r="N372" s="507"/>
    </row>
    <row r="373" ht="35.25" customHeight="1">
      <c r="A373" s="763"/>
      <c r="B373" s="760" t="s">
        <v>220</v>
      </c>
      <c r="C373" s="765">
        <v>5.8605E7</v>
      </c>
      <c r="D373" s="764"/>
      <c r="E373" s="701"/>
      <c r="F373" s="507"/>
      <c r="G373" s="507"/>
      <c r="H373" s="507"/>
      <c r="I373" s="507"/>
      <c r="J373" s="507"/>
      <c r="K373" s="507"/>
      <c r="L373" s="507"/>
      <c r="M373" s="507"/>
      <c r="N373" s="507"/>
    </row>
    <row r="374" ht="35.25" customHeight="1">
      <c r="A374" s="763"/>
      <c r="B374" s="760" t="s">
        <v>697</v>
      </c>
      <c r="C374" s="765">
        <v>4.25465E7</v>
      </c>
      <c r="D374" s="764"/>
      <c r="E374" s="701"/>
      <c r="F374" s="507"/>
      <c r="G374" s="507"/>
      <c r="H374" s="507"/>
      <c r="I374" s="507"/>
      <c r="J374" s="507"/>
      <c r="K374" s="507"/>
      <c r="L374" s="507"/>
      <c r="M374" s="507"/>
      <c r="N374" s="507"/>
    </row>
    <row r="375" ht="35.25" customHeight="1">
      <c r="A375" s="763"/>
      <c r="B375" s="760" t="s">
        <v>913</v>
      </c>
      <c r="C375" s="765">
        <v>3.865E7</v>
      </c>
      <c r="D375" s="764"/>
      <c r="E375" s="701" t="s">
        <v>800</v>
      </c>
      <c r="F375" s="507"/>
      <c r="G375" s="507"/>
      <c r="H375" s="507"/>
      <c r="I375" s="507"/>
      <c r="J375" s="507"/>
      <c r="K375" s="507"/>
      <c r="L375" s="507"/>
      <c r="M375" s="507"/>
      <c r="N375" s="507"/>
    </row>
    <row r="376" ht="35.25" customHeight="1">
      <c r="A376" s="763"/>
      <c r="B376" s="760" t="s">
        <v>914</v>
      </c>
      <c r="C376" s="765">
        <v>5.3135E7</v>
      </c>
      <c r="D376" s="764"/>
      <c r="E376" s="701"/>
      <c r="F376" s="507"/>
      <c r="G376" s="507"/>
      <c r="H376" s="507"/>
      <c r="I376" s="507"/>
      <c r="J376" s="507"/>
      <c r="K376" s="507"/>
      <c r="L376" s="507"/>
      <c r="M376" s="507"/>
      <c r="N376" s="507"/>
    </row>
    <row r="377" ht="35.25" customHeight="1">
      <c r="A377" s="763"/>
      <c r="B377" s="766" t="s">
        <v>915</v>
      </c>
      <c r="C377" s="767">
        <v>5.322E7</v>
      </c>
      <c r="D377" s="764"/>
      <c r="E377" s="701"/>
      <c r="F377" s="507"/>
      <c r="G377" s="507"/>
      <c r="H377" s="507"/>
      <c r="I377" s="507"/>
      <c r="J377" s="507"/>
      <c r="K377" s="507"/>
      <c r="L377" s="507"/>
      <c r="M377" s="507"/>
      <c r="N377" s="507"/>
    </row>
    <row r="378" ht="35.25" customHeight="1">
      <c r="A378" s="768"/>
      <c r="B378" s="751" t="s">
        <v>916</v>
      </c>
      <c r="C378" s="769">
        <v>5.3275E7</v>
      </c>
      <c r="D378" s="770"/>
      <c r="E378" s="701"/>
      <c r="F378" s="507"/>
      <c r="G378" s="507"/>
      <c r="H378" s="507"/>
      <c r="I378" s="507"/>
      <c r="J378" s="507"/>
      <c r="K378" s="507"/>
      <c r="L378" s="507"/>
      <c r="M378" s="507"/>
      <c r="N378" s="507"/>
    </row>
    <row r="379" ht="35.25" customHeight="1">
      <c r="A379" s="771" t="s">
        <v>182</v>
      </c>
      <c r="B379" s="772" t="s">
        <v>904</v>
      </c>
      <c r="C379" s="773" t="s">
        <v>684</v>
      </c>
      <c r="D379" s="774">
        <f>SUM(C381:C387)</f>
        <v>183664100</v>
      </c>
      <c r="E379" s="701"/>
      <c r="F379" s="507"/>
      <c r="G379" s="507"/>
      <c r="H379" s="507"/>
      <c r="I379" s="507"/>
      <c r="J379" s="507"/>
      <c r="K379" s="507"/>
      <c r="L379" s="507"/>
      <c r="M379" s="507"/>
      <c r="N379" s="507"/>
    </row>
    <row r="380" ht="35.25" customHeight="1">
      <c r="A380" s="775"/>
      <c r="B380" s="760" t="s">
        <v>219</v>
      </c>
      <c r="C380" s="761" t="s">
        <v>684</v>
      </c>
      <c r="D380" s="776"/>
      <c r="E380" s="701"/>
      <c r="F380" s="507"/>
      <c r="G380" s="507"/>
      <c r="H380" s="507"/>
      <c r="I380" s="507"/>
      <c r="J380" s="507"/>
      <c r="K380" s="507"/>
      <c r="L380" s="507"/>
      <c r="M380" s="507"/>
      <c r="N380" s="507"/>
    </row>
    <row r="381" ht="35.25" customHeight="1">
      <c r="A381" s="775"/>
      <c r="B381" s="760" t="s">
        <v>89</v>
      </c>
      <c r="C381" s="761">
        <v>2.05741E7</v>
      </c>
      <c r="D381" s="776"/>
      <c r="E381" s="701"/>
      <c r="F381" s="507"/>
      <c r="G381" s="507"/>
      <c r="H381" s="507"/>
      <c r="I381" s="507"/>
      <c r="J381" s="507"/>
      <c r="K381" s="507"/>
      <c r="L381" s="507"/>
      <c r="M381" s="507"/>
      <c r="N381" s="507"/>
    </row>
    <row r="382" ht="35.25" customHeight="1">
      <c r="A382" s="775"/>
      <c r="B382" s="760" t="s">
        <v>220</v>
      </c>
      <c r="C382" s="761">
        <f>34445000-195000</f>
        <v>34250000</v>
      </c>
      <c r="D382" s="776"/>
      <c r="E382" s="701"/>
      <c r="F382" s="507"/>
      <c r="G382" s="507"/>
      <c r="H382" s="507"/>
      <c r="I382" s="507"/>
      <c r="J382" s="507"/>
      <c r="K382" s="507"/>
      <c r="L382" s="507"/>
      <c r="M382" s="507"/>
      <c r="N382" s="507"/>
    </row>
    <row r="383" ht="35.25" customHeight="1">
      <c r="A383" s="775"/>
      <c r="B383" s="760" t="s">
        <v>697</v>
      </c>
      <c r="C383" s="761">
        <v>2.28898E7</v>
      </c>
      <c r="D383" s="776"/>
      <c r="E383" s="701" t="s">
        <v>801</v>
      </c>
      <c r="F383" s="507"/>
      <c r="G383" s="507"/>
      <c r="H383" s="507"/>
      <c r="I383" s="507"/>
      <c r="J383" s="507"/>
      <c r="K383" s="507"/>
      <c r="L383" s="507"/>
      <c r="M383" s="507"/>
      <c r="N383" s="507"/>
    </row>
    <row r="384" ht="35.25" customHeight="1">
      <c r="A384" s="775"/>
      <c r="B384" s="760" t="s">
        <v>913</v>
      </c>
      <c r="C384" s="761">
        <v>1.86222E7</v>
      </c>
      <c r="D384" s="776"/>
      <c r="E384" s="701"/>
      <c r="F384" s="507"/>
      <c r="G384" s="507"/>
      <c r="H384" s="507"/>
      <c r="I384" s="507"/>
      <c r="J384" s="507"/>
      <c r="K384" s="507"/>
      <c r="L384" s="507"/>
      <c r="M384" s="507"/>
      <c r="N384" s="507"/>
    </row>
    <row r="385" ht="35.25" customHeight="1">
      <c r="A385" s="775"/>
      <c r="B385" s="760" t="s">
        <v>914</v>
      </c>
      <c r="C385" s="761">
        <v>2.5593E7</v>
      </c>
      <c r="D385" s="776"/>
      <c r="E385" s="701"/>
      <c r="F385" s="507"/>
      <c r="G385" s="507"/>
      <c r="H385" s="507"/>
      <c r="I385" s="507"/>
      <c r="J385" s="507"/>
      <c r="K385" s="507"/>
      <c r="L385" s="507"/>
      <c r="M385" s="507"/>
      <c r="N385" s="507"/>
    </row>
    <row r="386" ht="35.25" customHeight="1">
      <c r="A386" s="775"/>
      <c r="B386" s="777" t="s">
        <v>915</v>
      </c>
      <c r="C386" s="778">
        <v>3.21002E7</v>
      </c>
      <c r="D386" s="776"/>
      <c r="E386" s="701"/>
      <c r="F386" s="507"/>
      <c r="G386" s="507"/>
      <c r="H386" s="507"/>
      <c r="I386" s="507"/>
      <c r="J386" s="507"/>
      <c r="K386" s="507"/>
      <c r="L386" s="507"/>
      <c r="M386" s="507"/>
      <c r="N386" s="507"/>
    </row>
    <row r="387" ht="35.25" customHeight="1">
      <c r="A387" s="779"/>
      <c r="B387" s="751" t="s">
        <v>916</v>
      </c>
      <c r="C387" s="780">
        <v>2.96348E7</v>
      </c>
      <c r="D387" s="781"/>
      <c r="E387" s="701"/>
      <c r="F387" s="507"/>
      <c r="G387" s="507"/>
      <c r="H387" s="507"/>
      <c r="I387" s="507"/>
      <c r="J387" s="507"/>
      <c r="K387" s="507"/>
      <c r="L387" s="507"/>
      <c r="M387" s="507"/>
      <c r="N387" s="507"/>
    </row>
    <row r="388" ht="35.25" customHeight="1">
      <c r="A388" s="782" t="s">
        <v>184</v>
      </c>
      <c r="B388" s="783" t="s">
        <v>904</v>
      </c>
      <c r="C388" s="773">
        <v>5.2476E7</v>
      </c>
      <c r="D388" s="774">
        <f>SUM(C388:C393)</f>
        <v>225038500</v>
      </c>
      <c r="E388" s="701"/>
      <c r="F388" s="507"/>
      <c r="G388" s="507"/>
      <c r="H388" s="507"/>
      <c r="I388" s="507"/>
      <c r="J388" s="507"/>
      <c r="K388" s="507"/>
      <c r="L388" s="507"/>
      <c r="M388" s="507"/>
      <c r="N388" s="507"/>
    </row>
    <row r="389" ht="35.25" customHeight="1">
      <c r="A389" s="775"/>
      <c r="B389" s="760" t="s">
        <v>219</v>
      </c>
      <c r="C389" s="761">
        <v>3.73035E7</v>
      </c>
      <c r="D389" s="776"/>
      <c r="E389" s="701"/>
      <c r="F389" s="507"/>
      <c r="G389" s="507"/>
      <c r="H389" s="507"/>
      <c r="I389" s="507"/>
      <c r="J389" s="507"/>
      <c r="K389" s="507"/>
      <c r="L389" s="507"/>
      <c r="M389" s="507"/>
      <c r="N389" s="507"/>
    </row>
    <row r="390" ht="35.25" customHeight="1">
      <c r="A390" s="775"/>
      <c r="B390" s="760" t="s">
        <v>220</v>
      </c>
      <c r="C390" s="761">
        <v>3.75565E7</v>
      </c>
      <c r="D390" s="776"/>
      <c r="E390" s="701"/>
      <c r="F390" s="507"/>
      <c r="G390" s="507"/>
      <c r="H390" s="507"/>
      <c r="I390" s="507"/>
      <c r="J390" s="507"/>
      <c r="K390" s="507"/>
      <c r="L390" s="507"/>
      <c r="M390" s="507"/>
      <c r="N390" s="507"/>
    </row>
    <row r="391" ht="35.25" customHeight="1">
      <c r="A391" s="775"/>
      <c r="B391" s="760" t="s">
        <v>913</v>
      </c>
      <c r="C391" s="761">
        <v>4.24085E7</v>
      </c>
      <c r="D391" s="776"/>
      <c r="E391" s="701"/>
      <c r="F391" s="507"/>
      <c r="G391" s="507"/>
      <c r="H391" s="507"/>
      <c r="I391" s="507"/>
      <c r="J391" s="507"/>
      <c r="K391" s="507"/>
      <c r="L391" s="507"/>
      <c r="M391" s="507"/>
      <c r="N391" s="507"/>
    </row>
    <row r="392" ht="35.25" customHeight="1">
      <c r="A392" s="775"/>
      <c r="B392" s="784" t="s">
        <v>915</v>
      </c>
      <c r="C392" s="785">
        <v>3.5785E7</v>
      </c>
      <c r="D392" s="776"/>
      <c r="E392" s="701"/>
      <c r="F392" s="507"/>
      <c r="G392" s="507"/>
      <c r="H392" s="507"/>
      <c r="I392" s="507"/>
      <c r="J392" s="507"/>
      <c r="K392" s="507"/>
      <c r="L392" s="507"/>
      <c r="M392" s="507"/>
      <c r="N392" s="507"/>
    </row>
    <row r="393" ht="35.25" customHeight="1">
      <c r="A393" s="779"/>
      <c r="B393" s="751" t="s">
        <v>916</v>
      </c>
      <c r="C393" s="785">
        <v>1.9509E7</v>
      </c>
      <c r="D393" s="781"/>
      <c r="E393" s="701"/>
      <c r="F393" s="507"/>
      <c r="G393" s="507"/>
      <c r="H393" s="507"/>
      <c r="I393" s="507"/>
      <c r="J393" s="507"/>
      <c r="K393" s="507"/>
      <c r="L393" s="507"/>
      <c r="M393" s="507"/>
      <c r="N393" s="507"/>
    </row>
    <row r="394" ht="35.25" customHeight="1">
      <c r="A394" s="771" t="s">
        <v>367</v>
      </c>
      <c r="B394" s="760" t="s">
        <v>908</v>
      </c>
      <c r="C394" s="761">
        <v>7.60493E7</v>
      </c>
      <c r="D394" s="774">
        <f>SUM(C394:C402)</f>
        <v>646491400</v>
      </c>
      <c r="E394" s="701"/>
      <c r="F394" s="507"/>
      <c r="G394" s="507"/>
      <c r="H394" s="507"/>
      <c r="I394" s="507"/>
      <c r="J394" s="507"/>
      <c r="K394" s="507"/>
      <c r="L394" s="507"/>
      <c r="M394" s="507"/>
      <c r="N394" s="507"/>
    </row>
    <row r="395" ht="35.25" customHeight="1">
      <c r="A395" s="775"/>
      <c r="B395" s="760" t="s">
        <v>909</v>
      </c>
      <c r="C395" s="761">
        <v>6.5696E7</v>
      </c>
      <c r="D395" s="776"/>
      <c r="E395" s="701"/>
      <c r="F395" s="507"/>
      <c r="G395" s="507"/>
      <c r="H395" s="507"/>
      <c r="I395" s="507"/>
      <c r="J395" s="507"/>
      <c r="K395" s="507"/>
      <c r="L395" s="507"/>
      <c r="M395" s="507"/>
      <c r="N395" s="507"/>
    </row>
    <row r="396" ht="35.25" customHeight="1">
      <c r="A396" s="775"/>
      <c r="B396" s="760" t="s">
        <v>910</v>
      </c>
      <c r="C396" s="761">
        <v>6.94055E7</v>
      </c>
      <c r="D396" s="776"/>
      <c r="E396" s="701"/>
      <c r="F396" s="507"/>
      <c r="G396" s="507"/>
      <c r="H396" s="507"/>
      <c r="I396" s="507"/>
      <c r="J396" s="507"/>
      <c r="K396" s="507"/>
      <c r="L396" s="507"/>
      <c r="M396" s="507"/>
      <c r="N396" s="507"/>
    </row>
    <row r="397" ht="35.25" customHeight="1">
      <c r="A397" s="775"/>
      <c r="B397" s="760" t="s">
        <v>911</v>
      </c>
      <c r="C397" s="761">
        <v>7.81185E7</v>
      </c>
      <c r="D397" s="776"/>
      <c r="E397" s="701"/>
      <c r="F397" s="507"/>
      <c r="G397" s="507"/>
      <c r="H397" s="507"/>
      <c r="I397" s="507"/>
      <c r="J397" s="507"/>
      <c r="K397" s="507"/>
      <c r="L397" s="507"/>
      <c r="M397" s="507"/>
      <c r="N397" s="507"/>
    </row>
    <row r="398" ht="35.25" customHeight="1">
      <c r="A398" s="775"/>
      <c r="B398" s="760" t="s">
        <v>912</v>
      </c>
      <c r="C398" s="761">
        <v>4.7313E7</v>
      </c>
      <c r="D398" s="776"/>
      <c r="E398" s="701"/>
      <c r="F398" s="507"/>
      <c r="G398" s="507"/>
      <c r="H398" s="507"/>
      <c r="I398" s="507"/>
      <c r="J398" s="507"/>
      <c r="K398" s="507"/>
      <c r="L398" s="507"/>
      <c r="M398" s="507"/>
      <c r="N398" s="507"/>
    </row>
    <row r="399" ht="35.25" customHeight="1">
      <c r="A399" s="775"/>
      <c r="B399" s="760" t="s">
        <v>913</v>
      </c>
      <c r="C399" s="786">
        <v>6.93365E7</v>
      </c>
      <c r="D399" s="776"/>
      <c r="E399" s="701"/>
      <c r="F399" s="507"/>
      <c r="G399" s="507"/>
      <c r="H399" s="507"/>
      <c r="I399" s="507"/>
      <c r="J399" s="507"/>
      <c r="K399" s="507"/>
      <c r="L399" s="507"/>
      <c r="M399" s="507"/>
      <c r="N399" s="507"/>
    </row>
    <row r="400" ht="35.25" customHeight="1">
      <c r="A400" s="775"/>
      <c r="B400" s="760" t="s">
        <v>914</v>
      </c>
      <c r="C400" s="786">
        <v>8.73591E7</v>
      </c>
      <c r="D400" s="776"/>
      <c r="E400" s="701"/>
      <c r="F400" s="507"/>
      <c r="G400" s="507"/>
      <c r="H400" s="507"/>
      <c r="I400" s="507"/>
      <c r="J400" s="507"/>
      <c r="K400" s="507"/>
      <c r="L400" s="507"/>
      <c r="M400" s="507"/>
      <c r="N400" s="507"/>
    </row>
    <row r="401" ht="35.25" customHeight="1">
      <c r="A401" s="775"/>
      <c r="B401" s="760" t="s">
        <v>915</v>
      </c>
      <c r="C401" s="786">
        <v>7.04033E7</v>
      </c>
      <c r="D401" s="776"/>
      <c r="E401" s="701"/>
      <c r="F401" s="507"/>
      <c r="G401" s="507"/>
      <c r="H401" s="507"/>
      <c r="I401" s="507"/>
      <c r="J401" s="507"/>
      <c r="K401" s="507"/>
      <c r="L401" s="507"/>
      <c r="M401" s="507"/>
      <c r="N401" s="507"/>
    </row>
    <row r="402" ht="35.25" customHeight="1">
      <c r="A402" s="779"/>
      <c r="B402" s="784" t="s">
        <v>916</v>
      </c>
      <c r="C402" s="787">
        <v>8.28102E7</v>
      </c>
      <c r="D402" s="781"/>
      <c r="E402" s="701"/>
      <c r="F402" s="507"/>
      <c r="G402" s="507"/>
      <c r="H402" s="507"/>
      <c r="I402" s="507"/>
      <c r="J402" s="507"/>
      <c r="K402" s="507"/>
      <c r="L402" s="507"/>
      <c r="M402" s="507"/>
      <c r="N402" s="507"/>
    </row>
    <row r="403" ht="35.25" customHeight="1">
      <c r="A403" s="782" t="s">
        <v>205</v>
      </c>
      <c r="B403" s="760" t="s">
        <v>913</v>
      </c>
      <c r="C403" s="786" t="s">
        <v>684</v>
      </c>
      <c r="D403" s="774">
        <f>sum(C403:C406)</f>
        <v>37327500</v>
      </c>
      <c r="E403" s="701"/>
      <c r="F403" s="507"/>
      <c r="G403" s="507"/>
      <c r="H403" s="507"/>
      <c r="I403" s="507"/>
      <c r="J403" s="507"/>
      <c r="K403" s="507"/>
      <c r="L403" s="507"/>
      <c r="M403" s="507"/>
      <c r="N403" s="507"/>
    </row>
    <row r="404" ht="35.25" customHeight="1">
      <c r="A404" s="775"/>
      <c r="B404" s="760" t="s">
        <v>914</v>
      </c>
      <c r="C404" s="786" t="s">
        <v>684</v>
      </c>
      <c r="D404" s="776"/>
      <c r="E404" s="701"/>
      <c r="F404" s="648"/>
      <c r="G404" s="648"/>
      <c r="H404" s="648"/>
      <c r="I404" s="648"/>
      <c r="J404" s="648"/>
      <c r="K404" s="648"/>
      <c r="L404" s="648"/>
      <c r="M404" s="648"/>
      <c r="N404" s="648"/>
    </row>
    <row r="405" ht="35.25" customHeight="1">
      <c r="A405" s="775"/>
      <c r="B405" s="760" t="s">
        <v>915</v>
      </c>
      <c r="C405" s="786" t="s">
        <v>684</v>
      </c>
      <c r="D405" s="776"/>
      <c r="E405" s="701" t="s">
        <v>813</v>
      </c>
      <c r="F405" s="648"/>
      <c r="G405" s="648"/>
      <c r="H405" s="648"/>
      <c r="I405" s="648"/>
      <c r="J405" s="648"/>
      <c r="K405" s="648"/>
      <c r="L405" s="648"/>
      <c r="M405" s="648"/>
      <c r="N405" s="648"/>
    </row>
    <row r="406" ht="35.25" customHeight="1">
      <c r="A406" s="779"/>
      <c r="B406" s="784" t="s">
        <v>916</v>
      </c>
      <c r="C406" s="787">
        <v>3.73275E7</v>
      </c>
      <c r="D406" s="781"/>
      <c r="E406" s="701"/>
      <c r="F406" s="648"/>
      <c r="G406" s="648"/>
      <c r="H406" s="648"/>
      <c r="I406" s="648"/>
      <c r="J406" s="648"/>
      <c r="K406" s="648"/>
      <c r="L406" s="648"/>
      <c r="M406" s="648"/>
      <c r="N406" s="648"/>
    </row>
    <row r="407" ht="35.25" customHeight="1">
      <c r="A407" s="788" t="s">
        <v>292</v>
      </c>
      <c r="B407" s="789" t="s">
        <v>913</v>
      </c>
      <c r="C407" s="790" t="s">
        <v>684</v>
      </c>
      <c r="D407" s="791">
        <f>sum(C409:C410)</f>
        <v>126299500</v>
      </c>
      <c r="E407" s="701"/>
      <c r="F407" s="507"/>
      <c r="G407" s="507"/>
      <c r="H407" s="507"/>
      <c r="I407" s="507"/>
      <c r="J407" s="507"/>
      <c r="K407" s="507"/>
      <c r="L407" s="507"/>
      <c r="M407" s="507"/>
      <c r="N407" s="507"/>
    </row>
    <row r="408" ht="35.25" customHeight="1">
      <c r="A408" s="792"/>
      <c r="B408" s="760" t="s">
        <v>914</v>
      </c>
      <c r="C408" s="786" t="s">
        <v>684</v>
      </c>
      <c r="D408" s="793"/>
      <c r="E408" s="701"/>
      <c r="F408" s="507"/>
      <c r="G408" s="507"/>
      <c r="H408" s="507"/>
      <c r="I408" s="507"/>
      <c r="J408" s="507"/>
      <c r="K408" s="507"/>
      <c r="L408" s="507"/>
      <c r="M408" s="507"/>
      <c r="N408" s="507"/>
    </row>
    <row r="409" ht="35.25" customHeight="1">
      <c r="A409" s="792"/>
      <c r="B409" s="760" t="s">
        <v>915</v>
      </c>
      <c r="C409" s="786">
        <v>6.749E7</v>
      </c>
      <c r="D409" s="793"/>
      <c r="E409" s="701" t="s">
        <v>815</v>
      </c>
      <c r="F409" s="507"/>
      <c r="G409" s="507"/>
      <c r="H409" s="507"/>
      <c r="I409" s="507"/>
      <c r="J409" s="507"/>
      <c r="K409" s="507"/>
      <c r="L409" s="507"/>
      <c r="M409" s="507"/>
      <c r="N409" s="507"/>
    </row>
    <row r="410" ht="35.25" customHeight="1">
      <c r="A410" s="794"/>
      <c r="B410" s="784" t="s">
        <v>916</v>
      </c>
      <c r="C410" s="787">
        <v>5.88095E7</v>
      </c>
      <c r="D410" s="795"/>
      <c r="E410" s="701"/>
      <c r="F410" s="507"/>
      <c r="G410" s="507"/>
      <c r="H410" s="507"/>
      <c r="I410" s="507"/>
      <c r="J410" s="507"/>
      <c r="K410" s="507"/>
      <c r="L410" s="507"/>
      <c r="M410" s="507"/>
      <c r="N410" s="507"/>
    </row>
    <row r="411" ht="35.25" customHeight="1">
      <c r="A411" s="771" t="s">
        <v>296</v>
      </c>
      <c r="B411" s="760" t="s">
        <v>913</v>
      </c>
      <c r="C411" s="786" t="s">
        <v>684</v>
      </c>
      <c r="D411" s="774">
        <f>sum(C414)</f>
        <v>38115000</v>
      </c>
      <c r="E411" s="701"/>
      <c r="F411" s="507"/>
      <c r="G411" s="507"/>
      <c r="H411" s="507"/>
      <c r="I411" s="507"/>
      <c r="J411" s="507"/>
      <c r="K411" s="507"/>
      <c r="L411" s="507"/>
      <c r="M411" s="507"/>
      <c r="N411" s="507"/>
    </row>
    <row r="412" ht="35.25" customHeight="1">
      <c r="A412" s="775"/>
      <c r="B412" s="760" t="s">
        <v>914</v>
      </c>
      <c r="C412" s="786" t="s">
        <v>684</v>
      </c>
      <c r="D412" s="776"/>
      <c r="E412" s="701"/>
      <c r="F412" s="507"/>
      <c r="G412" s="507"/>
      <c r="H412" s="507"/>
      <c r="I412" s="507"/>
      <c r="J412" s="507"/>
      <c r="K412" s="507"/>
      <c r="L412" s="507"/>
      <c r="M412" s="507"/>
      <c r="N412" s="507"/>
    </row>
    <row r="413" ht="35.25" customHeight="1">
      <c r="A413" s="775"/>
      <c r="B413" s="760" t="s">
        <v>915</v>
      </c>
      <c r="C413" s="786" t="s">
        <v>684</v>
      </c>
      <c r="D413" s="776"/>
      <c r="E413" s="701" t="s">
        <v>816</v>
      </c>
      <c r="F413" s="507"/>
      <c r="G413" s="507"/>
      <c r="H413" s="507"/>
      <c r="I413" s="507"/>
      <c r="J413" s="507"/>
      <c r="K413" s="507"/>
      <c r="L413" s="507"/>
      <c r="M413" s="507"/>
      <c r="N413" s="507"/>
    </row>
    <row r="414" ht="35.25" customHeight="1">
      <c r="A414" s="779"/>
      <c r="B414" s="784" t="s">
        <v>916</v>
      </c>
      <c r="C414" s="786">
        <v>3.8115E7</v>
      </c>
      <c r="D414" s="781"/>
      <c r="E414" s="701"/>
      <c r="F414" s="507"/>
      <c r="G414" s="507"/>
      <c r="H414" s="507"/>
      <c r="I414" s="507"/>
      <c r="J414" s="507"/>
      <c r="K414" s="507"/>
      <c r="L414" s="507"/>
      <c r="M414" s="507"/>
      <c r="N414" s="507"/>
    </row>
    <row r="415" ht="35.25" customHeight="1">
      <c r="A415" s="788" t="s">
        <v>207</v>
      </c>
      <c r="B415" s="796" t="s">
        <v>912</v>
      </c>
      <c r="C415" s="797" t="s">
        <v>684</v>
      </c>
      <c r="D415" s="791">
        <f>sum(C418)</f>
        <v>22955000</v>
      </c>
      <c r="E415" s="701"/>
      <c r="F415" s="507"/>
      <c r="G415" s="507"/>
      <c r="H415" s="507"/>
      <c r="I415" s="507"/>
      <c r="J415" s="507"/>
      <c r="K415" s="507"/>
      <c r="L415" s="507"/>
      <c r="M415" s="507"/>
      <c r="N415" s="507"/>
    </row>
    <row r="416" ht="35.25" customHeight="1">
      <c r="A416" s="792"/>
      <c r="B416" s="798" t="s">
        <v>913</v>
      </c>
      <c r="C416" s="799" t="s">
        <v>684</v>
      </c>
      <c r="D416" s="793"/>
      <c r="E416" s="701" t="s">
        <v>819</v>
      </c>
      <c r="F416" s="507"/>
      <c r="G416" s="507"/>
      <c r="H416" s="507"/>
      <c r="I416" s="507"/>
      <c r="J416" s="507"/>
      <c r="K416" s="507"/>
      <c r="L416" s="507"/>
      <c r="M416" s="507"/>
      <c r="N416" s="507"/>
    </row>
    <row r="417" ht="35.25" customHeight="1">
      <c r="A417" s="792"/>
      <c r="B417" s="798" t="s">
        <v>914</v>
      </c>
      <c r="C417" s="799" t="s">
        <v>684</v>
      </c>
      <c r="D417" s="793"/>
      <c r="E417" s="701"/>
      <c r="F417" s="507"/>
      <c r="G417" s="507"/>
      <c r="H417" s="507"/>
      <c r="I417" s="507"/>
      <c r="J417" s="507"/>
      <c r="K417" s="507"/>
      <c r="L417" s="507"/>
      <c r="M417" s="507"/>
      <c r="N417" s="507"/>
    </row>
    <row r="418" ht="35.25" customHeight="1">
      <c r="A418" s="792"/>
      <c r="B418" s="784" t="s">
        <v>915</v>
      </c>
      <c r="C418" s="800">
        <v>2.2955E7</v>
      </c>
      <c r="D418" s="793"/>
      <c r="E418" s="701"/>
      <c r="F418" s="507"/>
      <c r="G418" s="507"/>
      <c r="H418" s="507"/>
      <c r="I418" s="507"/>
      <c r="J418" s="507"/>
      <c r="K418" s="507"/>
      <c r="L418" s="507"/>
      <c r="M418" s="507"/>
      <c r="N418" s="507"/>
    </row>
    <row r="419" ht="35.25" customHeight="1">
      <c r="A419" s="794"/>
      <c r="B419" s="784" t="s">
        <v>916</v>
      </c>
      <c r="C419" s="801">
        <v>0.0</v>
      </c>
      <c r="D419" s="795"/>
      <c r="E419" s="701"/>
      <c r="F419" s="507"/>
      <c r="G419" s="507"/>
      <c r="H419" s="507"/>
      <c r="I419" s="507"/>
      <c r="J419" s="507"/>
      <c r="K419" s="507"/>
      <c r="L419" s="507"/>
      <c r="M419" s="507"/>
      <c r="N419" s="507"/>
    </row>
    <row r="420" ht="35.25" customHeight="1">
      <c r="A420" s="771" t="s">
        <v>302</v>
      </c>
      <c r="B420" s="760" t="s">
        <v>913</v>
      </c>
      <c r="C420" s="786">
        <v>2.4516E7</v>
      </c>
      <c r="D420" s="774">
        <f>sum(C420:C422)</f>
        <v>94086500</v>
      </c>
      <c r="E420" s="701"/>
      <c r="F420" s="507"/>
      <c r="G420" s="507"/>
      <c r="H420" s="507"/>
      <c r="I420" s="507"/>
      <c r="J420" s="507"/>
      <c r="K420" s="507"/>
      <c r="L420" s="507"/>
      <c r="M420" s="507"/>
      <c r="N420" s="507"/>
    </row>
    <row r="421" ht="35.25" customHeight="1">
      <c r="A421" s="775"/>
      <c r="B421" s="760" t="s">
        <v>914</v>
      </c>
      <c r="C421" s="786">
        <v>2.0015E7</v>
      </c>
      <c r="D421" s="776"/>
      <c r="E421" s="701" t="s">
        <v>917</v>
      </c>
      <c r="F421" s="507"/>
      <c r="G421" s="507"/>
      <c r="H421" s="507"/>
      <c r="I421" s="507"/>
      <c r="J421" s="507"/>
      <c r="K421" s="507"/>
      <c r="L421" s="507"/>
      <c r="M421" s="507"/>
      <c r="N421" s="507"/>
    </row>
    <row r="422" ht="35.25" customHeight="1">
      <c r="A422" s="775"/>
      <c r="B422" s="784" t="s">
        <v>915</v>
      </c>
      <c r="C422" s="787">
        <v>4.95555E7</v>
      </c>
      <c r="D422" s="776"/>
      <c r="E422" s="701"/>
      <c r="F422" s="507"/>
      <c r="G422" s="507"/>
      <c r="H422" s="507"/>
      <c r="I422" s="507"/>
      <c r="J422" s="507"/>
      <c r="K422" s="507"/>
      <c r="L422" s="507"/>
      <c r="M422" s="507"/>
      <c r="N422" s="507"/>
    </row>
    <row r="423" ht="35.25" customHeight="1">
      <c r="A423" s="775"/>
      <c r="B423" s="784" t="s">
        <v>916</v>
      </c>
      <c r="C423" s="787">
        <v>0.0</v>
      </c>
      <c r="D423" s="776"/>
      <c r="E423" s="525"/>
      <c r="F423" s="507"/>
      <c r="G423" s="507"/>
      <c r="H423" s="507"/>
      <c r="I423" s="507"/>
      <c r="J423" s="507"/>
      <c r="K423" s="507"/>
      <c r="L423" s="507"/>
      <c r="M423" s="507"/>
      <c r="N423" s="507"/>
    </row>
    <row r="424" ht="35.25" customHeight="1">
      <c r="A424" s="775"/>
      <c r="B424" s="756"/>
      <c r="C424" s="756"/>
      <c r="D424" s="776"/>
      <c r="E424" s="525"/>
      <c r="F424" s="507"/>
      <c r="G424" s="507"/>
      <c r="H424" s="507"/>
      <c r="I424" s="507"/>
      <c r="J424" s="507"/>
      <c r="K424" s="507"/>
      <c r="L424" s="507"/>
      <c r="M424" s="507"/>
      <c r="N424" s="507"/>
    </row>
    <row r="425" ht="35.25" customHeight="1">
      <c r="A425" s="775"/>
      <c r="B425" s="756"/>
      <c r="C425" s="756"/>
      <c r="D425" s="776"/>
      <c r="E425" s="525"/>
      <c r="F425" s="507"/>
      <c r="G425" s="507"/>
      <c r="H425" s="507"/>
      <c r="I425" s="507"/>
      <c r="J425" s="507"/>
      <c r="K425" s="507"/>
      <c r="L425" s="507"/>
      <c r="M425" s="507"/>
      <c r="N425" s="507"/>
    </row>
    <row r="426" ht="35.25" customHeight="1">
      <c r="A426" s="775"/>
      <c r="B426" s="756"/>
      <c r="C426" s="756"/>
      <c r="D426" s="776"/>
      <c r="E426" s="525"/>
      <c r="F426" s="507"/>
      <c r="G426" s="507"/>
      <c r="H426" s="507"/>
      <c r="I426" s="507"/>
      <c r="J426" s="507"/>
      <c r="K426" s="507"/>
      <c r="L426" s="507"/>
      <c r="M426" s="507"/>
      <c r="N426" s="507"/>
    </row>
    <row r="427" ht="35.25" customHeight="1">
      <c r="A427" s="779"/>
      <c r="B427" s="756"/>
      <c r="C427" s="756"/>
      <c r="D427" s="781"/>
      <c r="E427" s="525"/>
      <c r="F427" s="507"/>
      <c r="G427" s="507"/>
      <c r="H427" s="507"/>
      <c r="I427" s="507"/>
      <c r="J427" s="507"/>
      <c r="K427" s="507"/>
      <c r="L427" s="507"/>
      <c r="M427" s="507"/>
      <c r="N427" s="507"/>
    </row>
    <row r="428" ht="35.25" customHeight="1">
      <c r="A428" s="782" t="s">
        <v>215</v>
      </c>
      <c r="B428" s="760" t="s">
        <v>92</v>
      </c>
      <c r="C428" s="786" t="s">
        <v>684</v>
      </c>
      <c r="D428" s="774">
        <f>sum(C431:C434)</f>
        <v>53493000</v>
      </c>
      <c r="E428" s="556" t="s">
        <v>918</v>
      </c>
      <c r="F428" s="507"/>
      <c r="G428" s="507"/>
      <c r="H428" s="507"/>
      <c r="I428" s="507"/>
      <c r="J428" s="507"/>
      <c r="K428" s="507"/>
      <c r="L428" s="507"/>
      <c r="M428" s="507"/>
      <c r="N428" s="507"/>
    </row>
    <row r="429" ht="35.25" customHeight="1">
      <c r="A429" s="775"/>
      <c r="B429" s="760" t="s">
        <v>911</v>
      </c>
      <c r="C429" s="786" t="s">
        <v>684</v>
      </c>
      <c r="D429" s="776"/>
      <c r="E429" s="507"/>
      <c r="F429" s="507"/>
      <c r="G429" s="507"/>
      <c r="H429" s="507"/>
      <c r="I429" s="507"/>
      <c r="J429" s="507"/>
      <c r="K429" s="507"/>
      <c r="L429" s="507"/>
      <c r="M429" s="507"/>
      <c r="N429" s="507"/>
    </row>
    <row r="430" ht="35.25" customHeight="1">
      <c r="A430" s="775"/>
      <c r="B430" s="760" t="s">
        <v>912</v>
      </c>
      <c r="C430" s="786" t="s">
        <v>684</v>
      </c>
      <c r="D430" s="776"/>
      <c r="E430" s="644" t="s">
        <v>820</v>
      </c>
      <c r="F430" s="507"/>
      <c r="G430" s="507"/>
      <c r="H430" s="507"/>
      <c r="I430" s="507"/>
      <c r="J430" s="507"/>
      <c r="K430" s="507"/>
      <c r="L430" s="507"/>
      <c r="M430" s="507"/>
      <c r="N430" s="507"/>
    </row>
    <row r="431" ht="35.25" customHeight="1">
      <c r="A431" s="775"/>
      <c r="B431" s="760" t="s">
        <v>913</v>
      </c>
      <c r="C431" s="786">
        <v>3.26305E7</v>
      </c>
      <c r="D431" s="776"/>
      <c r="E431" s="556"/>
      <c r="F431" s="507"/>
      <c r="G431" s="507"/>
      <c r="H431" s="507"/>
      <c r="I431" s="507"/>
      <c r="J431" s="507"/>
      <c r="K431" s="507"/>
      <c r="L431" s="507"/>
      <c r="M431" s="507"/>
      <c r="N431" s="507"/>
    </row>
    <row r="432" ht="35.25" customHeight="1">
      <c r="A432" s="775"/>
      <c r="B432" s="760" t="s">
        <v>914</v>
      </c>
      <c r="C432" s="786">
        <v>9403000.0</v>
      </c>
      <c r="D432" s="776"/>
      <c r="E432" s="556"/>
      <c r="F432" s="507"/>
      <c r="G432" s="507"/>
      <c r="H432" s="507"/>
      <c r="I432" s="507"/>
      <c r="J432" s="507"/>
      <c r="K432" s="507"/>
      <c r="L432" s="507"/>
      <c r="M432" s="507"/>
      <c r="N432" s="507"/>
    </row>
    <row r="433" ht="35.25" customHeight="1">
      <c r="A433" s="775"/>
      <c r="B433" s="784" t="s">
        <v>915</v>
      </c>
      <c r="C433" s="787">
        <v>7366500.0</v>
      </c>
      <c r="D433" s="776"/>
      <c r="E433" s="556"/>
      <c r="F433" s="507"/>
      <c r="G433" s="507"/>
      <c r="H433" s="507"/>
      <c r="I433" s="507"/>
      <c r="J433" s="507"/>
      <c r="K433" s="507"/>
      <c r="L433" s="507"/>
      <c r="M433" s="507"/>
      <c r="N433" s="507"/>
    </row>
    <row r="434" ht="35.25" customHeight="1">
      <c r="A434" s="779"/>
      <c r="B434" s="784" t="s">
        <v>916</v>
      </c>
      <c r="C434" s="787">
        <v>4093000.0</v>
      </c>
      <c r="D434" s="781"/>
      <c r="E434" s="556"/>
      <c r="F434" s="507"/>
      <c r="G434" s="507"/>
      <c r="H434" s="507"/>
      <c r="I434" s="507"/>
      <c r="J434" s="507"/>
      <c r="K434" s="507"/>
      <c r="L434" s="507"/>
      <c r="M434" s="507"/>
      <c r="N434" s="507"/>
    </row>
    <row r="435" ht="35.25" customHeight="1">
      <c r="A435" s="771" t="s">
        <v>216</v>
      </c>
      <c r="B435" s="760" t="s">
        <v>913</v>
      </c>
      <c r="C435" s="802" t="s">
        <v>684</v>
      </c>
      <c r="D435" s="774">
        <f>sum(C435:C439)</f>
        <v>108672500</v>
      </c>
      <c r="E435" s="507"/>
      <c r="F435" s="507"/>
      <c r="G435" s="507"/>
      <c r="H435" s="507"/>
      <c r="I435" s="507"/>
      <c r="J435" s="507"/>
      <c r="K435" s="507"/>
      <c r="L435" s="507"/>
      <c r="M435" s="507"/>
      <c r="N435" s="507"/>
    </row>
    <row r="436" ht="35.25" customHeight="1">
      <c r="A436" s="775"/>
      <c r="B436" s="760" t="s">
        <v>914</v>
      </c>
      <c r="C436" s="802" t="s">
        <v>684</v>
      </c>
      <c r="D436" s="776"/>
      <c r="E436" s="507"/>
      <c r="F436" s="507"/>
      <c r="G436" s="507"/>
      <c r="H436" s="507"/>
      <c r="I436" s="507"/>
      <c r="J436" s="507"/>
      <c r="K436" s="507"/>
      <c r="L436" s="507"/>
      <c r="M436" s="507"/>
      <c r="N436" s="507"/>
    </row>
    <row r="437" ht="35.25" customHeight="1">
      <c r="A437" s="775"/>
      <c r="B437" s="760" t="s">
        <v>915</v>
      </c>
      <c r="C437" s="802">
        <v>5.2711E7</v>
      </c>
      <c r="D437" s="776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</row>
    <row r="438" ht="35.25" customHeight="1">
      <c r="A438" s="775"/>
      <c r="B438" s="760" t="s">
        <v>916</v>
      </c>
      <c r="C438" s="802">
        <v>5.59615E7</v>
      </c>
      <c r="D438" s="776"/>
      <c r="E438" s="507"/>
      <c r="F438" s="507"/>
      <c r="G438" s="507"/>
      <c r="H438" s="507"/>
      <c r="I438" s="507"/>
      <c r="J438" s="507"/>
      <c r="K438" s="507"/>
      <c r="L438" s="507"/>
      <c r="M438" s="507"/>
      <c r="N438" s="507"/>
    </row>
    <row r="439" ht="35.25" customHeight="1">
      <c r="A439" s="779"/>
      <c r="B439" s="803"/>
      <c r="C439" s="803"/>
      <c r="D439" s="781"/>
      <c r="E439" s="507"/>
      <c r="F439" s="507"/>
      <c r="G439" s="507"/>
      <c r="H439" s="507"/>
      <c r="I439" s="507"/>
      <c r="J439" s="507"/>
      <c r="K439" s="507"/>
      <c r="L439" s="507"/>
      <c r="M439" s="507"/>
      <c r="N439" s="507"/>
    </row>
    <row r="440" ht="35.25" customHeight="1">
      <c r="A440" s="804" t="s">
        <v>510</v>
      </c>
      <c r="B440" s="760" t="s">
        <v>912</v>
      </c>
      <c r="C440" s="786" t="s">
        <v>684</v>
      </c>
      <c r="D440" s="774">
        <f>sum(C442:C444)</f>
        <v>63606500</v>
      </c>
      <c r="E440" s="662"/>
      <c r="F440" s="507"/>
      <c r="G440" s="507"/>
      <c r="H440" s="507"/>
      <c r="I440" s="507"/>
      <c r="J440" s="507"/>
      <c r="K440" s="507"/>
      <c r="L440" s="507"/>
      <c r="M440" s="507"/>
      <c r="N440" s="507"/>
    </row>
    <row r="441" ht="35.25" customHeight="1">
      <c r="A441" s="775"/>
      <c r="B441" s="760" t="s">
        <v>913</v>
      </c>
      <c r="C441" s="786" t="s">
        <v>684</v>
      </c>
      <c r="D441" s="776"/>
      <c r="E441" s="662"/>
      <c r="F441" s="507"/>
      <c r="G441" s="507"/>
      <c r="H441" s="507"/>
      <c r="I441" s="507"/>
      <c r="J441" s="507"/>
      <c r="K441" s="507"/>
      <c r="L441" s="507"/>
      <c r="M441" s="507"/>
      <c r="N441" s="507"/>
    </row>
    <row r="442" ht="35.25" customHeight="1">
      <c r="A442" s="775"/>
      <c r="B442" s="760" t="s">
        <v>914</v>
      </c>
      <c r="C442" s="786">
        <v>1.9949E7</v>
      </c>
      <c r="D442" s="776"/>
      <c r="E442" s="556" t="s">
        <v>919</v>
      </c>
      <c r="F442" s="507"/>
      <c r="G442" s="507"/>
      <c r="H442" s="507"/>
      <c r="I442" s="507"/>
      <c r="J442" s="507"/>
      <c r="K442" s="507"/>
      <c r="L442" s="507"/>
      <c r="M442" s="507"/>
      <c r="N442" s="507"/>
    </row>
    <row r="443" ht="35.25" customHeight="1">
      <c r="A443" s="775"/>
      <c r="B443" s="760" t="s">
        <v>915</v>
      </c>
      <c r="C443" s="786">
        <v>2.34395E7</v>
      </c>
      <c r="D443" s="776"/>
      <c r="E443" s="556"/>
      <c r="F443" s="507"/>
      <c r="G443" s="507"/>
      <c r="H443" s="507"/>
      <c r="I443" s="507"/>
      <c r="J443" s="507"/>
      <c r="K443" s="507"/>
      <c r="L443" s="507"/>
      <c r="M443" s="507"/>
      <c r="N443" s="507"/>
    </row>
    <row r="444" ht="35.25" customHeight="1">
      <c r="A444" s="779"/>
      <c r="B444" s="784" t="s">
        <v>916</v>
      </c>
      <c r="C444" s="786">
        <v>2.0218E7</v>
      </c>
      <c r="D444" s="781"/>
      <c r="E444" s="507"/>
      <c r="F444" s="507"/>
      <c r="G444" s="507"/>
      <c r="H444" s="507"/>
      <c r="I444" s="507"/>
      <c r="J444" s="507"/>
      <c r="K444" s="507"/>
      <c r="L444" s="507"/>
      <c r="M444" s="507"/>
      <c r="N444" s="507"/>
    </row>
    <row r="445" ht="35.25" customHeight="1">
      <c r="A445" s="771" t="s">
        <v>513</v>
      </c>
      <c r="B445" s="760" t="s">
        <v>913</v>
      </c>
      <c r="C445" s="786">
        <v>4.60684E7</v>
      </c>
      <c r="D445" s="774">
        <f>sum(C445:C448)</f>
        <v>231610900</v>
      </c>
      <c r="E445" s="507"/>
      <c r="F445" s="507"/>
      <c r="G445" s="507"/>
      <c r="H445" s="507"/>
      <c r="I445" s="507"/>
      <c r="J445" s="507"/>
      <c r="K445" s="507"/>
      <c r="L445" s="507"/>
      <c r="M445" s="507"/>
      <c r="N445" s="507"/>
    </row>
    <row r="446" ht="35.25" customHeight="1">
      <c r="A446" s="775"/>
      <c r="B446" s="760" t="s">
        <v>914</v>
      </c>
      <c r="C446" s="786">
        <v>7.24468E7</v>
      </c>
      <c r="D446" s="776"/>
      <c r="E446" s="556"/>
      <c r="F446" s="507"/>
      <c r="G446" s="507"/>
      <c r="H446" s="507"/>
      <c r="I446" s="507"/>
      <c r="J446" s="507"/>
      <c r="K446" s="507"/>
      <c r="L446" s="507"/>
      <c r="M446" s="507"/>
      <c r="N446" s="507"/>
    </row>
    <row r="447" ht="35.25" customHeight="1">
      <c r="A447" s="775"/>
      <c r="B447" s="760" t="s">
        <v>915</v>
      </c>
      <c r="C447" s="786">
        <v>5.58033E7</v>
      </c>
      <c r="D447" s="776"/>
      <c r="E447" s="662"/>
      <c r="F447" s="507"/>
      <c r="G447" s="507"/>
      <c r="H447" s="507"/>
      <c r="I447" s="507"/>
      <c r="J447" s="507"/>
      <c r="K447" s="507"/>
      <c r="L447" s="507"/>
      <c r="M447" s="507"/>
      <c r="N447" s="507"/>
    </row>
    <row r="448" ht="35.25" customHeight="1">
      <c r="A448" s="779"/>
      <c r="B448" s="760" t="s">
        <v>916</v>
      </c>
      <c r="C448" s="786">
        <v>5.72924E7</v>
      </c>
      <c r="D448" s="781"/>
      <c r="E448" s="507"/>
      <c r="F448" s="507"/>
      <c r="G448" s="507"/>
      <c r="H448" s="507"/>
      <c r="I448" s="507"/>
      <c r="J448" s="507"/>
      <c r="K448" s="507"/>
      <c r="L448" s="507"/>
      <c r="M448" s="507"/>
      <c r="N448" s="507"/>
    </row>
    <row r="449" ht="35.25" customHeight="1">
      <c r="A449" s="805" t="s">
        <v>634</v>
      </c>
      <c r="B449" s="806" t="s">
        <v>88</v>
      </c>
      <c r="C449" s="807">
        <f>19999500+17620000</f>
        <v>37619500</v>
      </c>
      <c r="D449" s="808">
        <f>SUM(C449:C452)</f>
        <v>101101500</v>
      </c>
      <c r="E449" s="507"/>
      <c r="F449" s="507"/>
      <c r="G449" s="507"/>
      <c r="H449" s="507"/>
      <c r="I449" s="507"/>
      <c r="J449" s="507"/>
      <c r="K449" s="507"/>
      <c r="L449" s="507"/>
      <c r="M449" s="507"/>
      <c r="N449" s="507"/>
    </row>
    <row r="450" ht="35.25" customHeight="1">
      <c r="A450" s="18"/>
      <c r="B450" s="547" t="s">
        <v>219</v>
      </c>
      <c r="C450" s="593">
        <v>2.0217E7</v>
      </c>
      <c r="D450" s="18"/>
      <c r="E450" s="556" t="s">
        <v>920</v>
      </c>
      <c r="F450" s="507"/>
      <c r="G450" s="507"/>
      <c r="H450" s="507"/>
      <c r="I450" s="507"/>
      <c r="J450" s="507"/>
      <c r="K450" s="507"/>
      <c r="L450" s="507"/>
      <c r="M450" s="507"/>
      <c r="N450" s="507"/>
    </row>
    <row r="451" ht="35.25" customHeight="1">
      <c r="A451" s="18"/>
      <c r="B451" s="547" t="s">
        <v>89</v>
      </c>
      <c r="C451" s="593">
        <v>2.3485E7</v>
      </c>
      <c r="D451" s="18"/>
      <c r="E451" s="507"/>
      <c r="F451" s="507"/>
      <c r="G451" s="507"/>
      <c r="H451" s="507"/>
      <c r="I451" s="507"/>
      <c r="J451" s="507"/>
      <c r="K451" s="507"/>
      <c r="L451" s="507"/>
      <c r="M451" s="507"/>
      <c r="N451" s="507"/>
    </row>
    <row r="452" ht="35.25" customHeight="1">
      <c r="A452" s="22"/>
      <c r="B452" s="547" t="s">
        <v>220</v>
      </c>
      <c r="C452" s="593">
        <v>1.978E7</v>
      </c>
      <c r="D452" s="22"/>
      <c r="E452" s="507"/>
      <c r="F452" s="507"/>
      <c r="G452" s="507"/>
      <c r="H452" s="507"/>
      <c r="I452" s="507"/>
      <c r="J452" s="507"/>
      <c r="K452" s="507"/>
      <c r="L452" s="507"/>
      <c r="M452" s="507"/>
      <c r="N452" s="507"/>
    </row>
    <row r="453" ht="35.25" customHeight="1">
      <c r="A453" s="679" t="s">
        <v>635</v>
      </c>
      <c r="B453" s="806" t="s">
        <v>88</v>
      </c>
      <c r="C453" s="593">
        <v>0.0</v>
      </c>
      <c r="D453" s="680">
        <f>SUM(C453:C456)</f>
        <v>27028000</v>
      </c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</row>
    <row r="454" ht="35.25" customHeight="1">
      <c r="A454" s="18"/>
      <c r="B454" s="547" t="s">
        <v>219</v>
      </c>
      <c r="C454" s="593">
        <v>0.0</v>
      </c>
      <c r="D454" s="18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</row>
    <row r="455" ht="35.25" customHeight="1">
      <c r="A455" s="18"/>
      <c r="B455" s="547" t="s">
        <v>89</v>
      </c>
      <c r="C455" s="593">
        <v>2.7028E7</v>
      </c>
      <c r="D455" s="18"/>
      <c r="E455" s="556" t="s">
        <v>921</v>
      </c>
      <c r="F455" s="507"/>
      <c r="G455" s="507"/>
      <c r="H455" s="507"/>
      <c r="I455" s="507"/>
      <c r="J455" s="507"/>
      <c r="K455" s="507"/>
      <c r="L455" s="507"/>
      <c r="M455" s="507"/>
      <c r="N455" s="507"/>
    </row>
    <row r="456" ht="35.25" customHeight="1">
      <c r="A456" s="22"/>
      <c r="B456" s="547" t="s">
        <v>220</v>
      </c>
      <c r="C456" s="593">
        <v>0.0</v>
      </c>
      <c r="D456" s="22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</row>
    <row r="457" ht="35.25" customHeight="1">
      <c r="A457" s="679" t="s">
        <v>636</v>
      </c>
      <c r="B457" s="547" t="s">
        <v>925</v>
      </c>
      <c r="C457" s="593">
        <v>1.82055E7</v>
      </c>
      <c r="D457" s="680">
        <f>SUM(C457:C459)</f>
        <v>58322000</v>
      </c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</row>
    <row r="458" ht="35.25" customHeight="1">
      <c r="A458" s="18"/>
      <c r="B458" s="547" t="s">
        <v>915</v>
      </c>
      <c r="C458" s="593">
        <v>2.3744E7</v>
      </c>
      <c r="D458" s="18"/>
      <c r="E458" s="556" t="s">
        <v>924</v>
      </c>
      <c r="F458" s="507"/>
      <c r="G458" s="507"/>
      <c r="H458" s="507"/>
      <c r="I458" s="507"/>
      <c r="J458" s="507"/>
      <c r="K458" s="507"/>
      <c r="L458" s="507"/>
      <c r="M458" s="507"/>
      <c r="N458" s="507"/>
    </row>
    <row r="459" ht="35.25" customHeight="1">
      <c r="A459" s="22"/>
      <c r="B459" s="547" t="s">
        <v>220</v>
      </c>
      <c r="C459" s="593">
        <v>1.63725E7</v>
      </c>
      <c r="D459" s="22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</row>
    <row r="460" ht="35.25" customHeight="1">
      <c r="A460" s="679" t="s">
        <v>643</v>
      </c>
      <c r="B460" s="547" t="s">
        <v>88</v>
      </c>
      <c r="C460" s="598">
        <f>30410000-135000</f>
        <v>30275000</v>
      </c>
      <c r="D460" s="680">
        <f>SUM(C460:C463)</f>
        <v>134776000</v>
      </c>
      <c r="E460" s="556"/>
      <c r="F460" s="507"/>
      <c r="G460" s="507"/>
      <c r="H460" s="507"/>
      <c r="I460" s="507"/>
      <c r="J460" s="507"/>
      <c r="K460" s="507"/>
      <c r="L460" s="507"/>
      <c r="M460" s="507"/>
      <c r="N460" s="507"/>
    </row>
    <row r="461" ht="35.25" customHeight="1">
      <c r="A461" s="18"/>
      <c r="B461" s="547" t="s">
        <v>219</v>
      </c>
      <c r="C461" s="598">
        <v>4.8243E7</v>
      </c>
      <c r="D461" s="18"/>
      <c r="E461" s="556" t="s">
        <v>926</v>
      </c>
      <c r="F461" s="507"/>
      <c r="G461" s="507"/>
      <c r="H461" s="507"/>
      <c r="I461" s="507"/>
      <c r="J461" s="507"/>
      <c r="K461" s="507"/>
      <c r="L461" s="507"/>
      <c r="M461" s="507"/>
      <c r="N461" s="507"/>
    </row>
    <row r="462" ht="35.25" customHeight="1">
      <c r="A462" s="18"/>
      <c r="B462" s="547" t="s">
        <v>89</v>
      </c>
      <c r="C462" s="598">
        <v>2.29265E7</v>
      </c>
      <c r="D462" s="18"/>
      <c r="E462" s="556"/>
      <c r="F462" s="507"/>
      <c r="G462" s="507"/>
      <c r="H462" s="507"/>
      <c r="I462" s="507"/>
      <c r="J462" s="507"/>
      <c r="K462" s="507"/>
      <c r="L462" s="507"/>
      <c r="M462" s="507"/>
      <c r="N462" s="507"/>
    </row>
    <row r="463" ht="35.25" customHeight="1">
      <c r="A463" s="22"/>
      <c r="B463" s="547" t="s">
        <v>220</v>
      </c>
      <c r="C463" s="598">
        <v>3.33315E7</v>
      </c>
      <c r="D463" s="22"/>
      <c r="E463" s="556"/>
      <c r="F463" s="507"/>
      <c r="G463" s="507"/>
      <c r="H463" s="507"/>
      <c r="I463" s="507"/>
      <c r="J463" s="507"/>
      <c r="K463" s="507"/>
      <c r="L463" s="507"/>
      <c r="M463" s="507"/>
      <c r="N463" s="507"/>
    </row>
    <row r="464" ht="35.25" customHeight="1">
      <c r="A464" s="679" t="s">
        <v>60</v>
      </c>
      <c r="B464" s="547" t="s">
        <v>92</v>
      </c>
      <c r="C464" s="593" t="s">
        <v>681</v>
      </c>
      <c r="D464" s="680">
        <f>sum(C464:C468)</f>
        <v>187860000</v>
      </c>
      <c r="E464" s="556"/>
      <c r="F464" s="507"/>
      <c r="G464" s="507"/>
      <c r="H464" s="507"/>
      <c r="I464" s="507"/>
      <c r="J464" s="507"/>
      <c r="K464" s="507"/>
      <c r="L464" s="507"/>
      <c r="M464" s="507"/>
      <c r="N464" s="507"/>
    </row>
    <row r="465" ht="35.25" customHeight="1">
      <c r="A465" s="18"/>
      <c r="B465" s="547" t="s">
        <v>88</v>
      </c>
      <c r="C465" s="593" t="s">
        <v>681</v>
      </c>
      <c r="D465" s="18"/>
      <c r="E465" s="556"/>
      <c r="F465" s="507"/>
      <c r="G465" s="507"/>
      <c r="H465" s="507"/>
      <c r="I465" s="507"/>
      <c r="J465" s="507"/>
      <c r="K465" s="507"/>
      <c r="L465" s="507"/>
      <c r="M465" s="507"/>
      <c r="N465" s="507"/>
    </row>
    <row r="466" ht="35.25" customHeight="1">
      <c r="A466" s="18"/>
      <c r="B466" s="547" t="s">
        <v>219</v>
      </c>
      <c r="C466" s="593">
        <v>6.41995E7</v>
      </c>
      <c r="D466" s="18"/>
      <c r="E466" s="556" t="s">
        <v>927</v>
      </c>
      <c r="F466" s="507"/>
      <c r="G466" s="507"/>
      <c r="H466" s="507"/>
      <c r="I466" s="507"/>
      <c r="J466" s="507"/>
      <c r="K466" s="507"/>
      <c r="L466" s="507"/>
      <c r="M466" s="507"/>
      <c r="N466" s="507"/>
    </row>
    <row r="467" ht="35.25" customHeight="1">
      <c r="A467" s="18"/>
      <c r="B467" s="547" t="s">
        <v>89</v>
      </c>
      <c r="C467" s="593">
        <v>7.6968E7</v>
      </c>
      <c r="D467" s="18"/>
      <c r="E467" s="556"/>
      <c r="F467" s="507"/>
      <c r="G467" s="507"/>
      <c r="H467" s="507"/>
      <c r="I467" s="507"/>
      <c r="J467" s="507"/>
      <c r="K467" s="507"/>
      <c r="L467" s="507"/>
      <c r="M467" s="507"/>
      <c r="N467" s="507"/>
    </row>
    <row r="468" ht="35.25" customHeight="1">
      <c r="A468" s="22"/>
      <c r="B468" s="547" t="s">
        <v>220</v>
      </c>
      <c r="C468" s="593">
        <v>4.66925E7</v>
      </c>
      <c r="D468" s="22"/>
      <c r="F468" s="507"/>
      <c r="G468" s="507"/>
      <c r="H468" s="507"/>
      <c r="I468" s="507"/>
      <c r="J468" s="507"/>
      <c r="K468" s="507"/>
      <c r="L468" s="507"/>
      <c r="M468" s="507"/>
      <c r="N468" s="507"/>
    </row>
    <row r="469" ht="35.25" customHeight="1">
      <c r="A469" s="679" t="s">
        <v>714</v>
      </c>
      <c r="B469" s="547" t="s">
        <v>770</v>
      </c>
      <c r="C469" s="598">
        <v>2040500.0</v>
      </c>
      <c r="D469" s="680">
        <f>SUM(C469:C473)</f>
        <v>74457500</v>
      </c>
      <c r="E469" s="556"/>
      <c r="F469" s="507"/>
      <c r="G469" s="507"/>
      <c r="H469" s="507"/>
      <c r="I469" s="507"/>
      <c r="J469" s="507"/>
      <c r="K469" s="507"/>
      <c r="L469" s="507"/>
      <c r="M469" s="507"/>
      <c r="N469" s="507"/>
    </row>
    <row r="470" ht="35.25" customHeight="1">
      <c r="A470" s="18"/>
      <c r="B470" s="547" t="s">
        <v>88</v>
      </c>
      <c r="C470" s="593">
        <f>16781500-97000</f>
        <v>16684500</v>
      </c>
      <c r="D470" s="18"/>
      <c r="E470" s="556" t="s">
        <v>928</v>
      </c>
      <c r="F470" s="507"/>
      <c r="G470" s="507"/>
      <c r="H470" s="507"/>
      <c r="I470" s="507"/>
      <c r="J470" s="507"/>
      <c r="K470" s="507"/>
      <c r="L470" s="507"/>
      <c r="M470" s="507"/>
      <c r="N470" s="507"/>
    </row>
    <row r="471" ht="35.25" customHeight="1">
      <c r="A471" s="18"/>
      <c r="B471" s="547" t="s">
        <v>219</v>
      </c>
      <c r="C471" s="593">
        <v>1.4814E7</v>
      </c>
      <c r="D471" s="18"/>
      <c r="E471" s="556">
        <f>9*3000+70000</f>
        <v>97000</v>
      </c>
      <c r="F471" s="507"/>
      <c r="G471" s="507"/>
      <c r="H471" s="507"/>
      <c r="I471" s="507"/>
      <c r="J471" s="507"/>
      <c r="K471" s="507"/>
      <c r="L471" s="507"/>
      <c r="M471" s="507"/>
      <c r="N471" s="507"/>
    </row>
    <row r="472" ht="35.25" customHeight="1">
      <c r="A472" s="18"/>
      <c r="B472" s="547" t="s">
        <v>89</v>
      </c>
      <c r="C472" s="593">
        <v>1.57165E7</v>
      </c>
      <c r="D472" s="18"/>
      <c r="E472" s="556"/>
      <c r="F472" s="507"/>
      <c r="G472" s="507"/>
      <c r="H472" s="507"/>
      <c r="I472" s="507"/>
      <c r="J472" s="507"/>
      <c r="K472" s="507"/>
      <c r="L472" s="507"/>
      <c r="M472" s="507"/>
      <c r="N472" s="507"/>
    </row>
    <row r="473" ht="35.25" customHeight="1">
      <c r="A473" s="18"/>
      <c r="B473" s="547" t="s">
        <v>220</v>
      </c>
      <c r="C473" s="593">
        <v>2.5202E7</v>
      </c>
      <c r="D473" s="18"/>
      <c r="E473" s="556"/>
      <c r="F473" s="507"/>
      <c r="G473" s="507"/>
      <c r="H473" s="507"/>
      <c r="I473" s="507"/>
      <c r="J473" s="507"/>
      <c r="K473" s="507"/>
      <c r="L473" s="507"/>
      <c r="M473" s="507"/>
      <c r="N473" s="507"/>
    </row>
    <row r="474" ht="35.25" customHeight="1">
      <c r="A474" s="679" t="s">
        <v>716</v>
      </c>
      <c r="B474" s="547" t="s">
        <v>88</v>
      </c>
      <c r="C474" s="593">
        <v>8.22225E7</v>
      </c>
      <c r="D474" s="680">
        <f>SUM(C474:C478)</f>
        <v>287297000</v>
      </c>
      <c r="E474" s="556"/>
      <c r="F474" s="507"/>
      <c r="G474" s="507"/>
      <c r="H474" s="507"/>
      <c r="I474" s="507"/>
      <c r="J474" s="507"/>
      <c r="K474" s="507"/>
      <c r="L474" s="507"/>
      <c r="M474" s="507"/>
      <c r="N474" s="507"/>
    </row>
    <row r="475" ht="35.25" customHeight="1">
      <c r="A475" s="18"/>
      <c r="B475" s="547" t="s">
        <v>219</v>
      </c>
      <c r="C475" s="593">
        <v>6.90715E7</v>
      </c>
      <c r="D475" s="18"/>
      <c r="E475" s="556" t="s">
        <v>929</v>
      </c>
      <c r="F475" s="507"/>
      <c r="G475" s="507"/>
      <c r="H475" s="507"/>
      <c r="I475" s="507"/>
      <c r="J475" s="507"/>
      <c r="K475" s="507"/>
      <c r="L475" s="507"/>
      <c r="M475" s="507"/>
      <c r="N475" s="507"/>
    </row>
    <row r="476" ht="35.25" customHeight="1">
      <c r="A476" s="18"/>
      <c r="B476" s="547" t="s">
        <v>89</v>
      </c>
      <c r="C476" s="593">
        <v>6.3586E7</v>
      </c>
      <c r="D476" s="18"/>
      <c r="E476" s="556"/>
      <c r="F476" s="507"/>
      <c r="G476" s="507"/>
      <c r="H476" s="507"/>
      <c r="I476" s="507"/>
      <c r="J476" s="507"/>
      <c r="K476" s="507"/>
      <c r="L476" s="507"/>
      <c r="M476" s="507"/>
      <c r="N476" s="507"/>
    </row>
    <row r="477" ht="39.0" customHeight="1">
      <c r="A477" s="18"/>
      <c r="B477" s="547" t="s">
        <v>999</v>
      </c>
      <c r="C477" s="593">
        <v>2109000.0</v>
      </c>
      <c r="D477" s="18"/>
      <c r="E477" s="556"/>
      <c r="F477" s="507"/>
      <c r="G477" s="507"/>
      <c r="H477" s="507"/>
      <c r="I477" s="507"/>
      <c r="J477" s="507"/>
      <c r="K477" s="507"/>
      <c r="L477" s="507"/>
      <c r="M477" s="507"/>
      <c r="N477" s="507"/>
    </row>
    <row r="478" ht="39.0" customHeight="1">
      <c r="A478" s="22"/>
      <c r="B478" s="547" t="s">
        <v>220</v>
      </c>
      <c r="C478" s="593">
        <v>7.0308E7</v>
      </c>
      <c r="D478" s="22"/>
      <c r="E478" s="556"/>
      <c r="F478" s="507"/>
      <c r="G478" s="507"/>
      <c r="H478" s="507"/>
      <c r="I478" s="507"/>
      <c r="J478" s="507"/>
      <c r="K478" s="507"/>
      <c r="L478" s="507"/>
      <c r="M478" s="507"/>
      <c r="N478" s="507"/>
    </row>
    <row r="479" ht="35.25" customHeight="1">
      <c r="A479" s="679" t="s">
        <v>718</v>
      </c>
      <c r="B479" s="547" t="s">
        <v>88</v>
      </c>
      <c r="C479" s="593">
        <v>1.4067E7</v>
      </c>
      <c r="D479" s="680">
        <f>SUM(C479:C482)</f>
        <v>78073500</v>
      </c>
      <c r="E479" s="556"/>
      <c r="F479" s="507"/>
      <c r="G479" s="507"/>
      <c r="H479" s="507"/>
      <c r="I479" s="507"/>
      <c r="J479" s="507"/>
      <c r="K479" s="507"/>
      <c r="L479" s="507"/>
      <c r="M479" s="507"/>
      <c r="N479" s="507"/>
    </row>
    <row r="480" ht="35.25" customHeight="1">
      <c r="A480" s="18"/>
      <c r="B480" s="547" t="s">
        <v>219</v>
      </c>
      <c r="C480" s="593">
        <v>2.1201E7</v>
      </c>
      <c r="D480" s="18"/>
      <c r="E480" s="556" t="s">
        <v>930</v>
      </c>
      <c r="F480" s="507"/>
      <c r="G480" s="507"/>
      <c r="H480" s="507"/>
      <c r="I480" s="507"/>
      <c r="J480" s="507"/>
      <c r="K480" s="507"/>
      <c r="L480" s="507"/>
      <c r="M480" s="507"/>
      <c r="N480" s="507"/>
    </row>
    <row r="481" ht="35.25" customHeight="1">
      <c r="A481" s="18"/>
      <c r="B481" s="547" t="s">
        <v>89</v>
      </c>
      <c r="C481" s="598">
        <v>1.69105E7</v>
      </c>
      <c r="D481" s="18"/>
      <c r="E481" s="556"/>
      <c r="F481" s="507"/>
      <c r="G481" s="507"/>
      <c r="H481" s="507"/>
      <c r="I481" s="507"/>
      <c r="J481" s="507"/>
      <c r="K481" s="507"/>
      <c r="L481" s="507"/>
      <c r="M481" s="507"/>
      <c r="N481" s="507"/>
    </row>
    <row r="482" ht="35.25" customHeight="1">
      <c r="A482" s="22"/>
      <c r="B482" s="547" t="s">
        <v>220</v>
      </c>
      <c r="C482" s="593">
        <v>2.5895E7</v>
      </c>
      <c r="D482" s="22"/>
      <c r="E482" s="556"/>
      <c r="F482" s="507"/>
      <c r="G482" s="507"/>
      <c r="H482" s="507"/>
      <c r="I482" s="507"/>
      <c r="J482" s="507"/>
      <c r="K482" s="507"/>
      <c r="L482" s="507"/>
      <c r="M482" s="507"/>
      <c r="N482" s="507"/>
    </row>
    <row r="483" ht="35.25" customHeight="1">
      <c r="A483" s="679" t="s">
        <v>719</v>
      </c>
      <c r="B483" s="547" t="s">
        <v>88</v>
      </c>
      <c r="C483" s="593" t="s">
        <v>7</v>
      </c>
      <c r="D483" s="680">
        <f>SUM(C483:C486)</f>
        <v>30038000</v>
      </c>
      <c r="E483" s="556"/>
      <c r="F483" s="507"/>
      <c r="G483" s="507"/>
      <c r="H483" s="507"/>
      <c r="I483" s="507"/>
      <c r="J483" s="507"/>
      <c r="K483" s="507"/>
      <c r="L483" s="507"/>
      <c r="M483" s="507"/>
      <c r="N483" s="507"/>
    </row>
    <row r="484" ht="35.25" customHeight="1">
      <c r="A484" s="18"/>
      <c r="B484" s="547" t="s">
        <v>219</v>
      </c>
      <c r="C484" s="598" t="s">
        <v>7</v>
      </c>
      <c r="D484" s="18"/>
      <c r="E484" s="556" t="s">
        <v>931</v>
      </c>
      <c r="F484" s="507"/>
      <c r="G484" s="507"/>
      <c r="H484" s="507"/>
      <c r="I484" s="507"/>
      <c r="J484" s="507"/>
      <c r="K484" s="507"/>
      <c r="L484" s="507"/>
      <c r="M484" s="507"/>
      <c r="N484" s="507"/>
    </row>
    <row r="485" ht="35.25" customHeight="1">
      <c r="A485" s="18"/>
      <c r="B485" s="547" t="s">
        <v>89</v>
      </c>
      <c r="C485" s="593" t="s">
        <v>7</v>
      </c>
      <c r="D485" s="18"/>
      <c r="E485" s="556"/>
      <c r="F485" s="507"/>
      <c r="G485" s="507"/>
      <c r="H485" s="507"/>
      <c r="I485" s="507"/>
      <c r="J485" s="507"/>
      <c r="K485" s="507"/>
      <c r="L485" s="507"/>
      <c r="M485" s="507"/>
      <c r="N485" s="507"/>
    </row>
    <row r="486" ht="35.25" customHeight="1">
      <c r="A486" s="22"/>
      <c r="B486" s="547" t="s">
        <v>220</v>
      </c>
      <c r="C486" s="593">
        <v>3.0038E7</v>
      </c>
      <c r="D486" s="22"/>
      <c r="E486" s="556"/>
      <c r="F486" s="507"/>
      <c r="G486" s="507"/>
      <c r="H486" s="507"/>
      <c r="I486" s="507"/>
      <c r="J486" s="507"/>
      <c r="K486" s="507"/>
      <c r="L486" s="507"/>
      <c r="M486" s="507"/>
      <c r="N486" s="507"/>
    </row>
    <row r="487" ht="37.5" customHeight="1">
      <c r="A487" s="679" t="s">
        <v>743</v>
      </c>
      <c r="B487" s="547" t="s">
        <v>92</v>
      </c>
      <c r="C487" s="593" t="s">
        <v>684</v>
      </c>
      <c r="D487" s="680">
        <f>SUM(C487:C491)</f>
        <v>37990000</v>
      </c>
      <c r="E487" s="556"/>
      <c r="F487" s="507"/>
      <c r="G487" s="507"/>
      <c r="H487" s="507"/>
      <c r="I487" s="507"/>
      <c r="J487" s="507"/>
      <c r="K487" s="507"/>
      <c r="L487" s="507"/>
      <c r="M487" s="507"/>
      <c r="N487" s="507"/>
    </row>
    <row r="488" ht="37.5" customHeight="1">
      <c r="A488" s="18"/>
      <c r="B488" s="547" t="s">
        <v>88</v>
      </c>
      <c r="C488" s="593" t="s">
        <v>684</v>
      </c>
      <c r="D488" s="18"/>
      <c r="E488" s="556" t="s">
        <v>932</v>
      </c>
      <c r="F488" s="507"/>
      <c r="G488" s="507"/>
      <c r="H488" s="507"/>
      <c r="I488" s="507"/>
      <c r="J488" s="507"/>
      <c r="K488" s="507"/>
      <c r="L488" s="507"/>
      <c r="M488" s="507"/>
      <c r="N488" s="507"/>
    </row>
    <row r="489" ht="37.5" customHeight="1">
      <c r="A489" s="18"/>
      <c r="B489" s="547" t="s">
        <v>219</v>
      </c>
      <c r="C489" s="598" t="s">
        <v>684</v>
      </c>
      <c r="D489" s="18"/>
      <c r="E489" s="556"/>
      <c r="F489" s="507"/>
      <c r="G489" s="507"/>
      <c r="H489" s="507"/>
      <c r="I489" s="507"/>
      <c r="J489" s="507"/>
      <c r="K489" s="507"/>
      <c r="L489" s="507"/>
      <c r="M489" s="507"/>
      <c r="N489" s="507"/>
    </row>
    <row r="490" ht="37.5" customHeight="1">
      <c r="A490" s="18"/>
      <c r="B490" s="547" t="s">
        <v>89</v>
      </c>
      <c r="C490" s="593" t="s">
        <v>684</v>
      </c>
      <c r="D490" s="18"/>
      <c r="E490" s="556"/>
      <c r="F490" s="507"/>
      <c r="G490" s="507"/>
      <c r="H490" s="507"/>
      <c r="I490" s="507"/>
      <c r="J490" s="507"/>
      <c r="K490" s="507"/>
      <c r="L490" s="507"/>
      <c r="M490" s="507"/>
      <c r="N490" s="507"/>
    </row>
    <row r="491" ht="35.25" customHeight="1">
      <c r="A491" s="18"/>
      <c r="B491" s="547" t="s">
        <v>220</v>
      </c>
      <c r="C491" s="598">
        <v>3.799E7</v>
      </c>
      <c r="D491" s="18"/>
      <c r="E491" s="556"/>
      <c r="F491" s="507"/>
      <c r="G491" s="507"/>
      <c r="H491" s="507"/>
      <c r="I491" s="507"/>
      <c r="J491" s="507"/>
      <c r="K491" s="507"/>
      <c r="L491" s="507"/>
      <c r="M491" s="507"/>
      <c r="N491" s="507"/>
    </row>
    <row r="492" ht="35.25" customHeight="1">
      <c r="A492" s="679" t="s">
        <v>744</v>
      </c>
      <c r="B492" s="547" t="s">
        <v>88</v>
      </c>
      <c r="C492" s="593">
        <v>3.3326E7</v>
      </c>
      <c r="D492" s="680">
        <f>SUM(C492:C495)</f>
        <v>96783000</v>
      </c>
      <c r="E492" s="556"/>
      <c r="F492" s="507"/>
      <c r="G492" s="507"/>
      <c r="H492" s="507"/>
      <c r="I492" s="507"/>
      <c r="J492" s="507"/>
      <c r="K492" s="507"/>
      <c r="L492" s="507"/>
      <c r="M492" s="507"/>
      <c r="N492" s="507"/>
    </row>
    <row r="493" ht="35.25" customHeight="1">
      <c r="A493" s="18"/>
      <c r="B493" s="547" t="s">
        <v>219</v>
      </c>
      <c r="C493" s="593">
        <v>2.171E7</v>
      </c>
      <c r="D493" s="18"/>
      <c r="E493" s="556"/>
      <c r="F493" s="507"/>
      <c r="G493" s="507"/>
      <c r="H493" s="507"/>
      <c r="I493" s="507"/>
      <c r="J493" s="507"/>
      <c r="K493" s="507"/>
      <c r="L493" s="507"/>
      <c r="M493" s="507"/>
      <c r="N493" s="507"/>
    </row>
    <row r="494" ht="35.25" customHeight="1">
      <c r="A494" s="18"/>
      <c r="B494" s="547" t="s">
        <v>89</v>
      </c>
      <c r="C494" s="593">
        <v>1.847E7</v>
      </c>
      <c r="D494" s="18"/>
      <c r="E494" s="556"/>
      <c r="F494" s="507"/>
      <c r="G494" s="507"/>
      <c r="H494" s="507"/>
      <c r="I494" s="507"/>
      <c r="J494" s="507"/>
      <c r="K494" s="507"/>
      <c r="L494" s="507"/>
      <c r="M494" s="507"/>
      <c r="N494" s="507"/>
    </row>
    <row r="495" ht="35.25" customHeight="1">
      <c r="A495" s="22"/>
      <c r="B495" s="547" t="s">
        <v>220</v>
      </c>
      <c r="C495" s="593">
        <v>2.3277E7</v>
      </c>
      <c r="D495" s="22"/>
      <c r="E495" s="556"/>
      <c r="F495" s="507"/>
      <c r="G495" s="507"/>
      <c r="H495" s="507"/>
      <c r="I495" s="507"/>
      <c r="J495" s="507"/>
      <c r="K495" s="507"/>
      <c r="L495" s="507"/>
      <c r="M495" s="507"/>
      <c r="N495" s="507"/>
    </row>
    <row r="496" ht="36.75" customHeight="1">
      <c r="A496" s="679" t="s">
        <v>750</v>
      </c>
      <c r="B496" s="547" t="s">
        <v>88</v>
      </c>
      <c r="C496" s="593">
        <v>1.099163E8</v>
      </c>
      <c r="D496" s="680">
        <f>SUM(C496:C499)</f>
        <v>298139100</v>
      </c>
      <c r="E496" s="556" t="s">
        <v>933</v>
      </c>
      <c r="F496" s="507"/>
      <c r="G496" s="507"/>
      <c r="H496" s="507"/>
      <c r="I496" s="507"/>
      <c r="J496" s="507"/>
      <c r="K496" s="507"/>
      <c r="L496" s="507"/>
      <c r="M496" s="507"/>
      <c r="N496" s="507"/>
    </row>
    <row r="497" ht="33.75" customHeight="1">
      <c r="A497" s="18"/>
      <c r="B497" s="547" t="s">
        <v>219</v>
      </c>
      <c r="C497" s="593">
        <v>5.73389E7</v>
      </c>
      <c r="D497" s="18"/>
      <c r="E497" s="556"/>
      <c r="F497" s="507"/>
      <c r="G497" s="507"/>
      <c r="H497" s="507"/>
      <c r="I497" s="507"/>
      <c r="J497" s="507"/>
      <c r="K497" s="507"/>
      <c r="L497" s="507"/>
      <c r="M497" s="507"/>
      <c r="N497" s="507"/>
    </row>
    <row r="498" ht="33.75" customHeight="1">
      <c r="A498" s="18"/>
      <c r="B498" s="547" t="s">
        <v>89</v>
      </c>
      <c r="C498" s="593">
        <v>8.54266E7</v>
      </c>
      <c r="D498" s="18"/>
      <c r="E498" s="556"/>
      <c r="F498" s="507"/>
      <c r="G498" s="507"/>
      <c r="H498" s="507"/>
      <c r="I498" s="507"/>
      <c r="J498" s="507"/>
      <c r="K498" s="507"/>
      <c r="L498" s="507"/>
      <c r="M498" s="507"/>
      <c r="N498" s="507"/>
    </row>
    <row r="499" ht="33.75" customHeight="1">
      <c r="A499" s="22"/>
      <c r="B499" s="547" t="s">
        <v>220</v>
      </c>
      <c r="C499" s="593">
        <v>4.54573E7</v>
      </c>
      <c r="D499" s="22"/>
      <c r="E499" s="556"/>
      <c r="F499" s="507"/>
      <c r="G499" s="507"/>
      <c r="H499" s="507"/>
      <c r="I499" s="507"/>
      <c r="J499" s="507"/>
      <c r="K499" s="507"/>
      <c r="L499" s="507"/>
      <c r="M499" s="507"/>
      <c r="N499" s="507"/>
    </row>
    <row r="500" ht="35.25" customHeight="1">
      <c r="A500" s="679" t="s">
        <v>752</v>
      </c>
      <c r="B500" s="547" t="s">
        <v>88</v>
      </c>
      <c r="C500" s="593" t="s">
        <v>7</v>
      </c>
      <c r="D500" s="680">
        <f>SUM(C500:C503)</f>
        <v>147252000</v>
      </c>
      <c r="E500" s="556"/>
      <c r="F500" s="507"/>
      <c r="G500" s="507"/>
      <c r="H500" s="507"/>
      <c r="I500" s="507"/>
      <c r="J500" s="507"/>
      <c r="K500" s="507"/>
      <c r="L500" s="507"/>
      <c r="M500" s="507"/>
      <c r="N500" s="507"/>
    </row>
    <row r="501" ht="32.25" customHeight="1">
      <c r="A501" s="18"/>
      <c r="B501" s="547" t="s">
        <v>219</v>
      </c>
      <c r="C501" s="593">
        <v>4.60825E7</v>
      </c>
      <c r="D501" s="18"/>
      <c r="E501" s="556" t="s">
        <v>934</v>
      </c>
      <c r="F501" s="507"/>
      <c r="G501" s="507"/>
      <c r="H501" s="507"/>
      <c r="I501" s="507"/>
      <c r="J501" s="507"/>
      <c r="K501" s="507"/>
      <c r="L501" s="507"/>
      <c r="M501" s="507"/>
      <c r="N501" s="507"/>
    </row>
    <row r="502" ht="35.25" customHeight="1">
      <c r="A502" s="18"/>
      <c r="B502" s="547" t="s">
        <v>89</v>
      </c>
      <c r="C502" s="593">
        <v>4.6335E7</v>
      </c>
      <c r="D502" s="18"/>
      <c r="E502" s="556"/>
      <c r="F502" s="507"/>
      <c r="G502" s="507"/>
      <c r="H502" s="507"/>
      <c r="I502" s="507"/>
      <c r="J502" s="507"/>
      <c r="K502" s="507"/>
      <c r="L502" s="507"/>
      <c r="M502" s="507"/>
      <c r="N502" s="507"/>
    </row>
    <row r="503" ht="35.25" customHeight="1">
      <c r="A503" s="22"/>
      <c r="B503" s="547" t="s">
        <v>220</v>
      </c>
      <c r="C503" s="593">
        <v>5.48345E7</v>
      </c>
      <c r="D503" s="22"/>
      <c r="E503" s="556"/>
      <c r="F503" s="507"/>
      <c r="G503" s="507"/>
      <c r="H503" s="507"/>
      <c r="I503" s="507"/>
      <c r="J503" s="507"/>
      <c r="K503" s="507"/>
      <c r="L503" s="507"/>
      <c r="M503" s="507"/>
      <c r="N503" s="507"/>
    </row>
    <row r="504" ht="38.25" customHeight="1">
      <c r="A504" s="679" t="s">
        <v>753</v>
      </c>
      <c r="B504" s="547" t="s">
        <v>88</v>
      </c>
      <c r="C504" s="593" t="s">
        <v>7</v>
      </c>
      <c r="D504" s="680">
        <f>SUM(C504:C507)</f>
        <v>45345000</v>
      </c>
      <c r="E504" s="556" t="s">
        <v>935</v>
      </c>
      <c r="F504" s="507"/>
      <c r="G504" s="507"/>
      <c r="H504" s="507"/>
      <c r="I504" s="507"/>
      <c r="J504" s="507"/>
      <c r="K504" s="507"/>
      <c r="L504" s="507"/>
      <c r="M504" s="507"/>
      <c r="N504" s="507"/>
    </row>
    <row r="505" ht="38.25" customHeight="1">
      <c r="A505" s="18"/>
      <c r="B505" s="547" t="s">
        <v>219</v>
      </c>
      <c r="C505" s="593" t="s">
        <v>684</v>
      </c>
      <c r="D505" s="18"/>
      <c r="E505" s="556"/>
      <c r="F505" s="507"/>
      <c r="G505" s="507"/>
      <c r="H505" s="507"/>
      <c r="I505" s="507"/>
      <c r="J505" s="507"/>
      <c r="K505" s="507"/>
      <c r="L505" s="507"/>
      <c r="M505" s="507"/>
      <c r="N505" s="507"/>
    </row>
    <row r="506" ht="38.25" customHeight="1">
      <c r="A506" s="18"/>
      <c r="B506" s="547" t="s">
        <v>89</v>
      </c>
      <c r="C506" s="593" t="s">
        <v>7</v>
      </c>
      <c r="D506" s="18"/>
      <c r="E506" s="556"/>
      <c r="F506" s="507"/>
      <c r="G506" s="507"/>
      <c r="H506" s="507"/>
      <c r="I506" s="507"/>
      <c r="J506" s="507"/>
      <c r="K506" s="507"/>
      <c r="L506" s="507"/>
      <c r="M506" s="507"/>
      <c r="N506" s="507"/>
    </row>
    <row r="507" ht="38.25" customHeight="1">
      <c r="A507" s="22"/>
      <c r="B507" s="547" t="s">
        <v>220</v>
      </c>
      <c r="C507" s="593">
        <v>4.5345E7</v>
      </c>
      <c r="D507" s="22"/>
      <c r="E507" s="556"/>
      <c r="F507" s="507"/>
      <c r="G507" s="507"/>
      <c r="H507" s="507"/>
      <c r="I507" s="507"/>
      <c r="J507" s="507"/>
      <c r="K507" s="507"/>
      <c r="L507" s="507"/>
      <c r="M507" s="507"/>
      <c r="N507" s="507"/>
    </row>
    <row r="508" ht="35.25" customHeight="1">
      <c r="A508" s="679" t="s">
        <v>936</v>
      </c>
      <c r="B508" s="547" t="s">
        <v>88</v>
      </c>
      <c r="C508" s="593">
        <v>3.47784E7</v>
      </c>
      <c r="D508" s="680">
        <f>SUM(C508:C512)</f>
        <v>247571500</v>
      </c>
      <c r="E508" s="507"/>
      <c r="F508" s="507"/>
      <c r="G508" s="507"/>
      <c r="H508" s="507"/>
      <c r="I508" s="507"/>
      <c r="J508" s="507"/>
      <c r="K508" s="507"/>
      <c r="L508" s="507"/>
      <c r="M508" s="507"/>
      <c r="N508" s="507"/>
    </row>
    <row r="509" ht="35.25" customHeight="1">
      <c r="A509" s="18"/>
      <c r="B509" s="547" t="s">
        <v>219</v>
      </c>
      <c r="C509" s="593">
        <v>7.85307E7</v>
      </c>
      <c r="D509" s="18"/>
      <c r="E509" s="507"/>
      <c r="F509" s="507"/>
      <c r="G509" s="507"/>
      <c r="H509" s="507"/>
      <c r="I509" s="507"/>
      <c r="J509" s="507"/>
      <c r="K509" s="507"/>
      <c r="L509" s="507"/>
      <c r="M509" s="507"/>
      <c r="N509" s="507"/>
    </row>
    <row r="510" ht="35.25" customHeight="1">
      <c r="A510" s="18"/>
      <c r="B510" s="547" t="s">
        <v>89</v>
      </c>
      <c r="C510" s="598">
        <v>5.57902E7</v>
      </c>
      <c r="D510" s="18"/>
      <c r="E510" s="556" t="s">
        <v>937</v>
      </c>
      <c r="F510" s="507"/>
      <c r="G510" s="507"/>
      <c r="H510" s="507"/>
      <c r="I510" s="507"/>
      <c r="J510" s="507"/>
      <c r="K510" s="507"/>
      <c r="L510" s="507"/>
      <c r="M510" s="507"/>
      <c r="N510" s="507"/>
    </row>
    <row r="511" ht="35.25" customHeight="1">
      <c r="A511" s="18"/>
      <c r="B511" s="547" t="s">
        <v>999</v>
      </c>
      <c r="C511" s="593">
        <v>2.1159E7</v>
      </c>
      <c r="D511" s="18"/>
      <c r="E511" s="507"/>
      <c r="F511" s="507"/>
      <c r="G511" s="507"/>
      <c r="H511" s="507"/>
      <c r="I511" s="507"/>
      <c r="J511" s="507"/>
      <c r="K511" s="507"/>
      <c r="L511" s="507"/>
      <c r="M511" s="507"/>
      <c r="N511" s="507"/>
    </row>
    <row r="512" ht="35.25" customHeight="1">
      <c r="A512" s="22"/>
      <c r="B512" s="547" t="s">
        <v>220</v>
      </c>
      <c r="C512" s="593">
        <v>5.73132E7</v>
      </c>
      <c r="D512" s="22"/>
      <c r="E512" s="507"/>
      <c r="F512" s="507"/>
      <c r="G512" s="507"/>
      <c r="H512" s="507"/>
      <c r="I512" s="507"/>
      <c r="J512" s="507"/>
      <c r="K512" s="507"/>
      <c r="L512" s="507"/>
      <c r="M512" s="507"/>
      <c r="N512" s="507"/>
    </row>
    <row r="513" ht="35.25" customHeight="1">
      <c r="A513" s="679" t="s">
        <v>944</v>
      </c>
      <c r="B513" s="547" t="s">
        <v>88</v>
      </c>
      <c r="C513" s="593">
        <v>7.6038E7</v>
      </c>
      <c r="D513" s="680">
        <f>SUM(C513:C516)</f>
        <v>214141000</v>
      </c>
      <c r="E513" s="507"/>
      <c r="F513" s="507"/>
      <c r="G513" s="507"/>
      <c r="H513" s="507"/>
      <c r="I513" s="507"/>
      <c r="J513" s="507"/>
      <c r="K513" s="507"/>
      <c r="L513" s="507"/>
      <c r="M513" s="507"/>
      <c r="N513" s="507"/>
    </row>
    <row r="514" ht="35.25" customHeight="1">
      <c r="A514" s="18"/>
      <c r="B514" s="547" t="s">
        <v>219</v>
      </c>
      <c r="C514" s="593">
        <v>4.77065E7</v>
      </c>
      <c r="D514" s="18"/>
      <c r="E514" s="507"/>
      <c r="F514" s="507"/>
      <c r="G514" s="507"/>
      <c r="H514" s="507"/>
      <c r="I514" s="507"/>
      <c r="J514" s="507"/>
      <c r="K514" s="507"/>
      <c r="L514" s="507"/>
      <c r="M514" s="507"/>
      <c r="N514" s="507"/>
    </row>
    <row r="515" ht="35.25" customHeight="1">
      <c r="A515" s="18"/>
      <c r="B515" s="547" t="s">
        <v>89</v>
      </c>
      <c r="C515" s="598">
        <v>5.6303E7</v>
      </c>
      <c r="D515" s="18"/>
      <c r="E515" s="507"/>
      <c r="F515" s="507"/>
      <c r="G515" s="507"/>
      <c r="H515" s="507"/>
      <c r="I515" s="507"/>
      <c r="J515" s="507"/>
      <c r="K515" s="507"/>
      <c r="L515" s="507"/>
      <c r="M515" s="507"/>
      <c r="N515" s="507"/>
    </row>
    <row r="516" ht="35.25" customHeight="1">
      <c r="A516" s="22"/>
      <c r="B516" s="547" t="s">
        <v>220</v>
      </c>
      <c r="C516" s="593">
        <v>3.40935E7</v>
      </c>
      <c r="D516" s="22"/>
      <c r="E516" s="507"/>
      <c r="F516" s="507"/>
      <c r="G516" s="507"/>
      <c r="H516" s="507"/>
      <c r="I516" s="507"/>
      <c r="J516" s="507"/>
      <c r="K516" s="507"/>
      <c r="L516" s="507"/>
      <c r="M516" s="507"/>
      <c r="N516" s="507"/>
    </row>
    <row r="517" ht="35.25" customHeight="1">
      <c r="A517" s="679" t="s">
        <v>938</v>
      </c>
      <c r="B517" s="547" t="s">
        <v>92</v>
      </c>
      <c r="C517" s="593" t="s">
        <v>681</v>
      </c>
      <c r="D517" s="680">
        <f>SUM(C517:C521)</f>
        <v>90576400</v>
      </c>
      <c r="E517" s="507"/>
      <c r="F517" s="507"/>
      <c r="G517" s="507"/>
      <c r="H517" s="507"/>
      <c r="I517" s="507"/>
      <c r="J517" s="507"/>
      <c r="K517" s="507"/>
      <c r="L517" s="507"/>
      <c r="M517" s="507"/>
      <c r="N517" s="507"/>
    </row>
    <row r="518" ht="35.25" customHeight="1">
      <c r="A518" s="18"/>
      <c r="B518" s="547" t="s">
        <v>88</v>
      </c>
      <c r="C518" s="593" t="s">
        <v>681</v>
      </c>
      <c r="D518" s="18"/>
      <c r="E518" s="730" t="s">
        <v>939</v>
      </c>
      <c r="F518" s="507"/>
      <c r="G518" s="507"/>
      <c r="H518" s="507"/>
      <c r="I518" s="507"/>
      <c r="J518" s="507"/>
      <c r="K518" s="507"/>
      <c r="L518" s="507"/>
      <c r="M518" s="507"/>
      <c r="N518" s="507"/>
    </row>
    <row r="519" ht="35.25" customHeight="1">
      <c r="A519" s="18"/>
      <c r="B519" s="547" t="s">
        <v>219</v>
      </c>
      <c r="C519" s="598">
        <v>2.56604E7</v>
      </c>
      <c r="D519" s="18"/>
      <c r="E519" s="507"/>
      <c r="F519" s="507"/>
      <c r="G519" s="507"/>
      <c r="H519" s="507"/>
      <c r="I519" s="507"/>
      <c r="J519" s="507"/>
      <c r="K519" s="507"/>
      <c r="L519" s="507"/>
      <c r="M519" s="507"/>
      <c r="N519" s="507"/>
    </row>
    <row r="520" ht="35.25" customHeight="1">
      <c r="A520" s="18"/>
      <c r="B520" s="547" t="s">
        <v>89</v>
      </c>
      <c r="C520" s="593">
        <v>3.166E7</v>
      </c>
      <c r="D520" s="18"/>
      <c r="E520" s="507"/>
      <c r="F520" s="507"/>
      <c r="G520" s="507"/>
      <c r="H520" s="507"/>
      <c r="I520" s="507"/>
      <c r="J520" s="507"/>
      <c r="K520" s="507"/>
      <c r="L520" s="507"/>
      <c r="M520" s="507"/>
      <c r="N520" s="507"/>
    </row>
    <row r="521" ht="35.25" customHeight="1">
      <c r="A521" s="22"/>
      <c r="B521" s="547" t="s">
        <v>220</v>
      </c>
      <c r="C521" s="593">
        <v>3.3256E7</v>
      </c>
      <c r="D521" s="22"/>
      <c r="E521" s="507"/>
      <c r="F521" s="507"/>
      <c r="G521" s="507"/>
      <c r="H521" s="507"/>
      <c r="I521" s="507"/>
      <c r="J521" s="507"/>
      <c r="K521" s="507"/>
      <c r="L521" s="507"/>
      <c r="M521" s="507"/>
      <c r="N521" s="507"/>
    </row>
    <row r="522" ht="35.25" customHeight="1">
      <c r="A522" s="679" t="s">
        <v>940</v>
      </c>
      <c r="B522" s="547" t="s">
        <v>88</v>
      </c>
      <c r="C522" s="593">
        <f>74263000-420000</f>
        <v>73843000</v>
      </c>
      <c r="D522" s="680">
        <f>SUM(C522:C525)</f>
        <v>173901600</v>
      </c>
      <c r="E522" s="507"/>
      <c r="F522" s="507"/>
      <c r="G522" s="507"/>
      <c r="H522" s="507"/>
      <c r="I522" s="507"/>
      <c r="J522" s="507"/>
      <c r="K522" s="507"/>
      <c r="L522" s="507"/>
      <c r="M522" s="507"/>
      <c r="N522" s="507"/>
    </row>
    <row r="523" ht="35.25" customHeight="1">
      <c r="A523" s="18"/>
      <c r="B523" s="547" t="s">
        <v>219</v>
      </c>
      <c r="C523" s="598">
        <v>4.49636E7</v>
      </c>
      <c r="D523" s="18"/>
      <c r="E523" s="556" t="s">
        <v>941</v>
      </c>
      <c r="F523" s="507"/>
      <c r="G523" s="507"/>
      <c r="H523" s="507"/>
      <c r="I523" s="507"/>
      <c r="J523" s="507"/>
      <c r="K523" s="507"/>
      <c r="L523" s="507"/>
      <c r="M523" s="507"/>
      <c r="N523" s="507"/>
    </row>
    <row r="524" ht="35.25" customHeight="1">
      <c r="A524" s="18"/>
      <c r="B524" s="547" t="s">
        <v>89</v>
      </c>
      <c r="C524" s="598">
        <v>3.25118E7</v>
      </c>
      <c r="D524" s="18"/>
      <c r="E524" s="507"/>
      <c r="F524" s="507"/>
      <c r="G524" s="507"/>
      <c r="H524" s="507"/>
      <c r="I524" s="507"/>
      <c r="J524" s="507"/>
      <c r="K524" s="507"/>
      <c r="L524" s="507"/>
      <c r="M524" s="507"/>
      <c r="N524" s="507"/>
    </row>
    <row r="525" ht="35.25" customHeight="1">
      <c r="A525" s="22"/>
      <c r="B525" s="547" t="s">
        <v>220</v>
      </c>
      <c r="C525" s="598">
        <v>2.25832E7</v>
      </c>
      <c r="D525" s="22"/>
      <c r="E525" s="507"/>
      <c r="F525" s="507"/>
      <c r="G525" s="507"/>
      <c r="H525" s="507"/>
      <c r="I525" s="507"/>
      <c r="J525" s="507"/>
      <c r="K525" s="507"/>
      <c r="L525" s="507"/>
      <c r="M525" s="507"/>
      <c r="N525" s="507"/>
    </row>
    <row r="526" ht="35.25" customHeight="1">
      <c r="A526" s="679" t="s">
        <v>942</v>
      </c>
      <c r="B526" s="547" t="s">
        <v>88</v>
      </c>
      <c r="C526" s="593">
        <v>3.3295E7</v>
      </c>
      <c r="D526" s="680">
        <f>SUM(C526:C529)</f>
        <v>284279000</v>
      </c>
      <c r="E526" s="507"/>
      <c r="F526" s="507"/>
      <c r="G526" s="507"/>
      <c r="H526" s="507"/>
      <c r="I526" s="507"/>
      <c r="J526" s="507"/>
      <c r="K526" s="507"/>
      <c r="L526" s="507"/>
      <c r="M526" s="507"/>
      <c r="N526" s="507"/>
    </row>
    <row r="527" ht="35.25" customHeight="1">
      <c r="A527" s="18"/>
      <c r="B527" s="547" t="s">
        <v>219</v>
      </c>
      <c r="C527" s="593">
        <v>7.683E7</v>
      </c>
      <c r="D527" s="18"/>
      <c r="E527" s="507"/>
      <c r="F527" s="507"/>
      <c r="G527" s="507"/>
      <c r="H527" s="507"/>
      <c r="I527" s="507"/>
      <c r="J527" s="507"/>
      <c r="K527" s="507"/>
      <c r="L527" s="507"/>
      <c r="M527" s="507"/>
      <c r="N527" s="507"/>
    </row>
    <row r="528" ht="35.25" customHeight="1">
      <c r="A528" s="18"/>
      <c r="B528" s="547" t="s">
        <v>89</v>
      </c>
      <c r="C528" s="598">
        <v>1.30994E8</v>
      </c>
      <c r="D528" s="18"/>
      <c r="E528" s="507"/>
      <c r="F528" s="507"/>
      <c r="G528" s="507"/>
      <c r="H528" s="507"/>
      <c r="I528" s="507"/>
      <c r="J528" s="507"/>
      <c r="K528" s="507"/>
      <c r="L528" s="507"/>
      <c r="M528" s="507"/>
      <c r="N528" s="507"/>
    </row>
    <row r="529" ht="35.25" customHeight="1">
      <c r="A529" s="22"/>
      <c r="B529" s="547" t="s">
        <v>220</v>
      </c>
      <c r="C529" s="593">
        <v>4.316E7</v>
      </c>
      <c r="D529" s="22"/>
      <c r="E529" s="507"/>
      <c r="F529" s="507"/>
      <c r="G529" s="507"/>
      <c r="H529" s="507"/>
      <c r="I529" s="507"/>
      <c r="J529" s="507"/>
      <c r="K529" s="507"/>
      <c r="L529" s="507"/>
      <c r="M529" s="507"/>
      <c r="N529" s="507"/>
    </row>
    <row r="530" ht="35.25" customHeight="1">
      <c r="A530" s="679" t="s">
        <v>946</v>
      </c>
      <c r="B530" s="547" t="s">
        <v>92</v>
      </c>
      <c r="C530" s="593">
        <v>5.3659E7</v>
      </c>
      <c r="D530" s="680">
        <f>SUM(C530:C533)</f>
        <v>130024000</v>
      </c>
      <c r="E530" s="507"/>
      <c r="F530" s="507"/>
      <c r="G530" s="507"/>
      <c r="H530" s="507"/>
      <c r="I530" s="507"/>
      <c r="J530" s="507"/>
      <c r="K530" s="507"/>
      <c r="L530" s="507"/>
      <c r="M530" s="507"/>
      <c r="N530" s="507"/>
    </row>
    <row r="531" ht="35.25" customHeight="1">
      <c r="A531" s="18"/>
      <c r="B531" s="547" t="s">
        <v>88</v>
      </c>
      <c r="C531" s="593">
        <v>3.3565E7</v>
      </c>
      <c r="D531" s="18"/>
      <c r="E531" s="507"/>
      <c r="F531" s="507"/>
      <c r="G531" s="507"/>
      <c r="H531" s="507"/>
      <c r="I531" s="507"/>
      <c r="J531" s="507"/>
      <c r="K531" s="507"/>
      <c r="L531" s="507"/>
      <c r="M531" s="507"/>
      <c r="N531" s="507"/>
    </row>
    <row r="532" ht="35.25" customHeight="1">
      <c r="A532" s="18"/>
      <c r="B532" s="547" t="s">
        <v>219</v>
      </c>
      <c r="C532" s="598">
        <v>2.232E7</v>
      </c>
      <c r="D532" s="18"/>
      <c r="E532" s="507"/>
      <c r="F532" s="507"/>
      <c r="G532" s="507"/>
      <c r="H532" s="507"/>
      <c r="I532" s="507"/>
      <c r="J532" s="507"/>
      <c r="K532" s="507"/>
      <c r="L532" s="507"/>
      <c r="M532" s="507"/>
      <c r="N532" s="507"/>
    </row>
    <row r="533" ht="35.25" customHeight="1">
      <c r="A533" s="18"/>
      <c r="B533" s="547" t="s">
        <v>89</v>
      </c>
      <c r="C533" s="809">
        <v>2.048E7</v>
      </c>
      <c r="D533" s="18"/>
      <c r="E533" s="507"/>
      <c r="F533" s="507"/>
      <c r="G533" s="507"/>
      <c r="H533" s="507"/>
      <c r="I533" s="507"/>
      <c r="J533" s="507"/>
      <c r="K533" s="507"/>
      <c r="L533" s="507"/>
      <c r="M533" s="507"/>
      <c r="N533" s="507"/>
    </row>
    <row r="534" ht="35.25" customHeight="1">
      <c r="A534" s="22"/>
      <c r="B534" s="547" t="s">
        <v>220</v>
      </c>
      <c r="C534" s="809">
        <v>0.0</v>
      </c>
      <c r="D534" s="22"/>
      <c r="E534" s="507"/>
      <c r="F534" s="507"/>
      <c r="G534" s="507"/>
      <c r="H534" s="507"/>
      <c r="I534" s="507"/>
      <c r="J534" s="507"/>
      <c r="K534" s="507"/>
      <c r="L534" s="507"/>
      <c r="M534" s="507"/>
      <c r="N534" s="507"/>
    </row>
    <row r="535" ht="35.25" customHeight="1">
      <c r="A535" s="679" t="s">
        <v>947</v>
      </c>
      <c r="B535" s="547" t="s">
        <v>88</v>
      </c>
      <c r="C535" s="598" t="s">
        <v>7</v>
      </c>
      <c r="D535" s="680">
        <f>SUM(C535:C538)</f>
        <v>171796000</v>
      </c>
      <c r="E535" s="507"/>
      <c r="F535" s="507"/>
      <c r="G535" s="507"/>
      <c r="H535" s="507"/>
      <c r="I535" s="507"/>
      <c r="J535" s="507"/>
      <c r="K535" s="507"/>
      <c r="L535" s="507"/>
      <c r="M535" s="507"/>
      <c r="N535" s="507"/>
    </row>
    <row r="536" ht="35.25" customHeight="1">
      <c r="A536" s="18"/>
      <c r="B536" s="547" t="s">
        <v>219</v>
      </c>
      <c r="C536" s="593">
        <v>6.87805E7</v>
      </c>
      <c r="D536" s="18"/>
      <c r="E536" s="507"/>
      <c r="F536" s="507"/>
      <c r="G536" s="507"/>
      <c r="H536" s="507"/>
      <c r="I536" s="507"/>
      <c r="J536" s="507"/>
      <c r="K536" s="507"/>
      <c r="L536" s="507"/>
      <c r="M536" s="507"/>
      <c r="N536" s="507"/>
    </row>
    <row r="537" ht="35.25" customHeight="1">
      <c r="A537" s="18"/>
      <c r="B537" s="547" t="s">
        <v>89</v>
      </c>
      <c r="C537" s="598">
        <v>4.811E7</v>
      </c>
      <c r="D537" s="18"/>
      <c r="E537" s="507"/>
      <c r="F537" s="507"/>
      <c r="G537" s="507"/>
      <c r="H537" s="507"/>
      <c r="I537" s="507"/>
      <c r="J537" s="507"/>
      <c r="K537" s="507"/>
      <c r="L537" s="507"/>
      <c r="M537" s="507"/>
      <c r="N537" s="507"/>
    </row>
    <row r="538" ht="35.25" customHeight="1">
      <c r="A538" s="22"/>
      <c r="B538" s="547" t="s">
        <v>220</v>
      </c>
      <c r="C538" s="593">
        <v>5.49055E7</v>
      </c>
      <c r="D538" s="22"/>
      <c r="E538" s="507"/>
      <c r="F538" s="507"/>
      <c r="G538" s="507"/>
      <c r="H538" s="507"/>
      <c r="I538" s="507"/>
      <c r="J538" s="507"/>
      <c r="K538" s="507"/>
      <c r="L538" s="507"/>
      <c r="M538" s="507"/>
      <c r="N538" s="507"/>
    </row>
    <row r="539" ht="35.25" customHeight="1">
      <c r="A539" s="679" t="s">
        <v>1000</v>
      </c>
      <c r="B539" s="547" t="s">
        <v>88</v>
      </c>
      <c r="C539" s="598">
        <v>0.0</v>
      </c>
      <c r="D539" s="680">
        <f>SUM(C539:C542)</f>
        <v>0</v>
      </c>
      <c r="E539" s="507"/>
      <c r="F539" s="507"/>
      <c r="G539" s="507"/>
      <c r="H539" s="507"/>
      <c r="I539" s="507"/>
      <c r="J539" s="507"/>
      <c r="K539" s="507"/>
      <c r="L539" s="507"/>
      <c r="M539" s="507"/>
      <c r="N539" s="507"/>
    </row>
    <row r="540" ht="35.25" customHeight="1">
      <c r="A540" s="18"/>
      <c r="B540" s="547" t="s">
        <v>219</v>
      </c>
      <c r="C540" s="593">
        <v>0.0</v>
      </c>
      <c r="D540" s="18"/>
      <c r="E540" s="507"/>
      <c r="F540" s="507"/>
      <c r="G540" s="507"/>
      <c r="H540" s="507"/>
      <c r="I540" s="507"/>
      <c r="J540" s="507"/>
      <c r="K540" s="507"/>
      <c r="L540" s="507"/>
      <c r="M540" s="507"/>
      <c r="N540" s="507"/>
    </row>
    <row r="541" ht="35.25" customHeight="1">
      <c r="A541" s="18"/>
      <c r="B541" s="547" t="s">
        <v>89</v>
      </c>
      <c r="C541" s="598">
        <v>0.0</v>
      </c>
      <c r="D541" s="18"/>
      <c r="E541" s="507"/>
      <c r="F541" s="507"/>
      <c r="G541" s="507"/>
      <c r="H541" s="507"/>
      <c r="I541" s="507"/>
      <c r="J541" s="507"/>
      <c r="K541" s="507"/>
      <c r="L541" s="507"/>
      <c r="M541" s="507"/>
      <c r="N541" s="507"/>
    </row>
    <row r="542" ht="35.25" customHeight="1">
      <c r="A542" s="22"/>
      <c r="B542" s="547" t="s">
        <v>220</v>
      </c>
      <c r="C542" s="593">
        <v>0.0</v>
      </c>
      <c r="D542" s="22"/>
      <c r="E542" s="507"/>
      <c r="F542" s="507"/>
      <c r="G542" s="507"/>
      <c r="H542" s="507"/>
      <c r="I542" s="507"/>
      <c r="J542" s="507"/>
      <c r="K542" s="507"/>
      <c r="L542" s="507"/>
      <c r="M542" s="507"/>
      <c r="N542" s="507"/>
    </row>
    <row r="543" ht="35.25" customHeight="1">
      <c r="A543" s="679" t="s">
        <v>943</v>
      </c>
      <c r="B543" s="547" t="s">
        <v>88</v>
      </c>
      <c r="C543" s="598">
        <v>1.33E7</v>
      </c>
      <c r="D543" s="680">
        <f>SUM(C543:C546)</f>
        <v>34870000</v>
      </c>
      <c r="E543" s="507"/>
      <c r="F543" s="507"/>
      <c r="G543" s="507"/>
      <c r="H543" s="507"/>
      <c r="I543" s="507"/>
      <c r="J543" s="507"/>
      <c r="K543" s="507"/>
      <c r="L543" s="507"/>
      <c r="M543" s="507"/>
      <c r="N543" s="507"/>
    </row>
    <row r="544" ht="35.25" customHeight="1">
      <c r="A544" s="18"/>
      <c r="B544" s="547" t="s">
        <v>219</v>
      </c>
      <c r="C544" s="593">
        <v>1.042E7</v>
      </c>
      <c r="D544" s="18"/>
      <c r="E544" s="507"/>
      <c r="F544" s="507"/>
      <c r="G544" s="507"/>
      <c r="H544" s="507"/>
      <c r="I544" s="507"/>
      <c r="J544" s="507"/>
      <c r="K544" s="507"/>
      <c r="L544" s="507"/>
      <c r="M544" s="507"/>
      <c r="N544" s="507"/>
    </row>
    <row r="545" ht="35.25" customHeight="1">
      <c r="A545" s="18"/>
      <c r="B545" s="547" t="s">
        <v>89</v>
      </c>
      <c r="C545" s="598">
        <v>0.0</v>
      </c>
      <c r="D545" s="18"/>
      <c r="E545" s="507"/>
      <c r="F545" s="507"/>
      <c r="G545" s="507"/>
      <c r="H545" s="507"/>
      <c r="I545" s="507"/>
      <c r="J545" s="507"/>
      <c r="K545" s="507"/>
      <c r="L545" s="507"/>
      <c r="M545" s="507"/>
      <c r="N545" s="507"/>
    </row>
    <row r="546" ht="35.25" customHeight="1">
      <c r="A546" s="22"/>
      <c r="B546" s="547" t="s">
        <v>220</v>
      </c>
      <c r="C546" s="593">
        <v>1.115E7</v>
      </c>
      <c r="D546" s="22"/>
      <c r="E546" s="507"/>
      <c r="F546" s="507"/>
      <c r="G546" s="507"/>
      <c r="H546" s="507"/>
      <c r="I546" s="507"/>
      <c r="J546" s="507"/>
      <c r="K546" s="507"/>
      <c r="L546" s="507"/>
      <c r="M546" s="507"/>
      <c r="N546" s="507"/>
    </row>
    <row r="547" ht="35.25" customHeight="1">
      <c r="A547" s="679" t="s">
        <v>1001</v>
      </c>
      <c r="B547" s="547" t="s">
        <v>88</v>
      </c>
      <c r="C547" s="598">
        <v>0.0</v>
      </c>
      <c r="D547" s="680">
        <f>SUM(C547:C550)</f>
        <v>101396600</v>
      </c>
      <c r="E547" s="507"/>
      <c r="F547" s="507"/>
      <c r="G547" s="507"/>
      <c r="H547" s="507"/>
      <c r="I547" s="507"/>
      <c r="J547" s="507"/>
      <c r="K547" s="507"/>
      <c r="L547" s="507"/>
      <c r="M547" s="507"/>
      <c r="N547" s="507"/>
    </row>
    <row r="548" ht="35.25" customHeight="1">
      <c r="A548" s="18"/>
      <c r="B548" s="547" t="s">
        <v>219</v>
      </c>
      <c r="C548" s="593">
        <v>3.75165E7</v>
      </c>
      <c r="D548" s="18"/>
      <c r="E548" s="507"/>
      <c r="F548" s="507"/>
      <c r="G548" s="507"/>
      <c r="H548" s="507"/>
      <c r="I548" s="507"/>
      <c r="J548" s="507"/>
      <c r="K548" s="507"/>
      <c r="L548" s="507"/>
      <c r="M548" s="507"/>
      <c r="N548" s="507"/>
    </row>
    <row r="549" ht="35.25" customHeight="1">
      <c r="A549" s="18"/>
      <c r="B549" s="547" t="s">
        <v>89</v>
      </c>
      <c r="C549" s="598">
        <v>4.8042E7</v>
      </c>
      <c r="D549" s="18"/>
      <c r="E549" s="507"/>
      <c r="F549" s="507"/>
      <c r="G549" s="507"/>
      <c r="H549" s="507"/>
      <c r="I549" s="507"/>
      <c r="J549" s="507"/>
      <c r="K549" s="507"/>
      <c r="L549" s="507"/>
      <c r="M549" s="507"/>
      <c r="N549" s="507"/>
    </row>
    <row r="550" ht="35.25" customHeight="1">
      <c r="A550" s="22"/>
      <c r="B550" s="547" t="s">
        <v>220</v>
      </c>
      <c r="C550" s="593">
        <v>1.58381E7</v>
      </c>
      <c r="D550" s="22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</row>
    <row r="551" ht="35.25" customHeight="1">
      <c r="A551" s="679" t="s">
        <v>1002</v>
      </c>
      <c r="B551" s="547" t="s">
        <v>88</v>
      </c>
      <c r="C551" s="598">
        <v>0.0</v>
      </c>
      <c r="D551" s="680">
        <f>SUM(C551:C554)</f>
        <v>156802500</v>
      </c>
      <c r="E551" s="507"/>
      <c r="F551" s="507"/>
      <c r="G551" s="507"/>
      <c r="H551" s="507"/>
      <c r="I551" s="507"/>
      <c r="J551" s="507"/>
      <c r="K551" s="507"/>
      <c r="L551" s="507"/>
      <c r="M551" s="507"/>
      <c r="N551" s="507"/>
    </row>
    <row r="552" ht="35.25" customHeight="1">
      <c r="A552" s="18"/>
      <c r="B552" s="547" t="s">
        <v>219</v>
      </c>
      <c r="C552" s="593">
        <v>0.0</v>
      </c>
      <c r="D552" s="18"/>
      <c r="E552" s="507"/>
      <c r="F552" s="507"/>
      <c r="G552" s="507"/>
      <c r="H552" s="507"/>
      <c r="I552" s="507"/>
      <c r="J552" s="507"/>
      <c r="K552" s="507"/>
      <c r="L552" s="507"/>
      <c r="M552" s="507"/>
      <c r="N552" s="507"/>
    </row>
    <row r="553" ht="35.25" customHeight="1">
      <c r="A553" s="18"/>
      <c r="B553" s="547" t="s">
        <v>89</v>
      </c>
      <c r="C553" s="598">
        <v>0.0</v>
      </c>
      <c r="D553" s="18"/>
      <c r="E553" s="507"/>
      <c r="F553" s="507"/>
      <c r="G553" s="507"/>
      <c r="H553" s="507"/>
      <c r="I553" s="507"/>
      <c r="J553" s="507"/>
      <c r="K553" s="507"/>
      <c r="L553" s="507"/>
      <c r="M553" s="507"/>
      <c r="N553" s="507"/>
    </row>
    <row r="554" ht="35.25" customHeight="1">
      <c r="A554" s="22"/>
      <c r="B554" s="547" t="s">
        <v>220</v>
      </c>
      <c r="C554" s="593">
        <v>1.568025E8</v>
      </c>
      <c r="D554" s="22"/>
      <c r="E554" s="507"/>
      <c r="F554" s="507"/>
      <c r="G554" s="507"/>
      <c r="H554" s="507"/>
      <c r="I554" s="507"/>
      <c r="J554" s="507"/>
      <c r="K554" s="507"/>
      <c r="L554" s="507"/>
      <c r="M554" s="507"/>
      <c r="N554" s="507"/>
    </row>
    <row r="555" ht="35.25" customHeight="1">
      <c r="A555" s="679" t="s">
        <v>1003</v>
      </c>
      <c r="B555" s="547" t="s">
        <v>88</v>
      </c>
      <c r="C555" s="598">
        <v>0.0</v>
      </c>
      <c r="D555" s="680">
        <f>SUM(C555:C558)</f>
        <v>56724000</v>
      </c>
      <c r="E555" s="507"/>
      <c r="F555" s="507"/>
      <c r="G555" s="507"/>
      <c r="H555" s="507"/>
      <c r="I555" s="507"/>
      <c r="J555" s="507"/>
      <c r="K555" s="507"/>
      <c r="L555" s="507"/>
      <c r="M555" s="507"/>
      <c r="N555" s="507"/>
    </row>
    <row r="556" ht="35.25" customHeight="1">
      <c r="A556" s="18"/>
      <c r="B556" s="547" t="s">
        <v>219</v>
      </c>
      <c r="C556" s="593">
        <v>0.0</v>
      </c>
      <c r="D556" s="18"/>
      <c r="E556" s="507"/>
      <c r="F556" s="507"/>
      <c r="G556" s="507"/>
      <c r="H556" s="507"/>
      <c r="I556" s="507"/>
      <c r="J556" s="507"/>
      <c r="K556" s="507"/>
      <c r="L556" s="507"/>
      <c r="M556" s="507"/>
      <c r="N556" s="507"/>
    </row>
    <row r="557" ht="35.25" customHeight="1">
      <c r="A557" s="18"/>
      <c r="B557" s="547" t="s">
        <v>89</v>
      </c>
      <c r="C557" s="598">
        <v>0.0</v>
      </c>
      <c r="D557" s="18"/>
      <c r="E557" s="507"/>
      <c r="F557" s="507"/>
      <c r="G557" s="507"/>
      <c r="H557" s="507"/>
      <c r="I557" s="507"/>
      <c r="J557" s="507"/>
      <c r="K557" s="507"/>
      <c r="L557" s="507"/>
      <c r="M557" s="507"/>
      <c r="N557" s="507"/>
    </row>
    <row r="558" ht="35.25" customHeight="1">
      <c r="A558" s="22"/>
      <c r="B558" s="547" t="s">
        <v>220</v>
      </c>
      <c r="C558" s="593">
        <v>5.6724E7</v>
      </c>
      <c r="D558" s="22"/>
      <c r="E558" s="507"/>
      <c r="F558" s="507"/>
      <c r="G558" s="507"/>
      <c r="H558" s="507"/>
      <c r="I558" s="507"/>
      <c r="J558" s="507"/>
      <c r="K558" s="507"/>
      <c r="L558" s="507"/>
      <c r="M558" s="507"/>
      <c r="N558" s="507"/>
    </row>
    <row r="559" ht="35.25" customHeight="1">
      <c r="A559" s="810"/>
      <c r="B559" s="669"/>
      <c r="C559" s="740"/>
      <c r="D559" s="811"/>
      <c r="E559" s="507"/>
      <c r="F559" s="507"/>
      <c r="G559" s="507"/>
      <c r="H559" s="507"/>
      <c r="I559" s="507"/>
      <c r="J559" s="507"/>
      <c r="K559" s="507"/>
      <c r="L559" s="507"/>
      <c r="M559" s="507"/>
      <c r="N559" s="507"/>
    </row>
    <row r="560" ht="35.25" customHeight="1">
      <c r="B560" s="669"/>
      <c r="C560" s="740"/>
      <c r="E560" s="507"/>
      <c r="F560" s="507"/>
      <c r="G560" s="507"/>
      <c r="H560" s="507"/>
      <c r="I560" s="507"/>
      <c r="J560" s="507"/>
      <c r="K560" s="507"/>
      <c r="L560" s="507"/>
      <c r="M560" s="507"/>
      <c r="N560" s="507"/>
    </row>
    <row r="561" ht="35.25" customHeight="1">
      <c r="B561" s="669"/>
      <c r="C561" s="740"/>
      <c r="E561" s="507"/>
      <c r="F561" s="507"/>
      <c r="G561" s="507"/>
      <c r="H561" s="507"/>
      <c r="I561" s="507"/>
      <c r="J561" s="507"/>
      <c r="K561" s="507"/>
      <c r="L561" s="507"/>
      <c r="M561" s="507"/>
      <c r="N561" s="507"/>
    </row>
    <row r="562" ht="35.25" customHeight="1">
      <c r="B562" s="669"/>
      <c r="C562" s="740"/>
      <c r="E562" s="507"/>
      <c r="F562" s="507"/>
      <c r="G562" s="507"/>
      <c r="H562" s="507"/>
      <c r="I562" s="507"/>
      <c r="J562" s="507"/>
      <c r="K562" s="507"/>
      <c r="L562" s="507"/>
      <c r="M562" s="507"/>
      <c r="N562" s="507"/>
    </row>
    <row r="563" ht="35.25" customHeight="1">
      <c r="A563" s="810"/>
      <c r="B563" s="507"/>
      <c r="C563" s="507"/>
      <c r="D563" s="508"/>
      <c r="E563" s="507"/>
      <c r="F563" s="507"/>
      <c r="G563" s="507"/>
      <c r="H563" s="507"/>
      <c r="I563" s="507"/>
      <c r="J563" s="507"/>
      <c r="K563" s="507"/>
      <c r="L563" s="507"/>
      <c r="M563" s="507"/>
      <c r="N563" s="507"/>
    </row>
    <row r="564" ht="35.25" customHeight="1">
      <c r="B564" s="507"/>
      <c r="C564" s="507"/>
      <c r="D564" s="508"/>
      <c r="E564" s="507"/>
      <c r="F564" s="507"/>
      <c r="G564" s="507"/>
      <c r="H564" s="507"/>
      <c r="I564" s="507"/>
      <c r="J564" s="507"/>
      <c r="K564" s="507"/>
      <c r="L564" s="507"/>
      <c r="M564" s="507"/>
      <c r="N564" s="507"/>
    </row>
    <row r="565" ht="35.25" customHeight="1">
      <c r="B565" s="507"/>
      <c r="C565" s="507"/>
      <c r="D565" s="508"/>
      <c r="E565" s="507"/>
      <c r="F565" s="507"/>
      <c r="G565" s="507"/>
      <c r="H565" s="507"/>
      <c r="I565" s="507"/>
      <c r="J565" s="507"/>
      <c r="K565" s="507"/>
      <c r="L565" s="507"/>
      <c r="M565" s="507"/>
      <c r="N565" s="507"/>
    </row>
    <row r="566" ht="35.25" customHeight="1">
      <c r="B566" s="507"/>
      <c r="C566" s="507"/>
      <c r="D566" s="508"/>
      <c r="E566" s="507"/>
      <c r="F566" s="507"/>
      <c r="G566" s="507"/>
      <c r="H566" s="507"/>
      <c r="I566" s="507"/>
      <c r="J566" s="507"/>
      <c r="K566" s="507"/>
      <c r="L566" s="507"/>
      <c r="M566" s="507"/>
      <c r="N566" s="507"/>
    </row>
    <row r="567" ht="35.25" customHeight="1">
      <c r="A567" s="507"/>
      <c r="B567" s="507"/>
      <c r="C567" s="507"/>
      <c r="D567" s="508"/>
      <c r="E567" s="507"/>
      <c r="F567" s="507"/>
      <c r="G567" s="507"/>
      <c r="H567" s="507"/>
      <c r="I567" s="507"/>
      <c r="J567" s="507"/>
      <c r="K567" s="507"/>
      <c r="L567" s="507"/>
      <c r="M567" s="507"/>
      <c r="N567" s="507"/>
    </row>
    <row r="568" ht="35.25" customHeight="1">
      <c r="A568" s="507"/>
      <c r="B568" s="507"/>
      <c r="C568" s="507"/>
      <c r="D568" s="508"/>
      <c r="E568" s="507"/>
      <c r="F568" s="507"/>
      <c r="G568" s="507"/>
      <c r="H568" s="507"/>
      <c r="I568" s="507"/>
      <c r="J568" s="507"/>
      <c r="K568" s="507"/>
      <c r="L568" s="507"/>
      <c r="M568" s="507"/>
      <c r="N568" s="507"/>
    </row>
    <row r="569" ht="35.25" customHeight="1">
      <c r="A569" s="507"/>
      <c r="B569" s="507"/>
      <c r="C569" s="507"/>
      <c r="D569" s="508"/>
      <c r="E569" s="507"/>
      <c r="F569" s="507"/>
      <c r="G569" s="507"/>
      <c r="H569" s="507"/>
      <c r="I569" s="507"/>
      <c r="J569" s="507"/>
      <c r="K569" s="507"/>
      <c r="L569" s="507"/>
      <c r="M569" s="507"/>
      <c r="N569" s="507"/>
    </row>
    <row r="570" ht="35.25" customHeight="1">
      <c r="A570" s="507"/>
      <c r="B570" s="507"/>
      <c r="C570" s="507"/>
      <c r="D570" s="508"/>
      <c r="E570" s="507"/>
      <c r="F570" s="507"/>
      <c r="G570" s="507"/>
      <c r="H570" s="507"/>
      <c r="I570" s="507"/>
      <c r="J570" s="507"/>
      <c r="K570" s="507"/>
      <c r="L570" s="507"/>
      <c r="M570" s="507"/>
      <c r="N570" s="507"/>
    </row>
    <row r="571" ht="35.25" customHeight="1">
      <c r="A571" s="507"/>
      <c r="B571" s="507"/>
      <c r="C571" s="507"/>
      <c r="D571" s="508"/>
      <c r="E571" s="507"/>
      <c r="F571" s="507"/>
      <c r="G571" s="507"/>
      <c r="H571" s="507"/>
      <c r="I571" s="507"/>
      <c r="J571" s="507"/>
      <c r="K571" s="507"/>
      <c r="L571" s="507"/>
      <c r="M571" s="507"/>
      <c r="N571" s="507"/>
    </row>
    <row r="572" ht="35.25" customHeight="1">
      <c r="A572" s="507"/>
      <c r="B572" s="507"/>
      <c r="C572" s="507"/>
      <c r="D572" s="508"/>
      <c r="E572" s="507"/>
      <c r="F572" s="507"/>
      <c r="G572" s="507"/>
      <c r="H572" s="507"/>
      <c r="I572" s="507"/>
      <c r="J572" s="507"/>
      <c r="K572" s="507"/>
      <c r="L572" s="507"/>
      <c r="M572" s="507"/>
      <c r="N572" s="507"/>
    </row>
    <row r="573" ht="35.25" customHeight="1">
      <c r="A573" s="507"/>
      <c r="B573" s="507"/>
      <c r="C573" s="507"/>
      <c r="D573" s="508"/>
      <c r="E573" s="507"/>
      <c r="F573" s="507"/>
      <c r="G573" s="507"/>
      <c r="H573" s="507"/>
      <c r="I573" s="507"/>
      <c r="J573" s="507"/>
      <c r="K573" s="507"/>
      <c r="L573" s="507"/>
      <c r="M573" s="507"/>
      <c r="N573" s="507"/>
    </row>
    <row r="574" ht="35.25" customHeight="1">
      <c r="A574" s="507"/>
      <c r="B574" s="507"/>
      <c r="C574" s="507"/>
      <c r="D574" s="508"/>
      <c r="E574" s="507"/>
      <c r="F574" s="507"/>
      <c r="G574" s="507"/>
      <c r="H574" s="507"/>
      <c r="I574" s="507"/>
      <c r="J574" s="507"/>
      <c r="K574" s="507"/>
      <c r="L574" s="507"/>
      <c r="M574" s="507"/>
      <c r="N574" s="507"/>
    </row>
    <row r="575" ht="35.25" customHeight="1">
      <c r="A575" s="507"/>
      <c r="B575" s="507"/>
      <c r="C575" s="507"/>
      <c r="D575" s="508"/>
      <c r="E575" s="507"/>
      <c r="F575" s="507"/>
      <c r="G575" s="507"/>
      <c r="H575" s="507"/>
      <c r="I575" s="507"/>
      <c r="J575" s="507"/>
      <c r="K575" s="507"/>
      <c r="L575" s="507"/>
      <c r="M575" s="507"/>
      <c r="N575" s="507"/>
    </row>
    <row r="576" ht="35.25" customHeight="1">
      <c r="A576" s="507"/>
      <c r="B576" s="507"/>
      <c r="C576" s="507"/>
      <c r="D576" s="508"/>
      <c r="E576" s="507"/>
      <c r="F576" s="507"/>
      <c r="G576" s="507"/>
      <c r="H576" s="507"/>
      <c r="I576" s="507"/>
      <c r="J576" s="507"/>
      <c r="K576" s="507"/>
      <c r="L576" s="507"/>
      <c r="M576" s="507"/>
      <c r="N576" s="507"/>
    </row>
    <row r="577" ht="35.25" customHeight="1">
      <c r="A577" s="507"/>
      <c r="B577" s="507"/>
      <c r="C577" s="507"/>
      <c r="D577" s="508"/>
      <c r="E577" s="507"/>
      <c r="F577" s="507"/>
      <c r="G577" s="507"/>
      <c r="H577" s="507"/>
      <c r="I577" s="507"/>
      <c r="J577" s="507"/>
      <c r="K577" s="507"/>
      <c r="L577" s="507"/>
      <c r="M577" s="507"/>
      <c r="N577" s="507"/>
    </row>
    <row r="578" ht="35.25" customHeight="1">
      <c r="A578" s="507"/>
      <c r="B578" s="507"/>
      <c r="C578" s="507"/>
      <c r="D578" s="508"/>
      <c r="E578" s="507"/>
      <c r="F578" s="507"/>
      <c r="G578" s="507"/>
      <c r="H578" s="507"/>
      <c r="I578" s="507"/>
      <c r="J578" s="507"/>
      <c r="K578" s="507"/>
      <c r="L578" s="507"/>
      <c r="M578" s="507"/>
      <c r="N578" s="507"/>
    </row>
    <row r="579" ht="35.25" customHeight="1">
      <c r="A579" s="507"/>
      <c r="B579" s="507"/>
      <c r="C579" s="507"/>
      <c r="D579" s="508"/>
      <c r="E579" s="507"/>
      <c r="F579" s="507"/>
      <c r="G579" s="507"/>
      <c r="H579" s="507"/>
      <c r="I579" s="507"/>
      <c r="J579" s="507"/>
      <c r="K579" s="507"/>
      <c r="L579" s="507"/>
      <c r="M579" s="507"/>
      <c r="N579" s="507"/>
    </row>
    <row r="580" ht="35.25" customHeight="1">
      <c r="A580" s="507"/>
      <c r="B580" s="507"/>
      <c r="C580" s="507"/>
      <c r="D580" s="508"/>
      <c r="E580" s="507"/>
      <c r="F580" s="507"/>
      <c r="G580" s="507"/>
      <c r="H580" s="507"/>
      <c r="I580" s="507"/>
      <c r="J580" s="507"/>
      <c r="K580" s="507"/>
      <c r="L580" s="507"/>
      <c r="M580" s="507"/>
      <c r="N580" s="507"/>
    </row>
    <row r="581" ht="35.25" customHeight="1">
      <c r="A581" s="507"/>
      <c r="B581" s="507"/>
      <c r="C581" s="507"/>
      <c r="D581" s="508"/>
      <c r="E581" s="507"/>
      <c r="F581" s="507"/>
      <c r="G581" s="507"/>
      <c r="H581" s="507"/>
      <c r="I581" s="507"/>
      <c r="J581" s="507"/>
      <c r="K581" s="507"/>
      <c r="L581" s="507"/>
      <c r="M581" s="507"/>
      <c r="N581" s="507"/>
    </row>
    <row r="582" ht="35.25" customHeight="1">
      <c r="A582" s="507"/>
      <c r="B582" s="507"/>
      <c r="C582" s="507"/>
      <c r="D582" s="508"/>
      <c r="E582" s="507"/>
      <c r="F582" s="507"/>
      <c r="G582" s="507"/>
      <c r="H582" s="507"/>
      <c r="I582" s="507"/>
      <c r="J582" s="507"/>
      <c r="K582" s="507"/>
      <c r="L582" s="507"/>
      <c r="M582" s="507"/>
      <c r="N582" s="507"/>
    </row>
    <row r="583" ht="35.25" customHeight="1">
      <c r="A583" s="507"/>
      <c r="B583" s="507"/>
      <c r="C583" s="507"/>
      <c r="D583" s="508"/>
      <c r="E583" s="507"/>
      <c r="F583" s="507"/>
      <c r="G583" s="507"/>
      <c r="H583" s="507"/>
      <c r="I583" s="507"/>
      <c r="J583" s="507"/>
      <c r="K583" s="507"/>
      <c r="L583" s="507"/>
      <c r="M583" s="507"/>
      <c r="N583" s="507"/>
    </row>
    <row r="584" ht="35.25" customHeight="1">
      <c r="A584" s="507"/>
      <c r="B584" s="507"/>
      <c r="C584" s="507"/>
      <c r="D584" s="508"/>
      <c r="E584" s="507"/>
      <c r="F584" s="507"/>
      <c r="G584" s="507"/>
      <c r="H584" s="507"/>
      <c r="I584" s="507"/>
      <c r="J584" s="507"/>
      <c r="K584" s="507"/>
      <c r="L584" s="507"/>
      <c r="M584" s="507"/>
      <c r="N584" s="507"/>
    </row>
    <row r="585" ht="35.25" customHeight="1">
      <c r="A585" s="507"/>
      <c r="B585" s="507"/>
      <c r="C585" s="507"/>
      <c r="D585" s="508"/>
      <c r="E585" s="507"/>
      <c r="F585" s="507"/>
      <c r="G585" s="507"/>
      <c r="H585" s="507"/>
      <c r="I585" s="507"/>
      <c r="J585" s="507"/>
      <c r="K585" s="507"/>
      <c r="L585" s="507"/>
      <c r="M585" s="507"/>
      <c r="N585" s="507"/>
    </row>
    <row r="586" ht="35.25" customHeight="1">
      <c r="A586" s="507"/>
      <c r="B586" s="507"/>
      <c r="C586" s="507"/>
      <c r="D586" s="508"/>
      <c r="E586" s="507"/>
      <c r="F586" s="507"/>
      <c r="G586" s="507"/>
      <c r="H586" s="507"/>
      <c r="I586" s="507"/>
      <c r="J586" s="507"/>
      <c r="K586" s="507"/>
      <c r="L586" s="507"/>
      <c r="M586" s="507"/>
      <c r="N586" s="507"/>
    </row>
    <row r="587" ht="35.25" customHeight="1">
      <c r="A587" s="507"/>
      <c r="B587" s="507"/>
      <c r="C587" s="507"/>
      <c r="D587" s="508"/>
      <c r="E587" s="507"/>
      <c r="F587" s="507"/>
      <c r="G587" s="507"/>
      <c r="H587" s="507"/>
      <c r="I587" s="507"/>
      <c r="J587" s="507"/>
      <c r="K587" s="507"/>
      <c r="L587" s="507"/>
      <c r="M587" s="507"/>
      <c r="N587" s="507"/>
    </row>
    <row r="588" ht="35.25" customHeight="1">
      <c r="A588" s="507"/>
      <c r="B588" s="507"/>
      <c r="C588" s="507"/>
      <c r="D588" s="508"/>
      <c r="E588" s="507"/>
      <c r="F588" s="507"/>
      <c r="G588" s="507"/>
      <c r="H588" s="507"/>
      <c r="I588" s="507"/>
      <c r="J588" s="507"/>
      <c r="K588" s="507"/>
      <c r="L588" s="507"/>
      <c r="M588" s="507"/>
      <c r="N588" s="507"/>
    </row>
    <row r="589" ht="35.25" customHeight="1">
      <c r="A589" s="507"/>
      <c r="B589" s="507"/>
      <c r="C589" s="507"/>
      <c r="D589" s="508"/>
      <c r="E589" s="507"/>
      <c r="F589" s="507"/>
      <c r="G589" s="507"/>
      <c r="H589" s="507"/>
      <c r="I589" s="507"/>
      <c r="J589" s="507"/>
      <c r="K589" s="507"/>
      <c r="L589" s="507"/>
      <c r="M589" s="507"/>
      <c r="N589" s="507"/>
    </row>
    <row r="590" ht="35.25" customHeight="1">
      <c r="A590" s="507"/>
      <c r="B590" s="507"/>
      <c r="C590" s="507"/>
      <c r="D590" s="508"/>
      <c r="E590" s="507"/>
      <c r="F590" s="507"/>
      <c r="G590" s="507"/>
      <c r="H590" s="507"/>
      <c r="I590" s="507"/>
      <c r="J590" s="507"/>
      <c r="K590" s="507"/>
      <c r="L590" s="507"/>
      <c r="M590" s="507"/>
      <c r="N590" s="507"/>
    </row>
    <row r="591" ht="35.25" customHeight="1">
      <c r="A591" s="507"/>
      <c r="B591" s="507"/>
      <c r="C591" s="507"/>
      <c r="D591" s="508"/>
      <c r="E591" s="507"/>
      <c r="F591" s="507"/>
      <c r="G591" s="507"/>
      <c r="H591" s="507"/>
      <c r="I591" s="507"/>
      <c r="J591" s="507"/>
      <c r="K591" s="507"/>
      <c r="L591" s="507"/>
      <c r="M591" s="507"/>
      <c r="N591" s="507"/>
    </row>
    <row r="592" ht="35.25" customHeight="1">
      <c r="A592" s="507"/>
      <c r="B592" s="507"/>
      <c r="C592" s="507"/>
      <c r="D592" s="508"/>
      <c r="E592" s="507"/>
      <c r="F592" s="507"/>
      <c r="G592" s="507"/>
      <c r="H592" s="507"/>
      <c r="I592" s="507"/>
      <c r="J592" s="507"/>
      <c r="K592" s="507"/>
      <c r="L592" s="507"/>
      <c r="M592" s="507"/>
      <c r="N592" s="507"/>
    </row>
    <row r="593" ht="35.25" customHeight="1">
      <c r="A593" s="507"/>
      <c r="B593" s="507"/>
      <c r="C593" s="507"/>
      <c r="D593" s="508"/>
      <c r="E593" s="507"/>
      <c r="F593" s="507"/>
      <c r="G593" s="507"/>
      <c r="H593" s="507"/>
      <c r="I593" s="507"/>
      <c r="J593" s="507"/>
      <c r="K593" s="507"/>
      <c r="L593" s="507"/>
      <c r="M593" s="507"/>
      <c r="N593" s="507"/>
    </row>
    <row r="594" ht="35.25" customHeight="1">
      <c r="A594" s="507"/>
      <c r="B594" s="507"/>
      <c r="C594" s="507"/>
      <c r="D594" s="508"/>
      <c r="E594" s="507"/>
      <c r="F594" s="507"/>
      <c r="G594" s="507"/>
      <c r="H594" s="507"/>
      <c r="I594" s="507"/>
      <c r="J594" s="507"/>
      <c r="K594" s="507"/>
      <c r="L594" s="507"/>
      <c r="M594" s="507"/>
      <c r="N594" s="507"/>
    </row>
    <row r="595" ht="35.25" customHeight="1">
      <c r="A595" s="507"/>
      <c r="B595" s="507"/>
      <c r="C595" s="507"/>
      <c r="D595" s="508"/>
      <c r="E595" s="507"/>
      <c r="F595" s="507"/>
      <c r="G595" s="507"/>
      <c r="H595" s="507"/>
      <c r="I595" s="507"/>
      <c r="J595" s="507"/>
      <c r="K595" s="507"/>
      <c r="L595" s="507"/>
      <c r="M595" s="507"/>
      <c r="N595" s="507"/>
    </row>
    <row r="596" ht="35.25" customHeight="1">
      <c r="A596" s="507"/>
      <c r="B596" s="507"/>
      <c r="C596" s="507"/>
      <c r="D596" s="508"/>
      <c r="E596" s="507"/>
      <c r="F596" s="507"/>
      <c r="G596" s="507"/>
      <c r="H596" s="507"/>
      <c r="I596" s="507"/>
      <c r="J596" s="507"/>
      <c r="K596" s="507"/>
      <c r="L596" s="507"/>
      <c r="M596" s="507"/>
      <c r="N596" s="507"/>
    </row>
    <row r="597" ht="35.25" customHeight="1">
      <c r="A597" s="507"/>
      <c r="B597" s="507"/>
      <c r="C597" s="507"/>
      <c r="D597" s="508"/>
      <c r="E597" s="507"/>
      <c r="F597" s="507"/>
      <c r="G597" s="507"/>
      <c r="H597" s="507"/>
      <c r="I597" s="507"/>
      <c r="J597" s="507"/>
      <c r="K597" s="507"/>
      <c r="L597" s="507"/>
      <c r="M597" s="507"/>
      <c r="N597" s="507"/>
    </row>
    <row r="598" ht="35.25" customHeight="1">
      <c r="A598" s="507"/>
      <c r="B598" s="507"/>
      <c r="C598" s="507"/>
      <c r="D598" s="508"/>
      <c r="E598" s="507"/>
      <c r="F598" s="507"/>
      <c r="G598" s="507"/>
      <c r="H598" s="507"/>
      <c r="I598" s="507"/>
      <c r="J598" s="507"/>
      <c r="K598" s="507"/>
      <c r="L598" s="507"/>
      <c r="M598" s="507"/>
      <c r="N598" s="507"/>
    </row>
    <row r="599" ht="35.25" customHeight="1">
      <c r="A599" s="507"/>
      <c r="B599" s="507"/>
      <c r="C599" s="507"/>
      <c r="D599" s="508"/>
      <c r="E599" s="507"/>
      <c r="F599" s="507"/>
      <c r="G599" s="507"/>
      <c r="H599" s="507"/>
      <c r="I599" s="507"/>
      <c r="J599" s="507"/>
      <c r="K599" s="507"/>
      <c r="L599" s="507"/>
      <c r="M599" s="507"/>
      <c r="N599" s="507"/>
    </row>
    <row r="600" ht="35.25" customHeight="1">
      <c r="A600" s="507"/>
      <c r="B600" s="507"/>
      <c r="C600" s="507"/>
      <c r="D600" s="508"/>
      <c r="E600" s="507"/>
      <c r="F600" s="507"/>
      <c r="G600" s="507"/>
      <c r="H600" s="507"/>
      <c r="I600" s="507"/>
      <c r="J600" s="507"/>
      <c r="K600" s="507"/>
      <c r="L600" s="507"/>
      <c r="M600" s="507"/>
      <c r="N600" s="507"/>
    </row>
    <row r="601" ht="35.25" customHeight="1">
      <c r="A601" s="507"/>
      <c r="B601" s="507"/>
      <c r="C601" s="507"/>
      <c r="D601" s="508"/>
      <c r="E601" s="507"/>
      <c r="F601" s="507"/>
      <c r="G601" s="507"/>
      <c r="H601" s="507"/>
      <c r="I601" s="507"/>
      <c r="J601" s="507"/>
      <c r="K601" s="507"/>
      <c r="L601" s="507"/>
      <c r="M601" s="507"/>
      <c r="N601" s="507"/>
    </row>
    <row r="602" ht="35.25" customHeight="1">
      <c r="A602" s="507"/>
      <c r="B602" s="507"/>
      <c r="C602" s="507"/>
      <c r="D602" s="508"/>
      <c r="E602" s="507"/>
      <c r="F602" s="507"/>
      <c r="G602" s="507"/>
      <c r="H602" s="507"/>
      <c r="I602" s="507"/>
      <c r="J602" s="507"/>
      <c r="K602" s="507"/>
      <c r="L602" s="507"/>
      <c r="M602" s="507"/>
      <c r="N602" s="507"/>
    </row>
    <row r="603" ht="35.25" customHeight="1">
      <c r="A603" s="507"/>
      <c r="B603" s="507"/>
      <c r="C603" s="507"/>
      <c r="D603" s="508"/>
      <c r="E603" s="507"/>
      <c r="F603" s="507"/>
      <c r="G603" s="507"/>
      <c r="H603" s="507"/>
      <c r="I603" s="507"/>
      <c r="J603" s="507"/>
      <c r="K603" s="507"/>
      <c r="L603" s="507"/>
      <c r="M603" s="507"/>
      <c r="N603" s="507"/>
    </row>
    <row r="604" ht="35.25" customHeight="1">
      <c r="A604" s="507"/>
      <c r="B604" s="507"/>
      <c r="C604" s="507"/>
      <c r="D604" s="508"/>
      <c r="E604" s="507"/>
      <c r="F604" s="507"/>
      <c r="G604" s="507"/>
      <c r="H604" s="507"/>
      <c r="I604" s="507"/>
      <c r="J604" s="507"/>
      <c r="K604" s="507"/>
      <c r="L604" s="507"/>
      <c r="M604" s="507"/>
      <c r="N604" s="507"/>
    </row>
    <row r="605" ht="35.25" customHeight="1">
      <c r="A605" s="507"/>
      <c r="B605" s="507"/>
      <c r="C605" s="507"/>
      <c r="D605" s="508"/>
      <c r="E605" s="507"/>
      <c r="F605" s="507"/>
      <c r="G605" s="507"/>
      <c r="H605" s="507"/>
      <c r="I605" s="507"/>
      <c r="J605" s="507"/>
      <c r="K605" s="507"/>
      <c r="L605" s="507"/>
      <c r="M605" s="507"/>
      <c r="N605" s="507"/>
    </row>
    <row r="606" ht="35.25" customHeight="1">
      <c r="A606" s="507"/>
      <c r="B606" s="507"/>
      <c r="C606" s="507"/>
      <c r="D606" s="508"/>
      <c r="E606" s="507"/>
      <c r="F606" s="507"/>
      <c r="G606" s="507"/>
      <c r="H606" s="507"/>
      <c r="I606" s="507"/>
      <c r="J606" s="507"/>
      <c r="K606" s="507"/>
      <c r="L606" s="507"/>
      <c r="M606" s="507"/>
      <c r="N606" s="507"/>
    </row>
    <row r="607" ht="35.25" customHeight="1">
      <c r="A607" s="507"/>
      <c r="B607" s="507"/>
      <c r="C607" s="507"/>
      <c r="D607" s="508"/>
      <c r="E607" s="507"/>
      <c r="F607" s="507"/>
      <c r="G607" s="507"/>
      <c r="H607" s="507"/>
      <c r="I607" s="507"/>
      <c r="J607" s="507"/>
      <c r="K607" s="507"/>
      <c r="L607" s="507"/>
      <c r="M607" s="507"/>
      <c r="N607" s="507"/>
    </row>
    <row r="608" ht="35.25" customHeight="1">
      <c r="A608" s="507"/>
      <c r="B608" s="507"/>
      <c r="C608" s="507"/>
      <c r="D608" s="508"/>
      <c r="E608" s="507"/>
      <c r="F608" s="507"/>
      <c r="G608" s="507"/>
      <c r="H608" s="507"/>
      <c r="I608" s="507"/>
      <c r="J608" s="507"/>
      <c r="K608" s="507"/>
      <c r="L608" s="507"/>
      <c r="M608" s="507"/>
      <c r="N608" s="507"/>
    </row>
    <row r="609" ht="35.25" customHeight="1">
      <c r="A609" s="507"/>
      <c r="B609" s="507"/>
      <c r="C609" s="507"/>
      <c r="D609" s="508"/>
      <c r="E609" s="507"/>
      <c r="F609" s="507"/>
      <c r="G609" s="507"/>
      <c r="H609" s="507"/>
      <c r="I609" s="507"/>
      <c r="J609" s="507"/>
      <c r="K609" s="507"/>
      <c r="L609" s="507"/>
      <c r="M609" s="507"/>
      <c r="N609" s="507"/>
    </row>
    <row r="610" ht="35.25" customHeight="1">
      <c r="A610" s="507"/>
      <c r="B610" s="507"/>
      <c r="C610" s="507"/>
      <c r="D610" s="508"/>
      <c r="E610" s="507"/>
      <c r="F610" s="507"/>
      <c r="G610" s="507"/>
      <c r="H610" s="507"/>
      <c r="I610" s="507"/>
      <c r="J610" s="507"/>
      <c r="K610" s="507"/>
      <c r="L610" s="507"/>
      <c r="M610" s="507"/>
      <c r="N610" s="507"/>
    </row>
    <row r="611" ht="35.25" customHeight="1">
      <c r="A611" s="507"/>
      <c r="B611" s="507"/>
      <c r="C611" s="507"/>
      <c r="D611" s="508"/>
      <c r="E611" s="507"/>
      <c r="F611" s="507"/>
      <c r="G611" s="507"/>
      <c r="H611" s="507"/>
      <c r="I611" s="507"/>
      <c r="J611" s="507"/>
      <c r="K611" s="507"/>
      <c r="L611" s="507"/>
      <c r="M611" s="507"/>
      <c r="N611" s="507"/>
    </row>
    <row r="612" ht="35.25" customHeight="1">
      <c r="A612" s="507"/>
      <c r="B612" s="507"/>
      <c r="C612" s="507"/>
      <c r="D612" s="508"/>
      <c r="E612" s="507"/>
      <c r="F612" s="507"/>
      <c r="G612" s="507"/>
      <c r="H612" s="507"/>
      <c r="I612" s="507"/>
      <c r="J612" s="507"/>
      <c r="K612" s="507"/>
      <c r="L612" s="507"/>
      <c r="M612" s="507"/>
      <c r="N612" s="507"/>
    </row>
    <row r="613" ht="35.25" customHeight="1">
      <c r="A613" s="507"/>
      <c r="B613" s="507"/>
      <c r="C613" s="507"/>
      <c r="D613" s="508"/>
      <c r="E613" s="507"/>
      <c r="F613" s="507"/>
      <c r="G613" s="507"/>
      <c r="H613" s="507"/>
      <c r="I613" s="507"/>
      <c r="J613" s="507"/>
      <c r="K613" s="507"/>
      <c r="L613" s="507"/>
      <c r="M613" s="507"/>
      <c r="N613" s="507"/>
    </row>
    <row r="614" ht="35.25" customHeight="1">
      <c r="A614" s="507"/>
      <c r="B614" s="507"/>
      <c r="C614" s="507"/>
      <c r="D614" s="508"/>
      <c r="E614" s="507"/>
      <c r="F614" s="507"/>
      <c r="G614" s="507"/>
      <c r="H614" s="507"/>
      <c r="I614" s="507"/>
      <c r="J614" s="507"/>
      <c r="K614" s="507"/>
      <c r="L614" s="507"/>
      <c r="M614" s="507"/>
      <c r="N614" s="507"/>
    </row>
    <row r="615" ht="35.25" customHeight="1">
      <c r="A615" s="507"/>
      <c r="B615" s="507"/>
      <c r="C615" s="507"/>
      <c r="D615" s="508"/>
      <c r="E615" s="507"/>
      <c r="F615" s="507"/>
      <c r="G615" s="507"/>
      <c r="H615" s="507"/>
      <c r="I615" s="507"/>
      <c r="J615" s="507"/>
      <c r="K615" s="507"/>
      <c r="L615" s="507"/>
      <c r="M615" s="507"/>
      <c r="N615" s="507"/>
    </row>
    <row r="616" ht="35.25" customHeight="1">
      <c r="A616" s="507"/>
      <c r="B616" s="507"/>
      <c r="C616" s="507"/>
      <c r="D616" s="508"/>
      <c r="E616" s="507"/>
      <c r="F616" s="507"/>
      <c r="G616" s="507"/>
      <c r="H616" s="507"/>
      <c r="I616" s="507"/>
      <c r="J616" s="507"/>
      <c r="K616" s="507"/>
      <c r="L616" s="507"/>
      <c r="M616" s="507"/>
      <c r="N616" s="507"/>
    </row>
    <row r="617" ht="35.25" customHeight="1">
      <c r="A617" s="507"/>
      <c r="B617" s="507"/>
      <c r="C617" s="507"/>
      <c r="D617" s="508"/>
      <c r="E617" s="507"/>
      <c r="F617" s="507"/>
      <c r="G617" s="507"/>
      <c r="H617" s="507"/>
      <c r="I617" s="507"/>
      <c r="J617" s="507"/>
      <c r="K617" s="507"/>
      <c r="L617" s="507"/>
      <c r="M617" s="507"/>
      <c r="N617" s="507"/>
    </row>
    <row r="618" ht="35.25" customHeight="1">
      <c r="A618" s="507"/>
      <c r="B618" s="507"/>
      <c r="C618" s="507"/>
      <c r="D618" s="508"/>
      <c r="E618" s="507"/>
      <c r="F618" s="507"/>
      <c r="G618" s="507"/>
      <c r="H618" s="507"/>
      <c r="I618" s="507"/>
      <c r="J618" s="507"/>
      <c r="K618" s="507"/>
      <c r="L618" s="507"/>
      <c r="M618" s="507"/>
      <c r="N618" s="507"/>
    </row>
    <row r="619" ht="35.25" customHeight="1">
      <c r="A619" s="507"/>
      <c r="B619" s="507"/>
      <c r="C619" s="507"/>
      <c r="D619" s="508"/>
      <c r="E619" s="507"/>
      <c r="F619" s="507"/>
      <c r="G619" s="507"/>
      <c r="H619" s="507"/>
      <c r="I619" s="507"/>
      <c r="J619" s="507"/>
      <c r="K619" s="507"/>
      <c r="L619" s="507"/>
      <c r="M619" s="507"/>
      <c r="N619" s="507"/>
    </row>
    <row r="620" ht="35.25" customHeight="1">
      <c r="A620" s="507"/>
      <c r="B620" s="507"/>
      <c r="C620" s="507"/>
      <c r="D620" s="508"/>
      <c r="E620" s="507"/>
      <c r="F620" s="507"/>
      <c r="G620" s="507"/>
      <c r="H620" s="507"/>
      <c r="I620" s="507"/>
      <c r="J620" s="507"/>
      <c r="K620" s="507"/>
      <c r="L620" s="507"/>
      <c r="M620" s="507"/>
      <c r="N620" s="507"/>
    </row>
    <row r="621" ht="35.25" customHeight="1">
      <c r="A621" s="507"/>
      <c r="B621" s="507"/>
      <c r="C621" s="507"/>
      <c r="D621" s="508"/>
      <c r="E621" s="507"/>
      <c r="F621" s="507"/>
      <c r="G621" s="507"/>
      <c r="H621" s="507"/>
      <c r="I621" s="507"/>
      <c r="J621" s="507"/>
      <c r="K621" s="507"/>
      <c r="L621" s="507"/>
      <c r="M621" s="507"/>
      <c r="N621" s="507"/>
    </row>
    <row r="622" ht="35.25" customHeight="1">
      <c r="A622" s="507"/>
      <c r="B622" s="507"/>
      <c r="C622" s="507"/>
      <c r="D622" s="508"/>
      <c r="E622" s="507"/>
      <c r="F622" s="507"/>
      <c r="G622" s="507"/>
      <c r="H622" s="507"/>
      <c r="I622" s="507"/>
      <c r="J622" s="507"/>
      <c r="K622" s="507"/>
      <c r="L622" s="507"/>
      <c r="M622" s="507"/>
      <c r="N622" s="507"/>
    </row>
    <row r="623" ht="35.25" customHeight="1">
      <c r="A623" s="507"/>
      <c r="B623" s="507"/>
      <c r="C623" s="507"/>
      <c r="D623" s="508"/>
      <c r="E623" s="507"/>
      <c r="F623" s="507"/>
      <c r="G623" s="507"/>
      <c r="H623" s="507"/>
      <c r="I623" s="507"/>
      <c r="J623" s="507"/>
      <c r="K623" s="507"/>
      <c r="L623" s="507"/>
      <c r="M623" s="507"/>
      <c r="N623" s="507"/>
    </row>
    <row r="624" ht="35.25" customHeight="1">
      <c r="A624" s="507"/>
      <c r="B624" s="507"/>
      <c r="C624" s="507"/>
      <c r="D624" s="508"/>
      <c r="E624" s="507"/>
      <c r="F624" s="507"/>
      <c r="G624" s="507"/>
      <c r="H624" s="507"/>
      <c r="I624" s="507"/>
      <c r="J624" s="507"/>
      <c r="K624" s="507"/>
      <c r="L624" s="507"/>
      <c r="M624" s="507"/>
      <c r="N624" s="507"/>
    </row>
    <row r="625" ht="35.25" customHeight="1">
      <c r="A625" s="507"/>
      <c r="B625" s="507"/>
      <c r="C625" s="507"/>
      <c r="D625" s="508"/>
      <c r="E625" s="507"/>
      <c r="F625" s="507"/>
      <c r="G625" s="507"/>
      <c r="H625" s="507"/>
      <c r="I625" s="507"/>
      <c r="J625" s="507"/>
      <c r="K625" s="507"/>
      <c r="L625" s="507"/>
      <c r="M625" s="507"/>
      <c r="N625" s="507"/>
    </row>
    <row r="626" ht="35.25" customHeight="1">
      <c r="A626" s="507"/>
      <c r="B626" s="507"/>
      <c r="C626" s="507"/>
      <c r="D626" s="508"/>
      <c r="E626" s="507"/>
      <c r="F626" s="507"/>
      <c r="G626" s="507"/>
      <c r="H626" s="507"/>
      <c r="I626" s="507"/>
      <c r="J626" s="507"/>
      <c r="K626" s="507"/>
      <c r="L626" s="507"/>
      <c r="M626" s="507"/>
      <c r="N626" s="507"/>
    </row>
    <row r="627" ht="35.25" customHeight="1">
      <c r="A627" s="507"/>
      <c r="B627" s="507"/>
      <c r="C627" s="507"/>
      <c r="D627" s="508"/>
      <c r="E627" s="507"/>
      <c r="F627" s="507"/>
      <c r="G627" s="507"/>
      <c r="H627" s="507"/>
      <c r="I627" s="507"/>
      <c r="J627" s="507"/>
      <c r="K627" s="507"/>
      <c r="L627" s="507"/>
      <c r="M627" s="507"/>
      <c r="N627" s="507"/>
    </row>
    <row r="628" ht="35.25" customHeight="1">
      <c r="A628" s="507"/>
      <c r="B628" s="507"/>
      <c r="C628" s="507"/>
      <c r="D628" s="508"/>
      <c r="E628" s="507"/>
      <c r="F628" s="507"/>
      <c r="G628" s="507"/>
      <c r="H628" s="507"/>
      <c r="I628" s="507"/>
      <c r="J628" s="507"/>
      <c r="K628" s="507"/>
      <c r="L628" s="507"/>
      <c r="M628" s="507"/>
      <c r="N628" s="507"/>
    </row>
    <row r="629" ht="35.25" customHeight="1">
      <c r="A629" s="507"/>
      <c r="B629" s="507"/>
      <c r="C629" s="507"/>
      <c r="D629" s="508"/>
      <c r="E629" s="507"/>
      <c r="F629" s="507"/>
      <c r="G629" s="507"/>
      <c r="H629" s="507"/>
      <c r="I629" s="507"/>
      <c r="J629" s="507"/>
      <c r="K629" s="507"/>
      <c r="L629" s="507"/>
      <c r="M629" s="507"/>
      <c r="N629" s="507"/>
    </row>
    <row r="630" ht="35.25" customHeight="1">
      <c r="A630" s="507"/>
      <c r="B630" s="507"/>
      <c r="C630" s="507"/>
      <c r="D630" s="508"/>
      <c r="E630" s="507"/>
      <c r="F630" s="507"/>
      <c r="G630" s="507"/>
      <c r="H630" s="507"/>
      <c r="I630" s="507"/>
      <c r="J630" s="507"/>
      <c r="K630" s="507"/>
      <c r="L630" s="507"/>
      <c r="M630" s="507"/>
      <c r="N630" s="507"/>
    </row>
    <row r="631" ht="35.25" customHeight="1">
      <c r="A631" s="507"/>
      <c r="B631" s="507"/>
      <c r="C631" s="507"/>
      <c r="D631" s="508"/>
      <c r="E631" s="507"/>
      <c r="F631" s="507"/>
      <c r="G631" s="507"/>
      <c r="H631" s="507"/>
      <c r="I631" s="507"/>
      <c r="J631" s="507"/>
      <c r="K631" s="507"/>
      <c r="L631" s="507"/>
      <c r="M631" s="507"/>
      <c r="N631" s="507"/>
    </row>
    <row r="632" ht="35.25" customHeight="1">
      <c r="A632" s="507"/>
      <c r="B632" s="507"/>
      <c r="C632" s="507"/>
      <c r="D632" s="508"/>
      <c r="E632" s="507"/>
      <c r="F632" s="507"/>
      <c r="G632" s="507"/>
      <c r="H632" s="507"/>
      <c r="I632" s="507"/>
      <c r="J632" s="507"/>
      <c r="K632" s="507"/>
      <c r="L632" s="507"/>
      <c r="M632" s="507"/>
      <c r="N632" s="507"/>
    </row>
    <row r="633" ht="35.25" customHeight="1">
      <c r="A633" s="507"/>
      <c r="B633" s="507"/>
      <c r="C633" s="507"/>
      <c r="D633" s="508"/>
      <c r="E633" s="507"/>
      <c r="F633" s="507"/>
      <c r="G633" s="507"/>
      <c r="H633" s="507"/>
      <c r="I633" s="507"/>
      <c r="J633" s="507"/>
      <c r="K633" s="507"/>
      <c r="L633" s="507"/>
      <c r="M633" s="507"/>
      <c r="N633" s="507"/>
    </row>
    <row r="634" ht="35.25" customHeight="1">
      <c r="A634" s="507"/>
      <c r="B634" s="507"/>
      <c r="C634" s="507"/>
      <c r="D634" s="508"/>
      <c r="E634" s="507"/>
      <c r="F634" s="507"/>
      <c r="G634" s="507"/>
      <c r="H634" s="507"/>
      <c r="I634" s="507"/>
      <c r="J634" s="507"/>
      <c r="K634" s="507"/>
      <c r="L634" s="507"/>
      <c r="M634" s="507"/>
      <c r="N634" s="507"/>
    </row>
    <row r="635" ht="35.25" customHeight="1">
      <c r="A635" s="507"/>
      <c r="B635" s="507"/>
      <c r="C635" s="507"/>
      <c r="D635" s="508"/>
      <c r="E635" s="507"/>
      <c r="F635" s="507"/>
      <c r="G635" s="507"/>
      <c r="H635" s="507"/>
      <c r="I635" s="507"/>
      <c r="J635" s="507"/>
      <c r="K635" s="507"/>
      <c r="L635" s="507"/>
      <c r="M635" s="507"/>
      <c r="N635" s="507"/>
    </row>
    <row r="636" ht="35.25" customHeight="1">
      <c r="A636" s="507"/>
      <c r="B636" s="507"/>
      <c r="C636" s="507"/>
      <c r="D636" s="508"/>
      <c r="E636" s="507"/>
      <c r="F636" s="507"/>
      <c r="G636" s="507"/>
      <c r="H636" s="507"/>
      <c r="I636" s="507"/>
      <c r="J636" s="507"/>
      <c r="K636" s="507"/>
      <c r="L636" s="507"/>
      <c r="M636" s="507"/>
      <c r="N636" s="507"/>
    </row>
    <row r="637" ht="35.25" customHeight="1">
      <c r="A637" s="507"/>
      <c r="B637" s="507"/>
      <c r="C637" s="507"/>
      <c r="D637" s="508"/>
      <c r="E637" s="507"/>
      <c r="F637" s="507"/>
      <c r="G637" s="507"/>
      <c r="H637" s="507"/>
      <c r="I637" s="507"/>
      <c r="J637" s="507"/>
      <c r="K637" s="507"/>
      <c r="L637" s="507"/>
      <c r="M637" s="507"/>
      <c r="N637" s="507"/>
    </row>
    <row r="638" ht="35.25" customHeight="1">
      <c r="A638" s="507"/>
      <c r="B638" s="507"/>
      <c r="C638" s="507"/>
      <c r="D638" s="508"/>
      <c r="E638" s="507"/>
      <c r="F638" s="507"/>
      <c r="G638" s="507"/>
      <c r="H638" s="507"/>
      <c r="I638" s="507"/>
      <c r="J638" s="507"/>
      <c r="K638" s="507"/>
      <c r="L638" s="507"/>
      <c r="M638" s="507"/>
      <c r="N638" s="507"/>
    </row>
    <row r="639" ht="35.25" customHeight="1">
      <c r="A639" s="507"/>
      <c r="B639" s="507"/>
      <c r="C639" s="507"/>
      <c r="D639" s="508"/>
      <c r="E639" s="507"/>
      <c r="F639" s="507"/>
      <c r="G639" s="507"/>
      <c r="H639" s="507"/>
      <c r="I639" s="507"/>
      <c r="J639" s="507"/>
      <c r="K639" s="507"/>
      <c r="L639" s="507"/>
      <c r="M639" s="507"/>
      <c r="N639" s="507"/>
    </row>
    <row r="640" ht="35.25" customHeight="1">
      <c r="A640" s="507"/>
      <c r="B640" s="507"/>
      <c r="C640" s="507"/>
      <c r="D640" s="508"/>
      <c r="E640" s="507"/>
      <c r="F640" s="507"/>
      <c r="G640" s="507"/>
      <c r="H640" s="507"/>
      <c r="I640" s="507"/>
      <c r="J640" s="507"/>
      <c r="K640" s="507"/>
      <c r="L640" s="507"/>
      <c r="M640" s="507"/>
      <c r="N640" s="507"/>
    </row>
    <row r="641" ht="35.25" customHeight="1">
      <c r="A641" s="507"/>
      <c r="B641" s="507"/>
      <c r="C641" s="507"/>
      <c r="D641" s="508"/>
      <c r="E641" s="507"/>
      <c r="F641" s="507"/>
      <c r="G641" s="507"/>
      <c r="H641" s="507"/>
      <c r="I641" s="507"/>
      <c r="J641" s="507"/>
      <c r="K641" s="507"/>
      <c r="L641" s="507"/>
      <c r="M641" s="507"/>
      <c r="N641" s="507"/>
    </row>
    <row r="642" ht="35.25" customHeight="1">
      <c r="A642" s="507"/>
      <c r="B642" s="507"/>
      <c r="C642" s="507"/>
      <c r="D642" s="508"/>
      <c r="E642" s="507"/>
      <c r="F642" s="507"/>
      <c r="G642" s="507"/>
      <c r="H642" s="507"/>
      <c r="I642" s="507"/>
      <c r="J642" s="507"/>
      <c r="K642" s="507"/>
      <c r="L642" s="507"/>
      <c r="M642" s="507"/>
      <c r="N642" s="507"/>
    </row>
    <row r="643" ht="35.25" customHeight="1">
      <c r="A643" s="507"/>
      <c r="B643" s="507"/>
      <c r="C643" s="507"/>
      <c r="D643" s="508"/>
      <c r="E643" s="507"/>
      <c r="F643" s="507"/>
      <c r="G643" s="507"/>
      <c r="H643" s="507"/>
      <c r="I643" s="507"/>
      <c r="J643" s="507"/>
      <c r="K643" s="507"/>
      <c r="L643" s="507"/>
      <c r="M643" s="507"/>
      <c r="N643" s="507"/>
    </row>
    <row r="644" ht="35.25" customHeight="1">
      <c r="A644" s="507"/>
      <c r="B644" s="507"/>
      <c r="C644" s="507"/>
      <c r="D644" s="508"/>
      <c r="E644" s="507"/>
      <c r="F644" s="507"/>
      <c r="G644" s="507"/>
      <c r="H644" s="507"/>
      <c r="I644" s="507"/>
      <c r="J644" s="507"/>
      <c r="K644" s="507"/>
      <c r="L644" s="507"/>
      <c r="M644" s="507"/>
      <c r="N644" s="507"/>
    </row>
    <row r="645" ht="35.25" customHeight="1">
      <c r="A645" s="507"/>
      <c r="B645" s="507"/>
      <c r="C645" s="507"/>
      <c r="D645" s="508"/>
      <c r="E645" s="507"/>
      <c r="F645" s="507"/>
      <c r="G645" s="507"/>
      <c r="H645" s="507"/>
      <c r="I645" s="507"/>
      <c r="J645" s="507"/>
      <c r="K645" s="507"/>
      <c r="L645" s="507"/>
      <c r="M645" s="507"/>
      <c r="N645" s="507"/>
    </row>
    <row r="646" ht="35.25" customHeight="1">
      <c r="A646" s="507"/>
      <c r="B646" s="507"/>
      <c r="C646" s="507"/>
      <c r="D646" s="508"/>
      <c r="E646" s="507"/>
      <c r="F646" s="507"/>
      <c r="G646" s="507"/>
      <c r="H646" s="507"/>
      <c r="I646" s="507"/>
      <c r="J646" s="507"/>
      <c r="K646" s="507"/>
      <c r="L646" s="507"/>
      <c r="M646" s="507"/>
      <c r="N646" s="507"/>
    </row>
    <row r="647" ht="35.25" customHeight="1">
      <c r="A647" s="507"/>
      <c r="B647" s="507"/>
      <c r="C647" s="507"/>
      <c r="D647" s="508"/>
      <c r="E647" s="507"/>
      <c r="F647" s="507"/>
      <c r="G647" s="507"/>
      <c r="H647" s="507"/>
      <c r="I647" s="507"/>
      <c r="J647" s="507"/>
      <c r="K647" s="507"/>
      <c r="L647" s="507"/>
      <c r="M647" s="507"/>
      <c r="N647" s="507"/>
    </row>
    <row r="648" ht="35.25" customHeight="1">
      <c r="A648" s="507"/>
      <c r="B648" s="507"/>
      <c r="C648" s="507"/>
      <c r="D648" s="508"/>
      <c r="E648" s="507"/>
      <c r="F648" s="507"/>
      <c r="G648" s="507"/>
      <c r="H648" s="507"/>
      <c r="I648" s="507"/>
      <c r="J648" s="507"/>
      <c r="K648" s="507"/>
      <c r="L648" s="507"/>
      <c r="M648" s="507"/>
      <c r="N648" s="507"/>
    </row>
    <row r="649" ht="35.25" customHeight="1">
      <c r="A649" s="507"/>
      <c r="B649" s="507"/>
      <c r="C649" s="507"/>
      <c r="D649" s="508"/>
      <c r="E649" s="507"/>
      <c r="F649" s="507"/>
      <c r="G649" s="507"/>
      <c r="H649" s="507"/>
      <c r="I649" s="507"/>
      <c r="J649" s="507"/>
      <c r="K649" s="507"/>
      <c r="L649" s="507"/>
      <c r="M649" s="507"/>
      <c r="N649" s="507"/>
    </row>
    <row r="650" ht="35.25" customHeight="1">
      <c r="A650" s="507"/>
      <c r="B650" s="507"/>
      <c r="C650" s="507"/>
      <c r="D650" s="508"/>
      <c r="E650" s="507"/>
      <c r="F650" s="507"/>
      <c r="G650" s="507"/>
      <c r="H650" s="507"/>
      <c r="I650" s="507"/>
      <c r="J650" s="507"/>
      <c r="K650" s="507"/>
      <c r="L650" s="507"/>
      <c r="M650" s="507"/>
      <c r="N650" s="507"/>
    </row>
    <row r="651" ht="35.25" customHeight="1">
      <c r="A651" s="507"/>
      <c r="B651" s="507"/>
      <c r="C651" s="507"/>
      <c r="D651" s="508"/>
      <c r="E651" s="507"/>
      <c r="F651" s="507"/>
      <c r="G651" s="507"/>
      <c r="H651" s="507"/>
      <c r="I651" s="507"/>
      <c r="J651" s="507"/>
      <c r="K651" s="507"/>
      <c r="L651" s="507"/>
      <c r="M651" s="507"/>
      <c r="N651" s="507"/>
    </row>
    <row r="652" ht="35.25" customHeight="1">
      <c r="A652" s="507"/>
      <c r="B652" s="507"/>
      <c r="C652" s="507"/>
      <c r="D652" s="508"/>
      <c r="E652" s="507"/>
      <c r="F652" s="507"/>
      <c r="G652" s="507"/>
      <c r="H652" s="507"/>
      <c r="I652" s="507"/>
      <c r="J652" s="507"/>
      <c r="K652" s="507"/>
      <c r="L652" s="507"/>
      <c r="M652" s="507"/>
      <c r="N652" s="507"/>
    </row>
    <row r="653" ht="35.25" customHeight="1">
      <c r="A653" s="507"/>
      <c r="B653" s="507"/>
      <c r="C653" s="507"/>
      <c r="D653" s="508"/>
      <c r="E653" s="507"/>
      <c r="F653" s="507"/>
      <c r="G653" s="507"/>
      <c r="H653" s="507"/>
      <c r="I653" s="507"/>
      <c r="J653" s="507"/>
      <c r="K653" s="507"/>
      <c r="L653" s="507"/>
      <c r="M653" s="507"/>
      <c r="N653" s="507"/>
    </row>
    <row r="654" ht="35.25" customHeight="1">
      <c r="A654" s="507"/>
      <c r="B654" s="507"/>
      <c r="C654" s="507"/>
      <c r="D654" s="508"/>
      <c r="E654" s="507"/>
      <c r="F654" s="507"/>
      <c r="G654" s="507"/>
      <c r="H654" s="507"/>
      <c r="I654" s="507"/>
      <c r="J654" s="507"/>
      <c r="K654" s="507"/>
      <c r="L654" s="507"/>
      <c r="M654" s="507"/>
      <c r="N654" s="507"/>
    </row>
    <row r="655" ht="35.25" customHeight="1">
      <c r="A655" s="507"/>
      <c r="B655" s="507"/>
      <c r="C655" s="507"/>
      <c r="D655" s="508"/>
      <c r="E655" s="507"/>
      <c r="F655" s="507"/>
      <c r="G655" s="507"/>
      <c r="H655" s="507"/>
      <c r="I655" s="507"/>
      <c r="J655" s="507"/>
      <c r="K655" s="507"/>
      <c r="L655" s="507"/>
      <c r="M655" s="507"/>
      <c r="N655" s="507"/>
    </row>
    <row r="656" ht="35.25" customHeight="1">
      <c r="A656" s="507"/>
      <c r="B656" s="507"/>
      <c r="C656" s="507"/>
      <c r="D656" s="508"/>
      <c r="E656" s="507"/>
      <c r="F656" s="507"/>
      <c r="G656" s="507"/>
      <c r="H656" s="507"/>
      <c r="I656" s="507"/>
      <c r="J656" s="507"/>
      <c r="K656" s="507"/>
      <c r="L656" s="507"/>
      <c r="M656" s="507"/>
      <c r="N656" s="507"/>
    </row>
    <row r="657" ht="35.25" customHeight="1">
      <c r="A657" s="507"/>
      <c r="B657" s="507"/>
      <c r="C657" s="507"/>
      <c r="D657" s="508"/>
      <c r="E657" s="507"/>
      <c r="F657" s="507"/>
      <c r="G657" s="507"/>
      <c r="H657" s="507"/>
      <c r="I657" s="507"/>
      <c r="J657" s="507"/>
      <c r="K657" s="507"/>
      <c r="L657" s="507"/>
      <c r="M657" s="507"/>
      <c r="N657" s="507"/>
    </row>
    <row r="658" ht="35.25" customHeight="1">
      <c r="A658" s="507"/>
      <c r="B658" s="507"/>
      <c r="C658" s="507"/>
      <c r="D658" s="508"/>
      <c r="E658" s="507"/>
      <c r="F658" s="507"/>
      <c r="G658" s="507"/>
      <c r="H658" s="507"/>
      <c r="I658" s="507"/>
      <c r="J658" s="507"/>
      <c r="K658" s="507"/>
      <c r="L658" s="507"/>
      <c r="M658" s="507"/>
      <c r="N658" s="507"/>
    </row>
    <row r="659" ht="35.25" customHeight="1">
      <c r="A659" s="507"/>
      <c r="B659" s="507"/>
      <c r="C659" s="507"/>
      <c r="D659" s="508"/>
      <c r="E659" s="507"/>
      <c r="F659" s="507"/>
      <c r="G659" s="507"/>
      <c r="H659" s="507"/>
      <c r="I659" s="507"/>
      <c r="J659" s="507"/>
      <c r="K659" s="507"/>
      <c r="L659" s="507"/>
      <c r="M659" s="507"/>
      <c r="N659" s="507"/>
    </row>
    <row r="660" ht="35.25" customHeight="1">
      <c r="A660" s="507"/>
      <c r="B660" s="507"/>
      <c r="C660" s="507"/>
      <c r="D660" s="508"/>
      <c r="E660" s="507"/>
      <c r="F660" s="507"/>
      <c r="G660" s="507"/>
      <c r="H660" s="507"/>
      <c r="I660" s="507"/>
      <c r="J660" s="507"/>
      <c r="K660" s="507"/>
      <c r="L660" s="507"/>
      <c r="M660" s="507"/>
      <c r="N660" s="507"/>
    </row>
    <row r="661" ht="35.25" customHeight="1">
      <c r="A661" s="507"/>
      <c r="B661" s="507"/>
      <c r="C661" s="507"/>
      <c r="D661" s="508"/>
      <c r="E661" s="507"/>
      <c r="F661" s="507"/>
      <c r="G661" s="507"/>
      <c r="H661" s="507"/>
      <c r="I661" s="507"/>
      <c r="J661" s="507"/>
      <c r="K661" s="507"/>
      <c r="L661" s="507"/>
      <c r="M661" s="507"/>
      <c r="N661" s="507"/>
    </row>
    <row r="662" ht="35.25" customHeight="1">
      <c r="A662" s="507"/>
      <c r="B662" s="507"/>
      <c r="C662" s="507"/>
      <c r="D662" s="508"/>
      <c r="E662" s="507"/>
      <c r="F662" s="507"/>
      <c r="G662" s="507"/>
      <c r="H662" s="507"/>
      <c r="I662" s="507"/>
      <c r="J662" s="507"/>
      <c r="K662" s="507"/>
      <c r="L662" s="507"/>
      <c r="M662" s="507"/>
      <c r="N662" s="507"/>
    </row>
    <row r="663" ht="35.25" customHeight="1">
      <c r="A663" s="507"/>
      <c r="B663" s="507"/>
      <c r="C663" s="507"/>
      <c r="D663" s="508"/>
      <c r="E663" s="507"/>
      <c r="F663" s="507"/>
      <c r="G663" s="507"/>
      <c r="H663" s="507"/>
      <c r="I663" s="507"/>
      <c r="J663" s="507"/>
      <c r="K663" s="507"/>
      <c r="L663" s="507"/>
      <c r="M663" s="507"/>
      <c r="N663" s="507"/>
    </row>
    <row r="664" ht="35.25" customHeight="1">
      <c r="A664" s="507"/>
      <c r="B664" s="507"/>
      <c r="C664" s="507"/>
      <c r="D664" s="508"/>
      <c r="E664" s="507"/>
      <c r="F664" s="507"/>
      <c r="G664" s="507"/>
      <c r="H664" s="507"/>
      <c r="I664" s="507"/>
      <c r="J664" s="507"/>
      <c r="K664" s="507"/>
      <c r="L664" s="507"/>
      <c r="M664" s="507"/>
      <c r="N664" s="507"/>
    </row>
    <row r="665" ht="35.25" customHeight="1">
      <c r="A665" s="507"/>
      <c r="B665" s="507"/>
      <c r="C665" s="507"/>
      <c r="D665" s="508"/>
      <c r="E665" s="507"/>
      <c r="F665" s="507"/>
      <c r="G665" s="507"/>
      <c r="H665" s="507"/>
      <c r="I665" s="507"/>
      <c r="J665" s="507"/>
      <c r="K665" s="507"/>
      <c r="L665" s="507"/>
      <c r="M665" s="507"/>
      <c r="N665" s="507"/>
    </row>
    <row r="666" ht="35.25" customHeight="1">
      <c r="A666" s="507"/>
      <c r="B666" s="507"/>
      <c r="C666" s="507"/>
      <c r="D666" s="508"/>
      <c r="E666" s="507"/>
      <c r="F666" s="507"/>
      <c r="G666" s="507"/>
      <c r="H666" s="507"/>
      <c r="I666" s="507"/>
      <c r="J666" s="507"/>
      <c r="K666" s="507"/>
      <c r="L666" s="507"/>
      <c r="M666" s="507"/>
      <c r="N666" s="507"/>
    </row>
    <row r="667" ht="35.25" customHeight="1">
      <c r="A667" s="507"/>
      <c r="B667" s="507"/>
      <c r="C667" s="507"/>
      <c r="D667" s="508"/>
      <c r="E667" s="507"/>
      <c r="F667" s="507"/>
      <c r="G667" s="507"/>
      <c r="H667" s="507"/>
      <c r="I667" s="507"/>
      <c r="J667" s="507"/>
      <c r="K667" s="507"/>
      <c r="L667" s="507"/>
      <c r="M667" s="507"/>
      <c r="N667" s="507"/>
    </row>
    <row r="668" ht="35.25" customHeight="1">
      <c r="A668" s="507"/>
      <c r="B668" s="507"/>
      <c r="C668" s="507"/>
      <c r="D668" s="508"/>
      <c r="E668" s="507"/>
      <c r="F668" s="507"/>
      <c r="G668" s="507"/>
      <c r="H668" s="507"/>
      <c r="I668" s="507"/>
      <c r="J668" s="507"/>
      <c r="K668" s="507"/>
      <c r="L668" s="507"/>
      <c r="M668" s="507"/>
      <c r="N668" s="507"/>
    </row>
    <row r="669" ht="35.25" customHeight="1">
      <c r="A669" s="507"/>
      <c r="B669" s="507"/>
      <c r="C669" s="507"/>
      <c r="D669" s="508"/>
      <c r="E669" s="507"/>
      <c r="F669" s="507"/>
      <c r="G669" s="507"/>
      <c r="H669" s="507"/>
      <c r="I669" s="507"/>
      <c r="J669" s="507"/>
      <c r="K669" s="507"/>
      <c r="L669" s="507"/>
      <c r="M669" s="507"/>
      <c r="N669" s="507"/>
    </row>
    <row r="670" ht="35.25" customHeight="1">
      <c r="A670" s="507"/>
      <c r="B670" s="507"/>
      <c r="C670" s="507"/>
      <c r="D670" s="508"/>
      <c r="E670" s="507"/>
      <c r="F670" s="507"/>
      <c r="G670" s="507"/>
      <c r="H670" s="507"/>
      <c r="I670" s="507"/>
      <c r="J670" s="507"/>
      <c r="K670" s="507"/>
      <c r="L670" s="507"/>
      <c r="M670" s="507"/>
      <c r="N670" s="507"/>
    </row>
    <row r="671" ht="35.25" customHeight="1">
      <c r="A671" s="507"/>
      <c r="B671" s="507"/>
      <c r="C671" s="507"/>
      <c r="D671" s="508"/>
      <c r="E671" s="507"/>
      <c r="F671" s="507"/>
      <c r="G671" s="507"/>
      <c r="H671" s="507"/>
      <c r="I671" s="507"/>
      <c r="J671" s="507"/>
      <c r="K671" s="507"/>
      <c r="L671" s="507"/>
      <c r="M671" s="507"/>
      <c r="N671" s="507"/>
    </row>
    <row r="672" ht="35.25" customHeight="1">
      <c r="A672" s="507"/>
      <c r="B672" s="507"/>
      <c r="C672" s="507"/>
      <c r="D672" s="508"/>
      <c r="E672" s="507"/>
      <c r="F672" s="507"/>
      <c r="G672" s="507"/>
      <c r="H672" s="507"/>
      <c r="I672" s="507"/>
      <c r="J672" s="507"/>
      <c r="K672" s="507"/>
      <c r="L672" s="507"/>
      <c r="M672" s="507"/>
      <c r="N672" s="507"/>
    </row>
    <row r="673" ht="35.25" customHeight="1">
      <c r="A673" s="507"/>
      <c r="B673" s="507"/>
      <c r="C673" s="507"/>
      <c r="D673" s="508"/>
      <c r="E673" s="507"/>
      <c r="F673" s="507"/>
      <c r="G673" s="507"/>
      <c r="H673" s="507"/>
      <c r="I673" s="507"/>
      <c r="J673" s="507"/>
      <c r="K673" s="507"/>
      <c r="L673" s="507"/>
      <c r="M673" s="507"/>
      <c r="N673" s="507"/>
    </row>
    <row r="674" ht="35.25" customHeight="1">
      <c r="A674" s="507"/>
      <c r="B674" s="507"/>
      <c r="C674" s="507"/>
      <c r="D674" s="508"/>
      <c r="E674" s="507"/>
      <c r="F674" s="507"/>
      <c r="G674" s="507"/>
      <c r="H674" s="507"/>
      <c r="I674" s="507"/>
      <c r="J674" s="507"/>
      <c r="K674" s="507"/>
      <c r="L674" s="507"/>
      <c r="M674" s="507"/>
      <c r="N674" s="507"/>
    </row>
    <row r="675" ht="35.25" customHeight="1">
      <c r="A675" s="507"/>
      <c r="B675" s="507"/>
      <c r="C675" s="507"/>
      <c r="D675" s="508"/>
      <c r="E675" s="507"/>
      <c r="F675" s="507"/>
      <c r="G675" s="507"/>
      <c r="H675" s="507"/>
      <c r="I675" s="507"/>
      <c r="J675" s="507"/>
      <c r="K675" s="507"/>
      <c r="L675" s="507"/>
      <c r="M675" s="507"/>
      <c r="N675" s="507"/>
    </row>
    <row r="676" ht="35.25" customHeight="1">
      <c r="A676" s="507"/>
      <c r="B676" s="507"/>
      <c r="C676" s="507"/>
      <c r="D676" s="508"/>
      <c r="E676" s="507"/>
      <c r="F676" s="507"/>
      <c r="G676" s="507"/>
      <c r="H676" s="507"/>
      <c r="I676" s="507"/>
      <c r="J676" s="507"/>
      <c r="K676" s="507"/>
      <c r="L676" s="507"/>
      <c r="M676" s="507"/>
      <c r="N676" s="507"/>
    </row>
    <row r="677" ht="35.25" customHeight="1">
      <c r="A677" s="507"/>
      <c r="B677" s="507"/>
      <c r="C677" s="507"/>
      <c r="D677" s="508"/>
      <c r="E677" s="507"/>
      <c r="F677" s="507"/>
      <c r="G677" s="507"/>
      <c r="H677" s="507"/>
      <c r="I677" s="507"/>
      <c r="J677" s="507"/>
      <c r="K677" s="507"/>
      <c r="L677" s="507"/>
      <c r="M677" s="507"/>
      <c r="N677" s="507"/>
    </row>
    <row r="678" ht="35.25" customHeight="1">
      <c r="A678" s="507"/>
      <c r="B678" s="507"/>
      <c r="C678" s="507"/>
      <c r="D678" s="508"/>
      <c r="E678" s="507"/>
      <c r="F678" s="507"/>
      <c r="G678" s="507"/>
      <c r="H678" s="507"/>
      <c r="I678" s="507"/>
      <c r="J678" s="507"/>
      <c r="K678" s="507"/>
      <c r="L678" s="507"/>
      <c r="M678" s="507"/>
      <c r="N678" s="507"/>
    </row>
    <row r="679" ht="35.25" customHeight="1">
      <c r="A679" s="507"/>
      <c r="B679" s="507"/>
      <c r="C679" s="507"/>
      <c r="D679" s="508"/>
      <c r="E679" s="507"/>
      <c r="F679" s="507"/>
      <c r="G679" s="507"/>
      <c r="H679" s="507"/>
      <c r="I679" s="507"/>
      <c r="J679" s="507"/>
      <c r="K679" s="507"/>
      <c r="L679" s="507"/>
      <c r="M679" s="507"/>
      <c r="N679" s="507"/>
    </row>
    <row r="680" ht="35.25" customHeight="1">
      <c r="A680" s="507"/>
      <c r="B680" s="507"/>
      <c r="C680" s="507"/>
      <c r="D680" s="508"/>
      <c r="E680" s="507"/>
      <c r="F680" s="507"/>
      <c r="G680" s="507"/>
      <c r="H680" s="507"/>
      <c r="I680" s="507"/>
      <c r="J680" s="507"/>
      <c r="K680" s="507"/>
      <c r="L680" s="507"/>
      <c r="M680" s="507"/>
      <c r="N680" s="507"/>
    </row>
    <row r="681" ht="35.25" customHeight="1">
      <c r="A681" s="507"/>
      <c r="B681" s="507"/>
      <c r="C681" s="507"/>
      <c r="D681" s="508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</row>
    <row r="682" ht="35.25" customHeight="1">
      <c r="A682" s="507"/>
      <c r="B682" s="507"/>
      <c r="C682" s="507"/>
      <c r="D682" s="508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</row>
    <row r="683" ht="35.25" customHeight="1">
      <c r="A683" s="507"/>
      <c r="B683" s="507"/>
      <c r="C683" s="507"/>
      <c r="D683" s="508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</row>
    <row r="684" ht="35.25" customHeight="1">
      <c r="A684" s="507"/>
      <c r="B684" s="507"/>
      <c r="C684" s="507"/>
      <c r="D684" s="508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</row>
    <row r="685" ht="35.25" customHeight="1">
      <c r="A685" s="507"/>
      <c r="B685" s="507"/>
      <c r="C685" s="507"/>
      <c r="D685" s="508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</row>
    <row r="686" ht="35.25" customHeight="1">
      <c r="A686" s="507"/>
      <c r="B686" s="507"/>
      <c r="C686" s="507"/>
      <c r="D686" s="508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</row>
    <row r="687" ht="35.25" customHeight="1">
      <c r="A687" s="507"/>
      <c r="B687" s="507"/>
      <c r="C687" s="507"/>
      <c r="D687" s="508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</row>
    <row r="688" ht="35.25" customHeight="1">
      <c r="A688" s="507"/>
      <c r="B688" s="507"/>
      <c r="C688" s="507"/>
      <c r="D688" s="508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</row>
    <row r="689" ht="35.25" customHeight="1">
      <c r="A689" s="507"/>
      <c r="B689" s="507"/>
      <c r="C689" s="507"/>
      <c r="D689" s="508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</row>
    <row r="690" ht="35.25" customHeight="1">
      <c r="A690" s="507"/>
      <c r="B690" s="507"/>
      <c r="C690" s="507"/>
      <c r="D690" s="508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</row>
    <row r="691" ht="35.25" customHeight="1">
      <c r="A691" s="507"/>
      <c r="B691" s="507"/>
      <c r="C691" s="507"/>
      <c r="D691" s="508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</row>
    <row r="692" ht="35.25" customHeight="1">
      <c r="A692" s="507"/>
      <c r="B692" s="507"/>
      <c r="C692" s="507"/>
      <c r="D692" s="508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</row>
    <row r="693" ht="35.25" customHeight="1">
      <c r="A693" s="507"/>
      <c r="B693" s="507"/>
      <c r="C693" s="507"/>
      <c r="D693" s="508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</row>
    <row r="694" ht="35.25" customHeight="1">
      <c r="A694" s="507"/>
      <c r="B694" s="507"/>
      <c r="C694" s="507"/>
      <c r="D694" s="508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</row>
    <row r="695" ht="35.25" customHeight="1">
      <c r="A695" s="507"/>
      <c r="B695" s="507"/>
      <c r="C695" s="507"/>
      <c r="D695" s="508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</row>
    <row r="696" ht="35.25" customHeight="1">
      <c r="A696" s="507"/>
      <c r="B696" s="507"/>
      <c r="C696" s="507"/>
      <c r="D696" s="508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</row>
    <row r="697" ht="35.25" customHeight="1">
      <c r="A697" s="507"/>
      <c r="B697" s="507"/>
      <c r="C697" s="507"/>
      <c r="D697" s="508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</row>
    <row r="698" ht="35.25" customHeight="1">
      <c r="A698" s="507"/>
      <c r="B698" s="507"/>
      <c r="C698" s="507"/>
      <c r="D698" s="508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</row>
    <row r="699" ht="35.25" customHeight="1">
      <c r="A699" s="507"/>
      <c r="B699" s="507"/>
      <c r="C699" s="507"/>
      <c r="D699" s="508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</row>
    <row r="700" ht="35.25" customHeight="1">
      <c r="A700" s="507"/>
      <c r="B700" s="507"/>
      <c r="C700" s="507"/>
      <c r="D700" s="508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</row>
    <row r="701" ht="35.25" customHeight="1">
      <c r="A701" s="507"/>
      <c r="B701" s="507"/>
      <c r="C701" s="507"/>
      <c r="D701" s="508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</row>
    <row r="702" ht="35.25" customHeight="1">
      <c r="A702" s="507"/>
      <c r="B702" s="507"/>
      <c r="C702" s="507"/>
      <c r="D702" s="508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</row>
    <row r="703" ht="35.25" customHeight="1">
      <c r="A703" s="507"/>
      <c r="B703" s="507"/>
      <c r="C703" s="507"/>
      <c r="D703" s="508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</row>
    <row r="704" ht="35.25" customHeight="1">
      <c r="A704" s="507"/>
      <c r="B704" s="507"/>
      <c r="C704" s="507"/>
      <c r="D704" s="508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</row>
    <row r="705" ht="35.25" customHeight="1">
      <c r="A705" s="507"/>
      <c r="B705" s="507"/>
      <c r="C705" s="507"/>
      <c r="D705" s="508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</row>
    <row r="706" ht="35.25" customHeight="1">
      <c r="A706" s="507"/>
      <c r="B706" s="507"/>
      <c r="C706" s="507"/>
      <c r="D706" s="508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</row>
    <row r="707" ht="35.25" customHeight="1">
      <c r="A707" s="507"/>
      <c r="B707" s="507"/>
      <c r="C707" s="507"/>
      <c r="D707" s="508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</row>
    <row r="708" ht="35.25" customHeight="1">
      <c r="A708" s="507"/>
      <c r="B708" s="507"/>
      <c r="C708" s="507"/>
      <c r="D708" s="508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</row>
    <row r="709" ht="35.25" customHeight="1">
      <c r="A709" s="507"/>
      <c r="B709" s="507"/>
      <c r="C709" s="507"/>
      <c r="D709" s="508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</row>
    <row r="710" ht="35.25" customHeight="1">
      <c r="A710" s="507"/>
      <c r="B710" s="507"/>
      <c r="C710" s="507"/>
      <c r="D710" s="508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</row>
    <row r="711" ht="35.25" customHeight="1">
      <c r="A711" s="507"/>
      <c r="B711" s="507"/>
      <c r="C711" s="507"/>
      <c r="D711" s="508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</row>
    <row r="712" ht="35.25" customHeight="1">
      <c r="A712" s="507"/>
      <c r="B712" s="507"/>
      <c r="C712" s="507"/>
      <c r="D712" s="508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</row>
    <row r="713" ht="35.25" customHeight="1">
      <c r="A713" s="507"/>
      <c r="B713" s="507"/>
      <c r="C713" s="507"/>
      <c r="D713" s="508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</row>
    <row r="714" ht="35.25" customHeight="1">
      <c r="A714" s="507"/>
      <c r="B714" s="507"/>
      <c r="C714" s="507"/>
      <c r="D714" s="508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</row>
    <row r="715" ht="35.25" customHeight="1">
      <c r="A715" s="507"/>
      <c r="B715" s="507"/>
      <c r="C715" s="507"/>
      <c r="D715" s="508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</row>
    <row r="716" ht="35.25" customHeight="1">
      <c r="A716" s="507"/>
      <c r="B716" s="507"/>
      <c r="C716" s="507"/>
      <c r="D716" s="508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</row>
    <row r="717" ht="35.25" customHeight="1">
      <c r="A717" s="507"/>
      <c r="B717" s="507"/>
      <c r="C717" s="507"/>
      <c r="D717" s="508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</row>
    <row r="718" ht="35.25" customHeight="1">
      <c r="A718" s="507"/>
      <c r="B718" s="507"/>
      <c r="C718" s="507"/>
      <c r="D718" s="508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</row>
    <row r="719" ht="35.25" customHeight="1">
      <c r="A719" s="507"/>
      <c r="B719" s="507"/>
      <c r="C719" s="507"/>
      <c r="D719" s="508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</row>
    <row r="720" ht="35.25" customHeight="1">
      <c r="A720" s="507"/>
      <c r="B720" s="507"/>
      <c r="C720" s="507"/>
      <c r="D720" s="508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</row>
    <row r="721" ht="35.25" customHeight="1">
      <c r="A721" s="507"/>
      <c r="B721" s="507"/>
      <c r="C721" s="507"/>
      <c r="D721" s="508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</row>
    <row r="722" ht="35.25" customHeight="1">
      <c r="A722" s="507"/>
      <c r="B722" s="507"/>
      <c r="C722" s="507"/>
      <c r="D722" s="508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</row>
    <row r="723" ht="35.25" customHeight="1">
      <c r="A723" s="507"/>
      <c r="B723" s="507"/>
      <c r="C723" s="507"/>
      <c r="D723" s="508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</row>
    <row r="724" ht="35.25" customHeight="1">
      <c r="A724" s="507"/>
      <c r="B724" s="507"/>
      <c r="C724" s="507"/>
      <c r="D724" s="508"/>
      <c r="E724" s="507"/>
      <c r="F724" s="507"/>
      <c r="G724" s="507"/>
      <c r="H724" s="507"/>
      <c r="I724" s="507"/>
      <c r="J724" s="507"/>
      <c r="K724" s="507"/>
      <c r="L724" s="507"/>
      <c r="M724" s="507"/>
      <c r="N724" s="507"/>
    </row>
    <row r="725" ht="35.25" customHeight="1">
      <c r="A725" s="507"/>
      <c r="B725" s="507"/>
      <c r="C725" s="507"/>
      <c r="D725" s="508"/>
      <c r="E725" s="507"/>
      <c r="F725" s="507"/>
      <c r="G725" s="507"/>
      <c r="H725" s="507"/>
      <c r="I725" s="507"/>
      <c r="J725" s="507"/>
      <c r="K725" s="507"/>
      <c r="L725" s="507"/>
      <c r="M725" s="507"/>
      <c r="N725" s="507"/>
    </row>
    <row r="726" ht="35.25" customHeight="1">
      <c r="A726" s="507"/>
      <c r="B726" s="507"/>
      <c r="C726" s="507"/>
      <c r="D726" s="508"/>
      <c r="E726" s="507"/>
      <c r="F726" s="507"/>
      <c r="G726" s="507"/>
      <c r="H726" s="507"/>
      <c r="I726" s="507"/>
      <c r="J726" s="507"/>
      <c r="K726" s="507"/>
      <c r="L726" s="507"/>
      <c r="M726" s="507"/>
      <c r="N726" s="507"/>
    </row>
    <row r="727" ht="35.25" customHeight="1">
      <c r="A727" s="507"/>
      <c r="B727" s="507"/>
      <c r="C727" s="507"/>
      <c r="D727" s="508"/>
      <c r="E727" s="507"/>
      <c r="F727" s="507"/>
      <c r="G727" s="507"/>
      <c r="H727" s="507"/>
      <c r="I727" s="507"/>
      <c r="J727" s="507"/>
      <c r="K727" s="507"/>
      <c r="L727" s="507"/>
      <c r="M727" s="507"/>
      <c r="N727" s="507"/>
    </row>
    <row r="728" ht="35.25" customHeight="1">
      <c r="A728" s="507"/>
      <c r="B728" s="507"/>
      <c r="C728" s="507"/>
      <c r="D728" s="508"/>
      <c r="E728" s="507"/>
      <c r="F728" s="507"/>
      <c r="G728" s="507"/>
      <c r="H728" s="507"/>
      <c r="I728" s="507"/>
      <c r="J728" s="507"/>
      <c r="K728" s="507"/>
      <c r="L728" s="507"/>
      <c r="M728" s="507"/>
      <c r="N728" s="507"/>
    </row>
    <row r="729" ht="35.25" customHeight="1">
      <c r="A729" s="507"/>
      <c r="B729" s="507"/>
      <c r="C729" s="507"/>
      <c r="D729" s="508"/>
      <c r="E729" s="507"/>
      <c r="F729" s="507"/>
      <c r="G729" s="507"/>
      <c r="H729" s="507"/>
      <c r="I729" s="507"/>
      <c r="J729" s="507"/>
      <c r="K729" s="507"/>
      <c r="L729" s="507"/>
      <c r="M729" s="507"/>
      <c r="N729" s="507"/>
    </row>
    <row r="730" ht="35.25" customHeight="1">
      <c r="A730" s="507"/>
      <c r="B730" s="507"/>
      <c r="C730" s="507"/>
      <c r="D730" s="508"/>
      <c r="E730" s="507"/>
      <c r="F730" s="507"/>
      <c r="G730" s="507"/>
      <c r="H730" s="507"/>
      <c r="I730" s="507"/>
      <c r="J730" s="507"/>
      <c r="K730" s="507"/>
      <c r="L730" s="507"/>
      <c r="M730" s="507"/>
      <c r="N730" s="507"/>
    </row>
    <row r="731" ht="35.25" customHeight="1">
      <c r="A731" s="507"/>
      <c r="B731" s="507"/>
      <c r="C731" s="507"/>
      <c r="D731" s="508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</row>
    <row r="732" ht="35.25" customHeight="1">
      <c r="A732" s="507"/>
      <c r="B732" s="507"/>
      <c r="C732" s="507"/>
      <c r="D732" s="508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</row>
    <row r="733" ht="35.25" customHeight="1">
      <c r="A733" s="507"/>
      <c r="B733" s="507"/>
      <c r="C733" s="507"/>
      <c r="D733" s="508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</row>
    <row r="734" ht="35.25" customHeight="1">
      <c r="A734" s="507"/>
      <c r="B734" s="507"/>
      <c r="C734" s="507"/>
      <c r="D734" s="508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</row>
    <row r="735" ht="35.25" customHeight="1">
      <c r="A735" s="507"/>
      <c r="B735" s="507"/>
      <c r="C735" s="507"/>
      <c r="D735" s="508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</row>
    <row r="736" ht="35.25" customHeight="1">
      <c r="A736" s="507"/>
      <c r="B736" s="507"/>
      <c r="C736" s="507"/>
      <c r="D736" s="508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</row>
    <row r="737" ht="35.25" customHeight="1">
      <c r="A737" s="507"/>
      <c r="B737" s="507"/>
      <c r="C737" s="507"/>
      <c r="D737" s="508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</row>
    <row r="738" ht="35.25" customHeight="1">
      <c r="A738" s="507"/>
      <c r="B738" s="507"/>
      <c r="C738" s="507"/>
      <c r="D738" s="508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</row>
    <row r="739" ht="35.25" customHeight="1">
      <c r="A739" s="507"/>
      <c r="B739" s="507"/>
      <c r="C739" s="507"/>
      <c r="D739" s="508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</row>
    <row r="740" ht="35.25" customHeight="1">
      <c r="A740" s="507"/>
      <c r="B740" s="507"/>
      <c r="C740" s="507"/>
      <c r="D740" s="508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</row>
    <row r="741" ht="35.25" customHeight="1">
      <c r="A741" s="507"/>
      <c r="B741" s="507"/>
      <c r="C741" s="507"/>
      <c r="D741" s="508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</row>
    <row r="742" ht="35.25" customHeight="1">
      <c r="A742" s="507"/>
      <c r="B742" s="507"/>
      <c r="C742" s="507"/>
      <c r="D742" s="508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</row>
    <row r="743" ht="35.25" customHeight="1">
      <c r="A743" s="507"/>
      <c r="B743" s="507"/>
      <c r="C743" s="507"/>
      <c r="D743" s="508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</row>
    <row r="744" ht="35.25" customHeight="1">
      <c r="A744" s="507"/>
      <c r="B744" s="507"/>
      <c r="C744" s="507"/>
      <c r="D744" s="508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</row>
    <row r="745" ht="35.25" customHeight="1">
      <c r="A745" s="507"/>
      <c r="B745" s="507"/>
      <c r="C745" s="507"/>
      <c r="D745" s="508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</row>
    <row r="746" ht="35.25" customHeight="1">
      <c r="A746" s="507"/>
      <c r="B746" s="507"/>
      <c r="C746" s="507"/>
      <c r="D746" s="508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</row>
    <row r="747" ht="35.25" customHeight="1">
      <c r="A747" s="507"/>
      <c r="B747" s="507"/>
      <c r="C747" s="507"/>
      <c r="D747" s="508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</row>
    <row r="748" ht="35.25" customHeight="1">
      <c r="A748" s="507"/>
      <c r="B748" s="507"/>
      <c r="C748" s="507"/>
      <c r="D748" s="508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</row>
    <row r="749" ht="35.25" customHeight="1">
      <c r="A749" s="507"/>
      <c r="B749" s="507"/>
      <c r="C749" s="507"/>
      <c r="D749" s="508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</row>
    <row r="750" ht="35.25" customHeight="1">
      <c r="A750" s="507"/>
      <c r="B750" s="507"/>
      <c r="C750" s="507"/>
      <c r="D750" s="508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</row>
    <row r="751" ht="35.25" customHeight="1">
      <c r="A751" s="507"/>
      <c r="B751" s="507"/>
      <c r="C751" s="507"/>
      <c r="D751" s="508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</row>
    <row r="752" ht="35.25" customHeight="1">
      <c r="A752" s="507"/>
      <c r="B752" s="507"/>
      <c r="C752" s="507"/>
      <c r="D752" s="508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</row>
    <row r="753" ht="35.25" customHeight="1">
      <c r="A753" s="507"/>
      <c r="B753" s="507"/>
      <c r="C753" s="507"/>
      <c r="D753" s="508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</row>
    <row r="754" ht="35.25" customHeight="1">
      <c r="A754" s="507"/>
      <c r="B754" s="507"/>
      <c r="C754" s="507"/>
      <c r="D754" s="508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</row>
    <row r="755" ht="35.25" customHeight="1">
      <c r="A755" s="507"/>
      <c r="B755" s="507"/>
      <c r="C755" s="507"/>
      <c r="D755" s="508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</row>
    <row r="756" ht="35.25" customHeight="1">
      <c r="A756" s="507"/>
      <c r="B756" s="507"/>
      <c r="C756" s="507"/>
      <c r="D756" s="508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</row>
    <row r="757" ht="35.25" customHeight="1">
      <c r="A757" s="507"/>
      <c r="B757" s="507"/>
      <c r="C757" s="507"/>
      <c r="D757" s="508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</row>
    <row r="758" ht="35.25" customHeight="1">
      <c r="A758" s="507"/>
      <c r="B758" s="507"/>
      <c r="C758" s="507"/>
      <c r="D758" s="508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</row>
    <row r="759" ht="35.25" customHeight="1">
      <c r="A759" s="507"/>
      <c r="B759" s="507"/>
      <c r="C759" s="507"/>
      <c r="D759" s="508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</row>
    <row r="760" ht="35.25" customHeight="1">
      <c r="A760" s="507"/>
      <c r="B760" s="507"/>
      <c r="C760" s="507"/>
      <c r="D760" s="508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</row>
    <row r="761" ht="35.25" customHeight="1">
      <c r="A761" s="507"/>
      <c r="B761" s="507"/>
      <c r="C761" s="507"/>
      <c r="D761" s="508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</row>
    <row r="762" ht="35.25" customHeight="1">
      <c r="A762" s="507"/>
      <c r="B762" s="507"/>
      <c r="C762" s="507"/>
      <c r="D762" s="508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</row>
    <row r="763" ht="35.25" customHeight="1">
      <c r="A763" s="507"/>
      <c r="B763" s="507"/>
      <c r="C763" s="507"/>
      <c r="D763" s="508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</row>
    <row r="764" ht="35.25" customHeight="1">
      <c r="A764" s="507"/>
      <c r="B764" s="507"/>
      <c r="C764" s="507"/>
      <c r="D764" s="508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</row>
    <row r="765" ht="35.25" customHeight="1">
      <c r="A765" s="507"/>
      <c r="B765" s="507"/>
      <c r="C765" s="507"/>
      <c r="D765" s="508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</row>
    <row r="766" ht="35.25" customHeight="1">
      <c r="A766" s="507"/>
      <c r="B766" s="507"/>
      <c r="C766" s="507"/>
      <c r="D766" s="508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</row>
    <row r="767" ht="35.25" customHeight="1">
      <c r="A767" s="507"/>
      <c r="B767" s="507"/>
      <c r="C767" s="507"/>
      <c r="D767" s="508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</row>
    <row r="768" ht="35.25" customHeight="1">
      <c r="A768" s="507"/>
      <c r="B768" s="507"/>
      <c r="C768" s="507"/>
      <c r="D768" s="508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</row>
    <row r="769" ht="35.25" customHeight="1">
      <c r="A769" s="507"/>
      <c r="B769" s="507"/>
      <c r="C769" s="507"/>
      <c r="D769" s="508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</row>
    <row r="770" ht="35.25" customHeight="1">
      <c r="A770" s="507"/>
      <c r="B770" s="507"/>
      <c r="C770" s="507"/>
      <c r="D770" s="508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</row>
    <row r="771" ht="35.25" customHeight="1">
      <c r="A771" s="507"/>
      <c r="B771" s="507"/>
      <c r="C771" s="507"/>
      <c r="D771" s="508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</row>
    <row r="772" ht="35.25" customHeight="1">
      <c r="A772" s="507"/>
      <c r="B772" s="507"/>
      <c r="C772" s="507"/>
      <c r="D772" s="508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</row>
    <row r="773" ht="35.25" customHeight="1">
      <c r="A773" s="507"/>
      <c r="B773" s="507"/>
      <c r="C773" s="507"/>
      <c r="D773" s="508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</row>
    <row r="774" ht="35.25" customHeight="1">
      <c r="A774" s="507"/>
      <c r="B774" s="507"/>
      <c r="C774" s="507"/>
      <c r="D774" s="508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</row>
    <row r="775" ht="35.25" customHeight="1">
      <c r="A775" s="507"/>
      <c r="B775" s="507"/>
      <c r="C775" s="507"/>
      <c r="D775" s="508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</row>
    <row r="776" ht="35.25" customHeight="1">
      <c r="A776" s="507"/>
      <c r="B776" s="507"/>
      <c r="C776" s="507"/>
      <c r="D776" s="508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</row>
    <row r="777" ht="35.25" customHeight="1">
      <c r="A777" s="507"/>
      <c r="B777" s="507"/>
      <c r="C777" s="507"/>
      <c r="D777" s="508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</row>
    <row r="778" ht="35.25" customHeight="1">
      <c r="A778" s="507"/>
      <c r="B778" s="507"/>
      <c r="C778" s="507"/>
      <c r="D778" s="508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</row>
    <row r="779" ht="35.25" customHeight="1">
      <c r="A779" s="507"/>
      <c r="B779" s="507"/>
      <c r="C779" s="507"/>
      <c r="D779" s="508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</row>
    <row r="780" ht="35.25" customHeight="1">
      <c r="A780" s="507"/>
      <c r="B780" s="507"/>
      <c r="C780" s="507"/>
      <c r="D780" s="508"/>
      <c r="E780" s="507"/>
      <c r="F780" s="507"/>
      <c r="G780" s="507"/>
      <c r="H780" s="507"/>
      <c r="I780" s="507"/>
      <c r="J780" s="507"/>
      <c r="K780" s="507"/>
      <c r="L780" s="507"/>
      <c r="M780" s="507"/>
      <c r="N780" s="507"/>
    </row>
    <row r="781" ht="35.25" customHeight="1">
      <c r="A781" s="507"/>
      <c r="B781" s="507"/>
      <c r="C781" s="507"/>
      <c r="D781" s="508"/>
      <c r="E781" s="507"/>
      <c r="F781" s="507"/>
      <c r="G781" s="507"/>
      <c r="H781" s="507"/>
      <c r="I781" s="507"/>
      <c r="J781" s="507"/>
      <c r="K781" s="507"/>
      <c r="L781" s="507"/>
      <c r="M781" s="507"/>
      <c r="N781" s="507"/>
    </row>
    <row r="782" ht="35.25" customHeight="1">
      <c r="A782" s="507"/>
      <c r="B782" s="507"/>
      <c r="C782" s="507"/>
      <c r="D782" s="508"/>
      <c r="E782" s="507"/>
      <c r="F782" s="507"/>
      <c r="G782" s="507"/>
      <c r="H782" s="507"/>
      <c r="I782" s="507"/>
      <c r="J782" s="507"/>
      <c r="K782" s="507"/>
      <c r="L782" s="507"/>
      <c r="M782" s="507"/>
      <c r="N782" s="507"/>
    </row>
    <row r="783" ht="35.25" customHeight="1">
      <c r="A783" s="507"/>
      <c r="B783" s="507"/>
      <c r="C783" s="507"/>
      <c r="D783" s="508"/>
      <c r="E783" s="507"/>
      <c r="F783" s="507"/>
      <c r="G783" s="507"/>
      <c r="H783" s="507"/>
      <c r="I783" s="507"/>
      <c r="J783" s="507"/>
      <c r="K783" s="507"/>
      <c r="L783" s="507"/>
      <c r="M783" s="507"/>
      <c r="N783" s="507"/>
    </row>
    <row r="784" ht="35.25" customHeight="1">
      <c r="A784" s="507"/>
      <c r="B784" s="507"/>
      <c r="C784" s="507"/>
      <c r="D784" s="508"/>
      <c r="E784" s="507"/>
      <c r="F784" s="507"/>
      <c r="G784" s="507"/>
      <c r="H784" s="507"/>
      <c r="I784" s="507"/>
      <c r="J784" s="507"/>
      <c r="K784" s="507"/>
      <c r="L784" s="507"/>
      <c r="M784" s="507"/>
      <c r="N784" s="507"/>
    </row>
    <row r="785" ht="35.25" customHeight="1">
      <c r="A785" s="507"/>
      <c r="B785" s="507"/>
      <c r="C785" s="507"/>
      <c r="D785" s="508"/>
      <c r="E785" s="507"/>
      <c r="F785" s="507"/>
      <c r="G785" s="507"/>
      <c r="H785" s="507"/>
      <c r="I785" s="507"/>
      <c r="J785" s="507"/>
      <c r="K785" s="507"/>
      <c r="L785" s="507"/>
      <c r="M785" s="507"/>
      <c r="N785" s="507"/>
    </row>
    <row r="786" ht="35.25" customHeight="1">
      <c r="A786" s="507"/>
      <c r="B786" s="507"/>
      <c r="C786" s="507"/>
      <c r="D786" s="508"/>
      <c r="E786" s="507"/>
      <c r="F786" s="507"/>
      <c r="G786" s="507"/>
      <c r="H786" s="507"/>
      <c r="I786" s="507"/>
      <c r="J786" s="507"/>
      <c r="K786" s="507"/>
      <c r="L786" s="507"/>
      <c r="M786" s="507"/>
      <c r="N786" s="507"/>
    </row>
    <row r="787" ht="35.25" customHeight="1">
      <c r="A787" s="507"/>
      <c r="B787" s="507"/>
      <c r="C787" s="507"/>
      <c r="D787" s="508"/>
      <c r="E787" s="507"/>
      <c r="F787" s="507"/>
      <c r="G787" s="507"/>
      <c r="H787" s="507"/>
      <c r="I787" s="507"/>
      <c r="J787" s="507"/>
      <c r="K787" s="507"/>
      <c r="L787" s="507"/>
      <c r="M787" s="507"/>
      <c r="N787" s="507"/>
    </row>
    <row r="788" ht="35.25" customHeight="1">
      <c r="A788" s="507"/>
      <c r="B788" s="507"/>
      <c r="C788" s="507"/>
      <c r="D788" s="508"/>
      <c r="E788" s="507"/>
      <c r="F788" s="507"/>
      <c r="G788" s="507"/>
      <c r="H788" s="507"/>
      <c r="I788" s="507"/>
      <c r="J788" s="507"/>
      <c r="K788" s="507"/>
      <c r="L788" s="507"/>
      <c r="M788" s="507"/>
      <c r="N788" s="507"/>
    </row>
    <row r="789" ht="35.25" customHeight="1">
      <c r="A789" s="507"/>
      <c r="B789" s="507"/>
      <c r="C789" s="507"/>
      <c r="D789" s="508"/>
      <c r="E789" s="507"/>
      <c r="F789" s="507"/>
      <c r="G789" s="507"/>
      <c r="H789" s="507"/>
      <c r="I789" s="507"/>
      <c r="J789" s="507"/>
      <c r="K789" s="507"/>
      <c r="L789" s="507"/>
      <c r="M789" s="507"/>
      <c r="N789" s="507"/>
    </row>
    <row r="790" ht="35.25" customHeight="1">
      <c r="A790" s="507"/>
      <c r="B790" s="507"/>
      <c r="C790" s="507"/>
      <c r="D790" s="508"/>
      <c r="E790" s="507"/>
      <c r="F790" s="507"/>
      <c r="G790" s="507"/>
      <c r="H790" s="507"/>
      <c r="I790" s="507"/>
      <c r="J790" s="507"/>
      <c r="K790" s="507"/>
      <c r="L790" s="507"/>
      <c r="M790" s="507"/>
      <c r="N790" s="507"/>
    </row>
    <row r="791" ht="35.25" customHeight="1">
      <c r="A791" s="507"/>
      <c r="B791" s="507"/>
      <c r="C791" s="507"/>
      <c r="D791" s="508"/>
      <c r="E791" s="507"/>
      <c r="F791" s="507"/>
      <c r="G791" s="507"/>
      <c r="H791" s="507"/>
      <c r="I791" s="507"/>
      <c r="J791" s="507"/>
      <c r="K791" s="507"/>
      <c r="L791" s="507"/>
      <c r="M791" s="507"/>
      <c r="N791" s="507"/>
    </row>
    <row r="792" ht="35.25" customHeight="1">
      <c r="A792" s="507"/>
      <c r="B792" s="507"/>
      <c r="C792" s="507"/>
      <c r="D792" s="508"/>
      <c r="E792" s="507"/>
      <c r="F792" s="507"/>
      <c r="G792" s="507"/>
      <c r="H792" s="507"/>
      <c r="I792" s="507"/>
      <c r="J792" s="507"/>
      <c r="K792" s="507"/>
      <c r="L792" s="507"/>
      <c r="M792" s="507"/>
      <c r="N792" s="507"/>
    </row>
    <row r="793" ht="35.25" customHeight="1">
      <c r="A793" s="507"/>
      <c r="B793" s="507"/>
      <c r="C793" s="507"/>
      <c r="D793" s="508"/>
      <c r="E793" s="507"/>
      <c r="F793" s="507"/>
      <c r="G793" s="507"/>
      <c r="H793" s="507"/>
      <c r="I793" s="507"/>
      <c r="J793" s="507"/>
      <c r="K793" s="507"/>
      <c r="L793" s="507"/>
      <c r="M793" s="507"/>
      <c r="N793" s="507"/>
    </row>
    <row r="794" ht="35.25" customHeight="1">
      <c r="A794" s="507"/>
      <c r="B794" s="507"/>
      <c r="C794" s="507"/>
      <c r="D794" s="508"/>
      <c r="E794" s="507"/>
      <c r="F794" s="507"/>
      <c r="G794" s="507"/>
      <c r="H794" s="507"/>
      <c r="I794" s="507"/>
      <c r="J794" s="507"/>
      <c r="K794" s="507"/>
      <c r="L794" s="507"/>
      <c r="M794" s="507"/>
      <c r="N794" s="507"/>
    </row>
    <row r="795" ht="35.25" customHeight="1">
      <c r="A795" s="507"/>
      <c r="B795" s="507"/>
      <c r="C795" s="507"/>
      <c r="D795" s="508"/>
      <c r="E795" s="507"/>
      <c r="F795" s="507"/>
      <c r="G795" s="507"/>
      <c r="H795" s="507"/>
      <c r="I795" s="507"/>
      <c r="J795" s="507"/>
      <c r="K795" s="507"/>
      <c r="L795" s="507"/>
      <c r="M795" s="507"/>
      <c r="N795" s="507"/>
    </row>
    <row r="796" ht="35.25" customHeight="1">
      <c r="A796" s="507"/>
      <c r="B796" s="507"/>
      <c r="C796" s="507"/>
      <c r="D796" s="508"/>
      <c r="E796" s="507"/>
      <c r="F796" s="507"/>
      <c r="G796" s="507"/>
      <c r="H796" s="507"/>
      <c r="I796" s="507"/>
      <c r="J796" s="507"/>
      <c r="K796" s="507"/>
      <c r="L796" s="507"/>
      <c r="M796" s="507"/>
      <c r="N796" s="507"/>
    </row>
    <row r="797" ht="35.25" customHeight="1">
      <c r="A797" s="507"/>
      <c r="B797" s="507"/>
      <c r="C797" s="507"/>
      <c r="D797" s="508"/>
      <c r="E797" s="507"/>
      <c r="F797" s="507"/>
      <c r="G797" s="507"/>
      <c r="H797" s="507"/>
      <c r="I797" s="507"/>
      <c r="J797" s="507"/>
      <c r="K797" s="507"/>
      <c r="L797" s="507"/>
      <c r="M797" s="507"/>
      <c r="N797" s="507"/>
    </row>
    <row r="798" ht="35.25" customHeight="1">
      <c r="A798" s="507"/>
      <c r="B798" s="507"/>
      <c r="C798" s="507"/>
      <c r="D798" s="508"/>
      <c r="E798" s="507"/>
      <c r="F798" s="507"/>
      <c r="G798" s="507"/>
      <c r="H798" s="507"/>
      <c r="I798" s="507"/>
      <c r="J798" s="507"/>
      <c r="K798" s="507"/>
      <c r="L798" s="507"/>
      <c r="M798" s="507"/>
      <c r="N798" s="507"/>
    </row>
    <row r="799" ht="35.25" customHeight="1">
      <c r="A799" s="507"/>
      <c r="B799" s="507"/>
      <c r="C799" s="507"/>
      <c r="D799" s="508"/>
      <c r="E799" s="507"/>
      <c r="F799" s="507"/>
      <c r="G799" s="507"/>
      <c r="H799" s="507"/>
      <c r="I799" s="507"/>
      <c r="J799" s="507"/>
      <c r="K799" s="507"/>
      <c r="L799" s="507"/>
      <c r="M799" s="507"/>
      <c r="N799" s="507"/>
    </row>
    <row r="800" ht="35.25" customHeight="1">
      <c r="A800" s="507"/>
      <c r="B800" s="507"/>
      <c r="C800" s="507"/>
      <c r="D800" s="508"/>
      <c r="E800" s="507"/>
      <c r="F800" s="507"/>
      <c r="G800" s="507"/>
      <c r="H800" s="507"/>
      <c r="I800" s="507"/>
      <c r="J800" s="507"/>
      <c r="K800" s="507"/>
      <c r="L800" s="507"/>
      <c r="M800" s="507"/>
      <c r="N800" s="507"/>
    </row>
    <row r="801" ht="35.25" customHeight="1">
      <c r="A801" s="507"/>
      <c r="B801" s="507"/>
      <c r="C801" s="507"/>
      <c r="D801" s="508"/>
      <c r="E801" s="507"/>
      <c r="F801" s="507"/>
      <c r="G801" s="507"/>
      <c r="H801" s="507"/>
      <c r="I801" s="507"/>
      <c r="J801" s="507"/>
      <c r="K801" s="507"/>
      <c r="L801" s="507"/>
      <c r="M801" s="507"/>
      <c r="N801" s="507"/>
    </row>
    <row r="802" ht="35.25" customHeight="1">
      <c r="A802" s="507"/>
      <c r="B802" s="507"/>
      <c r="C802" s="507"/>
      <c r="D802" s="508"/>
      <c r="E802" s="507"/>
      <c r="F802" s="507"/>
      <c r="G802" s="507"/>
      <c r="H802" s="507"/>
      <c r="I802" s="507"/>
      <c r="J802" s="507"/>
      <c r="K802" s="507"/>
      <c r="L802" s="507"/>
      <c r="M802" s="507"/>
      <c r="N802" s="507"/>
    </row>
    <row r="803" ht="35.25" customHeight="1">
      <c r="A803" s="507"/>
      <c r="B803" s="507"/>
      <c r="C803" s="507"/>
      <c r="D803" s="508"/>
      <c r="E803" s="507"/>
      <c r="F803" s="507"/>
      <c r="G803" s="507"/>
      <c r="H803" s="507"/>
      <c r="I803" s="507"/>
      <c r="J803" s="507"/>
      <c r="K803" s="507"/>
      <c r="L803" s="507"/>
      <c r="M803" s="507"/>
      <c r="N803" s="507"/>
    </row>
    <row r="804" ht="35.25" customHeight="1">
      <c r="A804" s="507"/>
      <c r="B804" s="507"/>
      <c r="C804" s="507"/>
      <c r="D804" s="508"/>
      <c r="E804" s="507"/>
      <c r="F804" s="507"/>
      <c r="G804" s="507"/>
      <c r="H804" s="507"/>
      <c r="I804" s="507"/>
      <c r="J804" s="507"/>
      <c r="K804" s="507"/>
      <c r="L804" s="507"/>
      <c r="M804" s="507"/>
      <c r="N804" s="507"/>
    </row>
    <row r="805" ht="35.25" customHeight="1">
      <c r="A805" s="507"/>
      <c r="B805" s="507"/>
      <c r="C805" s="507"/>
      <c r="D805" s="508"/>
      <c r="E805" s="507"/>
      <c r="F805" s="507"/>
      <c r="G805" s="507"/>
      <c r="H805" s="507"/>
      <c r="I805" s="507"/>
      <c r="J805" s="507"/>
      <c r="K805" s="507"/>
      <c r="L805" s="507"/>
      <c r="M805" s="507"/>
      <c r="N805" s="507"/>
    </row>
    <row r="806" ht="35.25" customHeight="1">
      <c r="A806" s="507"/>
      <c r="B806" s="507"/>
      <c r="C806" s="507"/>
      <c r="D806" s="508"/>
      <c r="E806" s="507"/>
      <c r="F806" s="507"/>
      <c r="G806" s="507"/>
      <c r="H806" s="507"/>
      <c r="I806" s="507"/>
      <c r="J806" s="507"/>
      <c r="K806" s="507"/>
      <c r="L806" s="507"/>
      <c r="M806" s="507"/>
      <c r="N806" s="507"/>
    </row>
    <row r="807" ht="35.25" customHeight="1">
      <c r="A807" s="507"/>
      <c r="B807" s="507"/>
      <c r="C807" s="507"/>
      <c r="D807" s="508"/>
      <c r="E807" s="507"/>
      <c r="F807" s="507"/>
      <c r="G807" s="507"/>
      <c r="H807" s="507"/>
      <c r="I807" s="507"/>
      <c r="J807" s="507"/>
      <c r="K807" s="507"/>
      <c r="L807" s="507"/>
      <c r="M807" s="507"/>
      <c r="N807" s="507"/>
    </row>
    <row r="808" ht="35.25" customHeight="1">
      <c r="A808" s="507"/>
      <c r="B808" s="507"/>
      <c r="C808" s="507"/>
      <c r="D808" s="508"/>
      <c r="E808" s="507"/>
      <c r="F808" s="507"/>
      <c r="G808" s="507"/>
      <c r="H808" s="507"/>
      <c r="I808" s="507"/>
      <c r="J808" s="507"/>
      <c r="K808" s="507"/>
      <c r="L808" s="507"/>
      <c r="M808" s="507"/>
      <c r="N808" s="507"/>
    </row>
    <row r="809" ht="35.25" customHeight="1">
      <c r="A809" s="507"/>
      <c r="B809" s="507"/>
      <c r="C809" s="507"/>
      <c r="D809" s="508"/>
      <c r="E809" s="507"/>
      <c r="F809" s="507"/>
      <c r="G809" s="507"/>
      <c r="H809" s="507"/>
      <c r="I809" s="507"/>
      <c r="J809" s="507"/>
      <c r="K809" s="507"/>
      <c r="L809" s="507"/>
      <c r="M809" s="507"/>
      <c r="N809" s="507"/>
    </row>
    <row r="810" ht="35.25" customHeight="1">
      <c r="A810" s="507"/>
      <c r="B810" s="507"/>
      <c r="C810" s="507"/>
      <c r="D810" s="508"/>
      <c r="E810" s="507"/>
      <c r="F810" s="507"/>
      <c r="G810" s="507"/>
      <c r="H810" s="507"/>
      <c r="I810" s="507"/>
      <c r="J810" s="507"/>
      <c r="K810" s="507"/>
      <c r="L810" s="507"/>
      <c r="M810" s="507"/>
      <c r="N810" s="507"/>
    </row>
    <row r="811" ht="35.25" customHeight="1">
      <c r="A811" s="507"/>
      <c r="B811" s="507"/>
      <c r="C811" s="507"/>
      <c r="D811" s="508"/>
      <c r="E811" s="507"/>
      <c r="F811" s="507"/>
      <c r="G811" s="507"/>
      <c r="H811" s="507"/>
      <c r="I811" s="507"/>
      <c r="J811" s="507"/>
      <c r="K811" s="507"/>
      <c r="L811" s="507"/>
      <c r="M811" s="507"/>
      <c r="N811" s="507"/>
    </row>
    <row r="812" ht="35.25" customHeight="1">
      <c r="A812" s="507"/>
      <c r="B812" s="507"/>
      <c r="C812" s="507"/>
      <c r="D812" s="508"/>
      <c r="E812" s="507"/>
      <c r="F812" s="507"/>
      <c r="G812" s="507"/>
      <c r="H812" s="507"/>
      <c r="I812" s="507"/>
      <c r="J812" s="507"/>
      <c r="K812" s="507"/>
      <c r="L812" s="507"/>
      <c r="M812" s="507"/>
      <c r="N812" s="507"/>
    </row>
    <row r="813" ht="35.25" customHeight="1">
      <c r="A813" s="507"/>
      <c r="B813" s="507"/>
      <c r="C813" s="507"/>
      <c r="D813" s="508"/>
      <c r="E813" s="507"/>
      <c r="F813" s="507"/>
      <c r="G813" s="507"/>
      <c r="H813" s="507"/>
      <c r="I813" s="507"/>
      <c r="J813" s="507"/>
      <c r="K813" s="507"/>
      <c r="L813" s="507"/>
      <c r="M813" s="507"/>
      <c r="N813" s="507"/>
    </row>
    <row r="814" ht="35.25" customHeight="1">
      <c r="A814" s="507"/>
      <c r="B814" s="507"/>
      <c r="C814" s="507"/>
      <c r="D814" s="508"/>
      <c r="E814" s="507"/>
      <c r="F814" s="507"/>
      <c r="G814" s="507"/>
      <c r="H814" s="507"/>
      <c r="I814" s="507"/>
      <c r="J814" s="507"/>
      <c r="K814" s="507"/>
      <c r="L814" s="507"/>
      <c r="M814" s="507"/>
      <c r="N814" s="507"/>
    </row>
    <row r="815" ht="35.25" customHeight="1">
      <c r="A815" s="507"/>
      <c r="B815" s="507"/>
      <c r="C815" s="507"/>
      <c r="D815" s="508"/>
      <c r="E815" s="507"/>
      <c r="F815" s="507"/>
      <c r="G815" s="507"/>
      <c r="H815" s="507"/>
      <c r="I815" s="507"/>
      <c r="J815" s="507"/>
      <c r="K815" s="507"/>
      <c r="L815" s="507"/>
      <c r="M815" s="507"/>
      <c r="N815" s="507"/>
    </row>
    <row r="816" ht="35.25" customHeight="1">
      <c r="A816" s="507"/>
      <c r="B816" s="507"/>
      <c r="C816" s="507"/>
      <c r="D816" s="508"/>
      <c r="E816" s="507"/>
      <c r="F816" s="507"/>
      <c r="G816" s="507"/>
      <c r="H816" s="507"/>
      <c r="I816" s="507"/>
      <c r="J816" s="507"/>
      <c r="K816" s="507"/>
      <c r="L816" s="507"/>
      <c r="M816" s="507"/>
      <c r="N816" s="507"/>
    </row>
    <row r="817" ht="35.25" customHeight="1">
      <c r="A817" s="507"/>
      <c r="B817" s="507"/>
      <c r="C817" s="507"/>
      <c r="D817" s="508"/>
      <c r="E817" s="507"/>
      <c r="F817" s="507"/>
      <c r="G817" s="507"/>
      <c r="H817" s="507"/>
      <c r="I817" s="507"/>
      <c r="J817" s="507"/>
      <c r="K817" s="507"/>
      <c r="L817" s="507"/>
      <c r="M817" s="507"/>
      <c r="N817" s="507"/>
    </row>
    <row r="818" ht="35.25" customHeight="1">
      <c r="A818" s="507"/>
      <c r="B818" s="507"/>
      <c r="C818" s="507"/>
      <c r="D818" s="508"/>
      <c r="E818" s="507"/>
      <c r="F818" s="507"/>
      <c r="G818" s="507"/>
      <c r="H818" s="507"/>
      <c r="I818" s="507"/>
      <c r="J818" s="507"/>
      <c r="K818" s="507"/>
      <c r="L818" s="507"/>
      <c r="M818" s="507"/>
      <c r="N818" s="507"/>
    </row>
    <row r="819" ht="35.25" customHeight="1">
      <c r="A819" s="507"/>
      <c r="B819" s="507"/>
      <c r="C819" s="507"/>
      <c r="D819" s="508"/>
      <c r="E819" s="507"/>
      <c r="F819" s="507"/>
      <c r="G819" s="507"/>
      <c r="H819" s="507"/>
      <c r="I819" s="507"/>
      <c r="J819" s="507"/>
      <c r="K819" s="507"/>
      <c r="L819" s="507"/>
      <c r="M819" s="507"/>
      <c r="N819" s="507"/>
    </row>
    <row r="820" ht="35.25" customHeight="1">
      <c r="A820" s="507"/>
      <c r="B820" s="507"/>
      <c r="C820" s="507"/>
      <c r="D820" s="508"/>
      <c r="E820" s="507"/>
      <c r="F820" s="507"/>
      <c r="G820" s="507"/>
      <c r="H820" s="507"/>
      <c r="I820" s="507"/>
      <c r="J820" s="507"/>
      <c r="K820" s="507"/>
      <c r="L820" s="507"/>
      <c r="M820" s="507"/>
      <c r="N820" s="507"/>
    </row>
    <row r="821" ht="35.25" customHeight="1">
      <c r="A821" s="507"/>
      <c r="B821" s="507"/>
      <c r="C821" s="507"/>
      <c r="D821" s="508"/>
      <c r="E821" s="507"/>
      <c r="F821" s="507"/>
      <c r="G821" s="507"/>
      <c r="H821" s="507"/>
      <c r="I821" s="507"/>
      <c r="J821" s="507"/>
      <c r="K821" s="507"/>
      <c r="L821" s="507"/>
      <c r="M821" s="507"/>
      <c r="N821" s="507"/>
    </row>
    <row r="822" ht="35.25" customHeight="1">
      <c r="A822" s="507"/>
      <c r="B822" s="507"/>
      <c r="C822" s="507"/>
      <c r="D822" s="508"/>
      <c r="E822" s="507"/>
      <c r="F822" s="507"/>
      <c r="G822" s="507"/>
      <c r="H822" s="507"/>
      <c r="I822" s="507"/>
      <c r="J822" s="507"/>
      <c r="K822" s="507"/>
      <c r="L822" s="507"/>
      <c r="M822" s="507"/>
      <c r="N822" s="507"/>
    </row>
    <row r="823" ht="35.25" customHeight="1">
      <c r="A823" s="507"/>
      <c r="B823" s="507"/>
      <c r="C823" s="507"/>
      <c r="D823" s="508"/>
      <c r="E823" s="507"/>
      <c r="F823" s="507"/>
      <c r="G823" s="507"/>
      <c r="H823" s="507"/>
      <c r="I823" s="507"/>
      <c r="J823" s="507"/>
      <c r="K823" s="507"/>
      <c r="L823" s="507"/>
      <c r="M823" s="507"/>
      <c r="N823" s="507"/>
    </row>
    <row r="824" ht="35.25" customHeight="1">
      <c r="A824" s="507"/>
      <c r="B824" s="507"/>
      <c r="C824" s="507"/>
      <c r="D824" s="508"/>
      <c r="E824" s="507"/>
      <c r="F824" s="507"/>
      <c r="G824" s="507"/>
      <c r="H824" s="507"/>
      <c r="I824" s="507"/>
      <c r="J824" s="507"/>
      <c r="K824" s="507"/>
      <c r="L824" s="507"/>
      <c r="M824" s="507"/>
      <c r="N824" s="507"/>
    </row>
    <row r="825" ht="35.25" customHeight="1">
      <c r="A825" s="507"/>
      <c r="B825" s="507"/>
      <c r="C825" s="507"/>
      <c r="D825" s="508"/>
      <c r="E825" s="507"/>
      <c r="F825" s="507"/>
      <c r="G825" s="507"/>
      <c r="H825" s="507"/>
      <c r="I825" s="507"/>
      <c r="J825" s="507"/>
      <c r="K825" s="507"/>
      <c r="L825" s="507"/>
      <c r="M825" s="507"/>
      <c r="N825" s="507"/>
    </row>
    <row r="826" ht="35.25" customHeight="1">
      <c r="A826" s="507"/>
      <c r="B826" s="507"/>
      <c r="C826" s="507"/>
      <c r="D826" s="508"/>
      <c r="E826" s="507"/>
      <c r="F826" s="507"/>
      <c r="G826" s="507"/>
      <c r="H826" s="507"/>
      <c r="I826" s="507"/>
      <c r="J826" s="507"/>
      <c r="K826" s="507"/>
      <c r="L826" s="507"/>
      <c r="M826" s="507"/>
      <c r="N826" s="507"/>
    </row>
    <row r="827" ht="35.25" customHeight="1">
      <c r="A827" s="507"/>
      <c r="B827" s="507"/>
      <c r="C827" s="507"/>
      <c r="D827" s="508"/>
      <c r="E827" s="507"/>
      <c r="F827" s="507"/>
      <c r="G827" s="507"/>
      <c r="H827" s="507"/>
      <c r="I827" s="507"/>
      <c r="J827" s="507"/>
      <c r="K827" s="507"/>
      <c r="L827" s="507"/>
      <c r="M827" s="507"/>
      <c r="N827" s="507"/>
    </row>
    <row r="828" ht="35.25" customHeight="1">
      <c r="A828" s="507"/>
      <c r="B828" s="507"/>
      <c r="C828" s="507"/>
      <c r="D828" s="508"/>
      <c r="E828" s="507"/>
      <c r="F828" s="507"/>
      <c r="G828" s="507"/>
      <c r="H828" s="507"/>
      <c r="I828" s="507"/>
      <c r="J828" s="507"/>
      <c r="K828" s="507"/>
      <c r="L828" s="507"/>
      <c r="M828" s="507"/>
      <c r="N828" s="507"/>
    </row>
    <row r="829" ht="35.25" customHeight="1">
      <c r="A829" s="507"/>
      <c r="B829" s="507"/>
      <c r="C829" s="507"/>
      <c r="D829" s="508"/>
      <c r="E829" s="507"/>
      <c r="F829" s="507"/>
      <c r="G829" s="507"/>
      <c r="H829" s="507"/>
      <c r="I829" s="507"/>
      <c r="J829" s="507"/>
      <c r="K829" s="507"/>
      <c r="L829" s="507"/>
      <c r="M829" s="507"/>
      <c r="N829" s="507"/>
    </row>
    <row r="830" ht="35.25" customHeight="1">
      <c r="A830" s="507"/>
      <c r="B830" s="507"/>
      <c r="C830" s="507"/>
      <c r="D830" s="508"/>
      <c r="E830" s="507"/>
      <c r="F830" s="507"/>
      <c r="G830" s="507"/>
      <c r="H830" s="507"/>
      <c r="I830" s="507"/>
      <c r="J830" s="507"/>
      <c r="K830" s="507"/>
      <c r="L830" s="507"/>
      <c r="M830" s="507"/>
      <c r="N830" s="507"/>
    </row>
    <row r="831" ht="35.25" customHeight="1">
      <c r="A831" s="507"/>
      <c r="B831" s="507"/>
      <c r="C831" s="507"/>
      <c r="D831" s="508"/>
      <c r="E831" s="507"/>
      <c r="F831" s="507"/>
      <c r="G831" s="507"/>
      <c r="H831" s="507"/>
      <c r="I831" s="507"/>
      <c r="J831" s="507"/>
      <c r="K831" s="507"/>
      <c r="L831" s="507"/>
      <c r="M831" s="507"/>
      <c r="N831" s="507"/>
    </row>
    <row r="832" ht="35.25" customHeight="1">
      <c r="A832" s="507"/>
      <c r="B832" s="507"/>
      <c r="C832" s="507"/>
      <c r="D832" s="508"/>
      <c r="E832" s="507"/>
      <c r="F832" s="507"/>
      <c r="G832" s="507"/>
      <c r="H832" s="507"/>
      <c r="I832" s="507"/>
      <c r="J832" s="507"/>
      <c r="K832" s="507"/>
      <c r="L832" s="507"/>
      <c r="M832" s="507"/>
      <c r="N832" s="507"/>
    </row>
    <row r="833" ht="35.25" customHeight="1">
      <c r="A833" s="507"/>
      <c r="B833" s="507"/>
      <c r="C833" s="507"/>
      <c r="D833" s="508"/>
      <c r="E833" s="507"/>
      <c r="F833" s="507"/>
      <c r="G833" s="507"/>
      <c r="H833" s="507"/>
      <c r="I833" s="507"/>
      <c r="J833" s="507"/>
      <c r="K833" s="507"/>
      <c r="L833" s="507"/>
      <c r="M833" s="507"/>
      <c r="N833" s="507"/>
    </row>
    <row r="834" ht="35.25" customHeight="1">
      <c r="A834" s="507"/>
      <c r="B834" s="507"/>
      <c r="C834" s="507"/>
      <c r="D834" s="508"/>
      <c r="E834" s="507"/>
      <c r="F834" s="507"/>
      <c r="G834" s="507"/>
      <c r="H834" s="507"/>
      <c r="I834" s="507"/>
      <c r="J834" s="507"/>
      <c r="K834" s="507"/>
      <c r="L834" s="507"/>
      <c r="M834" s="507"/>
      <c r="N834" s="507"/>
    </row>
    <row r="835" ht="35.25" customHeight="1">
      <c r="A835" s="507"/>
      <c r="B835" s="507"/>
      <c r="C835" s="507"/>
      <c r="D835" s="508"/>
      <c r="E835" s="507"/>
      <c r="F835" s="507"/>
      <c r="G835" s="507"/>
      <c r="H835" s="507"/>
      <c r="I835" s="507"/>
      <c r="J835" s="507"/>
      <c r="K835" s="507"/>
      <c r="L835" s="507"/>
      <c r="M835" s="507"/>
      <c r="N835" s="507"/>
    </row>
    <row r="836" ht="35.25" customHeight="1">
      <c r="A836" s="507"/>
      <c r="B836" s="507"/>
      <c r="C836" s="507"/>
      <c r="D836" s="508"/>
      <c r="E836" s="507"/>
      <c r="F836" s="507"/>
      <c r="G836" s="507"/>
      <c r="H836" s="507"/>
      <c r="I836" s="507"/>
      <c r="J836" s="507"/>
      <c r="K836" s="507"/>
      <c r="L836" s="507"/>
      <c r="M836" s="507"/>
      <c r="N836" s="507"/>
    </row>
    <row r="837" ht="35.25" customHeight="1">
      <c r="A837" s="507"/>
      <c r="B837" s="507"/>
      <c r="C837" s="507"/>
      <c r="D837" s="508"/>
      <c r="E837" s="507"/>
      <c r="F837" s="507"/>
      <c r="G837" s="507"/>
      <c r="H837" s="507"/>
      <c r="I837" s="507"/>
      <c r="J837" s="507"/>
      <c r="K837" s="507"/>
      <c r="L837" s="507"/>
      <c r="M837" s="507"/>
      <c r="N837" s="507"/>
    </row>
    <row r="838" ht="35.25" customHeight="1">
      <c r="A838" s="507"/>
      <c r="B838" s="507"/>
      <c r="C838" s="507"/>
      <c r="D838" s="508"/>
      <c r="E838" s="507"/>
      <c r="F838" s="507"/>
      <c r="G838" s="507"/>
      <c r="H838" s="507"/>
      <c r="I838" s="507"/>
      <c r="J838" s="507"/>
      <c r="K838" s="507"/>
      <c r="L838" s="507"/>
      <c r="M838" s="507"/>
      <c r="N838" s="507"/>
    </row>
    <row r="839" ht="35.25" customHeight="1">
      <c r="A839" s="507"/>
      <c r="B839" s="507"/>
      <c r="C839" s="507"/>
      <c r="D839" s="508"/>
      <c r="E839" s="507"/>
      <c r="F839" s="507"/>
      <c r="G839" s="507"/>
      <c r="H839" s="507"/>
      <c r="I839" s="507"/>
      <c r="J839" s="507"/>
      <c r="K839" s="507"/>
      <c r="L839" s="507"/>
      <c r="M839" s="507"/>
      <c r="N839" s="507"/>
    </row>
    <row r="840" ht="35.25" customHeight="1">
      <c r="A840" s="507"/>
      <c r="B840" s="507"/>
      <c r="C840" s="507"/>
      <c r="D840" s="508"/>
      <c r="E840" s="507"/>
      <c r="F840" s="507"/>
      <c r="G840" s="507"/>
      <c r="H840" s="507"/>
      <c r="I840" s="507"/>
      <c r="J840" s="507"/>
      <c r="K840" s="507"/>
      <c r="L840" s="507"/>
      <c r="M840" s="507"/>
      <c r="N840" s="507"/>
    </row>
    <row r="841" ht="35.25" customHeight="1">
      <c r="A841" s="507"/>
      <c r="B841" s="507"/>
      <c r="C841" s="507"/>
      <c r="D841" s="508"/>
      <c r="E841" s="507"/>
      <c r="F841" s="507"/>
      <c r="G841" s="507"/>
      <c r="H841" s="507"/>
      <c r="I841" s="507"/>
      <c r="J841" s="507"/>
      <c r="K841" s="507"/>
      <c r="L841" s="507"/>
      <c r="M841" s="507"/>
      <c r="N841" s="507"/>
    </row>
    <row r="842" ht="35.25" customHeight="1">
      <c r="A842" s="507"/>
      <c r="B842" s="507"/>
      <c r="C842" s="507"/>
      <c r="D842" s="508"/>
      <c r="E842" s="507"/>
      <c r="F842" s="507"/>
      <c r="G842" s="507"/>
      <c r="H842" s="507"/>
      <c r="I842" s="507"/>
      <c r="J842" s="507"/>
      <c r="K842" s="507"/>
      <c r="L842" s="507"/>
      <c r="M842" s="507"/>
      <c r="N842" s="507"/>
    </row>
    <row r="843" ht="35.25" customHeight="1">
      <c r="A843" s="507"/>
      <c r="B843" s="507"/>
      <c r="C843" s="507"/>
      <c r="D843" s="508"/>
      <c r="E843" s="507"/>
      <c r="F843" s="507"/>
      <c r="G843" s="507"/>
      <c r="H843" s="507"/>
      <c r="I843" s="507"/>
      <c r="J843" s="507"/>
      <c r="K843" s="507"/>
      <c r="L843" s="507"/>
      <c r="M843" s="507"/>
      <c r="N843" s="507"/>
    </row>
    <row r="844" ht="35.25" customHeight="1">
      <c r="A844" s="507"/>
      <c r="B844" s="507"/>
      <c r="C844" s="507"/>
      <c r="D844" s="508"/>
      <c r="E844" s="507"/>
      <c r="F844" s="507"/>
      <c r="G844" s="507"/>
      <c r="H844" s="507"/>
      <c r="I844" s="507"/>
      <c r="J844" s="507"/>
      <c r="K844" s="507"/>
      <c r="L844" s="507"/>
      <c r="M844" s="507"/>
      <c r="N844" s="507"/>
    </row>
    <row r="845" ht="35.25" customHeight="1">
      <c r="A845" s="507"/>
      <c r="B845" s="507"/>
      <c r="C845" s="507"/>
      <c r="D845" s="508"/>
      <c r="E845" s="507"/>
      <c r="F845" s="507"/>
      <c r="G845" s="507"/>
      <c r="H845" s="507"/>
      <c r="I845" s="507"/>
      <c r="J845" s="507"/>
      <c r="K845" s="507"/>
      <c r="L845" s="507"/>
      <c r="M845" s="507"/>
      <c r="N845" s="507"/>
    </row>
    <row r="846" ht="35.25" customHeight="1">
      <c r="A846" s="507"/>
      <c r="B846" s="507"/>
      <c r="C846" s="507"/>
      <c r="D846" s="508"/>
      <c r="E846" s="507"/>
      <c r="F846" s="507"/>
      <c r="G846" s="507"/>
      <c r="H846" s="507"/>
      <c r="I846" s="507"/>
      <c r="J846" s="507"/>
      <c r="K846" s="507"/>
      <c r="L846" s="507"/>
      <c r="M846" s="507"/>
      <c r="N846" s="507"/>
    </row>
    <row r="847" ht="35.25" customHeight="1">
      <c r="A847" s="507"/>
      <c r="B847" s="507"/>
      <c r="C847" s="507"/>
      <c r="D847" s="508"/>
      <c r="E847" s="507"/>
      <c r="F847" s="507"/>
      <c r="G847" s="507"/>
      <c r="H847" s="507"/>
      <c r="I847" s="507"/>
      <c r="J847" s="507"/>
      <c r="K847" s="507"/>
      <c r="L847" s="507"/>
      <c r="M847" s="507"/>
      <c r="N847" s="507"/>
    </row>
    <row r="848" ht="35.25" customHeight="1">
      <c r="A848" s="507"/>
      <c r="B848" s="507"/>
      <c r="C848" s="507"/>
      <c r="D848" s="508"/>
      <c r="E848" s="507"/>
      <c r="F848" s="507"/>
      <c r="G848" s="507"/>
      <c r="H848" s="507"/>
      <c r="I848" s="507"/>
      <c r="J848" s="507"/>
      <c r="K848" s="507"/>
      <c r="L848" s="507"/>
      <c r="M848" s="507"/>
      <c r="N848" s="507"/>
    </row>
    <row r="849" ht="35.25" customHeight="1">
      <c r="A849" s="507"/>
      <c r="B849" s="507"/>
      <c r="C849" s="507"/>
      <c r="D849" s="508"/>
      <c r="E849" s="507"/>
      <c r="F849" s="507"/>
      <c r="G849" s="507"/>
      <c r="H849" s="507"/>
      <c r="I849" s="507"/>
      <c r="J849" s="507"/>
      <c r="K849" s="507"/>
      <c r="L849" s="507"/>
      <c r="M849" s="507"/>
      <c r="N849" s="507"/>
    </row>
    <row r="850" ht="35.25" customHeight="1">
      <c r="A850" s="507"/>
      <c r="B850" s="507"/>
      <c r="C850" s="507"/>
      <c r="D850" s="508"/>
      <c r="E850" s="507"/>
      <c r="F850" s="507"/>
      <c r="G850" s="507"/>
      <c r="H850" s="507"/>
      <c r="I850" s="507"/>
      <c r="J850" s="507"/>
      <c r="K850" s="507"/>
      <c r="L850" s="507"/>
      <c r="M850" s="507"/>
      <c r="N850" s="507"/>
    </row>
    <row r="851" ht="35.25" customHeight="1">
      <c r="A851" s="507"/>
      <c r="B851" s="507"/>
      <c r="C851" s="507"/>
      <c r="D851" s="508"/>
      <c r="E851" s="507"/>
      <c r="F851" s="507"/>
      <c r="G851" s="507"/>
      <c r="H851" s="507"/>
      <c r="I851" s="507"/>
      <c r="J851" s="507"/>
      <c r="K851" s="507"/>
      <c r="L851" s="507"/>
      <c r="M851" s="507"/>
      <c r="N851" s="507"/>
    </row>
    <row r="852" ht="35.25" customHeight="1">
      <c r="A852" s="507"/>
      <c r="B852" s="507"/>
      <c r="C852" s="507"/>
      <c r="D852" s="508"/>
      <c r="E852" s="507"/>
      <c r="F852" s="507"/>
      <c r="G852" s="507"/>
      <c r="H852" s="507"/>
      <c r="I852" s="507"/>
      <c r="J852" s="507"/>
      <c r="K852" s="507"/>
      <c r="L852" s="507"/>
      <c r="M852" s="507"/>
      <c r="N852" s="507"/>
    </row>
    <row r="853" ht="35.25" customHeight="1">
      <c r="A853" s="507"/>
      <c r="B853" s="507"/>
      <c r="C853" s="507"/>
      <c r="D853" s="508"/>
      <c r="E853" s="507"/>
      <c r="F853" s="507"/>
      <c r="G853" s="507"/>
      <c r="H853" s="507"/>
      <c r="I853" s="507"/>
      <c r="J853" s="507"/>
      <c r="K853" s="507"/>
      <c r="L853" s="507"/>
      <c r="M853" s="507"/>
      <c r="N853" s="507"/>
    </row>
    <row r="854" ht="35.25" customHeight="1">
      <c r="A854" s="507"/>
      <c r="B854" s="507"/>
      <c r="C854" s="507"/>
      <c r="D854" s="508"/>
      <c r="E854" s="507"/>
      <c r="F854" s="507"/>
      <c r="G854" s="507"/>
      <c r="H854" s="507"/>
      <c r="I854" s="507"/>
      <c r="J854" s="507"/>
      <c r="K854" s="507"/>
      <c r="L854" s="507"/>
      <c r="M854" s="507"/>
      <c r="N854" s="507"/>
    </row>
    <row r="855" ht="35.25" customHeight="1">
      <c r="A855" s="507"/>
      <c r="B855" s="507"/>
      <c r="C855" s="507"/>
      <c r="D855" s="508"/>
      <c r="E855" s="507"/>
      <c r="F855" s="507"/>
      <c r="G855" s="507"/>
      <c r="H855" s="507"/>
      <c r="I855" s="507"/>
      <c r="J855" s="507"/>
      <c r="K855" s="507"/>
      <c r="L855" s="507"/>
      <c r="M855" s="507"/>
      <c r="N855" s="507"/>
    </row>
    <row r="856" ht="35.25" customHeight="1">
      <c r="A856" s="507"/>
      <c r="B856" s="507"/>
      <c r="C856" s="507"/>
      <c r="D856" s="508"/>
      <c r="E856" s="507"/>
      <c r="F856" s="507"/>
      <c r="G856" s="507"/>
      <c r="H856" s="507"/>
      <c r="I856" s="507"/>
      <c r="J856" s="507"/>
      <c r="K856" s="507"/>
      <c r="L856" s="507"/>
      <c r="M856" s="507"/>
      <c r="N856" s="507"/>
    </row>
    <row r="857" ht="35.25" customHeight="1">
      <c r="A857" s="507"/>
      <c r="B857" s="507"/>
      <c r="C857" s="507"/>
      <c r="D857" s="508"/>
      <c r="E857" s="507"/>
      <c r="F857" s="507"/>
      <c r="G857" s="507"/>
      <c r="H857" s="507"/>
      <c r="I857" s="507"/>
      <c r="J857" s="507"/>
      <c r="K857" s="507"/>
      <c r="L857" s="507"/>
      <c r="M857" s="507"/>
      <c r="N857" s="507"/>
    </row>
    <row r="858" ht="35.25" customHeight="1">
      <c r="A858" s="507"/>
      <c r="B858" s="507"/>
      <c r="C858" s="507"/>
      <c r="D858" s="508"/>
      <c r="E858" s="507"/>
      <c r="F858" s="507"/>
      <c r="G858" s="507"/>
      <c r="H858" s="507"/>
      <c r="I858" s="507"/>
      <c r="J858" s="507"/>
      <c r="K858" s="507"/>
      <c r="L858" s="507"/>
      <c r="M858" s="507"/>
      <c r="N858" s="507"/>
    </row>
    <row r="859" ht="35.25" customHeight="1">
      <c r="A859" s="507"/>
      <c r="B859" s="507"/>
      <c r="C859" s="507"/>
      <c r="D859" s="508"/>
      <c r="E859" s="507"/>
      <c r="F859" s="507"/>
      <c r="G859" s="507"/>
      <c r="H859" s="507"/>
      <c r="I859" s="507"/>
      <c r="J859" s="507"/>
      <c r="K859" s="507"/>
      <c r="L859" s="507"/>
      <c r="M859" s="507"/>
      <c r="N859" s="507"/>
    </row>
    <row r="860" ht="35.25" customHeight="1">
      <c r="A860" s="507"/>
      <c r="B860" s="507"/>
      <c r="C860" s="507"/>
      <c r="D860" s="508"/>
      <c r="E860" s="507"/>
      <c r="F860" s="507"/>
      <c r="G860" s="507"/>
      <c r="H860" s="507"/>
      <c r="I860" s="507"/>
      <c r="J860" s="507"/>
      <c r="K860" s="507"/>
      <c r="L860" s="507"/>
      <c r="M860" s="507"/>
      <c r="N860" s="507"/>
    </row>
    <row r="861" ht="35.25" customHeight="1">
      <c r="A861" s="507"/>
      <c r="B861" s="507"/>
      <c r="C861" s="507"/>
      <c r="D861" s="508"/>
      <c r="E861" s="507"/>
      <c r="F861" s="507"/>
      <c r="G861" s="507"/>
      <c r="H861" s="507"/>
      <c r="I861" s="507"/>
      <c r="J861" s="507"/>
      <c r="K861" s="507"/>
      <c r="L861" s="507"/>
      <c r="M861" s="507"/>
      <c r="N861" s="507"/>
    </row>
    <row r="862" ht="35.25" customHeight="1">
      <c r="A862" s="507"/>
      <c r="B862" s="507"/>
      <c r="C862" s="507"/>
      <c r="D862" s="508"/>
      <c r="E862" s="507"/>
      <c r="F862" s="507"/>
      <c r="G862" s="507"/>
      <c r="H862" s="507"/>
      <c r="I862" s="507"/>
      <c r="J862" s="507"/>
      <c r="K862" s="507"/>
      <c r="L862" s="507"/>
      <c r="M862" s="507"/>
      <c r="N862" s="507"/>
    </row>
    <row r="863" ht="35.25" customHeight="1">
      <c r="A863" s="507"/>
      <c r="B863" s="507"/>
      <c r="C863" s="507"/>
      <c r="D863" s="508"/>
      <c r="E863" s="507"/>
      <c r="F863" s="507"/>
      <c r="G863" s="507"/>
      <c r="H863" s="507"/>
      <c r="I863" s="507"/>
      <c r="J863" s="507"/>
      <c r="K863" s="507"/>
      <c r="L863" s="507"/>
      <c r="M863" s="507"/>
      <c r="N863" s="507"/>
    </row>
    <row r="864" ht="35.25" customHeight="1">
      <c r="A864" s="507"/>
      <c r="B864" s="507"/>
      <c r="C864" s="507"/>
      <c r="D864" s="508"/>
      <c r="E864" s="507"/>
      <c r="F864" s="507"/>
      <c r="G864" s="507"/>
      <c r="H864" s="507"/>
      <c r="I864" s="507"/>
      <c r="J864" s="507"/>
      <c r="K864" s="507"/>
      <c r="L864" s="507"/>
      <c r="M864" s="507"/>
      <c r="N864" s="507"/>
    </row>
    <row r="865" ht="35.25" customHeight="1">
      <c r="A865" s="507"/>
      <c r="B865" s="507"/>
      <c r="C865" s="507"/>
      <c r="D865" s="508"/>
      <c r="E865" s="507"/>
      <c r="F865" s="507"/>
      <c r="G865" s="507"/>
      <c r="H865" s="507"/>
      <c r="I865" s="507"/>
      <c r="J865" s="507"/>
      <c r="K865" s="507"/>
      <c r="L865" s="507"/>
      <c r="M865" s="507"/>
      <c r="N865" s="507"/>
    </row>
    <row r="866" ht="35.25" customHeight="1">
      <c r="A866" s="507"/>
      <c r="B866" s="507"/>
      <c r="C866" s="507"/>
      <c r="D866" s="508"/>
      <c r="E866" s="507"/>
      <c r="F866" s="507"/>
      <c r="G866" s="507"/>
      <c r="H866" s="507"/>
      <c r="I866" s="507"/>
      <c r="J866" s="507"/>
      <c r="K866" s="507"/>
      <c r="L866" s="507"/>
      <c r="M866" s="507"/>
      <c r="N866" s="507"/>
    </row>
    <row r="867" ht="35.25" customHeight="1">
      <c r="A867" s="507"/>
      <c r="B867" s="507"/>
      <c r="C867" s="507"/>
      <c r="D867" s="508"/>
      <c r="E867" s="507"/>
      <c r="F867" s="507"/>
      <c r="G867" s="507"/>
      <c r="H867" s="507"/>
      <c r="I867" s="507"/>
      <c r="J867" s="507"/>
      <c r="K867" s="507"/>
      <c r="L867" s="507"/>
      <c r="M867" s="507"/>
      <c r="N867" s="507"/>
    </row>
    <row r="868" ht="35.25" customHeight="1">
      <c r="A868" s="507"/>
      <c r="B868" s="507"/>
      <c r="C868" s="507"/>
      <c r="D868" s="508"/>
      <c r="E868" s="507"/>
      <c r="F868" s="507"/>
      <c r="G868" s="507"/>
      <c r="H868" s="507"/>
      <c r="I868" s="507"/>
      <c r="J868" s="507"/>
      <c r="K868" s="507"/>
      <c r="L868" s="507"/>
      <c r="M868" s="507"/>
      <c r="N868" s="507"/>
    </row>
    <row r="869" ht="35.25" customHeight="1">
      <c r="A869" s="507"/>
      <c r="B869" s="507"/>
      <c r="C869" s="507"/>
      <c r="D869" s="508"/>
      <c r="E869" s="507"/>
      <c r="F869" s="507"/>
      <c r="G869" s="507"/>
      <c r="H869" s="507"/>
      <c r="I869" s="507"/>
      <c r="J869" s="507"/>
      <c r="K869" s="507"/>
      <c r="L869" s="507"/>
      <c r="M869" s="507"/>
      <c r="N869" s="507"/>
    </row>
    <row r="870" ht="35.25" customHeight="1">
      <c r="A870" s="507"/>
      <c r="B870" s="507"/>
      <c r="C870" s="507"/>
      <c r="D870" s="508"/>
      <c r="E870" s="507"/>
      <c r="F870" s="507"/>
      <c r="G870" s="507"/>
      <c r="H870" s="507"/>
      <c r="I870" s="507"/>
      <c r="J870" s="507"/>
      <c r="K870" s="507"/>
      <c r="L870" s="507"/>
      <c r="M870" s="507"/>
      <c r="N870" s="507"/>
    </row>
    <row r="871" ht="35.25" customHeight="1">
      <c r="A871" s="507"/>
      <c r="B871" s="507"/>
      <c r="C871" s="507"/>
      <c r="D871" s="508"/>
      <c r="E871" s="507"/>
      <c r="F871" s="507"/>
      <c r="G871" s="507"/>
      <c r="H871" s="507"/>
      <c r="I871" s="507"/>
      <c r="J871" s="507"/>
      <c r="K871" s="507"/>
      <c r="L871" s="507"/>
      <c r="M871" s="507"/>
      <c r="N871" s="507"/>
    </row>
    <row r="872" ht="35.25" customHeight="1">
      <c r="A872" s="507"/>
      <c r="B872" s="507"/>
      <c r="C872" s="507"/>
      <c r="D872" s="508"/>
      <c r="E872" s="507"/>
      <c r="F872" s="507"/>
      <c r="G872" s="507"/>
      <c r="H872" s="507"/>
      <c r="I872" s="507"/>
      <c r="J872" s="507"/>
      <c r="K872" s="507"/>
      <c r="L872" s="507"/>
      <c r="M872" s="507"/>
      <c r="N872" s="507"/>
    </row>
    <row r="873" ht="35.25" customHeight="1">
      <c r="A873" s="507"/>
      <c r="B873" s="507"/>
      <c r="C873" s="507"/>
      <c r="D873" s="508"/>
      <c r="E873" s="507"/>
      <c r="F873" s="507"/>
      <c r="G873" s="507"/>
      <c r="H873" s="507"/>
      <c r="I873" s="507"/>
      <c r="J873" s="507"/>
      <c r="K873" s="507"/>
      <c r="L873" s="507"/>
      <c r="M873" s="507"/>
      <c r="N873" s="507"/>
    </row>
    <row r="874" ht="35.25" customHeight="1">
      <c r="A874" s="507"/>
      <c r="B874" s="507"/>
      <c r="C874" s="507"/>
      <c r="D874" s="508"/>
      <c r="E874" s="507"/>
      <c r="F874" s="507"/>
      <c r="G874" s="507"/>
      <c r="H874" s="507"/>
      <c r="I874" s="507"/>
      <c r="J874" s="507"/>
      <c r="K874" s="507"/>
      <c r="L874" s="507"/>
      <c r="M874" s="507"/>
      <c r="N874" s="507"/>
    </row>
    <row r="875" ht="35.25" customHeight="1">
      <c r="A875" s="507"/>
      <c r="B875" s="507"/>
      <c r="C875" s="507"/>
      <c r="D875" s="508"/>
      <c r="E875" s="507"/>
      <c r="F875" s="507"/>
      <c r="G875" s="507"/>
      <c r="H875" s="507"/>
      <c r="I875" s="507"/>
      <c r="J875" s="507"/>
      <c r="K875" s="507"/>
      <c r="L875" s="507"/>
      <c r="M875" s="507"/>
      <c r="N875" s="507"/>
    </row>
    <row r="876" ht="35.25" customHeight="1">
      <c r="A876" s="507"/>
      <c r="B876" s="507"/>
      <c r="C876" s="507"/>
      <c r="D876" s="508"/>
      <c r="E876" s="507"/>
      <c r="F876" s="507"/>
      <c r="G876" s="507"/>
      <c r="H876" s="507"/>
      <c r="I876" s="507"/>
      <c r="J876" s="507"/>
      <c r="K876" s="507"/>
      <c r="L876" s="507"/>
      <c r="M876" s="507"/>
      <c r="N876" s="507"/>
    </row>
    <row r="877" ht="35.25" customHeight="1">
      <c r="A877" s="507"/>
      <c r="B877" s="507"/>
      <c r="C877" s="507"/>
      <c r="D877" s="508"/>
      <c r="E877" s="507"/>
      <c r="F877" s="507"/>
      <c r="G877" s="507"/>
      <c r="H877" s="507"/>
      <c r="I877" s="507"/>
      <c r="J877" s="507"/>
      <c r="K877" s="507"/>
      <c r="L877" s="507"/>
      <c r="M877" s="507"/>
      <c r="N877" s="507"/>
    </row>
    <row r="878" ht="35.25" customHeight="1">
      <c r="A878" s="507"/>
      <c r="B878" s="507"/>
      <c r="C878" s="507"/>
      <c r="D878" s="508"/>
      <c r="E878" s="507"/>
      <c r="F878" s="507"/>
      <c r="G878" s="507"/>
      <c r="H878" s="507"/>
      <c r="I878" s="507"/>
      <c r="J878" s="507"/>
      <c r="K878" s="507"/>
      <c r="L878" s="507"/>
      <c r="M878" s="507"/>
      <c r="N878" s="507"/>
    </row>
    <row r="879" ht="35.25" customHeight="1">
      <c r="A879" s="507"/>
      <c r="B879" s="507"/>
      <c r="C879" s="507"/>
      <c r="D879" s="508"/>
      <c r="E879" s="507"/>
      <c r="F879" s="507"/>
      <c r="G879" s="507"/>
      <c r="H879" s="507"/>
      <c r="I879" s="507"/>
      <c r="J879" s="507"/>
      <c r="K879" s="507"/>
      <c r="L879" s="507"/>
      <c r="M879" s="507"/>
      <c r="N879" s="507"/>
    </row>
    <row r="880" ht="35.25" customHeight="1">
      <c r="A880" s="507"/>
      <c r="B880" s="507"/>
      <c r="C880" s="507"/>
      <c r="D880" s="508"/>
      <c r="E880" s="507"/>
      <c r="F880" s="507"/>
      <c r="G880" s="507"/>
      <c r="H880" s="507"/>
      <c r="I880" s="507"/>
      <c r="J880" s="507"/>
      <c r="K880" s="507"/>
      <c r="L880" s="507"/>
      <c r="M880" s="507"/>
      <c r="N880" s="507"/>
    </row>
    <row r="881" ht="35.25" customHeight="1">
      <c r="A881" s="507"/>
      <c r="B881" s="507"/>
      <c r="C881" s="507"/>
      <c r="D881" s="508"/>
      <c r="E881" s="507"/>
      <c r="F881" s="507"/>
      <c r="G881" s="507"/>
      <c r="H881" s="507"/>
      <c r="I881" s="507"/>
      <c r="J881" s="507"/>
      <c r="K881" s="507"/>
      <c r="L881" s="507"/>
      <c r="M881" s="507"/>
      <c r="N881" s="507"/>
    </row>
    <row r="882" ht="35.25" customHeight="1">
      <c r="A882" s="507"/>
      <c r="B882" s="507"/>
      <c r="C882" s="507"/>
      <c r="D882" s="508"/>
      <c r="E882" s="507"/>
      <c r="F882" s="507"/>
      <c r="G882" s="507"/>
      <c r="H882" s="507"/>
      <c r="I882" s="507"/>
      <c r="J882" s="507"/>
      <c r="K882" s="507"/>
      <c r="L882" s="507"/>
      <c r="M882" s="507"/>
      <c r="N882" s="507"/>
    </row>
    <row r="883" ht="35.25" customHeight="1">
      <c r="A883" s="507"/>
      <c r="B883" s="507"/>
      <c r="C883" s="507"/>
      <c r="D883" s="508"/>
      <c r="E883" s="507"/>
      <c r="F883" s="507"/>
      <c r="G883" s="507"/>
      <c r="H883" s="507"/>
      <c r="I883" s="507"/>
      <c r="J883" s="507"/>
      <c r="K883" s="507"/>
      <c r="L883" s="507"/>
      <c r="M883" s="507"/>
      <c r="N883" s="507"/>
    </row>
    <row r="884" ht="35.25" customHeight="1">
      <c r="A884" s="507"/>
      <c r="B884" s="507"/>
      <c r="C884" s="507"/>
      <c r="D884" s="508"/>
      <c r="E884" s="507"/>
      <c r="F884" s="507"/>
      <c r="G884" s="507"/>
      <c r="H884" s="507"/>
      <c r="I884" s="507"/>
      <c r="J884" s="507"/>
      <c r="K884" s="507"/>
      <c r="L884" s="507"/>
      <c r="M884" s="507"/>
      <c r="N884" s="507"/>
    </row>
    <row r="885" ht="35.25" customHeight="1">
      <c r="A885" s="507"/>
      <c r="B885" s="507"/>
      <c r="C885" s="507"/>
      <c r="D885" s="508"/>
      <c r="E885" s="507"/>
      <c r="F885" s="507"/>
      <c r="G885" s="507"/>
      <c r="H885" s="507"/>
      <c r="I885" s="507"/>
      <c r="J885" s="507"/>
      <c r="K885" s="507"/>
      <c r="L885" s="507"/>
      <c r="M885" s="507"/>
      <c r="N885" s="507"/>
    </row>
    <row r="886" ht="35.25" customHeight="1">
      <c r="A886" s="507"/>
      <c r="B886" s="507"/>
      <c r="C886" s="507"/>
      <c r="D886" s="508"/>
      <c r="E886" s="507"/>
      <c r="F886" s="507"/>
      <c r="G886" s="507"/>
      <c r="H886" s="507"/>
      <c r="I886" s="507"/>
      <c r="J886" s="507"/>
      <c r="K886" s="507"/>
      <c r="L886" s="507"/>
      <c r="M886" s="507"/>
      <c r="N886" s="507"/>
    </row>
    <row r="887" ht="35.25" customHeight="1">
      <c r="A887" s="507"/>
      <c r="B887" s="507"/>
      <c r="C887" s="507"/>
      <c r="D887" s="508"/>
      <c r="E887" s="507"/>
      <c r="F887" s="507"/>
      <c r="G887" s="507"/>
      <c r="H887" s="507"/>
      <c r="I887" s="507"/>
      <c r="J887" s="507"/>
      <c r="K887" s="507"/>
      <c r="L887" s="507"/>
      <c r="M887" s="507"/>
      <c r="N887" s="507"/>
    </row>
    <row r="888" ht="35.25" customHeight="1">
      <c r="A888" s="507"/>
      <c r="B888" s="507"/>
      <c r="C888" s="507"/>
      <c r="D888" s="508"/>
      <c r="E888" s="507"/>
      <c r="F888" s="507"/>
      <c r="G888" s="507"/>
      <c r="H888" s="507"/>
      <c r="I888" s="507"/>
      <c r="J888" s="507"/>
      <c r="K888" s="507"/>
      <c r="L888" s="507"/>
      <c r="M888" s="507"/>
      <c r="N888" s="507"/>
    </row>
    <row r="889" ht="35.25" customHeight="1">
      <c r="A889" s="507"/>
      <c r="B889" s="507"/>
      <c r="C889" s="507"/>
      <c r="D889" s="508"/>
      <c r="E889" s="507"/>
      <c r="F889" s="507"/>
      <c r="G889" s="507"/>
      <c r="H889" s="507"/>
      <c r="I889" s="507"/>
      <c r="J889" s="507"/>
      <c r="K889" s="507"/>
      <c r="L889" s="507"/>
      <c r="M889" s="507"/>
      <c r="N889" s="507"/>
    </row>
    <row r="890" ht="35.25" customHeight="1">
      <c r="A890" s="507"/>
      <c r="B890" s="507"/>
      <c r="C890" s="507"/>
      <c r="D890" s="508"/>
      <c r="E890" s="507"/>
      <c r="F890" s="507"/>
      <c r="G890" s="507"/>
      <c r="H890" s="507"/>
      <c r="I890" s="507"/>
      <c r="J890" s="507"/>
      <c r="K890" s="507"/>
      <c r="L890" s="507"/>
      <c r="M890" s="507"/>
      <c r="N890" s="507"/>
    </row>
    <row r="891" ht="35.25" customHeight="1">
      <c r="A891" s="507"/>
      <c r="B891" s="507"/>
      <c r="C891" s="507"/>
      <c r="D891" s="508"/>
      <c r="E891" s="507"/>
      <c r="F891" s="507"/>
      <c r="G891" s="507"/>
      <c r="H891" s="507"/>
      <c r="I891" s="507"/>
      <c r="J891" s="507"/>
      <c r="K891" s="507"/>
      <c r="L891" s="507"/>
      <c r="M891" s="507"/>
      <c r="N891" s="507"/>
    </row>
    <row r="892" ht="35.25" customHeight="1">
      <c r="A892" s="507"/>
      <c r="B892" s="507"/>
      <c r="C892" s="507"/>
      <c r="D892" s="508"/>
      <c r="E892" s="507"/>
      <c r="F892" s="507"/>
      <c r="G892" s="507"/>
      <c r="H892" s="507"/>
      <c r="I892" s="507"/>
      <c r="J892" s="507"/>
      <c r="K892" s="507"/>
      <c r="L892" s="507"/>
      <c r="M892" s="507"/>
      <c r="N892" s="507"/>
    </row>
    <row r="893" ht="35.25" customHeight="1">
      <c r="A893" s="507"/>
      <c r="B893" s="507"/>
      <c r="C893" s="507"/>
      <c r="D893" s="508"/>
      <c r="E893" s="507"/>
      <c r="F893" s="507"/>
      <c r="G893" s="507"/>
      <c r="H893" s="507"/>
      <c r="I893" s="507"/>
      <c r="J893" s="507"/>
      <c r="K893" s="507"/>
      <c r="L893" s="507"/>
      <c r="M893" s="507"/>
      <c r="N893" s="507"/>
    </row>
    <row r="894" ht="35.25" customHeight="1">
      <c r="A894" s="507"/>
      <c r="B894" s="507"/>
      <c r="C894" s="507"/>
      <c r="D894" s="508"/>
      <c r="E894" s="507"/>
      <c r="F894" s="507"/>
      <c r="G894" s="507"/>
      <c r="H894" s="507"/>
      <c r="I894" s="507"/>
      <c r="J894" s="507"/>
      <c r="K894" s="507"/>
      <c r="L894" s="507"/>
      <c r="M894" s="507"/>
      <c r="N894" s="507"/>
    </row>
    <row r="895" ht="35.25" customHeight="1">
      <c r="A895" s="507"/>
      <c r="B895" s="507"/>
      <c r="C895" s="507"/>
      <c r="D895" s="508"/>
      <c r="E895" s="507"/>
      <c r="F895" s="507"/>
      <c r="G895" s="507"/>
      <c r="H895" s="507"/>
      <c r="I895" s="507"/>
      <c r="J895" s="507"/>
      <c r="K895" s="507"/>
      <c r="L895" s="507"/>
      <c r="M895" s="507"/>
      <c r="N895" s="507"/>
    </row>
    <row r="896" ht="35.25" customHeight="1">
      <c r="A896" s="507"/>
      <c r="B896" s="507"/>
      <c r="C896" s="507"/>
      <c r="D896" s="508"/>
      <c r="E896" s="507"/>
      <c r="F896" s="507"/>
      <c r="G896" s="507"/>
      <c r="H896" s="507"/>
      <c r="I896" s="507"/>
      <c r="J896" s="507"/>
      <c r="K896" s="507"/>
      <c r="L896" s="507"/>
      <c r="M896" s="507"/>
      <c r="N896" s="507"/>
    </row>
    <row r="897" ht="35.25" customHeight="1">
      <c r="A897" s="507"/>
      <c r="B897" s="507"/>
      <c r="C897" s="507"/>
      <c r="D897" s="508"/>
      <c r="E897" s="507"/>
      <c r="F897" s="507"/>
      <c r="G897" s="507"/>
      <c r="H897" s="507"/>
      <c r="I897" s="507"/>
      <c r="J897" s="507"/>
      <c r="K897" s="507"/>
      <c r="L897" s="507"/>
      <c r="M897" s="507"/>
      <c r="N897" s="507"/>
    </row>
    <row r="898" ht="35.25" customHeight="1">
      <c r="A898" s="507"/>
      <c r="B898" s="507"/>
      <c r="C898" s="507"/>
      <c r="D898" s="508"/>
      <c r="E898" s="507"/>
      <c r="F898" s="507"/>
      <c r="G898" s="507"/>
      <c r="H898" s="507"/>
      <c r="I898" s="507"/>
      <c r="J898" s="507"/>
      <c r="K898" s="507"/>
      <c r="L898" s="507"/>
      <c r="M898" s="507"/>
      <c r="N898" s="507"/>
    </row>
    <row r="899" ht="35.25" customHeight="1">
      <c r="A899" s="507"/>
      <c r="B899" s="507"/>
      <c r="C899" s="507"/>
      <c r="D899" s="508"/>
      <c r="E899" s="507"/>
      <c r="F899" s="507"/>
      <c r="G899" s="507"/>
      <c r="H899" s="507"/>
      <c r="I899" s="507"/>
      <c r="J899" s="507"/>
      <c r="K899" s="507"/>
      <c r="L899" s="507"/>
      <c r="M899" s="507"/>
      <c r="N899" s="507"/>
    </row>
    <row r="900" ht="35.25" customHeight="1">
      <c r="A900" s="507"/>
      <c r="B900" s="507"/>
      <c r="C900" s="507"/>
      <c r="D900" s="508"/>
      <c r="E900" s="507"/>
      <c r="F900" s="507"/>
      <c r="G900" s="507"/>
      <c r="H900" s="507"/>
      <c r="I900" s="507"/>
      <c r="J900" s="507"/>
      <c r="K900" s="507"/>
      <c r="L900" s="507"/>
      <c r="M900" s="507"/>
      <c r="N900" s="507"/>
    </row>
    <row r="901" ht="35.25" customHeight="1">
      <c r="A901" s="507"/>
      <c r="B901" s="507"/>
      <c r="C901" s="507"/>
      <c r="D901" s="508"/>
      <c r="E901" s="507"/>
      <c r="F901" s="507"/>
      <c r="G901" s="507"/>
      <c r="H901" s="507"/>
      <c r="I901" s="507"/>
      <c r="J901" s="507"/>
      <c r="K901" s="507"/>
      <c r="L901" s="507"/>
      <c r="M901" s="507"/>
      <c r="N901" s="507"/>
    </row>
    <row r="902" ht="35.25" customHeight="1">
      <c r="A902" s="507"/>
      <c r="B902" s="507"/>
      <c r="C902" s="507"/>
      <c r="D902" s="508"/>
      <c r="E902" s="507"/>
      <c r="F902" s="507"/>
      <c r="G902" s="507"/>
      <c r="H902" s="507"/>
      <c r="I902" s="507"/>
      <c r="J902" s="507"/>
      <c r="K902" s="507"/>
      <c r="L902" s="507"/>
      <c r="M902" s="507"/>
      <c r="N902" s="507"/>
    </row>
    <row r="903" ht="35.25" customHeight="1">
      <c r="A903" s="507"/>
      <c r="B903" s="507"/>
      <c r="C903" s="507"/>
      <c r="D903" s="508"/>
      <c r="E903" s="507"/>
      <c r="F903" s="507"/>
      <c r="G903" s="507"/>
      <c r="H903" s="507"/>
      <c r="I903" s="507"/>
      <c r="J903" s="507"/>
      <c r="K903" s="507"/>
      <c r="L903" s="507"/>
      <c r="M903" s="507"/>
      <c r="N903" s="507"/>
    </row>
    <row r="904" ht="35.25" customHeight="1">
      <c r="A904" s="507"/>
      <c r="B904" s="507"/>
      <c r="C904" s="507"/>
      <c r="D904" s="508"/>
      <c r="E904" s="507"/>
      <c r="F904" s="507"/>
      <c r="G904" s="507"/>
      <c r="H904" s="507"/>
      <c r="I904" s="507"/>
      <c r="J904" s="507"/>
      <c r="K904" s="507"/>
      <c r="L904" s="507"/>
      <c r="M904" s="507"/>
      <c r="N904" s="507"/>
    </row>
    <row r="905" ht="35.25" customHeight="1">
      <c r="A905" s="507"/>
      <c r="B905" s="507"/>
      <c r="C905" s="507"/>
      <c r="D905" s="508"/>
      <c r="E905" s="507"/>
      <c r="F905" s="507"/>
      <c r="G905" s="507"/>
      <c r="H905" s="507"/>
      <c r="I905" s="507"/>
      <c r="J905" s="507"/>
      <c r="K905" s="507"/>
      <c r="L905" s="507"/>
      <c r="M905" s="507"/>
      <c r="N905" s="507"/>
    </row>
    <row r="906" ht="35.25" customHeight="1">
      <c r="A906" s="507"/>
      <c r="B906" s="507"/>
      <c r="C906" s="507"/>
      <c r="D906" s="508"/>
      <c r="E906" s="507"/>
      <c r="F906" s="507"/>
      <c r="G906" s="507"/>
      <c r="H906" s="507"/>
      <c r="I906" s="507"/>
      <c r="J906" s="507"/>
      <c r="K906" s="507"/>
      <c r="L906" s="507"/>
      <c r="M906" s="507"/>
      <c r="N906" s="507"/>
    </row>
    <row r="907" ht="35.25" customHeight="1">
      <c r="A907" s="507"/>
      <c r="B907" s="507"/>
      <c r="C907" s="507"/>
      <c r="D907" s="508"/>
      <c r="E907" s="507"/>
      <c r="F907" s="507"/>
      <c r="G907" s="507"/>
      <c r="H907" s="507"/>
      <c r="I907" s="507"/>
      <c r="J907" s="507"/>
      <c r="K907" s="507"/>
      <c r="L907" s="507"/>
      <c r="M907" s="507"/>
      <c r="N907" s="507"/>
    </row>
    <row r="908" ht="35.25" customHeight="1">
      <c r="A908" s="507"/>
      <c r="B908" s="507"/>
      <c r="C908" s="507"/>
      <c r="D908" s="508"/>
      <c r="E908" s="507"/>
      <c r="F908" s="507"/>
      <c r="G908" s="507"/>
      <c r="H908" s="507"/>
      <c r="I908" s="507"/>
      <c r="J908" s="507"/>
      <c r="K908" s="507"/>
      <c r="L908" s="507"/>
      <c r="M908" s="507"/>
      <c r="N908" s="507"/>
    </row>
    <row r="909" ht="35.25" customHeight="1">
      <c r="A909" s="507"/>
      <c r="B909" s="507"/>
      <c r="C909" s="507"/>
      <c r="D909" s="508"/>
      <c r="E909" s="507"/>
      <c r="F909" s="507"/>
      <c r="G909" s="507"/>
      <c r="H909" s="507"/>
      <c r="I909" s="507"/>
      <c r="J909" s="507"/>
      <c r="K909" s="507"/>
      <c r="L909" s="507"/>
      <c r="M909" s="507"/>
      <c r="N909" s="507"/>
    </row>
    <row r="910" ht="35.25" customHeight="1">
      <c r="A910" s="507"/>
      <c r="B910" s="507"/>
      <c r="C910" s="507"/>
      <c r="D910" s="508"/>
      <c r="E910" s="507"/>
      <c r="F910" s="507"/>
      <c r="G910" s="507"/>
      <c r="H910" s="507"/>
      <c r="I910" s="507"/>
      <c r="J910" s="507"/>
      <c r="K910" s="507"/>
      <c r="L910" s="507"/>
      <c r="M910" s="507"/>
      <c r="N910" s="507"/>
    </row>
    <row r="911" ht="35.25" customHeight="1">
      <c r="A911" s="507"/>
      <c r="B911" s="507"/>
      <c r="C911" s="507"/>
      <c r="D911" s="508"/>
      <c r="E911" s="507"/>
      <c r="F911" s="507"/>
      <c r="G911" s="507"/>
      <c r="H911" s="507"/>
      <c r="I911" s="507"/>
      <c r="J911" s="507"/>
      <c r="K911" s="507"/>
      <c r="L911" s="507"/>
      <c r="M911" s="507"/>
      <c r="N911" s="507"/>
    </row>
    <row r="912" ht="35.25" customHeight="1">
      <c r="A912" s="507"/>
      <c r="B912" s="507"/>
      <c r="C912" s="507"/>
      <c r="D912" s="508"/>
      <c r="E912" s="507"/>
      <c r="F912" s="507"/>
      <c r="G912" s="507"/>
      <c r="H912" s="507"/>
      <c r="I912" s="507"/>
      <c r="J912" s="507"/>
      <c r="K912" s="507"/>
      <c r="L912" s="507"/>
      <c r="M912" s="507"/>
      <c r="N912" s="507"/>
    </row>
    <row r="913" ht="35.25" customHeight="1">
      <c r="A913" s="507"/>
      <c r="B913" s="507"/>
      <c r="C913" s="507"/>
      <c r="D913" s="508"/>
      <c r="E913" s="507"/>
      <c r="F913" s="507"/>
      <c r="G913" s="507"/>
      <c r="H913" s="507"/>
      <c r="I913" s="507"/>
      <c r="J913" s="507"/>
      <c r="K913" s="507"/>
      <c r="L913" s="507"/>
      <c r="M913" s="507"/>
      <c r="N913" s="507"/>
    </row>
    <row r="914" ht="35.25" customHeight="1">
      <c r="A914" s="507"/>
      <c r="B914" s="507"/>
      <c r="C914" s="507"/>
      <c r="D914" s="508"/>
      <c r="E914" s="507"/>
      <c r="F914" s="507"/>
      <c r="G914" s="507"/>
      <c r="H914" s="507"/>
      <c r="I914" s="507"/>
      <c r="J914" s="507"/>
      <c r="K914" s="507"/>
      <c r="L914" s="507"/>
      <c r="M914" s="507"/>
      <c r="N914" s="507"/>
    </row>
    <row r="915" ht="35.25" customHeight="1">
      <c r="A915" s="507"/>
      <c r="B915" s="507"/>
      <c r="C915" s="507"/>
      <c r="D915" s="508"/>
      <c r="E915" s="507"/>
      <c r="F915" s="507"/>
      <c r="G915" s="507"/>
      <c r="H915" s="507"/>
      <c r="I915" s="507"/>
      <c r="J915" s="507"/>
      <c r="K915" s="507"/>
      <c r="L915" s="507"/>
      <c r="M915" s="507"/>
      <c r="N915" s="507"/>
    </row>
    <row r="916" ht="35.25" customHeight="1">
      <c r="A916" s="507"/>
      <c r="B916" s="507"/>
      <c r="C916" s="507"/>
      <c r="D916" s="508"/>
      <c r="E916" s="507"/>
      <c r="F916" s="507"/>
      <c r="G916" s="507"/>
      <c r="H916" s="507"/>
      <c r="I916" s="507"/>
      <c r="J916" s="507"/>
      <c r="K916" s="507"/>
      <c r="L916" s="507"/>
      <c r="M916" s="507"/>
      <c r="N916" s="507"/>
    </row>
    <row r="917" ht="35.25" customHeight="1">
      <c r="A917" s="507"/>
      <c r="B917" s="507"/>
      <c r="C917" s="507"/>
      <c r="D917" s="508"/>
      <c r="E917" s="507"/>
      <c r="F917" s="507"/>
      <c r="G917" s="507"/>
      <c r="H917" s="507"/>
      <c r="I917" s="507"/>
      <c r="J917" s="507"/>
      <c r="K917" s="507"/>
      <c r="L917" s="507"/>
      <c r="M917" s="507"/>
      <c r="N917" s="507"/>
    </row>
    <row r="918" ht="35.25" customHeight="1">
      <c r="A918" s="507"/>
      <c r="B918" s="507"/>
      <c r="C918" s="507"/>
      <c r="D918" s="508"/>
      <c r="E918" s="507"/>
      <c r="F918" s="507"/>
      <c r="G918" s="507"/>
      <c r="H918" s="507"/>
      <c r="I918" s="507"/>
      <c r="J918" s="507"/>
      <c r="K918" s="507"/>
      <c r="L918" s="507"/>
      <c r="M918" s="507"/>
      <c r="N918" s="507"/>
    </row>
    <row r="919" ht="35.25" customHeight="1">
      <c r="A919" s="507"/>
      <c r="B919" s="507"/>
      <c r="C919" s="507"/>
      <c r="D919" s="508"/>
      <c r="E919" s="507"/>
      <c r="F919" s="507"/>
      <c r="G919" s="507"/>
      <c r="H919" s="507"/>
      <c r="I919" s="507"/>
      <c r="J919" s="507"/>
      <c r="K919" s="507"/>
      <c r="L919" s="507"/>
      <c r="M919" s="507"/>
      <c r="N919" s="507"/>
    </row>
    <row r="920" ht="35.25" customHeight="1">
      <c r="A920" s="507"/>
      <c r="B920" s="507"/>
      <c r="C920" s="507"/>
      <c r="D920" s="508"/>
      <c r="E920" s="507"/>
      <c r="F920" s="507"/>
      <c r="G920" s="507"/>
      <c r="H920" s="507"/>
      <c r="I920" s="507"/>
      <c r="J920" s="507"/>
      <c r="K920" s="507"/>
      <c r="L920" s="507"/>
      <c r="M920" s="507"/>
      <c r="N920" s="507"/>
    </row>
    <row r="921" ht="35.25" customHeight="1">
      <c r="A921" s="507"/>
      <c r="B921" s="507"/>
      <c r="C921" s="507"/>
      <c r="D921" s="508"/>
      <c r="E921" s="507"/>
      <c r="F921" s="507"/>
      <c r="G921" s="507"/>
      <c r="H921" s="507"/>
      <c r="I921" s="507"/>
      <c r="J921" s="507"/>
      <c r="K921" s="507"/>
      <c r="L921" s="507"/>
      <c r="M921" s="507"/>
      <c r="N921" s="507"/>
    </row>
    <row r="922" ht="35.25" customHeight="1">
      <c r="A922" s="507"/>
      <c r="B922" s="507"/>
      <c r="C922" s="507"/>
      <c r="D922" s="508"/>
      <c r="E922" s="507"/>
      <c r="F922" s="507"/>
      <c r="G922" s="507"/>
      <c r="H922" s="507"/>
      <c r="I922" s="507"/>
      <c r="J922" s="507"/>
      <c r="K922" s="507"/>
      <c r="L922" s="507"/>
      <c r="M922" s="507"/>
      <c r="N922" s="507"/>
    </row>
    <row r="923" ht="35.25" customHeight="1">
      <c r="A923" s="507"/>
      <c r="B923" s="507"/>
      <c r="C923" s="507"/>
      <c r="D923" s="508"/>
      <c r="E923" s="507"/>
      <c r="F923" s="507"/>
      <c r="G923" s="507"/>
      <c r="H923" s="507"/>
      <c r="I923" s="507"/>
      <c r="J923" s="507"/>
      <c r="K923" s="507"/>
      <c r="L923" s="507"/>
      <c r="M923" s="507"/>
      <c r="N923" s="507"/>
    </row>
    <row r="924" ht="35.25" customHeight="1">
      <c r="A924" s="507"/>
      <c r="B924" s="507"/>
      <c r="C924" s="507"/>
      <c r="D924" s="508"/>
      <c r="E924" s="507"/>
      <c r="F924" s="507"/>
      <c r="G924" s="507"/>
      <c r="H924" s="507"/>
      <c r="I924" s="507"/>
      <c r="J924" s="507"/>
      <c r="K924" s="507"/>
      <c r="L924" s="507"/>
      <c r="M924" s="507"/>
      <c r="N924" s="507"/>
    </row>
    <row r="925" ht="35.25" customHeight="1">
      <c r="A925" s="507"/>
      <c r="B925" s="507"/>
      <c r="C925" s="507"/>
      <c r="D925" s="508"/>
      <c r="E925" s="507"/>
      <c r="F925" s="507"/>
      <c r="G925" s="507"/>
      <c r="H925" s="507"/>
      <c r="I925" s="507"/>
      <c r="J925" s="507"/>
      <c r="K925" s="507"/>
      <c r="L925" s="507"/>
      <c r="M925" s="507"/>
      <c r="N925" s="507"/>
    </row>
    <row r="926" ht="35.25" customHeight="1">
      <c r="A926" s="507"/>
      <c r="B926" s="507"/>
      <c r="C926" s="507"/>
      <c r="D926" s="508"/>
      <c r="E926" s="507"/>
      <c r="F926" s="507"/>
      <c r="G926" s="507"/>
      <c r="H926" s="507"/>
      <c r="I926" s="507"/>
      <c r="J926" s="507"/>
      <c r="K926" s="507"/>
      <c r="L926" s="507"/>
      <c r="M926" s="507"/>
      <c r="N926" s="507"/>
    </row>
    <row r="927" ht="35.25" customHeight="1">
      <c r="A927" s="507"/>
      <c r="B927" s="507"/>
      <c r="C927" s="507"/>
      <c r="D927" s="508"/>
      <c r="E927" s="507"/>
      <c r="F927" s="507"/>
      <c r="G927" s="507"/>
      <c r="H927" s="507"/>
      <c r="I927" s="507"/>
      <c r="J927" s="507"/>
      <c r="K927" s="507"/>
      <c r="L927" s="507"/>
      <c r="M927" s="507"/>
      <c r="N927" s="507"/>
    </row>
    <row r="928" ht="35.25" customHeight="1">
      <c r="A928" s="507"/>
      <c r="B928" s="507"/>
      <c r="C928" s="507"/>
      <c r="D928" s="508"/>
      <c r="E928" s="507"/>
      <c r="F928" s="507"/>
      <c r="G928" s="507"/>
      <c r="H928" s="507"/>
      <c r="I928" s="507"/>
      <c r="J928" s="507"/>
      <c r="K928" s="507"/>
      <c r="L928" s="507"/>
      <c r="M928" s="507"/>
      <c r="N928" s="507"/>
    </row>
    <row r="929" ht="35.25" customHeight="1">
      <c r="A929" s="507"/>
      <c r="B929" s="507"/>
      <c r="C929" s="507"/>
      <c r="D929" s="508"/>
      <c r="E929" s="507"/>
      <c r="F929" s="507"/>
      <c r="G929" s="507"/>
      <c r="H929" s="507"/>
      <c r="I929" s="507"/>
      <c r="J929" s="507"/>
      <c r="K929" s="507"/>
      <c r="L929" s="507"/>
      <c r="M929" s="507"/>
      <c r="N929" s="507"/>
    </row>
    <row r="930" ht="35.25" customHeight="1">
      <c r="A930" s="507"/>
      <c r="B930" s="507"/>
      <c r="C930" s="507"/>
      <c r="D930" s="508"/>
      <c r="E930" s="507"/>
      <c r="F930" s="507"/>
      <c r="G930" s="507"/>
      <c r="H930" s="507"/>
      <c r="I930" s="507"/>
      <c r="J930" s="507"/>
      <c r="K930" s="507"/>
      <c r="L930" s="507"/>
      <c r="M930" s="507"/>
      <c r="N930" s="507"/>
    </row>
    <row r="931" ht="35.25" customHeight="1">
      <c r="A931" s="507"/>
      <c r="B931" s="507"/>
      <c r="C931" s="507"/>
      <c r="D931" s="508"/>
      <c r="E931" s="507"/>
      <c r="F931" s="507"/>
      <c r="G931" s="507"/>
      <c r="H931" s="507"/>
      <c r="I931" s="507"/>
      <c r="J931" s="507"/>
      <c r="K931" s="507"/>
      <c r="L931" s="507"/>
      <c r="M931" s="507"/>
      <c r="N931" s="507"/>
    </row>
    <row r="932" ht="35.25" customHeight="1">
      <c r="A932" s="507"/>
      <c r="B932" s="507"/>
      <c r="C932" s="507"/>
      <c r="D932" s="508"/>
      <c r="E932" s="507"/>
      <c r="F932" s="507"/>
      <c r="G932" s="507"/>
      <c r="H932" s="507"/>
      <c r="I932" s="507"/>
      <c r="J932" s="507"/>
      <c r="K932" s="507"/>
      <c r="L932" s="507"/>
      <c r="M932" s="507"/>
      <c r="N932" s="507"/>
    </row>
    <row r="933" ht="35.25" customHeight="1">
      <c r="A933" s="507"/>
      <c r="B933" s="507"/>
      <c r="C933" s="507"/>
      <c r="D933" s="508"/>
      <c r="E933" s="507"/>
      <c r="F933" s="507"/>
      <c r="G933" s="507"/>
      <c r="H933" s="507"/>
      <c r="I933" s="507"/>
      <c r="J933" s="507"/>
      <c r="K933" s="507"/>
      <c r="L933" s="507"/>
      <c r="M933" s="507"/>
      <c r="N933" s="507"/>
    </row>
    <row r="934" ht="35.25" customHeight="1">
      <c r="A934" s="507"/>
      <c r="B934" s="507"/>
      <c r="C934" s="507"/>
      <c r="D934" s="508"/>
      <c r="E934" s="507"/>
      <c r="F934" s="507"/>
      <c r="G934" s="507"/>
      <c r="H934" s="507"/>
      <c r="I934" s="507"/>
      <c r="J934" s="507"/>
      <c r="K934" s="507"/>
      <c r="L934" s="507"/>
      <c r="M934" s="507"/>
      <c r="N934" s="507"/>
    </row>
    <row r="935" ht="35.25" customHeight="1">
      <c r="A935" s="507"/>
      <c r="B935" s="507"/>
      <c r="C935" s="507"/>
      <c r="D935" s="508"/>
      <c r="E935" s="507"/>
      <c r="F935" s="507"/>
      <c r="G935" s="507"/>
      <c r="H935" s="507"/>
      <c r="I935" s="507"/>
      <c r="J935" s="507"/>
      <c r="K935" s="507"/>
      <c r="L935" s="507"/>
      <c r="M935" s="507"/>
      <c r="N935" s="507"/>
    </row>
    <row r="936" ht="35.25" customHeight="1">
      <c r="A936" s="507"/>
      <c r="B936" s="507"/>
      <c r="C936" s="507"/>
      <c r="D936" s="508"/>
      <c r="E936" s="507"/>
      <c r="F936" s="507"/>
      <c r="G936" s="507"/>
      <c r="H936" s="507"/>
      <c r="I936" s="507"/>
      <c r="J936" s="507"/>
      <c r="K936" s="507"/>
      <c r="L936" s="507"/>
      <c r="M936" s="507"/>
      <c r="N936" s="507"/>
    </row>
    <row r="937" ht="35.25" customHeight="1">
      <c r="A937" s="507"/>
      <c r="B937" s="507"/>
      <c r="C937" s="507"/>
      <c r="D937" s="508"/>
      <c r="E937" s="507"/>
      <c r="F937" s="507"/>
      <c r="G937" s="507"/>
      <c r="H937" s="507"/>
      <c r="I937" s="507"/>
      <c r="J937" s="507"/>
      <c r="K937" s="507"/>
      <c r="L937" s="507"/>
      <c r="M937" s="507"/>
      <c r="N937" s="507"/>
    </row>
    <row r="938" ht="35.25" customHeight="1">
      <c r="A938" s="507"/>
      <c r="B938" s="507"/>
      <c r="C938" s="507"/>
      <c r="D938" s="508"/>
      <c r="E938" s="507"/>
      <c r="F938" s="507"/>
      <c r="G938" s="507"/>
      <c r="H938" s="507"/>
      <c r="I938" s="507"/>
      <c r="J938" s="507"/>
      <c r="K938" s="507"/>
      <c r="L938" s="507"/>
      <c r="M938" s="507"/>
      <c r="N938" s="507"/>
    </row>
    <row r="939" ht="35.25" customHeight="1">
      <c r="A939" s="507"/>
      <c r="B939" s="507"/>
      <c r="C939" s="507"/>
      <c r="D939" s="508"/>
      <c r="E939" s="507"/>
      <c r="F939" s="507"/>
      <c r="G939" s="507"/>
      <c r="H939" s="507"/>
      <c r="I939" s="507"/>
      <c r="J939" s="507"/>
      <c r="K939" s="507"/>
      <c r="L939" s="507"/>
      <c r="M939" s="507"/>
      <c r="N939" s="507"/>
    </row>
    <row r="940" ht="35.25" customHeight="1">
      <c r="A940" s="507"/>
      <c r="B940" s="507"/>
      <c r="C940" s="507"/>
      <c r="D940" s="508"/>
      <c r="E940" s="507"/>
      <c r="F940" s="507"/>
      <c r="G940" s="507"/>
      <c r="H940" s="507"/>
      <c r="I940" s="507"/>
      <c r="J940" s="507"/>
      <c r="K940" s="507"/>
      <c r="L940" s="507"/>
      <c r="M940" s="507"/>
      <c r="N940" s="507"/>
    </row>
    <row r="941" ht="35.25" customHeight="1">
      <c r="A941" s="507"/>
      <c r="B941" s="507"/>
      <c r="C941" s="507"/>
      <c r="D941" s="508"/>
      <c r="E941" s="507"/>
      <c r="F941" s="507"/>
      <c r="G941" s="507"/>
      <c r="H941" s="507"/>
      <c r="I941" s="507"/>
      <c r="J941" s="507"/>
      <c r="K941" s="507"/>
      <c r="L941" s="507"/>
      <c r="M941" s="507"/>
      <c r="N941" s="507"/>
    </row>
    <row r="942" ht="35.25" customHeight="1">
      <c r="A942" s="507"/>
      <c r="B942" s="507"/>
      <c r="C942" s="507"/>
      <c r="D942" s="508"/>
      <c r="E942" s="507"/>
      <c r="F942" s="507"/>
      <c r="G942" s="507"/>
      <c r="H942" s="507"/>
      <c r="I942" s="507"/>
      <c r="J942" s="507"/>
      <c r="K942" s="507"/>
      <c r="L942" s="507"/>
      <c r="M942" s="507"/>
      <c r="N942" s="507"/>
    </row>
    <row r="943" ht="35.25" customHeight="1">
      <c r="A943" s="507"/>
      <c r="B943" s="507"/>
      <c r="C943" s="507"/>
      <c r="D943" s="508"/>
      <c r="E943" s="507"/>
      <c r="F943" s="507"/>
      <c r="G943" s="507"/>
      <c r="H943" s="507"/>
      <c r="I943" s="507"/>
      <c r="J943" s="507"/>
      <c r="K943" s="507"/>
      <c r="L943" s="507"/>
      <c r="M943" s="507"/>
      <c r="N943" s="507"/>
    </row>
    <row r="944" ht="35.25" customHeight="1">
      <c r="A944" s="507"/>
      <c r="B944" s="507"/>
      <c r="C944" s="507"/>
      <c r="D944" s="508"/>
      <c r="E944" s="507"/>
      <c r="F944" s="507"/>
      <c r="G944" s="507"/>
      <c r="H944" s="507"/>
      <c r="I944" s="507"/>
      <c r="J944" s="507"/>
      <c r="K944" s="507"/>
      <c r="L944" s="507"/>
      <c r="M944" s="507"/>
      <c r="N944" s="507"/>
    </row>
    <row r="945" ht="35.25" customHeight="1">
      <c r="A945" s="507"/>
      <c r="B945" s="507"/>
      <c r="C945" s="507"/>
      <c r="D945" s="507"/>
      <c r="E945" s="507"/>
      <c r="F945" s="507"/>
      <c r="G945" s="507"/>
      <c r="H945" s="507"/>
      <c r="I945" s="507"/>
      <c r="J945" s="507"/>
      <c r="K945" s="507"/>
      <c r="L945" s="507"/>
      <c r="M945" s="507"/>
      <c r="N945" s="507"/>
    </row>
    <row r="946" ht="35.25" customHeight="1">
      <c r="A946" s="507"/>
      <c r="B946" s="507"/>
      <c r="C946" s="507"/>
      <c r="D946" s="507"/>
      <c r="E946" s="507"/>
      <c r="F946" s="507"/>
      <c r="G946" s="507"/>
      <c r="H946" s="507"/>
      <c r="I946" s="507"/>
      <c r="J946" s="507"/>
      <c r="K946" s="507"/>
      <c r="L946" s="507"/>
      <c r="M946" s="507"/>
      <c r="N946" s="507"/>
    </row>
    <row r="947" ht="35.25" customHeight="1">
      <c r="A947" s="507"/>
      <c r="B947" s="507"/>
      <c r="C947" s="507"/>
      <c r="D947" s="507"/>
      <c r="E947" s="507"/>
      <c r="F947" s="507"/>
      <c r="G947" s="507"/>
      <c r="H947" s="507"/>
      <c r="I947" s="507"/>
      <c r="J947" s="507"/>
      <c r="K947" s="507"/>
      <c r="L947" s="507"/>
      <c r="M947" s="507"/>
      <c r="N947" s="507"/>
    </row>
    <row r="948" ht="35.25" customHeight="1">
      <c r="A948" s="507"/>
      <c r="B948" s="507"/>
      <c r="C948" s="507"/>
      <c r="D948" s="507"/>
      <c r="E948" s="507"/>
      <c r="F948" s="507"/>
      <c r="G948" s="507"/>
      <c r="H948" s="507"/>
      <c r="I948" s="507"/>
      <c r="J948" s="507"/>
      <c r="K948" s="507"/>
      <c r="L948" s="507"/>
      <c r="M948" s="507"/>
      <c r="N948" s="507"/>
    </row>
  </sheetData>
  <mergeCells count="229">
    <mergeCell ref="D113:D118"/>
    <mergeCell ref="D119:D122"/>
    <mergeCell ref="D82:D85"/>
    <mergeCell ref="D86:D90"/>
    <mergeCell ref="D91:D94"/>
    <mergeCell ref="D95:D98"/>
    <mergeCell ref="D99:D102"/>
    <mergeCell ref="D103:D106"/>
    <mergeCell ref="D107:D112"/>
    <mergeCell ref="A2:D2"/>
    <mergeCell ref="A4:A7"/>
    <mergeCell ref="D4:D7"/>
    <mergeCell ref="E4:E5"/>
    <mergeCell ref="A8:A12"/>
    <mergeCell ref="D8:D12"/>
    <mergeCell ref="D13:D17"/>
    <mergeCell ref="A13:A17"/>
    <mergeCell ref="A18:A20"/>
    <mergeCell ref="A21:A24"/>
    <mergeCell ref="A25:A29"/>
    <mergeCell ref="A30:A34"/>
    <mergeCell ref="A35:A39"/>
    <mergeCell ref="A40:A44"/>
    <mergeCell ref="D18:D20"/>
    <mergeCell ref="D21:D24"/>
    <mergeCell ref="D25:D29"/>
    <mergeCell ref="D30:D34"/>
    <mergeCell ref="D36:D39"/>
    <mergeCell ref="D40:D44"/>
    <mergeCell ref="D45:D48"/>
    <mergeCell ref="A45:A48"/>
    <mergeCell ref="A49:A54"/>
    <mergeCell ref="A55:A59"/>
    <mergeCell ref="A60:A63"/>
    <mergeCell ref="A64:A67"/>
    <mergeCell ref="A68:A71"/>
    <mergeCell ref="A72:A76"/>
    <mergeCell ref="A77:A81"/>
    <mergeCell ref="A82:A85"/>
    <mergeCell ref="A86:A90"/>
    <mergeCell ref="A91:A94"/>
    <mergeCell ref="A95:A98"/>
    <mergeCell ref="A99:A102"/>
    <mergeCell ref="A103:A106"/>
    <mergeCell ref="D49:D54"/>
    <mergeCell ref="D55:D59"/>
    <mergeCell ref="D60:D63"/>
    <mergeCell ref="D64:D67"/>
    <mergeCell ref="D68:D71"/>
    <mergeCell ref="D72:D76"/>
    <mergeCell ref="D77:D81"/>
    <mergeCell ref="D123:D127"/>
    <mergeCell ref="D128:D131"/>
    <mergeCell ref="D132:D136"/>
    <mergeCell ref="D137:D145"/>
    <mergeCell ref="D146:D149"/>
    <mergeCell ref="D150:D153"/>
    <mergeCell ref="D154:D157"/>
    <mergeCell ref="A366:A370"/>
    <mergeCell ref="A371:A378"/>
    <mergeCell ref="A379:A387"/>
    <mergeCell ref="A388:A393"/>
    <mergeCell ref="A394:A402"/>
    <mergeCell ref="A403:A406"/>
    <mergeCell ref="A407:A410"/>
    <mergeCell ref="A411:A414"/>
    <mergeCell ref="A415:A419"/>
    <mergeCell ref="A420:A427"/>
    <mergeCell ref="A428:A434"/>
    <mergeCell ref="A435:A439"/>
    <mergeCell ref="A440:A444"/>
    <mergeCell ref="A445:A448"/>
    <mergeCell ref="A449:A452"/>
    <mergeCell ref="A453:A456"/>
    <mergeCell ref="A457:A459"/>
    <mergeCell ref="A460:A463"/>
    <mergeCell ref="A464:A468"/>
    <mergeCell ref="A469:A473"/>
    <mergeCell ref="A474:A478"/>
    <mergeCell ref="A479:A482"/>
    <mergeCell ref="A483:A486"/>
    <mergeCell ref="A487:A491"/>
    <mergeCell ref="A492:A495"/>
    <mergeCell ref="A496:A499"/>
    <mergeCell ref="A500:A503"/>
    <mergeCell ref="A504:A507"/>
    <mergeCell ref="A539:A542"/>
    <mergeCell ref="A543:A546"/>
    <mergeCell ref="A547:A550"/>
    <mergeCell ref="A551:A554"/>
    <mergeCell ref="A555:A558"/>
    <mergeCell ref="A559:A562"/>
    <mergeCell ref="A563:A566"/>
    <mergeCell ref="A508:A512"/>
    <mergeCell ref="A513:A516"/>
    <mergeCell ref="A517:A521"/>
    <mergeCell ref="A522:A525"/>
    <mergeCell ref="A526:A529"/>
    <mergeCell ref="A530:A534"/>
    <mergeCell ref="A535:A538"/>
    <mergeCell ref="A107:A112"/>
    <mergeCell ref="A113:A118"/>
    <mergeCell ref="A119:A122"/>
    <mergeCell ref="A123:A127"/>
    <mergeCell ref="A128:A131"/>
    <mergeCell ref="A132:A136"/>
    <mergeCell ref="A137:A145"/>
    <mergeCell ref="A146:A149"/>
    <mergeCell ref="A150:A153"/>
    <mergeCell ref="A154:A157"/>
    <mergeCell ref="A158:A164"/>
    <mergeCell ref="A165:A169"/>
    <mergeCell ref="A170:A174"/>
    <mergeCell ref="A175:A179"/>
    <mergeCell ref="A180:A184"/>
    <mergeCell ref="A185:A191"/>
    <mergeCell ref="A192:A198"/>
    <mergeCell ref="A199:A203"/>
    <mergeCell ref="A204:A209"/>
    <mergeCell ref="A210:A214"/>
    <mergeCell ref="A215:A218"/>
    <mergeCell ref="A219:A223"/>
    <mergeCell ref="A224:A228"/>
    <mergeCell ref="A229:A233"/>
    <mergeCell ref="A234:A238"/>
    <mergeCell ref="A239:A242"/>
    <mergeCell ref="A243:A247"/>
    <mergeCell ref="A248:A252"/>
    <mergeCell ref="A253:A257"/>
    <mergeCell ref="A258:A263"/>
    <mergeCell ref="A264:A267"/>
    <mergeCell ref="A268:A273"/>
    <mergeCell ref="A274:A277"/>
    <mergeCell ref="A278:A282"/>
    <mergeCell ref="A283:A287"/>
    <mergeCell ref="A288:A293"/>
    <mergeCell ref="A294:A299"/>
    <mergeCell ref="A300:A305"/>
    <mergeCell ref="A306:A309"/>
    <mergeCell ref="A310:A314"/>
    <mergeCell ref="A315:A325"/>
    <mergeCell ref="A326:A329"/>
    <mergeCell ref="A330:A333"/>
    <mergeCell ref="A334:A337"/>
    <mergeCell ref="A338:A342"/>
    <mergeCell ref="A343:A346"/>
    <mergeCell ref="A347:A351"/>
    <mergeCell ref="A352:A361"/>
    <mergeCell ref="A362:A365"/>
    <mergeCell ref="D428:D434"/>
    <mergeCell ref="D435:D439"/>
    <mergeCell ref="D440:D444"/>
    <mergeCell ref="D445:D448"/>
    <mergeCell ref="D449:D452"/>
    <mergeCell ref="D453:D456"/>
    <mergeCell ref="D457:D459"/>
    <mergeCell ref="D460:D463"/>
    <mergeCell ref="D464:D468"/>
    <mergeCell ref="D469:D473"/>
    <mergeCell ref="D474:D478"/>
    <mergeCell ref="D479:D482"/>
    <mergeCell ref="D483:D486"/>
    <mergeCell ref="D487:D491"/>
    <mergeCell ref="D492:D495"/>
    <mergeCell ref="D496:D499"/>
    <mergeCell ref="D500:D503"/>
    <mergeCell ref="D504:D507"/>
    <mergeCell ref="D508:D512"/>
    <mergeCell ref="D513:D516"/>
    <mergeCell ref="D517:D521"/>
    <mergeCell ref="D551:D554"/>
    <mergeCell ref="D555:D558"/>
    <mergeCell ref="D559:D562"/>
    <mergeCell ref="D522:D525"/>
    <mergeCell ref="D526:D529"/>
    <mergeCell ref="D530:D534"/>
    <mergeCell ref="D535:D538"/>
    <mergeCell ref="D539:D542"/>
    <mergeCell ref="D543:D546"/>
    <mergeCell ref="D547:D550"/>
    <mergeCell ref="D158:D164"/>
    <mergeCell ref="D165:D169"/>
    <mergeCell ref="D170:D174"/>
    <mergeCell ref="D175:D179"/>
    <mergeCell ref="D180:D184"/>
    <mergeCell ref="D185:D191"/>
    <mergeCell ref="D192:D198"/>
    <mergeCell ref="D199:D203"/>
    <mergeCell ref="D204:D209"/>
    <mergeCell ref="D210:D214"/>
    <mergeCell ref="D215:D218"/>
    <mergeCell ref="D219:D223"/>
    <mergeCell ref="D224:D228"/>
    <mergeCell ref="D229:D233"/>
    <mergeCell ref="D234:D238"/>
    <mergeCell ref="D239:D242"/>
    <mergeCell ref="D243:D247"/>
    <mergeCell ref="D248:D252"/>
    <mergeCell ref="D253:D257"/>
    <mergeCell ref="D258:D263"/>
    <mergeCell ref="D264:D267"/>
    <mergeCell ref="D268:D273"/>
    <mergeCell ref="D274:D277"/>
    <mergeCell ref="D278:D282"/>
    <mergeCell ref="D283:D287"/>
    <mergeCell ref="D288:D293"/>
    <mergeCell ref="D294:D299"/>
    <mergeCell ref="D300:D305"/>
    <mergeCell ref="D306:D309"/>
    <mergeCell ref="D310:D314"/>
    <mergeCell ref="D315:D325"/>
    <mergeCell ref="D326:D329"/>
    <mergeCell ref="D330:D333"/>
    <mergeCell ref="D334:D337"/>
    <mergeCell ref="D338:D342"/>
    <mergeCell ref="D343:D346"/>
    <mergeCell ref="D347:D351"/>
    <mergeCell ref="D352:D361"/>
    <mergeCell ref="D362:D365"/>
    <mergeCell ref="D366:D370"/>
    <mergeCell ref="D371:D378"/>
    <mergeCell ref="D379:D387"/>
    <mergeCell ref="D388:D393"/>
    <mergeCell ref="D394:D402"/>
    <mergeCell ref="D403:D406"/>
    <mergeCell ref="D407:D410"/>
    <mergeCell ref="D411:D414"/>
    <mergeCell ref="D415:D419"/>
    <mergeCell ref="D420:D427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47.57"/>
    <col customWidth="1" min="3" max="3" width="29.29"/>
    <col customWidth="1" min="4" max="4" width="39.0"/>
    <col customWidth="1" min="5" max="5" width="38.71"/>
    <col customWidth="1" min="6" max="6" width="15.57"/>
    <col customWidth="1" min="7" max="7" width="24.0"/>
    <col customWidth="1" min="8" max="8" width="56.0"/>
    <col customWidth="1" min="9" max="9" width="23.86"/>
    <col customWidth="1" min="10" max="26" width="8.71"/>
  </cols>
  <sheetData>
    <row r="1" ht="35.25" customHeight="1">
      <c r="A1" s="812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</row>
    <row r="2" ht="35.25" customHeight="1">
      <c r="A2" s="509" t="s">
        <v>217</v>
      </c>
      <c r="B2" s="4"/>
      <c r="C2" s="4"/>
      <c r="D2" s="5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</row>
    <row r="3" ht="35.25" customHeight="1">
      <c r="A3" s="813" t="s">
        <v>1</v>
      </c>
      <c r="B3" s="813"/>
      <c r="C3" s="813" t="s">
        <v>2</v>
      </c>
      <c r="D3" s="813" t="s">
        <v>4</v>
      </c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</row>
    <row r="4" ht="35.25" customHeight="1">
      <c r="A4" s="782" t="s">
        <v>167</v>
      </c>
      <c r="B4" s="814" t="s">
        <v>1004</v>
      </c>
      <c r="C4" s="815" t="s">
        <v>684</v>
      </c>
      <c r="D4" s="816">
        <v>2.7324E7</v>
      </c>
      <c r="E4" s="701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  <c r="X4" s="507"/>
      <c r="Y4" s="507"/>
      <c r="Z4" s="507"/>
    </row>
    <row r="5" ht="35.25" customHeight="1">
      <c r="A5" s="775"/>
      <c r="B5" s="814" t="s">
        <v>1005</v>
      </c>
      <c r="C5" s="815">
        <v>2.7324E7</v>
      </c>
      <c r="D5" s="817"/>
      <c r="E5" s="701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/>
      <c r="Z5" s="507"/>
    </row>
    <row r="6" ht="35.25" customHeight="1">
      <c r="A6" s="775"/>
      <c r="B6" s="814"/>
      <c r="C6" s="815"/>
      <c r="D6" s="817"/>
      <c r="E6" s="701"/>
      <c r="F6" s="507"/>
      <c r="G6" s="507"/>
      <c r="H6" s="507"/>
      <c r="I6" s="507"/>
      <c r="J6" s="507"/>
      <c r="K6" s="507"/>
      <c r="L6" s="507"/>
      <c r="M6" s="507"/>
      <c r="N6" s="507"/>
      <c r="O6" s="507"/>
      <c r="P6" s="507"/>
      <c r="Q6" s="507"/>
      <c r="R6" s="507"/>
      <c r="S6" s="507"/>
      <c r="T6" s="507"/>
      <c r="U6" s="507"/>
      <c r="V6" s="507"/>
      <c r="W6" s="507"/>
      <c r="X6" s="507"/>
      <c r="Y6" s="507"/>
      <c r="Z6" s="507"/>
    </row>
    <row r="7" ht="35.25" customHeight="1">
      <c r="A7" s="775"/>
      <c r="B7" s="814"/>
      <c r="C7" s="815"/>
      <c r="D7" s="817"/>
      <c r="E7" s="701" t="s">
        <v>797</v>
      </c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7"/>
      <c r="Q7" s="507"/>
      <c r="R7" s="507"/>
      <c r="S7" s="507"/>
      <c r="T7" s="507"/>
      <c r="U7" s="507"/>
      <c r="V7" s="507"/>
      <c r="W7" s="507"/>
      <c r="X7" s="507"/>
      <c r="Y7" s="507"/>
      <c r="Z7" s="507"/>
    </row>
    <row r="8" ht="35.25" customHeight="1">
      <c r="A8" s="779"/>
      <c r="B8" s="814"/>
      <c r="C8" s="815"/>
      <c r="D8" s="818"/>
      <c r="E8" s="701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7"/>
      <c r="Z8" s="507"/>
    </row>
    <row r="9" ht="35.25" customHeight="1">
      <c r="A9" s="771" t="s">
        <v>178</v>
      </c>
      <c r="B9" s="814" t="s">
        <v>1004</v>
      </c>
      <c r="C9" s="819">
        <v>6.47722E7</v>
      </c>
      <c r="D9" s="820">
        <f>sum(C9:C10)</f>
        <v>116562700</v>
      </c>
      <c r="E9" s="701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  <c r="Z9" s="507"/>
    </row>
    <row r="10" ht="35.25" customHeight="1">
      <c r="A10" s="775"/>
      <c r="B10" s="814" t="s">
        <v>1005</v>
      </c>
      <c r="C10" s="819">
        <v>5.17905E7</v>
      </c>
      <c r="D10" s="764"/>
      <c r="E10" s="701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  <c r="Z10" s="507"/>
    </row>
    <row r="11" ht="35.25" customHeight="1">
      <c r="A11" s="775"/>
      <c r="B11" s="821"/>
      <c r="C11" s="819"/>
      <c r="D11" s="764"/>
      <c r="E11" s="701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  <c r="Z11" s="507"/>
    </row>
    <row r="12" ht="35.25" customHeight="1">
      <c r="A12" s="775"/>
      <c r="B12" s="821"/>
      <c r="C12" s="819"/>
      <c r="D12" s="764"/>
      <c r="E12" s="701"/>
      <c r="F12" s="507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07"/>
      <c r="Y12" s="507"/>
      <c r="Z12" s="507"/>
    </row>
    <row r="13" ht="35.25" customHeight="1">
      <c r="A13" s="775"/>
      <c r="B13" s="814"/>
      <c r="C13" s="819"/>
      <c r="D13" s="764"/>
      <c r="E13" s="701" t="s">
        <v>800</v>
      </c>
      <c r="F13" s="507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7"/>
    </row>
    <row r="14" ht="35.25" customHeight="1">
      <c r="A14" s="779"/>
      <c r="B14" s="814"/>
      <c r="C14" s="819"/>
      <c r="D14" s="822"/>
      <c r="E14" s="701"/>
      <c r="F14" s="507"/>
      <c r="G14" s="507"/>
      <c r="H14" s="507"/>
      <c r="I14" s="507"/>
      <c r="J14" s="507"/>
      <c r="K14" s="507"/>
      <c r="L14" s="507"/>
      <c r="M14" s="507"/>
      <c r="N14" s="507"/>
      <c r="O14" s="507"/>
      <c r="P14" s="507"/>
      <c r="Q14" s="507"/>
      <c r="R14" s="507"/>
      <c r="S14" s="507"/>
      <c r="T14" s="507"/>
      <c r="U14" s="507"/>
      <c r="V14" s="507"/>
      <c r="W14" s="507"/>
      <c r="X14" s="507"/>
      <c r="Y14" s="507"/>
      <c r="Z14" s="507"/>
    </row>
    <row r="15" ht="35.25" customHeight="1">
      <c r="A15" s="823" t="s">
        <v>182</v>
      </c>
      <c r="B15" s="821" t="s">
        <v>1006</v>
      </c>
      <c r="C15" s="819" t="s">
        <v>684</v>
      </c>
      <c r="D15" s="824">
        <f>sum(C16:C19)</f>
        <v>128566800</v>
      </c>
      <c r="E15" s="701"/>
      <c r="F15" s="507"/>
      <c r="G15" s="507"/>
      <c r="H15" s="507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  <c r="T15" s="507"/>
      <c r="U15" s="507"/>
      <c r="V15" s="507"/>
      <c r="W15" s="507"/>
      <c r="X15" s="507"/>
      <c r="Y15" s="507"/>
      <c r="Z15" s="507"/>
    </row>
    <row r="16" ht="35.25" customHeight="1">
      <c r="A16" s="763"/>
      <c r="B16" s="821" t="s">
        <v>1007</v>
      </c>
      <c r="C16" s="819">
        <v>2.6704E7</v>
      </c>
      <c r="D16" s="764"/>
      <c r="E16" s="701"/>
      <c r="F16" s="507"/>
      <c r="G16" s="507"/>
      <c r="H16" s="507"/>
      <c r="I16" s="507"/>
      <c r="J16" s="507"/>
      <c r="K16" s="507"/>
      <c r="L16" s="507"/>
      <c r="M16" s="507"/>
      <c r="N16" s="507"/>
      <c r="O16" s="507"/>
      <c r="P16" s="507"/>
      <c r="Q16" s="507"/>
      <c r="R16" s="507"/>
      <c r="S16" s="507"/>
      <c r="T16" s="507"/>
      <c r="U16" s="507"/>
      <c r="V16" s="507"/>
      <c r="W16" s="507"/>
      <c r="X16" s="507"/>
      <c r="Y16" s="507"/>
      <c r="Z16" s="507"/>
    </row>
    <row r="17" ht="35.25" customHeight="1">
      <c r="A17" s="763"/>
      <c r="B17" s="821" t="s">
        <v>1008</v>
      </c>
      <c r="C17" s="819">
        <v>4.18267E7</v>
      </c>
      <c r="D17" s="764"/>
      <c r="E17" s="701"/>
      <c r="F17" s="507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  <c r="X17" s="507"/>
      <c r="Y17" s="507"/>
      <c r="Z17" s="507"/>
    </row>
    <row r="18" ht="35.25" customHeight="1">
      <c r="A18" s="763"/>
      <c r="B18" s="814" t="s">
        <v>1004</v>
      </c>
      <c r="C18" s="819">
        <v>2.90166E7</v>
      </c>
      <c r="D18" s="764"/>
      <c r="E18" s="701"/>
      <c r="F18" s="507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  <c r="X18" s="507"/>
      <c r="Y18" s="507"/>
      <c r="Z18" s="507"/>
    </row>
    <row r="19" ht="35.25" customHeight="1">
      <c r="A19" s="763"/>
      <c r="B19" s="814" t="s">
        <v>1005</v>
      </c>
      <c r="C19" s="819">
        <v>3.10195E7</v>
      </c>
      <c r="D19" s="764"/>
      <c r="E19" s="701" t="s">
        <v>801</v>
      </c>
      <c r="F19" s="507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</row>
    <row r="20" ht="35.25" customHeight="1">
      <c r="A20" s="763"/>
      <c r="B20" s="821"/>
      <c r="C20" s="819"/>
      <c r="D20" s="764"/>
      <c r="E20" s="701"/>
      <c r="F20" s="507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  <c r="X20" s="507"/>
      <c r="Y20" s="507"/>
      <c r="Z20" s="507"/>
    </row>
    <row r="21" ht="35.25" customHeight="1">
      <c r="A21" s="763"/>
      <c r="B21" s="821"/>
      <c r="C21" s="819"/>
      <c r="D21" s="764"/>
      <c r="E21" s="701"/>
      <c r="F21" s="507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  <c r="X21" s="507"/>
      <c r="Y21" s="507"/>
      <c r="Z21" s="507"/>
    </row>
    <row r="22" ht="35.25" customHeight="1">
      <c r="A22" s="825"/>
      <c r="B22" s="821"/>
      <c r="C22" s="819"/>
      <c r="D22" s="822"/>
      <c r="E22" s="701"/>
      <c r="F22" s="507"/>
      <c r="G22" s="507"/>
      <c r="H22" s="507"/>
      <c r="I22" s="507"/>
      <c r="J22" s="507"/>
      <c r="K22" s="507"/>
      <c r="L22" s="507"/>
      <c r="M22" s="507"/>
      <c r="N22" s="507"/>
      <c r="O22" s="507"/>
      <c r="P22" s="507"/>
      <c r="Q22" s="507"/>
      <c r="R22" s="507"/>
      <c r="S22" s="507"/>
      <c r="T22" s="507"/>
      <c r="U22" s="507"/>
      <c r="V22" s="507"/>
      <c r="W22" s="507"/>
      <c r="X22" s="507"/>
      <c r="Y22" s="507"/>
      <c r="Z22" s="507"/>
    </row>
    <row r="23" ht="35.25" customHeight="1">
      <c r="A23" s="782" t="s">
        <v>184</v>
      </c>
      <c r="B23" s="821" t="s">
        <v>1008</v>
      </c>
      <c r="C23" s="826" t="s">
        <v>684</v>
      </c>
      <c r="D23" s="827">
        <v>4.88275E7</v>
      </c>
      <c r="E23" s="701"/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</row>
    <row r="24" ht="35.25" customHeight="1">
      <c r="A24" s="775"/>
      <c r="B24" s="814" t="s">
        <v>1005</v>
      </c>
      <c r="C24" s="826">
        <v>4.88275E7</v>
      </c>
      <c r="D24" s="817"/>
      <c r="E24" s="701"/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</row>
    <row r="25" ht="35.25" customHeight="1">
      <c r="A25" s="775"/>
      <c r="B25" s="821"/>
      <c r="C25" s="826"/>
      <c r="D25" s="817"/>
      <c r="E25" s="701"/>
      <c r="F25" s="507"/>
      <c r="G25" s="507"/>
      <c r="H25" s="507"/>
      <c r="I25" s="507"/>
      <c r="J25" s="507"/>
      <c r="K25" s="507"/>
      <c r="L25" s="507"/>
      <c r="M25" s="507"/>
      <c r="N25" s="507"/>
      <c r="O25" s="507"/>
      <c r="P25" s="507"/>
      <c r="Q25" s="507"/>
      <c r="R25" s="507"/>
      <c r="S25" s="507"/>
      <c r="T25" s="507"/>
      <c r="U25" s="507"/>
      <c r="V25" s="507"/>
      <c r="W25" s="507"/>
      <c r="X25" s="507"/>
      <c r="Y25" s="507"/>
      <c r="Z25" s="507"/>
    </row>
    <row r="26" ht="35.25" customHeight="1">
      <c r="A26" s="775"/>
      <c r="B26" s="821"/>
      <c r="C26" s="826"/>
      <c r="D26" s="817"/>
      <c r="E26" s="701"/>
      <c r="F26" s="507"/>
      <c r="G26" s="507"/>
      <c r="H26" s="507"/>
      <c r="I26" s="507"/>
      <c r="J26" s="507"/>
      <c r="K26" s="507"/>
      <c r="L26" s="507"/>
      <c r="M26" s="507"/>
      <c r="N26" s="507"/>
      <c r="O26" s="507"/>
      <c r="P26" s="507"/>
      <c r="Q26" s="507"/>
      <c r="R26" s="507"/>
      <c r="S26" s="507"/>
      <c r="T26" s="507"/>
      <c r="U26" s="507"/>
      <c r="V26" s="507"/>
      <c r="W26" s="507"/>
      <c r="X26" s="507"/>
      <c r="Y26" s="507"/>
      <c r="Z26" s="507"/>
    </row>
    <row r="27" ht="35.25" customHeight="1">
      <c r="A27" s="775"/>
      <c r="B27" s="821"/>
      <c r="C27" s="826"/>
      <c r="D27" s="817"/>
      <c r="E27" s="701"/>
      <c r="F27" s="507"/>
      <c r="G27" s="507"/>
      <c r="H27" s="507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507"/>
      <c r="W27" s="507"/>
      <c r="X27" s="507"/>
      <c r="Y27" s="507"/>
      <c r="Z27" s="507"/>
    </row>
    <row r="28" ht="35.25" customHeight="1">
      <c r="A28" s="779"/>
      <c r="B28" s="821"/>
      <c r="C28" s="826"/>
      <c r="D28" s="818"/>
      <c r="E28" s="701"/>
      <c r="F28" s="507"/>
      <c r="G28" s="507"/>
      <c r="H28" s="507"/>
      <c r="I28" s="507"/>
      <c r="J28" s="507"/>
      <c r="K28" s="507"/>
      <c r="L28" s="507"/>
      <c r="M28" s="507"/>
      <c r="N28" s="507"/>
      <c r="O28" s="507"/>
      <c r="P28" s="507"/>
      <c r="Q28" s="507"/>
      <c r="R28" s="507"/>
      <c r="S28" s="507"/>
      <c r="T28" s="507"/>
      <c r="U28" s="507"/>
      <c r="V28" s="507"/>
      <c r="W28" s="507"/>
      <c r="X28" s="507"/>
      <c r="Y28" s="507"/>
      <c r="Z28" s="507"/>
    </row>
    <row r="29" ht="35.25" customHeight="1">
      <c r="A29" s="823" t="s">
        <v>367</v>
      </c>
      <c r="B29" s="821" t="s">
        <v>1008</v>
      </c>
      <c r="C29" s="828">
        <v>8.39972E7</v>
      </c>
      <c r="D29" s="824">
        <f>sum(C29:C31)</f>
        <v>275917000</v>
      </c>
      <c r="E29" s="701"/>
      <c r="F29" s="507"/>
      <c r="G29" s="507"/>
      <c r="H29" s="507"/>
      <c r="I29" s="507"/>
      <c r="J29" s="507"/>
      <c r="K29" s="507"/>
      <c r="L29" s="507"/>
      <c r="M29" s="507"/>
      <c r="N29" s="507"/>
      <c r="O29" s="507"/>
      <c r="P29" s="507"/>
      <c r="Q29" s="507"/>
      <c r="R29" s="507"/>
      <c r="S29" s="507"/>
      <c r="T29" s="507"/>
      <c r="U29" s="507"/>
      <c r="V29" s="507"/>
      <c r="W29" s="507"/>
      <c r="X29" s="507"/>
      <c r="Y29" s="507"/>
      <c r="Z29" s="507"/>
    </row>
    <row r="30" ht="35.25" customHeight="1">
      <c r="A30" s="763"/>
      <c r="B30" s="814" t="s">
        <v>1004</v>
      </c>
      <c r="C30" s="815">
        <v>1.276315E8</v>
      </c>
      <c r="D30" s="764"/>
      <c r="E30" s="701"/>
      <c r="F30" s="507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  <c r="X30" s="507"/>
      <c r="Y30" s="507"/>
      <c r="Z30" s="507"/>
    </row>
    <row r="31" ht="35.25" customHeight="1">
      <c r="A31" s="763"/>
      <c r="B31" s="814" t="s">
        <v>1005</v>
      </c>
      <c r="C31" s="815">
        <v>6.42883E7</v>
      </c>
      <c r="D31" s="764"/>
      <c r="E31" s="701"/>
      <c r="F31" s="507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  <c r="X31" s="507"/>
      <c r="Y31" s="507"/>
      <c r="Z31" s="507"/>
    </row>
    <row r="32" ht="35.25" customHeight="1">
      <c r="A32" s="763"/>
      <c r="B32" s="821"/>
      <c r="C32" s="828"/>
      <c r="D32" s="764"/>
      <c r="E32" s="701"/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7"/>
    </row>
    <row r="33" ht="35.25" customHeight="1">
      <c r="A33" s="763"/>
      <c r="B33" s="821"/>
      <c r="C33" s="828"/>
      <c r="D33" s="764"/>
      <c r="E33" s="701"/>
      <c r="F33" s="507"/>
      <c r="G33" s="507"/>
      <c r="H33" s="507"/>
      <c r="I33" s="507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  <c r="X33" s="507"/>
      <c r="Y33" s="507"/>
      <c r="Z33" s="507"/>
    </row>
    <row r="34" ht="35.25" customHeight="1">
      <c r="A34" s="763"/>
      <c r="B34" s="821"/>
      <c r="C34" s="828"/>
      <c r="D34" s="764"/>
      <c r="E34" s="701"/>
      <c r="F34" s="507"/>
      <c r="G34" s="507"/>
      <c r="H34" s="507"/>
      <c r="I34" s="507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7"/>
      <c r="V34" s="507"/>
      <c r="W34" s="507"/>
      <c r="X34" s="507"/>
      <c r="Y34" s="507"/>
      <c r="Z34" s="507"/>
    </row>
    <row r="35" ht="35.25" customHeight="1">
      <c r="A35" s="763"/>
      <c r="B35" s="814"/>
      <c r="C35" s="815"/>
      <c r="D35" s="764"/>
      <c r="E35" s="701"/>
      <c r="F35" s="507"/>
      <c r="G35" s="507"/>
      <c r="H35" s="507"/>
      <c r="I35" s="507"/>
      <c r="J35" s="507"/>
      <c r="K35" s="507"/>
      <c r="L35" s="507"/>
      <c r="M35" s="507"/>
      <c r="N35" s="507"/>
      <c r="O35" s="507"/>
      <c r="P35" s="507"/>
      <c r="Q35" s="507"/>
      <c r="R35" s="507"/>
      <c r="S35" s="507"/>
      <c r="T35" s="507"/>
      <c r="U35" s="507"/>
      <c r="V35" s="507"/>
      <c r="W35" s="507"/>
      <c r="X35" s="507"/>
      <c r="Y35" s="507"/>
      <c r="Z35" s="507"/>
    </row>
    <row r="36" ht="35.25" customHeight="1">
      <c r="A36" s="825"/>
      <c r="B36" s="814"/>
      <c r="C36" s="815"/>
      <c r="D36" s="822"/>
      <c r="E36" s="701"/>
      <c r="F36" s="507"/>
      <c r="G36" s="507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  <c r="X36" s="507"/>
      <c r="Y36" s="507"/>
      <c r="Z36" s="507"/>
    </row>
    <row r="37" ht="35.25" customHeight="1">
      <c r="A37" s="782" t="s">
        <v>205</v>
      </c>
      <c r="B37" s="814" t="s">
        <v>1004</v>
      </c>
      <c r="C37" s="819" t="s">
        <v>684</v>
      </c>
      <c r="D37" s="829">
        <v>3.93495E7</v>
      </c>
      <c r="E37" s="701"/>
      <c r="F37" s="507"/>
      <c r="G37" s="507"/>
      <c r="H37" s="507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7"/>
      <c r="W37" s="507"/>
      <c r="X37" s="507"/>
      <c r="Y37" s="507"/>
      <c r="Z37" s="507"/>
    </row>
    <row r="38" ht="35.25" customHeight="1">
      <c r="A38" s="775"/>
      <c r="B38" s="814" t="s">
        <v>1005</v>
      </c>
      <c r="C38" s="830">
        <v>4.26315E7</v>
      </c>
      <c r="D38" s="817"/>
      <c r="E38" s="701"/>
      <c r="F38" s="507"/>
      <c r="G38" s="507"/>
      <c r="H38" s="507"/>
      <c r="I38" s="507"/>
      <c r="J38" s="507"/>
      <c r="K38" s="507"/>
      <c r="L38" s="507"/>
      <c r="M38" s="507"/>
      <c r="N38" s="507"/>
      <c r="O38" s="507"/>
      <c r="P38" s="507"/>
      <c r="Q38" s="507"/>
      <c r="R38" s="507"/>
      <c r="S38" s="507"/>
      <c r="T38" s="507"/>
      <c r="U38" s="507"/>
      <c r="V38" s="507"/>
      <c r="W38" s="507"/>
      <c r="X38" s="507"/>
      <c r="Y38" s="507"/>
      <c r="Z38" s="507"/>
    </row>
    <row r="39" ht="35.25" customHeight="1">
      <c r="A39" s="775"/>
      <c r="B39" s="821"/>
      <c r="C39" s="819"/>
      <c r="D39" s="817"/>
      <c r="E39" s="701"/>
      <c r="F39" s="507"/>
      <c r="G39" s="507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  <c r="X39" s="507"/>
      <c r="Y39" s="507"/>
      <c r="Z39" s="507"/>
    </row>
    <row r="40" ht="35.25" customHeight="1">
      <c r="A40" s="775"/>
      <c r="B40" s="821"/>
      <c r="C40" s="830"/>
      <c r="D40" s="817"/>
      <c r="E40" s="701"/>
      <c r="F40" s="507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  <c r="X40" s="507"/>
      <c r="Y40" s="507"/>
      <c r="Z40" s="507"/>
    </row>
    <row r="41" ht="35.25" customHeight="1">
      <c r="A41" s="775"/>
      <c r="B41" s="821"/>
      <c r="C41" s="830"/>
      <c r="D41" s="817"/>
      <c r="E41" s="701"/>
      <c r="F41" s="507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  <c r="X41" s="507"/>
      <c r="Y41" s="507"/>
      <c r="Z41" s="507"/>
    </row>
    <row r="42" ht="35.25" customHeight="1">
      <c r="A42" s="779"/>
      <c r="B42" s="821"/>
      <c r="C42" s="830"/>
      <c r="D42" s="818"/>
      <c r="E42" s="701"/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R42" s="507"/>
      <c r="S42" s="507"/>
      <c r="T42" s="507"/>
      <c r="U42" s="507"/>
      <c r="V42" s="507"/>
      <c r="W42" s="507"/>
      <c r="X42" s="507"/>
      <c r="Y42" s="507"/>
      <c r="Z42" s="507"/>
    </row>
    <row r="43" ht="35.25" customHeight="1">
      <c r="A43" s="771" t="s">
        <v>1009</v>
      </c>
      <c r="B43" s="821" t="s">
        <v>1007</v>
      </c>
      <c r="C43" s="819" t="s">
        <v>684</v>
      </c>
      <c r="D43" s="774">
        <f>sum(C44:C46)</f>
        <v>248375000</v>
      </c>
      <c r="E43" s="701"/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R43" s="507"/>
      <c r="S43" s="507"/>
      <c r="T43" s="507"/>
      <c r="U43" s="507"/>
      <c r="V43" s="507"/>
      <c r="W43" s="507"/>
      <c r="X43" s="507"/>
      <c r="Y43" s="507"/>
      <c r="Z43" s="507"/>
    </row>
    <row r="44" ht="35.25" customHeight="1">
      <c r="A44" s="775"/>
      <c r="B44" s="821" t="s">
        <v>1008</v>
      </c>
      <c r="C44" s="819">
        <v>9.13082E7</v>
      </c>
      <c r="D44" s="776"/>
      <c r="E44" s="701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507"/>
      <c r="Y44" s="507"/>
      <c r="Z44" s="507"/>
    </row>
    <row r="45" ht="35.25" customHeight="1">
      <c r="A45" s="775"/>
      <c r="B45" s="814" t="s">
        <v>1004</v>
      </c>
      <c r="C45" s="819">
        <v>7.85823E7</v>
      </c>
      <c r="D45" s="776"/>
      <c r="E45" s="701"/>
      <c r="F45" s="507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</row>
    <row r="46" ht="35.25" customHeight="1">
      <c r="A46" s="775"/>
      <c r="B46" s="814" t="s">
        <v>1005</v>
      </c>
      <c r="C46" s="819">
        <v>7.84845E7</v>
      </c>
      <c r="D46" s="776"/>
      <c r="E46" s="701"/>
      <c r="F46" s="507"/>
      <c r="G46" s="507"/>
      <c r="H46" s="507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  <c r="X46" s="507"/>
      <c r="Y46" s="507"/>
      <c r="Z46" s="507"/>
    </row>
    <row r="47" ht="35.25" customHeight="1">
      <c r="A47" s="775"/>
      <c r="B47" s="821"/>
      <c r="C47" s="819"/>
      <c r="D47" s="776"/>
      <c r="E47" s="701"/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7"/>
    </row>
    <row r="48" ht="35.25" customHeight="1">
      <c r="A48" s="775"/>
      <c r="B48" s="821"/>
      <c r="C48" s="819"/>
      <c r="D48" s="776"/>
      <c r="E48" s="701"/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7"/>
      <c r="R48" s="507"/>
      <c r="S48" s="507"/>
      <c r="T48" s="507"/>
      <c r="U48" s="507"/>
      <c r="V48" s="507"/>
      <c r="W48" s="507"/>
      <c r="X48" s="507"/>
      <c r="Y48" s="507"/>
      <c r="Z48" s="507"/>
    </row>
    <row r="49" ht="35.25" customHeight="1">
      <c r="A49" s="779"/>
      <c r="B49" s="821"/>
      <c r="C49" s="819"/>
      <c r="D49" s="781"/>
      <c r="E49" s="701"/>
      <c r="F49" s="507"/>
      <c r="G49" s="507"/>
      <c r="H49" s="507"/>
      <c r="I49" s="507"/>
      <c r="J49" s="507"/>
      <c r="K49" s="507"/>
      <c r="L49" s="507"/>
      <c r="M49" s="507"/>
      <c r="N49" s="507"/>
      <c r="O49" s="507"/>
      <c r="P49" s="507"/>
      <c r="Q49" s="507"/>
      <c r="R49" s="507"/>
      <c r="S49" s="507"/>
      <c r="T49" s="507"/>
      <c r="U49" s="507"/>
      <c r="V49" s="507"/>
      <c r="W49" s="507"/>
      <c r="X49" s="507"/>
      <c r="Y49" s="507"/>
      <c r="Z49" s="507"/>
    </row>
    <row r="50" ht="35.25" customHeight="1">
      <c r="A50" s="823" t="s">
        <v>296</v>
      </c>
      <c r="B50" s="814" t="s">
        <v>1004</v>
      </c>
      <c r="C50" s="819" t="s">
        <v>684</v>
      </c>
      <c r="D50" s="816">
        <v>4.03565E7</v>
      </c>
      <c r="E50" s="701"/>
      <c r="F50" s="507"/>
      <c r="G50" s="507"/>
      <c r="H50" s="507"/>
      <c r="I50" s="507"/>
      <c r="J50" s="507"/>
      <c r="K50" s="507"/>
      <c r="L50" s="507"/>
      <c r="M50" s="507"/>
      <c r="N50" s="507"/>
      <c r="O50" s="507"/>
      <c r="P50" s="507"/>
      <c r="Q50" s="507"/>
      <c r="R50" s="507"/>
      <c r="S50" s="507"/>
      <c r="T50" s="507"/>
      <c r="U50" s="507"/>
      <c r="V50" s="507"/>
      <c r="W50" s="507"/>
      <c r="X50" s="507"/>
      <c r="Y50" s="507"/>
      <c r="Z50" s="507"/>
    </row>
    <row r="51" ht="35.25" customHeight="1">
      <c r="A51" s="763"/>
      <c r="B51" s="814" t="s">
        <v>1005</v>
      </c>
      <c r="C51" s="819">
        <v>4.03565E7</v>
      </c>
      <c r="D51" s="817"/>
      <c r="E51" s="701"/>
      <c r="F51" s="507"/>
      <c r="G51" s="507"/>
      <c r="H51" s="507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  <c r="X51" s="507"/>
      <c r="Y51" s="507"/>
      <c r="Z51" s="507"/>
    </row>
    <row r="52" ht="35.25" customHeight="1">
      <c r="A52" s="763"/>
      <c r="B52" s="821"/>
      <c r="C52" s="819"/>
      <c r="D52" s="817"/>
      <c r="E52" s="701" t="s">
        <v>816</v>
      </c>
      <c r="F52" s="510"/>
      <c r="G52" s="507"/>
      <c r="H52" s="507"/>
      <c r="I52" s="507"/>
      <c r="J52" s="507"/>
      <c r="K52" s="507"/>
      <c r="L52" s="507"/>
      <c r="M52" s="507"/>
      <c r="N52" s="507"/>
      <c r="O52" s="507"/>
      <c r="P52" s="507"/>
      <c r="Q52" s="507"/>
      <c r="R52" s="507"/>
      <c r="S52" s="507"/>
      <c r="T52" s="507"/>
      <c r="U52" s="507"/>
      <c r="V52" s="507"/>
      <c r="W52" s="507"/>
      <c r="X52" s="507"/>
      <c r="Y52" s="507"/>
      <c r="Z52" s="507"/>
    </row>
    <row r="53" ht="35.25" customHeight="1">
      <c r="A53" s="763"/>
      <c r="B53" s="821"/>
      <c r="C53" s="819"/>
      <c r="D53" s="817"/>
      <c r="E53" s="701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  <c r="T53" s="507"/>
      <c r="U53" s="507"/>
      <c r="V53" s="507"/>
      <c r="W53" s="507"/>
      <c r="X53" s="507"/>
      <c r="Y53" s="507"/>
      <c r="Z53" s="507"/>
    </row>
    <row r="54" ht="35.25" customHeight="1">
      <c r="A54" s="825"/>
      <c r="B54" s="821"/>
      <c r="C54" s="819"/>
      <c r="D54" s="818"/>
      <c r="E54" s="701"/>
      <c r="F54" s="507"/>
      <c r="G54" s="507"/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</row>
    <row r="55" ht="35.25" customHeight="1">
      <c r="A55" s="771" t="s">
        <v>207</v>
      </c>
      <c r="B55" s="821" t="s">
        <v>1010</v>
      </c>
      <c r="C55" s="831">
        <v>300000.0</v>
      </c>
      <c r="D55" s="774">
        <f>sum(C55:C57)</f>
        <v>218413000</v>
      </c>
      <c r="E55" s="701"/>
      <c r="F55" s="507"/>
      <c r="G55" s="507"/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  <c r="X55" s="507"/>
      <c r="Y55" s="507"/>
      <c r="Z55" s="507"/>
    </row>
    <row r="56" ht="35.25" customHeight="1">
      <c r="A56" s="775"/>
      <c r="B56" s="814" t="s">
        <v>1004</v>
      </c>
      <c r="C56" s="832">
        <v>2.10723E8</v>
      </c>
      <c r="D56" s="776"/>
      <c r="E56" s="701" t="s">
        <v>819</v>
      </c>
      <c r="F56" s="507"/>
      <c r="G56" s="507"/>
      <c r="H56" s="507"/>
      <c r="I56" s="507"/>
      <c r="J56" s="507"/>
      <c r="K56" s="507"/>
      <c r="L56" s="507"/>
      <c r="M56" s="507"/>
      <c r="N56" s="507"/>
      <c r="O56" s="507"/>
      <c r="P56" s="507"/>
      <c r="Q56" s="507"/>
      <c r="R56" s="507"/>
      <c r="S56" s="507"/>
      <c r="T56" s="507"/>
      <c r="U56" s="507"/>
      <c r="V56" s="507"/>
      <c r="W56" s="507"/>
      <c r="X56" s="507"/>
      <c r="Y56" s="507"/>
      <c r="Z56" s="507"/>
    </row>
    <row r="57" ht="35.25" customHeight="1">
      <c r="A57" s="775"/>
      <c r="B57" s="814" t="s">
        <v>1005</v>
      </c>
      <c r="C57" s="832">
        <v>7390000.0</v>
      </c>
      <c r="D57" s="776"/>
      <c r="E57" s="701"/>
      <c r="F57" s="507"/>
      <c r="G57" s="507"/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</row>
    <row r="58" ht="35.25" customHeight="1">
      <c r="A58" s="775"/>
      <c r="B58" s="821"/>
      <c r="C58" s="832"/>
      <c r="D58" s="776"/>
      <c r="E58" s="701"/>
      <c r="F58" s="507"/>
      <c r="G58" s="507"/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</row>
    <row r="59" ht="35.25" customHeight="1">
      <c r="A59" s="779"/>
      <c r="B59" s="821"/>
      <c r="C59" s="832"/>
      <c r="D59" s="781"/>
      <c r="E59" s="701"/>
      <c r="F59" s="507"/>
      <c r="G59" s="507"/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</row>
    <row r="60" ht="35.25" customHeight="1">
      <c r="A60" s="771" t="s">
        <v>211</v>
      </c>
      <c r="B60" s="814"/>
      <c r="C60" s="831"/>
      <c r="D60" s="774"/>
      <c r="E60" s="701"/>
      <c r="F60" s="507"/>
      <c r="G60" s="507"/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</row>
    <row r="61" ht="35.25" customHeight="1">
      <c r="A61" s="775"/>
      <c r="B61" s="821"/>
      <c r="C61" s="831"/>
      <c r="D61" s="776"/>
      <c r="E61" s="701"/>
      <c r="F61" s="507"/>
      <c r="G61" s="507"/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</row>
    <row r="62" ht="35.25" customHeight="1">
      <c r="A62" s="775"/>
      <c r="B62" s="821"/>
      <c r="C62" s="831"/>
      <c r="D62" s="776"/>
      <c r="E62" s="701"/>
      <c r="F62" s="507"/>
      <c r="G62" s="507"/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</row>
    <row r="63" ht="35.25" customHeight="1">
      <c r="A63" s="779"/>
      <c r="B63" s="821"/>
      <c r="C63" s="831"/>
      <c r="D63" s="781"/>
      <c r="E63" s="701"/>
      <c r="F63" s="507"/>
      <c r="G63" s="507"/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</row>
    <row r="64" ht="35.25" customHeight="1">
      <c r="A64" s="771" t="s">
        <v>302</v>
      </c>
      <c r="B64" s="821" t="s">
        <v>1011</v>
      </c>
      <c r="C64" s="831">
        <v>3.655E7</v>
      </c>
      <c r="D64" s="824">
        <f>sum(C64:C70)</f>
        <v>190061600</v>
      </c>
      <c r="E64" s="701"/>
      <c r="F64" s="507"/>
      <c r="G64" s="507"/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</row>
    <row r="65" ht="35.25" customHeight="1">
      <c r="A65" s="775"/>
      <c r="B65" s="821" t="s">
        <v>1012</v>
      </c>
      <c r="C65" s="831">
        <v>0.0</v>
      </c>
      <c r="D65" s="764"/>
      <c r="E65" s="701"/>
      <c r="F65" s="507"/>
      <c r="G65" s="507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</row>
    <row r="66" ht="35.25" customHeight="1">
      <c r="A66" s="775"/>
      <c r="B66" s="821" t="s">
        <v>1013</v>
      </c>
      <c r="C66" s="831">
        <v>2.34165E7</v>
      </c>
      <c r="D66" s="764"/>
      <c r="E66" s="701"/>
      <c r="F66" s="507"/>
      <c r="G66" s="507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</row>
    <row r="67" ht="35.25" customHeight="1">
      <c r="A67" s="775"/>
      <c r="B67" s="821" t="s">
        <v>1006</v>
      </c>
      <c r="C67" s="831">
        <v>3.54066E7</v>
      </c>
      <c r="D67" s="764"/>
      <c r="E67" s="701"/>
      <c r="F67" s="507"/>
      <c r="G67" s="507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</row>
    <row r="68" ht="35.25" customHeight="1">
      <c r="A68" s="775"/>
      <c r="B68" s="821" t="s">
        <v>1007</v>
      </c>
      <c r="C68" s="831">
        <v>3.90455E7</v>
      </c>
      <c r="D68" s="764"/>
      <c r="E68" s="701"/>
      <c r="F68" s="507"/>
      <c r="G68" s="507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</row>
    <row r="69" ht="35.25" customHeight="1">
      <c r="A69" s="775"/>
      <c r="B69" s="821" t="s">
        <v>1008</v>
      </c>
      <c r="C69" s="831">
        <v>2.2377E7</v>
      </c>
      <c r="D69" s="764"/>
      <c r="E69" s="701"/>
      <c r="F69" s="507"/>
      <c r="G69" s="507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</row>
    <row r="70" ht="35.25" customHeight="1">
      <c r="A70" s="775"/>
      <c r="B70" s="814" t="s">
        <v>1005</v>
      </c>
      <c r="C70" s="831">
        <v>3.3266E7</v>
      </c>
      <c r="D70" s="764"/>
      <c r="E70" s="701"/>
      <c r="F70" s="507"/>
      <c r="G70" s="507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</row>
    <row r="71" ht="35.25" customHeight="1">
      <c r="A71" s="775"/>
      <c r="B71" s="814"/>
      <c r="C71" s="831"/>
      <c r="D71" s="764"/>
      <c r="E71" s="701"/>
      <c r="F71" s="507"/>
      <c r="G71" s="507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</row>
    <row r="72" ht="35.25" customHeight="1">
      <c r="A72" s="779"/>
      <c r="B72" s="814"/>
      <c r="C72" s="831"/>
      <c r="D72" s="822"/>
      <c r="E72" s="701"/>
      <c r="F72" s="507"/>
      <c r="G72" s="507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</row>
    <row r="73" ht="35.25" customHeight="1">
      <c r="A73" s="833" t="s">
        <v>215</v>
      </c>
      <c r="B73" s="821" t="s">
        <v>1007</v>
      </c>
      <c r="C73" s="832">
        <v>4448000.0</v>
      </c>
      <c r="D73" s="824">
        <f>sum(C73:C75)</f>
        <v>49624000</v>
      </c>
      <c r="E73" s="556" t="s">
        <v>918</v>
      </c>
      <c r="F73" s="507"/>
      <c r="G73" s="507"/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</row>
    <row r="74" ht="35.25" customHeight="1">
      <c r="A74" s="763"/>
      <c r="B74" s="814" t="s">
        <v>1004</v>
      </c>
      <c r="C74" s="831">
        <v>4.0611E7</v>
      </c>
      <c r="D74" s="764"/>
      <c r="E74" s="507"/>
      <c r="F74" s="507"/>
      <c r="G74" s="507"/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</row>
    <row r="75" ht="35.25" customHeight="1">
      <c r="A75" s="763"/>
      <c r="B75" s="814" t="s">
        <v>1005</v>
      </c>
      <c r="C75" s="831">
        <v>4565000.0</v>
      </c>
      <c r="D75" s="764"/>
      <c r="E75" s="644"/>
      <c r="F75" s="507"/>
      <c r="G75" s="507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</row>
    <row r="76" ht="35.25" customHeight="1">
      <c r="A76" s="763"/>
      <c r="B76" s="821"/>
      <c r="C76" s="831"/>
      <c r="D76" s="764"/>
      <c r="E76" s="644"/>
      <c r="F76" s="507"/>
      <c r="G76" s="507"/>
      <c r="H76" s="507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  <c r="X76" s="507"/>
      <c r="Y76" s="507"/>
      <c r="Z76" s="507"/>
    </row>
    <row r="77" ht="35.25" customHeight="1">
      <c r="A77" s="763"/>
      <c r="B77" s="821"/>
      <c r="C77" s="832"/>
      <c r="D77" s="764"/>
      <c r="E77" s="644"/>
      <c r="F77" s="651"/>
      <c r="G77" s="507"/>
      <c r="H77" s="507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  <c r="X77" s="507"/>
      <c r="Y77" s="507"/>
      <c r="Z77" s="507"/>
    </row>
    <row r="78" ht="35.25" customHeight="1">
      <c r="A78" s="825"/>
      <c r="B78" s="821"/>
      <c r="C78" s="832"/>
      <c r="D78" s="822"/>
      <c r="E78" s="834"/>
      <c r="F78" s="834"/>
      <c r="G78" s="507"/>
      <c r="H78" s="507"/>
      <c r="I78" s="507"/>
      <c r="J78" s="507"/>
      <c r="K78" s="507"/>
      <c r="L78" s="507"/>
      <c r="M78" s="507"/>
      <c r="N78" s="507"/>
      <c r="O78" s="507"/>
      <c r="P78" s="507"/>
      <c r="Q78" s="507"/>
      <c r="R78" s="507"/>
      <c r="S78" s="507"/>
      <c r="T78" s="507"/>
      <c r="U78" s="507"/>
      <c r="V78" s="507"/>
      <c r="W78" s="507"/>
      <c r="X78" s="507"/>
      <c r="Y78" s="507"/>
      <c r="Z78" s="507"/>
    </row>
    <row r="79" ht="35.25" customHeight="1">
      <c r="A79" s="823" t="s">
        <v>216</v>
      </c>
      <c r="B79" s="814" t="s">
        <v>1004</v>
      </c>
      <c r="C79" s="835">
        <v>5.19015E7</v>
      </c>
      <c r="D79" s="824">
        <f>sum(C79:C80)</f>
        <v>98351000</v>
      </c>
      <c r="E79" s="834"/>
      <c r="F79" s="834"/>
      <c r="G79" s="507"/>
      <c r="H79" s="507"/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/>
      <c r="V79" s="507"/>
      <c r="W79" s="507"/>
      <c r="X79" s="507"/>
      <c r="Y79" s="507"/>
      <c r="Z79" s="507"/>
    </row>
    <row r="80" ht="35.25" customHeight="1">
      <c r="A80" s="763"/>
      <c r="B80" s="814" t="s">
        <v>1005</v>
      </c>
      <c r="C80" s="835">
        <v>4.64495E7</v>
      </c>
      <c r="D80" s="764"/>
      <c r="E80" s="834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  <c r="Y80" s="507"/>
      <c r="Z80" s="507"/>
    </row>
    <row r="81" ht="35.25" customHeight="1">
      <c r="A81" s="763"/>
      <c r="B81" s="814"/>
      <c r="C81" s="835"/>
      <c r="D81" s="764"/>
      <c r="E81" s="834"/>
      <c r="F81" s="507"/>
      <c r="G81" s="507"/>
      <c r="H81" s="507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  <c r="X81" s="507"/>
      <c r="Y81" s="507"/>
      <c r="Z81" s="507"/>
    </row>
    <row r="82" ht="35.25" customHeight="1">
      <c r="A82" s="763"/>
      <c r="B82" s="821"/>
      <c r="C82" s="835"/>
      <c r="D82" s="764"/>
      <c r="E82" s="834"/>
      <c r="F82" s="507"/>
      <c r="G82" s="507"/>
      <c r="H82" s="507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  <c r="T82" s="507"/>
      <c r="U82" s="507"/>
      <c r="V82" s="507"/>
      <c r="W82" s="507"/>
      <c r="X82" s="507"/>
      <c r="Y82" s="507"/>
      <c r="Z82" s="507"/>
    </row>
    <row r="83" ht="35.25" customHeight="1">
      <c r="A83" s="825"/>
      <c r="B83" s="821"/>
      <c r="C83" s="835"/>
      <c r="D83" s="822"/>
      <c r="E83" s="834"/>
      <c r="F83" s="507"/>
      <c r="G83" s="507"/>
      <c r="H83" s="507"/>
      <c r="I83" s="507"/>
      <c r="J83" s="507"/>
      <c r="K83" s="507"/>
      <c r="L83" s="507"/>
      <c r="M83" s="507"/>
      <c r="N83" s="507"/>
      <c r="O83" s="507"/>
      <c r="P83" s="507"/>
      <c r="Q83" s="507"/>
      <c r="R83" s="507"/>
      <c r="S83" s="507"/>
      <c r="T83" s="507"/>
      <c r="U83" s="507"/>
      <c r="V83" s="507"/>
      <c r="W83" s="507"/>
      <c r="X83" s="507"/>
      <c r="Y83" s="507"/>
      <c r="Z83" s="507"/>
    </row>
    <row r="84" ht="35.25" customHeight="1">
      <c r="A84" s="823" t="s">
        <v>510</v>
      </c>
      <c r="B84" s="814" t="s">
        <v>1004</v>
      </c>
      <c r="C84" s="836">
        <v>3.10225E7</v>
      </c>
      <c r="D84" s="837">
        <f>sum(C84:C85)</f>
        <v>56056500</v>
      </c>
      <c r="E84" s="834"/>
      <c r="F84" s="507"/>
      <c r="G84" s="507"/>
      <c r="H84" s="507"/>
      <c r="I84" s="507"/>
      <c r="J84" s="507"/>
      <c r="K84" s="507"/>
      <c r="L84" s="507"/>
      <c r="M84" s="507"/>
      <c r="N84" s="507"/>
      <c r="O84" s="507"/>
      <c r="P84" s="507"/>
      <c r="Q84" s="507"/>
      <c r="R84" s="507"/>
      <c r="S84" s="507"/>
      <c r="T84" s="507"/>
      <c r="U84" s="507"/>
      <c r="V84" s="507"/>
      <c r="W84" s="507"/>
      <c r="X84" s="507"/>
      <c r="Y84" s="507"/>
      <c r="Z84" s="507"/>
    </row>
    <row r="85" ht="35.25" customHeight="1">
      <c r="A85" s="763"/>
      <c r="B85" s="814" t="s">
        <v>1005</v>
      </c>
      <c r="C85" s="836">
        <v>2.5034E7</v>
      </c>
      <c r="D85" s="817"/>
      <c r="E85" s="834"/>
      <c r="F85" s="507"/>
      <c r="G85" s="507"/>
      <c r="H85" s="507"/>
      <c r="I85" s="507"/>
      <c r="J85" s="507"/>
      <c r="K85" s="507"/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507"/>
      <c r="W85" s="507"/>
      <c r="X85" s="507"/>
      <c r="Y85" s="507"/>
      <c r="Z85" s="507"/>
    </row>
    <row r="86" ht="35.25" customHeight="1">
      <c r="A86" s="763"/>
      <c r="B86" s="821"/>
      <c r="C86" s="836"/>
      <c r="D86" s="817"/>
      <c r="E86" s="662"/>
      <c r="F86" s="507"/>
      <c r="G86" s="507"/>
      <c r="H86" s="507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507"/>
      <c r="W86" s="507"/>
      <c r="X86" s="507"/>
      <c r="Y86" s="507"/>
      <c r="Z86" s="507"/>
    </row>
    <row r="87" ht="35.25" customHeight="1">
      <c r="A87" s="825"/>
      <c r="B87" s="821"/>
      <c r="C87" s="838"/>
      <c r="D87" s="818"/>
      <c r="E87" s="839"/>
      <c r="F87" s="651"/>
      <c r="G87" s="507"/>
      <c r="H87" s="507"/>
      <c r="I87" s="507"/>
      <c r="J87" s="507"/>
      <c r="K87" s="5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507"/>
      <c r="W87" s="507"/>
      <c r="X87" s="507"/>
      <c r="Y87" s="507"/>
      <c r="Z87" s="507"/>
    </row>
    <row r="88" ht="35.25" customHeight="1">
      <c r="A88" s="823" t="s">
        <v>513</v>
      </c>
      <c r="B88" s="814" t="s">
        <v>1004</v>
      </c>
      <c r="C88" s="836">
        <v>5.76913E7</v>
      </c>
      <c r="D88" s="824">
        <f>sum(C88:C92)</f>
        <v>121837300</v>
      </c>
      <c r="E88" s="839"/>
      <c r="F88" s="651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  <c r="V88" s="507"/>
      <c r="W88" s="507"/>
      <c r="X88" s="507"/>
      <c r="Y88" s="507"/>
      <c r="Z88" s="507"/>
    </row>
    <row r="89" ht="35.25" customHeight="1">
      <c r="A89" s="763"/>
      <c r="B89" s="814" t="s">
        <v>1005</v>
      </c>
      <c r="C89" s="836">
        <v>6.4146E7</v>
      </c>
      <c r="D89" s="764"/>
      <c r="E89" s="839"/>
      <c r="F89" s="651"/>
      <c r="G89" s="507"/>
      <c r="H89" s="507"/>
      <c r="I89" s="507"/>
      <c r="J89" s="507"/>
      <c r="K89" s="507"/>
      <c r="L89" s="507"/>
      <c r="M89" s="507"/>
      <c r="N89" s="507"/>
      <c r="O89" s="507"/>
      <c r="P89" s="507"/>
      <c r="Q89" s="507"/>
      <c r="R89" s="507"/>
      <c r="S89" s="507"/>
      <c r="T89" s="507"/>
      <c r="U89" s="507"/>
      <c r="V89" s="507"/>
      <c r="W89" s="507"/>
      <c r="X89" s="507"/>
      <c r="Y89" s="507"/>
      <c r="Z89" s="507"/>
    </row>
    <row r="90" ht="35.25" customHeight="1">
      <c r="A90" s="763"/>
      <c r="B90" s="821"/>
      <c r="C90" s="836"/>
      <c r="D90" s="764"/>
      <c r="E90" s="840"/>
      <c r="F90" s="840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  <c r="V90" s="507"/>
      <c r="W90" s="507"/>
      <c r="X90" s="507"/>
      <c r="Y90" s="507"/>
      <c r="Z90" s="507"/>
    </row>
    <row r="91" ht="35.25" customHeight="1">
      <c r="A91" s="763"/>
      <c r="B91" s="821"/>
      <c r="C91" s="836"/>
      <c r="D91" s="764"/>
      <c r="E91" s="841"/>
      <c r="F91" s="842"/>
      <c r="G91" s="507"/>
      <c r="H91" s="507"/>
      <c r="I91" s="507"/>
      <c r="J91" s="507"/>
      <c r="K91" s="507"/>
      <c r="L91" s="507"/>
      <c r="M91" s="507"/>
      <c r="N91" s="507"/>
      <c r="O91" s="507"/>
      <c r="P91" s="507"/>
      <c r="Q91" s="507"/>
      <c r="R91" s="507"/>
      <c r="S91" s="507"/>
      <c r="T91" s="507"/>
      <c r="U91" s="507"/>
      <c r="V91" s="507"/>
      <c r="W91" s="507"/>
      <c r="X91" s="507"/>
      <c r="Y91" s="507"/>
      <c r="Z91" s="507"/>
    </row>
    <row r="92" ht="35.25" customHeight="1">
      <c r="A92" s="763"/>
      <c r="B92" s="814"/>
      <c r="C92" s="836"/>
      <c r="D92" s="764"/>
      <c r="E92" s="841"/>
      <c r="F92" s="842"/>
      <c r="G92" s="507"/>
      <c r="H92" s="507"/>
      <c r="I92" s="507"/>
      <c r="J92" s="507"/>
      <c r="K92" s="507"/>
      <c r="L92" s="507"/>
      <c r="M92" s="507"/>
      <c r="N92" s="507"/>
      <c r="O92" s="507"/>
      <c r="P92" s="507"/>
      <c r="Q92" s="507"/>
      <c r="R92" s="507"/>
      <c r="S92" s="507"/>
      <c r="T92" s="507"/>
      <c r="U92" s="507"/>
      <c r="V92" s="507"/>
      <c r="W92" s="507"/>
      <c r="X92" s="507"/>
      <c r="Y92" s="507"/>
      <c r="Z92" s="507"/>
    </row>
    <row r="93" ht="35.25" customHeight="1">
      <c r="A93" s="825"/>
      <c r="B93" s="821"/>
      <c r="C93" s="830"/>
      <c r="D93" s="822"/>
      <c r="E93" s="841"/>
      <c r="F93" s="842"/>
      <c r="G93" s="507"/>
      <c r="H93" s="507"/>
      <c r="I93" s="507"/>
      <c r="J93" s="507"/>
      <c r="K93" s="507"/>
      <c r="L93" s="507"/>
      <c r="M93" s="507"/>
      <c r="N93" s="507"/>
      <c r="O93" s="507"/>
      <c r="P93" s="507"/>
      <c r="Q93" s="507"/>
      <c r="R93" s="507"/>
      <c r="S93" s="507"/>
      <c r="T93" s="507"/>
      <c r="U93" s="507"/>
      <c r="V93" s="507"/>
      <c r="W93" s="507"/>
      <c r="X93" s="507"/>
      <c r="Y93" s="507"/>
      <c r="Z93" s="507"/>
    </row>
    <row r="94" ht="35.25" customHeight="1">
      <c r="A94" s="823" t="s">
        <v>634</v>
      </c>
      <c r="B94" s="821" t="s">
        <v>1013</v>
      </c>
      <c r="C94" s="830">
        <v>2.20485E7</v>
      </c>
      <c r="D94" s="824">
        <f>sum(C94:C99)</f>
        <v>152488500</v>
      </c>
      <c r="E94" s="651"/>
      <c r="F94" s="842"/>
      <c r="G94" s="507"/>
      <c r="H94" s="507"/>
      <c r="I94" s="507"/>
      <c r="J94" s="507"/>
      <c r="K94" s="507"/>
      <c r="L94" s="507"/>
      <c r="M94" s="507"/>
      <c r="N94" s="507"/>
    </row>
    <row r="95" ht="35.25" customHeight="1">
      <c r="A95" s="763"/>
      <c r="B95" s="821" t="s">
        <v>1006</v>
      </c>
      <c r="C95" s="830">
        <v>2.92305E7</v>
      </c>
      <c r="D95" s="764"/>
      <c r="E95" s="556" t="s">
        <v>920</v>
      </c>
      <c r="F95" s="830"/>
      <c r="G95" s="507"/>
      <c r="H95" s="507"/>
      <c r="I95" s="507"/>
      <c r="J95" s="507"/>
      <c r="K95" s="507"/>
      <c r="L95" s="507"/>
      <c r="M95" s="507"/>
      <c r="N95" s="507"/>
    </row>
    <row r="96" ht="35.25" customHeight="1">
      <c r="A96" s="763"/>
      <c r="B96" s="821" t="s">
        <v>1007</v>
      </c>
      <c r="C96" s="830">
        <v>2.122E7</v>
      </c>
      <c r="D96" s="764"/>
      <c r="E96" s="556"/>
      <c r="F96" s="830"/>
      <c r="G96" s="507"/>
      <c r="H96" s="507"/>
      <c r="I96" s="507"/>
      <c r="J96" s="507"/>
      <c r="K96" s="507"/>
      <c r="L96" s="507"/>
      <c r="M96" s="507"/>
      <c r="N96" s="507"/>
    </row>
    <row r="97" ht="35.25" customHeight="1">
      <c r="A97" s="763"/>
      <c r="B97" s="821" t="s">
        <v>1008</v>
      </c>
      <c r="C97" s="830">
        <v>2.35775E7</v>
      </c>
      <c r="D97" s="764"/>
      <c r="E97" s="556"/>
      <c r="F97" s="507"/>
      <c r="G97" s="507"/>
      <c r="H97" s="507"/>
      <c r="I97" s="507"/>
      <c r="J97" s="507"/>
      <c r="K97" s="507"/>
      <c r="L97" s="507"/>
      <c r="M97" s="507"/>
      <c r="N97" s="507"/>
    </row>
    <row r="98" ht="35.25" customHeight="1">
      <c r="A98" s="763"/>
      <c r="B98" s="814" t="s">
        <v>1004</v>
      </c>
      <c r="C98" s="830">
        <v>3.23935E7</v>
      </c>
      <c r="D98" s="764"/>
      <c r="E98" s="556"/>
      <c r="F98" s="507"/>
      <c r="G98" s="507"/>
      <c r="H98" s="507"/>
      <c r="I98" s="507"/>
      <c r="J98" s="507"/>
      <c r="K98" s="507"/>
      <c r="L98" s="507"/>
      <c r="M98" s="507"/>
      <c r="N98" s="507"/>
    </row>
    <row r="99" ht="35.25" customHeight="1">
      <c r="A99" s="763"/>
      <c r="B99" s="814" t="s">
        <v>1005</v>
      </c>
      <c r="C99" s="830">
        <v>2.40185E7</v>
      </c>
      <c r="D99" s="764"/>
      <c r="E99" s="556"/>
      <c r="F99" s="507"/>
      <c r="G99" s="507"/>
      <c r="H99" s="507"/>
      <c r="I99" s="507"/>
      <c r="J99" s="507"/>
      <c r="K99" s="507"/>
      <c r="L99" s="507"/>
      <c r="M99" s="507"/>
      <c r="N99" s="507"/>
    </row>
    <row r="100" ht="35.25" customHeight="1">
      <c r="A100" s="763"/>
      <c r="B100" s="821"/>
      <c r="C100" s="830"/>
      <c r="D100" s="764"/>
      <c r="E100" s="556"/>
      <c r="F100" s="507"/>
      <c r="G100" s="507"/>
      <c r="H100" s="507"/>
      <c r="I100" s="507"/>
      <c r="J100" s="507"/>
      <c r="K100" s="507"/>
      <c r="L100" s="507"/>
      <c r="M100" s="507"/>
      <c r="N100" s="507"/>
    </row>
    <row r="101" ht="35.25" customHeight="1">
      <c r="A101" s="763"/>
      <c r="B101" s="821"/>
      <c r="C101" s="830"/>
      <c r="D101" s="764"/>
      <c r="E101" s="556"/>
      <c r="F101" s="507"/>
      <c r="G101" s="507"/>
      <c r="H101" s="507"/>
      <c r="I101" s="507"/>
      <c r="J101" s="507"/>
      <c r="K101" s="507"/>
      <c r="L101" s="507"/>
      <c r="M101" s="507"/>
      <c r="N101" s="507"/>
    </row>
    <row r="102" ht="35.25" customHeight="1">
      <c r="A102" s="825"/>
      <c r="B102" s="821"/>
      <c r="C102" s="830"/>
      <c r="D102" s="822"/>
      <c r="E102" s="556"/>
      <c r="F102" s="507"/>
      <c r="G102" s="507"/>
      <c r="H102" s="507"/>
      <c r="I102" s="507"/>
      <c r="J102" s="507"/>
      <c r="K102" s="507"/>
      <c r="L102" s="507"/>
      <c r="M102" s="507"/>
      <c r="N102" s="507"/>
    </row>
    <row r="103" ht="35.25" customHeight="1">
      <c r="A103" s="823" t="s">
        <v>635</v>
      </c>
      <c r="B103" s="821" t="s">
        <v>1014</v>
      </c>
      <c r="C103" s="819">
        <v>2.52588E7</v>
      </c>
      <c r="D103" s="843">
        <f>sum(C103:C104)</f>
        <v>49195700</v>
      </c>
      <c r="E103" s="507"/>
      <c r="F103" s="507"/>
      <c r="G103" s="507"/>
      <c r="H103" s="507"/>
      <c r="I103" s="507"/>
      <c r="J103" s="507"/>
      <c r="K103" s="507"/>
      <c r="L103" s="507"/>
      <c r="M103" s="507"/>
      <c r="N103" s="507"/>
    </row>
    <row r="104" ht="35.25" customHeight="1">
      <c r="A104" s="763"/>
      <c r="B104" s="814" t="s">
        <v>1005</v>
      </c>
      <c r="C104" s="836">
        <v>2.39369E7</v>
      </c>
      <c r="E104" s="507"/>
      <c r="F104" s="507"/>
      <c r="G104" s="507"/>
      <c r="H104" s="507"/>
      <c r="I104" s="507"/>
      <c r="J104" s="507"/>
      <c r="K104" s="507"/>
      <c r="L104" s="507"/>
      <c r="M104" s="507"/>
      <c r="N104" s="507"/>
    </row>
    <row r="105" ht="35.25" customHeight="1">
      <c r="A105" s="763"/>
      <c r="B105" s="821"/>
      <c r="C105" s="836"/>
      <c r="E105" s="507"/>
      <c r="F105" s="507"/>
      <c r="G105" s="507"/>
      <c r="H105" s="507"/>
      <c r="I105" s="507"/>
      <c r="J105" s="507"/>
      <c r="K105" s="507"/>
      <c r="L105" s="507"/>
      <c r="M105" s="507"/>
      <c r="N105" s="507"/>
    </row>
    <row r="106" ht="35.25" customHeight="1">
      <c r="A106" s="763"/>
      <c r="B106" s="821"/>
      <c r="C106" s="836"/>
      <c r="E106" s="507"/>
      <c r="F106" s="507"/>
      <c r="G106" s="507"/>
      <c r="H106" s="507"/>
      <c r="I106" s="507"/>
      <c r="J106" s="507"/>
      <c r="K106" s="507"/>
      <c r="L106" s="507"/>
      <c r="M106" s="507"/>
      <c r="N106" s="507"/>
    </row>
    <row r="107" ht="35.25" customHeight="1">
      <c r="A107" s="825"/>
      <c r="B107" s="821"/>
      <c r="C107" s="844"/>
      <c r="E107" s="507"/>
      <c r="F107" s="845"/>
      <c r="G107" s="507"/>
      <c r="H107" s="507"/>
      <c r="I107" s="507"/>
      <c r="J107" s="507"/>
      <c r="K107" s="507"/>
      <c r="L107" s="507"/>
      <c r="M107" s="507"/>
      <c r="N107" s="507"/>
    </row>
    <row r="108" ht="35.25" customHeight="1">
      <c r="A108" s="823" t="s">
        <v>636</v>
      </c>
      <c r="B108" s="814" t="s">
        <v>1005</v>
      </c>
      <c r="C108" s="846">
        <v>2.00212E7</v>
      </c>
      <c r="D108" s="827">
        <v>2.00212E7</v>
      </c>
      <c r="E108" s="507"/>
      <c r="G108" s="507"/>
      <c r="H108" s="507"/>
      <c r="I108" s="507"/>
      <c r="J108" s="507"/>
      <c r="K108" s="507"/>
      <c r="L108" s="507"/>
      <c r="M108" s="507"/>
      <c r="N108" s="507"/>
    </row>
    <row r="109" ht="35.25" customHeight="1">
      <c r="A109" s="763"/>
      <c r="B109" s="814"/>
      <c r="C109" s="847"/>
      <c r="D109" s="817"/>
      <c r="E109" s="507"/>
      <c r="G109" s="507"/>
      <c r="H109" s="507"/>
      <c r="I109" s="507"/>
      <c r="J109" s="507"/>
      <c r="K109" s="507"/>
      <c r="L109" s="507"/>
      <c r="M109" s="507"/>
      <c r="N109" s="507"/>
    </row>
    <row r="110" ht="35.25" customHeight="1">
      <c r="A110" s="763"/>
      <c r="B110" s="821"/>
      <c r="C110" s="848"/>
      <c r="D110" s="817"/>
      <c r="E110" s="507"/>
      <c r="G110" s="507"/>
      <c r="H110" s="507"/>
      <c r="I110" s="507"/>
      <c r="J110" s="507"/>
      <c r="K110" s="507"/>
      <c r="L110" s="507"/>
      <c r="M110" s="507"/>
      <c r="N110" s="507"/>
    </row>
    <row r="111" ht="35.25" customHeight="1">
      <c r="A111" s="763"/>
      <c r="B111" s="821"/>
      <c r="C111" s="849"/>
      <c r="D111" s="817"/>
      <c r="E111" s="507"/>
      <c r="G111" s="507"/>
      <c r="H111" s="507"/>
      <c r="I111" s="507"/>
      <c r="J111" s="507"/>
      <c r="K111" s="507"/>
      <c r="L111" s="507"/>
      <c r="M111" s="507"/>
      <c r="N111" s="507"/>
    </row>
    <row r="112" ht="35.25" customHeight="1">
      <c r="A112" s="763"/>
      <c r="B112" s="821"/>
      <c r="C112" s="846"/>
      <c r="D112" s="817"/>
      <c r="E112" s="507"/>
      <c r="F112" s="507"/>
      <c r="G112" s="507"/>
      <c r="H112" s="507"/>
      <c r="I112" s="507"/>
      <c r="J112" s="507"/>
      <c r="K112" s="507"/>
      <c r="L112" s="507"/>
      <c r="M112" s="507"/>
      <c r="N112" s="507"/>
    </row>
    <row r="113" ht="35.25" customHeight="1">
      <c r="A113" s="825"/>
      <c r="B113" s="821"/>
      <c r="C113" s="846"/>
      <c r="D113" s="817"/>
      <c r="E113" s="507"/>
      <c r="F113" s="507"/>
      <c r="G113" s="507"/>
      <c r="H113" s="507"/>
      <c r="I113" s="507"/>
      <c r="J113" s="507"/>
      <c r="K113" s="507"/>
      <c r="L113" s="507"/>
      <c r="M113" s="507"/>
      <c r="N113" s="507"/>
    </row>
    <row r="114" ht="35.25" customHeight="1">
      <c r="A114" s="823" t="s">
        <v>643</v>
      </c>
      <c r="B114" s="814" t="s">
        <v>1004</v>
      </c>
      <c r="C114" s="846">
        <v>5.15059E7</v>
      </c>
      <c r="D114" s="824">
        <f>sum(C114:C115)</f>
        <v>77966100</v>
      </c>
      <c r="E114" s="556"/>
      <c r="F114" s="507"/>
      <c r="G114" s="507"/>
      <c r="H114" s="507"/>
      <c r="I114" s="507"/>
      <c r="J114" s="507"/>
      <c r="K114" s="507"/>
      <c r="L114" s="507"/>
      <c r="M114" s="507"/>
      <c r="N114" s="507"/>
    </row>
    <row r="115" ht="35.25" customHeight="1">
      <c r="A115" s="763"/>
      <c r="B115" s="814" t="s">
        <v>1005</v>
      </c>
      <c r="C115" s="846">
        <v>2.64602E7</v>
      </c>
      <c r="D115" s="764"/>
      <c r="E115" s="556" t="s">
        <v>926</v>
      </c>
      <c r="F115" s="507"/>
      <c r="G115" s="507"/>
      <c r="H115" s="507"/>
      <c r="I115" s="507"/>
      <c r="J115" s="507"/>
      <c r="K115" s="507"/>
      <c r="L115" s="507"/>
      <c r="M115" s="507"/>
      <c r="N115" s="507"/>
    </row>
    <row r="116" ht="35.25" customHeight="1">
      <c r="A116" s="763"/>
      <c r="B116" s="821"/>
      <c r="C116" s="846"/>
      <c r="D116" s="764"/>
      <c r="E116" s="556"/>
      <c r="F116" s="507"/>
      <c r="G116" s="507"/>
      <c r="H116" s="507"/>
      <c r="I116" s="507"/>
      <c r="J116" s="507"/>
      <c r="K116" s="507"/>
      <c r="L116" s="507"/>
      <c r="M116" s="507"/>
      <c r="N116" s="507"/>
    </row>
    <row r="117" ht="35.25" customHeight="1">
      <c r="A117" s="763"/>
      <c r="B117" s="821"/>
      <c r="C117" s="846"/>
      <c r="D117" s="764"/>
      <c r="E117" s="556"/>
      <c r="F117" s="507"/>
      <c r="G117" s="507"/>
      <c r="H117" s="507"/>
      <c r="I117" s="507"/>
      <c r="J117" s="507"/>
      <c r="K117" s="507"/>
      <c r="L117" s="507"/>
      <c r="M117" s="507"/>
      <c r="N117" s="507"/>
    </row>
    <row r="118" ht="35.25" customHeight="1">
      <c r="A118" s="763"/>
      <c r="B118" s="814"/>
      <c r="C118" s="846"/>
      <c r="D118" s="764"/>
      <c r="E118" s="556"/>
      <c r="F118" s="507"/>
      <c r="G118" s="507"/>
      <c r="H118" s="507"/>
      <c r="I118" s="507"/>
      <c r="J118" s="507"/>
      <c r="K118" s="507"/>
      <c r="L118" s="507"/>
      <c r="M118" s="507"/>
      <c r="N118" s="507"/>
    </row>
    <row r="119" ht="35.25" customHeight="1">
      <c r="A119" s="825"/>
      <c r="B119" s="814"/>
      <c r="C119" s="846"/>
      <c r="D119" s="822"/>
      <c r="E119" s="556"/>
      <c r="F119" s="507"/>
      <c r="G119" s="507"/>
      <c r="H119" s="507"/>
      <c r="I119" s="507"/>
      <c r="J119" s="507"/>
      <c r="K119" s="507"/>
      <c r="L119" s="507"/>
      <c r="M119" s="507"/>
      <c r="N119" s="507"/>
    </row>
    <row r="120" ht="35.25" customHeight="1">
      <c r="A120" s="823" t="s">
        <v>60</v>
      </c>
      <c r="B120" s="821" t="s">
        <v>1007</v>
      </c>
      <c r="C120" s="835" t="s">
        <v>684</v>
      </c>
      <c r="D120" s="824">
        <f>sum(C120:C124)</f>
        <v>61684500</v>
      </c>
      <c r="E120" s="556"/>
      <c r="F120" s="507"/>
      <c r="G120" s="507"/>
      <c r="H120" s="507"/>
      <c r="I120" s="507"/>
      <c r="J120" s="507"/>
      <c r="K120" s="507"/>
      <c r="L120" s="507"/>
      <c r="M120" s="507"/>
      <c r="N120" s="507"/>
    </row>
    <row r="121" ht="35.25" customHeight="1">
      <c r="A121" s="763"/>
      <c r="B121" s="814" t="s">
        <v>1004</v>
      </c>
      <c r="C121" s="836" t="s">
        <v>684</v>
      </c>
      <c r="D121" s="764"/>
      <c r="E121" s="556"/>
      <c r="F121" s="507"/>
      <c r="G121" s="507"/>
      <c r="H121" s="507"/>
      <c r="I121" s="507"/>
      <c r="J121" s="507"/>
      <c r="K121" s="507"/>
      <c r="L121" s="507"/>
      <c r="M121" s="507"/>
      <c r="N121" s="507"/>
    </row>
    <row r="122" ht="35.25" customHeight="1">
      <c r="A122" s="763"/>
      <c r="B122" s="814" t="s">
        <v>1005</v>
      </c>
      <c r="C122" s="819">
        <v>6.16845E7</v>
      </c>
      <c r="D122" s="764"/>
      <c r="E122" s="556" t="s">
        <v>927</v>
      </c>
      <c r="F122" s="507"/>
      <c r="G122" s="507"/>
      <c r="H122" s="507"/>
      <c r="I122" s="507"/>
      <c r="J122" s="507"/>
      <c r="K122" s="507"/>
      <c r="L122" s="507"/>
      <c r="M122" s="507"/>
      <c r="N122" s="507"/>
    </row>
    <row r="123" ht="35.25" customHeight="1">
      <c r="A123" s="763"/>
      <c r="B123" s="821"/>
      <c r="C123" s="836"/>
      <c r="D123" s="764"/>
      <c r="E123" s="556"/>
      <c r="F123" s="507"/>
      <c r="G123" s="507"/>
      <c r="H123" s="507"/>
      <c r="I123" s="507"/>
      <c r="J123" s="507"/>
      <c r="K123" s="507"/>
      <c r="L123" s="507"/>
      <c r="M123" s="507"/>
      <c r="N123" s="507"/>
    </row>
    <row r="124" ht="35.25" customHeight="1">
      <c r="A124" s="763"/>
      <c r="B124" s="821"/>
      <c r="C124" s="836"/>
      <c r="D124" s="764"/>
      <c r="E124" s="556"/>
      <c r="F124" s="507"/>
      <c r="G124" s="507"/>
      <c r="H124" s="507"/>
      <c r="I124" s="507"/>
      <c r="J124" s="507"/>
      <c r="K124" s="507"/>
      <c r="L124" s="507"/>
      <c r="M124" s="507"/>
      <c r="N124" s="507"/>
    </row>
    <row r="125" ht="35.25" customHeight="1">
      <c r="A125" s="763"/>
      <c r="B125" s="821"/>
      <c r="C125" s="836"/>
      <c r="D125" s="764"/>
      <c r="E125" s="556"/>
      <c r="F125" s="507"/>
      <c r="G125" s="507"/>
      <c r="H125" s="507"/>
      <c r="I125" s="507"/>
      <c r="J125" s="507"/>
      <c r="K125" s="507"/>
      <c r="L125" s="507"/>
      <c r="M125" s="507"/>
      <c r="N125" s="507"/>
    </row>
    <row r="126" ht="35.25" customHeight="1">
      <c r="A126" s="825"/>
      <c r="B126" s="821"/>
      <c r="C126" s="836"/>
      <c r="D126" s="822"/>
      <c r="E126" s="556"/>
      <c r="F126" s="507"/>
      <c r="G126" s="507"/>
      <c r="H126" s="507"/>
      <c r="I126" s="507"/>
      <c r="J126" s="507"/>
      <c r="K126" s="507"/>
      <c r="L126" s="507"/>
      <c r="M126" s="507"/>
      <c r="N126" s="507"/>
    </row>
    <row r="127" ht="35.25" customHeight="1">
      <c r="A127" s="850" t="s">
        <v>714</v>
      </c>
      <c r="B127" s="814" t="s">
        <v>1004</v>
      </c>
      <c r="C127" s="819" t="s">
        <v>684</v>
      </c>
      <c r="D127" s="829">
        <v>1.9191E7</v>
      </c>
      <c r="E127" s="556"/>
      <c r="F127" s="507"/>
      <c r="G127" s="507"/>
      <c r="H127" s="507"/>
      <c r="I127" s="507"/>
      <c r="J127" s="507"/>
      <c r="K127" s="507"/>
      <c r="L127" s="507"/>
      <c r="M127" s="507"/>
      <c r="N127" s="507"/>
    </row>
    <row r="128" ht="35.25" customHeight="1">
      <c r="A128" s="763"/>
      <c r="B128" s="814" t="s">
        <v>1005</v>
      </c>
      <c r="C128" s="819">
        <v>1.9191E7</v>
      </c>
      <c r="D128" s="817"/>
      <c r="E128" s="556" t="s">
        <v>928</v>
      </c>
      <c r="F128" s="507"/>
      <c r="G128" s="507"/>
      <c r="H128" s="507"/>
      <c r="I128" s="507"/>
      <c r="J128" s="507"/>
      <c r="K128" s="507"/>
      <c r="L128" s="507"/>
      <c r="M128" s="507"/>
      <c r="N128" s="507"/>
    </row>
    <row r="129" ht="35.25" customHeight="1">
      <c r="A129" s="763"/>
      <c r="B129" s="821"/>
      <c r="C129" s="836"/>
      <c r="D129" s="817"/>
      <c r="E129" s="556"/>
      <c r="F129" s="507"/>
      <c r="G129" s="507"/>
      <c r="H129" s="507"/>
      <c r="I129" s="507"/>
      <c r="J129" s="507"/>
      <c r="K129" s="507"/>
      <c r="L129" s="507"/>
      <c r="M129" s="507"/>
      <c r="N129" s="507"/>
    </row>
    <row r="130" ht="35.25" customHeight="1">
      <c r="A130" s="763"/>
      <c r="B130" s="821"/>
      <c r="C130" s="836"/>
      <c r="D130" s="817"/>
      <c r="E130" s="556"/>
      <c r="F130" s="507"/>
      <c r="G130" s="507"/>
      <c r="H130" s="507"/>
      <c r="I130" s="507"/>
      <c r="J130" s="507"/>
      <c r="K130" s="507"/>
      <c r="L130" s="507"/>
      <c r="M130" s="507"/>
      <c r="N130" s="507"/>
    </row>
    <row r="131" ht="35.25" customHeight="1">
      <c r="A131" s="763"/>
      <c r="B131" s="821"/>
      <c r="C131" s="836"/>
      <c r="D131" s="817"/>
      <c r="E131" s="556"/>
      <c r="F131" s="507"/>
      <c r="G131" s="507"/>
      <c r="H131" s="507"/>
      <c r="I131" s="507"/>
      <c r="J131" s="507"/>
      <c r="K131" s="507"/>
      <c r="L131" s="507"/>
      <c r="M131" s="507"/>
      <c r="N131" s="507"/>
    </row>
    <row r="132" ht="35.25" customHeight="1">
      <c r="A132" s="763"/>
      <c r="B132" s="821"/>
      <c r="C132" s="836"/>
      <c r="D132" s="817"/>
      <c r="E132" s="556"/>
      <c r="F132" s="507"/>
      <c r="G132" s="507"/>
      <c r="H132" s="507"/>
      <c r="I132" s="507"/>
      <c r="J132" s="507"/>
      <c r="K132" s="507"/>
      <c r="L132" s="507"/>
      <c r="M132" s="507"/>
      <c r="N132" s="507"/>
    </row>
    <row r="133" ht="35.25" customHeight="1">
      <c r="A133" s="825"/>
      <c r="B133" s="821"/>
      <c r="C133" s="851"/>
      <c r="D133" s="818"/>
      <c r="E133" s="556"/>
      <c r="F133" s="852"/>
      <c r="G133" s="507"/>
      <c r="H133" s="507"/>
      <c r="I133" s="507"/>
      <c r="J133" s="507"/>
      <c r="K133" s="507"/>
      <c r="L133" s="507"/>
      <c r="M133" s="507"/>
      <c r="N133" s="507"/>
    </row>
    <row r="134" ht="35.25" customHeight="1">
      <c r="A134" s="853" t="s">
        <v>716</v>
      </c>
      <c r="B134" s="814" t="s">
        <v>1004</v>
      </c>
      <c r="C134" s="852">
        <v>1.114739E8</v>
      </c>
      <c r="D134" s="854">
        <f>sum(C134:C135)</f>
        <v>176757900</v>
      </c>
      <c r="E134" s="556"/>
      <c r="F134" s="836"/>
      <c r="G134" s="507"/>
      <c r="H134" s="507"/>
      <c r="I134" s="507"/>
      <c r="J134" s="507"/>
      <c r="K134" s="507"/>
      <c r="L134" s="507"/>
      <c r="M134" s="507"/>
      <c r="N134" s="507"/>
    </row>
    <row r="135" ht="35.25" customHeight="1">
      <c r="A135" s="817"/>
      <c r="B135" s="814" t="s">
        <v>1005</v>
      </c>
      <c r="C135" s="836">
        <v>6.5284E7</v>
      </c>
      <c r="D135" s="817"/>
      <c r="E135" s="556"/>
      <c r="F135" s="836"/>
      <c r="G135" s="507"/>
      <c r="H135" s="507"/>
      <c r="I135" s="507"/>
      <c r="J135" s="507"/>
      <c r="K135" s="507"/>
      <c r="L135" s="507"/>
      <c r="M135" s="507"/>
      <c r="N135" s="507"/>
    </row>
    <row r="136" ht="35.25" customHeight="1">
      <c r="A136" s="817"/>
      <c r="B136" s="821"/>
      <c r="C136" s="836"/>
      <c r="D136" s="817"/>
      <c r="E136" s="556" t="s">
        <v>929</v>
      </c>
      <c r="F136" s="819"/>
      <c r="G136" s="507"/>
      <c r="H136" s="507"/>
      <c r="I136" s="507"/>
      <c r="J136" s="507"/>
      <c r="K136" s="507"/>
      <c r="L136" s="507"/>
      <c r="M136" s="507"/>
      <c r="N136" s="507"/>
    </row>
    <row r="137" ht="35.25" customHeight="1">
      <c r="A137" s="817"/>
      <c r="B137" s="821"/>
      <c r="C137" s="819"/>
      <c r="D137" s="817"/>
      <c r="E137" s="556"/>
      <c r="F137" s="507"/>
      <c r="G137" s="507"/>
      <c r="H137" s="507"/>
      <c r="I137" s="507"/>
      <c r="J137" s="507"/>
      <c r="K137" s="507"/>
      <c r="L137" s="507"/>
      <c r="M137" s="507"/>
      <c r="N137" s="507"/>
    </row>
    <row r="138" ht="35.25" customHeight="1">
      <c r="A138" s="817"/>
      <c r="B138" s="821"/>
      <c r="C138" s="819"/>
      <c r="D138" s="817"/>
      <c r="E138" s="556"/>
      <c r="F138" s="507"/>
      <c r="G138" s="507"/>
      <c r="H138" s="507"/>
      <c r="I138" s="507"/>
      <c r="J138" s="507"/>
      <c r="K138" s="507"/>
      <c r="L138" s="507"/>
      <c r="M138" s="507"/>
      <c r="N138" s="507"/>
    </row>
    <row r="139" ht="35.25" customHeight="1">
      <c r="A139" s="818"/>
      <c r="B139" s="821"/>
      <c r="C139" s="819"/>
      <c r="D139" s="818"/>
      <c r="E139" s="556"/>
      <c r="F139" s="507"/>
      <c r="G139" s="507"/>
      <c r="H139" s="507"/>
      <c r="I139" s="507"/>
      <c r="J139" s="507"/>
      <c r="K139" s="507"/>
      <c r="L139" s="507"/>
      <c r="M139" s="507"/>
      <c r="N139" s="507"/>
    </row>
    <row r="140" ht="35.25" customHeight="1">
      <c r="A140" s="850" t="s">
        <v>718</v>
      </c>
      <c r="B140" s="814" t="s">
        <v>1004</v>
      </c>
      <c r="C140" s="819">
        <v>4.8608E7</v>
      </c>
      <c r="D140" s="829">
        <f>sum(C140:C141)</f>
        <v>70101000</v>
      </c>
      <c r="E140" s="556"/>
      <c r="F140" s="507"/>
      <c r="G140" s="507"/>
      <c r="H140" s="507"/>
      <c r="I140" s="507"/>
      <c r="J140" s="507"/>
      <c r="K140" s="507"/>
      <c r="L140" s="507"/>
      <c r="M140" s="507"/>
      <c r="N140" s="507"/>
    </row>
    <row r="141" ht="35.25" customHeight="1">
      <c r="A141" s="763"/>
      <c r="B141" s="814" t="s">
        <v>1005</v>
      </c>
      <c r="C141" s="819">
        <v>2.1493E7</v>
      </c>
      <c r="D141" s="817"/>
      <c r="E141" s="556" t="s">
        <v>930</v>
      </c>
      <c r="F141" s="507"/>
      <c r="G141" s="507"/>
      <c r="H141" s="507"/>
      <c r="I141" s="507"/>
      <c r="J141" s="507"/>
      <c r="K141" s="507"/>
      <c r="L141" s="507"/>
      <c r="M141" s="507"/>
      <c r="N141" s="507"/>
    </row>
    <row r="142" ht="35.25" customHeight="1">
      <c r="A142" s="763"/>
      <c r="B142" s="821"/>
      <c r="C142" s="819"/>
      <c r="D142" s="817"/>
      <c r="E142" s="556"/>
      <c r="F142" s="507"/>
      <c r="G142" s="507"/>
      <c r="H142" s="507"/>
      <c r="I142" s="507"/>
      <c r="J142" s="507"/>
      <c r="K142" s="507"/>
      <c r="L142" s="507"/>
      <c r="M142" s="507"/>
      <c r="N142" s="507"/>
    </row>
    <row r="143" ht="35.25" customHeight="1">
      <c r="A143" s="763"/>
      <c r="B143" s="821"/>
      <c r="C143" s="819"/>
      <c r="D143" s="817"/>
      <c r="E143" s="556"/>
      <c r="F143" s="507"/>
      <c r="G143" s="507"/>
      <c r="H143" s="507"/>
      <c r="I143" s="507"/>
      <c r="J143" s="507"/>
      <c r="K143" s="507"/>
      <c r="L143" s="507"/>
      <c r="M143" s="507"/>
      <c r="N143" s="507"/>
    </row>
    <row r="144" ht="35.25" customHeight="1">
      <c r="A144" s="763"/>
      <c r="B144" s="821"/>
      <c r="C144" s="819"/>
      <c r="D144" s="817"/>
      <c r="E144" s="556"/>
      <c r="F144" s="855"/>
      <c r="G144" s="507"/>
      <c r="H144" s="507"/>
      <c r="I144" s="507"/>
      <c r="J144" s="507"/>
      <c r="K144" s="507"/>
      <c r="L144" s="507"/>
      <c r="M144" s="507"/>
      <c r="N144" s="507"/>
    </row>
    <row r="145" ht="35.25" customHeight="1">
      <c r="A145" s="763"/>
      <c r="B145" s="821"/>
      <c r="C145" s="819"/>
      <c r="D145" s="817"/>
      <c r="E145" s="556"/>
      <c r="F145" s="855"/>
      <c r="G145" s="507"/>
      <c r="H145" s="507"/>
      <c r="I145" s="507"/>
      <c r="J145" s="507"/>
      <c r="K145" s="507"/>
      <c r="L145" s="507"/>
      <c r="M145" s="507"/>
      <c r="N145" s="507"/>
    </row>
    <row r="146" ht="35.25" customHeight="1">
      <c r="A146" s="825"/>
      <c r="B146" s="821"/>
      <c r="C146" s="819"/>
      <c r="D146" s="818"/>
      <c r="E146" s="556"/>
      <c r="F146" s="855"/>
      <c r="G146" s="507"/>
      <c r="H146" s="507"/>
      <c r="I146" s="507"/>
      <c r="J146" s="507"/>
      <c r="K146" s="507"/>
      <c r="L146" s="507"/>
      <c r="M146" s="507"/>
      <c r="N146" s="507"/>
    </row>
    <row r="147" ht="35.25" customHeight="1">
      <c r="A147" s="850" t="s">
        <v>719</v>
      </c>
      <c r="B147" s="814" t="s">
        <v>1004</v>
      </c>
      <c r="C147" s="856">
        <v>2.5755E7</v>
      </c>
      <c r="D147" s="857">
        <f>sum(C147:C148)</f>
        <v>61525000</v>
      </c>
      <c r="E147" s="556"/>
      <c r="F147" s="507"/>
      <c r="G147" s="507"/>
      <c r="H147" s="507"/>
      <c r="I147" s="507"/>
      <c r="J147" s="507"/>
      <c r="K147" s="507"/>
      <c r="L147" s="507"/>
      <c r="M147" s="507"/>
      <c r="N147" s="507"/>
    </row>
    <row r="148" ht="35.25" customHeight="1">
      <c r="A148" s="763"/>
      <c r="B148" s="814" t="s">
        <v>1005</v>
      </c>
      <c r="C148" s="856">
        <v>3.577E7</v>
      </c>
      <c r="D148" s="18"/>
      <c r="E148" s="556" t="s">
        <v>931</v>
      </c>
      <c r="F148" s="507"/>
      <c r="G148" s="507"/>
      <c r="H148" s="507"/>
      <c r="I148" s="507"/>
      <c r="J148" s="507"/>
      <c r="K148" s="507"/>
      <c r="L148" s="507"/>
      <c r="M148" s="507"/>
      <c r="N148" s="507"/>
    </row>
    <row r="149" ht="35.25" customHeight="1">
      <c r="A149" s="763"/>
      <c r="B149" s="858"/>
      <c r="C149" s="856"/>
      <c r="D149" s="18"/>
      <c r="E149" s="556"/>
      <c r="F149" s="507"/>
      <c r="G149" s="507"/>
      <c r="H149" s="507"/>
      <c r="I149" s="507"/>
      <c r="J149" s="507"/>
      <c r="K149" s="507"/>
      <c r="L149" s="507"/>
      <c r="M149" s="507"/>
      <c r="N149" s="507"/>
    </row>
    <row r="150" ht="35.25" customHeight="1">
      <c r="A150" s="825"/>
      <c r="B150" s="858"/>
      <c r="C150" s="856"/>
      <c r="D150" s="22"/>
      <c r="E150" s="556"/>
      <c r="F150" s="507"/>
      <c r="G150" s="507"/>
      <c r="H150" s="507"/>
      <c r="I150" s="507"/>
      <c r="J150" s="507"/>
      <c r="K150" s="507"/>
      <c r="L150" s="507"/>
      <c r="M150" s="507"/>
      <c r="N150" s="507"/>
    </row>
    <row r="151" ht="37.5" customHeight="1">
      <c r="A151" s="850" t="s">
        <v>743</v>
      </c>
      <c r="B151" s="858" t="s">
        <v>1015</v>
      </c>
      <c r="C151" s="856" t="s">
        <v>684</v>
      </c>
      <c r="D151" s="857">
        <f>SUM(C151:C154)</f>
        <v>46395000</v>
      </c>
      <c r="E151" s="556"/>
      <c r="F151" s="507"/>
      <c r="G151" s="507"/>
      <c r="H151" s="507"/>
      <c r="I151" s="507"/>
      <c r="J151" s="507"/>
      <c r="K151" s="507"/>
      <c r="L151" s="507"/>
      <c r="M151" s="507"/>
      <c r="N151" s="507"/>
    </row>
    <row r="152" ht="37.5" customHeight="1">
      <c r="A152" s="763"/>
      <c r="B152" s="814" t="s">
        <v>1004</v>
      </c>
      <c r="C152" s="856" t="s">
        <v>684</v>
      </c>
      <c r="D152" s="18"/>
      <c r="E152" s="556" t="s">
        <v>932</v>
      </c>
      <c r="F152" s="507"/>
      <c r="G152" s="507"/>
      <c r="H152" s="507"/>
      <c r="I152" s="507"/>
      <c r="J152" s="507"/>
      <c r="K152" s="507"/>
      <c r="L152" s="507"/>
      <c r="M152" s="507"/>
      <c r="N152" s="507"/>
    </row>
    <row r="153" ht="37.5" customHeight="1">
      <c r="A153" s="763"/>
      <c r="B153" s="814" t="s">
        <v>1005</v>
      </c>
      <c r="C153" s="856">
        <v>4.6395E7</v>
      </c>
      <c r="D153" s="18"/>
      <c r="E153" s="556"/>
      <c r="F153" s="507"/>
      <c r="G153" s="507"/>
      <c r="H153" s="507"/>
      <c r="I153" s="507"/>
      <c r="J153" s="507"/>
      <c r="K153" s="507"/>
      <c r="L153" s="507"/>
      <c r="M153" s="507"/>
      <c r="N153" s="507"/>
    </row>
    <row r="154" ht="37.5" customHeight="1">
      <c r="A154" s="763"/>
      <c r="B154" s="858"/>
      <c r="C154" s="856"/>
      <c r="D154" s="18"/>
      <c r="E154" s="556"/>
      <c r="F154" s="507"/>
      <c r="G154" s="507"/>
      <c r="H154" s="507"/>
      <c r="I154" s="507"/>
      <c r="J154" s="507"/>
      <c r="K154" s="507"/>
      <c r="L154" s="507"/>
      <c r="M154" s="507"/>
      <c r="N154" s="507"/>
    </row>
    <row r="155" ht="37.5" customHeight="1">
      <c r="A155" s="825"/>
      <c r="B155" s="858"/>
      <c r="C155" s="856"/>
      <c r="D155" s="18"/>
      <c r="E155" s="556"/>
      <c r="F155" s="507"/>
      <c r="G155" s="507"/>
      <c r="H155" s="507"/>
      <c r="I155" s="507"/>
      <c r="J155" s="507"/>
      <c r="K155" s="507"/>
      <c r="L155" s="507"/>
      <c r="M155" s="507"/>
      <c r="N155" s="507"/>
    </row>
    <row r="156" ht="35.25" customHeight="1">
      <c r="A156" s="850" t="s">
        <v>744</v>
      </c>
      <c r="B156" s="858" t="s">
        <v>1016</v>
      </c>
      <c r="C156" s="856" t="s">
        <v>684</v>
      </c>
      <c r="D156" s="857">
        <f>sum(C158:C159)</f>
        <v>81570500</v>
      </c>
      <c r="E156" s="556"/>
      <c r="F156" s="507"/>
      <c r="G156" s="507"/>
      <c r="H156" s="507"/>
      <c r="I156" s="507"/>
      <c r="J156" s="507"/>
      <c r="K156" s="507"/>
      <c r="L156" s="507"/>
      <c r="M156" s="507"/>
      <c r="N156" s="507"/>
    </row>
    <row r="157" ht="35.25" customHeight="1">
      <c r="A157" s="763"/>
      <c r="B157" s="858" t="s">
        <v>1015</v>
      </c>
      <c r="C157" s="856" t="s">
        <v>684</v>
      </c>
      <c r="D157" s="18"/>
      <c r="E157" s="556"/>
      <c r="F157" s="507"/>
      <c r="G157" s="507"/>
      <c r="H157" s="507"/>
      <c r="I157" s="507"/>
      <c r="J157" s="507"/>
      <c r="K157" s="507"/>
      <c r="L157" s="507"/>
      <c r="M157" s="507"/>
      <c r="N157" s="507"/>
    </row>
    <row r="158" ht="35.25" customHeight="1">
      <c r="A158" s="763"/>
      <c r="B158" s="814" t="s">
        <v>1004</v>
      </c>
      <c r="C158" s="856">
        <v>4.01755E7</v>
      </c>
      <c r="D158" s="18"/>
      <c r="E158" s="556"/>
      <c r="F158" s="507"/>
      <c r="G158" s="507"/>
      <c r="H158" s="507"/>
      <c r="I158" s="507"/>
      <c r="J158" s="507"/>
      <c r="K158" s="507"/>
      <c r="L158" s="507"/>
      <c r="M158" s="507"/>
      <c r="N158" s="507"/>
    </row>
    <row r="159" ht="35.25" customHeight="1">
      <c r="A159" s="763"/>
      <c r="B159" s="814" t="s">
        <v>1005</v>
      </c>
      <c r="C159" s="856">
        <v>4.1395E7</v>
      </c>
      <c r="D159" s="18"/>
      <c r="E159" s="556"/>
      <c r="F159" s="507"/>
      <c r="G159" s="507"/>
      <c r="H159" s="507"/>
      <c r="I159" s="507"/>
      <c r="J159" s="507"/>
      <c r="K159" s="507"/>
      <c r="L159" s="507"/>
      <c r="M159" s="507"/>
      <c r="N159" s="507"/>
    </row>
    <row r="160" ht="35.25" customHeight="1">
      <c r="A160" s="763"/>
      <c r="B160" s="814"/>
      <c r="C160" s="856"/>
      <c r="D160" s="18"/>
      <c r="E160" s="556"/>
      <c r="F160" s="507"/>
      <c r="G160" s="507"/>
      <c r="H160" s="507"/>
      <c r="I160" s="507"/>
      <c r="J160" s="507"/>
      <c r="K160" s="507"/>
      <c r="L160" s="507"/>
      <c r="M160" s="507"/>
      <c r="N160" s="507"/>
    </row>
    <row r="161" ht="35.25" customHeight="1">
      <c r="A161" s="825"/>
      <c r="B161" s="814"/>
      <c r="C161" s="856"/>
      <c r="D161" s="22"/>
      <c r="E161" s="556"/>
      <c r="F161" s="507"/>
      <c r="G161" s="507"/>
      <c r="H161" s="507"/>
      <c r="I161" s="507"/>
      <c r="J161" s="507"/>
      <c r="K161" s="507"/>
      <c r="L161" s="507"/>
      <c r="M161" s="507"/>
      <c r="N161" s="507"/>
    </row>
    <row r="162" ht="36.75" customHeight="1">
      <c r="A162" s="850" t="s">
        <v>750</v>
      </c>
      <c r="B162" s="814" t="s">
        <v>1004</v>
      </c>
      <c r="C162" s="856">
        <v>1.211208E8</v>
      </c>
      <c r="D162" s="857">
        <f>sum(C162:C163)</f>
        <v>206481600</v>
      </c>
      <c r="E162" s="556" t="s">
        <v>933</v>
      </c>
      <c r="F162" s="507"/>
      <c r="G162" s="507"/>
      <c r="H162" s="507"/>
      <c r="I162" s="507"/>
      <c r="J162" s="507"/>
      <c r="K162" s="507"/>
      <c r="L162" s="507"/>
      <c r="M162" s="507"/>
      <c r="N162" s="507"/>
    </row>
    <row r="163" ht="33.75" customHeight="1">
      <c r="A163" s="763"/>
      <c r="B163" s="814" t="s">
        <v>1005</v>
      </c>
      <c r="C163" s="856">
        <v>8.53608E7</v>
      </c>
      <c r="D163" s="18"/>
      <c r="E163" s="859" t="s">
        <v>1017</v>
      </c>
      <c r="F163" s="507"/>
      <c r="G163" s="507"/>
      <c r="H163" s="507"/>
      <c r="I163" s="507"/>
      <c r="J163" s="507"/>
      <c r="K163" s="507"/>
      <c r="L163" s="507"/>
      <c r="M163" s="507"/>
      <c r="N163" s="507"/>
    </row>
    <row r="164" ht="33.75" customHeight="1">
      <c r="A164" s="763"/>
      <c r="B164" s="858"/>
      <c r="C164" s="856"/>
      <c r="D164" s="18"/>
      <c r="E164" s="556"/>
      <c r="F164" s="507"/>
      <c r="G164" s="507"/>
      <c r="H164" s="507"/>
      <c r="I164" s="507"/>
      <c r="J164" s="507"/>
      <c r="K164" s="507"/>
      <c r="L164" s="507"/>
      <c r="M164" s="507"/>
      <c r="N164" s="507"/>
    </row>
    <row r="165" ht="33.75" customHeight="1">
      <c r="A165" s="825"/>
      <c r="B165" s="858"/>
      <c r="C165" s="856"/>
      <c r="D165" s="22"/>
      <c r="E165" s="556"/>
      <c r="F165" s="507"/>
      <c r="G165" s="507"/>
      <c r="H165" s="507"/>
      <c r="I165" s="507"/>
      <c r="J165" s="507"/>
      <c r="K165" s="507"/>
      <c r="L165" s="507"/>
      <c r="M165" s="507"/>
      <c r="N165" s="507"/>
    </row>
    <row r="166" ht="35.25" customHeight="1">
      <c r="A166" s="850" t="s">
        <v>752</v>
      </c>
      <c r="B166" s="858" t="s">
        <v>1016</v>
      </c>
      <c r="C166" s="856" t="s">
        <v>684</v>
      </c>
      <c r="D166" s="857">
        <f>sum(C167:C169)</f>
        <v>115607000</v>
      </c>
      <c r="E166" s="556"/>
      <c r="F166" s="507"/>
      <c r="G166" s="507"/>
      <c r="H166" s="507"/>
      <c r="I166" s="507"/>
      <c r="J166" s="507"/>
      <c r="K166" s="507"/>
      <c r="L166" s="507"/>
      <c r="M166" s="507"/>
      <c r="N166" s="507"/>
    </row>
    <row r="167" ht="32.25" customHeight="1">
      <c r="A167" s="763"/>
      <c r="B167" s="858" t="s">
        <v>1015</v>
      </c>
      <c r="C167" s="856">
        <v>4.7384E7</v>
      </c>
      <c r="D167" s="18"/>
      <c r="E167" s="556" t="s">
        <v>934</v>
      </c>
      <c r="F167" s="507"/>
      <c r="G167" s="507"/>
      <c r="H167" s="507"/>
      <c r="I167" s="507"/>
      <c r="J167" s="507"/>
      <c r="K167" s="507"/>
      <c r="L167" s="507"/>
      <c r="M167" s="507"/>
      <c r="N167" s="507"/>
    </row>
    <row r="168" ht="35.25" customHeight="1">
      <c r="A168" s="763"/>
      <c r="B168" s="814" t="s">
        <v>1004</v>
      </c>
      <c r="C168" s="856">
        <v>3.5057E7</v>
      </c>
      <c r="D168" s="18"/>
      <c r="E168" s="556"/>
      <c r="F168" s="507"/>
      <c r="G168" s="507"/>
      <c r="H168" s="507"/>
      <c r="I168" s="507"/>
      <c r="J168" s="507"/>
      <c r="K168" s="507"/>
      <c r="L168" s="507"/>
      <c r="M168" s="507"/>
      <c r="N168" s="507"/>
    </row>
    <row r="169" ht="35.25" customHeight="1">
      <c r="A169" s="763"/>
      <c r="B169" s="814" t="s">
        <v>1005</v>
      </c>
      <c r="C169" s="856">
        <v>3.3166E7</v>
      </c>
      <c r="D169" s="18"/>
      <c r="E169" s="860"/>
      <c r="F169" s="669"/>
      <c r="G169" s="651"/>
      <c r="H169" s="651"/>
      <c r="I169" s="507"/>
      <c r="J169" s="507"/>
      <c r="K169" s="507"/>
      <c r="L169" s="507"/>
      <c r="M169" s="507"/>
      <c r="N169" s="507"/>
    </row>
    <row r="170" ht="35.25" customHeight="1">
      <c r="A170" s="763"/>
      <c r="B170" s="814"/>
      <c r="C170" s="856"/>
      <c r="D170" s="18"/>
      <c r="E170" s="860"/>
      <c r="F170" s="669"/>
      <c r="G170" s="651"/>
      <c r="H170" s="651"/>
      <c r="I170" s="507"/>
      <c r="J170" s="507"/>
      <c r="K170" s="507"/>
      <c r="L170" s="507"/>
      <c r="M170" s="507"/>
      <c r="N170" s="507"/>
    </row>
    <row r="171" ht="35.25" customHeight="1">
      <c r="A171" s="825"/>
      <c r="B171" s="814"/>
      <c r="C171" s="856"/>
      <c r="D171" s="22"/>
      <c r="E171" s="860"/>
      <c r="F171" s="669"/>
      <c r="G171" s="651"/>
      <c r="H171" s="651"/>
      <c r="I171" s="507"/>
      <c r="J171" s="507"/>
      <c r="K171" s="507"/>
      <c r="L171" s="507"/>
      <c r="M171" s="507"/>
      <c r="N171" s="507"/>
    </row>
    <row r="172" ht="38.25" customHeight="1">
      <c r="A172" s="861" t="s">
        <v>753</v>
      </c>
      <c r="B172" s="814" t="s">
        <v>1004</v>
      </c>
      <c r="C172" s="856" t="s">
        <v>684</v>
      </c>
      <c r="D172" s="857"/>
      <c r="E172" s="556" t="s">
        <v>935</v>
      </c>
      <c r="F172" s="507"/>
      <c r="G172" s="507"/>
      <c r="H172" s="507"/>
      <c r="I172" s="507"/>
      <c r="J172" s="507"/>
      <c r="K172" s="507"/>
      <c r="L172" s="507"/>
      <c r="M172" s="507"/>
      <c r="N172" s="507"/>
    </row>
    <row r="173" ht="38.25" customHeight="1">
      <c r="A173" s="18"/>
      <c r="B173" s="814" t="s">
        <v>1005</v>
      </c>
      <c r="C173" s="856" t="s">
        <v>684</v>
      </c>
      <c r="D173" s="18"/>
      <c r="E173" s="556"/>
      <c r="F173" s="507"/>
      <c r="G173" s="507"/>
      <c r="H173" s="507"/>
      <c r="I173" s="507"/>
      <c r="J173" s="507"/>
      <c r="K173" s="507"/>
      <c r="L173" s="507"/>
      <c r="M173" s="507"/>
      <c r="N173" s="507"/>
    </row>
    <row r="174" ht="38.25" customHeight="1">
      <c r="A174" s="18"/>
      <c r="B174" s="858"/>
      <c r="C174" s="856"/>
      <c r="D174" s="18"/>
      <c r="E174" s="556"/>
      <c r="F174" s="507"/>
      <c r="G174" s="507"/>
      <c r="H174" s="507"/>
      <c r="I174" s="507"/>
      <c r="J174" s="507"/>
      <c r="K174" s="507"/>
      <c r="L174" s="507"/>
      <c r="M174" s="507"/>
      <c r="N174" s="507"/>
    </row>
    <row r="175" ht="38.25" customHeight="1">
      <c r="A175" s="22"/>
      <c r="B175" s="858"/>
      <c r="C175" s="856"/>
      <c r="D175" s="22"/>
      <c r="E175" s="556"/>
      <c r="F175" s="507"/>
      <c r="G175" s="507"/>
      <c r="H175" s="507"/>
      <c r="I175" s="507"/>
      <c r="J175" s="507"/>
      <c r="K175" s="507"/>
      <c r="L175" s="507"/>
      <c r="M175" s="507"/>
      <c r="N175" s="507"/>
    </row>
    <row r="176" ht="35.25" customHeight="1">
      <c r="A176" s="861" t="s">
        <v>936</v>
      </c>
      <c r="B176" s="814" t="s">
        <v>1004</v>
      </c>
      <c r="C176" s="856">
        <v>9.1235E7</v>
      </c>
      <c r="D176" s="857">
        <f>sum(C176:C177)</f>
        <v>156582000</v>
      </c>
      <c r="E176" s="507"/>
      <c r="F176" s="507"/>
      <c r="G176" s="507"/>
      <c r="H176" s="507"/>
      <c r="I176" s="507"/>
      <c r="J176" s="507"/>
      <c r="K176" s="507"/>
      <c r="L176" s="507"/>
      <c r="M176" s="507"/>
      <c r="N176" s="507"/>
    </row>
    <row r="177" ht="35.25" customHeight="1">
      <c r="A177" s="18"/>
      <c r="B177" s="814" t="s">
        <v>1005</v>
      </c>
      <c r="C177" s="856">
        <v>6.5347E7</v>
      </c>
      <c r="D177" s="18"/>
      <c r="E177" s="556"/>
      <c r="F177" s="507"/>
      <c r="G177" s="507"/>
      <c r="H177" s="507"/>
      <c r="I177" s="507"/>
      <c r="J177" s="507"/>
      <c r="K177" s="507"/>
      <c r="L177" s="507"/>
      <c r="M177" s="507"/>
      <c r="N177" s="507"/>
    </row>
    <row r="178" ht="35.25" customHeight="1">
      <c r="A178" s="18"/>
      <c r="B178" s="858"/>
      <c r="C178" s="856"/>
      <c r="D178" s="18"/>
      <c r="E178" s="556" t="s">
        <v>937</v>
      </c>
      <c r="F178" s="507"/>
      <c r="G178" s="507"/>
      <c r="H178" s="507"/>
      <c r="I178" s="507"/>
      <c r="J178" s="507"/>
      <c r="K178" s="507"/>
      <c r="L178" s="507"/>
      <c r="M178" s="507"/>
      <c r="N178" s="507"/>
    </row>
    <row r="179" ht="35.25" customHeight="1">
      <c r="A179" s="22"/>
      <c r="B179" s="858"/>
      <c r="C179" s="856"/>
      <c r="D179" s="22"/>
      <c r="E179" s="556"/>
      <c r="F179" s="507"/>
      <c r="G179" s="507"/>
      <c r="H179" s="507"/>
      <c r="I179" s="507"/>
      <c r="J179" s="507"/>
      <c r="K179" s="507"/>
      <c r="L179" s="507"/>
      <c r="M179" s="507"/>
      <c r="N179" s="507"/>
    </row>
    <row r="180" ht="35.25" customHeight="1">
      <c r="A180" s="861" t="s">
        <v>944</v>
      </c>
      <c r="B180" s="858" t="s">
        <v>1018</v>
      </c>
      <c r="C180" s="856">
        <v>5.87635E7</v>
      </c>
      <c r="D180" s="857">
        <f>sum(C180:C185)</f>
        <v>267770500</v>
      </c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</row>
    <row r="181" ht="35.25" customHeight="1">
      <c r="A181" s="18"/>
      <c r="B181" s="858" t="s">
        <v>1019</v>
      </c>
      <c r="C181" s="856">
        <v>4.7012E7</v>
      </c>
      <c r="D181" s="18"/>
      <c r="E181" s="556"/>
      <c r="F181" s="507"/>
      <c r="G181" s="507"/>
      <c r="H181" s="556">
        <v>-190000.0</v>
      </c>
      <c r="I181" s="507"/>
      <c r="J181" s="507"/>
      <c r="K181" s="507"/>
      <c r="L181" s="507"/>
      <c r="M181" s="507"/>
      <c r="N181" s="507"/>
    </row>
    <row r="182" ht="35.25" customHeight="1">
      <c r="A182" s="18"/>
      <c r="B182" s="858" t="s">
        <v>1016</v>
      </c>
      <c r="C182" s="856">
        <v>3.8701E7</v>
      </c>
      <c r="D182" s="18"/>
      <c r="E182" s="507"/>
      <c r="F182" s="507"/>
      <c r="G182" s="507"/>
      <c r="H182" s="556">
        <v>28858.0</v>
      </c>
      <c r="I182" s="507"/>
      <c r="J182" s="507"/>
      <c r="K182" s="507"/>
      <c r="L182" s="507"/>
      <c r="M182" s="507"/>
      <c r="N182" s="507"/>
    </row>
    <row r="183" ht="35.25" customHeight="1">
      <c r="A183" s="18"/>
      <c r="B183" s="858" t="s">
        <v>1015</v>
      </c>
      <c r="C183" s="856">
        <v>3.283E7</v>
      </c>
      <c r="D183" s="18"/>
      <c r="E183" s="507"/>
      <c r="F183" s="507"/>
      <c r="G183" s="507"/>
      <c r="H183" s="556"/>
      <c r="I183" s="507"/>
      <c r="J183" s="507"/>
      <c r="K183" s="507"/>
      <c r="L183" s="507"/>
      <c r="M183" s="507"/>
      <c r="N183" s="507"/>
    </row>
    <row r="184" ht="35.25" customHeight="1">
      <c r="A184" s="18"/>
      <c r="B184" s="814" t="s">
        <v>1004</v>
      </c>
      <c r="C184" s="856">
        <v>5.20825E7</v>
      </c>
      <c r="D184" s="18"/>
      <c r="E184" s="507"/>
      <c r="F184" s="507"/>
      <c r="G184" s="507"/>
      <c r="H184" s="556"/>
      <c r="I184" s="507"/>
      <c r="J184" s="507"/>
      <c r="K184" s="507"/>
      <c r="L184" s="507"/>
      <c r="M184" s="507"/>
      <c r="N184" s="507"/>
    </row>
    <row r="185" ht="35.25" customHeight="1">
      <c r="A185" s="18"/>
      <c r="B185" s="814" t="s">
        <v>1005</v>
      </c>
      <c r="C185" s="856">
        <v>3.83815E7</v>
      </c>
      <c r="D185" s="18"/>
      <c r="E185" s="507"/>
      <c r="F185" s="507"/>
      <c r="G185" s="507"/>
      <c r="H185" s="556"/>
      <c r="I185" s="507"/>
      <c r="J185" s="507"/>
      <c r="K185" s="507"/>
      <c r="L185" s="507"/>
      <c r="M185" s="507"/>
      <c r="N185" s="507"/>
    </row>
    <row r="186" ht="35.25" customHeight="1">
      <c r="A186" s="18"/>
      <c r="B186" s="814"/>
      <c r="C186" s="856"/>
      <c r="D186" s="18"/>
      <c r="E186" s="507"/>
      <c r="F186" s="507"/>
      <c r="G186" s="507"/>
      <c r="H186" s="556"/>
      <c r="I186" s="507"/>
      <c r="J186" s="507"/>
      <c r="K186" s="507"/>
      <c r="L186" s="507"/>
      <c r="M186" s="507"/>
      <c r="N186" s="507"/>
    </row>
    <row r="187" ht="35.25" customHeight="1">
      <c r="A187" s="22"/>
      <c r="B187" s="814"/>
      <c r="C187" s="856"/>
      <c r="D187" s="22"/>
      <c r="E187" s="507"/>
      <c r="F187" s="507"/>
      <c r="G187" s="507"/>
      <c r="H187" s="556"/>
      <c r="I187" s="507"/>
      <c r="J187" s="507"/>
      <c r="K187" s="507"/>
      <c r="L187" s="507"/>
      <c r="M187" s="507"/>
      <c r="N187" s="507"/>
    </row>
    <row r="188" ht="35.25" customHeight="1">
      <c r="A188" s="861" t="s">
        <v>938</v>
      </c>
      <c r="B188" s="814" t="s">
        <v>1004</v>
      </c>
      <c r="C188" s="856">
        <v>3.46395E7</v>
      </c>
      <c r="D188" s="857">
        <f>sum(C188:C189)</f>
        <v>63975000</v>
      </c>
      <c r="E188" s="507"/>
      <c r="F188" s="507"/>
      <c r="G188" s="507"/>
      <c r="H188" s="556">
        <v>46764.0</v>
      </c>
      <c r="I188" s="507"/>
      <c r="J188" s="507"/>
      <c r="K188" s="507"/>
      <c r="L188" s="507"/>
      <c r="M188" s="507"/>
      <c r="N188" s="507"/>
    </row>
    <row r="189" ht="35.25" customHeight="1">
      <c r="A189" s="18"/>
      <c r="B189" s="814" t="s">
        <v>1005</v>
      </c>
      <c r="C189" s="856">
        <v>2.93355E7</v>
      </c>
      <c r="D189" s="18"/>
      <c r="E189" s="730" t="s">
        <v>939</v>
      </c>
      <c r="F189" s="507"/>
      <c r="G189" s="507"/>
      <c r="H189" s="556">
        <v>55365.0</v>
      </c>
      <c r="I189" s="507"/>
      <c r="J189" s="507"/>
      <c r="K189" s="507"/>
      <c r="L189" s="507"/>
      <c r="M189" s="507"/>
      <c r="N189" s="507"/>
    </row>
    <row r="190" ht="35.25" customHeight="1">
      <c r="A190" s="18"/>
      <c r="B190" s="814"/>
      <c r="C190" s="856"/>
      <c r="D190" s="18"/>
      <c r="E190" s="507"/>
      <c r="F190" s="507"/>
      <c r="G190" s="507"/>
      <c r="H190" s="507">
        <f>SUM(H181:H189)</f>
        <v>-59013</v>
      </c>
      <c r="I190" s="507"/>
      <c r="J190" s="507"/>
      <c r="K190" s="507"/>
      <c r="L190" s="507"/>
      <c r="M190" s="507"/>
      <c r="N190" s="507"/>
    </row>
    <row r="191" ht="35.25" customHeight="1">
      <c r="A191" s="22"/>
      <c r="B191" s="858"/>
      <c r="C191" s="856"/>
      <c r="D191" s="22"/>
      <c r="E191" s="507"/>
      <c r="F191" s="507"/>
      <c r="G191" s="507"/>
      <c r="H191" s="507"/>
      <c r="I191" s="507"/>
      <c r="J191" s="507"/>
      <c r="K191" s="507"/>
      <c r="L191" s="507"/>
      <c r="M191" s="507"/>
      <c r="N191" s="507"/>
    </row>
    <row r="192" ht="35.25" customHeight="1">
      <c r="A192" s="861" t="s">
        <v>940</v>
      </c>
      <c r="B192" s="858" t="s">
        <v>1015</v>
      </c>
      <c r="C192" s="862" t="s">
        <v>684</v>
      </c>
      <c r="D192" s="857">
        <f>sum(C193:C194)</f>
        <v>60179500</v>
      </c>
      <c r="E192" s="507"/>
      <c r="F192" s="507"/>
      <c r="G192" s="507"/>
      <c r="H192" s="507"/>
      <c r="I192" s="507"/>
      <c r="J192" s="507"/>
      <c r="K192" s="507"/>
      <c r="L192" s="507"/>
      <c r="M192" s="507"/>
      <c r="N192" s="507"/>
    </row>
    <row r="193" ht="35.25" customHeight="1">
      <c r="A193" s="18"/>
      <c r="B193" s="814" t="s">
        <v>1004</v>
      </c>
      <c r="C193" s="856">
        <v>3.27285E7</v>
      </c>
      <c r="D193" s="18"/>
      <c r="E193" s="556" t="s">
        <v>941</v>
      </c>
      <c r="F193" s="507"/>
      <c r="G193" s="507"/>
      <c r="H193" s="507"/>
      <c r="I193" s="507"/>
      <c r="J193" s="507"/>
      <c r="K193" s="507"/>
      <c r="L193" s="507"/>
      <c r="M193" s="507"/>
      <c r="N193" s="507"/>
    </row>
    <row r="194" ht="35.25" customHeight="1">
      <c r="A194" s="18"/>
      <c r="B194" s="814" t="s">
        <v>1005</v>
      </c>
      <c r="C194" s="862">
        <v>2.7451E7</v>
      </c>
      <c r="D194" s="18"/>
      <c r="E194" s="507"/>
      <c r="F194" s="507"/>
      <c r="G194" s="507"/>
      <c r="H194" s="507"/>
      <c r="I194" s="507"/>
      <c r="J194" s="507"/>
      <c r="K194" s="507"/>
      <c r="L194" s="507"/>
      <c r="M194" s="507"/>
      <c r="N194" s="507"/>
    </row>
    <row r="195" ht="35.25" customHeight="1">
      <c r="A195" s="22"/>
      <c r="B195" s="858"/>
      <c r="C195" s="862"/>
      <c r="D195" s="22"/>
      <c r="E195" s="507"/>
      <c r="F195" s="507"/>
      <c r="G195" s="507"/>
      <c r="H195" s="507"/>
      <c r="I195" s="507"/>
      <c r="J195" s="507"/>
      <c r="K195" s="507"/>
      <c r="L195" s="507"/>
      <c r="M195" s="507"/>
      <c r="N195" s="507"/>
    </row>
    <row r="196" ht="35.25" customHeight="1">
      <c r="A196" s="861" t="s">
        <v>942</v>
      </c>
      <c r="B196" s="858" t="s">
        <v>1018</v>
      </c>
      <c r="C196" s="856">
        <v>5.16035E7</v>
      </c>
      <c r="D196" s="857">
        <f>sum(C196:C201)</f>
        <v>316117500</v>
      </c>
      <c r="E196" s="507"/>
      <c r="F196" s="507"/>
      <c r="G196" s="507"/>
      <c r="H196" s="507"/>
      <c r="I196" s="507"/>
      <c r="J196" s="507"/>
      <c r="K196" s="507"/>
      <c r="L196" s="507"/>
      <c r="M196" s="507"/>
      <c r="N196" s="507"/>
    </row>
    <row r="197" ht="35.25" customHeight="1">
      <c r="A197" s="18"/>
      <c r="B197" s="858" t="s">
        <v>1019</v>
      </c>
      <c r="C197" s="856">
        <v>6.74835E7</v>
      </c>
      <c r="D197" s="18"/>
      <c r="E197" s="507"/>
      <c r="F197" s="507"/>
      <c r="G197" s="507"/>
      <c r="H197" s="507"/>
      <c r="I197" s="507"/>
      <c r="J197" s="507"/>
      <c r="K197" s="507"/>
      <c r="L197" s="507"/>
      <c r="M197" s="507"/>
      <c r="N197" s="507"/>
    </row>
    <row r="198" ht="35.25" customHeight="1">
      <c r="A198" s="18"/>
      <c r="B198" s="858" t="s">
        <v>1016</v>
      </c>
      <c r="C198" s="856">
        <v>4.7977E7</v>
      </c>
      <c r="D198" s="18"/>
      <c r="E198" s="507"/>
      <c r="F198" s="507"/>
      <c r="G198" s="507"/>
      <c r="H198" s="507"/>
      <c r="I198" s="507"/>
      <c r="J198" s="507"/>
      <c r="K198" s="507"/>
      <c r="L198" s="507"/>
      <c r="M198" s="507"/>
      <c r="N198" s="507"/>
    </row>
    <row r="199" ht="35.25" customHeight="1">
      <c r="A199" s="18"/>
      <c r="B199" s="858" t="s">
        <v>1015</v>
      </c>
      <c r="C199" s="856">
        <v>5.8192E7</v>
      </c>
      <c r="D199" s="18"/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</row>
    <row r="200" ht="35.25" customHeight="1">
      <c r="A200" s="18"/>
      <c r="B200" s="814" t="s">
        <v>1004</v>
      </c>
      <c r="C200" s="856">
        <v>4.50745E7</v>
      </c>
      <c r="D200" s="18"/>
      <c r="E200" s="507"/>
      <c r="F200" s="507"/>
      <c r="G200" s="507"/>
      <c r="H200" s="507"/>
      <c r="I200" s="507"/>
      <c r="J200" s="507"/>
      <c r="K200" s="507"/>
      <c r="L200" s="507"/>
      <c r="M200" s="507"/>
      <c r="N200" s="507"/>
    </row>
    <row r="201" ht="35.25" customHeight="1">
      <c r="A201" s="18"/>
      <c r="B201" s="814" t="s">
        <v>1005</v>
      </c>
      <c r="C201" s="856">
        <v>4.5787E7</v>
      </c>
      <c r="D201" s="18"/>
      <c r="E201" s="507"/>
      <c r="F201" s="507"/>
      <c r="G201" s="507"/>
      <c r="H201" s="507"/>
      <c r="I201" s="507"/>
      <c r="J201" s="507"/>
      <c r="K201" s="507"/>
      <c r="L201" s="507"/>
      <c r="M201" s="507"/>
      <c r="N201" s="507"/>
    </row>
    <row r="202" ht="35.25" customHeight="1">
      <c r="A202" s="18"/>
      <c r="B202" s="863"/>
      <c r="C202" s="856"/>
      <c r="D202" s="18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</row>
    <row r="203" ht="35.25" customHeight="1">
      <c r="A203" s="22"/>
      <c r="B203" s="863"/>
      <c r="C203" s="856"/>
      <c r="D203" s="22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</row>
    <row r="204" ht="35.25" customHeight="1">
      <c r="A204" s="861" t="s">
        <v>946</v>
      </c>
      <c r="B204" s="858" t="s">
        <v>1018</v>
      </c>
      <c r="C204" s="856">
        <v>3.993E7</v>
      </c>
      <c r="D204" s="857">
        <f>sum(C204:C208)</f>
        <v>158883000</v>
      </c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</row>
    <row r="205" ht="35.25" customHeight="1">
      <c r="A205" s="18"/>
      <c r="B205" s="858" t="s">
        <v>1019</v>
      </c>
      <c r="C205" s="856">
        <v>2.3054E7</v>
      </c>
      <c r="D205" s="18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</row>
    <row r="206" ht="35.25" customHeight="1">
      <c r="A206" s="18"/>
      <c r="B206" s="858" t="s">
        <v>1016</v>
      </c>
      <c r="C206" s="856">
        <v>5097500.0</v>
      </c>
      <c r="D206" s="18"/>
      <c r="E206" s="859" t="s">
        <v>1020</v>
      </c>
      <c r="F206" s="507"/>
      <c r="G206" s="507"/>
      <c r="H206" s="507"/>
      <c r="I206" s="507"/>
      <c r="J206" s="507"/>
      <c r="K206" s="507"/>
      <c r="L206" s="507"/>
      <c r="M206" s="507"/>
      <c r="N206" s="507"/>
    </row>
    <row r="207" ht="35.25" customHeight="1">
      <c r="A207" s="18"/>
      <c r="B207" s="858" t="s">
        <v>1015</v>
      </c>
      <c r="C207" s="856">
        <f>-55*3000-110000+48551500</f>
        <v>48276500</v>
      </c>
      <c r="D207" s="18"/>
      <c r="E207" s="507"/>
      <c r="F207" s="507"/>
      <c r="G207" s="507"/>
      <c r="H207" s="507"/>
      <c r="I207" s="507"/>
      <c r="J207" s="507"/>
      <c r="K207" s="507"/>
      <c r="L207" s="507"/>
      <c r="M207" s="507"/>
      <c r="N207" s="507"/>
    </row>
    <row r="208" ht="35.25" customHeight="1">
      <c r="A208" s="18"/>
      <c r="B208" s="814" t="s">
        <v>1005</v>
      </c>
      <c r="C208" s="856">
        <v>4.2525E7</v>
      </c>
      <c r="D208" s="18"/>
      <c r="E208" s="507"/>
      <c r="F208" s="507"/>
      <c r="G208" s="507"/>
      <c r="H208" s="507"/>
      <c r="I208" s="507"/>
      <c r="J208" s="507"/>
      <c r="K208" s="507"/>
      <c r="L208" s="507"/>
      <c r="M208" s="507"/>
      <c r="N208" s="507"/>
    </row>
    <row r="209" ht="35.25" customHeight="1">
      <c r="A209" s="18"/>
      <c r="B209" s="863"/>
      <c r="C209" s="856"/>
      <c r="D209" s="18"/>
      <c r="E209" s="507"/>
      <c r="F209" s="507"/>
      <c r="G209" s="507"/>
      <c r="H209" s="507"/>
      <c r="I209" s="507"/>
      <c r="J209" s="507"/>
      <c r="K209" s="507"/>
      <c r="L209" s="507"/>
      <c r="M209" s="507"/>
      <c r="N209" s="507"/>
    </row>
    <row r="210" ht="35.25" customHeight="1">
      <c r="A210" s="22"/>
      <c r="B210" s="863"/>
      <c r="C210" s="856"/>
      <c r="D210" s="22"/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</row>
    <row r="211" ht="35.25" customHeight="1">
      <c r="A211" s="861" t="s">
        <v>947</v>
      </c>
      <c r="B211" s="858" t="s">
        <v>1015</v>
      </c>
      <c r="C211" s="856" t="s">
        <v>684</v>
      </c>
      <c r="D211" s="857">
        <v>7.51534E7</v>
      </c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</row>
    <row r="212" ht="35.25" customHeight="1">
      <c r="A212" s="18"/>
      <c r="B212" s="814" t="s">
        <v>1004</v>
      </c>
      <c r="C212" s="856" t="s">
        <v>684</v>
      </c>
      <c r="D212" s="18"/>
      <c r="E212" s="507"/>
      <c r="F212" s="507"/>
      <c r="G212" s="507"/>
      <c r="H212" s="507"/>
      <c r="I212" s="507"/>
      <c r="J212" s="507"/>
      <c r="K212" s="507"/>
      <c r="L212" s="507"/>
      <c r="M212" s="507"/>
      <c r="N212" s="507"/>
    </row>
    <row r="213" ht="35.25" customHeight="1">
      <c r="A213" s="18"/>
      <c r="B213" s="814" t="s">
        <v>1005</v>
      </c>
      <c r="C213" s="856">
        <v>7.51534E7</v>
      </c>
      <c r="D213" s="18"/>
      <c r="E213" s="507"/>
      <c r="F213" s="507"/>
      <c r="G213" s="507"/>
      <c r="H213" s="507"/>
      <c r="I213" s="507"/>
      <c r="J213" s="507"/>
      <c r="K213" s="507"/>
      <c r="L213" s="507"/>
      <c r="M213" s="507"/>
      <c r="N213" s="507"/>
    </row>
    <row r="214" ht="35.25" customHeight="1">
      <c r="A214" s="22"/>
      <c r="B214" s="858"/>
      <c r="C214" s="856"/>
      <c r="D214" s="22"/>
      <c r="E214" s="507"/>
      <c r="F214" s="507"/>
      <c r="G214" s="507"/>
      <c r="H214" s="507"/>
      <c r="I214" s="507"/>
      <c r="J214" s="507"/>
      <c r="K214" s="507"/>
      <c r="L214" s="507"/>
      <c r="M214" s="507"/>
      <c r="N214" s="507"/>
    </row>
    <row r="215" ht="35.25" customHeight="1">
      <c r="A215" s="861" t="s">
        <v>1000</v>
      </c>
      <c r="B215" s="858" t="s">
        <v>1018</v>
      </c>
      <c r="C215" s="856">
        <v>2.1432E7</v>
      </c>
      <c r="D215" s="857">
        <f>sum(C215:C220)</f>
        <v>95326500</v>
      </c>
      <c r="E215" s="507"/>
      <c r="F215" s="507"/>
      <c r="G215" s="507"/>
      <c r="H215" s="507"/>
      <c r="I215" s="507"/>
      <c r="J215" s="507"/>
      <c r="K215" s="507"/>
      <c r="L215" s="507"/>
      <c r="M215" s="507"/>
      <c r="N215" s="507"/>
    </row>
    <row r="216" ht="35.25" customHeight="1">
      <c r="A216" s="18"/>
      <c r="B216" s="858" t="s">
        <v>1019</v>
      </c>
      <c r="C216" s="856">
        <v>1.2514E7</v>
      </c>
      <c r="D216" s="18"/>
      <c r="E216" s="507"/>
      <c r="F216" s="507"/>
      <c r="G216" s="507"/>
      <c r="H216" s="507"/>
      <c r="I216" s="507"/>
      <c r="J216" s="507"/>
      <c r="K216" s="507"/>
      <c r="L216" s="507"/>
      <c r="M216" s="507"/>
      <c r="N216" s="507"/>
    </row>
    <row r="217" ht="35.25" customHeight="1">
      <c r="A217" s="18"/>
      <c r="B217" s="858" t="s">
        <v>1016</v>
      </c>
      <c r="C217" s="856">
        <v>2.2072E7</v>
      </c>
      <c r="D217" s="18"/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</row>
    <row r="218" ht="35.25" customHeight="1">
      <c r="A218" s="18"/>
      <c r="B218" s="858" t="s">
        <v>1015</v>
      </c>
      <c r="C218" s="856">
        <v>2.33455E7</v>
      </c>
      <c r="D218" s="18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</row>
    <row r="219" ht="35.25" customHeight="1">
      <c r="A219" s="18"/>
      <c r="B219" s="814" t="s">
        <v>1004</v>
      </c>
      <c r="C219" s="856">
        <v>650000.0</v>
      </c>
      <c r="D219" s="18"/>
      <c r="E219" s="859" t="s">
        <v>1020</v>
      </c>
      <c r="F219" s="507"/>
      <c r="G219" s="507"/>
      <c r="H219" s="507"/>
      <c r="I219" s="507"/>
      <c r="J219" s="507"/>
      <c r="K219" s="507"/>
      <c r="L219" s="507"/>
      <c r="M219" s="507"/>
      <c r="N219" s="507"/>
    </row>
    <row r="220" ht="35.25" customHeight="1">
      <c r="A220" s="18"/>
      <c r="B220" s="814" t="s">
        <v>1005</v>
      </c>
      <c r="C220" s="856">
        <v>1.5313E7</v>
      </c>
      <c r="D220" s="18"/>
      <c r="E220" s="507"/>
      <c r="F220" s="507"/>
      <c r="G220" s="507"/>
      <c r="H220" s="507"/>
      <c r="I220" s="507"/>
      <c r="J220" s="507"/>
      <c r="K220" s="507"/>
      <c r="L220" s="507"/>
      <c r="M220" s="507"/>
      <c r="N220" s="507"/>
    </row>
    <row r="221" ht="35.25" customHeight="1">
      <c r="A221" s="18"/>
      <c r="B221" s="858"/>
      <c r="C221" s="856"/>
      <c r="D221" s="18"/>
      <c r="E221" s="507"/>
      <c r="F221" s="507"/>
      <c r="G221" s="507"/>
      <c r="H221" s="507"/>
      <c r="I221" s="507"/>
      <c r="J221" s="507"/>
      <c r="K221" s="507"/>
      <c r="L221" s="507"/>
      <c r="M221" s="507"/>
      <c r="N221" s="507"/>
    </row>
    <row r="222" ht="35.25" customHeight="1">
      <c r="A222" s="18"/>
      <c r="B222" s="814"/>
      <c r="C222" s="856"/>
      <c r="D222" s="18"/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</row>
    <row r="223" ht="35.25" customHeight="1">
      <c r="A223" s="22"/>
      <c r="B223" s="863"/>
      <c r="C223" s="856"/>
      <c r="D223" s="22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</row>
    <row r="224" ht="35.25" customHeight="1">
      <c r="A224" s="861" t="s">
        <v>943</v>
      </c>
      <c r="B224" s="858" t="s">
        <v>1021</v>
      </c>
      <c r="C224" s="856">
        <v>2450000.0</v>
      </c>
      <c r="D224" s="857">
        <f>SUM(C224:C227)</f>
        <v>10854000</v>
      </c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</row>
    <row r="225" ht="35.25" customHeight="1">
      <c r="A225" s="18"/>
      <c r="B225" s="858" t="s">
        <v>1019</v>
      </c>
      <c r="C225" s="856">
        <v>3404000.0</v>
      </c>
      <c r="D225" s="18"/>
      <c r="E225" s="507"/>
      <c r="F225" s="507"/>
      <c r="G225" s="507"/>
      <c r="H225" s="507"/>
      <c r="I225" s="507"/>
      <c r="J225" s="507"/>
      <c r="K225" s="507"/>
      <c r="L225" s="507"/>
      <c r="M225" s="507"/>
      <c r="N225" s="507"/>
    </row>
    <row r="226" ht="35.25" customHeight="1">
      <c r="A226" s="18"/>
      <c r="B226" s="814" t="s">
        <v>1004</v>
      </c>
      <c r="C226" s="862">
        <v>5000000.0</v>
      </c>
      <c r="D226" s="18"/>
      <c r="E226" s="507"/>
      <c r="F226" s="507"/>
      <c r="G226" s="507"/>
      <c r="H226" s="507"/>
      <c r="I226" s="507"/>
      <c r="J226" s="507"/>
      <c r="K226" s="507"/>
      <c r="L226" s="507"/>
      <c r="M226" s="507"/>
      <c r="N226" s="507"/>
    </row>
    <row r="227" ht="35.25" customHeight="1">
      <c r="A227" s="18"/>
      <c r="B227" s="814" t="s">
        <v>1005</v>
      </c>
      <c r="C227" s="856">
        <v>0.0</v>
      </c>
      <c r="D227" s="18"/>
      <c r="E227" s="507"/>
      <c r="F227" s="507"/>
      <c r="G227" s="507"/>
      <c r="H227" s="507"/>
      <c r="I227" s="507"/>
      <c r="J227" s="507"/>
      <c r="K227" s="507"/>
      <c r="L227" s="507"/>
      <c r="M227" s="507"/>
      <c r="N227" s="507"/>
    </row>
    <row r="228" ht="35.25" customHeight="1">
      <c r="A228" s="22"/>
      <c r="B228" s="858"/>
      <c r="C228" s="856"/>
      <c r="D228" s="22"/>
      <c r="E228" s="507"/>
      <c r="F228" s="507"/>
      <c r="G228" s="507"/>
      <c r="H228" s="507"/>
      <c r="I228" s="507"/>
      <c r="J228" s="507"/>
      <c r="K228" s="507"/>
      <c r="L228" s="507"/>
      <c r="M228" s="507"/>
      <c r="N228" s="507"/>
    </row>
    <row r="229" ht="35.25" customHeight="1">
      <c r="A229" s="861" t="s">
        <v>1001</v>
      </c>
      <c r="B229" s="858" t="s">
        <v>1015</v>
      </c>
      <c r="C229" s="856">
        <v>2.87742E7</v>
      </c>
      <c r="D229" s="857">
        <f>sum(C229:C231)</f>
        <v>85166500</v>
      </c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</row>
    <row r="230" ht="35.25" customHeight="1">
      <c r="A230" s="18"/>
      <c r="B230" s="814" t="s">
        <v>1004</v>
      </c>
      <c r="C230" s="856">
        <v>2.87668E7</v>
      </c>
      <c r="D230" s="18"/>
      <c r="E230" s="507"/>
      <c r="F230" s="507"/>
      <c r="G230" s="507"/>
      <c r="H230" s="507"/>
      <c r="I230" s="507"/>
      <c r="J230" s="507"/>
      <c r="K230" s="507"/>
      <c r="L230" s="507"/>
      <c r="M230" s="507"/>
      <c r="N230" s="507"/>
    </row>
    <row r="231" ht="35.25" customHeight="1">
      <c r="A231" s="18"/>
      <c r="B231" s="814" t="s">
        <v>1005</v>
      </c>
      <c r="C231" s="856">
        <v>2.76255E7</v>
      </c>
      <c r="D231" s="18"/>
      <c r="E231" s="556"/>
      <c r="F231" s="507"/>
      <c r="G231" s="507"/>
      <c r="H231" s="507"/>
      <c r="I231" s="507"/>
      <c r="J231" s="507"/>
      <c r="K231" s="507"/>
      <c r="L231" s="507"/>
      <c r="M231" s="507"/>
      <c r="N231" s="507"/>
    </row>
    <row r="232" ht="35.25" customHeight="1">
      <c r="A232" s="18"/>
      <c r="B232" s="858"/>
      <c r="C232" s="856"/>
      <c r="D232" s="18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</row>
    <row r="233" ht="35.25" customHeight="1">
      <c r="A233" s="22"/>
      <c r="B233" s="858"/>
      <c r="C233" s="856"/>
      <c r="D233" s="22"/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</row>
    <row r="234" ht="35.25" customHeight="1">
      <c r="A234" s="861" t="s">
        <v>1002</v>
      </c>
      <c r="B234" s="858" t="s">
        <v>1022</v>
      </c>
      <c r="C234" s="856" t="s">
        <v>684</v>
      </c>
      <c r="D234" s="857">
        <f>sum(C235:C241)</f>
        <v>302108500</v>
      </c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</row>
    <row r="235" ht="35.25" customHeight="1">
      <c r="A235" s="18"/>
      <c r="B235" s="858" t="s">
        <v>1021</v>
      </c>
      <c r="C235" s="856">
        <v>4.764E7</v>
      </c>
      <c r="D235" s="18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</row>
    <row r="236" ht="35.25" customHeight="1">
      <c r="A236" s="18"/>
      <c r="B236" s="858" t="s">
        <v>1018</v>
      </c>
      <c r="C236" s="856">
        <v>7.2325E7</v>
      </c>
      <c r="D236" s="18"/>
      <c r="E236" s="859" t="s">
        <v>1023</v>
      </c>
      <c r="F236" s="507"/>
      <c r="G236" s="507"/>
      <c r="H236" s="507"/>
      <c r="I236" s="507"/>
      <c r="J236" s="507"/>
      <c r="K236" s="507"/>
      <c r="L236" s="507"/>
      <c r="M236" s="507"/>
      <c r="N236" s="507"/>
    </row>
    <row r="237" ht="35.25" customHeight="1">
      <c r="A237" s="18"/>
      <c r="B237" s="858" t="s">
        <v>1019</v>
      </c>
      <c r="C237" s="856">
        <v>3.368E7</v>
      </c>
      <c r="D237" s="18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</row>
    <row r="238" ht="35.25" customHeight="1">
      <c r="A238" s="18"/>
      <c r="B238" s="858" t="s">
        <v>1016</v>
      </c>
      <c r="C238" s="856">
        <v>3.1971E7</v>
      </c>
      <c r="D238" s="18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</row>
    <row r="239" ht="35.25" customHeight="1">
      <c r="A239" s="18"/>
      <c r="B239" s="858" t="s">
        <v>1015</v>
      </c>
      <c r="C239" s="856">
        <f>40275000-84000</f>
        <v>40191000</v>
      </c>
      <c r="D239" s="18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</row>
    <row r="240" ht="35.25" customHeight="1">
      <c r="A240" s="18"/>
      <c r="B240" s="814" t="s">
        <v>1004</v>
      </c>
      <c r="C240" s="856">
        <v>4.40815E7</v>
      </c>
      <c r="D240" s="18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</row>
    <row r="241" ht="35.25" customHeight="1">
      <c r="A241" s="18"/>
      <c r="B241" s="814" t="s">
        <v>1005</v>
      </c>
      <c r="C241" s="856">
        <v>3.222E7</v>
      </c>
      <c r="D241" s="18"/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</row>
    <row r="242" ht="35.25" customHeight="1">
      <c r="A242" s="18"/>
      <c r="B242" s="858"/>
      <c r="C242" s="856"/>
      <c r="D242" s="18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</row>
    <row r="243" ht="35.25" customHeight="1">
      <c r="A243" s="22"/>
      <c r="B243" s="858"/>
      <c r="C243" s="856"/>
      <c r="D243" s="22"/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</row>
    <row r="244" ht="35.25" customHeight="1">
      <c r="A244" s="861" t="s">
        <v>1003</v>
      </c>
      <c r="B244" s="814" t="s">
        <v>1004</v>
      </c>
      <c r="C244" s="856">
        <v>1.2489E7</v>
      </c>
      <c r="D244" s="857">
        <f>sum(C244:C245)</f>
        <v>61241000</v>
      </c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</row>
    <row r="245" ht="35.25" customHeight="1">
      <c r="A245" s="18"/>
      <c r="B245" s="814" t="s">
        <v>1005</v>
      </c>
      <c r="C245" s="856">
        <v>4.8752E7</v>
      </c>
      <c r="D245" s="18"/>
      <c r="E245" s="507"/>
      <c r="F245" s="507"/>
      <c r="G245" s="507"/>
      <c r="H245" s="507"/>
      <c r="I245" s="507"/>
      <c r="J245" s="507"/>
      <c r="K245" s="507"/>
      <c r="L245" s="507"/>
      <c r="M245" s="507"/>
      <c r="N245" s="507"/>
    </row>
    <row r="246" ht="35.25" customHeight="1">
      <c r="A246" s="18"/>
      <c r="B246" s="814"/>
      <c r="C246" s="856"/>
      <c r="D246" s="18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</row>
    <row r="247" ht="35.25" customHeight="1">
      <c r="A247" s="18"/>
      <c r="B247" s="814"/>
      <c r="C247" s="856"/>
      <c r="D247" s="18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</row>
    <row r="248" ht="35.25" customHeight="1">
      <c r="A248" s="18"/>
      <c r="B248" s="863"/>
      <c r="C248" s="856"/>
      <c r="D248" s="18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</row>
    <row r="249" ht="35.25" customHeight="1">
      <c r="A249" s="22"/>
      <c r="B249" s="863"/>
      <c r="C249" s="856"/>
      <c r="D249" s="22"/>
      <c r="E249" s="507"/>
      <c r="F249" s="507"/>
      <c r="G249" s="507"/>
      <c r="H249" s="507"/>
      <c r="I249" s="507"/>
      <c r="J249" s="507"/>
      <c r="K249" s="507"/>
      <c r="L249" s="507"/>
      <c r="M249" s="507"/>
      <c r="N249" s="507"/>
    </row>
    <row r="250" ht="35.25" customHeight="1">
      <c r="A250" s="861" t="s">
        <v>1024</v>
      </c>
      <c r="B250" s="858"/>
      <c r="C250" s="856"/>
      <c r="D250" s="857">
        <f>sum(C251:C256)</f>
        <v>200826300</v>
      </c>
      <c r="E250" s="507"/>
      <c r="F250" s="507"/>
      <c r="G250" s="507"/>
      <c r="H250" s="507"/>
      <c r="I250" s="507"/>
      <c r="J250" s="507"/>
      <c r="K250" s="507"/>
      <c r="L250" s="507"/>
      <c r="M250" s="507"/>
      <c r="N250" s="507"/>
    </row>
    <row r="251" ht="35.25" customHeight="1">
      <c r="A251" s="18"/>
      <c r="B251" s="858" t="s">
        <v>1018</v>
      </c>
      <c r="C251" s="856">
        <v>3.9028E7</v>
      </c>
      <c r="D251" s="18"/>
      <c r="E251" s="556"/>
      <c r="F251" s="507"/>
      <c r="G251" s="507"/>
      <c r="H251" s="507"/>
      <c r="I251" s="507"/>
      <c r="J251" s="507"/>
      <c r="K251" s="507"/>
      <c r="L251" s="507"/>
      <c r="M251" s="507"/>
      <c r="N251" s="507"/>
    </row>
    <row r="252" ht="35.25" customHeight="1">
      <c r="A252" s="18"/>
      <c r="B252" s="858" t="s">
        <v>1019</v>
      </c>
      <c r="C252" s="856">
        <v>2.5977E7</v>
      </c>
      <c r="D252" s="18"/>
      <c r="E252" s="556"/>
      <c r="F252" s="507"/>
      <c r="G252" s="507"/>
      <c r="H252" s="507"/>
      <c r="I252" s="507"/>
      <c r="J252" s="507"/>
      <c r="K252" s="507"/>
      <c r="L252" s="507"/>
      <c r="M252" s="507"/>
      <c r="N252" s="507"/>
    </row>
    <row r="253" ht="35.25" customHeight="1">
      <c r="A253" s="18"/>
      <c r="B253" s="858" t="s">
        <v>1016</v>
      </c>
      <c r="C253" s="856">
        <v>2.0997E7</v>
      </c>
      <c r="D253" s="18"/>
      <c r="E253" s="556"/>
      <c r="F253" s="507"/>
      <c r="G253" s="507"/>
      <c r="H253" s="507"/>
      <c r="I253" s="507"/>
      <c r="J253" s="507"/>
      <c r="K253" s="507"/>
      <c r="L253" s="507"/>
      <c r="M253" s="507"/>
      <c r="N253" s="507"/>
    </row>
    <row r="254" ht="35.25" customHeight="1">
      <c r="A254" s="18"/>
      <c r="B254" s="858" t="s">
        <v>1015</v>
      </c>
      <c r="C254" s="856">
        <v>4.32868E7</v>
      </c>
      <c r="D254" s="18"/>
      <c r="E254" s="556"/>
      <c r="F254" s="507"/>
      <c r="G254" s="507"/>
      <c r="H254" s="507"/>
      <c r="I254" s="507"/>
      <c r="J254" s="507"/>
      <c r="K254" s="507"/>
      <c r="L254" s="507"/>
      <c r="M254" s="507"/>
      <c r="N254" s="507"/>
    </row>
    <row r="255" ht="35.25" customHeight="1">
      <c r="A255" s="18"/>
      <c r="B255" s="814" t="s">
        <v>1004</v>
      </c>
      <c r="C255" s="856">
        <v>4.39375E7</v>
      </c>
      <c r="D255" s="18"/>
      <c r="E255" s="556"/>
      <c r="F255" s="507"/>
      <c r="G255" s="507"/>
      <c r="H255" s="507"/>
      <c r="I255" s="507"/>
      <c r="J255" s="507"/>
      <c r="K255" s="507"/>
      <c r="L255" s="507"/>
      <c r="M255" s="507"/>
      <c r="N255" s="507"/>
    </row>
    <row r="256" ht="35.25" customHeight="1">
      <c r="A256" s="18"/>
      <c r="B256" s="814" t="s">
        <v>1005</v>
      </c>
      <c r="C256" s="856">
        <v>2.76E7</v>
      </c>
      <c r="D256" s="18"/>
      <c r="E256" s="556"/>
      <c r="F256" s="507"/>
      <c r="G256" s="507"/>
      <c r="H256" s="507"/>
      <c r="I256" s="507"/>
      <c r="J256" s="507"/>
      <c r="K256" s="507"/>
      <c r="L256" s="507"/>
      <c r="M256" s="507"/>
      <c r="N256" s="507"/>
    </row>
    <row r="257" ht="35.25" customHeight="1">
      <c r="A257" s="18"/>
      <c r="B257" s="863"/>
      <c r="C257" s="856"/>
      <c r="D257" s="18"/>
      <c r="E257" s="556"/>
      <c r="F257" s="507"/>
      <c r="G257" s="507"/>
      <c r="H257" s="507"/>
      <c r="I257" s="507"/>
      <c r="J257" s="507"/>
      <c r="K257" s="507"/>
      <c r="L257" s="507"/>
      <c r="M257" s="507"/>
      <c r="N257" s="507"/>
    </row>
    <row r="258" ht="35.25" customHeight="1">
      <c r="A258" s="22"/>
      <c r="B258" s="863"/>
      <c r="C258" s="856"/>
      <c r="D258" s="22"/>
      <c r="E258" s="556"/>
      <c r="F258" s="507"/>
      <c r="G258" s="507"/>
      <c r="H258" s="507"/>
      <c r="I258" s="507"/>
      <c r="J258" s="507"/>
      <c r="K258" s="507"/>
      <c r="L258" s="507"/>
      <c r="M258" s="507"/>
      <c r="N258" s="507"/>
    </row>
    <row r="259" ht="35.25" customHeight="1">
      <c r="A259" s="861" t="s">
        <v>1025</v>
      </c>
      <c r="B259" s="814" t="s">
        <v>1004</v>
      </c>
      <c r="C259" s="862">
        <v>1.577972E8</v>
      </c>
      <c r="D259" s="857">
        <f>sum(C259:C260)</f>
        <v>297532600</v>
      </c>
      <c r="E259" s="507"/>
      <c r="F259" s="507"/>
      <c r="G259" s="507"/>
      <c r="H259" s="507"/>
      <c r="I259" s="507"/>
      <c r="J259" s="507"/>
      <c r="K259" s="507"/>
      <c r="L259" s="507"/>
      <c r="M259" s="507"/>
      <c r="N259" s="507"/>
    </row>
    <row r="260" ht="35.25" customHeight="1">
      <c r="A260" s="18"/>
      <c r="B260" s="814" t="s">
        <v>1005</v>
      </c>
      <c r="C260" s="862">
        <v>1.397354E8</v>
      </c>
      <c r="D260" s="18"/>
      <c r="E260" s="859" t="s">
        <v>1026</v>
      </c>
      <c r="F260" s="507"/>
      <c r="G260" s="507"/>
      <c r="H260" s="507"/>
      <c r="I260" s="507"/>
      <c r="J260" s="507"/>
      <c r="K260" s="507"/>
      <c r="L260" s="507"/>
      <c r="M260" s="507"/>
      <c r="N260" s="507"/>
    </row>
    <row r="261" ht="35.25" customHeight="1">
      <c r="A261" s="18"/>
      <c r="B261" s="858"/>
      <c r="C261" s="856"/>
      <c r="D261" s="18"/>
      <c r="E261" s="859" t="s">
        <v>1027</v>
      </c>
      <c r="F261" s="507"/>
      <c r="G261" s="507"/>
      <c r="H261" s="507"/>
      <c r="I261" s="507"/>
      <c r="J261" s="507"/>
      <c r="K261" s="507"/>
      <c r="L261" s="507"/>
      <c r="M261" s="507"/>
      <c r="N261" s="507"/>
    </row>
    <row r="262" ht="35.25" customHeight="1">
      <c r="A262" s="18"/>
      <c r="B262" s="858"/>
      <c r="C262" s="856"/>
      <c r="D262" s="18"/>
      <c r="E262" s="864"/>
      <c r="F262" s="864"/>
      <c r="G262" s="864"/>
      <c r="H262" s="864"/>
      <c r="I262" s="864"/>
      <c r="J262" s="864"/>
      <c r="K262" s="864"/>
      <c r="L262" s="864"/>
      <c r="M262" s="864"/>
      <c r="N262" s="864"/>
      <c r="O262" s="865"/>
      <c r="P262" s="865"/>
      <c r="Q262" s="865"/>
      <c r="R262" s="865"/>
      <c r="S262" s="865"/>
      <c r="T262" s="865"/>
      <c r="U262" s="865"/>
      <c r="V262" s="865"/>
      <c r="W262" s="865"/>
      <c r="X262" s="865"/>
      <c r="Y262" s="865"/>
      <c r="Z262" s="865"/>
    </row>
    <row r="263" ht="35.25" customHeight="1">
      <c r="A263" s="22"/>
      <c r="B263" s="858"/>
      <c r="C263" s="856"/>
      <c r="D263" s="22"/>
      <c r="E263" s="864"/>
      <c r="F263" s="864"/>
      <c r="G263" s="864"/>
      <c r="H263" s="864"/>
      <c r="I263" s="864"/>
      <c r="J263" s="864"/>
      <c r="K263" s="864"/>
      <c r="L263" s="864"/>
      <c r="M263" s="864"/>
      <c r="N263" s="864"/>
      <c r="O263" s="865"/>
      <c r="P263" s="865"/>
      <c r="Q263" s="865"/>
      <c r="R263" s="865"/>
      <c r="S263" s="865"/>
      <c r="T263" s="865"/>
      <c r="U263" s="865"/>
      <c r="V263" s="865"/>
      <c r="W263" s="865"/>
      <c r="X263" s="865"/>
      <c r="Y263" s="865"/>
      <c r="Z263" s="865"/>
    </row>
    <row r="264" ht="35.25" customHeight="1">
      <c r="A264" s="507"/>
      <c r="B264" s="507"/>
      <c r="C264" s="507"/>
      <c r="D264" s="508"/>
      <c r="E264" s="507"/>
      <c r="F264" s="507"/>
      <c r="G264" s="507"/>
      <c r="H264" s="507"/>
      <c r="I264" s="507"/>
      <c r="J264" s="507"/>
      <c r="K264" s="507"/>
      <c r="L264" s="507"/>
      <c r="M264" s="507"/>
      <c r="N264" s="507"/>
      <c r="O264" s="507"/>
      <c r="P264" s="507"/>
      <c r="Q264" s="507"/>
      <c r="R264" s="507"/>
      <c r="S264" s="507"/>
      <c r="T264" s="507"/>
      <c r="U264" s="507"/>
      <c r="V264" s="507"/>
      <c r="W264" s="507"/>
      <c r="X264" s="507"/>
      <c r="Y264" s="507"/>
      <c r="Z264" s="507"/>
    </row>
    <row r="265" ht="35.25" customHeight="1">
      <c r="A265" s="507"/>
      <c r="B265" s="507"/>
      <c r="C265" s="507"/>
      <c r="D265" s="508"/>
      <c r="E265" s="507"/>
      <c r="F265" s="507"/>
      <c r="G265" s="507"/>
      <c r="H265" s="507"/>
      <c r="I265" s="507"/>
      <c r="J265" s="507"/>
      <c r="K265" s="507"/>
      <c r="L265" s="507"/>
      <c r="M265" s="507"/>
      <c r="N265" s="507"/>
      <c r="O265" s="507"/>
      <c r="P265" s="507"/>
      <c r="Q265" s="507"/>
      <c r="R265" s="507"/>
      <c r="S265" s="507"/>
      <c r="T265" s="507"/>
      <c r="U265" s="507"/>
      <c r="V265" s="507"/>
      <c r="W265" s="507"/>
      <c r="X265" s="507"/>
      <c r="Y265" s="507"/>
      <c r="Z265" s="507"/>
    </row>
    <row r="266" ht="35.25" customHeight="1">
      <c r="A266" s="507"/>
      <c r="B266" s="507"/>
      <c r="C266" s="507"/>
      <c r="D266" s="866"/>
      <c r="E266" s="507"/>
      <c r="F266" s="507"/>
      <c r="G266" s="507"/>
      <c r="H266" s="507"/>
      <c r="I266" s="507"/>
      <c r="J266" s="507"/>
      <c r="K266" s="507"/>
      <c r="L266" s="507"/>
      <c r="M266" s="507"/>
      <c r="N266" s="507"/>
      <c r="O266" s="507"/>
      <c r="P266" s="507"/>
      <c r="Q266" s="507"/>
      <c r="R266" s="507"/>
      <c r="S266" s="507"/>
      <c r="T266" s="507"/>
      <c r="U266" s="507"/>
      <c r="V266" s="507"/>
      <c r="W266" s="507"/>
      <c r="X266" s="507"/>
      <c r="Y266" s="507"/>
      <c r="Z266" s="507"/>
    </row>
    <row r="267" ht="35.25" customHeight="1">
      <c r="A267" s="507"/>
      <c r="B267" s="507"/>
      <c r="C267" s="507"/>
      <c r="D267" s="508"/>
      <c r="E267" s="507"/>
      <c r="F267" s="507"/>
      <c r="G267" s="507"/>
      <c r="H267" s="507"/>
      <c r="I267" s="507"/>
      <c r="J267" s="507"/>
      <c r="K267" s="507"/>
      <c r="L267" s="507"/>
      <c r="M267" s="507"/>
      <c r="N267" s="507"/>
      <c r="O267" s="507"/>
      <c r="P267" s="507"/>
      <c r="Q267" s="507"/>
      <c r="R267" s="507"/>
      <c r="S267" s="507"/>
      <c r="T267" s="507"/>
      <c r="U267" s="507"/>
      <c r="V267" s="507"/>
      <c r="W267" s="507"/>
      <c r="X267" s="507"/>
      <c r="Y267" s="507"/>
      <c r="Z267" s="507"/>
    </row>
    <row r="268" ht="35.25" customHeight="1">
      <c r="A268" s="507"/>
      <c r="B268" s="507"/>
      <c r="C268" s="507"/>
      <c r="D268" s="508"/>
      <c r="E268" s="507"/>
      <c r="F268" s="507"/>
      <c r="G268" s="507"/>
      <c r="H268" s="507"/>
      <c r="I268" s="507"/>
      <c r="J268" s="507"/>
      <c r="K268" s="507"/>
      <c r="L268" s="507"/>
      <c r="M268" s="507"/>
      <c r="N268" s="507"/>
      <c r="O268" s="507"/>
      <c r="P268" s="507"/>
      <c r="Q268" s="507"/>
      <c r="R268" s="507"/>
      <c r="S268" s="507"/>
      <c r="T268" s="507"/>
      <c r="U268" s="507"/>
      <c r="V268" s="507"/>
      <c r="W268" s="507"/>
      <c r="X268" s="507"/>
      <c r="Y268" s="507"/>
      <c r="Z268" s="507"/>
    </row>
    <row r="269" ht="35.25" customHeight="1">
      <c r="A269" s="507"/>
      <c r="B269" s="507"/>
      <c r="C269" s="507"/>
      <c r="D269" s="508"/>
      <c r="E269" s="507"/>
      <c r="F269" s="507"/>
      <c r="G269" s="507"/>
      <c r="H269" s="507"/>
      <c r="I269" s="507"/>
      <c r="J269" s="507"/>
      <c r="K269" s="507"/>
      <c r="L269" s="507"/>
      <c r="M269" s="507"/>
      <c r="N269" s="507"/>
      <c r="O269" s="507"/>
      <c r="P269" s="507"/>
      <c r="Q269" s="507"/>
      <c r="R269" s="507"/>
      <c r="S269" s="507"/>
      <c r="T269" s="507"/>
      <c r="U269" s="507"/>
      <c r="V269" s="507"/>
      <c r="W269" s="507"/>
      <c r="X269" s="507"/>
      <c r="Y269" s="507"/>
      <c r="Z269" s="507"/>
    </row>
    <row r="270" ht="35.25" customHeight="1">
      <c r="A270" s="507"/>
      <c r="B270" s="507"/>
      <c r="C270" s="507"/>
      <c r="D270" s="508"/>
      <c r="E270" s="507"/>
      <c r="F270" s="507"/>
      <c r="G270" s="507"/>
      <c r="H270" s="507"/>
      <c r="I270" s="507"/>
      <c r="J270" s="507"/>
      <c r="K270" s="507"/>
      <c r="L270" s="507"/>
      <c r="M270" s="507"/>
      <c r="N270" s="507"/>
      <c r="O270" s="507"/>
      <c r="P270" s="507"/>
      <c r="Q270" s="507"/>
      <c r="R270" s="507"/>
      <c r="S270" s="507"/>
      <c r="T270" s="507"/>
      <c r="U270" s="507"/>
      <c r="V270" s="507"/>
      <c r="W270" s="507"/>
      <c r="X270" s="507"/>
      <c r="Y270" s="507"/>
      <c r="Z270" s="507"/>
    </row>
    <row r="271" ht="35.25" customHeight="1">
      <c r="A271" s="507"/>
      <c r="B271" s="507"/>
      <c r="C271" s="507"/>
      <c r="D271" s="508"/>
      <c r="E271" s="507"/>
      <c r="F271" s="507"/>
      <c r="G271" s="507"/>
      <c r="H271" s="507"/>
      <c r="I271" s="507"/>
      <c r="J271" s="507"/>
      <c r="K271" s="507"/>
      <c r="L271" s="507"/>
      <c r="M271" s="507"/>
      <c r="N271" s="507"/>
      <c r="O271" s="507"/>
      <c r="P271" s="507"/>
      <c r="Q271" s="507"/>
      <c r="R271" s="507"/>
      <c r="S271" s="507"/>
      <c r="T271" s="507"/>
      <c r="U271" s="507"/>
      <c r="V271" s="507"/>
      <c r="W271" s="507"/>
      <c r="X271" s="507"/>
      <c r="Y271" s="507"/>
      <c r="Z271" s="507"/>
    </row>
    <row r="272" ht="35.25" customHeight="1">
      <c r="A272" s="507"/>
      <c r="B272" s="507"/>
      <c r="C272" s="507"/>
      <c r="D272" s="508"/>
      <c r="E272" s="507"/>
      <c r="F272" s="507"/>
      <c r="G272" s="507"/>
      <c r="H272" s="507"/>
      <c r="I272" s="507"/>
      <c r="J272" s="507"/>
      <c r="K272" s="507"/>
      <c r="L272" s="507"/>
      <c r="M272" s="507"/>
      <c r="N272" s="507"/>
      <c r="O272" s="507"/>
      <c r="P272" s="507"/>
      <c r="Q272" s="507"/>
      <c r="R272" s="507"/>
      <c r="S272" s="507"/>
      <c r="T272" s="507"/>
      <c r="U272" s="507"/>
      <c r="V272" s="507"/>
      <c r="W272" s="507"/>
      <c r="X272" s="507"/>
      <c r="Y272" s="507"/>
      <c r="Z272" s="507"/>
    </row>
    <row r="273" ht="35.25" customHeight="1">
      <c r="A273" s="507"/>
      <c r="B273" s="507"/>
      <c r="C273" s="507"/>
      <c r="D273" s="508"/>
      <c r="E273" s="507"/>
      <c r="F273" s="507"/>
      <c r="G273" s="507"/>
      <c r="H273" s="507"/>
      <c r="I273" s="507"/>
      <c r="J273" s="507"/>
      <c r="K273" s="507"/>
      <c r="L273" s="507"/>
      <c r="M273" s="507"/>
      <c r="N273" s="507"/>
      <c r="O273" s="507"/>
      <c r="P273" s="507"/>
      <c r="Q273" s="507"/>
      <c r="R273" s="507"/>
      <c r="S273" s="507"/>
      <c r="T273" s="507"/>
      <c r="U273" s="507"/>
      <c r="V273" s="507"/>
      <c r="W273" s="507"/>
      <c r="X273" s="507"/>
      <c r="Y273" s="507"/>
      <c r="Z273" s="507"/>
    </row>
    <row r="274" ht="35.25" customHeight="1">
      <c r="A274" s="507"/>
      <c r="B274" s="507"/>
      <c r="C274" s="507"/>
      <c r="D274" s="508"/>
      <c r="E274" s="507"/>
      <c r="F274" s="507"/>
      <c r="G274" s="507"/>
      <c r="H274" s="507"/>
      <c r="I274" s="507"/>
      <c r="J274" s="507"/>
      <c r="K274" s="507"/>
      <c r="L274" s="507"/>
      <c r="M274" s="507"/>
      <c r="N274" s="507"/>
      <c r="O274" s="507"/>
      <c r="P274" s="507"/>
      <c r="Q274" s="507"/>
      <c r="R274" s="507"/>
      <c r="S274" s="507"/>
      <c r="T274" s="507"/>
      <c r="U274" s="507"/>
      <c r="V274" s="507"/>
      <c r="W274" s="507"/>
      <c r="X274" s="507"/>
      <c r="Y274" s="507"/>
      <c r="Z274" s="507"/>
    </row>
    <row r="275" ht="35.25" customHeight="1">
      <c r="A275" s="507"/>
      <c r="B275" s="507"/>
      <c r="C275" s="507"/>
      <c r="D275" s="508"/>
      <c r="E275" s="507"/>
      <c r="F275" s="507"/>
      <c r="G275" s="507"/>
      <c r="H275" s="507"/>
      <c r="I275" s="507"/>
      <c r="J275" s="507"/>
      <c r="K275" s="507"/>
      <c r="L275" s="507"/>
      <c r="M275" s="507"/>
      <c r="N275" s="507"/>
      <c r="O275" s="507"/>
      <c r="P275" s="507"/>
      <c r="Q275" s="507"/>
      <c r="R275" s="507"/>
      <c r="S275" s="507"/>
      <c r="T275" s="507"/>
      <c r="U275" s="507"/>
      <c r="V275" s="507"/>
      <c r="W275" s="507"/>
      <c r="X275" s="507"/>
      <c r="Y275" s="507"/>
      <c r="Z275" s="507"/>
    </row>
    <row r="276" ht="35.25" customHeight="1">
      <c r="A276" s="507"/>
      <c r="B276" s="507"/>
      <c r="C276" s="507"/>
      <c r="D276" s="508"/>
      <c r="E276" s="507"/>
      <c r="F276" s="507"/>
      <c r="G276" s="507"/>
      <c r="H276" s="507"/>
      <c r="I276" s="507"/>
      <c r="J276" s="507"/>
      <c r="K276" s="507"/>
      <c r="L276" s="507"/>
      <c r="M276" s="507"/>
      <c r="N276" s="507"/>
      <c r="O276" s="507"/>
      <c r="P276" s="507"/>
      <c r="Q276" s="507"/>
      <c r="R276" s="507"/>
      <c r="S276" s="507"/>
      <c r="T276" s="507"/>
      <c r="U276" s="507"/>
      <c r="V276" s="507"/>
      <c r="W276" s="507"/>
      <c r="X276" s="507"/>
      <c r="Y276" s="507"/>
      <c r="Z276" s="507"/>
    </row>
    <row r="277" ht="35.25" customHeight="1">
      <c r="A277" s="507"/>
      <c r="B277" s="507"/>
      <c r="C277" s="507"/>
      <c r="D277" s="508"/>
      <c r="E277" s="507"/>
      <c r="F277" s="507"/>
      <c r="G277" s="507"/>
      <c r="H277" s="507"/>
      <c r="I277" s="507"/>
      <c r="J277" s="507"/>
      <c r="K277" s="507"/>
      <c r="L277" s="507"/>
      <c r="M277" s="507"/>
      <c r="N277" s="507"/>
      <c r="O277" s="507"/>
      <c r="P277" s="507"/>
      <c r="Q277" s="507"/>
      <c r="R277" s="507"/>
      <c r="S277" s="507"/>
      <c r="T277" s="507"/>
      <c r="U277" s="507"/>
      <c r="V277" s="507"/>
      <c r="W277" s="507"/>
      <c r="X277" s="507"/>
      <c r="Y277" s="507"/>
      <c r="Z277" s="507"/>
    </row>
    <row r="278" ht="35.25" customHeight="1">
      <c r="A278" s="507"/>
      <c r="B278" s="507"/>
      <c r="C278" s="507"/>
      <c r="D278" s="508"/>
      <c r="E278" s="507"/>
      <c r="F278" s="507"/>
      <c r="G278" s="507"/>
      <c r="H278" s="507"/>
      <c r="I278" s="507"/>
      <c r="J278" s="507"/>
      <c r="K278" s="507"/>
      <c r="L278" s="507"/>
      <c r="M278" s="507"/>
      <c r="N278" s="507"/>
      <c r="O278" s="507"/>
      <c r="P278" s="507"/>
      <c r="Q278" s="507"/>
      <c r="R278" s="507"/>
      <c r="S278" s="507"/>
      <c r="T278" s="507"/>
      <c r="U278" s="507"/>
      <c r="V278" s="507"/>
      <c r="W278" s="507"/>
      <c r="X278" s="507"/>
      <c r="Y278" s="507"/>
      <c r="Z278" s="507"/>
    </row>
    <row r="279" ht="35.25" customHeight="1">
      <c r="A279" s="507"/>
      <c r="B279" s="507"/>
      <c r="C279" s="507"/>
      <c r="D279" s="508"/>
      <c r="E279" s="507"/>
      <c r="F279" s="507"/>
      <c r="G279" s="507"/>
      <c r="H279" s="507"/>
      <c r="I279" s="507"/>
      <c r="J279" s="507"/>
      <c r="K279" s="507"/>
      <c r="L279" s="507"/>
      <c r="M279" s="507"/>
      <c r="N279" s="507"/>
      <c r="O279" s="507"/>
      <c r="P279" s="507"/>
      <c r="Q279" s="507"/>
      <c r="R279" s="507"/>
      <c r="S279" s="507"/>
      <c r="T279" s="507"/>
      <c r="U279" s="507"/>
      <c r="V279" s="507"/>
      <c r="W279" s="507"/>
      <c r="X279" s="507"/>
      <c r="Y279" s="507"/>
      <c r="Z279" s="507"/>
    </row>
    <row r="280" ht="35.25" customHeight="1">
      <c r="A280" s="507"/>
      <c r="B280" s="507"/>
      <c r="C280" s="507"/>
      <c r="D280" s="508"/>
      <c r="E280" s="507"/>
      <c r="F280" s="507"/>
      <c r="G280" s="507"/>
      <c r="H280" s="507"/>
      <c r="I280" s="507"/>
      <c r="J280" s="507"/>
      <c r="K280" s="507"/>
      <c r="L280" s="507"/>
      <c r="M280" s="507"/>
      <c r="N280" s="507"/>
      <c r="O280" s="507"/>
      <c r="P280" s="507"/>
      <c r="Q280" s="507"/>
      <c r="R280" s="507"/>
      <c r="S280" s="507"/>
      <c r="T280" s="507"/>
      <c r="U280" s="507"/>
      <c r="V280" s="507"/>
      <c r="W280" s="507"/>
      <c r="X280" s="507"/>
      <c r="Y280" s="507"/>
      <c r="Z280" s="507"/>
    </row>
    <row r="281" ht="35.25" customHeight="1">
      <c r="A281" s="507"/>
      <c r="B281" s="507"/>
      <c r="C281" s="507"/>
      <c r="D281" s="508"/>
      <c r="E281" s="507"/>
      <c r="F281" s="507"/>
      <c r="G281" s="507"/>
      <c r="H281" s="507"/>
      <c r="I281" s="507"/>
      <c r="J281" s="507"/>
      <c r="K281" s="507"/>
      <c r="L281" s="507"/>
      <c r="M281" s="507"/>
      <c r="N281" s="507"/>
      <c r="O281" s="507"/>
      <c r="P281" s="507"/>
      <c r="Q281" s="507"/>
      <c r="R281" s="507"/>
      <c r="S281" s="507"/>
      <c r="T281" s="507"/>
      <c r="U281" s="507"/>
      <c r="V281" s="507"/>
      <c r="W281" s="507"/>
      <c r="X281" s="507"/>
      <c r="Y281" s="507"/>
      <c r="Z281" s="507"/>
    </row>
    <row r="282" ht="35.25" customHeight="1">
      <c r="A282" s="507"/>
      <c r="B282" s="507"/>
      <c r="C282" s="507"/>
      <c r="D282" s="508"/>
      <c r="E282" s="507"/>
      <c r="F282" s="507"/>
      <c r="G282" s="507"/>
      <c r="H282" s="507"/>
      <c r="I282" s="507"/>
      <c r="J282" s="507"/>
      <c r="K282" s="507"/>
      <c r="L282" s="507"/>
      <c r="M282" s="507"/>
      <c r="N282" s="507"/>
      <c r="O282" s="507"/>
      <c r="P282" s="507"/>
      <c r="Q282" s="507"/>
      <c r="R282" s="507"/>
      <c r="S282" s="507"/>
      <c r="T282" s="507"/>
      <c r="U282" s="507"/>
      <c r="V282" s="507"/>
      <c r="W282" s="507"/>
      <c r="X282" s="507"/>
      <c r="Y282" s="507"/>
      <c r="Z282" s="507"/>
    </row>
    <row r="283" ht="35.25" customHeight="1">
      <c r="A283" s="507"/>
      <c r="B283" s="507"/>
      <c r="C283" s="507"/>
      <c r="D283" s="508"/>
      <c r="E283" s="507"/>
      <c r="F283" s="507"/>
      <c r="G283" s="507"/>
      <c r="H283" s="507"/>
      <c r="I283" s="507"/>
      <c r="J283" s="507"/>
      <c r="K283" s="507"/>
      <c r="L283" s="507"/>
      <c r="M283" s="507"/>
      <c r="N283" s="507"/>
      <c r="O283" s="507"/>
      <c r="P283" s="507"/>
      <c r="Q283" s="507"/>
      <c r="R283" s="507"/>
      <c r="S283" s="507"/>
      <c r="T283" s="507"/>
      <c r="U283" s="507"/>
      <c r="V283" s="507"/>
      <c r="W283" s="507"/>
      <c r="X283" s="507"/>
      <c r="Y283" s="507"/>
      <c r="Z283" s="507"/>
    </row>
    <row r="284" ht="35.25" customHeight="1">
      <c r="A284" s="507"/>
      <c r="B284" s="507"/>
      <c r="C284" s="507"/>
      <c r="D284" s="508"/>
      <c r="E284" s="507"/>
      <c r="F284" s="507"/>
      <c r="G284" s="507"/>
      <c r="H284" s="507"/>
      <c r="I284" s="507"/>
      <c r="J284" s="507"/>
      <c r="K284" s="507"/>
      <c r="L284" s="507"/>
      <c r="M284" s="507"/>
      <c r="N284" s="507"/>
      <c r="O284" s="507"/>
      <c r="P284" s="507"/>
      <c r="Q284" s="507"/>
      <c r="R284" s="507"/>
      <c r="S284" s="507"/>
      <c r="T284" s="507"/>
      <c r="U284" s="507"/>
      <c r="V284" s="507"/>
      <c r="W284" s="507"/>
      <c r="X284" s="507"/>
      <c r="Y284" s="507"/>
      <c r="Z284" s="507"/>
    </row>
    <row r="285" ht="35.25" customHeight="1">
      <c r="A285" s="507"/>
      <c r="B285" s="507"/>
      <c r="C285" s="507"/>
      <c r="D285" s="508"/>
      <c r="E285" s="507"/>
      <c r="F285" s="507"/>
      <c r="G285" s="507"/>
      <c r="H285" s="507"/>
      <c r="I285" s="507"/>
      <c r="J285" s="507"/>
      <c r="K285" s="507"/>
      <c r="L285" s="507"/>
      <c r="M285" s="507"/>
      <c r="N285" s="507"/>
      <c r="O285" s="507"/>
      <c r="P285" s="507"/>
      <c r="Q285" s="507"/>
      <c r="R285" s="507"/>
      <c r="S285" s="507"/>
      <c r="T285" s="507"/>
      <c r="U285" s="507"/>
      <c r="V285" s="507"/>
      <c r="W285" s="507"/>
      <c r="X285" s="507"/>
      <c r="Y285" s="507"/>
      <c r="Z285" s="507"/>
    </row>
    <row r="286" ht="35.25" customHeight="1">
      <c r="A286" s="507"/>
      <c r="B286" s="507"/>
      <c r="C286" s="507"/>
      <c r="D286" s="508"/>
      <c r="E286" s="507"/>
      <c r="F286" s="507"/>
      <c r="G286" s="507"/>
      <c r="H286" s="507"/>
      <c r="I286" s="507"/>
      <c r="J286" s="507"/>
      <c r="K286" s="507"/>
      <c r="L286" s="507"/>
      <c r="M286" s="507"/>
      <c r="N286" s="507"/>
      <c r="O286" s="507"/>
      <c r="P286" s="507"/>
      <c r="Q286" s="507"/>
      <c r="R286" s="507"/>
      <c r="S286" s="507"/>
      <c r="T286" s="507"/>
      <c r="U286" s="507"/>
      <c r="V286" s="507"/>
      <c r="W286" s="507"/>
      <c r="X286" s="507"/>
      <c r="Y286" s="507"/>
      <c r="Z286" s="507"/>
    </row>
    <row r="287" ht="35.25" customHeight="1">
      <c r="A287" s="507"/>
      <c r="B287" s="507"/>
      <c r="C287" s="507"/>
      <c r="D287" s="508"/>
      <c r="E287" s="507"/>
      <c r="F287" s="507"/>
      <c r="G287" s="507"/>
      <c r="H287" s="507"/>
      <c r="I287" s="507"/>
      <c r="J287" s="507"/>
      <c r="K287" s="507"/>
      <c r="L287" s="507"/>
      <c r="M287" s="507"/>
      <c r="N287" s="507"/>
      <c r="O287" s="507"/>
      <c r="P287" s="507"/>
      <c r="Q287" s="507"/>
      <c r="R287" s="507"/>
      <c r="S287" s="507"/>
      <c r="T287" s="507"/>
      <c r="U287" s="507"/>
      <c r="V287" s="507"/>
      <c r="W287" s="507"/>
      <c r="X287" s="507"/>
      <c r="Y287" s="507"/>
      <c r="Z287" s="507"/>
    </row>
    <row r="288" ht="35.25" customHeight="1">
      <c r="A288" s="507"/>
      <c r="B288" s="507"/>
      <c r="C288" s="507"/>
      <c r="D288" s="508"/>
      <c r="E288" s="507"/>
      <c r="F288" s="507"/>
      <c r="G288" s="507"/>
      <c r="H288" s="507"/>
      <c r="I288" s="507"/>
      <c r="J288" s="507"/>
      <c r="K288" s="507"/>
      <c r="L288" s="507"/>
      <c r="M288" s="507"/>
      <c r="N288" s="507"/>
      <c r="O288" s="507"/>
      <c r="P288" s="507"/>
      <c r="Q288" s="507"/>
      <c r="R288" s="507"/>
      <c r="S288" s="507"/>
      <c r="T288" s="507"/>
      <c r="U288" s="507"/>
      <c r="V288" s="507"/>
      <c r="W288" s="507"/>
      <c r="X288" s="507"/>
      <c r="Y288" s="507"/>
      <c r="Z288" s="507"/>
    </row>
    <row r="289" ht="35.25" customHeight="1">
      <c r="A289" s="507"/>
      <c r="B289" s="507"/>
      <c r="C289" s="507"/>
      <c r="D289" s="508"/>
      <c r="E289" s="507"/>
      <c r="F289" s="507"/>
      <c r="G289" s="507"/>
      <c r="H289" s="507"/>
      <c r="I289" s="507"/>
      <c r="J289" s="507"/>
      <c r="K289" s="507"/>
      <c r="L289" s="507"/>
      <c r="M289" s="507"/>
      <c r="N289" s="507"/>
      <c r="O289" s="507"/>
      <c r="P289" s="507"/>
      <c r="Q289" s="507"/>
      <c r="R289" s="507"/>
      <c r="S289" s="507"/>
      <c r="T289" s="507"/>
      <c r="U289" s="507"/>
      <c r="V289" s="507"/>
      <c r="W289" s="507"/>
      <c r="X289" s="507"/>
      <c r="Y289" s="507"/>
      <c r="Z289" s="507"/>
    </row>
    <row r="290" ht="35.25" customHeight="1">
      <c r="A290" s="507"/>
      <c r="B290" s="507"/>
      <c r="C290" s="507"/>
      <c r="D290" s="508"/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  <c r="O290" s="507"/>
      <c r="P290" s="507"/>
      <c r="Q290" s="507"/>
      <c r="R290" s="507"/>
      <c r="S290" s="507"/>
      <c r="T290" s="507"/>
      <c r="U290" s="507"/>
      <c r="V290" s="507"/>
      <c r="W290" s="507"/>
      <c r="X290" s="507"/>
      <c r="Y290" s="507"/>
      <c r="Z290" s="507"/>
    </row>
    <row r="291" ht="35.25" customHeight="1">
      <c r="A291" s="507"/>
      <c r="B291" s="507"/>
      <c r="C291" s="507"/>
      <c r="D291" s="508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  <c r="O291" s="507"/>
      <c r="P291" s="507"/>
      <c r="Q291" s="507"/>
      <c r="R291" s="507"/>
      <c r="S291" s="507"/>
      <c r="T291" s="507"/>
      <c r="U291" s="507"/>
      <c r="V291" s="507"/>
      <c r="W291" s="507"/>
      <c r="X291" s="507"/>
      <c r="Y291" s="507"/>
      <c r="Z291" s="507"/>
    </row>
    <row r="292" ht="35.25" customHeight="1">
      <c r="A292" s="507"/>
      <c r="B292" s="507"/>
      <c r="C292" s="507"/>
      <c r="D292" s="508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07"/>
      <c r="U292" s="507"/>
      <c r="V292" s="507"/>
      <c r="W292" s="507"/>
      <c r="X292" s="507"/>
      <c r="Y292" s="507"/>
      <c r="Z292" s="507"/>
    </row>
    <row r="293" ht="35.25" customHeight="1">
      <c r="A293" s="507"/>
      <c r="B293" s="507"/>
      <c r="C293" s="507"/>
      <c r="D293" s="508"/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  <c r="O293" s="507"/>
      <c r="P293" s="507"/>
      <c r="Q293" s="507"/>
      <c r="R293" s="507"/>
      <c r="S293" s="507"/>
      <c r="T293" s="507"/>
      <c r="U293" s="507"/>
      <c r="V293" s="507"/>
      <c r="W293" s="507"/>
      <c r="X293" s="507"/>
      <c r="Y293" s="507"/>
      <c r="Z293" s="507"/>
    </row>
    <row r="294" ht="35.25" customHeight="1">
      <c r="A294" s="507"/>
      <c r="B294" s="507"/>
      <c r="C294" s="507"/>
      <c r="D294" s="508"/>
      <c r="E294" s="507"/>
      <c r="F294" s="507"/>
      <c r="G294" s="507"/>
      <c r="H294" s="507"/>
      <c r="I294" s="507"/>
      <c r="J294" s="507"/>
      <c r="K294" s="507"/>
      <c r="L294" s="507"/>
      <c r="M294" s="507"/>
      <c r="N294" s="507"/>
      <c r="O294" s="507"/>
      <c r="P294" s="507"/>
      <c r="Q294" s="507"/>
      <c r="R294" s="507"/>
      <c r="S294" s="507"/>
      <c r="T294" s="507"/>
      <c r="U294" s="507"/>
      <c r="V294" s="507"/>
      <c r="W294" s="507"/>
      <c r="X294" s="507"/>
      <c r="Y294" s="507"/>
      <c r="Z294" s="507"/>
    </row>
    <row r="295" ht="35.25" customHeight="1">
      <c r="A295" s="507"/>
      <c r="B295" s="507"/>
      <c r="C295" s="507"/>
      <c r="D295" s="508"/>
      <c r="E295" s="507"/>
      <c r="F295" s="507"/>
      <c r="G295" s="507"/>
      <c r="H295" s="507"/>
      <c r="I295" s="507"/>
      <c r="J295" s="507"/>
      <c r="K295" s="507"/>
      <c r="L295" s="507"/>
      <c r="M295" s="507"/>
      <c r="N295" s="507"/>
      <c r="O295" s="507"/>
      <c r="P295" s="507"/>
      <c r="Q295" s="507"/>
      <c r="R295" s="507"/>
      <c r="S295" s="507"/>
      <c r="T295" s="507"/>
      <c r="U295" s="507"/>
      <c r="V295" s="507"/>
      <c r="W295" s="507"/>
      <c r="X295" s="507"/>
      <c r="Y295" s="507"/>
      <c r="Z295" s="507"/>
    </row>
    <row r="296" ht="35.25" customHeight="1">
      <c r="A296" s="507"/>
      <c r="B296" s="507"/>
      <c r="C296" s="507"/>
      <c r="D296" s="508"/>
      <c r="E296" s="507"/>
      <c r="F296" s="507"/>
      <c r="G296" s="507"/>
      <c r="H296" s="507"/>
      <c r="I296" s="507"/>
      <c r="J296" s="507"/>
      <c r="K296" s="507"/>
      <c r="L296" s="507"/>
      <c r="M296" s="507"/>
      <c r="N296" s="507"/>
      <c r="O296" s="507"/>
      <c r="P296" s="507"/>
      <c r="Q296" s="507"/>
      <c r="R296" s="507"/>
      <c r="S296" s="507"/>
      <c r="T296" s="507"/>
      <c r="U296" s="507"/>
      <c r="V296" s="507"/>
      <c r="W296" s="507"/>
      <c r="X296" s="507"/>
      <c r="Y296" s="507"/>
      <c r="Z296" s="507"/>
    </row>
    <row r="297" ht="35.25" customHeight="1">
      <c r="A297" s="507"/>
      <c r="B297" s="507"/>
      <c r="C297" s="507"/>
      <c r="D297" s="508"/>
      <c r="E297" s="507"/>
      <c r="F297" s="507"/>
      <c r="G297" s="507"/>
      <c r="H297" s="507"/>
      <c r="I297" s="507"/>
      <c r="J297" s="507"/>
      <c r="K297" s="507"/>
      <c r="L297" s="507"/>
      <c r="M297" s="507"/>
      <c r="N297" s="507"/>
      <c r="O297" s="507"/>
      <c r="P297" s="507"/>
      <c r="Q297" s="507"/>
      <c r="R297" s="507"/>
      <c r="S297" s="507"/>
      <c r="T297" s="507"/>
      <c r="U297" s="507"/>
      <c r="V297" s="507"/>
      <c r="W297" s="507"/>
      <c r="X297" s="507"/>
      <c r="Y297" s="507"/>
      <c r="Z297" s="507"/>
    </row>
    <row r="298" ht="35.25" customHeight="1">
      <c r="A298" s="507"/>
      <c r="B298" s="507"/>
      <c r="C298" s="507"/>
      <c r="D298" s="508"/>
      <c r="E298" s="507"/>
      <c r="F298" s="507"/>
      <c r="G298" s="507"/>
      <c r="H298" s="507"/>
      <c r="I298" s="507"/>
      <c r="J298" s="507"/>
      <c r="K298" s="507"/>
      <c r="L298" s="507"/>
      <c r="M298" s="507"/>
      <c r="N298" s="507"/>
      <c r="O298" s="507"/>
      <c r="P298" s="507"/>
      <c r="Q298" s="507"/>
      <c r="R298" s="507"/>
      <c r="S298" s="507"/>
      <c r="T298" s="507"/>
      <c r="U298" s="507"/>
      <c r="V298" s="507"/>
      <c r="W298" s="507"/>
      <c r="X298" s="507"/>
      <c r="Y298" s="507"/>
      <c r="Z298" s="507"/>
    </row>
    <row r="299" ht="35.25" customHeight="1">
      <c r="A299" s="507"/>
      <c r="B299" s="507"/>
      <c r="C299" s="507"/>
      <c r="D299" s="508"/>
      <c r="E299" s="507"/>
      <c r="F299" s="507"/>
      <c r="G299" s="507"/>
      <c r="H299" s="507"/>
      <c r="I299" s="507"/>
      <c r="J299" s="507"/>
      <c r="K299" s="507"/>
      <c r="L299" s="507"/>
      <c r="M299" s="507"/>
      <c r="N299" s="507"/>
      <c r="O299" s="507"/>
      <c r="P299" s="507"/>
      <c r="Q299" s="507"/>
      <c r="R299" s="507"/>
      <c r="S299" s="507"/>
      <c r="T299" s="507"/>
      <c r="U299" s="507"/>
      <c r="V299" s="507"/>
      <c r="W299" s="507"/>
      <c r="X299" s="507"/>
      <c r="Y299" s="507"/>
      <c r="Z299" s="507"/>
    </row>
    <row r="300" ht="35.25" customHeight="1">
      <c r="A300" s="507"/>
      <c r="B300" s="507"/>
      <c r="C300" s="507"/>
      <c r="D300" s="508"/>
      <c r="E300" s="507"/>
      <c r="F300" s="507"/>
      <c r="G300" s="507"/>
      <c r="H300" s="507"/>
      <c r="I300" s="507"/>
      <c r="J300" s="507"/>
      <c r="K300" s="507"/>
      <c r="L300" s="507"/>
      <c r="M300" s="507"/>
      <c r="N300" s="507"/>
      <c r="O300" s="507"/>
      <c r="P300" s="507"/>
      <c r="Q300" s="507"/>
      <c r="R300" s="507"/>
      <c r="S300" s="507"/>
      <c r="T300" s="507"/>
      <c r="U300" s="507"/>
      <c r="V300" s="507"/>
      <c r="W300" s="507"/>
      <c r="X300" s="507"/>
      <c r="Y300" s="507"/>
      <c r="Z300" s="507"/>
    </row>
    <row r="301" ht="35.25" customHeight="1">
      <c r="A301" s="507"/>
      <c r="B301" s="507"/>
      <c r="C301" s="507"/>
      <c r="D301" s="508"/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  <c r="O301" s="507"/>
      <c r="P301" s="507"/>
      <c r="Q301" s="507"/>
      <c r="R301" s="507"/>
      <c r="S301" s="507"/>
      <c r="T301" s="507"/>
      <c r="U301" s="507"/>
      <c r="V301" s="507"/>
      <c r="W301" s="507"/>
      <c r="X301" s="507"/>
      <c r="Y301" s="507"/>
      <c r="Z301" s="507"/>
    </row>
    <row r="302" ht="35.25" customHeight="1">
      <c r="A302" s="507"/>
      <c r="B302" s="507"/>
      <c r="C302" s="507"/>
      <c r="D302" s="508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  <c r="O302" s="507"/>
      <c r="P302" s="507"/>
      <c r="Q302" s="507"/>
      <c r="R302" s="507"/>
      <c r="S302" s="507"/>
      <c r="T302" s="507"/>
      <c r="U302" s="507"/>
      <c r="V302" s="507"/>
      <c r="W302" s="507"/>
      <c r="X302" s="507"/>
      <c r="Y302" s="507"/>
      <c r="Z302" s="507"/>
    </row>
    <row r="303" ht="35.25" customHeight="1">
      <c r="A303" s="507"/>
      <c r="B303" s="507"/>
      <c r="C303" s="507"/>
      <c r="D303" s="508"/>
      <c r="E303" s="507"/>
      <c r="F303" s="507"/>
      <c r="G303" s="507"/>
      <c r="H303" s="507"/>
      <c r="I303" s="507"/>
      <c r="J303" s="507"/>
      <c r="K303" s="507"/>
      <c r="L303" s="507"/>
      <c r="M303" s="507"/>
      <c r="N303" s="507"/>
      <c r="O303" s="507"/>
      <c r="P303" s="507"/>
      <c r="Q303" s="507"/>
      <c r="R303" s="507"/>
      <c r="S303" s="507"/>
      <c r="T303" s="507"/>
      <c r="U303" s="507"/>
      <c r="V303" s="507"/>
      <c r="W303" s="507"/>
      <c r="X303" s="507"/>
      <c r="Y303" s="507"/>
      <c r="Z303" s="507"/>
    </row>
    <row r="304" ht="35.25" customHeight="1">
      <c r="A304" s="507"/>
      <c r="B304" s="507"/>
      <c r="C304" s="507"/>
      <c r="D304" s="508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  <c r="O304" s="507"/>
      <c r="P304" s="507"/>
      <c r="Q304" s="507"/>
      <c r="R304" s="507"/>
      <c r="S304" s="507"/>
      <c r="T304" s="507"/>
      <c r="U304" s="507"/>
      <c r="V304" s="507"/>
      <c r="W304" s="507"/>
      <c r="X304" s="507"/>
      <c r="Y304" s="507"/>
      <c r="Z304" s="507"/>
    </row>
    <row r="305" ht="35.25" customHeight="1">
      <c r="A305" s="507"/>
      <c r="B305" s="507"/>
      <c r="C305" s="507"/>
      <c r="D305" s="508"/>
      <c r="E305" s="507"/>
      <c r="F305" s="507"/>
      <c r="G305" s="507"/>
      <c r="H305" s="507"/>
      <c r="I305" s="507"/>
      <c r="J305" s="507"/>
      <c r="K305" s="507"/>
      <c r="L305" s="507"/>
      <c r="M305" s="507"/>
      <c r="N305" s="507"/>
      <c r="O305" s="507"/>
      <c r="P305" s="507"/>
      <c r="Q305" s="507"/>
      <c r="R305" s="507"/>
      <c r="S305" s="507"/>
      <c r="T305" s="507"/>
      <c r="U305" s="507"/>
      <c r="V305" s="507"/>
      <c r="W305" s="507"/>
      <c r="X305" s="507"/>
      <c r="Y305" s="507"/>
      <c r="Z305" s="507"/>
    </row>
    <row r="306" ht="35.25" customHeight="1">
      <c r="A306" s="507"/>
      <c r="B306" s="507"/>
      <c r="C306" s="507"/>
      <c r="D306" s="508"/>
      <c r="E306" s="507"/>
      <c r="F306" s="507"/>
      <c r="G306" s="507"/>
      <c r="H306" s="507"/>
      <c r="I306" s="507"/>
      <c r="J306" s="507"/>
      <c r="K306" s="507"/>
      <c r="L306" s="507"/>
      <c r="M306" s="507"/>
      <c r="N306" s="507"/>
      <c r="O306" s="507"/>
      <c r="P306" s="507"/>
      <c r="Q306" s="507"/>
      <c r="R306" s="507"/>
      <c r="S306" s="507"/>
      <c r="T306" s="507"/>
      <c r="U306" s="507"/>
      <c r="V306" s="507"/>
      <c r="W306" s="507"/>
      <c r="X306" s="507"/>
      <c r="Y306" s="507"/>
      <c r="Z306" s="507"/>
    </row>
    <row r="307" ht="35.25" customHeight="1">
      <c r="A307" s="507"/>
      <c r="B307" s="507"/>
      <c r="C307" s="507"/>
      <c r="D307" s="508"/>
      <c r="E307" s="507"/>
      <c r="F307" s="507"/>
      <c r="G307" s="507"/>
      <c r="H307" s="507"/>
      <c r="I307" s="507"/>
      <c r="J307" s="507"/>
      <c r="K307" s="507"/>
      <c r="L307" s="507"/>
      <c r="M307" s="507"/>
      <c r="N307" s="507"/>
      <c r="O307" s="507"/>
      <c r="P307" s="507"/>
      <c r="Q307" s="507"/>
      <c r="R307" s="507"/>
      <c r="S307" s="507"/>
      <c r="T307" s="507"/>
      <c r="U307" s="507"/>
      <c r="V307" s="507"/>
      <c r="W307" s="507"/>
      <c r="X307" s="507"/>
      <c r="Y307" s="507"/>
      <c r="Z307" s="507"/>
    </row>
    <row r="308" ht="35.25" customHeight="1">
      <c r="A308" s="507"/>
      <c r="B308" s="507"/>
      <c r="C308" s="507"/>
      <c r="D308" s="508"/>
      <c r="E308" s="507"/>
      <c r="F308" s="507"/>
      <c r="G308" s="507"/>
      <c r="H308" s="507"/>
      <c r="I308" s="507"/>
      <c r="J308" s="507"/>
      <c r="K308" s="507"/>
      <c r="L308" s="507"/>
      <c r="M308" s="507"/>
      <c r="N308" s="507"/>
      <c r="O308" s="507"/>
      <c r="P308" s="507"/>
      <c r="Q308" s="507"/>
      <c r="R308" s="507"/>
      <c r="S308" s="507"/>
      <c r="T308" s="507"/>
      <c r="U308" s="507"/>
      <c r="V308" s="507"/>
      <c r="W308" s="507"/>
      <c r="X308" s="507"/>
      <c r="Y308" s="507"/>
      <c r="Z308" s="507"/>
    </row>
    <row r="309" ht="35.25" customHeight="1">
      <c r="A309" s="507"/>
      <c r="B309" s="507"/>
      <c r="C309" s="507"/>
      <c r="D309" s="508"/>
      <c r="E309" s="507"/>
      <c r="F309" s="507"/>
      <c r="G309" s="507"/>
      <c r="H309" s="507"/>
      <c r="I309" s="507"/>
      <c r="J309" s="507"/>
      <c r="K309" s="507"/>
      <c r="L309" s="507"/>
      <c r="M309" s="507"/>
      <c r="N309" s="507"/>
      <c r="O309" s="507"/>
      <c r="P309" s="507"/>
      <c r="Q309" s="507"/>
      <c r="R309" s="507"/>
      <c r="S309" s="507"/>
      <c r="T309" s="507"/>
      <c r="U309" s="507"/>
      <c r="V309" s="507"/>
      <c r="W309" s="507"/>
      <c r="X309" s="507"/>
      <c r="Y309" s="507"/>
      <c r="Z309" s="507"/>
    </row>
    <row r="310" ht="35.25" customHeight="1">
      <c r="A310" s="507"/>
      <c r="B310" s="507"/>
      <c r="C310" s="507"/>
      <c r="D310" s="508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  <c r="O310" s="507"/>
      <c r="P310" s="507"/>
      <c r="Q310" s="507"/>
      <c r="R310" s="507"/>
      <c r="S310" s="507"/>
      <c r="T310" s="507"/>
      <c r="U310" s="507"/>
      <c r="V310" s="507"/>
      <c r="W310" s="507"/>
      <c r="X310" s="507"/>
      <c r="Y310" s="507"/>
      <c r="Z310" s="507"/>
    </row>
    <row r="311" ht="35.25" customHeight="1">
      <c r="A311" s="507"/>
      <c r="B311" s="507"/>
      <c r="C311" s="507"/>
      <c r="D311" s="508"/>
      <c r="E311" s="507"/>
      <c r="F311" s="507"/>
      <c r="G311" s="507"/>
      <c r="H311" s="507"/>
      <c r="I311" s="507"/>
      <c r="J311" s="507"/>
      <c r="K311" s="507"/>
      <c r="L311" s="507"/>
      <c r="M311" s="507"/>
      <c r="N311" s="507"/>
      <c r="O311" s="507"/>
      <c r="P311" s="507"/>
      <c r="Q311" s="507"/>
      <c r="R311" s="507"/>
      <c r="S311" s="507"/>
      <c r="T311" s="507"/>
      <c r="U311" s="507"/>
      <c r="V311" s="507"/>
      <c r="W311" s="507"/>
      <c r="X311" s="507"/>
      <c r="Y311" s="507"/>
      <c r="Z311" s="507"/>
    </row>
    <row r="312" ht="35.25" customHeight="1">
      <c r="A312" s="507"/>
      <c r="B312" s="507"/>
      <c r="C312" s="507"/>
      <c r="D312" s="508"/>
      <c r="E312" s="507"/>
      <c r="F312" s="507"/>
      <c r="G312" s="507"/>
      <c r="H312" s="507"/>
      <c r="I312" s="507"/>
      <c r="J312" s="507"/>
      <c r="K312" s="507"/>
      <c r="L312" s="507"/>
      <c r="M312" s="507"/>
      <c r="N312" s="507"/>
      <c r="O312" s="507"/>
      <c r="P312" s="507"/>
      <c r="Q312" s="507"/>
      <c r="R312" s="507"/>
      <c r="S312" s="507"/>
      <c r="T312" s="507"/>
      <c r="U312" s="507"/>
      <c r="V312" s="507"/>
      <c r="W312" s="507"/>
      <c r="X312" s="507"/>
      <c r="Y312" s="507"/>
      <c r="Z312" s="507"/>
    </row>
    <row r="313" ht="35.25" customHeight="1">
      <c r="A313" s="507"/>
      <c r="B313" s="507"/>
      <c r="C313" s="507"/>
      <c r="D313" s="508"/>
      <c r="E313" s="507"/>
      <c r="F313" s="507"/>
      <c r="G313" s="507"/>
      <c r="H313" s="507"/>
      <c r="I313" s="507"/>
      <c r="J313" s="507"/>
      <c r="K313" s="507"/>
      <c r="L313" s="507"/>
      <c r="M313" s="507"/>
      <c r="N313" s="507"/>
      <c r="O313" s="507"/>
      <c r="P313" s="507"/>
      <c r="Q313" s="507"/>
      <c r="R313" s="507"/>
      <c r="S313" s="507"/>
      <c r="T313" s="507"/>
      <c r="U313" s="507"/>
      <c r="V313" s="507"/>
      <c r="W313" s="507"/>
      <c r="X313" s="507"/>
      <c r="Y313" s="507"/>
      <c r="Z313" s="507"/>
    </row>
    <row r="314" ht="35.25" customHeight="1">
      <c r="A314" s="507"/>
      <c r="B314" s="507"/>
      <c r="C314" s="507"/>
      <c r="D314" s="508"/>
      <c r="E314" s="507"/>
      <c r="F314" s="507"/>
      <c r="G314" s="507"/>
      <c r="H314" s="507"/>
      <c r="I314" s="507"/>
      <c r="J314" s="507"/>
      <c r="K314" s="507"/>
      <c r="L314" s="507"/>
      <c r="M314" s="507"/>
      <c r="N314" s="507"/>
      <c r="O314" s="507"/>
      <c r="P314" s="507"/>
      <c r="Q314" s="507"/>
      <c r="R314" s="507"/>
      <c r="S314" s="507"/>
      <c r="T314" s="507"/>
      <c r="U314" s="507"/>
      <c r="V314" s="507"/>
      <c r="W314" s="507"/>
      <c r="X314" s="507"/>
      <c r="Y314" s="507"/>
      <c r="Z314" s="507"/>
    </row>
    <row r="315" ht="35.25" customHeight="1">
      <c r="A315" s="507"/>
      <c r="B315" s="507"/>
      <c r="C315" s="507"/>
      <c r="D315" s="508"/>
      <c r="E315" s="507"/>
      <c r="F315" s="507"/>
      <c r="G315" s="507"/>
      <c r="H315" s="507"/>
      <c r="I315" s="507"/>
      <c r="J315" s="507"/>
      <c r="K315" s="507"/>
      <c r="L315" s="507"/>
      <c r="M315" s="507"/>
      <c r="N315" s="507"/>
      <c r="O315" s="507"/>
      <c r="P315" s="507"/>
      <c r="Q315" s="507"/>
      <c r="R315" s="507"/>
      <c r="S315" s="507"/>
      <c r="T315" s="507"/>
      <c r="U315" s="507"/>
      <c r="V315" s="507"/>
      <c r="W315" s="507"/>
      <c r="X315" s="507"/>
      <c r="Y315" s="507"/>
      <c r="Z315" s="507"/>
    </row>
    <row r="316" ht="35.25" customHeight="1">
      <c r="A316" s="507"/>
      <c r="B316" s="507"/>
      <c r="C316" s="507"/>
      <c r="D316" s="508"/>
      <c r="E316" s="507"/>
      <c r="F316" s="507"/>
      <c r="G316" s="507"/>
      <c r="H316" s="507"/>
      <c r="I316" s="507"/>
      <c r="J316" s="507"/>
      <c r="K316" s="507"/>
      <c r="L316" s="507"/>
      <c r="M316" s="507"/>
      <c r="N316" s="507"/>
      <c r="O316" s="507"/>
      <c r="P316" s="507"/>
      <c r="Q316" s="507"/>
      <c r="R316" s="507"/>
      <c r="S316" s="507"/>
      <c r="T316" s="507"/>
      <c r="U316" s="507"/>
      <c r="V316" s="507"/>
      <c r="W316" s="507"/>
      <c r="X316" s="507"/>
      <c r="Y316" s="507"/>
      <c r="Z316" s="507"/>
    </row>
    <row r="317" ht="35.25" customHeight="1">
      <c r="A317" s="507"/>
      <c r="B317" s="507"/>
      <c r="C317" s="507"/>
      <c r="D317" s="508"/>
      <c r="E317" s="507"/>
      <c r="F317" s="507"/>
      <c r="G317" s="507"/>
      <c r="H317" s="507"/>
      <c r="I317" s="507"/>
      <c r="J317" s="507"/>
      <c r="K317" s="507"/>
      <c r="L317" s="507"/>
      <c r="M317" s="507"/>
      <c r="N317" s="507"/>
      <c r="O317" s="507"/>
      <c r="P317" s="507"/>
      <c r="Q317" s="507"/>
      <c r="R317" s="507"/>
      <c r="S317" s="507"/>
      <c r="T317" s="507"/>
      <c r="U317" s="507"/>
      <c r="V317" s="507"/>
      <c r="W317" s="507"/>
      <c r="X317" s="507"/>
      <c r="Y317" s="507"/>
      <c r="Z317" s="507"/>
    </row>
    <row r="318" ht="35.25" customHeight="1">
      <c r="A318" s="507"/>
      <c r="B318" s="507"/>
      <c r="C318" s="507"/>
      <c r="D318" s="508"/>
      <c r="E318" s="507"/>
      <c r="F318" s="507"/>
      <c r="G318" s="507"/>
      <c r="H318" s="507"/>
      <c r="I318" s="507"/>
      <c r="J318" s="507"/>
      <c r="K318" s="507"/>
      <c r="L318" s="507"/>
      <c r="M318" s="507"/>
      <c r="N318" s="507"/>
      <c r="O318" s="507"/>
      <c r="P318" s="507"/>
      <c r="Q318" s="507"/>
      <c r="R318" s="507"/>
      <c r="S318" s="507"/>
      <c r="T318" s="507"/>
      <c r="U318" s="507"/>
      <c r="V318" s="507"/>
      <c r="W318" s="507"/>
      <c r="X318" s="507"/>
      <c r="Y318" s="507"/>
      <c r="Z318" s="507"/>
    </row>
    <row r="319" ht="35.25" customHeight="1">
      <c r="A319" s="507"/>
      <c r="B319" s="507"/>
      <c r="C319" s="507"/>
      <c r="D319" s="508"/>
      <c r="E319" s="507"/>
      <c r="F319" s="507"/>
      <c r="G319" s="507"/>
      <c r="H319" s="507"/>
      <c r="I319" s="507"/>
      <c r="J319" s="507"/>
      <c r="K319" s="507"/>
      <c r="L319" s="507"/>
      <c r="M319" s="507"/>
      <c r="N319" s="507"/>
      <c r="O319" s="507"/>
      <c r="P319" s="507"/>
      <c r="Q319" s="507"/>
      <c r="R319" s="507"/>
      <c r="S319" s="507"/>
      <c r="T319" s="507"/>
      <c r="U319" s="507"/>
      <c r="V319" s="507"/>
      <c r="W319" s="507"/>
      <c r="X319" s="507"/>
      <c r="Y319" s="507"/>
      <c r="Z319" s="507"/>
    </row>
    <row r="320" ht="35.25" customHeight="1">
      <c r="A320" s="507"/>
      <c r="B320" s="507"/>
      <c r="C320" s="507"/>
      <c r="D320" s="508"/>
      <c r="E320" s="507"/>
      <c r="F320" s="507"/>
      <c r="G320" s="507"/>
      <c r="H320" s="507"/>
      <c r="I320" s="507"/>
      <c r="J320" s="507"/>
      <c r="K320" s="507"/>
      <c r="L320" s="507"/>
      <c r="M320" s="507"/>
      <c r="N320" s="507"/>
      <c r="O320" s="507"/>
      <c r="P320" s="507"/>
      <c r="Q320" s="507"/>
      <c r="R320" s="507"/>
      <c r="S320" s="507"/>
      <c r="T320" s="507"/>
      <c r="U320" s="507"/>
      <c r="V320" s="507"/>
      <c r="W320" s="507"/>
      <c r="X320" s="507"/>
      <c r="Y320" s="507"/>
      <c r="Z320" s="507"/>
    </row>
    <row r="321" ht="35.25" customHeight="1">
      <c r="A321" s="507"/>
      <c r="B321" s="507"/>
      <c r="C321" s="507"/>
      <c r="D321" s="508"/>
      <c r="E321" s="507"/>
      <c r="F321" s="507"/>
      <c r="G321" s="507"/>
      <c r="H321" s="507"/>
      <c r="I321" s="507"/>
      <c r="J321" s="507"/>
      <c r="K321" s="507"/>
      <c r="L321" s="507"/>
      <c r="M321" s="507"/>
      <c r="N321" s="507"/>
      <c r="O321" s="507"/>
      <c r="P321" s="507"/>
      <c r="Q321" s="507"/>
      <c r="R321" s="507"/>
      <c r="S321" s="507"/>
      <c r="T321" s="507"/>
      <c r="U321" s="507"/>
      <c r="V321" s="507"/>
      <c r="W321" s="507"/>
      <c r="X321" s="507"/>
      <c r="Y321" s="507"/>
      <c r="Z321" s="507"/>
    </row>
    <row r="322" ht="35.25" customHeight="1">
      <c r="A322" s="507"/>
      <c r="B322" s="507"/>
      <c r="C322" s="507"/>
      <c r="D322" s="508"/>
      <c r="E322" s="507"/>
      <c r="F322" s="507"/>
      <c r="G322" s="507"/>
      <c r="H322" s="507"/>
      <c r="I322" s="507"/>
      <c r="J322" s="507"/>
      <c r="K322" s="507"/>
      <c r="L322" s="507"/>
      <c r="M322" s="507"/>
      <c r="N322" s="507"/>
      <c r="O322" s="507"/>
      <c r="P322" s="507"/>
      <c r="Q322" s="507"/>
      <c r="R322" s="507"/>
      <c r="S322" s="507"/>
      <c r="T322" s="507"/>
      <c r="U322" s="507"/>
      <c r="V322" s="507"/>
      <c r="W322" s="507"/>
      <c r="X322" s="507"/>
      <c r="Y322" s="507"/>
      <c r="Z322" s="507"/>
    </row>
    <row r="323" ht="35.25" customHeight="1">
      <c r="A323" s="507"/>
      <c r="B323" s="507"/>
      <c r="C323" s="507"/>
      <c r="D323" s="508"/>
      <c r="E323" s="507"/>
      <c r="F323" s="507"/>
      <c r="G323" s="507"/>
      <c r="H323" s="507"/>
      <c r="I323" s="507"/>
      <c r="J323" s="507"/>
      <c r="K323" s="507"/>
      <c r="L323" s="507"/>
      <c r="M323" s="507"/>
      <c r="N323" s="507"/>
      <c r="O323" s="507"/>
      <c r="P323" s="507"/>
      <c r="Q323" s="507"/>
      <c r="R323" s="507"/>
      <c r="S323" s="507"/>
      <c r="T323" s="507"/>
      <c r="U323" s="507"/>
      <c r="V323" s="507"/>
      <c r="W323" s="507"/>
      <c r="X323" s="507"/>
      <c r="Y323" s="507"/>
      <c r="Z323" s="507"/>
    </row>
    <row r="324" ht="35.25" customHeight="1">
      <c r="A324" s="507"/>
      <c r="B324" s="507"/>
      <c r="C324" s="507"/>
      <c r="D324" s="508"/>
      <c r="E324" s="507"/>
      <c r="F324" s="507"/>
      <c r="G324" s="507"/>
      <c r="H324" s="507"/>
      <c r="I324" s="507"/>
      <c r="J324" s="507"/>
      <c r="K324" s="507"/>
      <c r="L324" s="507"/>
      <c r="M324" s="507"/>
      <c r="N324" s="507"/>
      <c r="O324" s="507"/>
      <c r="P324" s="507"/>
      <c r="Q324" s="507"/>
      <c r="R324" s="507"/>
      <c r="S324" s="507"/>
      <c r="T324" s="507"/>
      <c r="U324" s="507"/>
      <c r="V324" s="507"/>
      <c r="W324" s="507"/>
      <c r="X324" s="507"/>
      <c r="Y324" s="507"/>
      <c r="Z324" s="507"/>
    </row>
    <row r="325" ht="35.25" customHeight="1">
      <c r="A325" s="507"/>
      <c r="B325" s="507"/>
      <c r="C325" s="507"/>
      <c r="D325" s="508"/>
      <c r="E325" s="507"/>
      <c r="F325" s="507"/>
      <c r="G325" s="507"/>
      <c r="H325" s="507"/>
      <c r="I325" s="507"/>
      <c r="J325" s="507"/>
      <c r="K325" s="507"/>
      <c r="L325" s="507"/>
      <c r="M325" s="507"/>
      <c r="N325" s="507"/>
      <c r="O325" s="507"/>
      <c r="P325" s="507"/>
      <c r="Q325" s="507"/>
      <c r="R325" s="507"/>
      <c r="S325" s="507"/>
      <c r="T325" s="507"/>
      <c r="U325" s="507"/>
      <c r="V325" s="507"/>
      <c r="W325" s="507"/>
      <c r="X325" s="507"/>
      <c r="Y325" s="507"/>
      <c r="Z325" s="507"/>
    </row>
    <row r="326" ht="35.25" customHeight="1">
      <c r="A326" s="507"/>
      <c r="B326" s="507"/>
      <c r="C326" s="507"/>
      <c r="D326" s="508"/>
      <c r="E326" s="507"/>
      <c r="F326" s="507"/>
      <c r="G326" s="507"/>
      <c r="H326" s="507"/>
      <c r="I326" s="507"/>
      <c r="J326" s="507"/>
      <c r="K326" s="507"/>
      <c r="L326" s="507"/>
      <c r="M326" s="507"/>
      <c r="N326" s="507"/>
      <c r="O326" s="507"/>
      <c r="P326" s="507"/>
      <c r="Q326" s="507"/>
      <c r="R326" s="507"/>
      <c r="S326" s="507"/>
      <c r="T326" s="507"/>
      <c r="U326" s="507"/>
      <c r="V326" s="507"/>
      <c r="W326" s="507"/>
      <c r="X326" s="507"/>
      <c r="Y326" s="507"/>
      <c r="Z326" s="507"/>
    </row>
    <row r="327" ht="35.25" customHeight="1">
      <c r="A327" s="507"/>
      <c r="B327" s="507"/>
      <c r="C327" s="507"/>
      <c r="D327" s="508"/>
      <c r="E327" s="507"/>
      <c r="F327" s="507"/>
      <c r="G327" s="507"/>
      <c r="H327" s="507"/>
      <c r="I327" s="507"/>
      <c r="J327" s="507"/>
      <c r="K327" s="507"/>
      <c r="L327" s="507"/>
      <c r="M327" s="507"/>
      <c r="N327" s="507"/>
      <c r="O327" s="507"/>
      <c r="P327" s="507"/>
      <c r="Q327" s="507"/>
      <c r="R327" s="507"/>
      <c r="S327" s="507"/>
      <c r="T327" s="507"/>
      <c r="U327" s="507"/>
      <c r="V327" s="507"/>
      <c r="W327" s="507"/>
      <c r="X327" s="507"/>
      <c r="Y327" s="507"/>
      <c r="Z327" s="507"/>
    </row>
    <row r="328" ht="35.25" customHeight="1">
      <c r="A328" s="507"/>
      <c r="B328" s="507"/>
      <c r="C328" s="507"/>
      <c r="D328" s="508"/>
      <c r="E328" s="507"/>
      <c r="F328" s="507"/>
      <c r="G328" s="507"/>
      <c r="H328" s="507"/>
      <c r="I328" s="507"/>
      <c r="J328" s="507"/>
      <c r="K328" s="507"/>
      <c r="L328" s="507"/>
      <c r="M328" s="507"/>
      <c r="N328" s="507"/>
      <c r="O328" s="507"/>
      <c r="P328" s="507"/>
      <c r="Q328" s="507"/>
      <c r="R328" s="507"/>
      <c r="S328" s="507"/>
      <c r="T328" s="507"/>
      <c r="U328" s="507"/>
      <c r="V328" s="507"/>
      <c r="W328" s="507"/>
      <c r="X328" s="507"/>
      <c r="Y328" s="507"/>
      <c r="Z328" s="507"/>
    </row>
    <row r="329" ht="35.25" customHeight="1">
      <c r="A329" s="507"/>
      <c r="B329" s="507"/>
      <c r="C329" s="507"/>
      <c r="D329" s="508"/>
      <c r="E329" s="507"/>
      <c r="F329" s="507"/>
      <c r="G329" s="507"/>
      <c r="H329" s="507"/>
      <c r="I329" s="507"/>
      <c r="J329" s="507"/>
      <c r="K329" s="507"/>
      <c r="L329" s="507"/>
      <c r="M329" s="507"/>
      <c r="N329" s="507"/>
      <c r="O329" s="507"/>
      <c r="P329" s="507"/>
      <c r="Q329" s="507"/>
      <c r="R329" s="507"/>
      <c r="S329" s="507"/>
      <c r="T329" s="507"/>
      <c r="U329" s="507"/>
      <c r="V329" s="507"/>
      <c r="W329" s="507"/>
      <c r="X329" s="507"/>
      <c r="Y329" s="507"/>
      <c r="Z329" s="507"/>
    </row>
    <row r="330" ht="35.25" customHeight="1">
      <c r="A330" s="507"/>
      <c r="B330" s="507"/>
      <c r="C330" s="507"/>
      <c r="D330" s="508"/>
      <c r="E330" s="507"/>
      <c r="F330" s="507"/>
      <c r="G330" s="507"/>
      <c r="H330" s="507"/>
      <c r="I330" s="507"/>
      <c r="J330" s="507"/>
      <c r="K330" s="507"/>
      <c r="L330" s="507"/>
      <c r="M330" s="507"/>
      <c r="N330" s="507"/>
      <c r="O330" s="507"/>
      <c r="P330" s="507"/>
      <c r="Q330" s="507"/>
      <c r="R330" s="507"/>
      <c r="S330" s="507"/>
      <c r="T330" s="507"/>
      <c r="U330" s="507"/>
      <c r="V330" s="507"/>
      <c r="W330" s="507"/>
      <c r="X330" s="507"/>
      <c r="Y330" s="507"/>
      <c r="Z330" s="507"/>
    </row>
    <row r="331" ht="35.25" customHeight="1">
      <c r="A331" s="507"/>
      <c r="B331" s="507"/>
      <c r="C331" s="507"/>
      <c r="D331" s="508"/>
      <c r="E331" s="507"/>
      <c r="F331" s="507"/>
      <c r="G331" s="507"/>
      <c r="H331" s="507"/>
      <c r="I331" s="507"/>
      <c r="J331" s="507"/>
      <c r="K331" s="507"/>
      <c r="L331" s="507"/>
      <c r="M331" s="507"/>
      <c r="N331" s="507"/>
      <c r="O331" s="507"/>
      <c r="P331" s="507"/>
      <c r="Q331" s="507"/>
      <c r="R331" s="507"/>
      <c r="S331" s="507"/>
      <c r="T331" s="507"/>
      <c r="U331" s="507"/>
      <c r="V331" s="507"/>
      <c r="W331" s="507"/>
      <c r="X331" s="507"/>
      <c r="Y331" s="507"/>
      <c r="Z331" s="507"/>
    </row>
    <row r="332" ht="35.25" customHeight="1">
      <c r="A332" s="507"/>
      <c r="B332" s="507"/>
      <c r="C332" s="507"/>
      <c r="D332" s="508"/>
      <c r="E332" s="507"/>
      <c r="F332" s="507"/>
      <c r="G332" s="507"/>
      <c r="H332" s="507"/>
      <c r="I332" s="507"/>
      <c r="J332" s="507"/>
      <c r="K332" s="507"/>
      <c r="L332" s="507"/>
      <c r="M332" s="507"/>
      <c r="N332" s="507"/>
      <c r="O332" s="507"/>
      <c r="P332" s="507"/>
      <c r="Q332" s="507"/>
      <c r="R332" s="507"/>
      <c r="S332" s="507"/>
      <c r="T332" s="507"/>
      <c r="U332" s="507"/>
      <c r="V332" s="507"/>
      <c r="W332" s="507"/>
      <c r="X332" s="507"/>
      <c r="Y332" s="507"/>
      <c r="Z332" s="507"/>
    </row>
    <row r="333" ht="35.25" customHeight="1">
      <c r="A333" s="507"/>
      <c r="B333" s="507"/>
      <c r="C333" s="507"/>
      <c r="D333" s="508"/>
      <c r="E333" s="507"/>
      <c r="F333" s="507"/>
      <c r="G333" s="507"/>
      <c r="H333" s="507"/>
      <c r="I333" s="507"/>
      <c r="J333" s="507"/>
      <c r="K333" s="507"/>
      <c r="L333" s="507"/>
      <c r="M333" s="507"/>
      <c r="N333" s="507"/>
      <c r="O333" s="507"/>
      <c r="P333" s="507"/>
      <c r="Q333" s="507"/>
      <c r="R333" s="507"/>
      <c r="S333" s="507"/>
      <c r="T333" s="507"/>
      <c r="U333" s="507"/>
      <c r="V333" s="507"/>
      <c r="W333" s="507"/>
      <c r="X333" s="507"/>
      <c r="Y333" s="507"/>
      <c r="Z333" s="507"/>
    </row>
    <row r="334" ht="35.25" customHeight="1">
      <c r="A334" s="507"/>
      <c r="B334" s="507"/>
      <c r="C334" s="507"/>
      <c r="D334" s="508"/>
      <c r="E334" s="507"/>
      <c r="F334" s="507"/>
      <c r="G334" s="507"/>
      <c r="H334" s="507"/>
      <c r="I334" s="507"/>
      <c r="J334" s="507"/>
      <c r="K334" s="507"/>
      <c r="L334" s="507"/>
      <c r="M334" s="507"/>
      <c r="N334" s="507"/>
      <c r="O334" s="507"/>
      <c r="P334" s="507"/>
      <c r="Q334" s="507"/>
      <c r="R334" s="507"/>
      <c r="S334" s="507"/>
      <c r="T334" s="507"/>
      <c r="U334" s="507"/>
      <c r="V334" s="507"/>
      <c r="W334" s="507"/>
      <c r="X334" s="507"/>
      <c r="Y334" s="507"/>
      <c r="Z334" s="507"/>
    </row>
    <row r="335" ht="35.25" customHeight="1">
      <c r="A335" s="507"/>
      <c r="B335" s="507"/>
      <c r="C335" s="507"/>
      <c r="D335" s="508"/>
      <c r="E335" s="507"/>
      <c r="F335" s="507"/>
      <c r="G335" s="507"/>
      <c r="H335" s="507"/>
      <c r="I335" s="507"/>
      <c r="J335" s="507"/>
      <c r="K335" s="507"/>
      <c r="L335" s="507"/>
      <c r="M335" s="507"/>
      <c r="N335" s="507"/>
      <c r="O335" s="507"/>
      <c r="P335" s="507"/>
      <c r="Q335" s="507"/>
      <c r="R335" s="507"/>
      <c r="S335" s="507"/>
      <c r="T335" s="507"/>
      <c r="U335" s="507"/>
      <c r="V335" s="507"/>
      <c r="W335" s="507"/>
      <c r="X335" s="507"/>
      <c r="Y335" s="507"/>
      <c r="Z335" s="507"/>
    </row>
    <row r="336" ht="35.25" customHeight="1">
      <c r="A336" s="507"/>
      <c r="B336" s="507"/>
      <c r="C336" s="507"/>
      <c r="D336" s="508"/>
      <c r="E336" s="507"/>
      <c r="F336" s="507"/>
      <c r="G336" s="507"/>
      <c r="H336" s="507"/>
      <c r="I336" s="507"/>
      <c r="J336" s="507"/>
      <c r="K336" s="507"/>
      <c r="L336" s="507"/>
      <c r="M336" s="507"/>
      <c r="N336" s="507"/>
      <c r="O336" s="507"/>
      <c r="P336" s="507"/>
      <c r="Q336" s="507"/>
      <c r="R336" s="507"/>
      <c r="S336" s="507"/>
      <c r="T336" s="507"/>
      <c r="U336" s="507"/>
      <c r="V336" s="507"/>
      <c r="W336" s="507"/>
      <c r="X336" s="507"/>
      <c r="Y336" s="507"/>
      <c r="Z336" s="507"/>
    </row>
    <row r="337" ht="35.25" customHeight="1">
      <c r="A337" s="507"/>
      <c r="B337" s="507"/>
      <c r="C337" s="507"/>
      <c r="D337" s="508"/>
      <c r="E337" s="507"/>
      <c r="F337" s="507"/>
      <c r="G337" s="507"/>
      <c r="H337" s="507"/>
      <c r="I337" s="507"/>
      <c r="J337" s="507"/>
      <c r="K337" s="507"/>
      <c r="L337" s="507"/>
      <c r="M337" s="507"/>
      <c r="N337" s="507"/>
      <c r="O337" s="507"/>
      <c r="P337" s="507"/>
      <c r="Q337" s="507"/>
      <c r="R337" s="507"/>
      <c r="S337" s="507"/>
      <c r="T337" s="507"/>
      <c r="U337" s="507"/>
      <c r="V337" s="507"/>
      <c r="W337" s="507"/>
      <c r="X337" s="507"/>
      <c r="Y337" s="507"/>
      <c r="Z337" s="507"/>
    </row>
    <row r="338" ht="35.25" customHeight="1">
      <c r="A338" s="507"/>
      <c r="B338" s="507"/>
      <c r="C338" s="507"/>
      <c r="D338" s="508"/>
      <c r="E338" s="507"/>
      <c r="F338" s="507"/>
      <c r="G338" s="507"/>
      <c r="H338" s="507"/>
      <c r="I338" s="507"/>
      <c r="J338" s="507"/>
      <c r="K338" s="507"/>
      <c r="L338" s="507"/>
      <c r="M338" s="507"/>
      <c r="N338" s="507"/>
      <c r="O338" s="507"/>
      <c r="P338" s="507"/>
      <c r="Q338" s="507"/>
      <c r="R338" s="507"/>
      <c r="S338" s="507"/>
      <c r="T338" s="507"/>
      <c r="U338" s="507"/>
      <c r="V338" s="507"/>
      <c r="W338" s="507"/>
      <c r="X338" s="507"/>
      <c r="Y338" s="507"/>
      <c r="Z338" s="507"/>
    </row>
    <row r="339" ht="35.25" customHeight="1">
      <c r="A339" s="507"/>
      <c r="B339" s="507"/>
      <c r="C339" s="507"/>
      <c r="D339" s="508"/>
      <c r="E339" s="507"/>
      <c r="F339" s="507"/>
      <c r="G339" s="507"/>
      <c r="H339" s="507"/>
      <c r="I339" s="507"/>
      <c r="J339" s="507"/>
      <c r="K339" s="507"/>
      <c r="L339" s="507"/>
      <c r="M339" s="507"/>
      <c r="N339" s="507"/>
      <c r="O339" s="507"/>
      <c r="P339" s="507"/>
      <c r="Q339" s="507"/>
      <c r="R339" s="507"/>
      <c r="S339" s="507"/>
      <c r="T339" s="507"/>
      <c r="U339" s="507"/>
      <c r="V339" s="507"/>
      <c r="W339" s="507"/>
      <c r="X339" s="507"/>
      <c r="Y339" s="507"/>
      <c r="Z339" s="507"/>
    </row>
    <row r="340" ht="35.25" customHeight="1">
      <c r="A340" s="507"/>
      <c r="B340" s="507"/>
      <c r="C340" s="507"/>
      <c r="D340" s="508"/>
      <c r="E340" s="507"/>
      <c r="F340" s="507"/>
      <c r="G340" s="507"/>
      <c r="H340" s="507"/>
      <c r="I340" s="507"/>
      <c r="J340" s="507"/>
      <c r="K340" s="507"/>
      <c r="L340" s="507"/>
      <c r="M340" s="507"/>
      <c r="N340" s="507"/>
      <c r="O340" s="507"/>
      <c r="P340" s="507"/>
      <c r="Q340" s="507"/>
      <c r="R340" s="507"/>
      <c r="S340" s="507"/>
      <c r="T340" s="507"/>
      <c r="U340" s="507"/>
      <c r="V340" s="507"/>
      <c r="W340" s="507"/>
      <c r="X340" s="507"/>
      <c r="Y340" s="507"/>
      <c r="Z340" s="507"/>
    </row>
    <row r="341" ht="35.25" customHeight="1">
      <c r="A341" s="507"/>
      <c r="B341" s="507"/>
      <c r="C341" s="507"/>
      <c r="D341" s="508"/>
      <c r="E341" s="507"/>
      <c r="F341" s="507"/>
      <c r="G341" s="507"/>
      <c r="H341" s="507"/>
      <c r="I341" s="507"/>
      <c r="J341" s="507"/>
      <c r="K341" s="507"/>
      <c r="L341" s="507"/>
      <c r="M341" s="507"/>
      <c r="N341" s="507"/>
      <c r="O341" s="507"/>
      <c r="P341" s="507"/>
      <c r="Q341" s="507"/>
      <c r="R341" s="507"/>
      <c r="S341" s="507"/>
      <c r="T341" s="507"/>
      <c r="U341" s="507"/>
      <c r="V341" s="507"/>
      <c r="W341" s="507"/>
      <c r="X341" s="507"/>
      <c r="Y341" s="507"/>
      <c r="Z341" s="507"/>
    </row>
    <row r="342" ht="35.25" customHeight="1">
      <c r="A342" s="507"/>
      <c r="B342" s="507"/>
      <c r="C342" s="507"/>
      <c r="D342" s="508"/>
      <c r="E342" s="507"/>
      <c r="F342" s="507"/>
      <c r="G342" s="507"/>
      <c r="H342" s="507"/>
      <c r="I342" s="507"/>
      <c r="J342" s="507"/>
      <c r="K342" s="507"/>
      <c r="L342" s="507"/>
      <c r="M342" s="507"/>
      <c r="N342" s="507"/>
      <c r="O342" s="507"/>
      <c r="P342" s="507"/>
      <c r="Q342" s="507"/>
      <c r="R342" s="507"/>
      <c r="S342" s="507"/>
      <c r="T342" s="507"/>
      <c r="U342" s="507"/>
      <c r="V342" s="507"/>
      <c r="W342" s="507"/>
      <c r="X342" s="507"/>
      <c r="Y342" s="507"/>
      <c r="Z342" s="507"/>
    </row>
    <row r="343" ht="35.25" customHeight="1">
      <c r="A343" s="507"/>
      <c r="B343" s="507"/>
      <c r="C343" s="507"/>
      <c r="D343" s="508"/>
      <c r="E343" s="507"/>
      <c r="F343" s="507"/>
      <c r="G343" s="507"/>
      <c r="H343" s="507"/>
      <c r="I343" s="507"/>
      <c r="J343" s="507"/>
      <c r="K343" s="507"/>
      <c r="L343" s="507"/>
      <c r="M343" s="507"/>
      <c r="N343" s="507"/>
      <c r="O343" s="507"/>
      <c r="P343" s="507"/>
      <c r="Q343" s="507"/>
      <c r="R343" s="507"/>
      <c r="S343" s="507"/>
      <c r="T343" s="507"/>
      <c r="U343" s="507"/>
      <c r="V343" s="507"/>
      <c r="W343" s="507"/>
      <c r="X343" s="507"/>
      <c r="Y343" s="507"/>
      <c r="Z343" s="507"/>
    </row>
    <row r="344" ht="35.25" customHeight="1">
      <c r="A344" s="507"/>
      <c r="B344" s="507"/>
      <c r="C344" s="507"/>
      <c r="D344" s="508"/>
      <c r="E344" s="507"/>
      <c r="F344" s="507"/>
      <c r="G344" s="507"/>
      <c r="H344" s="507"/>
      <c r="I344" s="507"/>
      <c r="J344" s="507"/>
      <c r="K344" s="507"/>
      <c r="L344" s="507"/>
      <c r="M344" s="507"/>
      <c r="N344" s="507"/>
      <c r="O344" s="507"/>
      <c r="P344" s="507"/>
      <c r="Q344" s="507"/>
      <c r="R344" s="507"/>
      <c r="S344" s="507"/>
      <c r="T344" s="507"/>
      <c r="U344" s="507"/>
      <c r="V344" s="507"/>
      <c r="W344" s="507"/>
      <c r="X344" s="507"/>
      <c r="Y344" s="507"/>
      <c r="Z344" s="507"/>
    </row>
    <row r="345" ht="35.25" customHeight="1">
      <c r="A345" s="507"/>
      <c r="B345" s="507"/>
      <c r="C345" s="507"/>
      <c r="D345" s="508"/>
      <c r="E345" s="507"/>
      <c r="F345" s="507"/>
      <c r="G345" s="507"/>
      <c r="H345" s="507"/>
      <c r="I345" s="507"/>
      <c r="J345" s="507"/>
      <c r="K345" s="507"/>
      <c r="L345" s="507"/>
      <c r="M345" s="507"/>
      <c r="N345" s="507"/>
      <c r="O345" s="507"/>
      <c r="P345" s="507"/>
      <c r="Q345" s="507"/>
      <c r="R345" s="507"/>
      <c r="S345" s="507"/>
      <c r="T345" s="507"/>
      <c r="U345" s="507"/>
      <c r="V345" s="507"/>
      <c r="W345" s="507"/>
      <c r="X345" s="507"/>
      <c r="Y345" s="507"/>
      <c r="Z345" s="507"/>
    </row>
    <row r="346" ht="35.25" customHeight="1">
      <c r="A346" s="507"/>
      <c r="B346" s="507"/>
      <c r="C346" s="507"/>
      <c r="D346" s="508"/>
      <c r="E346" s="507"/>
      <c r="F346" s="507"/>
      <c r="G346" s="507"/>
      <c r="H346" s="507"/>
      <c r="I346" s="507"/>
      <c r="J346" s="507"/>
      <c r="K346" s="507"/>
      <c r="L346" s="507"/>
      <c r="M346" s="507"/>
      <c r="N346" s="507"/>
      <c r="O346" s="507"/>
      <c r="P346" s="507"/>
      <c r="Q346" s="507"/>
      <c r="R346" s="507"/>
      <c r="S346" s="507"/>
      <c r="T346" s="507"/>
      <c r="U346" s="507"/>
      <c r="V346" s="507"/>
      <c r="W346" s="507"/>
      <c r="X346" s="507"/>
      <c r="Y346" s="507"/>
      <c r="Z346" s="507"/>
    </row>
    <row r="347" ht="35.25" customHeight="1">
      <c r="A347" s="507"/>
      <c r="B347" s="507"/>
      <c r="C347" s="507"/>
      <c r="D347" s="508"/>
      <c r="E347" s="507"/>
      <c r="F347" s="507"/>
      <c r="G347" s="507"/>
      <c r="H347" s="507"/>
      <c r="I347" s="507"/>
      <c r="J347" s="507"/>
      <c r="K347" s="507"/>
      <c r="L347" s="507"/>
      <c r="M347" s="507"/>
      <c r="N347" s="507"/>
      <c r="O347" s="507"/>
      <c r="P347" s="507"/>
      <c r="Q347" s="507"/>
      <c r="R347" s="507"/>
      <c r="S347" s="507"/>
      <c r="T347" s="507"/>
      <c r="U347" s="507"/>
      <c r="V347" s="507"/>
      <c r="W347" s="507"/>
      <c r="X347" s="507"/>
      <c r="Y347" s="507"/>
      <c r="Z347" s="507"/>
    </row>
    <row r="348" ht="35.25" customHeight="1">
      <c r="A348" s="507"/>
      <c r="B348" s="507"/>
      <c r="C348" s="507"/>
      <c r="D348" s="508"/>
      <c r="E348" s="507"/>
      <c r="F348" s="507"/>
      <c r="G348" s="507"/>
      <c r="H348" s="507"/>
      <c r="I348" s="507"/>
      <c r="J348" s="507"/>
      <c r="K348" s="507"/>
      <c r="L348" s="507"/>
      <c r="M348" s="507"/>
      <c r="N348" s="507"/>
      <c r="O348" s="507"/>
      <c r="P348" s="507"/>
      <c r="Q348" s="507"/>
      <c r="R348" s="507"/>
      <c r="S348" s="507"/>
      <c r="T348" s="507"/>
      <c r="U348" s="507"/>
      <c r="V348" s="507"/>
      <c r="W348" s="507"/>
      <c r="X348" s="507"/>
      <c r="Y348" s="507"/>
      <c r="Z348" s="507"/>
    </row>
    <row r="349" ht="35.25" customHeight="1">
      <c r="A349" s="507"/>
      <c r="B349" s="507"/>
      <c r="C349" s="507"/>
      <c r="D349" s="508"/>
      <c r="E349" s="507"/>
      <c r="F349" s="507"/>
      <c r="G349" s="507"/>
      <c r="H349" s="507"/>
      <c r="I349" s="507"/>
      <c r="J349" s="507"/>
      <c r="K349" s="507"/>
      <c r="L349" s="507"/>
      <c r="M349" s="507"/>
      <c r="N349" s="507"/>
      <c r="O349" s="507"/>
      <c r="P349" s="507"/>
      <c r="Q349" s="507"/>
      <c r="R349" s="507"/>
      <c r="S349" s="507"/>
      <c r="T349" s="507"/>
      <c r="U349" s="507"/>
      <c r="V349" s="507"/>
      <c r="W349" s="507"/>
      <c r="X349" s="507"/>
      <c r="Y349" s="507"/>
      <c r="Z349" s="507"/>
    </row>
    <row r="350" ht="35.25" customHeight="1">
      <c r="A350" s="507"/>
      <c r="B350" s="507"/>
      <c r="C350" s="507"/>
      <c r="D350" s="508"/>
      <c r="E350" s="507"/>
      <c r="F350" s="507"/>
      <c r="G350" s="507"/>
      <c r="H350" s="507"/>
      <c r="I350" s="507"/>
      <c r="J350" s="507"/>
      <c r="K350" s="507"/>
      <c r="L350" s="507"/>
      <c r="M350" s="507"/>
      <c r="N350" s="507"/>
      <c r="O350" s="507"/>
      <c r="P350" s="507"/>
      <c r="Q350" s="507"/>
      <c r="R350" s="507"/>
      <c r="S350" s="507"/>
      <c r="T350" s="507"/>
      <c r="U350" s="507"/>
      <c r="V350" s="507"/>
      <c r="W350" s="507"/>
      <c r="X350" s="507"/>
      <c r="Y350" s="507"/>
      <c r="Z350" s="507"/>
    </row>
    <row r="351" ht="35.25" customHeight="1">
      <c r="A351" s="507"/>
      <c r="B351" s="507"/>
      <c r="C351" s="507"/>
      <c r="D351" s="508"/>
      <c r="E351" s="507"/>
      <c r="F351" s="507"/>
      <c r="G351" s="507"/>
      <c r="H351" s="507"/>
      <c r="I351" s="507"/>
      <c r="J351" s="507"/>
      <c r="K351" s="507"/>
      <c r="L351" s="507"/>
      <c r="M351" s="507"/>
      <c r="N351" s="507"/>
      <c r="O351" s="507"/>
      <c r="P351" s="507"/>
      <c r="Q351" s="507"/>
      <c r="R351" s="507"/>
      <c r="S351" s="507"/>
      <c r="T351" s="507"/>
      <c r="U351" s="507"/>
      <c r="V351" s="507"/>
      <c r="W351" s="507"/>
      <c r="X351" s="507"/>
      <c r="Y351" s="507"/>
      <c r="Z351" s="507"/>
    </row>
    <row r="352" ht="35.25" customHeight="1">
      <c r="A352" s="507"/>
      <c r="B352" s="507"/>
      <c r="C352" s="507"/>
      <c r="D352" s="508"/>
      <c r="E352" s="507"/>
      <c r="F352" s="507"/>
      <c r="G352" s="507"/>
      <c r="H352" s="507"/>
      <c r="I352" s="507"/>
      <c r="J352" s="507"/>
      <c r="K352" s="507"/>
      <c r="L352" s="507"/>
      <c r="M352" s="507"/>
      <c r="N352" s="507"/>
      <c r="O352" s="507"/>
      <c r="P352" s="507"/>
      <c r="Q352" s="507"/>
      <c r="R352" s="507"/>
      <c r="S352" s="507"/>
      <c r="T352" s="507"/>
      <c r="U352" s="507"/>
      <c r="V352" s="507"/>
      <c r="W352" s="507"/>
      <c r="X352" s="507"/>
      <c r="Y352" s="507"/>
      <c r="Z352" s="507"/>
    </row>
    <row r="353" ht="35.25" customHeight="1">
      <c r="A353" s="507"/>
      <c r="B353" s="507"/>
      <c r="C353" s="507"/>
      <c r="D353" s="508"/>
      <c r="E353" s="507"/>
      <c r="F353" s="507"/>
      <c r="G353" s="507"/>
      <c r="H353" s="507"/>
      <c r="I353" s="507"/>
      <c r="J353" s="507"/>
      <c r="K353" s="507"/>
      <c r="L353" s="507"/>
      <c r="M353" s="507"/>
      <c r="N353" s="507"/>
      <c r="O353" s="507"/>
      <c r="P353" s="507"/>
      <c r="Q353" s="507"/>
      <c r="R353" s="507"/>
      <c r="S353" s="507"/>
      <c r="T353" s="507"/>
      <c r="U353" s="507"/>
      <c r="V353" s="507"/>
      <c r="W353" s="507"/>
      <c r="X353" s="507"/>
      <c r="Y353" s="507"/>
      <c r="Z353" s="507"/>
    </row>
    <row r="354" ht="35.25" customHeight="1">
      <c r="A354" s="507"/>
      <c r="B354" s="507"/>
      <c r="C354" s="507"/>
      <c r="D354" s="508"/>
      <c r="E354" s="507"/>
      <c r="F354" s="507"/>
      <c r="G354" s="507"/>
      <c r="H354" s="507"/>
      <c r="I354" s="507"/>
      <c r="J354" s="507"/>
      <c r="K354" s="507"/>
      <c r="L354" s="507"/>
      <c r="M354" s="507"/>
      <c r="N354" s="507"/>
      <c r="O354" s="507"/>
      <c r="P354" s="507"/>
      <c r="Q354" s="507"/>
      <c r="R354" s="507"/>
      <c r="S354" s="507"/>
      <c r="T354" s="507"/>
      <c r="U354" s="507"/>
      <c r="V354" s="507"/>
      <c r="W354" s="507"/>
      <c r="X354" s="507"/>
      <c r="Y354" s="507"/>
      <c r="Z354" s="507"/>
    </row>
    <row r="355" ht="35.25" customHeight="1">
      <c r="A355" s="507"/>
      <c r="B355" s="507"/>
      <c r="C355" s="507"/>
      <c r="D355" s="508"/>
      <c r="E355" s="507"/>
      <c r="F355" s="507"/>
      <c r="G355" s="507"/>
      <c r="H355" s="507"/>
      <c r="I355" s="507"/>
      <c r="J355" s="507"/>
      <c r="K355" s="507"/>
      <c r="L355" s="507"/>
      <c r="M355" s="507"/>
      <c r="N355" s="507"/>
      <c r="O355" s="507"/>
      <c r="P355" s="507"/>
      <c r="Q355" s="507"/>
      <c r="R355" s="507"/>
      <c r="S355" s="507"/>
      <c r="T355" s="507"/>
      <c r="U355" s="507"/>
      <c r="V355" s="507"/>
      <c r="W355" s="507"/>
      <c r="X355" s="507"/>
      <c r="Y355" s="507"/>
      <c r="Z355" s="507"/>
    </row>
    <row r="356" ht="35.25" customHeight="1">
      <c r="A356" s="507"/>
      <c r="B356" s="507"/>
      <c r="C356" s="507"/>
      <c r="D356" s="508"/>
      <c r="E356" s="507"/>
      <c r="F356" s="507"/>
      <c r="G356" s="507"/>
      <c r="H356" s="507"/>
      <c r="I356" s="507"/>
      <c r="J356" s="507"/>
      <c r="K356" s="507"/>
      <c r="L356" s="507"/>
      <c r="M356" s="507"/>
      <c r="N356" s="507"/>
      <c r="O356" s="507"/>
      <c r="P356" s="507"/>
      <c r="Q356" s="507"/>
      <c r="R356" s="507"/>
      <c r="S356" s="507"/>
      <c r="T356" s="507"/>
      <c r="U356" s="507"/>
      <c r="V356" s="507"/>
      <c r="W356" s="507"/>
      <c r="X356" s="507"/>
      <c r="Y356" s="507"/>
      <c r="Z356" s="507"/>
    </row>
    <row r="357" ht="35.25" customHeight="1">
      <c r="A357" s="507"/>
      <c r="B357" s="507"/>
      <c r="C357" s="507"/>
      <c r="D357" s="508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07"/>
      <c r="W357" s="507"/>
      <c r="X357" s="507"/>
      <c r="Y357" s="507"/>
      <c r="Z357" s="507"/>
    </row>
    <row r="358" ht="35.25" customHeight="1">
      <c r="A358" s="507"/>
      <c r="B358" s="507"/>
      <c r="C358" s="507"/>
      <c r="D358" s="508"/>
      <c r="E358" s="507"/>
      <c r="F358" s="507"/>
      <c r="G358" s="507"/>
      <c r="H358" s="507"/>
      <c r="I358" s="507"/>
      <c r="J358" s="507"/>
      <c r="K358" s="507"/>
      <c r="L358" s="507"/>
      <c r="M358" s="507"/>
      <c r="N358" s="507"/>
      <c r="O358" s="507"/>
      <c r="P358" s="507"/>
      <c r="Q358" s="507"/>
      <c r="R358" s="507"/>
      <c r="S358" s="507"/>
      <c r="T358" s="507"/>
      <c r="U358" s="507"/>
      <c r="V358" s="507"/>
      <c r="W358" s="507"/>
      <c r="X358" s="507"/>
      <c r="Y358" s="507"/>
      <c r="Z358" s="507"/>
    </row>
    <row r="359" ht="35.25" customHeight="1">
      <c r="A359" s="507"/>
      <c r="B359" s="507"/>
      <c r="C359" s="507"/>
      <c r="D359" s="508"/>
      <c r="E359" s="507"/>
      <c r="F359" s="507"/>
      <c r="G359" s="507"/>
      <c r="H359" s="507"/>
      <c r="I359" s="507"/>
      <c r="J359" s="507"/>
      <c r="K359" s="507"/>
      <c r="L359" s="507"/>
      <c r="M359" s="507"/>
      <c r="N359" s="507"/>
      <c r="O359" s="507"/>
      <c r="P359" s="507"/>
      <c r="Q359" s="507"/>
      <c r="R359" s="507"/>
      <c r="S359" s="507"/>
      <c r="T359" s="507"/>
      <c r="U359" s="507"/>
      <c r="V359" s="507"/>
      <c r="W359" s="507"/>
      <c r="X359" s="507"/>
      <c r="Y359" s="507"/>
      <c r="Z359" s="507"/>
    </row>
    <row r="360" ht="35.25" customHeight="1">
      <c r="A360" s="507"/>
      <c r="B360" s="507"/>
      <c r="C360" s="507"/>
      <c r="D360" s="508"/>
      <c r="E360" s="507"/>
      <c r="F360" s="507"/>
      <c r="G360" s="507"/>
      <c r="H360" s="507"/>
      <c r="I360" s="507"/>
      <c r="J360" s="507"/>
      <c r="K360" s="507"/>
      <c r="L360" s="507"/>
      <c r="M360" s="507"/>
      <c r="N360" s="507"/>
      <c r="O360" s="507"/>
      <c r="P360" s="507"/>
      <c r="Q360" s="507"/>
      <c r="R360" s="507"/>
      <c r="S360" s="507"/>
      <c r="T360" s="507"/>
      <c r="U360" s="507"/>
      <c r="V360" s="507"/>
      <c r="W360" s="507"/>
      <c r="X360" s="507"/>
      <c r="Y360" s="507"/>
      <c r="Z360" s="507"/>
    </row>
    <row r="361" ht="35.25" customHeight="1">
      <c r="A361" s="507"/>
      <c r="B361" s="507"/>
      <c r="C361" s="507"/>
      <c r="D361" s="508"/>
      <c r="E361" s="507"/>
      <c r="F361" s="507"/>
      <c r="G361" s="507"/>
      <c r="H361" s="507"/>
      <c r="I361" s="507"/>
      <c r="J361" s="507"/>
      <c r="K361" s="507"/>
      <c r="L361" s="507"/>
      <c r="M361" s="507"/>
      <c r="N361" s="507"/>
      <c r="O361" s="507"/>
      <c r="P361" s="507"/>
      <c r="Q361" s="507"/>
      <c r="R361" s="507"/>
      <c r="S361" s="507"/>
      <c r="T361" s="507"/>
      <c r="U361" s="507"/>
      <c r="V361" s="507"/>
      <c r="W361" s="507"/>
      <c r="X361" s="507"/>
      <c r="Y361" s="507"/>
      <c r="Z361" s="507"/>
    </row>
    <row r="362" ht="35.25" customHeight="1">
      <c r="A362" s="507"/>
      <c r="B362" s="507"/>
      <c r="C362" s="507"/>
      <c r="D362" s="508"/>
      <c r="E362" s="507"/>
      <c r="F362" s="507"/>
      <c r="G362" s="507"/>
      <c r="H362" s="507"/>
      <c r="I362" s="507"/>
      <c r="J362" s="507"/>
      <c r="K362" s="507"/>
      <c r="L362" s="507"/>
      <c r="M362" s="507"/>
      <c r="N362" s="507"/>
      <c r="O362" s="507"/>
      <c r="P362" s="507"/>
      <c r="Q362" s="507"/>
      <c r="R362" s="507"/>
      <c r="S362" s="507"/>
      <c r="T362" s="507"/>
      <c r="U362" s="507"/>
      <c r="V362" s="507"/>
      <c r="W362" s="507"/>
      <c r="X362" s="507"/>
      <c r="Y362" s="507"/>
      <c r="Z362" s="507"/>
    </row>
    <row r="363" ht="35.25" customHeight="1">
      <c r="A363" s="507"/>
      <c r="B363" s="507"/>
      <c r="C363" s="507"/>
      <c r="D363" s="508"/>
      <c r="E363" s="507"/>
      <c r="F363" s="507"/>
      <c r="G363" s="507"/>
      <c r="H363" s="507"/>
      <c r="I363" s="507"/>
      <c r="J363" s="507"/>
      <c r="K363" s="507"/>
      <c r="L363" s="507"/>
      <c r="M363" s="507"/>
      <c r="N363" s="507"/>
      <c r="O363" s="507"/>
      <c r="P363" s="507"/>
      <c r="Q363" s="507"/>
      <c r="R363" s="507"/>
      <c r="S363" s="507"/>
      <c r="T363" s="507"/>
      <c r="U363" s="507"/>
      <c r="V363" s="507"/>
      <c r="W363" s="507"/>
      <c r="X363" s="507"/>
      <c r="Y363" s="507"/>
      <c r="Z363" s="507"/>
    </row>
    <row r="364" ht="35.25" customHeight="1">
      <c r="A364" s="507"/>
      <c r="B364" s="507"/>
      <c r="C364" s="507"/>
      <c r="D364" s="508"/>
      <c r="E364" s="507"/>
      <c r="F364" s="507"/>
      <c r="G364" s="507"/>
      <c r="H364" s="507"/>
      <c r="I364" s="507"/>
      <c r="J364" s="507"/>
      <c r="K364" s="507"/>
      <c r="L364" s="507"/>
      <c r="M364" s="507"/>
      <c r="N364" s="507"/>
      <c r="O364" s="507"/>
      <c r="P364" s="507"/>
      <c r="Q364" s="507"/>
      <c r="R364" s="507"/>
      <c r="S364" s="507"/>
      <c r="T364" s="507"/>
      <c r="U364" s="507"/>
      <c r="V364" s="507"/>
      <c r="W364" s="507"/>
      <c r="X364" s="507"/>
      <c r="Y364" s="507"/>
      <c r="Z364" s="507"/>
    </row>
    <row r="365" ht="35.25" customHeight="1">
      <c r="A365" s="507"/>
      <c r="B365" s="507"/>
      <c r="C365" s="507"/>
      <c r="D365" s="508"/>
      <c r="E365" s="507"/>
      <c r="F365" s="507"/>
      <c r="G365" s="507"/>
      <c r="H365" s="507"/>
      <c r="I365" s="507"/>
      <c r="J365" s="507"/>
      <c r="K365" s="507"/>
      <c r="L365" s="507"/>
      <c r="M365" s="507"/>
      <c r="N365" s="507"/>
      <c r="O365" s="507"/>
      <c r="P365" s="507"/>
      <c r="Q365" s="507"/>
      <c r="R365" s="507"/>
      <c r="S365" s="507"/>
      <c r="T365" s="507"/>
      <c r="U365" s="507"/>
      <c r="V365" s="507"/>
      <c r="W365" s="507"/>
      <c r="X365" s="507"/>
      <c r="Y365" s="507"/>
      <c r="Z365" s="507"/>
    </row>
    <row r="366" ht="35.25" customHeight="1">
      <c r="A366" s="507"/>
      <c r="B366" s="507"/>
      <c r="C366" s="507"/>
      <c r="D366" s="508"/>
      <c r="E366" s="507"/>
      <c r="F366" s="507"/>
      <c r="G366" s="507"/>
      <c r="H366" s="507"/>
      <c r="I366" s="507"/>
      <c r="J366" s="507"/>
      <c r="K366" s="507"/>
      <c r="L366" s="507"/>
      <c r="M366" s="507"/>
      <c r="N366" s="507"/>
      <c r="O366" s="507"/>
      <c r="P366" s="507"/>
      <c r="Q366" s="507"/>
      <c r="R366" s="507"/>
      <c r="S366" s="507"/>
      <c r="T366" s="507"/>
      <c r="U366" s="507"/>
      <c r="V366" s="507"/>
      <c r="W366" s="507"/>
      <c r="X366" s="507"/>
      <c r="Y366" s="507"/>
      <c r="Z366" s="507"/>
    </row>
    <row r="367" ht="35.25" customHeight="1">
      <c r="A367" s="507"/>
      <c r="B367" s="507"/>
      <c r="C367" s="507"/>
      <c r="D367" s="508"/>
      <c r="E367" s="507"/>
      <c r="F367" s="507"/>
      <c r="G367" s="507"/>
      <c r="H367" s="507"/>
      <c r="I367" s="507"/>
      <c r="J367" s="507"/>
      <c r="K367" s="507"/>
      <c r="L367" s="507"/>
      <c r="M367" s="507"/>
      <c r="N367" s="507"/>
      <c r="O367" s="507"/>
      <c r="P367" s="507"/>
      <c r="Q367" s="507"/>
      <c r="R367" s="507"/>
      <c r="S367" s="507"/>
      <c r="T367" s="507"/>
      <c r="U367" s="507"/>
      <c r="V367" s="507"/>
      <c r="W367" s="507"/>
      <c r="X367" s="507"/>
      <c r="Y367" s="507"/>
      <c r="Z367" s="507"/>
    </row>
    <row r="368" ht="35.25" customHeight="1">
      <c r="A368" s="507"/>
      <c r="B368" s="507"/>
      <c r="C368" s="507"/>
      <c r="D368" s="508"/>
      <c r="E368" s="507"/>
      <c r="F368" s="507"/>
      <c r="G368" s="507"/>
      <c r="H368" s="507"/>
      <c r="I368" s="507"/>
      <c r="J368" s="507"/>
      <c r="K368" s="507"/>
      <c r="L368" s="507"/>
      <c r="M368" s="507"/>
      <c r="N368" s="507"/>
      <c r="O368" s="507"/>
      <c r="P368" s="507"/>
      <c r="Q368" s="507"/>
      <c r="R368" s="507"/>
      <c r="S368" s="507"/>
      <c r="T368" s="507"/>
      <c r="U368" s="507"/>
      <c r="V368" s="507"/>
      <c r="W368" s="507"/>
      <c r="X368" s="507"/>
      <c r="Y368" s="507"/>
      <c r="Z368" s="507"/>
    </row>
    <row r="369" ht="35.25" customHeight="1">
      <c r="A369" s="507"/>
      <c r="B369" s="507"/>
      <c r="C369" s="507"/>
      <c r="D369" s="508"/>
      <c r="E369" s="507"/>
      <c r="F369" s="507"/>
      <c r="G369" s="507"/>
      <c r="H369" s="507"/>
      <c r="I369" s="507"/>
      <c r="J369" s="507"/>
      <c r="K369" s="507"/>
      <c r="L369" s="507"/>
      <c r="M369" s="507"/>
      <c r="N369" s="507"/>
      <c r="O369" s="507"/>
      <c r="P369" s="507"/>
      <c r="Q369" s="507"/>
      <c r="R369" s="507"/>
      <c r="S369" s="507"/>
      <c r="T369" s="507"/>
      <c r="U369" s="507"/>
      <c r="V369" s="507"/>
      <c r="W369" s="507"/>
      <c r="X369" s="507"/>
      <c r="Y369" s="507"/>
      <c r="Z369" s="507"/>
    </row>
    <row r="370" ht="35.25" customHeight="1">
      <c r="A370" s="507"/>
      <c r="B370" s="507"/>
      <c r="C370" s="507"/>
      <c r="D370" s="508"/>
      <c r="E370" s="507"/>
      <c r="F370" s="507"/>
      <c r="G370" s="507"/>
      <c r="H370" s="507"/>
      <c r="I370" s="507"/>
      <c r="J370" s="507"/>
      <c r="K370" s="507"/>
      <c r="L370" s="507"/>
      <c r="M370" s="507"/>
      <c r="N370" s="507"/>
      <c r="O370" s="507"/>
      <c r="P370" s="507"/>
      <c r="Q370" s="507"/>
      <c r="R370" s="507"/>
      <c r="S370" s="507"/>
      <c r="T370" s="507"/>
      <c r="U370" s="507"/>
      <c r="V370" s="507"/>
      <c r="W370" s="507"/>
      <c r="X370" s="507"/>
      <c r="Y370" s="507"/>
      <c r="Z370" s="507"/>
    </row>
    <row r="371" ht="35.25" customHeight="1">
      <c r="A371" s="507"/>
      <c r="B371" s="507"/>
      <c r="C371" s="507"/>
      <c r="D371" s="508"/>
      <c r="E371" s="507"/>
      <c r="F371" s="507"/>
      <c r="G371" s="507"/>
      <c r="H371" s="507"/>
      <c r="I371" s="507"/>
      <c r="J371" s="507"/>
      <c r="K371" s="507"/>
      <c r="L371" s="507"/>
      <c r="M371" s="507"/>
      <c r="N371" s="507"/>
      <c r="O371" s="507"/>
      <c r="P371" s="507"/>
      <c r="Q371" s="507"/>
      <c r="R371" s="507"/>
      <c r="S371" s="507"/>
      <c r="T371" s="507"/>
      <c r="U371" s="507"/>
      <c r="V371" s="507"/>
      <c r="W371" s="507"/>
      <c r="X371" s="507"/>
      <c r="Y371" s="507"/>
      <c r="Z371" s="507"/>
    </row>
    <row r="372" ht="35.25" customHeight="1">
      <c r="A372" s="507"/>
      <c r="B372" s="507"/>
      <c r="C372" s="507"/>
      <c r="D372" s="508"/>
      <c r="E372" s="507"/>
      <c r="F372" s="507"/>
      <c r="G372" s="507"/>
      <c r="H372" s="507"/>
      <c r="I372" s="507"/>
      <c r="J372" s="507"/>
      <c r="K372" s="507"/>
      <c r="L372" s="507"/>
      <c r="M372" s="507"/>
      <c r="N372" s="507"/>
      <c r="O372" s="507"/>
      <c r="P372" s="507"/>
      <c r="Q372" s="507"/>
      <c r="R372" s="507"/>
      <c r="S372" s="507"/>
      <c r="T372" s="507"/>
      <c r="U372" s="507"/>
      <c r="V372" s="507"/>
      <c r="W372" s="507"/>
      <c r="X372" s="507"/>
      <c r="Y372" s="507"/>
      <c r="Z372" s="507"/>
    </row>
    <row r="373" ht="35.25" customHeight="1">
      <c r="A373" s="507"/>
      <c r="B373" s="507"/>
      <c r="C373" s="507"/>
      <c r="D373" s="508"/>
      <c r="E373" s="507"/>
      <c r="F373" s="507"/>
      <c r="G373" s="507"/>
      <c r="H373" s="507"/>
      <c r="I373" s="507"/>
      <c r="J373" s="507"/>
      <c r="K373" s="507"/>
      <c r="L373" s="507"/>
      <c r="M373" s="507"/>
      <c r="N373" s="507"/>
      <c r="O373" s="507"/>
      <c r="P373" s="507"/>
      <c r="Q373" s="507"/>
      <c r="R373" s="507"/>
      <c r="S373" s="507"/>
      <c r="T373" s="507"/>
      <c r="U373" s="507"/>
      <c r="V373" s="507"/>
      <c r="W373" s="507"/>
      <c r="X373" s="507"/>
      <c r="Y373" s="507"/>
      <c r="Z373" s="507"/>
    </row>
    <row r="374" ht="35.25" customHeight="1">
      <c r="A374" s="507"/>
      <c r="B374" s="507"/>
      <c r="C374" s="507"/>
      <c r="D374" s="508"/>
      <c r="E374" s="507"/>
      <c r="F374" s="507"/>
      <c r="G374" s="507"/>
      <c r="H374" s="507"/>
      <c r="I374" s="507"/>
      <c r="J374" s="507"/>
      <c r="K374" s="507"/>
      <c r="L374" s="507"/>
      <c r="M374" s="507"/>
      <c r="N374" s="507"/>
      <c r="O374" s="507"/>
      <c r="P374" s="507"/>
      <c r="Q374" s="507"/>
      <c r="R374" s="507"/>
      <c r="S374" s="507"/>
      <c r="T374" s="507"/>
      <c r="U374" s="507"/>
      <c r="V374" s="507"/>
      <c r="W374" s="507"/>
      <c r="X374" s="507"/>
      <c r="Y374" s="507"/>
      <c r="Z374" s="507"/>
    </row>
    <row r="375" ht="35.25" customHeight="1">
      <c r="A375" s="507"/>
      <c r="B375" s="507"/>
      <c r="C375" s="507"/>
      <c r="D375" s="508"/>
      <c r="E375" s="507"/>
      <c r="F375" s="507"/>
      <c r="G375" s="507"/>
      <c r="H375" s="507"/>
      <c r="I375" s="507"/>
      <c r="J375" s="507"/>
      <c r="K375" s="507"/>
      <c r="L375" s="507"/>
      <c r="M375" s="507"/>
      <c r="N375" s="507"/>
      <c r="O375" s="507"/>
      <c r="P375" s="507"/>
      <c r="Q375" s="507"/>
      <c r="R375" s="507"/>
      <c r="S375" s="507"/>
      <c r="T375" s="507"/>
      <c r="U375" s="507"/>
      <c r="V375" s="507"/>
      <c r="W375" s="507"/>
      <c r="X375" s="507"/>
      <c r="Y375" s="507"/>
      <c r="Z375" s="507"/>
    </row>
    <row r="376" ht="35.25" customHeight="1">
      <c r="A376" s="507"/>
      <c r="B376" s="507"/>
      <c r="C376" s="507"/>
      <c r="D376" s="508"/>
      <c r="E376" s="507"/>
      <c r="F376" s="507"/>
      <c r="G376" s="507"/>
      <c r="H376" s="507"/>
      <c r="I376" s="507"/>
      <c r="J376" s="507"/>
      <c r="K376" s="507"/>
      <c r="L376" s="507"/>
      <c r="M376" s="507"/>
      <c r="N376" s="507"/>
      <c r="O376" s="507"/>
      <c r="P376" s="507"/>
      <c r="Q376" s="507"/>
      <c r="R376" s="507"/>
      <c r="S376" s="507"/>
      <c r="T376" s="507"/>
      <c r="U376" s="507"/>
      <c r="V376" s="507"/>
      <c r="W376" s="507"/>
      <c r="X376" s="507"/>
      <c r="Y376" s="507"/>
      <c r="Z376" s="507"/>
    </row>
    <row r="377" ht="35.25" customHeight="1">
      <c r="A377" s="507"/>
      <c r="B377" s="507"/>
      <c r="C377" s="507"/>
      <c r="D377" s="508"/>
      <c r="E377" s="507"/>
      <c r="F377" s="507"/>
      <c r="G377" s="507"/>
      <c r="H377" s="507"/>
      <c r="I377" s="507"/>
      <c r="J377" s="507"/>
      <c r="K377" s="507"/>
      <c r="L377" s="507"/>
      <c r="M377" s="507"/>
      <c r="N377" s="507"/>
      <c r="O377" s="507"/>
      <c r="P377" s="507"/>
      <c r="Q377" s="507"/>
      <c r="R377" s="507"/>
      <c r="S377" s="507"/>
      <c r="T377" s="507"/>
      <c r="U377" s="507"/>
      <c r="V377" s="507"/>
      <c r="W377" s="507"/>
      <c r="X377" s="507"/>
      <c r="Y377" s="507"/>
      <c r="Z377" s="507"/>
    </row>
    <row r="378" ht="35.25" customHeight="1">
      <c r="A378" s="507"/>
      <c r="B378" s="507"/>
      <c r="C378" s="507"/>
      <c r="D378" s="508"/>
      <c r="E378" s="507"/>
      <c r="F378" s="507"/>
      <c r="G378" s="507"/>
      <c r="H378" s="507"/>
      <c r="I378" s="507"/>
      <c r="J378" s="507"/>
      <c r="K378" s="507"/>
      <c r="L378" s="507"/>
      <c r="M378" s="507"/>
      <c r="N378" s="507"/>
      <c r="O378" s="507"/>
      <c r="P378" s="507"/>
      <c r="Q378" s="507"/>
      <c r="R378" s="507"/>
      <c r="S378" s="507"/>
      <c r="T378" s="507"/>
      <c r="U378" s="507"/>
      <c r="V378" s="507"/>
      <c r="W378" s="507"/>
      <c r="X378" s="507"/>
      <c r="Y378" s="507"/>
      <c r="Z378" s="507"/>
    </row>
    <row r="379" ht="35.25" customHeight="1">
      <c r="A379" s="507"/>
      <c r="B379" s="507"/>
      <c r="C379" s="507"/>
      <c r="D379" s="508"/>
      <c r="E379" s="507"/>
      <c r="F379" s="507"/>
      <c r="G379" s="507"/>
      <c r="H379" s="507"/>
      <c r="I379" s="507"/>
      <c r="J379" s="507"/>
      <c r="K379" s="507"/>
      <c r="L379" s="507"/>
      <c r="M379" s="507"/>
      <c r="N379" s="507"/>
      <c r="O379" s="507"/>
      <c r="P379" s="507"/>
      <c r="Q379" s="507"/>
      <c r="R379" s="507"/>
      <c r="S379" s="507"/>
      <c r="T379" s="507"/>
      <c r="U379" s="507"/>
      <c r="V379" s="507"/>
      <c r="W379" s="507"/>
      <c r="X379" s="507"/>
      <c r="Y379" s="507"/>
      <c r="Z379" s="507"/>
    </row>
    <row r="380" ht="35.25" customHeight="1">
      <c r="A380" s="507"/>
      <c r="B380" s="507"/>
      <c r="C380" s="507"/>
      <c r="D380" s="508"/>
      <c r="E380" s="507"/>
      <c r="F380" s="507"/>
      <c r="G380" s="507"/>
      <c r="H380" s="507"/>
      <c r="I380" s="507"/>
      <c r="J380" s="507"/>
      <c r="K380" s="507"/>
      <c r="L380" s="507"/>
      <c r="M380" s="507"/>
      <c r="N380" s="507"/>
      <c r="O380" s="507"/>
      <c r="P380" s="507"/>
      <c r="Q380" s="507"/>
      <c r="R380" s="507"/>
      <c r="S380" s="507"/>
      <c r="T380" s="507"/>
      <c r="U380" s="507"/>
      <c r="V380" s="507"/>
      <c r="W380" s="507"/>
      <c r="X380" s="507"/>
      <c r="Y380" s="507"/>
      <c r="Z380" s="507"/>
    </row>
    <row r="381" ht="35.25" customHeight="1">
      <c r="A381" s="507"/>
      <c r="B381" s="507"/>
      <c r="C381" s="507"/>
      <c r="D381" s="508"/>
      <c r="E381" s="507"/>
      <c r="F381" s="507"/>
      <c r="G381" s="507"/>
      <c r="H381" s="507"/>
      <c r="I381" s="507"/>
      <c r="J381" s="507"/>
      <c r="K381" s="507"/>
      <c r="L381" s="507"/>
      <c r="M381" s="507"/>
      <c r="N381" s="507"/>
      <c r="O381" s="507"/>
      <c r="P381" s="507"/>
      <c r="Q381" s="507"/>
      <c r="R381" s="507"/>
      <c r="S381" s="507"/>
      <c r="T381" s="507"/>
      <c r="U381" s="507"/>
      <c r="V381" s="507"/>
      <c r="W381" s="507"/>
      <c r="X381" s="507"/>
      <c r="Y381" s="507"/>
      <c r="Z381" s="507"/>
    </row>
    <row r="382" ht="35.25" customHeight="1">
      <c r="A382" s="507"/>
      <c r="B382" s="507"/>
      <c r="C382" s="507"/>
      <c r="D382" s="508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  <c r="O382" s="507"/>
      <c r="P382" s="507"/>
      <c r="Q382" s="507"/>
      <c r="R382" s="507"/>
      <c r="S382" s="507"/>
      <c r="T382" s="507"/>
      <c r="U382" s="507"/>
      <c r="V382" s="507"/>
      <c r="W382" s="507"/>
      <c r="X382" s="507"/>
      <c r="Y382" s="507"/>
      <c r="Z382" s="507"/>
    </row>
    <row r="383" ht="35.25" customHeight="1">
      <c r="A383" s="507"/>
      <c r="B383" s="507"/>
      <c r="C383" s="507"/>
      <c r="D383" s="508"/>
      <c r="E383" s="507"/>
      <c r="F383" s="507"/>
      <c r="G383" s="507"/>
      <c r="H383" s="507"/>
      <c r="I383" s="507"/>
      <c r="J383" s="507"/>
      <c r="K383" s="507"/>
      <c r="L383" s="507"/>
      <c r="M383" s="507"/>
      <c r="N383" s="507"/>
      <c r="O383" s="507"/>
      <c r="P383" s="507"/>
      <c r="Q383" s="507"/>
      <c r="R383" s="507"/>
      <c r="S383" s="507"/>
      <c r="T383" s="507"/>
      <c r="U383" s="507"/>
      <c r="V383" s="507"/>
      <c r="W383" s="507"/>
      <c r="X383" s="507"/>
      <c r="Y383" s="507"/>
      <c r="Z383" s="507"/>
    </row>
    <row r="384" ht="35.25" customHeight="1">
      <c r="A384" s="507"/>
      <c r="B384" s="507"/>
      <c r="C384" s="507"/>
      <c r="D384" s="508"/>
      <c r="E384" s="507"/>
      <c r="F384" s="507"/>
      <c r="G384" s="507"/>
      <c r="H384" s="507"/>
      <c r="I384" s="507"/>
      <c r="J384" s="507"/>
      <c r="K384" s="507"/>
      <c r="L384" s="507"/>
      <c r="M384" s="507"/>
      <c r="N384" s="507"/>
      <c r="O384" s="507"/>
      <c r="P384" s="507"/>
      <c r="Q384" s="507"/>
      <c r="R384" s="507"/>
      <c r="S384" s="507"/>
      <c r="T384" s="507"/>
      <c r="U384" s="507"/>
      <c r="V384" s="507"/>
      <c r="W384" s="507"/>
      <c r="X384" s="507"/>
      <c r="Y384" s="507"/>
      <c r="Z384" s="507"/>
    </row>
    <row r="385" ht="35.25" customHeight="1">
      <c r="A385" s="507"/>
      <c r="B385" s="507"/>
      <c r="C385" s="507"/>
      <c r="D385" s="508"/>
      <c r="E385" s="507"/>
      <c r="F385" s="507"/>
      <c r="G385" s="507"/>
      <c r="H385" s="507"/>
      <c r="I385" s="507"/>
      <c r="J385" s="507"/>
      <c r="K385" s="507"/>
      <c r="L385" s="507"/>
      <c r="M385" s="507"/>
      <c r="N385" s="507"/>
      <c r="O385" s="507"/>
      <c r="P385" s="507"/>
      <c r="Q385" s="507"/>
      <c r="R385" s="507"/>
      <c r="S385" s="507"/>
      <c r="T385" s="507"/>
      <c r="U385" s="507"/>
      <c r="V385" s="507"/>
      <c r="W385" s="507"/>
      <c r="X385" s="507"/>
      <c r="Y385" s="507"/>
      <c r="Z385" s="507"/>
    </row>
    <row r="386" ht="35.25" customHeight="1">
      <c r="A386" s="507"/>
      <c r="B386" s="507"/>
      <c r="C386" s="507"/>
      <c r="D386" s="508"/>
      <c r="E386" s="507"/>
      <c r="F386" s="507"/>
      <c r="G386" s="507"/>
      <c r="H386" s="507"/>
      <c r="I386" s="507"/>
      <c r="J386" s="507"/>
      <c r="K386" s="507"/>
      <c r="L386" s="507"/>
      <c r="M386" s="507"/>
      <c r="N386" s="507"/>
      <c r="O386" s="507"/>
      <c r="P386" s="507"/>
      <c r="Q386" s="507"/>
      <c r="R386" s="507"/>
      <c r="S386" s="507"/>
      <c r="T386" s="507"/>
      <c r="U386" s="507"/>
      <c r="V386" s="507"/>
      <c r="W386" s="507"/>
      <c r="X386" s="507"/>
      <c r="Y386" s="507"/>
      <c r="Z386" s="507"/>
    </row>
    <row r="387" ht="35.25" customHeight="1">
      <c r="A387" s="507"/>
      <c r="B387" s="507"/>
      <c r="C387" s="507"/>
      <c r="D387" s="508"/>
      <c r="E387" s="507"/>
      <c r="F387" s="507"/>
      <c r="G387" s="507"/>
      <c r="H387" s="507"/>
      <c r="I387" s="507"/>
      <c r="J387" s="507"/>
      <c r="K387" s="507"/>
      <c r="L387" s="507"/>
      <c r="M387" s="507"/>
      <c r="N387" s="507"/>
      <c r="O387" s="507"/>
      <c r="P387" s="507"/>
      <c r="Q387" s="507"/>
      <c r="R387" s="507"/>
      <c r="S387" s="507"/>
      <c r="T387" s="507"/>
      <c r="U387" s="507"/>
      <c r="V387" s="507"/>
      <c r="W387" s="507"/>
      <c r="X387" s="507"/>
      <c r="Y387" s="507"/>
      <c r="Z387" s="507"/>
    </row>
    <row r="388" ht="35.25" customHeight="1">
      <c r="A388" s="507"/>
      <c r="B388" s="507"/>
      <c r="C388" s="507"/>
      <c r="D388" s="508"/>
      <c r="E388" s="507"/>
      <c r="F388" s="507"/>
      <c r="G388" s="507"/>
      <c r="H388" s="507"/>
      <c r="I388" s="507"/>
      <c r="J388" s="507"/>
      <c r="K388" s="507"/>
      <c r="L388" s="507"/>
      <c r="M388" s="507"/>
      <c r="N388" s="507"/>
      <c r="O388" s="507"/>
      <c r="P388" s="507"/>
      <c r="Q388" s="507"/>
      <c r="R388" s="507"/>
      <c r="S388" s="507"/>
      <c r="T388" s="507"/>
      <c r="U388" s="507"/>
      <c r="V388" s="507"/>
      <c r="W388" s="507"/>
      <c r="X388" s="507"/>
      <c r="Y388" s="507"/>
      <c r="Z388" s="507"/>
    </row>
    <row r="389" ht="35.25" customHeight="1">
      <c r="A389" s="507"/>
      <c r="B389" s="507"/>
      <c r="C389" s="507"/>
      <c r="D389" s="508"/>
      <c r="E389" s="507"/>
      <c r="F389" s="507"/>
      <c r="G389" s="507"/>
      <c r="H389" s="507"/>
      <c r="I389" s="507"/>
      <c r="J389" s="507"/>
      <c r="K389" s="507"/>
      <c r="L389" s="507"/>
      <c r="M389" s="507"/>
      <c r="N389" s="507"/>
      <c r="O389" s="507"/>
      <c r="P389" s="507"/>
      <c r="Q389" s="507"/>
      <c r="R389" s="507"/>
      <c r="S389" s="507"/>
      <c r="T389" s="507"/>
      <c r="U389" s="507"/>
      <c r="V389" s="507"/>
      <c r="W389" s="507"/>
      <c r="X389" s="507"/>
      <c r="Y389" s="507"/>
      <c r="Z389" s="507"/>
    </row>
    <row r="390" ht="35.25" customHeight="1">
      <c r="A390" s="507"/>
      <c r="B390" s="507"/>
      <c r="C390" s="507"/>
      <c r="D390" s="508"/>
      <c r="E390" s="507"/>
      <c r="F390" s="507"/>
      <c r="G390" s="507"/>
      <c r="H390" s="507"/>
      <c r="I390" s="507"/>
      <c r="J390" s="507"/>
      <c r="K390" s="507"/>
      <c r="L390" s="507"/>
      <c r="M390" s="507"/>
      <c r="N390" s="507"/>
      <c r="O390" s="507"/>
      <c r="P390" s="507"/>
      <c r="Q390" s="507"/>
      <c r="R390" s="507"/>
      <c r="S390" s="507"/>
      <c r="T390" s="507"/>
      <c r="U390" s="507"/>
      <c r="V390" s="507"/>
      <c r="W390" s="507"/>
      <c r="X390" s="507"/>
      <c r="Y390" s="507"/>
      <c r="Z390" s="507"/>
    </row>
    <row r="391" ht="35.25" customHeight="1">
      <c r="A391" s="507"/>
      <c r="B391" s="507"/>
      <c r="C391" s="507"/>
      <c r="D391" s="508"/>
      <c r="E391" s="507"/>
      <c r="F391" s="507"/>
      <c r="G391" s="507"/>
      <c r="H391" s="507"/>
      <c r="I391" s="507"/>
      <c r="J391" s="507"/>
      <c r="K391" s="507"/>
      <c r="L391" s="507"/>
      <c r="M391" s="507"/>
      <c r="N391" s="507"/>
      <c r="O391" s="507"/>
      <c r="P391" s="507"/>
      <c r="Q391" s="507"/>
      <c r="R391" s="507"/>
      <c r="S391" s="507"/>
      <c r="T391" s="507"/>
      <c r="U391" s="507"/>
      <c r="V391" s="507"/>
      <c r="W391" s="507"/>
      <c r="X391" s="507"/>
      <c r="Y391" s="507"/>
      <c r="Z391" s="507"/>
    </row>
    <row r="392" ht="35.25" customHeight="1">
      <c r="A392" s="507"/>
      <c r="B392" s="507"/>
      <c r="C392" s="507"/>
      <c r="D392" s="508"/>
      <c r="E392" s="507"/>
      <c r="F392" s="507"/>
      <c r="G392" s="507"/>
      <c r="H392" s="507"/>
      <c r="I392" s="507"/>
      <c r="J392" s="507"/>
      <c r="K392" s="507"/>
      <c r="L392" s="507"/>
      <c r="M392" s="507"/>
      <c r="N392" s="507"/>
      <c r="O392" s="507"/>
      <c r="P392" s="507"/>
      <c r="Q392" s="507"/>
      <c r="R392" s="507"/>
      <c r="S392" s="507"/>
      <c r="T392" s="507"/>
      <c r="U392" s="507"/>
      <c r="V392" s="507"/>
      <c r="W392" s="507"/>
      <c r="X392" s="507"/>
      <c r="Y392" s="507"/>
      <c r="Z392" s="507"/>
    </row>
    <row r="393" ht="35.25" customHeight="1">
      <c r="A393" s="507"/>
      <c r="B393" s="507"/>
      <c r="C393" s="507"/>
      <c r="D393" s="508"/>
      <c r="E393" s="507"/>
      <c r="F393" s="507"/>
      <c r="G393" s="507"/>
      <c r="H393" s="507"/>
      <c r="I393" s="507"/>
      <c r="J393" s="507"/>
      <c r="K393" s="507"/>
      <c r="L393" s="507"/>
      <c r="M393" s="507"/>
      <c r="N393" s="507"/>
      <c r="O393" s="507"/>
      <c r="P393" s="507"/>
      <c r="Q393" s="507"/>
      <c r="R393" s="507"/>
      <c r="S393" s="507"/>
      <c r="T393" s="507"/>
      <c r="U393" s="507"/>
      <c r="V393" s="507"/>
      <c r="W393" s="507"/>
      <c r="X393" s="507"/>
      <c r="Y393" s="507"/>
      <c r="Z393" s="507"/>
    </row>
    <row r="394" ht="35.25" customHeight="1">
      <c r="A394" s="507"/>
      <c r="B394" s="507"/>
      <c r="C394" s="507"/>
      <c r="D394" s="508"/>
      <c r="E394" s="507"/>
      <c r="F394" s="507"/>
      <c r="G394" s="507"/>
      <c r="H394" s="507"/>
      <c r="I394" s="507"/>
      <c r="J394" s="507"/>
      <c r="K394" s="507"/>
      <c r="L394" s="507"/>
      <c r="M394" s="507"/>
      <c r="N394" s="507"/>
      <c r="O394" s="507"/>
      <c r="P394" s="507"/>
      <c r="Q394" s="507"/>
      <c r="R394" s="507"/>
      <c r="S394" s="507"/>
      <c r="T394" s="507"/>
      <c r="U394" s="507"/>
      <c r="V394" s="507"/>
      <c r="W394" s="507"/>
      <c r="X394" s="507"/>
      <c r="Y394" s="507"/>
      <c r="Z394" s="507"/>
    </row>
    <row r="395" ht="35.25" customHeight="1">
      <c r="A395" s="507"/>
      <c r="B395" s="507"/>
      <c r="C395" s="507"/>
      <c r="D395" s="508"/>
      <c r="E395" s="507"/>
      <c r="F395" s="507"/>
      <c r="G395" s="507"/>
      <c r="H395" s="507"/>
      <c r="I395" s="507"/>
      <c r="J395" s="507"/>
      <c r="K395" s="507"/>
      <c r="L395" s="507"/>
      <c r="M395" s="507"/>
      <c r="N395" s="507"/>
      <c r="O395" s="507"/>
      <c r="P395" s="507"/>
      <c r="Q395" s="507"/>
      <c r="R395" s="507"/>
      <c r="S395" s="507"/>
      <c r="T395" s="507"/>
      <c r="U395" s="507"/>
      <c r="V395" s="507"/>
      <c r="W395" s="507"/>
      <c r="X395" s="507"/>
      <c r="Y395" s="507"/>
      <c r="Z395" s="507"/>
    </row>
    <row r="396" ht="35.25" customHeight="1">
      <c r="A396" s="507"/>
      <c r="B396" s="507"/>
      <c r="C396" s="507"/>
      <c r="D396" s="508"/>
      <c r="E396" s="507"/>
      <c r="F396" s="507"/>
      <c r="G396" s="507"/>
      <c r="H396" s="507"/>
      <c r="I396" s="507"/>
      <c r="J396" s="507"/>
      <c r="K396" s="507"/>
      <c r="L396" s="507"/>
      <c r="M396" s="507"/>
      <c r="N396" s="507"/>
      <c r="O396" s="507"/>
      <c r="P396" s="507"/>
      <c r="Q396" s="507"/>
      <c r="R396" s="507"/>
      <c r="S396" s="507"/>
      <c r="T396" s="507"/>
      <c r="U396" s="507"/>
      <c r="V396" s="507"/>
      <c r="W396" s="507"/>
      <c r="X396" s="507"/>
      <c r="Y396" s="507"/>
      <c r="Z396" s="507"/>
    </row>
    <row r="397" ht="35.25" customHeight="1">
      <c r="A397" s="507"/>
      <c r="B397" s="507"/>
      <c r="C397" s="507"/>
      <c r="D397" s="508"/>
      <c r="E397" s="507"/>
      <c r="F397" s="507"/>
      <c r="G397" s="507"/>
      <c r="H397" s="507"/>
      <c r="I397" s="507"/>
      <c r="J397" s="507"/>
      <c r="K397" s="507"/>
      <c r="L397" s="507"/>
      <c r="M397" s="507"/>
      <c r="N397" s="507"/>
      <c r="O397" s="507"/>
      <c r="P397" s="507"/>
      <c r="Q397" s="507"/>
      <c r="R397" s="507"/>
      <c r="S397" s="507"/>
      <c r="T397" s="507"/>
      <c r="U397" s="507"/>
      <c r="V397" s="507"/>
      <c r="W397" s="507"/>
      <c r="X397" s="507"/>
      <c r="Y397" s="507"/>
      <c r="Z397" s="507"/>
    </row>
    <row r="398" ht="35.25" customHeight="1">
      <c r="A398" s="507"/>
      <c r="B398" s="507"/>
      <c r="C398" s="507"/>
      <c r="D398" s="508"/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  <c r="O398" s="507"/>
      <c r="P398" s="507"/>
      <c r="Q398" s="507"/>
      <c r="R398" s="507"/>
      <c r="S398" s="507"/>
      <c r="T398" s="507"/>
      <c r="U398" s="507"/>
      <c r="V398" s="507"/>
      <c r="W398" s="507"/>
      <c r="X398" s="507"/>
      <c r="Y398" s="507"/>
      <c r="Z398" s="507"/>
    </row>
    <row r="399" ht="35.25" customHeight="1">
      <c r="A399" s="507"/>
      <c r="B399" s="507"/>
      <c r="C399" s="507"/>
      <c r="D399" s="508"/>
      <c r="E399" s="507"/>
      <c r="F399" s="507"/>
      <c r="G399" s="507"/>
      <c r="H399" s="507"/>
      <c r="I399" s="507"/>
      <c r="J399" s="507"/>
      <c r="K399" s="507"/>
      <c r="L399" s="507"/>
      <c r="M399" s="507"/>
      <c r="N399" s="507"/>
      <c r="O399" s="507"/>
      <c r="P399" s="507"/>
      <c r="Q399" s="507"/>
      <c r="R399" s="507"/>
      <c r="S399" s="507"/>
      <c r="T399" s="507"/>
      <c r="U399" s="507"/>
      <c r="V399" s="507"/>
      <c r="W399" s="507"/>
      <c r="X399" s="507"/>
      <c r="Y399" s="507"/>
      <c r="Z399" s="507"/>
    </row>
    <row r="400" ht="35.25" customHeight="1">
      <c r="A400" s="507"/>
      <c r="B400" s="507"/>
      <c r="C400" s="507"/>
      <c r="D400" s="508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  <c r="O400" s="507"/>
      <c r="P400" s="507"/>
      <c r="Q400" s="507"/>
      <c r="R400" s="507"/>
      <c r="S400" s="507"/>
      <c r="T400" s="507"/>
      <c r="U400" s="507"/>
      <c r="V400" s="507"/>
      <c r="W400" s="507"/>
      <c r="X400" s="507"/>
      <c r="Y400" s="507"/>
      <c r="Z400" s="507"/>
    </row>
    <row r="401" ht="35.25" customHeight="1">
      <c r="A401" s="507"/>
      <c r="B401" s="507"/>
      <c r="C401" s="507"/>
      <c r="D401" s="508"/>
      <c r="E401" s="507"/>
      <c r="F401" s="507"/>
      <c r="G401" s="507"/>
      <c r="H401" s="507"/>
      <c r="I401" s="507"/>
      <c r="J401" s="507"/>
      <c r="K401" s="507"/>
      <c r="L401" s="507"/>
      <c r="M401" s="507"/>
      <c r="N401" s="507"/>
      <c r="O401" s="507"/>
      <c r="P401" s="507"/>
      <c r="Q401" s="507"/>
      <c r="R401" s="507"/>
      <c r="S401" s="507"/>
      <c r="T401" s="507"/>
      <c r="U401" s="507"/>
      <c r="V401" s="507"/>
      <c r="W401" s="507"/>
      <c r="X401" s="507"/>
      <c r="Y401" s="507"/>
      <c r="Z401" s="507"/>
    </row>
    <row r="402" ht="35.25" customHeight="1">
      <c r="A402" s="507"/>
      <c r="B402" s="507"/>
      <c r="C402" s="507"/>
      <c r="D402" s="508"/>
      <c r="E402" s="507"/>
      <c r="F402" s="507"/>
      <c r="G402" s="507"/>
      <c r="H402" s="507"/>
      <c r="I402" s="507"/>
      <c r="J402" s="507"/>
      <c r="K402" s="507"/>
      <c r="L402" s="507"/>
      <c r="M402" s="507"/>
      <c r="N402" s="507"/>
      <c r="O402" s="507"/>
      <c r="P402" s="507"/>
      <c r="Q402" s="507"/>
      <c r="R402" s="507"/>
      <c r="S402" s="507"/>
      <c r="T402" s="507"/>
      <c r="U402" s="507"/>
      <c r="V402" s="507"/>
      <c r="W402" s="507"/>
      <c r="X402" s="507"/>
      <c r="Y402" s="507"/>
      <c r="Z402" s="507"/>
    </row>
    <row r="403" ht="35.25" customHeight="1">
      <c r="A403" s="507"/>
      <c r="B403" s="507"/>
      <c r="C403" s="507"/>
      <c r="D403" s="508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  <c r="O403" s="507"/>
      <c r="P403" s="507"/>
      <c r="Q403" s="507"/>
      <c r="R403" s="507"/>
      <c r="S403" s="507"/>
      <c r="T403" s="507"/>
      <c r="U403" s="507"/>
      <c r="V403" s="507"/>
      <c r="W403" s="507"/>
      <c r="X403" s="507"/>
      <c r="Y403" s="507"/>
      <c r="Z403" s="507"/>
    </row>
    <row r="404" ht="35.25" customHeight="1">
      <c r="A404" s="507"/>
      <c r="B404" s="507"/>
      <c r="C404" s="507"/>
      <c r="D404" s="508"/>
      <c r="E404" s="507"/>
      <c r="F404" s="507"/>
      <c r="G404" s="507"/>
      <c r="H404" s="507"/>
      <c r="I404" s="507"/>
      <c r="J404" s="507"/>
      <c r="K404" s="507"/>
      <c r="L404" s="507"/>
      <c r="M404" s="507"/>
      <c r="N404" s="507"/>
      <c r="O404" s="507"/>
      <c r="P404" s="507"/>
      <c r="Q404" s="507"/>
      <c r="R404" s="507"/>
      <c r="S404" s="507"/>
      <c r="T404" s="507"/>
      <c r="U404" s="507"/>
      <c r="V404" s="507"/>
      <c r="W404" s="507"/>
      <c r="X404" s="507"/>
      <c r="Y404" s="507"/>
      <c r="Z404" s="507"/>
    </row>
    <row r="405" ht="35.25" customHeight="1">
      <c r="A405" s="507"/>
      <c r="B405" s="507"/>
      <c r="C405" s="507"/>
      <c r="D405" s="508"/>
      <c r="E405" s="507"/>
      <c r="F405" s="507"/>
      <c r="G405" s="507"/>
      <c r="H405" s="507"/>
      <c r="I405" s="507"/>
      <c r="J405" s="507"/>
      <c r="K405" s="507"/>
      <c r="L405" s="507"/>
      <c r="M405" s="507"/>
      <c r="N405" s="507"/>
      <c r="O405" s="507"/>
      <c r="P405" s="507"/>
      <c r="Q405" s="507"/>
      <c r="R405" s="507"/>
      <c r="S405" s="507"/>
      <c r="T405" s="507"/>
      <c r="U405" s="507"/>
      <c r="V405" s="507"/>
      <c r="W405" s="507"/>
      <c r="X405" s="507"/>
      <c r="Y405" s="507"/>
      <c r="Z405" s="507"/>
    </row>
    <row r="406" ht="35.25" customHeight="1">
      <c r="A406" s="507"/>
      <c r="B406" s="507"/>
      <c r="C406" s="507"/>
      <c r="D406" s="508"/>
      <c r="E406" s="507"/>
      <c r="F406" s="507"/>
      <c r="G406" s="507"/>
      <c r="H406" s="507"/>
      <c r="I406" s="507"/>
      <c r="J406" s="507"/>
      <c r="K406" s="507"/>
      <c r="L406" s="507"/>
      <c r="M406" s="507"/>
      <c r="N406" s="507"/>
      <c r="O406" s="507"/>
      <c r="P406" s="507"/>
      <c r="Q406" s="507"/>
      <c r="R406" s="507"/>
      <c r="S406" s="507"/>
      <c r="T406" s="507"/>
      <c r="U406" s="507"/>
      <c r="V406" s="507"/>
      <c r="W406" s="507"/>
      <c r="X406" s="507"/>
      <c r="Y406" s="507"/>
      <c r="Z406" s="507"/>
    </row>
    <row r="407" ht="35.25" customHeight="1">
      <c r="A407" s="507"/>
      <c r="B407" s="507"/>
      <c r="C407" s="507"/>
      <c r="D407" s="508"/>
      <c r="E407" s="507"/>
      <c r="F407" s="507"/>
      <c r="G407" s="507"/>
      <c r="H407" s="507"/>
      <c r="I407" s="507"/>
      <c r="J407" s="507"/>
      <c r="K407" s="507"/>
      <c r="L407" s="507"/>
      <c r="M407" s="507"/>
      <c r="N407" s="507"/>
      <c r="O407" s="507"/>
      <c r="P407" s="507"/>
      <c r="Q407" s="507"/>
      <c r="R407" s="507"/>
      <c r="S407" s="507"/>
      <c r="T407" s="507"/>
      <c r="U407" s="507"/>
      <c r="V407" s="507"/>
      <c r="W407" s="507"/>
      <c r="X407" s="507"/>
      <c r="Y407" s="507"/>
      <c r="Z407" s="507"/>
    </row>
    <row r="408" ht="35.25" customHeight="1">
      <c r="A408" s="507"/>
      <c r="B408" s="507"/>
      <c r="C408" s="507"/>
      <c r="D408" s="508"/>
      <c r="E408" s="507"/>
      <c r="F408" s="507"/>
      <c r="G408" s="507"/>
      <c r="H408" s="507"/>
      <c r="I408" s="507"/>
      <c r="J408" s="507"/>
      <c r="K408" s="507"/>
      <c r="L408" s="507"/>
      <c r="M408" s="507"/>
      <c r="N408" s="507"/>
      <c r="O408" s="507"/>
      <c r="P408" s="507"/>
      <c r="Q408" s="507"/>
      <c r="R408" s="507"/>
      <c r="S408" s="507"/>
      <c r="T408" s="507"/>
      <c r="U408" s="507"/>
      <c r="V408" s="507"/>
      <c r="W408" s="507"/>
      <c r="X408" s="507"/>
      <c r="Y408" s="507"/>
      <c r="Z408" s="507"/>
    </row>
    <row r="409" ht="35.25" customHeight="1">
      <c r="A409" s="507"/>
      <c r="B409" s="507"/>
      <c r="C409" s="507"/>
      <c r="D409" s="508"/>
      <c r="E409" s="507"/>
      <c r="F409" s="507"/>
      <c r="G409" s="507"/>
      <c r="H409" s="507"/>
      <c r="I409" s="507"/>
      <c r="J409" s="507"/>
      <c r="K409" s="507"/>
      <c r="L409" s="507"/>
      <c r="M409" s="507"/>
      <c r="N409" s="507"/>
      <c r="O409" s="507"/>
      <c r="P409" s="507"/>
      <c r="Q409" s="507"/>
      <c r="R409" s="507"/>
      <c r="S409" s="507"/>
      <c r="T409" s="507"/>
      <c r="U409" s="507"/>
      <c r="V409" s="507"/>
      <c r="W409" s="507"/>
      <c r="X409" s="507"/>
      <c r="Y409" s="507"/>
      <c r="Z409" s="507"/>
    </row>
    <row r="410" ht="35.25" customHeight="1">
      <c r="A410" s="507"/>
      <c r="B410" s="507"/>
      <c r="C410" s="507"/>
      <c r="D410" s="508"/>
      <c r="E410" s="507"/>
      <c r="F410" s="507"/>
      <c r="G410" s="507"/>
      <c r="H410" s="507"/>
      <c r="I410" s="507"/>
      <c r="J410" s="507"/>
      <c r="K410" s="507"/>
      <c r="L410" s="507"/>
      <c r="M410" s="507"/>
      <c r="N410" s="507"/>
      <c r="O410" s="507"/>
      <c r="P410" s="507"/>
      <c r="Q410" s="507"/>
      <c r="R410" s="507"/>
      <c r="S410" s="507"/>
      <c r="T410" s="507"/>
      <c r="U410" s="507"/>
      <c r="V410" s="507"/>
      <c r="W410" s="507"/>
      <c r="X410" s="507"/>
      <c r="Y410" s="507"/>
      <c r="Z410" s="507"/>
    </row>
    <row r="411" ht="35.25" customHeight="1">
      <c r="A411" s="507"/>
      <c r="B411" s="507"/>
      <c r="C411" s="507"/>
      <c r="D411" s="508"/>
      <c r="E411" s="507"/>
      <c r="F411" s="507"/>
      <c r="G411" s="507"/>
      <c r="H411" s="507"/>
      <c r="I411" s="507"/>
      <c r="J411" s="507"/>
      <c r="K411" s="507"/>
      <c r="L411" s="507"/>
      <c r="M411" s="507"/>
      <c r="N411" s="507"/>
      <c r="O411" s="507"/>
      <c r="P411" s="507"/>
      <c r="Q411" s="507"/>
      <c r="R411" s="507"/>
      <c r="S411" s="507"/>
      <c r="T411" s="507"/>
      <c r="U411" s="507"/>
      <c r="V411" s="507"/>
      <c r="W411" s="507"/>
      <c r="X411" s="507"/>
      <c r="Y411" s="507"/>
      <c r="Z411" s="507"/>
    </row>
    <row r="412" ht="35.25" customHeight="1">
      <c r="A412" s="507"/>
      <c r="B412" s="507"/>
      <c r="C412" s="507"/>
      <c r="D412" s="508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  <c r="O412" s="507"/>
      <c r="P412" s="507"/>
      <c r="Q412" s="507"/>
      <c r="R412" s="507"/>
      <c r="S412" s="507"/>
      <c r="T412" s="507"/>
      <c r="U412" s="507"/>
      <c r="V412" s="507"/>
      <c r="W412" s="507"/>
      <c r="X412" s="507"/>
      <c r="Y412" s="507"/>
      <c r="Z412" s="507"/>
    </row>
    <row r="413" ht="35.25" customHeight="1">
      <c r="A413" s="507"/>
      <c r="B413" s="507"/>
      <c r="C413" s="507"/>
      <c r="D413" s="508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  <c r="O413" s="507"/>
      <c r="P413" s="507"/>
      <c r="Q413" s="507"/>
      <c r="R413" s="507"/>
      <c r="S413" s="507"/>
      <c r="T413" s="507"/>
      <c r="U413" s="507"/>
      <c r="V413" s="507"/>
      <c r="W413" s="507"/>
      <c r="X413" s="507"/>
      <c r="Y413" s="507"/>
      <c r="Z413" s="507"/>
    </row>
    <row r="414" ht="35.25" customHeight="1">
      <c r="A414" s="507"/>
      <c r="B414" s="507"/>
      <c r="C414" s="507"/>
      <c r="D414" s="508"/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  <c r="O414" s="507"/>
      <c r="P414" s="507"/>
      <c r="Q414" s="507"/>
      <c r="R414" s="507"/>
      <c r="S414" s="507"/>
      <c r="T414" s="507"/>
      <c r="U414" s="507"/>
      <c r="V414" s="507"/>
      <c r="W414" s="507"/>
      <c r="X414" s="507"/>
      <c r="Y414" s="507"/>
      <c r="Z414" s="507"/>
    </row>
    <row r="415" ht="35.25" customHeight="1">
      <c r="A415" s="507"/>
      <c r="B415" s="507"/>
      <c r="C415" s="507"/>
      <c r="D415" s="508"/>
      <c r="E415" s="507"/>
      <c r="F415" s="507"/>
      <c r="G415" s="507"/>
      <c r="H415" s="507"/>
      <c r="I415" s="507"/>
      <c r="J415" s="507"/>
      <c r="K415" s="507"/>
      <c r="L415" s="507"/>
      <c r="M415" s="507"/>
      <c r="N415" s="507"/>
      <c r="O415" s="507"/>
      <c r="P415" s="507"/>
      <c r="Q415" s="507"/>
      <c r="R415" s="507"/>
      <c r="S415" s="507"/>
      <c r="T415" s="507"/>
      <c r="U415" s="507"/>
      <c r="V415" s="507"/>
      <c r="W415" s="507"/>
      <c r="X415" s="507"/>
      <c r="Y415" s="507"/>
      <c r="Z415" s="507"/>
    </row>
    <row r="416" ht="35.25" customHeight="1">
      <c r="A416" s="507"/>
      <c r="B416" s="507"/>
      <c r="C416" s="507"/>
      <c r="D416" s="508"/>
      <c r="E416" s="507"/>
      <c r="F416" s="507"/>
      <c r="G416" s="507"/>
      <c r="H416" s="507"/>
      <c r="I416" s="507"/>
      <c r="J416" s="507"/>
      <c r="K416" s="507"/>
      <c r="L416" s="507"/>
      <c r="M416" s="507"/>
      <c r="N416" s="507"/>
      <c r="O416" s="507"/>
      <c r="P416" s="507"/>
      <c r="Q416" s="507"/>
      <c r="R416" s="507"/>
      <c r="S416" s="507"/>
      <c r="T416" s="507"/>
      <c r="U416" s="507"/>
      <c r="V416" s="507"/>
      <c r="W416" s="507"/>
      <c r="X416" s="507"/>
      <c r="Y416" s="507"/>
      <c r="Z416" s="507"/>
    </row>
    <row r="417" ht="35.25" customHeight="1">
      <c r="A417" s="507"/>
      <c r="B417" s="507"/>
      <c r="C417" s="507"/>
      <c r="D417" s="508"/>
      <c r="E417" s="507"/>
      <c r="F417" s="507"/>
      <c r="G417" s="507"/>
      <c r="H417" s="507"/>
      <c r="I417" s="507"/>
      <c r="J417" s="507"/>
      <c r="K417" s="507"/>
      <c r="L417" s="507"/>
      <c r="M417" s="507"/>
      <c r="N417" s="507"/>
      <c r="O417" s="507"/>
      <c r="P417" s="507"/>
      <c r="Q417" s="507"/>
      <c r="R417" s="507"/>
      <c r="S417" s="507"/>
      <c r="T417" s="507"/>
      <c r="U417" s="507"/>
      <c r="V417" s="507"/>
      <c r="W417" s="507"/>
      <c r="X417" s="507"/>
      <c r="Y417" s="507"/>
      <c r="Z417" s="507"/>
    </row>
    <row r="418" ht="35.25" customHeight="1">
      <c r="A418" s="507"/>
      <c r="B418" s="507"/>
      <c r="C418" s="507"/>
      <c r="D418" s="508"/>
      <c r="E418" s="507"/>
      <c r="F418" s="507"/>
      <c r="G418" s="507"/>
      <c r="H418" s="507"/>
      <c r="I418" s="507"/>
      <c r="J418" s="507"/>
      <c r="K418" s="507"/>
      <c r="L418" s="507"/>
      <c r="M418" s="507"/>
      <c r="N418" s="507"/>
      <c r="O418" s="507"/>
      <c r="P418" s="507"/>
      <c r="Q418" s="507"/>
      <c r="R418" s="507"/>
      <c r="S418" s="507"/>
      <c r="T418" s="507"/>
      <c r="U418" s="507"/>
      <c r="V418" s="507"/>
      <c r="W418" s="507"/>
      <c r="X418" s="507"/>
      <c r="Y418" s="507"/>
      <c r="Z418" s="507"/>
    </row>
    <row r="419" ht="35.25" customHeight="1">
      <c r="A419" s="507"/>
      <c r="B419" s="507"/>
      <c r="C419" s="507"/>
      <c r="D419" s="508"/>
      <c r="E419" s="507"/>
      <c r="F419" s="507"/>
      <c r="G419" s="507"/>
      <c r="H419" s="507"/>
      <c r="I419" s="507"/>
      <c r="J419" s="507"/>
      <c r="K419" s="507"/>
      <c r="L419" s="507"/>
      <c r="M419" s="507"/>
      <c r="N419" s="507"/>
      <c r="O419" s="507"/>
      <c r="P419" s="507"/>
      <c r="Q419" s="507"/>
      <c r="R419" s="507"/>
      <c r="S419" s="507"/>
      <c r="T419" s="507"/>
      <c r="U419" s="507"/>
      <c r="V419" s="507"/>
      <c r="W419" s="507"/>
      <c r="X419" s="507"/>
      <c r="Y419" s="507"/>
      <c r="Z419" s="507"/>
    </row>
    <row r="420" ht="35.25" customHeight="1">
      <c r="A420" s="507"/>
      <c r="B420" s="507"/>
      <c r="C420" s="507"/>
      <c r="D420" s="508"/>
      <c r="E420" s="507"/>
      <c r="F420" s="507"/>
      <c r="G420" s="507"/>
      <c r="H420" s="507"/>
      <c r="I420" s="507"/>
      <c r="J420" s="507"/>
      <c r="K420" s="507"/>
      <c r="L420" s="507"/>
      <c r="M420" s="507"/>
      <c r="N420" s="507"/>
      <c r="O420" s="507"/>
      <c r="P420" s="507"/>
      <c r="Q420" s="507"/>
      <c r="R420" s="507"/>
      <c r="S420" s="507"/>
      <c r="T420" s="507"/>
      <c r="U420" s="507"/>
      <c r="V420" s="507"/>
      <c r="W420" s="507"/>
      <c r="X420" s="507"/>
      <c r="Y420" s="507"/>
      <c r="Z420" s="507"/>
    </row>
    <row r="421" ht="35.25" customHeight="1">
      <c r="A421" s="507"/>
      <c r="B421" s="507"/>
      <c r="C421" s="507"/>
      <c r="D421" s="508"/>
      <c r="E421" s="507"/>
      <c r="F421" s="507"/>
      <c r="G421" s="507"/>
      <c r="H421" s="507"/>
      <c r="I421" s="507"/>
      <c r="J421" s="507"/>
      <c r="K421" s="507"/>
      <c r="L421" s="507"/>
      <c r="M421" s="507"/>
      <c r="N421" s="507"/>
      <c r="O421" s="507"/>
      <c r="P421" s="507"/>
      <c r="Q421" s="507"/>
      <c r="R421" s="507"/>
      <c r="S421" s="507"/>
      <c r="T421" s="507"/>
      <c r="U421" s="507"/>
      <c r="V421" s="507"/>
      <c r="W421" s="507"/>
      <c r="X421" s="507"/>
      <c r="Y421" s="507"/>
      <c r="Z421" s="507"/>
    </row>
    <row r="422" ht="35.25" customHeight="1">
      <c r="A422" s="507"/>
      <c r="B422" s="507"/>
      <c r="C422" s="507"/>
      <c r="D422" s="508"/>
      <c r="E422" s="507"/>
      <c r="F422" s="507"/>
      <c r="G422" s="507"/>
      <c r="H422" s="507"/>
      <c r="I422" s="507"/>
      <c r="J422" s="507"/>
      <c r="K422" s="507"/>
      <c r="L422" s="507"/>
      <c r="M422" s="507"/>
      <c r="N422" s="507"/>
      <c r="O422" s="507"/>
      <c r="P422" s="507"/>
      <c r="Q422" s="507"/>
      <c r="R422" s="507"/>
      <c r="S422" s="507"/>
      <c r="T422" s="507"/>
      <c r="U422" s="507"/>
      <c r="V422" s="507"/>
      <c r="W422" s="507"/>
      <c r="X422" s="507"/>
      <c r="Y422" s="507"/>
      <c r="Z422" s="507"/>
    </row>
    <row r="423" ht="35.25" customHeight="1">
      <c r="A423" s="507"/>
      <c r="B423" s="507"/>
      <c r="C423" s="507"/>
      <c r="D423" s="508"/>
      <c r="E423" s="507"/>
      <c r="F423" s="507"/>
      <c r="G423" s="507"/>
      <c r="H423" s="507"/>
      <c r="I423" s="507"/>
      <c r="J423" s="507"/>
      <c r="K423" s="507"/>
      <c r="L423" s="507"/>
      <c r="M423" s="507"/>
      <c r="N423" s="507"/>
      <c r="O423" s="507"/>
      <c r="P423" s="507"/>
      <c r="Q423" s="507"/>
      <c r="R423" s="507"/>
      <c r="S423" s="507"/>
      <c r="T423" s="507"/>
      <c r="U423" s="507"/>
      <c r="V423" s="507"/>
      <c r="W423" s="507"/>
      <c r="X423" s="507"/>
      <c r="Y423" s="507"/>
      <c r="Z423" s="507"/>
    </row>
    <row r="424" ht="35.25" customHeight="1">
      <c r="A424" s="507"/>
      <c r="B424" s="507"/>
      <c r="C424" s="507"/>
      <c r="D424" s="508"/>
      <c r="E424" s="507"/>
      <c r="F424" s="507"/>
      <c r="G424" s="507"/>
      <c r="H424" s="507"/>
      <c r="I424" s="507"/>
      <c r="J424" s="507"/>
      <c r="K424" s="507"/>
      <c r="L424" s="507"/>
      <c r="M424" s="507"/>
      <c r="N424" s="507"/>
      <c r="O424" s="507"/>
      <c r="P424" s="507"/>
      <c r="Q424" s="507"/>
      <c r="R424" s="507"/>
      <c r="S424" s="507"/>
      <c r="T424" s="507"/>
      <c r="U424" s="507"/>
      <c r="V424" s="507"/>
      <c r="W424" s="507"/>
      <c r="X424" s="507"/>
      <c r="Y424" s="507"/>
      <c r="Z424" s="507"/>
    </row>
    <row r="425" ht="35.25" customHeight="1">
      <c r="A425" s="507"/>
      <c r="B425" s="507"/>
      <c r="C425" s="507"/>
      <c r="D425" s="508"/>
      <c r="E425" s="507"/>
      <c r="F425" s="507"/>
      <c r="G425" s="507"/>
      <c r="H425" s="507"/>
      <c r="I425" s="507"/>
      <c r="J425" s="507"/>
      <c r="K425" s="507"/>
      <c r="L425" s="507"/>
      <c r="M425" s="507"/>
      <c r="N425" s="507"/>
      <c r="O425" s="507"/>
      <c r="P425" s="507"/>
      <c r="Q425" s="507"/>
      <c r="R425" s="507"/>
      <c r="S425" s="507"/>
      <c r="T425" s="507"/>
      <c r="U425" s="507"/>
      <c r="V425" s="507"/>
      <c r="W425" s="507"/>
      <c r="X425" s="507"/>
      <c r="Y425" s="507"/>
      <c r="Z425" s="507"/>
    </row>
    <row r="426" ht="35.25" customHeight="1">
      <c r="A426" s="507"/>
      <c r="B426" s="507"/>
      <c r="C426" s="507"/>
      <c r="D426" s="508"/>
      <c r="E426" s="507"/>
      <c r="F426" s="507"/>
      <c r="G426" s="507"/>
      <c r="H426" s="507"/>
      <c r="I426" s="507"/>
      <c r="J426" s="507"/>
      <c r="K426" s="507"/>
      <c r="L426" s="507"/>
      <c r="M426" s="507"/>
      <c r="N426" s="507"/>
      <c r="O426" s="507"/>
      <c r="P426" s="507"/>
      <c r="Q426" s="507"/>
      <c r="R426" s="507"/>
      <c r="S426" s="507"/>
      <c r="T426" s="507"/>
      <c r="U426" s="507"/>
      <c r="V426" s="507"/>
      <c r="W426" s="507"/>
      <c r="X426" s="507"/>
      <c r="Y426" s="507"/>
      <c r="Z426" s="507"/>
    </row>
    <row r="427" ht="35.25" customHeight="1">
      <c r="A427" s="507"/>
      <c r="B427" s="507"/>
      <c r="C427" s="507"/>
      <c r="D427" s="508"/>
      <c r="E427" s="507"/>
      <c r="F427" s="507"/>
      <c r="G427" s="507"/>
      <c r="H427" s="507"/>
      <c r="I427" s="507"/>
      <c r="J427" s="507"/>
      <c r="K427" s="507"/>
      <c r="L427" s="507"/>
      <c r="M427" s="507"/>
      <c r="N427" s="507"/>
      <c r="O427" s="507"/>
      <c r="P427" s="507"/>
      <c r="Q427" s="507"/>
      <c r="R427" s="507"/>
      <c r="S427" s="507"/>
      <c r="T427" s="507"/>
      <c r="U427" s="507"/>
      <c r="V427" s="507"/>
      <c r="W427" s="507"/>
      <c r="X427" s="507"/>
      <c r="Y427" s="507"/>
      <c r="Z427" s="507"/>
    </row>
    <row r="428" ht="35.25" customHeight="1">
      <c r="A428" s="507"/>
      <c r="B428" s="507"/>
      <c r="C428" s="507"/>
      <c r="D428" s="508"/>
      <c r="E428" s="507"/>
      <c r="F428" s="507"/>
      <c r="G428" s="507"/>
      <c r="H428" s="507"/>
      <c r="I428" s="507"/>
      <c r="J428" s="507"/>
      <c r="K428" s="507"/>
      <c r="L428" s="507"/>
      <c r="M428" s="507"/>
      <c r="N428" s="507"/>
      <c r="O428" s="507"/>
      <c r="P428" s="507"/>
      <c r="Q428" s="507"/>
      <c r="R428" s="507"/>
      <c r="S428" s="507"/>
      <c r="T428" s="507"/>
      <c r="U428" s="507"/>
      <c r="V428" s="507"/>
      <c r="W428" s="507"/>
      <c r="X428" s="507"/>
      <c r="Y428" s="507"/>
      <c r="Z428" s="507"/>
    </row>
    <row r="429" ht="35.25" customHeight="1">
      <c r="A429" s="507"/>
      <c r="B429" s="507"/>
      <c r="C429" s="507"/>
      <c r="D429" s="508"/>
      <c r="E429" s="507"/>
      <c r="F429" s="507"/>
      <c r="G429" s="507"/>
      <c r="H429" s="507"/>
      <c r="I429" s="507"/>
      <c r="J429" s="507"/>
      <c r="K429" s="507"/>
      <c r="L429" s="507"/>
      <c r="M429" s="507"/>
      <c r="N429" s="507"/>
      <c r="O429" s="507"/>
      <c r="P429" s="507"/>
      <c r="Q429" s="507"/>
      <c r="R429" s="507"/>
      <c r="S429" s="507"/>
      <c r="T429" s="507"/>
      <c r="U429" s="507"/>
      <c r="V429" s="507"/>
      <c r="W429" s="507"/>
      <c r="X429" s="507"/>
      <c r="Y429" s="507"/>
      <c r="Z429" s="507"/>
    </row>
    <row r="430" ht="35.25" customHeight="1">
      <c r="A430" s="507"/>
      <c r="B430" s="507"/>
      <c r="C430" s="507"/>
      <c r="D430" s="508"/>
      <c r="E430" s="507"/>
      <c r="F430" s="507"/>
      <c r="G430" s="507"/>
      <c r="H430" s="507"/>
      <c r="I430" s="507"/>
      <c r="J430" s="507"/>
      <c r="K430" s="507"/>
      <c r="L430" s="507"/>
      <c r="M430" s="507"/>
      <c r="N430" s="507"/>
      <c r="O430" s="507"/>
      <c r="P430" s="507"/>
      <c r="Q430" s="507"/>
      <c r="R430" s="507"/>
      <c r="S430" s="507"/>
      <c r="T430" s="507"/>
      <c r="U430" s="507"/>
      <c r="V430" s="507"/>
      <c r="W430" s="507"/>
      <c r="X430" s="507"/>
      <c r="Y430" s="507"/>
      <c r="Z430" s="507"/>
    </row>
    <row r="431" ht="35.25" customHeight="1">
      <c r="A431" s="507"/>
      <c r="B431" s="507"/>
      <c r="C431" s="507"/>
      <c r="D431" s="508"/>
      <c r="E431" s="507"/>
      <c r="F431" s="507"/>
      <c r="G431" s="507"/>
      <c r="H431" s="507"/>
      <c r="I431" s="507"/>
      <c r="J431" s="507"/>
      <c r="K431" s="507"/>
      <c r="L431" s="507"/>
      <c r="M431" s="507"/>
      <c r="N431" s="507"/>
      <c r="O431" s="507"/>
      <c r="P431" s="507"/>
      <c r="Q431" s="507"/>
      <c r="R431" s="507"/>
      <c r="S431" s="507"/>
      <c r="T431" s="507"/>
      <c r="U431" s="507"/>
      <c r="V431" s="507"/>
      <c r="W431" s="507"/>
      <c r="X431" s="507"/>
      <c r="Y431" s="507"/>
      <c r="Z431" s="507"/>
    </row>
    <row r="432" ht="35.25" customHeight="1">
      <c r="A432" s="507"/>
      <c r="B432" s="507"/>
      <c r="C432" s="507"/>
      <c r="D432" s="508"/>
      <c r="E432" s="507"/>
      <c r="F432" s="507"/>
      <c r="G432" s="507"/>
      <c r="H432" s="507"/>
      <c r="I432" s="507"/>
      <c r="J432" s="507"/>
      <c r="K432" s="507"/>
      <c r="L432" s="507"/>
      <c r="M432" s="507"/>
      <c r="N432" s="507"/>
      <c r="O432" s="507"/>
      <c r="P432" s="507"/>
      <c r="Q432" s="507"/>
      <c r="R432" s="507"/>
      <c r="S432" s="507"/>
      <c r="T432" s="507"/>
      <c r="U432" s="507"/>
      <c r="V432" s="507"/>
      <c r="W432" s="507"/>
      <c r="X432" s="507"/>
      <c r="Y432" s="507"/>
      <c r="Z432" s="507"/>
    </row>
    <row r="433" ht="35.25" customHeight="1">
      <c r="A433" s="507"/>
      <c r="B433" s="507"/>
      <c r="C433" s="507"/>
      <c r="D433" s="508"/>
      <c r="E433" s="507"/>
      <c r="F433" s="507"/>
      <c r="G433" s="507"/>
      <c r="H433" s="507"/>
      <c r="I433" s="507"/>
      <c r="J433" s="507"/>
      <c r="K433" s="507"/>
      <c r="L433" s="507"/>
      <c r="M433" s="507"/>
      <c r="N433" s="507"/>
      <c r="O433" s="507"/>
      <c r="P433" s="507"/>
      <c r="Q433" s="507"/>
      <c r="R433" s="507"/>
      <c r="S433" s="507"/>
      <c r="T433" s="507"/>
      <c r="U433" s="507"/>
      <c r="V433" s="507"/>
      <c r="W433" s="507"/>
      <c r="X433" s="507"/>
      <c r="Y433" s="507"/>
      <c r="Z433" s="507"/>
    </row>
    <row r="434" ht="35.25" customHeight="1">
      <c r="A434" s="507"/>
      <c r="B434" s="507"/>
      <c r="C434" s="507"/>
      <c r="D434" s="508"/>
      <c r="E434" s="507"/>
      <c r="F434" s="507"/>
      <c r="G434" s="507"/>
      <c r="H434" s="507"/>
      <c r="I434" s="507"/>
      <c r="J434" s="507"/>
      <c r="K434" s="507"/>
      <c r="L434" s="507"/>
      <c r="M434" s="507"/>
      <c r="N434" s="507"/>
      <c r="O434" s="507"/>
      <c r="P434" s="507"/>
      <c r="Q434" s="507"/>
      <c r="R434" s="507"/>
      <c r="S434" s="507"/>
      <c r="T434" s="507"/>
      <c r="U434" s="507"/>
      <c r="V434" s="507"/>
      <c r="W434" s="507"/>
      <c r="X434" s="507"/>
      <c r="Y434" s="507"/>
      <c r="Z434" s="507"/>
    </row>
    <row r="435" ht="35.25" customHeight="1">
      <c r="A435" s="507"/>
      <c r="B435" s="507"/>
      <c r="C435" s="507"/>
      <c r="D435" s="508"/>
      <c r="E435" s="507"/>
      <c r="F435" s="507"/>
      <c r="G435" s="507"/>
      <c r="H435" s="507"/>
      <c r="I435" s="507"/>
      <c r="J435" s="507"/>
      <c r="K435" s="507"/>
      <c r="L435" s="507"/>
      <c r="M435" s="507"/>
      <c r="N435" s="507"/>
      <c r="O435" s="507"/>
      <c r="P435" s="507"/>
      <c r="Q435" s="507"/>
      <c r="R435" s="507"/>
      <c r="S435" s="507"/>
      <c r="T435" s="507"/>
      <c r="U435" s="507"/>
      <c r="V435" s="507"/>
      <c r="W435" s="507"/>
      <c r="X435" s="507"/>
      <c r="Y435" s="507"/>
      <c r="Z435" s="507"/>
    </row>
    <row r="436" ht="35.25" customHeight="1">
      <c r="A436" s="507"/>
      <c r="B436" s="507"/>
      <c r="C436" s="507"/>
      <c r="D436" s="508"/>
      <c r="E436" s="507"/>
      <c r="F436" s="507"/>
      <c r="G436" s="507"/>
      <c r="H436" s="507"/>
      <c r="I436" s="507"/>
      <c r="J436" s="507"/>
      <c r="K436" s="507"/>
      <c r="L436" s="507"/>
      <c r="M436" s="507"/>
      <c r="N436" s="507"/>
      <c r="O436" s="507"/>
      <c r="P436" s="507"/>
      <c r="Q436" s="507"/>
      <c r="R436" s="507"/>
      <c r="S436" s="507"/>
      <c r="T436" s="507"/>
      <c r="U436" s="507"/>
      <c r="V436" s="507"/>
      <c r="W436" s="507"/>
      <c r="X436" s="507"/>
      <c r="Y436" s="507"/>
      <c r="Z436" s="507"/>
    </row>
    <row r="437" ht="35.25" customHeight="1">
      <c r="A437" s="507"/>
      <c r="B437" s="507"/>
      <c r="C437" s="507"/>
      <c r="D437" s="508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  <c r="O437" s="507"/>
      <c r="P437" s="507"/>
      <c r="Q437" s="507"/>
      <c r="R437" s="507"/>
      <c r="S437" s="507"/>
      <c r="T437" s="507"/>
      <c r="U437" s="507"/>
      <c r="V437" s="507"/>
      <c r="W437" s="507"/>
      <c r="X437" s="507"/>
      <c r="Y437" s="507"/>
      <c r="Z437" s="507"/>
    </row>
    <row r="438" ht="35.25" customHeight="1">
      <c r="A438" s="507"/>
      <c r="B438" s="507"/>
      <c r="C438" s="507"/>
      <c r="D438" s="508"/>
      <c r="E438" s="507"/>
      <c r="F438" s="507"/>
      <c r="G438" s="507"/>
      <c r="H438" s="507"/>
      <c r="I438" s="507"/>
      <c r="J438" s="507"/>
      <c r="K438" s="507"/>
      <c r="L438" s="507"/>
      <c r="M438" s="507"/>
      <c r="N438" s="507"/>
      <c r="O438" s="507"/>
      <c r="P438" s="507"/>
      <c r="Q438" s="507"/>
      <c r="R438" s="507"/>
      <c r="S438" s="507"/>
      <c r="T438" s="507"/>
      <c r="U438" s="507"/>
      <c r="V438" s="507"/>
      <c r="W438" s="507"/>
      <c r="X438" s="507"/>
      <c r="Y438" s="507"/>
      <c r="Z438" s="507"/>
    </row>
    <row r="439" ht="35.25" customHeight="1">
      <c r="A439" s="507"/>
      <c r="B439" s="507"/>
      <c r="C439" s="507"/>
      <c r="D439" s="508"/>
      <c r="E439" s="507"/>
      <c r="F439" s="507"/>
      <c r="G439" s="507"/>
      <c r="H439" s="507"/>
      <c r="I439" s="507"/>
      <c r="J439" s="507"/>
      <c r="K439" s="507"/>
      <c r="L439" s="507"/>
      <c r="M439" s="507"/>
      <c r="N439" s="507"/>
      <c r="O439" s="507"/>
      <c r="P439" s="507"/>
      <c r="Q439" s="507"/>
      <c r="R439" s="507"/>
      <c r="S439" s="507"/>
      <c r="T439" s="507"/>
      <c r="U439" s="507"/>
      <c r="V439" s="507"/>
      <c r="W439" s="507"/>
      <c r="X439" s="507"/>
      <c r="Y439" s="507"/>
      <c r="Z439" s="507"/>
    </row>
    <row r="440" ht="35.25" customHeight="1">
      <c r="A440" s="507"/>
      <c r="B440" s="507"/>
      <c r="C440" s="507"/>
      <c r="D440" s="508"/>
      <c r="E440" s="507"/>
      <c r="F440" s="507"/>
      <c r="G440" s="507"/>
      <c r="H440" s="507"/>
      <c r="I440" s="507"/>
      <c r="J440" s="507"/>
      <c r="K440" s="507"/>
      <c r="L440" s="507"/>
      <c r="M440" s="507"/>
      <c r="N440" s="507"/>
      <c r="O440" s="507"/>
      <c r="P440" s="507"/>
      <c r="Q440" s="507"/>
      <c r="R440" s="507"/>
      <c r="S440" s="507"/>
      <c r="T440" s="507"/>
      <c r="U440" s="507"/>
      <c r="V440" s="507"/>
      <c r="W440" s="507"/>
      <c r="X440" s="507"/>
      <c r="Y440" s="507"/>
      <c r="Z440" s="507"/>
    </row>
    <row r="441" ht="35.25" customHeight="1">
      <c r="A441" s="507"/>
      <c r="B441" s="507"/>
      <c r="C441" s="507"/>
      <c r="D441" s="508"/>
      <c r="E441" s="507"/>
      <c r="F441" s="507"/>
      <c r="G441" s="507"/>
      <c r="H441" s="507"/>
      <c r="I441" s="507"/>
      <c r="J441" s="507"/>
      <c r="K441" s="507"/>
      <c r="L441" s="507"/>
      <c r="M441" s="507"/>
      <c r="N441" s="507"/>
      <c r="O441" s="507"/>
      <c r="P441" s="507"/>
      <c r="Q441" s="507"/>
      <c r="R441" s="507"/>
      <c r="S441" s="507"/>
      <c r="T441" s="507"/>
      <c r="U441" s="507"/>
      <c r="V441" s="507"/>
      <c r="W441" s="507"/>
      <c r="X441" s="507"/>
      <c r="Y441" s="507"/>
      <c r="Z441" s="507"/>
    </row>
    <row r="442" ht="35.25" customHeight="1">
      <c r="A442" s="507"/>
      <c r="B442" s="507"/>
      <c r="C442" s="507"/>
      <c r="D442" s="508"/>
      <c r="E442" s="507"/>
      <c r="F442" s="507"/>
      <c r="G442" s="507"/>
      <c r="H442" s="507"/>
      <c r="I442" s="507"/>
      <c r="J442" s="507"/>
      <c r="K442" s="507"/>
      <c r="L442" s="507"/>
      <c r="M442" s="507"/>
      <c r="N442" s="507"/>
      <c r="O442" s="507"/>
      <c r="P442" s="507"/>
      <c r="Q442" s="507"/>
      <c r="R442" s="507"/>
      <c r="S442" s="507"/>
      <c r="T442" s="507"/>
      <c r="U442" s="507"/>
      <c r="V442" s="507"/>
      <c r="W442" s="507"/>
      <c r="X442" s="507"/>
      <c r="Y442" s="507"/>
      <c r="Z442" s="507"/>
    </row>
    <row r="443" ht="35.25" customHeight="1">
      <c r="A443" s="507"/>
      <c r="B443" s="507"/>
      <c r="C443" s="507"/>
      <c r="D443" s="508"/>
      <c r="E443" s="507"/>
      <c r="F443" s="507"/>
      <c r="G443" s="507"/>
      <c r="H443" s="507"/>
      <c r="I443" s="507"/>
      <c r="J443" s="507"/>
      <c r="K443" s="507"/>
      <c r="L443" s="507"/>
      <c r="M443" s="507"/>
      <c r="N443" s="507"/>
      <c r="O443" s="507"/>
      <c r="P443" s="507"/>
      <c r="Q443" s="507"/>
      <c r="R443" s="507"/>
      <c r="S443" s="507"/>
      <c r="T443" s="507"/>
      <c r="U443" s="507"/>
      <c r="V443" s="507"/>
      <c r="W443" s="507"/>
      <c r="X443" s="507"/>
      <c r="Y443" s="507"/>
      <c r="Z443" s="507"/>
    </row>
    <row r="444" ht="35.25" customHeight="1">
      <c r="A444" s="507"/>
      <c r="B444" s="507"/>
      <c r="C444" s="507"/>
      <c r="D444" s="508"/>
      <c r="E444" s="507"/>
      <c r="F444" s="507"/>
      <c r="G444" s="507"/>
      <c r="H444" s="507"/>
      <c r="I444" s="507"/>
      <c r="J444" s="507"/>
      <c r="K444" s="507"/>
      <c r="L444" s="507"/>
      <c r="M444" s="507"/>
      <c r="N444" s="507"/>
      <c r="O444" s="507"/>
      <c r="P444" s="507"/>
      <c r="Q444" s="507"/>
      <c r="R444" s="507"/>
      <c r="S444" s="507"/>
      <c r="T444" s="507"/>
      <c r="U444" s="507"/>
      <c r="V444" s="507"/>
      <c r="W444" s="507"/>
      <c r="X444" s="507"/>
      <c r="Y444" s="507"/>
      <c r="Z444" s="507"/>
    </row>
    <row r="445" ht="35.25" customHeight="1">
      <c r="A445" s="507"/>
      <c r="B445" s="507"/>
      <c r="C445" s="507"/>
      <c r="D445" s="508"/>
      <c r="E445" s="507"/>
      <c r="F445" s="507"/>
      <c r="G445" s="507"/>
      <c r="H445" s="507"/>
      <c r="I445" s="507"/>
      <c r="J445" s="507"/>
      <c r="K445" s="507"/>
      <c r="L445" s="507"/>
      <c r="M445" s="507"/>
      <c r="N445" s="507"/>
      <c r="O445" s="507"/>
      <c r="P445" s="507"/>
      <c r="Q445" s="507"/>
      <c r="R445" s="507"/>
      <c r="S445" s="507"/>
      <c r="T445" s="507"/>
      <c r="U445" s="507"/>
      <c r="V445" s="507"/>
      <c r="W445" s="507"/>
      <c r="X445" s="507"/>
      <c r="Y445" s="507"/>
      <c r="Z445" s="507"/>
    </row>
    <row r="446" ht="35.25" customHeight="1">
      <c r="A446" s="507"/>
      <c r="B446" s="507"/>
      <c r="C446" s="507"/>
      <c r="D446" s="508"/>
      <c r="E446" s="507"/>
      <c r="F446" s="507"/>
      <c r="G446" s="507"/>
      <c r="H446" s="507"/>
      <c r="I446" s="507"/>
      <c r="J446" s="507"/>
      <c r="K446" s="507"/>
      <c r="L446" s="507"/>
      <c r="M446" s="507"/>
      <c r="N446" s="507"/>
      <c r="O446" s="507"/>
      <c r="P446" s="507"/>
      <c r="Q446" s="507"/>
      <c r="R446" s="507"/>
      <c r="S446" s="507"/>
      <c r="T446" s="507"/>
      <c r="U446" s="507"/>
      <c r="V446" s="507"/>
      <c r="W446" s="507"/>
      <c r="X446" s="507"/>
      <c r="Y446" s="507"/>
      <c r="Z446" s="507"/>
    </row>
    <row r="447" ht="35.25" customHeight="1">
      <c r="A447" s="507"/>
      <c r="B447" s="507"/>
      <c r="C447" s="507"/>
      <c r="D447" s="508"/>
      <c r="E447" s="507"/>
      <c r="F447" s="507"/>
      <c r="G447" s="507"/>
      <c r="H447" s="507"/>
      <c r="I447" s="507"/>
      <c r="J447" s="507"/>
      <c r="K447" s="507"/>
      <c r="L447" s="507"/>
      <c r="M447" s="507"/>
      <c r="N447" s="507"/>
      <c r="O447" s="507"/>
      <c r="P447" s="507"/>
      <c r="Q447" s="507"/>
      <c r="R447" s="507"/>
      <c r="S447" s="507"/>
      <c r="T447" s="507"/>
      <c r="U447" s="507"/>
      <c r="V447" s="507"/>
      <c r="W447" s="507"/>
      <c r="X447" s="507"/>
      <c r="Y447" s="507"/>
      <c r="Z447" s="507"/>
    </row>
    <row r="448" ht="35.25" customHeight="1">
      <c r="A448" s="507"/>
      <c r="B448" s="507"/>
      <c r="C448" s="507"/>
      <c r="D448" s="508"/>
      <c r="E448" s="507"/>
      <c r="F448" s="507"/>
      <c r="G448" s="507"/>
      <c r="H448" s="507"/>
      <c r="I448" s="507"/>
      <c r="J448" s="507"/>
      <c r="K448" s="507"/>
      <c r="L448" s="507"/>
      <c r="M448" s="507"/>
      <c r="N448" s="507"/>
      <c r="O448" s="507"/>
      <c r="P448" s="507"/>
      <c r="Q448" s="507"/>
      <c r="R448" s="507"/>
      <c r="S448" s="507"/>
      <c r="T448" s="507"/>
      <c r="U448" s="507"/>
      <c r="V448" s="507"/>
      <c r="W448" s="507"/>
      <c r="X448" s="507"/>
      <c r="Y448" s="507"/>
      <c r="Z448" s="507"/>
    </row>
    <row r="449" ht="35.25" customHeight="1">
      <c r="A449" s="507"/>
      <c r="B449" s="507"/>
      <c r="C449" s="507"/>
      <c r="D449" s="508"/>
      <c r="E449" s="507"/>
      <c r="F449" s="507"/>
      <c r="G449" s="507"/>
      <c r="H449" s="507"/>
      <c r="I449" s="507"/>
      <c r="J449" s="507"/>
      <c r="K449" s="507"/>
      <c r="L449" s="507"/>
      <c r="M449" s="507"/>
      <c r="N449" s="507"/>
      <c r="O449" s="507"/>
      <c r="P449" s="507"/>
      <c r="Q449" s="507"/>
      <c r="R449" s="507"/>
      <c r="S449" s="507"/>
      <c r="T449" s="507"/>
      <c r="U449" s="507"/>
      <c r="V449" s="507"/>
      <c r="W449" s="507"/>
      <c r="X449" s="507"/>
      <c r="Y449" s="507"/>
      <c r="Z449" s="507"/>
    </row>
    <row r="450" ht="35.25" customHeight="1">
      <c r="A450" s="507"/>
      <c r="B450" s="507"/>
      <c r="C450" s="507"/>
      <c r="D450" s="508"/>
      <c r="E450" s="507"/>
      <c r="F450" s="507"/>
      <c r="G450" s="507"/>
      <c r="H450" s="507"/>
      <c r="I450" s="507"/>
      <c r="J450" s="507"/>
      <c r="K450" s="507"/>
      <c r="L450" s="507"/>
      <c r="M450" s="507"/>
      <c r="N450" s="507"/>
      <c r="O450" s="507"/>
      <c r="P450" s="507"/>
      <c r="Q450" s="507"/>
      <c r="R450" s="507"/>
      <c r="S450" s="507"/>
      <c r="T450" s="507"/>
      <c r="U450" s="507"/>
      <c r="V450" s="507"/>
      <c r="W450" s="507"/>
      <c r="X450" s="507"/>
      <c r="Y450" s="507"/>
      <c r="Z450" s="507"/>
    </row>
    <row r="451" ht="35.25" customHeight="1">
      <c r="A451" s="507"/>
      <c r="B451" s="507"/>
      <c r="C451" s="507"/>
      <c r="D451" s="508"/>
      <c r="E451" s="507"/>
      <c r="F451" s="507"/>
      <c r="G451" s="507"/>
      <c r="H451" s="507"/>
      <c r="I451" s="507"/>
      <c r="J451" s="507"/>
      <c r="K451" s="507"/>
      <c r="L451" s="507"/>
      <c r="M451" s="507"/>
      <c r="N451" s="507"/>
      <c r="O451" s="507"/>
      <c r="P451" s="507"/>
      <c r="Q451" s="507"/>
      <c r="R451" s="507"/>
      <c r="S451" s="507"/>
      <c r="T451" s="507"/>
      <c r="U451" s="507"/>
      <c r="V451" s="507"/>
      <c r="W451" s="507"/>
      <c r="X451" s="507"/>
      <c r="Y451" s="507"/>
      <c r="Z451" s="507"/>
    </row>
    <row r="452" ht="35.25" customHeight="1">
      <c r="A452" s="507"/>
      <c r="B452" s="507"/>
      <c r="C452" s="507"/>
      <c r="D452" s="508"/>
      <c r="E452" s="507"/>
      <c r="F452" s="507"/>
      <c r="G452" s="507"/>
      <c r="H452" s="507"/>
      <c r="I452" s="507"/>
      <c r="J452" s="507"/>
      <c r="K452" s="507"/>
      <c r="L452" s="507"/>
      <c r="M452" s="507"/>
      <c r="N452" s="507"/>
      <c r="O452" s="507"/>
      <c r="P452" s="507"/>
      <c r="Q452" s="507"/>
      <c r="R452" s="507"/>
      <c r="S452" s="507"/>
      <c r="T452" s="507"/>
      <c r="U452" s="507"/>
      <c r="V452" s="507"/>
      <c r="W452" s="507"/>
      <c r="X452" s="507"/>
      <c r="Y452" s="507"/>
      <c r="Z452" s="507"/>
    </row>
    <row r="453" ht="35.25" customHeight="1">
      <c r="A453" s="507"/>
      <c r="B453" s="507"/>
      <c r="C453" s="507"/>
      <c r="D453" s="508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07"/>
      <c r="W453" s="507"/>
      <c r="X453" s="507"/>
      <c r="Y453" s="507"/>
      <c r="Z453" s="507"/>
    </row>
    <row r="454" ht="35.25" customHeight="1">
      <c r="A454" s="507"/>
      <c r="B454" s="507"/>
      <c r="C454" s="507"/>
      <c r="D454" s="508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07"/>
      <c r="W454" s="507"/>
      <c r="X454" s="507"/>
      <c r="Y454" s="507"/>
      <c r="Z454" s="507"/>
    </row>
    <row r="455" ht="35.25" customHeight="1">
      <c r="A455" s="507"/>
      <c r="B455" s="507"/>
      <c r="C455" s="507"/>
      <c r="D455" s="508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507"/>
      <c r="W455" s="507"/>
      <c r="X455" s="507"/>
      <c r="Y455" s="507"/>
      <c r="Z455" s="507"/>
    </row>
    <row r="456" ht="35.25" customHeight="1">
      <c r="A456" s="507"/>
      <c r="B456" s="507"/>
      <c r="C456" s="507"/>
      <c r="D456" s="508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07"/>
      <c r="W456" s="507"/>
      <c r="X456" s="507"/>
      <c r="Y456" s="507"/>
      <c r="Z456" s="507"/>
    </row>
    <row r="457" ht="35.25" customHeight="1">
      <c r="A457" s="507"/>
      <c r="B457" s="507"/>
      <c r="C457" s="507"/>
      <c r="D457" s="508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507"/>
      <c r="W457" s="507"/>
      <c r="X457" s="507"/>
      <c r="Y457" s="507"/>
      <c r="Z457" s="507"/>
    </row>
    <row r="458" ht="35.25" customHeight="1">
      <c r="A458" s="507"/>
      <c r="B458" s="507"/>
      <c r="C458" s="507"/>
      <c r="D458" s="508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07"/>
      <c r="W458" s="507"/>
      <c r="X458" s="507"/>
      <c r="Y458" s="507"/>
      <c r="Z458" s="507"/>
    </row>
    <row r="459" ht="35.25" customHeight="1">
      <c r="A459" s="507"/>
      <c r="B459" s="507"/>
      <c r="C459" s="507"/>
      <c r="D459" s="508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07"/>
      <c r="W459" s="507"/>
      <c r="X459" s="507"/>
      <c r="Y459" s="507"/>
      <c r="Z459" s="507"/>
    </row>
    <row r="460" ht="35.25" customHeight="1">
      <c r="A460" s="507"/>
      <c r="B460" s="507"/>
      <c r="C460" s="507"/>
      <c r="D460" s="508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507"/>
      <c r="W460" s="507"/>
      <c r="X460" s="507"/>
      <c r="Y460" s="507"/>
      <c r="Z460" s="507"/>
    </row>
    <row r="461" ht="35.25" customHeight="1">
      <c r="A461" s="507"/>
      <c r="B461" s="507"/>
      <c r="C461" s="507"/>
      <c r="D461" s="508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507"/>
      <c r="V461" s="507"/>
      <c r="W461" s="507"/>
      <c r="X461" s="507"/>
      <c r="Y461" s="507"/>
      <c r="Z461" s="507"/>
    </row>
    <row r="462" ht="35.25" customHeight="1">
      <c r="A462" s="507"/>
      <c r="B462" s="507"/>
      <c r="C462" s="507"/>
      <c r="D462" s="508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507"/>
      <c r="V462" s="507"/>
      <c r="W462" s="507"/>
      <c r="X462" s="507"/>
      <c r="Y462" s="507"/>
      <c r="Z462" s="507"/>
    </row>
    <row r="463" ht="35.25" customHeight="1">
      <c r="A463" s="507"/>
      <c r="B463" s="507"/>
      <c r="C463" s="507"/>
      <c r="D463" s="508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507"/>
      <c r="V463" s="507"/>
      <c r="W463" s="507"/>
      <c r="X463" s="507"/>
      <c r="Y463" s="507"/>
      <c r="Z463" s="507"/>
    </row>
    <row r="464" ht="35.25" customHeight="1">
      <c r="A464" s="507"/>
      <c r="B464" s="507"/>
      <c r="C464" s="507"/>
      <c r="D464" s="508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507"/>
      <c r="V464" s="507"/>
      <c r="W464" s="507"/>
      <c r="X464" s="507"/>
      <c r="Y464" s="507"/>
      <c r="Z464" s="507"/>
    </row>
    <row r="465" ht="35.25" customHeight="1">
      <c r="A465" s="507"/>
      <c r="B465" s="507"/>
      <c r="C465" s="507"/>
      <c r="D465" s="508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07"/>
      <c r="W465" s="507"/>
      <c r="X465" s="507"/>
      <c r="Y465" s="507"/>
      <c r="Z465" s="507"/>
    </row>
    <row r="466" ht="35.25" customHeight="1">
      <c r="A466" s="507"/>
      <c r="B466" s="507"/>
      <c r="C466" s="507"/>
      <c r="D466" s="508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507"/>
      <c r="W466" s="507"/>
      <c r="X466" s="507"/>
      <c r="Y466" s="507"/>
      <c r="Z466" s="507"/>
    </row>
    <row r="467" ht="35.25" customHeight="1">
      <c r="A467" s="507"/>
      <c r="B467" s="507"/>
      <c r="C467" s="507"/>
      <c r="D467" s="508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07"/>
      <c r="W467" s="507"/>
      <c r="X467" s="507"/>
      <c r="Y467" s="507"/>
      <c r="Z467" s="507"/>
    </row>
    <row r="468" ht="35.25" customHeight="1">
      <c r="A468" s="507"/>
      <c r="B468" s="507"/>
      <c r="C468" s="507"/>
      <c r="D468" s="508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507"/>
      <c r="W468" s="507"/>
      <c r="X468" s="507"/>
      <c r="Y468" s="507"/>
      <c r="Z468" s="507"/>
    </row>
    <row r="469" ht="35.25" customHeight="1">
      <c r="A469" s="507"/>
      <c r="B469" s="507"/>
      <c r="C469" s="507"/>
      <c r="D469" s="508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07"/>
      <c r="W469" s="507"/>
      <c r="X469" s="507"/>
      <c r="Y469" s="507"/>
      <c r="Z469" s="507"/>
    </row>
    <row r="470" ht="35.25" customHeight="1">
      <c r="A470" s="507"/>
      <c r="B470" s="507"/>
      <c r="C470" s="507"/>
      <c r="D470" s="508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07"/>
      <c r="W470" s="507"/>
      <c r="X470" s="507"/>
      <c r="Y470" s="507"/>
      <c r="Z470" s="507"/>
    </row>
    <row r="471" ht="35.25" customHeight="1">
      <c r="A471" s="507"/>
      <c r="B471" s="507"/>
      <c r="C471" s="507"/>
      <c r="D471" s="508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07"/>
      <c r="W471" s="507"/>
      <c r="X471" s="507"/>
      <c r="Y471" s="507"/>
      <c r="Z471" s="507"/>
    </row>
    <row r="472" ht="35.25" customHeight="1">
      <c r="A472" s="507"/>
      <c r="B472" s="507"/>
      <c r="C472" s="507"/>
      <c r="D472" s="508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07"/>
      <c r="W472" s="507"/>
      <c r="X472" s="507"/>
      <c r="Y472" s="507"/>
      <c r="Z472" s="507"/>
    </row>
    <row r="473" ht="35.25" customHeight="1">
      <c r="A473" s="507"/>
      <c r="B473" s="507"/>
      <c r="C473" s="507"/>
      <c r="D473" s="508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07"/>
      <c r="W473" s="507"/>
      <c r="X473" s="507"/>
      <c r="Y473" s="507"/>
      <c r="Z473" s="507"/>
    </row>
    <row r="474" ht="35.25" customHeight="1">
      <c r="A474" s="507"/>
      <c r="B474" s="507"/>
      <c r="C474" s="507"/>
      <c r="D474" s="508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07"/>
      <c r="W474" s="507"/>
      <c r="X474" s="507"/>
      <c r="Y474" s="507"/>
      <c r="Z474" s="507"/>
    </row>
    <row r="475" ht="35.25" customHeight="1">
      <c r="A475" s="507"/>
      <c r="B475" s="507"/>
      <c r="C475" s="507"/>
      <c r="D475" s="508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07"/>
      <c r="W475" s="507"/>
      <c r="X475" s="507"/>
      <c r="Y475" s="507"/>
      <c r="Z475" s="507"/>
    </row>
    <row r="476" ht="35.25" customHeight="1">
      <c r="A476" s="507"/>
      <c r="B476" s="507"/>
      <c r="C476" s="507"/>
      <c r="D476" s="508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07"/>
      <c r="W476" s="507"/>
      <c r="X476" s="507"/>
      <c r="Y476" s="507"/>
      <c r="Z476" s="507"/>
    </row>
    <row r="477" ht="35.25" customHeight="1">
      <c r="A477" s="507"/>
      <c r="B477" s="507"/>
      <c r="C477" s="507"/>
      <c r="D477" s="508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07"/>
      <c r="W477" s="507"/>
      <c r="X477" s="507"/>
      <c r="Y477" s="507"/>
      <c r="Z477" s="507"/>
    </row>
    <row r="478" ht="35.25" customHeight="1">
      <c r="A478" s="507"/>
      <c r="B478" s="507"/>
      <c r="C478" s="507"/>
      <c r="D478" s="508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07"/>
      <c r="W478" s="507"/>
      <c r="X478" s="507"/>
      <c r="Y478" s="507"/>
      <c r="Z478" s="507"/>
    </row>
    <row r="479" ht="35.25" customHeight="1">
      <c r="A479" s="507"/>
      <c r="B479" s="507"/>
      <c r="C479" s="507"/>
      <c r="D479" s="508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07"/>
      <c r="W479" s="507"/>
      <c r="X479" s="507"/>
      <c r="Y479" s="507"/>
      <c r="Z479" s="507"/>
    </row>
    <row r="480" ht="35.25" customHeight="1">
      <c r="A480" s="507"/>
      <c r="B480" s="507"/>
      <c r="C480" s="507"/>
      <c r="D480" s="508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507"/>
      <c r="W480" s="507"/>
      <c r="X480" s="507"/>
      <c r="Y480" s="507"/>
      <c r="Z480" s="507"/>
    </row>
    <row r="481" ht="35.25" customHeight="1">
      <c r="A481" s="507"/>
      <c r="B481" s="507"/>
      <c r="C481" s="507"/>
      <c r="D481" s="508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507"/>
      <c r="W481" s="507"/>
      <c r="X481" s="507"/>
      <c r="Y481" s="507"/>
      <c r="Z481" s="507"/>
    </row>
    <row r="482" ht="35.25" customHeight="1">
      <c r="A482" s="507"/>
      <c r="B482" s="507"/>
      <c r="C482" s="507"/>
      <c r="D482" s="508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507"/>
      <c r="W482" s="507"/>
      <c r="X482" s="507"/>
      <c r="Y482" s="507"/>
      <c r="Z482" s="507"/>
    </row>
    <row r="483" ht="35.25" customHeight="1">
      <c r="A483" s="507"/>
      <c r="B483" s="507"/>
      <c r="C483" s="507"/>
      <c r="D483" s="508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507"/>
      <c r="W483" s="507"/>
      <c r="X483" s="507"/>
      <c r="Y483" s="507"/>
      <c r="Z483" s="507"/>
    </row>
    <row r="484" ht="35.25" customHeight="1">
      <c r="A484" s="507"/>
      <c r="B484" s="507"/>
      <c r="C484" s="507"/>
      <c r="D484" s="508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507"/>
      <c r="W484" s="507"/>
      <c r="X484" s="507"/>
      <c r="Y484" s="507"/>
      <c r="Z484" s="507"/>
    </row>
    <row r="485" ht="35.25" customHeight="1">
      <c r="A485" s="507"/>
      <c r="B485" s="507"/>
      <c r="C485" s="507"/>
      <c r="D485" s="508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507"/>
      <c r="W485" s="507"/>
      <c r="X485" s="507"/>
      <c r="Y485" s="507"/>
      <c r="Z485" s="507"/>
    </row>
    <row r="486" ht="35.25" customHeight="1">
      <c r="A486" s="507"/>
      <c r="B486" s="507"/>
      <c r="C486" s="507"/>
      <c r="D486" s="508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507"/>
      <c r="W486" s="507"/>
      <c r="X486" s="507"/>
      <c r="Y486" s="507"/>
      <c r="Z486" s="507"/>
    </row>
    <row r="487" ht="35.25" customHeight="1">
      <c r="A487" s="507"/>
      <c r="B487" s="507"/>
      <c r="C487" s="507"/>
      <c r="D487" s="508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507"/>
      <c r="W487" s="507"/>
      <c r="X487" s="507"/>
      <c r="Y487" s="507"/>
      <c r="Z487" s="507"/>
    </row>
    <row r="488" ht="35.25" customHeight="1">
      <c r="A488" s="507"/>
      <c r="B488" s="507"/>
      <c r="C488" s="507"/>
      <c r="D488" s="508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507"/>
      <c r="W488" s="507"/>
      <c r="X488" s="507"/>
      <c r="Y488" s="507"/>
      <c r="Z488" s="507"/>
    </row>
    <row r="489" ht="35.25" customHeight="1">
      <c r="A489" s="507"/>
      <c r="B489" s="507"/>
      <c r="C489" s="507"/>
      <c r="D489" s="508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507"/>
      <c r="W489" s="507"/>
      <c r="X489" s="507"/>
      <c r="Y489" s="507"/>
      <c r="Z489" s="507"/>
    </row>
    <row r="490" ht="35.25" customHeight="1">
      <c r="A490" s="507"/>
      <c r="B490" s="507"/>
      <c r="C490" s="507"/>
      <c r="D490" s="508"/>
      <c r="E490" s="507"/>
      <c r="F490" s="507"/>
      <c r="G490" s="507"/>
      <c r="H490" s="507"/>
      <c r="I490" s="507"/>
      <c r="J490" s="507"/>
      <c r="K490" s="507"/>
      <c r="L490" s="507"/>
      <c r="M490" s="507"/>
      <c r="N490" s="507"/>
      <c r="O490" s="507"/>
      <c r="P490" s="507"/>
      <c r="Q490" s="507"/>
      <c r="R490" s="507"/>
      <c r="S490" s="507"/>
      <c r="T490" s="507"/>
      <c r="U490" s="507"/>
      <c r="V490" s="507"/>
      <c r="W490" s="507"/>
      <c r="X490" s="507"/>
      <c r="Y490" s="507"/>
      <c r="Z490" s="507"/>
    </row>
    <row r="491" ht="35.25" customHeight="1">
      <c r="A491" s="507"/>
      <c r="B491" s="507"/>
      <c r="C491" s="507"/>
      <c r="D491" s="508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07"/>
      <c r="W491" s="507"/>
      <c r="X491" s="507"/>
      <c r="Y491" s="507"/>
      <c r="Z491" s="507"/>
    </row>
    <row r="492" ht="35.25" customHeight="1">
      <c r="A492" s="507"/>
      <c r="B492" s="507"/>
      <c r="C492" s="507"/>
      <c r="D492" s="508"/>
      <c r="E492" s="507"/>
      <c r="F492" s="507"/>
      <c r="G492" s="507"/>
      <c r="H492" s="507"/>
      <c r="I492" s="507"/>
      <c r="J492" s="507"/>
      <c r="K492" s="507"/>
      <c r="L492" s="507"/>
      <c r="M492" s="507"/>
      <c r="N492" s="507"/>
      <c r="O492" s="507"/>
      <c r="P492" s="507"/>
      <c r="Q492" s="507"/>
      <c r="R492" s="507"/>
      <c r="S492" s="507"/>
      <c r="T492" s="507"/>
      <c r="U492" s="507"/>
      <c r="V492" s="507"/>
      <c r="W492" s="507"/>
      <c r="X492" s="507"/>
      <c r="Y492" s="507"/>
      <c r="Z492" s="507"/>
    </row>
    <row r="493" ht="35.25" customHeight="1">
      <c r="A493" s="507"/>
      <c r="B493" s="507"/>
      <c r="C493" s="507"/>
      <c r="D493" s="508"/>
      <c r="E493" s="507"/>
      <c r="F493" s="507"/>
      <c r="G493" s="507"/>
      <c r="H493" s="507"/>
      <c r="I493" s="507"/>
      <c r="J493" s="507"/>
      <c r="K493" s="507"/>
      <c r="L493" s="507"/>
      <c r="M493" s="507"/>
      <c r="N493" s="507"/>
      <c r="O493" s="507"/>
      <c r="P493" s="507"/>
      <c r="Q493" s="507"/>
      <c r="R493" s="507"/>
      <c r="S493" s="507"/>
      <c r="T493" s="507"/>
      <c r="U493" s="507"/>
      <c r="V493" s="507"/>
      <c r="W493" s="507"/>
      <c r="X493" s="507"/>
      <c r="Y493" s="507"/>
      <c r="Z493" s="507"/>
    </row>
    <row r="494" ht="35.25" customHeight="1">
      <c r="A494" s="507"/>
      <c r="B494" s="507"/>
      <c r="C494" s="507"/>
      <c r="D494" s="508"/>
      <c r="E494" s="507"/>
      <c r="F494" s="507"/>
      <c r="G494" s="507"/>
      <c r="H494" s="507"/>
      <c r="I494" s="507"/>
      <c r="J494" s="507"/>
      <c r="K494" s="507"/>
      <c r="L494" s="507"/>
      <c r="M494" s="507"/>
      <c r="N494" s="507"/>
      <c r="O494" s="507"/>
      <c r="P494" s="507"/>
      <c r="Q494" s="507"/>
      <c r="R494" s="507"/>
      <c r="S494" s="507"/>
      <c r="T494" s="507"/>
      <c r="U494" s="507"/>
      <c r="V494" s="507"/>
      <c r="W494" s="507"/>
      <c r="X494" s="507"/>
      <c r="Y494" s="507"/>
      <c r="Z494" s="507"/>
    </row>
    <row r="495" ht="35.25" customHeight="1">
      <c r="A495" s="507"/>
      <c r="B495" s="507"/>
      <c r="C495" s="507"/>
      <c r="D495" s="508"/>
      <c r="E495" s="507"/>
      <c r="F495" s="507"/>
      <c r="G495" s="507"/>
      <c r="H495" s="507"/>
      <c r="I495" s="507"/>
      <c r="J495" s="507"/>
      <c r="K495" s="507"/>
      <c r="L495" s="507"/>
      <c r="M495" s="507"/>
      <c r="N495" s="507"/>
      <c r="O495" s="507"/>
      <c r="P495" s="507"/>
      <c r="Q495" s="507"/>
      <c r="R495" s="507"/>
      <c r="S495" s="507"/>
      <c r="T495" s="507"/>
      <c r="U495" s="507"/>
      <c r="V495" s="507"/>
      <c r="W495" s="507"/>
      <c r="X495" s="507"/>
      <c r="Y495" s="507"/>
      <c r="Z495" s="507"/>
    </row>
    <row r="496" ht="35.25" customHeight="1">
      <c r="A496" s="507"/>
      <c r="B496" s="507"/>
      <c r="C496" s="507"/>
      <c r="D496" s="508"/>
      <c r="E496" s="507"/>
      <c r="F496" s="507"/>
      <c r="G496" s="507"/>
      <c r="H496" s="507"/>
      <c r="I496" s="507"/>
      <c r="J496" s="507"/>
      <c r="K496" s="507"/>
      <c r="L496" s="507"/>
      <c r="M496" s="507"/>
      <c r="N496" s="507"/>
      <c r="O496" s="507"/>
      <c r="P496" s="507"/>
      <c r="Q496" s="507"/>
      <c r="R496" s="507"/>
      <c r="S496" s="507"/>
      <c r="T496" s="507"/>
      <c r="U496" s="507"/>
      <c r="V496" s="507"/>
      <c r="W496" s="507"/>
      <c r="X496" s="507"/>
      <c r="Y496" s="507"/>
      <c r="Z496" s="507"/>
    </row>
    <row r="497" ht="35.25" customHeight="1">
      <c r="A497" s="507"/>
      <c r="B497" s="507"/>
      <c r="C497" s="507"/>
      <c r="D497" s="508"/>
      <c r="E497" s="507"/>
      <c r="F497" s="507"/>
      <c r="G497" s="507"/>
      <c r="H497" s="507"/>
      <c r="I497" s="507"/>
      <c r="J497" s="507"/>
      <c r="K497" s="507"/>
      <c r="L497" s="507"/>
      <c r="M497" s="507"/>
      <c r="N497" s="507"/>
      <c r="O497" s="507"/>
      <c r="P497" s="507"/>
      <c r="Q497" s="507"/>
      <c r="R497" s="507"/>
      <c r="S497" s="507"/>
      <c r="T497" s="507"/>
      <c r="U497" s="507"/>
      <c r="V497" s="507"/>
      <c r="W497" s="507"/>
      <c r="X497" s="507"/>
      <c r="Y497" s="507"/>
      <c r="Z497" s="507"/>
    </row>
    <row r="498" ht="35.25" customHeight="1">
      <c r="A498" s="507"/>
      <c r="B498" s="507"/>
      <c r="C498" s="507"/>
      <c r="D498" s="508"/>
      <c r="E498" s="507"/>
      <c r="F498" s="507"/>
      <c r="G498" s="507"/>
      <c r="H498" s="507"/>
      <c r="I498" s="507"/>
      <c r="J498" s="507"/>
      <c r="K498" s="507"/>
      <c r="L498" s="507"/>
      <c r="M498" s="507"/>
      <c r="N498" s="507"/>
      <c r="O498" s="507"/>
      <c r="P498" s="507"/>
      <c r="Q498" s="507"/>
      <c r="R498" s="507"/>
      <c r="S498" s="507"/>
      <c r="T498" s="507"/>
      <c r="U498" s="507"/>
      <c r="V498" s="507"/>
      <c r="W498" s="507"/>
      <c r="X498" s="507"/>
      <c r="Y498" s="507"/>
      <c r="Z498" s="507"/>
    </row>
    <row r="499" ht="35.25" customHeight="1">
      <c r="A499" s="507"/>
      <c r="B499" s="507"/>
      <c r="C499" s="507"/>
      <c r="D499" s="508"/>
      <c r="E499" s="507"/>
      <c r="F499" s="507"/>
      <c r="G499" s="507"/>
      <c r="H499" s="507"/>
      <c r="I499" s="507"/>
      <c r="J499" s="507"/>
      <c r="K499" s="507"/>
      <c r="L499" s="507"/>
      <c r="M499" s="507"/>
      <c r="N499" s="507"/>
      <c r="O499" s="507"/>
      <c r="P499" s="507"/>
      <c r="Q499" s="507"/>
      <c r="R499" s="507"/>
      <c r="S499" s="507"/>
      <c r="T499" s="507"/>
      <c r="U499" s="507"/>
      <c r="V499" s="507"/>
      <c r="W499" s="507"/>
      <c r="X499" s="507"/>
      <c r="Y499" s="507"/>
      <c r="Z499" s="507"/>
    </row>
    <row r="500" ht="35.25" customHeight="1">
      <c r="A500" s="507"/>
      <c r="B500" s="507"/>
      <c r="C500" s="507"/>
      <c r="D500" s="508"/>
      <c r="E500" s="507"/>
      <c r="F500" s="507"/>
      <c r="G500" s="507"/>
      <c r="H500" s="507"/>
      <c r="I500" s="507"/>
      <c r="J500" s="507"/>
      <c r="K500" s="507"/>
      <c r="L500" s="507"/>
      <c r="M500" s="507"/>
      <c r="N500" s="507"/>
      <c r="O500" s="507"/>
      <c r="P500" s="507"/>
      <c r="Q500" s="507"/>
      <c r="R500" s="507"/>
      <c r="S500" s="507"/>
      <c r="T500" s="507"/>
      <c r="U500" s="507"/>
      <c r="V500" s="507"/>
      <c r="W500" s="507"/>
      <c r="X500" s="507"/>
      <c r="Y500" s="507"/>
      <c r="Z500" s="507"/>
    </row>
    <row r="501" ht="35.25" customHeight="1">
      <c r="A501" s="507"/>
      <c r="B501" s="507"/>
      <c r="C501" s="507"/>
      <c r="D501" s="508"/>
      <c r="E501" s="507"/>
      <c r="F501" s="507"/>
      <c r="G501" s="507"/>
      <c r="H501" s="507"/>
      <c r="I501" s="507"/>
      <c r="J501" s="507"/>
      <c r="K501" s="507"/>
      <c r="L501" s="507"/>
      <c r="M501" s="507"/>
      <c r="N501" s="507"/>
      <c r="O501" s="507"/>
      <c r="P501" s="507"/>
      <c r="Q501" s="507"/>
      <c r="R501" s="507"/>
      <c r="S501" s="507"/>
      <c r="T501" s="507"/>
      <c r="U501" s="507"/>
      <c r="V501" s="507"/>
      <c r="W501" s="507"/>
      <c r="X501" s="507"/>
      <c r="Y501" s="507"/>
      <c r="Z501" s="507"/>
    </row>
    <row r="502" ht="35.25" customHeight="1">
      <c r="A502" s="507"/>
      <c r="B502" s="507"/>
      <c r="C502" s="507"/>
      <c r="D502" s="508"/>
      <c r="E502" s="507"/>
      <c r="F502" s="507"/>
      <c r="G502" s="507"/>
      <c r="H502" s="507"/>
      <c r="I502" s="507"/>
      <c r="J502" s="507"/>
      <c r="K502" s="507"/>
      <c r="L502" s="507"/>
      <c r="M502" s="507"/>
      <c r="N502" s="507"/>
      <c r="O502" s="507"/>
      <c r="P502" s="507"/>
      <c r="Q502" s="507"/>
      <c r="R502" s="507"/>
      <c r="S502" s="507"/>
      <c r="T502" s="507"/>
      <c r="U502" s="507"/>
      <c r="V502" s="507"/>
      <c r="W502" s="507"/>
      <c r="X502" s="507"/>
      <c r="Y502" s="507"/>
      <c r="Z502" s="507"/>
    </row>
    <row r="503" ht="35.25" customHeight="1">
      <c r="A503" s="507"/>
      <c r="B503" s="507"/>
      <c r="C503" s="507"/>
      <c r="D503" s="508"/>
      <c r="E503" s="507"/>
      <c r="F503" s="507"/>
      <c r="G503" s="507"/>
      <c r="H503" s="507"/>
      <c r="I503" s="507"/>
      <c r="J503" s="507"/>
      <c r="K503" s="507"/>
      <c r="L503" s="507"/>
      <c r="M503" s="507"/>
      <c r="N503" s="507"/>
      <c r="O503" s="507"/>
      <c r="P503" s="507"/>
      <c r="Q503" s="507"/>
      <c r="R503" s="507"/>
      <c r="S503" s="507"/>
      <c r="T503" s="507"/>
      <c r="U503" s="507"/>
      <c r="V503" s="507"/>
      <c r="W503" s="507"/>
      <c r="X503" s="507"/>
      <c r="Y503" s="507"/>
      <c r="Z503" s="507"/>
    </row>
    <row r="504" ht="35.25" customHeight="1">
      <c r="A504" s="507"/>
      <c r="B504" s="507"/>
      <c r="C504" s="507"/>
      <c r="D504" s="508"/>
      <c r="E504" s="507"/>
      <c r="F504" s="507"/>
      <c r="G504" s="507"/>
      <c r="H504" s="507"/>
      <c r="I504" s="507"/>
      <c r="J504" s="507"/>
      <c r="K504" s="507"/>
      <c r="L504" s="507"/>
      <c r="M504" s="507"/>
      <c r="N504" s="507"/>
      <c r="O504" s="507"/>
      <c r="P504" s="507"/>
      <c r="Q504" s="507"/>
      <c r="R504" s="507"/>
      <c r="S504" s="507"/>
      <c r="T504" s="507"/>
      <c r="U504" s="507"/>
      <c r="V504" s="507"/>
      <c r="W504" s="507"/>
      <c r="X504" s="507"/>
      <c r="Y504" s="507"/>
      <c r="Z504" s="507"/>
    </row>
    <row r="505" ht="35.25" customHeight="1">
      <c r="A505" s="507"/>
      <c r="B505" s="507"/>
      <c r="C505" s="507"/>
      <c r="D505" s="508"/>
      <c r="E505" s="507"/>
      <c r="F505" s="507"/>
      <c r="G505" s="507"/>
      <c r="H505" s="507"/>
      <c r="I505" s="507"/>
      <c r="J505" s="507"/>
      <c r="K505" s="507"/>
      <c r="L505" s="507"/>
      <c r="M505" s="507"/>
      <c r="N505" s="507"/>
      <c r="O505" s="507"/>
      <c r="P505" s="507"/>
      <c r="Q505" s="507"/>
      <c r="R505" s="507"/>
      <c r="S505" s="507"/>
      <c r="T505" s="507"/>
      <c r="U505" s="507"/>
      <c r="V505" s="507"/>
      <c r="W505" s="507"/>
      <c r="X505" s="507"/>
      <c r="Y505" s="507"/>
      <c r="Z505" s="507"/>
    </row>
    <row r="506" ht="35.25" customHeight="1">
      <c r="A506" s="507"/>
      <c r="B506" s="507"/>
      <c r="C506" s="507"/>
      <c r="D506" s="508"/>
      <c r="E506" s="507"/>
      <c r="F506" s="507"/>
      <c r="G506" s="507"/>
      <c r="H506" s="507"/>
      <c r="I506" s="507"/>
      <c r="J506" s="507"/>
      <c r="K506" s="507"/>
      <c r="L506" s="507"/>
      <c r="M506" s="507"/>
      <c r="N506" s="507"/>
      <c r="O506" s="507"/>
      <c r="P506" s="507"/>
      <c r="Q506" s="507"/>
      <c r="R506" s="507"/>
      <c r="S506" s="507"/>
      <c r="T506" s="507"/>
      <c r="U506" s="507"/>
      <c r="V506" s="507"/>
      <c r="W506" s="507"/>
      <c r="X506" s="507"/>
      <c r="Y506" s="507"/>
      <c r="Z506" s="507"/>
    </row>
    <row r="507" ht="35.25" customHeight="1">
      <c r="A507" s="507"/>
      <c r="B507" s="507"/>
      <c r="C507" s="507"/>
      <c r="D507" s="508"/>
      <c r="E507" s="507"/>
      <c r="F507" s="507"/>
      <c r="G507" s="507"/>
      <c r="H507" s="507"/>
      <c r="I507" s="507"/>
      <c r="J507" s="507"/>
      <c r="K507" s="507"/>
      <c r="L507" s="507"/>
      <c r="M507" s="507"/>
      <c r="N507" s="507"/>
      <c r="O507" s="507"/>
      <c r="P507" s="507"/>
      <c r="Q507" s="507"/>
      <c r="R507" s="507"/>
      <c r="S507" s="507"/>
      <c r="T507" s="507"/>
      <c r="U507" s="507"/>
      <c r="V507" s="507"/>
      <c r="W507" s="507"/>
      <c r="X507" s="507"/>
      <c r="Y507" s="507"/>
      <c r="Z507" s="507"/>
    </row>
    <row r="508" ht="35.25" customHeight="1">
      <c r="A508" s="507"/>
      <c r="B508" s="507"/>
      <c r="C508" s="507"/>
      <c r="D508" s="508"/>
      <c r="E508" s="507"/>
      <c r="F508" s="507"/>
      <c r="G508" s="507"/>
      <c r="H508" s="507"/>
      <c r="I508" s="507"/>
      <c r="J508" s="507"/>
      <c r="K508" s="507"/>
      <c r="L508" s="507"/>
      <c r="M508" s="507"/>
      <c r="N508" s="507"/>
      <c r="O508" s="507"/>
      <c r="P508" s="507"/>
      <c r="Q508" s="507"/>
      <c r="R508" s="507"/>
      <c r="S508" s="507"/>
      <c r="T508" s="507"/>
      <c r="U508" s="507"/>
      <c r="V508" s="507"/>
      <c r="W508" s="507"/>
      <c r="X508" s="507"/>
      <c r="Y508" s="507"/>
      <c r="Z508" s="507"/>
    </row>
    <row r="509" ht="35.25" customHeight="1">
      <c r="A509" s="507"/>
      <c r="B509" s="507"/>
      <c r="C509" s="507"/>
      <c r="D509" s="508"/>
      <c r="E509" s="507"/>
      <c r="F509" s="507"/>
      <c r="G509" s="507"/>
      <c r="H509" s="507"/>
      <c r="I509" s="507"/>
      <c r="J509" s="507"/>
      <c r="K509" s="507"/>
      <c r="L509" s="507"/>
      <c r="M509" s="507"/>
      <c r="N509" s="507"/>
      <c r="O509" s="507"/>
      <c r="P509" s="507"/>
      <c r="Q509" s="507"/>
      <c r="R509" s="507"/>
      <c r="S509" s="507"/>
      <c r="T509" s="507"/>
      <c r="U509" s="507"/>
      <c r="V509" s="507"/>
      <c r="W509" s="507"/>
      <c r="X509" s="507"/>
      <c r="Y509" s="507"/>
      <c r="Z509" s="507"/>
    </row>
    <row r="510" ht="35.25" customHeight="1">
      <c r="A510" s="507"/>
      <c r="B510" s="507"/>
      <c r="C510" s="507"/>
      <c r="D510" s="508"/>
      <c r="E510" s="507"/>
      <c r="F510" s="507"/>
      <c r="G510" s="507"/>
      <c r="H510" s="507"/>
      <c r="I510" s="507"/>
      <c r="J510" s="507"/>
      <c r="K510" s="507"/>
      <c r="L510" s="507"/>
      <c r="M510" s="507"/>
      <c r="N510" s="507"/>
      <c r="O510" s="507"/>
      <c r="P510" s="507"/>
      <c r="Q510" s="507"/>
      <c r="R510" s="507"/>
      <c r="S510" s="507"/>
      <c r="T510" s="507"/>
      <c r="U510" s="507"/>
      <c r="V510" s="507"/>
      <c r="W510" s="507"/>
      <c r="X510" s="507"/>
      <c r="Y510" s="507"/>
      <c r="Z510" s="507"/>
    </row>
    <row r="511" ht="35.25" customHeight="1">
      <c r="A511" s="507"/>
      <c r="B511" s="507"/>
      <c r="C511" s="507"/>
      <c r="D511" s="508"/>
      <c r="E511" s="507"/>
      <c r="F511" s="507"/>
      <c r="G511" s="507"/>
      <c r="H511" s="507"/>
      <c r="I511" s="507"/>
      <c r="J511" s="507"/>
      <c r="K511" s="507"/>
      <c r="L511" s="507"/>
      <c r="M511" s="507"/>
      <c r="N511" s="507"/>
      <c r="O511" s="507"/>
      <c r="P511" s="507"/>
      <c r="Q511" s="507"/>
      <c r="R511" s="507"/>
      <c r="S511" s="507"/>
      <c r="T511" s="507"/>
      <c r="U511" s="507"/>
      <c r="V511" s="507"/>
      <c r="W511" s="507"/>
      <c r="X511" s="507"/>
      <c r="Y511" s="507"/>
      <c r="Z511" s="507"/>
    </row>
    <row r="512" ht="35.25" customHeight="1">
      <c r="A512" s="507"/>
      <c r="B512" s="507"/>
      <c r="C512" s="507"/>
      <c r="D512" s="508"/>
      <c r="E512" s="507"/>
      <c r="F512" s="507"/>
      <c r="G512" s="507"/>
      <c r="H512" s="507"/>
      <c r="I512" s="507"/>
      <c r="J512" s="507"/>
      <c r="K512" s="507"/>
      <c r="L512" s="507"/>
      <c r="M512" s="507"/>
      <c r="N512" s="507"/>
      <c r="O512" s="507"/>
      <c r="P512" s="507"/>
      <c r="Q512" s="507"/>
      <c r="R512" s="507"/>
      <c r="S512" s="507"/>
      <c r="T512" s="507"/>
      <c r="U512" s="507"/>
      <c r="V512" s="507"/>
      <c r="W512" s="507"/>
      <c r="X512" s="507"/>
      <c r="Y512" s="507"/>
      <c r="Z512" s="507"/>
    </row>
    <row r="513" ht="35.25" customHeight="1">
      <c r="A513" s="507"/>
      <c r="B513" s="507"/>
      <c r="C513" s="507"/>
      <c r="D513" s="508"/>
      <c r="E513" s="507"/>
      <c r="F513" s="507"/>
      <c r="G513" s="507"/>
      <c r="H513" s="507"/>
      <c r="I513" s="507"/>
      <c r="J513" s="507"/>
      <c r="K513" s="507"/>
      <c r="L513" s="507"/>
      <c r="M513" s="507"/>
      <c r="N513" s="507"/>
      <c r="O513" s="507"/>
      <c r="P513" s="507"/>
      <c r="Q513" s="507"/>
      <c r="R513" s="507"/>
      <c r="S513" s="507"/>
      <c r="T513" s="507"/>
      <c r="U513" s="507"/>
      <c r="V513" s="507"/>
      <c r="W513" s="507"/>
      <c r="X513" s="507"/>
      <c r="Y513" s="507"/>
      <c r="Z513" s="507"/>
    </row>
    <row r="514" ht="35.25" customHeight="1">
      <c r="A514" s="507"/>
      <c r="B514" s="507"/>
      <c r="C514" s="507"/>
      <c r="D514" s="508"/>
      <c r="E514" s="507"/>
      <c r="F514" s="507"/>
      <c r="G514" s="507"/>
      <c r="H514" s="507"/>
      <c r="I514" s="507"/>
      <c r="J514" s="507"/>
      <c r="K514" s="507"/>
      <c r="L514" s="507"/>
      <c r="M514" s="507"/>
      <c r="N514" s="507"/>
      <c r="O514" s="507"/>
      <c r="P514" s="507"/>
      <c r="Q514" s="507"/>
      <c r="R514" s="507"/>
      <c r="S514" s="507"/>
      <c r="T514" s="507"/>
      <c r="U514" s="507"/>
      <c r="V514" s="507"/>
      <c r="W514" s="507"/>
      <c r="X514" s="507"/>
      <c r="Y514" s="507"/>
      <c r="Z514" s="507"/>
    </row>
    <row r="515" ht="35.25" customHeight="1">
      <c r="A515" s="507"/>
      <c r="B515" s="507"/>
      <c r="C515" s="507"/>
      <c r="D515" s="508"/>
      <c r="E515" s="507"/>
      <c r="F515" s="507"/>
      <c r="G515" s="507"/>
      <c r="H515" s="507"/>
      <c r="I515" s="507"/>
      <c r="J515" s="507"/>
      <c r="K515" s="507"/>
      <c r="L515" s="507"/>
      <c r="M515" s="507"/>
      <c r="N515" s="507"/>
      <c r="O515" s="507"/>
      <c r="P515" s="507"/>
      <c r="Q515" s="507"/>
      <c r="R515" s="507"/>
      <c r="S515" s="507"/>
      <c r="T515" s="507"/>
      <c r="U515" s="507"/>
      <c r="V515" s="507"/>
      <c r="W515" s="507"/>
      <c r="X515" s="507"/>
      <c r="Y515" s="507"/>
      <c r="Z515" s="507"/>
    </row>
    <row r="516" ht="35.25" customHeight="1">
      <c r="A516" s="507"/>
      <c r="B516" s="507"/>
      <c r="C516" s="507"/>
      <c r="D516" s="508"/>
      <c r="E516" s="507"/>
      <c r="F516" s="507"/>
      <c r="G516" s="507"/>
      <c r="H516" s="507"/>
      <c r="I516" s="507"/>
      <c r="J516" s="507"/>
      <c r="K516" s="507"/>
      <c r="L516" s="507"/>
      <c r="M516" s="507"/>
      <c r="N516" s="507"/>
      <c r="O516" s="507"/>
      <c r="P516" s="507"/>
      <c r="Q516" s="507"/>
      <c r="R516" s="507"/>
      <c r="S516" s="507"/>
      <c r="T516" s="507"/>
      <c r="U516" s="507"/>
      <c r="V516" s="507"/>
      <c r="W516" s="507"/>
      <c r="X516" s="507"/>
      <c r="Y516" s="507"/>
      <c r="Z516" s="507"/>
    </row>
    <row r="517" ht="35.25" customHeight="1">
      <c r="A517" s="507"/>
      <c r="B517" s="507"/>
      <c r="C517" s="507"/>
      <c r="D517" s="508"/>
      <c r="E517" s="507"/>
      <c r="F517" s="507"/>
      <c r="G517" s="507"/>
      <c r="H517" s="507"/>
      <c r="I517" s="507"/>
      <c r="J517" s="507"/>
      <c r="K517" s="507"/>
      <c r="L517" s="507"/>
      <c r="M517" s="507"/>
      <c r="N517" s="507"/>
      <c r="O517" s="507"/>
      <c r="P517" s="507"/>
      <c r="Q517" s="507"/>
      <c r="R517" s="507"/>
      <c r="S517" s="507"/>
      <c r="T517" s="507"/>
      <c r="U517" s="507"/>
      <c r="V517" s="507"/>
      <c r="W517" s="507"/>
      <c r="X517" s="507"/>
      <c r="Y517" s="507"/>
      <c r="Z517" s="507"/>
    </row>
    <row r="518" ht="35.25" customHeight="1">
      <c r="A518" s="507"/>
      <c r="B518" s="507"/>
      <c r="C518" s="507"/>
      <c r="D518" s="508"/>
      <c r="E518" s="507"/>
      <c r="F518" s="507"/>
      <c r="G518" s="507"/>
      <c r="H518" s="507"/>
      <c r="I518" s="507"/>
      <c r="J518" s="507"/>
      <c r="K518" s="507"/>
      <c r="L518" s="507"/>
      <c r="M518" s="507"/>
      <c r="N518" s="507"/>
      <c r="O518" s="507"/>
      <c r="P518" s="507"/>
      <c r="Q518" s="507"/>
      <c r="R518" s="507"/>
      <c r="S518" s="507"/>
      <c r="T518" s="507"/>
      <c r="U518" s="507"/>
      <c r="V518" s="507"/>
      <c r="W518" s="507"/>
      <c r="X518" s="507"/>
      <c r="Y518" s="507"/>
      <c r="Z518" s="507"/>
    </row>
    <row r="519" ht="35.25" customHeight="1">
      <c r="A519" s="507"/>
      <c r="B519" s="507"/>
      <c r="C519" s="507"/>
      <c r="D519" s="508"/>
      <c r="E519" s="507"/>
      <c r="F519" s="507"/>
      <c r="G519" s="507"/>
      <c r="H519" s="507"/>
      <c r="I519" s="507"/>
      <c r="J519" s="507"/>
      <c r="K519" s="507"/>
      <c r="L519" s="507"/>
      <c r="M519" s="507"/>
      <c r="N519" s="507"/>
      <c r="O519" s="507"/>
      <c r="P519" s="507"/>
      <c r="Q519" s="507"/>
      <c r="R519" s="507"/>
      <c r="S519" s="507"/>
      <c r="T519" s="507"/>
      <c r="U519" s="507"/>
      <c r="V519" s="507"/>
      <c r="W519" s="507"/>
      <c r="X519" s="507"/>
      <c r="Y519" s="507"/>
      <c r="Z519" s="507"/>
    </row>
    <row r="520" ht="35.25" customHeight="1">
      <c r="A520" s="507"/>
      <c r="B520" s="507"/>
      <c r="C520" s="507"/>
      <c r="D520" s="508"/>
      <c r="E520" s="507"/>
      <c r="F520" s="507"/>
      <c r="G520" s="507"/>
      <c r="H520" s="507"/>
      <c r="I520" s="507"/>
      <c r="J520" s="507"/>
      <c r="K520" s="507"/>
      <c r="L520" s="507"/>
      <c r="M520" s="507"/>
      <c r="N520" s="507"/>
      <c r="O520" s="507"/>
      <c r="P520" s="507"/>
      <c r="Q520" s="507"/>
      <c r="R520" s="507"/>
      <c r="S520" s="507"/>
      <c r="T520" s="507"/>
      <c r="U520" s="507"/>
      <c r="V520" s="507"/>
      <c r="W520" s="507"/>
      <c r="X520" s="507"/>
      <c r="Y520" s="507"/>
      <c r="Z520" s="507"/>
    </row>
    <row r="521" ht="35.25" customHeight="1">
      <c r="A521" s="507"/>
      <c r="B521" s="507"/>
      <c r="C521" s="507"/>
      <c r="D521" s="508"/>
      <c r="E521" s="507"/>
      <c r="F521" s="507"/>
      <c r="G521" s="507"/>
      <c r="H521" s="507"/>
      <c r="I521" s="507"/>
      <c r="J521" s="507"/>
      <c r="K521" s="507"/>
      <c r="L521" s="507"/>
      <c r="M521" s="507"/>
      <c r="N521" s="507"/>
      <c r="O521" s="507"/>
      <c r="P521" s="507"/>
      <c r="Q521" s="507"/>
      <c r="R521" s="507"/>
      <c r="S521" s="507"/>
      <c r="T521" s="507"/>
      <c r="U521" s="507"/>
      <c r="V521" s="507"/>
      <c r="W521" s="507"/>
      <c r="X521" s="507"/>
      <c r="Y521" s="507"/>
      <c r="Z521" s="507"/>
    </row>
    <row r="522" ht="35.25" customHeight="1">
      <c r="A522" s="507"/>
      <c r="B522" s="507"/>
      <c r="C522" s="507"/>
      <c r="D522" s="508"/>
      <c r="E522" s="507"/>
      <c r="F522" s="507"/>
      <c r="G522" s="507"/>
      <c r="H522" s="507"/>
      <c r="I522" s="507"/>
      <c r="J522" s="507"/>
      <c r="K522" s="507"/>
      <c r="L522" s="507"/>
      <c r="M522" s="507"/>
      <c r="N522" s="507"/>
      <c r="O522" s="507"/>
      <c r="P522" s="507"/>
      <c r="Q522" s="507"/>
      <c r="R522" s="507"/>
      <c r="S522" s="507"/>
      <c r="T522" s="507"/>
      <c r="U522" s="507"/>
      <c r="V522" s="507"/>
      <c r="W522" s="507"/>
      <c r="X522" s="507"/>
      <c r="Y522" s="507"/>
      <c r="Z522" s="507"/>
    </row>
    <row r="523" ht="35.25" customHeight="1">
      <c r="A523" s="507"/>
      <c r="B523" s="507"/>
      <c r="C523" s="507"/>
      <c r="D523" s="508"/>
      <c r="E523" s="507"/>
      <c r="F523" s="507"/>
      <c r="G523" s="507"/>
      <c r="H523" s="507"/>
      <c r="I523" s="507"/>
      <c r="J523" s="507"/>
      <c r="K523" s="507"/>
      <c r="L523" s="507"/>
      <c r="M523" s="507"/>
      <c r="N523" s="507"/>
      <c r="O523" s="507"/>
      <c r="P523" s="507"/>
      <c r="Q523" s="507"/>
      <c r="R523" s="507"/>
      <c r="S523" s="507"/>
      <c r="T523" s="507"/>
      <c r="U523" s="507"/>
      <c r="V523" s="507"/>
      <c r="W523" s="507"/>
      <c r="X523" s="507"/>
      <c r="Y523" s="507"/>
      <c r="Z523" s="507"/>
    </row>
    <row r="524" ht="35.25" customHeight="1">
      <c r="A524" s="507"/>
      <c r="B524" s="507"/>
      <c r="C524" s="507"/>
      <c r="D524" s="508"/>
      <c r="E524" s="507"/>
      <c r="F524" s="507"/>
      <c r="G524" s="507"/>
      <c r="H524" s="507"/>
      <c r="I524" s="507"/>
      <c r="J524" s="507"/>
      <c r="K524" s="507"/>
      <c r="L524" s="507"/>
      <c r="M524" s="507"/>
      <c r="N524" s="507"/>
      <c r="O524" s="507"/>
      <c r="P524" s="507"/>
      <c r="Q524" s="507"/>
      <c r="R524" s="507"/>
      <c r="S524" s="507"/>
      <c r="T524" s="507"/>
      <c r="U524" s="507"/>
      <c r="V524" s="507"/>
      <c r="W524" s="507"/>
      <c r="X524" s="507"/>
      <c r="Y524" s="507"/>
      <c r="Z524" s="507"/>
    </row>
    <row r="525" ht="35.25" customHeight="1">
      <c r="A525" s="507"/>
      <c r="B525" s="507"/>
      <c r="C525" s="507"/>
      <c r="D525" s="508"/>
      <c r="E525" s="507"/>
      <c r="F525" s="507"/>
      <c r="G525" s="507"/>
      <c r="H525" s="507"/>
      <c r="I525" s="507"/>
      <c r="J525" s="507"/>
      <c r="K525" s="507"/>
      <c r="L525" s="507"/>
      <c r="M525" s="507"/>
      <c r="N525" s="507"/>
      <c r="O525" s="507"/>
      <c r="P525" s="507"/>
      <c r="Q525" s="507"/>
      <c r="R525" s="507"/>
      <c r="S525" s="507"/>
      <c r="T525" s="507"/>
      <c r="U525" s="507"/>
      <c r="V525" s="507"/>
      <c r="W525" s="507"/>
      <c r="X525" s="507"/>
      <c r="Y525" s="507"/>
      <c r="Z525" s="507"/>
    </row>
    <row r="526" ht="35.25" customHeight="1">
      <c r="A526" s="507"/>
      <c r="B526" s="507"/>
      <c r="C526" s="507"/>
      <c r="D526" s="508"/>
      <c r="E526" s="507"/>
      <c r="F526" s="507"/>
      <c r="G526" s="507"/>
      <c r="H526" s="507"/>
      <c r="I526" s="507"/>
      <c r="J526" s="507"/>
      <c r="K526" s="507"/>
      <c r="L526" s="507"/>
      <c r="M526" s="507"/>
      <c r="N526" s="507"/>
      <c r="O526" s="507"/>
      <c r="P526" s="507"/>
      <c r="Q526" s="507"/>
      <c r="R526" s="507"/>
      <c r="S526" s="507"/>
      <c r="T526" s="507"/>
      <c r="U526" s="507"/>
      <c r="V526" s="507"/>
      <c r="W526" s="507"/>
      <c r="X526" s="507"/>
      <c r="Y526" s="507"/>
      <c r="Z526" s="507"/>
    </row>
    <row r="527" ht="35.25" customHeight="1">
      <c r="A527" s="507"/>
      <c r="B527" s="507"/>
      <c r="C527" s="507"/>
      <c r="D527" s="508"/>
      <c r="E527" s="507"/>
      <c r="F527" s="507"/>
      <c r="G527" s="507"/>
      <c r="H527" s="507"/>
      <c r="I527" s="507"/>
      <c r="J527" s="507"/>
      <c r="K527" s="507"/>
      <c r="L527" s="507"/>
      <c r="M527" s="507"/>
      <c r="N527" s="507"/>
      <c r="O527" s="507"/>
      <c r="P527" s="507"/>
      <c r="Q527" s="507"/>
      <c r="R527" s="507"/>
      <c r="S527" s="507"/>
      <c r="T527" s="507"/>
      <c r="U527" s="507"/>
      <c r="V527" s="507"/>
      <c r="W527" s="507"/>
      <c r="X527" s="507"/>
      <c r="Y527" s="507"/>
      <c r="Z527" s="507"/>
    </row>
    <row r="528" ht="35.25" customHeight="1">
      <c r="A528" s="507"/>
      <c r="B528" s="507"/>
      <c r="C528" s="507"/>
      <c r="D528" s="508"/>
      <c r="E528" s="507"/>
      <c r="F528" s="507"/>
      <c r="G528" s="507"/>
      <c r="H528" s="507"/>
      <c r="I528" s="507"/>
      <c r="J528" s="507"/>
      <c r="K528" s="507"/>
      <c r="L528" s="507"/>
      <c r="M528" s="507"/>
      <c r="N528" s="507"/>
      <c r="O528" s="507"/>
      <c r="P528" s="507"/>
      <c r="Q528" s="507"/>
      <c r="R528" s="507"/>
      <c r="S528" s="507"/>
      <c r="T528" s="507"/>
      <c r="U528" s="507"/>
      <c r="V528" s="507"/>
      <c r="W528" s="507"/>
      <c r="X528" s="507"/>
      <c r="Y528" s="507"/>
      <c r="Z528" s="507"/>
    </row>
    <row r="529" ht="35.25" customHeight="1">
      <c r="A529" s="507"/>
      <c r="B529" s="507"/>
      <c r="C529" s="507"/>
      <c r="D529" s="508"/>
      <c r="E529" s="507"/>
      <c r="F529" s="507"/>
      <c r="G529" s="507"/>
      <c r="H529" s="507"/>
      <c r="I529" s="507"/>
      <c r="J529" s="507"/>
      <c r="K529" s="507"/>
      <c r="L529" s="507"/>
      <c r="M529" s="507"/>
      <c r="N529" s="507"/>
      <c r="O529" s="507"/>
      <c r="P529" s="507"/>
      <c r="Q529" s="507"/>
      <c r="R529" s="507"/>
      <c r="S529" s="507"/>
      <c r="T529" s="507"/>
      <c r="U529" s="507"/>
      <c r="V529" s="507"/>
      <c r="W529" s="507"/>
      <c r="X529" s="507"/>
      <c r="Y529" s="507"/>
      <c r="Z529" s="507"/>
    </row>
    <row r="530" ht="35.25" customHeight="1">
      <c r="A530" s="507"/>
      <c r="B530" s="507"/>
      <c r="C530" s="507"/>
      <c r="D530" s="508"/>
      <c r="E530" s="507"/>
      <c r="F530" s="507"/>
      <c r="G530" s="507"/>
      <c r="H530" s="507"/>
      <c r="I530" s="507"/>
      <c r="J530" s="507"/>
      <c r="K530" s="507"/>
      <c r="L530" s="507"/>
      <c r="M530" s="507"/>
      <c r="N530" s="507"/>
      <c r="O530" s="507"/>
      <c r="P530" s="507"/>
      <c r="Q530" s="507"/>
      <c r="R530" s="507"/>
      <c r="S530" s="507"/>
      <c r="T530" s="507"/>
      <c r="U530" s="507"/>
      <c r="V530" s="507"/>
      <c r="W530" s="507"/>
      <c r="X530" s="507"/>
      <c r="Y530" s="507"/>
      <c r="Z530" s="507"/>
    </row>
    <row r="531" ht="35.25" customHeight="1">
      <c r="A531" s="507"/>
      <c r="B531" s="507"/>
      <c r="C531" s="507"/>
      <c r="D531" s="508"/>
      <c r="E531" s="507"/>
      <c r="F531" s="507"/>
      <c r="G531" s="507"/>
      <c r="H531" s="507"/>
      <c r="I531" s="507"/>
      <c r="J531" s="507"/>
      <c r="K531" s="507"/>
      <c r="L531" s="507"/>
      <c r="M531" s="507"/>
      <c r="N531" s="507"/>
      <c r="O531" s="507"/>
      <c r="P531" s="507"/>
      <c r="Q531" s="507"/>
      <c r="R531" s="507"/>
      <c r="S531" s="507"/>
      <c r="T531" s="507"/>
      <c r="U531" s="507"/>
      <c r="V531" s="507"/>
      <c r="W531" s="507"/>
      <c r="X531" s="507"/>
      <c r="Y531" s="507"/>
      <c r="Z531" s="507"/>
    </row>
    <row r="532" ht="35.25" customHeight="1">
      <c r="A532" s="507"/>
      <c r="B532" s="507"/>
      <c r="C532" s="507"/>
      <c r="D532" s="508"/>
      <c r="E532" s="507"/>
      <c r="F532" s="507"/>
      <c r="G532" s="507"/>
      <c r="H532" s="507"/>
      <c r="I532" s="507"/>
      <c r="J532" s="507"/>
      <c r="K532" s="507"/>
      <c r="L532" s="507"/>
      <c r="M532" s="507"/>
      <c r="N532" s="507"/>
      <c r="O532" s="507"/>
      <c r="P532" s="507"/>
      <c r="Q532" s="507"/>
      <c r="R532" s="507"/>
      <c r="S532" s="507"/>
      <c r="T532" s="507"/>
      <c r="U532" s="507"/>
      <c r="V532" s="507"/>
      <c r="W532" s="507"/>
      <c r="X532" s="507"/>
      <c r="Y532" s="507"/>
      <c r="Z532" s="507"/>
    </row>
    <row r="533" ht="35.25" customHeight="1">
      <c r="A533" s="507"/>
      <c r="B533" s="507"/>
      <c r="C533" s="507"/>
      <c r="D533" s="508"/>
      <c r="E533" s="507"/>
      <c r="F533" s="507"/>
      <c r="G533" s="507"/>
      <c r="H533" s="507"/>
      <c r="I533" s="507"/>
      <c r="J533" s="507"/>
      <c r="K533" s="507"/>
      <c r="L533" s="507"/>
      <c r="M533" s="507"/>
      <c r="N533" s="507"/>
      <c r="O533" s="507"/>
      <c r="P533" s="507"/>
      <c r="Q533" s="507"/>
      <c r="R533" s="507"/>
      <c r="S533" s="507"/>
      <c r="T533" s="507"/>
      <c r="U533" s="507"/>
      <c r="V533" s="507"/>
      <c r="W533" s="507"/>
      <c r="X533" s="507"/>
      <c r="Y533" s="507"/>
      <c r="Z533" s="507"/>
    </row>
    <row r="534" ht="35.25" customHeight="1">
      <c r="A534" s="507"/>
      <c r="B534" s="507"/>
      <c r="C534" s="507"/>
      <c r="D534" s="508"/>
      <c r="E534" s="507"/>
      <c r="F534" s="507"/>
      <c r="G534" s="507"/>
      <c r="H534" s="507"/>
      <c r="I534" s="507"/>
      <c r="J534" s="507"/>
      <c r="K534" s="507"/>
      <c r="L534" s="507"/>
      <c r="M534" s="507"/>
      <c r="N534" s="507"/>
      <c r="O534" s="507"/>
      <c r="P534" s="507"/>
      <c r="Q534" s="507"/>
      <c r="R534" s="507"/>
      <c r="S534" s="507"/>
      <c r="T534" s="507"/>
      <c r="U534" s="507"/>
      <c r="V534" s="507"/>
      <c r="W534" s="507"/>
      <c r="X534" s="507"/>
      <c r="Y534" s="507"/>
      <c r="Z534" s="507"/>
    </row>
    <row r="535" ht="35.25" customHeight="1">
      <c r="A535" s="507"/>
      <c r="B535" s="507"/>
      <c r="C535" s="507"/>
      <c r="D535" s="508"/>
      <c r="E535" s="507"/>
      <c r="F535" s="507"/>
      <c r="G535" s="507"/>
      <c r="H535" s="507"/>
      <c r="I535" s="507"/>
      <c r="J535" s="507"/>
      <c r="K535" s="507"/>
      <c r="L535" s="507"/>
      <c r="M535" s="507"/>
      <c r="N535" s="507"/>
      <c r="O535" s="507"/>
      <c r="P535" s="507"/>
      <c r="Q535" s="507"/>
      <c r="R535" s="507"/>
      <c r="S535" s="507"/>
      <c r="T535" s="507"/>
      <c r="U535" s="507"/>
      <c r="V535" s="507"/>
      <c r="W535" s="507"/>
      <c r="X535" s="507"/>
      <c r="Y535" s="507"/>
      <c r="Z535" s="507"/>
    </row>
    <row r="536" ht="35.25" customHeight="1">
      <c r="A536" s="507"/>
      <c r="B536" s="507"/>
      <c r="C536" s="507"/>
      <c r="D536" s="508"/>
      <c r="E536" s="507"/>
      <c r="F536" s="507"/>
      <c r="G536" s="507"/>
      <c r="H536" s="507"/>
      <c r="I536" s="507"/>
      <c r="J536" s="507"/>
      <c r="K536" s="507"/>
      <c r="L536" s="507"/>
      <c r="M536" s="507"/>
      <c r="N536" s="507"/>
      <c r="O536" s="507"/>
      <c r="P536" s="507"/>
      <c r="Q536" s="507"/>
      <c r="R536" s="507"/>
      <c r="S536" s="507"/>
      <c r="T536" s="507"/>
      <c r="U536" s="507"/>
      <c r="V536" s="507"/>
      <c r="W536" s="507"/>
      <c r="X536" s="507"/>
      <c r="Y536" s="507"/>
      <c r="Z536" s="507"/>
    </row>
    <row r="537" ht="35.25" customHeight="1">
      <c r="A537" s="507"/>
      <c r="B537" s="507"/>
      <c r="C537" s="507"/>
      <c r="D537" s="508"/>
      <c r="E537" s="507"/>
      <c r="F537" s="507"/>
      <c r="G537" s="507"/>
      <c r="H537" s="507"/>
      <c r="I537" s="507"/>
      <c r="J537" s="507"/>
      <c r="K537" s="507"/>
      <c r="L537" s="507"/>
      <c r="M537" s="507"/>
      <c r="N537" s="507"/>
      <c r="O537" s="507"/>
      <c r="P537" s="507"/>
      <c r="Q537" s="507"/>
      <c r="R537" s="507"/>
      <c r="S537" s="507"/>
      <c r="T537" s="507"/>
      <c r="U537" s="507"/>
      <c r="V537" s="507"/>
      <c r="W537" s="507"/>
      <c r="X537" s="507"/>
      <c r="Y537" s="507"/>
      <c r="Z537" s="507"/>
    </row>
    <row r="538" ht="35.25" customHeight="1">
      <c r="A538" s="507"/>
      <c r="B538" s="507"/>
      <c r="C538" s="507"/>
      <c r="D538" s="508"/>
      <c r="E538" s="507"/>
      <c r="F538" s="507"/>
      <c r="G538" s="507"/>
      <c r="H538" s="507"/>
      <c r="I538" s="507"/>
      <c r="J538" s="507"/>
      <c r="K538" s="507"/>
      <c r="L538" s="507"/>
      <c r="M538" s="507"/>
      <c r="N538" s="507"/>
      <c r="O538" s="507"/>
      <c r="P538" s="507"/>
      <c r="Q538" s="507"/>
      <c r="R538" s="507"/>
      <c r="S538" s="507"/>
      <c r="T538" s="507"/>
      <c r="U538" s="507"/>
      <c r="V538" s="507"/>
      <c r="W538" s="507"/>
      <c r="X538" s="507"/>
      <c r="Y538" s="507"/>
      <c r="Z538" s="507"/>
    </row>
    <row r="539" ht="35.25" customHeight="1">
      <c r="A539" s="507"/>
      <c r="B539" s="507"/>
      <c r="C539" s="507"/>
      <c r="D539" s="508"/>
      <c r="E539" s="507"/>
      <c r="F539" s="507"/>
      <c r="G539" s="507"/>
      <c r="H539" s="507"/>
      <c r="I539" s="507"/>
      <c r="J539" s="507"/>
      <c r="K539" s="507"/>
      <c r="L539" s="507"/>
      <c r="M539" s="507"/>
      <c r="N539" s="507"/>
      <c r="O539" s="507"/>
      <c r="P539" s="507"/>
      <c r="Q539" s="507"/>
      <c r="R539" s="507"/>
      <c r="S539" s="507"/>
      <c r="T539" s="507"/>
      <c r="U539" s="507"/>
      <c r="V539" s="507"/>
      <c r="W539" s="507"/>
      <c r="X539" s="507"/>
      <c r="Y539" s="507"/>
      <c r="Z539" s="507"/>
    </row>
    <row r="540" ht="35.25" customHeight="1">
      <c r="A540" s="507"/>
      <c r="B540" s="507"/>
      <c r="C540" s="507"/>
      <c r="D540" s="508"/>
      <c r="E540" s="507"/>
      <c r="F540" s="507"/>
      <c r="G540" s="507"/>
      <c r="H540" s="507"/>
      <c r="I540" s="507"/>
      <c r="J540" s="507"/>
      <c r="K540" s="507"/>
      <c r="L540" s="507"/>
      <c r="M540" s="507"/>
      <c r="N540" s="507"/>
      <c r="O540" s="507"/>
      <c r="P540" s="507"/>
      <c r="Q540" s="507"/>
      <c r="R540" s="507"/>
      <c r="S540" s="507"/>
      <c r="T540" s="507"/>
      <c r="U540" s="507"/>
      <c r="V540" s="507"/>
      <c r="W540" s="507"/>
      <c r="X540" s="507"/>
      <c r="Y540" s="507"/>
      <c r="Z540" s="507"/>
    </row>
    <row r="541" ht="35.25" customHeight="1">
      <c r="A541" s="507"/>
      <c r="B541" s="507"/>
      <c r="C541" s="507"/>
      <c r="D541" s="508"/>
      <c r="E541" s="507"/>
      <c r="F541" s="507"/>
      <c r="G541" s="507"/>
      <c r="H541" s="507"/>
      <c r="I541" s="507"/>
      <c r="J541" s="507"/>
      <c r="K541" s="507"/>
      <c r="L541" s="507"/>
      <c r="M541" s="507"/>
      <c r="N541" s="507"/>
      <c r="O541" s="507"/>
      <c r="P541" s="507"/>
      <c r="Q541" s="507"/>
      <c r="R541" s="507"/>
      <c r="S541" s="507"/>
      <c r="T541" s="507"/>
      <c r="U541" s="507"/>
      <c r="V541" s="507"/>
      <c r="W541" s="507"/>
      <c r="X541" s="507"/>
      <c r="Y541" s="507"/>
      <c r="Z541" s="507"/>
    </row>
    <row r="542" ht="35.25" customHeight="1">
      <c r="A542" s="507"/>
      <c r="B542" s="507"/>
      <c r="C542" s="507"/>
      <c r="D542" s="508"/>
      <c r="E542" s="507"/>
      <c r="F542" s="507"/>
      <c r="G542" s="507"/>
      <c r="H542" s="507"/>
      <c r="I542" s="507"/>
      <c r="J542" s="507"/>
      <c r="K542" s="507"/>
      <c r="L542" s="507"/>
      <c r="M542" s="507"/>
      <c r="N542" s="507"/>
      <c r="O542" s="507"/>
      <c r="P542" s="507"/>
      <c r="Q542" s="507"/>
      <c r="R542" s="507"/>
      <c r="S542" s="507"/>
      <c r="T542" s="507"/>
      <c r="U542" s="507"/>
      <c r="V542" s="507"/>
      <c r="W542" s="507"/>
      <c r="X542" s="507"/>
      <c r="Y542" s="507"/>
      <c r="Z542" s="507"/>
    </row>
    <row r="543" ht="35.25" customHeight="1">
      <c r="A543" s="507"/>
      <c r="B543" s="507"/>
      <c r="C543" s="507"/>
      <c r="D543" s="508"/>
      <c r="E543" s="507"/>
      <c r="F543" s="507"/>
      <c r="G543" s="507"/>
      <c r="H543" s="507"/>
      <c r="I543" s="507"/>
      <c r="J543" s="507"/>
      <c r="K543" s="507"/>
      <c r="L543" s="507"/>
      <c r="M543" s="507"/>
      <c r="N543" s="507"/>
      <c r="O543" s="507"/>
      <c r="P543" s="507"/>
      <c r="Q543" s="507"/>
      <c r="R543" s="507"/>
      <c r="S543" s="507"/>
      <c r="T543" s="507"/>
      <c r="U543" s="507"/>
      <c r="V543" s="507"/>
      <c r="W543" s="507"/>
      <c r="X543" s="507"/>
      <c r="Y543" s="507"/>
      <c r="Z543" s="507"/>
    </row>
    <row r="544" ht="35.25" customHeight="1">
      <c r="A544" s="507"/>
      <c r="B544" s="507"/>
      <c r="C544" s="507"/>
      <c r="D544" s="508"/>
      <c r="E544" s="507"/>
      <c r="F544" s="507"/>
      <c r="G544" s="507"/>
      <c r="H544" s="507"/>
      <c r="I544" s="507"/>
      <c r="J544" s="507"/>
      <c r="K544" s="507"/>
      <c r="L544" s="507"/>
      <c r="M544" s="507"/>
      <c r="N544" s="507"/>
      <c r="O544" s="507"/>
      <c r="P544" s="507"/>
      <c r="Q544" s="507"/>
      <c r="R544" s="507"/>
      <c r="S544" s="507"/>
      <c r="T544" s="507"/>
      <c r="U544" s="507"/>
      <c r="V544" s="507"/>
      <c r="W544" s="507"/>
      <c r="X544" s="507"/>
      <c r="Y544" s="507"/>
      <c r="Z544" s="507"/>
    </row>
    <row r="545" ht="35.25" customHeight="1">
      <c r="A545" s="507"/>
      <c r="B545" s="507"/>
      <c r="C545" s="507"/>
      <c r="D545" s="508"/>
      <c r="E545" s="507"/>
      <c r="F545" s="507"/>
      <c r="G545" s="507"/>
      <c r="H545" s="507"/>
      <c r="I545" s="507"/>
      <c r="J545" s="507"/>
      <c r="K545" s="507"/>
      <c r="L545" s="507"/>
      <c r="M545" s="507"/>
      <c r="N545" s="507"/>
      <c r="O545" s="507"/>
      <c r="P545" s="507"/>
      <c r="Q545" s="507"/>
      <c r="R545" s="507"/>
      <c r="S545" s="507"/>
      <c r="T545" s="507"/>
      <c r="U545" s="507"/>
      <c r="V545" s="507"/>
      <c r="W545" s="507"/>
      <c r="X545" s="507"/>
      <c r="Y545" s="507"/>
      <c r="Z545" s="507"/>
    </row>
    <row r="546" ht="35.25" customHeight="1">
      <c r="A546" s="507"/>
      <c r="B546" s="507"/>
      <c r="C546" s="507"/>
      <c r="D546" s="508"/>
      <c r="E546" s="507"/>
      <c r="F546" s="507"/>
      <c r="G546" s="507"/>
      <c r="H546" s="507"/>
      <c r="I546" s="507"/>
      <c r="J546" s="507"/>
      <c r="K546" s="507"/>
      <c r="L546" s="507"/>
      <c r="M546" s="507"/>
      <c r="N546" s="507"/>
      <c r="O546" s="507"/>
      <c r="P546" s="507"/>
      <c r="Q546" s="507"/>
      <c r="R546" s="507"/>
      <c r="S546" s="507"/>
      <c r="T546" s="507"/>
      <c r="U546" s="507"/>
      <c r="V546" s="507"/>
      <c r="W546" s="507"/>
      <c r="X546" s="507"/>
      <c r="Y546" s="507"/>
      <c r="Z546" s="507"/>
    </row>
    <row r="547" ht="35.25" customHeight="1">
      <c r="A547" s="507"/>
      <c r="B547" s="507"/>
      <c r="C547" s="507"/>
      <c r="D547" s="508"/>
      <c r="E547" s="507"/>
      <c r="F547" s="507"/>
      <c r="G547" s="507"/>
      <c r="H547" s="507"/>
      <c r="I547" s="507"/>
      <c r="J547" s="507"/>
      <c r="K547" s="507"/>
      <c r="L547" s="507"/>
      <c r="M547" s="507"/>
      <c r="N547" s="507"/>
      <c r="O547" s="507"/>
      <c r="P547" s="507"/>
      <c r="Q547" s="507"/>
      <c r="R547" s="507"/>
      <c r="S547" s="507"/>
      <c r="T547" s="507"/>
      <c r="U547" s="507"/>
      <c r="V547" s="507"/>
      <c r="W547" s="507"/>
      <c r="X547" s="507"/>
      <c r="Y547" s="507"/>
      <c r="Z547" s="507"/>
    </row>
    <row r="548" ht="35.25" customHeight="1">
      <c r="A548" s="507"/>
      <c r="B548" s="507"/>
      <c r="C548" s="507"/>
      <c r="D548" s="508"/>
      <c r="E548" s="507"/>
      <c r="F548" s="507"/>
      <c r="G548" s="507"/>
      <c r="H548" s="507"/>
      <c r="I548" s="507"/>
      <c r="J548" s="507"/>
      <c r="K548" s="507"/>
      <c r="L548" s="507"/>
      <c r="M548" s="507"/>
      <c r="N548" s="507"/>
      <c r="O548" s="507"/>
      <c r="P548" s="507"/>
      <c r="Q548" s="507"/>
      <c r="R548" s="507"/>
      <c r="S548" s="507"/>
      <c r="T548" s="507"/>
      <c r="U548" s="507"/>
      <c r="V548" s="507"/>
      <c r="W548" s="507"/>
      <c r="X548" s="507"/>
      <c r="Y548" s="507"/>
      <c r="Z548" s="507"/>
    </row>
    <row r="549" ht="35.25" customHeight="1">
      <c r="A549" s="507"/>
      <c r="B549" s="507"/>
      <c r="C549" s="507"/>
      <c r="D549" s="507"/>
      <c r="E549" s="507"/>
      <c r="F549" s="507"/>
      <c r="G549" s="507"/>
      <c r="H549" s="507"/>
      <c r="I549" s="507"/>
      <c r="J549" s="507"/>
      <c r="K549" s="507"/>
      <c r="L549" s="507"/>
      <c r="M549" s="507"/>
      <c r="N549" s="507"/>
      <c r="O549" s="507"/>
      <c r="P549" s="507"/>
      <c r="Q549" s="507"/>
      <c r="R549" s="507"/>
      <c r="S549" s="507"/>
      <c r="T549" s="507"/>
      <c r="U549" s="507"/>
      <c r="V549" s="507"/>
      <c r="W549" s="507"/>
      <c r="X549" s="507"/>
      <c r="Y549" s="507"/>
      <c r="Z549" s="507"/>
    </row>
    <row r="550" ht="35.25" customHeight="1">
      <c r="A550" s="507"/>
      <c r="B550" s="507"/>
      <c r="C550" s="507"/>
      <c r="D550" s="507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  <c r="O550" s="507"/>
      <c r="P550" s="507"/>
      <c r="Q550" s="507"/>
      <c r="R550" s="507"/>
      <c r="S550" s="507"/>
      <c r="T550" s="507"/>
      <c r="U550" s="507"/>
      <c r="V550" s="507"/>
      <c r="W550" s="507"/>
      <c r="X550" s="507"/>
      <c r="Y550" s="507"/>
      <c r="Z550" s="507"/>
    </row>
    <row r="551" ht="35.25" customHeight="1">
      <c r="A551" s="507"/>
      <c r="B551" s="507"/>
      <c r="C551" s="507"/>
      <c r="D551" s="507"/>
      <c r="E551" s="507"/>
      <c r="F551" s="507"/>
      <c r="G551" s="507"/>
      <c r="H551" s="507"/>
      <c r="I551" s="507"/>
      <c r="J551" s="507"/>
      <c r="K551" s="507"/>
      <c r="L551" s="507"/>
      <c r="M551" s="507"/>
      <c r="N551" s="507"/>
      <c r="O551" s="507"/>
      <c r="P551" s="507"/>
      <c r="Q551" s="507"/>
      <c r="R551" s="507"/>
      <c r="S551" s="507"/>
      <c r="T551" s="507"/>
      <c r="U551" s="507"/>
      <c r="V551" s="507"/>
      <c r="W551" s="507"/>
      <c r="X551" s="507"/>
      <c r="Y551" s="507"/>
      <c r="Z551" s="507"/>
    </row>
    <row r="552" ht="35.25" customHeight="1">
      <c r="A552" s="507"/>
      <c r="B552" s="507"/>
      <c r="C552" s="507"/>
      <c r="D552" s="507"/>
      <c r="E552" s="507"/>
      <c r="F552" s="507"/>
      <c r="G552" s="507"/>
      <c r="H552" s="507"/>
      <c r="I552" s="507"/>
      <c r="J552" s="507"/>
      <c r="K552" s="507"/>
      <c r="L552" s="507"/>
      <c r="M552" s="507"/>
      <c r="N552" s="507"/>
      <c r="O552" s="507"/>
      <c r="P552" s="507"/>
      <c r="Q552" s="507"/>
      <c r="R552" s="507"/>
      <c r="S552" s="507"/>
      <c r="T552" s="507"/>
      <c r="U552" s="507"/>
      <c r="V552" s="507"/>
      <c r="W552" s="507"/>
      <c r="X552" s="507"/>
      <c r="Y552" s="507"/>
      <c r="Z552" s="507"/>
    </row>
  </sheetData>
  <mergeCells count="88">
    <mergeCell ref="A55:A59"/>
    <mergeCell ref="A60:A63"/>
    <mergeCell ref="A64:A72"/>
    <mergeCell ref="A73:A78"/>
    <mergeCell ref="A79:A83"/>
    <mergeCell ref="A84:A87"/>
    <mergeCell ref="A88:A93"/>
    <mergeCell ref="A114:A119"/>
    <mergeCell ref="A120:A126"/>
    <mergeCell ref="A127:A133"/>
    <mergeCell ref="A134:A139"/>
    <mergeCell ref="A140:A146"/>
    <mergeCell ref="A147:A150"/>
    <mergeCell ref="A151:A155"/>
    <mergeCell ref="A156:A161"/>
    <mergeCell ref="A162:A165"/>
    <mergeCell ref="A166:A171"/>
    <mergeCell ref="A172:A175"/>
    <mergeCell ref="A176:A179"/>
    <mergeCell ref="A180:A187"/>
    <mergeCell ref="A188:A191"/>
    <mergeCell ref="A234:A243"/>
    <mergeCell ref="A244:A249"/>
    <mergeCell ref="A250:A258"/>
    <mergeCell ref="A259:A263"/>
    <mergeCell ref="A192:A195"/>
    <mergeCell ref="A196:A203"/>
    <mergeCell ref="A204:A210"/>
    <mergeCell ref="A211:A214"/>
    <mergeCell ref="A215:A223"/>
    <mergeCell ref="A224:A228"/>
    <mergeCell ref="A229:A233"/>
    <mergeCell ref="D151:D155"/>
    <mergeCell ref="D156:D161"/>
    <mergeCell ref="D162:D165"/>
    <mergeCell ref="D166:D171"/>
    <mergeCell ref="D172:D175"/>
    <mergeCell ref="D176:D179"/>
    <mergeCell ref="D180:D187"/>
    <mergeCell ref="D229:D233"/>
    <mergeCell ref="D234:D243"/>
    <mergeCell ref="D244:D249"/>
    <mergeCell ref="D250:D258"/>
    <mergeCell ref="D259:D263"/>
    <mergeCell ref="D188:D191"/>
    <mergeCell ref="D192:D195"/>
    <mergeCell ref="D196:D203"/>
    <mergeCell ref="D204:D210"/>
    <mergeCell ref="D211:D214"/>
    <mergeCell ref="D215:D223"/>
    <mergeCell ref="D224:D228"/>
    <mergeCell ref="D15:D22"/>
    <mergeCell ref="D23:D28"/>
    <mergeCell ref="D9:D14"/>
    <mergeCell ref="D29:D36"/>
    <mergeCell ref="A2:D2"/>
    <mergeCell ref="A4:A8"/>
    <mergeCell ref="D4:D8"/>
    <mergeCell ref="A9:A14"/>
    <mergeCell ref="A15:A22"/>
    <mergeCell ref="A23:A28"/>
    <mergeCell ref="A29:A36"/>
    <mergeCell ref="A37:A42"/>
    <mergeCell ref="D37:D42"/>
    <mergeCell ref="A43:A49"/>
    <mergeCell ref="D43:D49"/>
    <mergeCell ref="A50:A54"/>
    <mergeCell ref="D50:D54"/>
    <mergeCell ref="D55:D59"/>
    <mergeCell ref="A94:A102"/>
    <mergeCell ref="A103:A107"/>
    <mergeCell ref="F107:F111"/>
    <mergeCell ref="A108:A113"/>
    <mergeCell ref="D108:D113"/>
    <mergeCell ref="D60:D63"/>
    <mergeCell ref="D64:D72"/>
    <mergeCell ref="D73:D78"/>
    <mergeCell ref="D79:D83"/>
    <mergeCell ref="D84:D87"/>
    <mergeCell ref="D88:D93"/>
    <mergeCell ref="D94:D102"/>
    <mergeCell ref="D103:D107"/>
    <mergeCell ref="D114:D119"/>
    <mergeCell ref="D120:D126"/>
    <mergeCell ref="D127:D133"/>
    <mergeCell ref="D134:D139"/>
    <mergeCell ref="D140:D146"/>
    <mergeCell ref="D147:D15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25.0"/>
    <col customWidth="1" min="6" max="6" width="26.57"/>
    <col customWidth="1" min="7" max="9" width="25.0"/>
    <col customWidth="1" min="10" max="10" width="9.29"/>
  </cols>
  <sheetData>
    <row r="1">
      <c r="A1" s="867" t="s">
        <v>50</v>
      </c>
      <c r="B1" s="868" t="s">
        <v>1028</v>
      </c>
      <c r="C1" s="4"/>
      <c r="D1" s="4"/>
      <c r="E1" s="4"/>
      <c r="F1" s="4"/>
      <c r="G1" s="4"/>
      <c r="H1" s="4"/>
      <c r="I1" s="5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</row>
    <row r="2">
      <c r="A2" s="870"/>
      <c r="B2" s="871" t="s">
        <v>399</v>
      </c>
      <c r="C2" s="871" t="s">
        <v>403</v>
      </c>
      <c r="D2" s="871" t="s">
        <v>1029</v>
      </c>
      <c r="E2" s="871" t="s">
        <v>400</v>
      </c>
      <c r="F2" s="871" t="s">
        <v>1030</v>
      </c>
      <c r="G2" s="871" t="s">
        <v>1031</v>
      </c>
      <c r="H2" s="871" t="s">
        <v>395</v>
      </c>
      <c r="I2" s="871" t="s">
        <v>1032</v>
      </c>
      <c r="J2" s="869"/>
      <c r="K2" s="872" t="s">
        <v>1033</v>
      </c>
      <c r="L2" s="873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</row>
    <row r="3">
      <c r="A3" s="870"/>
      <c r="B3" s="874" t="s">
        <v>20</v>
      </c>
      <c r="C3" s="873" t="s">
        <v>182</v>
      </c>
      <c r="D3" s="874" t="s">
        <v>46</v>
      </c>
      <c r="E3" s="874" t="s">
        <v>37</v>
      </c>
      <c r="F3" s="874" t="s">
        <v>63</v>
      </c>
      <c r="G3" s="875" t="s">
        <v>1034</v>
      </c>
      <c r="H3" s="875" t="s">
        <v>1035</v>
      </c>
      <c r="I3" s="874" t="s">
        <v>1036</v>
      </c>
      <c r="J3" s="869"/>
      <c r="K3" s="872" t="s">
        <v>1037</v>
      </c>
      <c r="L3" s="874"/>
      <c r="M3" s="869"/>
      <c r="N3" s="869"/>
      <c r="O3" s="869"/>
      <c r="P3" s="869"/>
      <c r="Q3" s="869"/>
      <c r="R3" s="869"/>
      <c r="S3" s="869"/>
      <c r="T3" s="869"/>
      <c r="U3" s="869"/>
      <c r="V3" s="869"/>
      <c r="W3" s="869"/>
      <c r="X3" s="869"/>
      <c r="Y3" s="869"/>
      <c r="Z3" s="869"/>
    </row>
    <row r="4">
      <c r="A4" s="870"/>
      <c r="B4" s="874" t="s">
        <v>23</v>
      </c>
      <c r="C4" s="876" t="s">
        <v>86</v>
      </c>
      <c r="D4" s="874" t="s">
        <v>64</v>
      </c>
      <c r="E4" s="874" t="s">
        <v>40</v>
      </c>
      <c r="F4" s="876" t="s">
        <v>116</v>
      </c>
      <c r="G4" s="874" t="s">
        <v>42</v>
      </c>
      <c r="H4" s="877"/>
      <c r="I4" s="874" t="s">
        <v>1038</v>
      </c>
      <c r="J4" s="869"/>
      <c r="K4" s="872" t="s">
        <v>848</v>
      </c>
      <c r="L4" s="876"/>
      <c r="M4" s="869"/>
      <c r="N4" s="869"/>
      <c r="O4" s="869"/>
      <c r="P4" s="869"/>
      <c r="Q4" s="869"/>
      <c r="R4" s="869"/>
      <c r="S4" s="869"/>
      <c r="T4" s="869"/>
      <c r="U4" s="869"/>
      <c r="V4" s="869"/>
      <c r="W4" s="869"/>
      <c r="X4" s="869"/>
      <c r="Y4" s="869"/>
      <c r="Z4" s="869"/>
    </row>
    <row r="5">
      <c r="A5" s="870"/>
      <c r="B5" s="874" t="s">
        <v>26</v>
      </c>
      <c r="C5" s="876" t="s">
        <v>90</v>
      </c>
      <c r="D5" s="876" t="s">
        <v>610</v>
      </c>
      <c r="E5" s="876" t="s">
        <v>68</v>
      </c>
      <c r="F5" s="876" t="s">
        <v>117</v>
      </c>
      <c r="G5" s="873" t="s">
        <v>1039</v>
      </c>
      <c r="H5" s="877"/>
      <c r="I5" s="874" t="s">
        <v>39</v>
      </c>
      <c r="J5" s="869"/>
      <c r="K5" s="872" t="s">
        <v>1040</v>
      </c>
      <c r="L5" s="878"/>
      <c r="M5" s="869"/>
      <c r="N5" s="869"/>
      <c r="O5" s="869"/>
      <c r="P5" s="869"/>
      <c r="Q5" s="869"/>
      <c r="R5" s="869"/>
      <c r="S5" s="869"/>
      <c r="T5" s="869"/>
      <c r="U5" s="869"/>
      <c r="V5" s="869"/>
      <c r="W5" s="869"/>
      <c r="X5" s="869"/>
      <c r="Y5" s="869"/>
      <c r="Z5" s="869"/>
    </row>
    <row r="6">
      <c r="A6" s="870"/>
      <c r="B6" s="874" t="s">
        <v>29</v>
      </c>
      <c r="C6" s="876" t="s">
        <v>1041</v>
      </c>
      <c r="D6" s="876" t="s">
        <v>108</v>
      </c>
      <c r="E6" s="876" t="s">
        <v>80</v>
      </c>
      <c r="F6" s="876" t="s">
        <v>120</v>
      </c>
      <c r="G6" s="873" t="s">
        <v>1003</v>
      </c>
      <c r="H6" s="877"/>
      <c r="I6" s="874" t="s">
        <v>41</v>
      </c>
      <c r="J6" s="869"/>
      <c r="K6" s="869"/>
      <c r="L6" s="869"/>
      <c r="M6" s="869"/>
      <c r="N6" s="869"/>
      <c r="O6" s="869"/>
      <c r="P6" s="869"/>
      <c r="Q6" s="869"/>
      <c r="R6" s="869"/>
      <c r="S6" s="869"/>
      <c r="T6" s="869"/>
      <c r="U6" s="869"/>
      <c r="V6" s="869"/>
      <c r="W6" s="869"/>
      <c r="X6" s="869"/>
      <c r="Y6" s="869"/>
      <c r="Z6" s="869"/>
    </row>
    <row r="7">
      <c r="A7" s="870"/>
      <c r="B7" s="874" t="s">
        <v>30</v>
      </c>
      <c r="C7" s="874" t="s">
        <v>11</v>
      </c>
      <c r="D7" s="876" t="s">
        <v>119</v>
      </c>
      <c r="E7" s="876" t="s">
        <v>107</v>
      </c>
      <c r="F7" s="876" t="s">
        <v>124</v>
      </c>
      <c r="G7" s="873" t="s">
        <v>1000</v>
      </c>
      <c r="H7" s="877"/>
      <c r="I7" s="876" t="s">
        <v>65</v>
      </c>
      <c r="J7" s="869"/>
      <c r="K7" s="869"/>
      <c r="L7" s="869"/>
      <c r="M7" s="869"/>
      <c r="N7" s="869"/>
      <c r="O7" s="869"/>
      <c r="P7" s="869"/>
      <c r="Q7" s="869"/>
      <c r="R7" s="869"/>
      <c r="S7" s="869"/>
      <c r="T7" s="869"/>
      <c r="U7" s="869"/>
      <c r="V7" s="869"/>
      <c r="W7" s="869"/>
      <c r="X7" s="869"/>
      <c r="Y7" s="869"/>
      <c r="Z7" s="869"/>
    </row>
    <row r="8">
      <c r="A8" s="870"/>
      <c r="B8" s="878" t="s">
        <v>149</v>
      </c>
      <c r="C8" s="874" t="s">
        <v>16</v>
      </c>
      <c r="D8" s="876" t="s">
        <v>121</v>
      </c>
      <c r="E8" s="873" t="s">
        <v>634</v>
      </c>
      <c r="F8" s="878" t="s">
        <v>140</v>
      </c>
      <c r="G8" s="876" t="s">
        <v>122</v>
      </c>
      <c r="H8" s="877"/>
      <c r="I8" s="873" t="s">
        <v>943</v>
      </c>
      <c r="J8" s="869"/>
      <c r="K8" s="869"/>
      <c r="L8" s="869"/>
      <c r="M8" s="869"/>
      <c r="N8" s="869"/>
      <c r="O8" s="869"/>
      <c r="P8" s="869"/>
      <c r="Q8" s="869"/>
      <c r="R8" s="869"/>
      <c r="S8" s="869"/>
      <c r="T8" s="869"/>
      <c r="U8" s="869"/>
      <c r="V8" s="869"/>
      <c r="W8" s="869"/>
      <c r="X8" s="869"/>
      <c r="Y8" s="869"/>
      <c r="Z8" s="869"/>
    </row>
    <row r="9">
      <c r="A9" s="870"/>
      <c r="B9" s="873" t="s">
        <v>167</v>
      </c>
      <c r="C9" s="876" t="s">
        <v>79</v>
      </c>
      <c r="D9" s="876" t="s">
        <v>123</v>
      </c>
      <c r="E9" s="873" t="s">
        <v>643</v>
      </c>
      <c r="F9" s="873" t="s">
        <v>635</v>
      </c>
      <c r="G9" s="879" t="s">
        <v>1042</v>
      </c>
      <c r="H9" s="877"/>
      <c r="I9" s="873" t="s">
        <v>750</v>
      </c>
      <c r="J9" s="869"/>
      <c r="K9" s="869"/>
      <c r="L9" s="869"/>
      <c r="M9" s="869"/>
      <c r="N9" s="869"/>
      <c r="O9" s="869"/>
      <c r="P9" s="869"/>
      <c r="Q9" s="869"/>
      <c r="R9" s="869"/>
      <c r="S9" s="869"/>
      <c r="T9" s="869"/>
      <c r="U9" s="869"/>
      <c r="V9" s="869"/>
      <c r="W9" s="869"/>
      <c r="X9" s="869"/>
      <c r="Y9" s="869"/>
      <c r="Z9" s="869"/>
    </row>
    <row r="10">
      <c r="A10" s="870"/>
      <c r="B10" s="873" t="s">
        <v>215</v>
      </c>
      <c r="C10" s="878" t="s">
        <v>139</v>
      </c>
      <c r="D10" s="878" t="s">
        <v>131</v>
      </c>
      <c r="E10" s="873" t="s">
        <v>716</v>
      </c>
      <c r="F10" s="873" t="s">
        <v>719</v>
      </c>
      <c r="G10" s="874" t="s">
        <v>43</v>
      </c>
      <c r="H10" s="877"/>
      <c r="I10" s="874" t="s">
        <v>22</v>
      </c>
      <c r="J10" s="869"/>
      <c r="K10" s="869"/>
      <c r="L10" s="869"/>
      <c r="M10" s="869"/>
      <c r="N10" s="869"/>
      <c r="O10" s="869"/>
      <c r="P10" s="869"/>
      <c r="Q10" s="869"/>
      <c r="R10" s="869"/>
      <c r="S10" s="869"/>
      <c r="T10" s="869"/>
      <c r="U10" s="869"/>
      <c r="V10" s="869"/>
      <c r="W10" s="869"/>
      <c r="X10" s="869"/>
      <c r="Y10" s="869"/>
      <c r="Z10" s="869"/>
    </row>
    <row r="11">
      <c r="A11" s="867"/>
      <c r="B11" s="873" t="s">
        <v>178</v>
      </c>
      <c r="C11" s="873" t="s">
        <v>636</v>
      </c>
      <c r="D11" s="878" t="s">
        <v>130</v>
      </c>
      <c r="E11" s="878" t="s">
        <v>138</v>
      </c>
      <c r="F11" s="873" t="s">
        <v>302</v>
      </c>
      <c r="G11" s="874" t="s">
        <v>44</v>
      </c>
      <c r="H11" s="877"/>
      <c r="I11" s="873" t="s">
        <v>1043</v>
      </c>
      <c r="J11" s="869"/>
      <c r="K11" s="869"/>
      <c r="L11" s="869"/>
      <c r="M11" s="869"/>
      <c r="N11" s="869"/>
      <c r="O11" s="869"/>
      <c r="P11" s="869"/>
      <c r="Q11" s="869"/>
      <c r="R11" s="869"/>
      <c r="S11" s="869"/>
      <c r="T11" s="869"/>
      <c r="U11" s="869"/>
      <c r="V11" s="869"/>
      <c r="W11" s="869"/>
      <c r="X11" s="869"/>
      <c r="Y11" s="869"/>
      <c r="Z11" s="869"/>
    </row>
    <row r="12">
      <c r="A12" s="867"/>
      <c r="B12" s="873" t="s">
        <v>205</v>
      </c>
      <c r="C12" s="873" t="s">
        <v>60</v>
      </c>
      <c r="D12" s="878" t="s">
        <v>141</v>
      </c>
      <c r="E12" s="878" t="s">
        <v>145</v>
      </c>
      <c r="F12" s="876" t="s">
        <v>101</v>
      </c>
      <c r="G12" s="874" t="s">
        <v>45</v>
      </c>
      <c r="H12" s="877"/>
      <c r="I12" s="878" t="s">
        <v>148</v>
      </c>
      <c r="J12" s="869"/>
      <c r="K12" s="869"/>
      <c r="L12" s="869"/>
      <c r="M12" s="869"/>
      <c r="N12" s="869"/>
      <c r="O12" s="869"/>
      <c r="P12" s="869"/>
      <c r="Q12" s="869"/>
      <c r="R12" s="869"/>
      <c r="S12" s="869"/>
      <c r="T12" s="869"/>
      <c r="U12" s="869"/>
      <c r="V12" s="869"/>
      <c r="W12" s="869"/>
      <c r="X12" s="869"/>
      <c r="Y12" s="869"/>
      <c r="Z12" s="869"/>
    </row>
    <row r="13">
      <c r="A13" s="870"/>
      <c r="B13" s="873" t="s">
        <v>296</v>
      </c>
      <c r="C13" s="876" t="s">
        <v>112</v>
      </c>
      <c r="D13" s="878" t="s">
        <v>150</v>
      </c>
      <c r="E13" s="878" t="s">
        <v>1044</v>
      </c>
      <c r="F13" s="873" t="s">
        <v>743</v>
      </c>
      <c r="G13" s="874" t="s">
        <v>31</v>
      </c>
      <c r="H13" s="877"/>
      <c r="I13" s="874" t="s">
        <v>1045</v>
      </c>
      <c r="J13" s="869"/>
      <c r="K13" s="869"/>
      <c r="L13" s="869"/>
      <c r="M13" s="869"/>
      <c r="N13" s="869"/>
      <c r="O13" s="869"/>
      <c r="P13" s="869"/>
      <c r="Q13" s="869"/>
      <c r="R13" s="869"/>
      <c r="S13" s="869"/>
      <c r="T13" s="869"/>
      <c r="U13" s="869"/>
      <c r="V13" s="869"/>
      <c r="W13" s="869"/>
      <c r="X13" s="869"/>
      <c r="Y13" s="869"/>
      <c r="Z13" s="869"/>
    </row>
    <row r="14">
      <c r="A14" s="870"/>
      <c r="B14" s="878" t="s">
        <v>1046</v>
      </c>
      <c r="C14" s="878" t="s">
        <v>154</v>
      </c>
      <c r="D14" s="878" t="s">
        <v>156</v>
      </c>
      <c r="E14" s="876" t="s">
        <v>75</v>
      </c>
      <c r="F14" s="874" t="s">
        <v>47</v>
      </c>
      <c r="G14" s="874" t="s">
        <v>1047</v>
      </c>
      <c r="H14" s="877"/>
      <c r="I14" s="873" t="s">
        <v>1048</v>
      </c>
      <c r="J14" s="869"/>
      <c r="K14" s="869"/>
      <c r="L14" s="869"/>
      <c r="M14" s="869"/>
      <c r="N14" s="869"/>
      <c r="O14" s="869"/>
      <c r="P14" s="869"/>
      <c r="Q14" s="869"/>
      <c r="R14" s="869"/>
      <c r="S14" s="869"/>
      <c r="T14" s="869"/>
      <c r="U14" s="869"/>
      <c r="V14" s="869"/>
      <c r="W14" s="869"/>
      <c r="X14" s="869"/>
      <c r="Y14" s="869"/>
      <c r="Z14" s="869"/>
    </row>
    <row r="15">
      <c r="A15" s="870"/>
      <c r="B15" s="873" t="s">
        <v>947</v>
      </c>
      <c r="C15" s="874" t="s">
        <v>18</v>
      </c>
      <c r="D15" s="878" t="s">
        <v>158</v>
      </c>
      <c r="E15" s="876" t="s">
        <v>100</v>
      </c>
      <c r="F15" s="876" t="s">
        <v>118</v>
      </c>
      <c r="G15" s="879" t="s">
        <v>1049</v>
      </c>
      <c r="H15" s="877"/>
      <c r="I15" s="879"/>
      <c r="J15" s="869"/>
      <c r="K15" s="880"/>
      <c r="L15" s="881"/>
      <c r="M15" s="869"/>
      <c r="N15" s="869"/>
      <c r="O15" s="869"/>
      <c r="P15" s="869"/>
      <c r="Q15" s="869"/>
      <c r="R15" s="869"/>
      <c r="S15" s="869"/>
      <c r="T15" s="869"/>
      <c r="U15" s="869"/>
      <c r="V15" s="869"/>
      <c r="W15" s="869"/>
      <c r="X15" s="869"/>
      <c r="Y15" s="869"/>
      <c r="Z15" s="869"/>
    </row>
    <row r="16">
      <c r="A16" s="867"/>
      <c r="B16" s="873" t="s">
        <v>714</v>
      </c>
      <c r="C16" s="873" t="s">
        <v>942</v>
      </c>
      <c r="D16" s="873" t="s">
        <v>184</v>
      </c>
      <c r="E16" s="882" t="s">
        <v>1050</v>
      </c>
      <c r="F16" s="873" t="s">
        <v>1051</v>
      </c>
      <c r="G16" s="878" t="s">
        <v>129</v>
      </c>
      <c r="H16" s="877"/>
      <c r="I16" s="879"/>
      <c r="J16" s="869"/>
      <c r="K16" s="869"/>
      <c r="L16" s="869"/>
      <c r="M16" s="869"/>
      <c r="N16" s="869"/>
      <c r="O16" s="869"/>
      <c r="P16" s="869"/>
      <c r="Q16" s="869"/>
      <c r="R16" s="869"/>
      <c r="S16" s="869"/>
      <c r="T16" s="869"/>
      <c r="U16" s="869"/>
      <c r="V16" s="869"/>
      <c r="W16" s="869"/>
      <c r="X16" s="869"/>
      <c r="Y16" s="869"/>
      <c r="Z16" s="869"/>
    </row>
    <row r="17">
      <c r="A17" s="870"/>
      <c r="B17" s="873" t="s">
        <v>744</v>
      </c>
      <c r="C17" s="874" t="s">
        <v>646</v>
      </c>
      <c r="D17" s="873" t="s">
        <v>292</v>
      </c>
      <c r="E17" s="883"/>
      <c r="F17" s="873" t="s">
        <v>944</v>
      </c>
      <c r="G17" s="879" t="s">
        <v>1002</v>
      </c>
      <c r="H17" s="877"/>
      <c r="I17" s="879"/>
      <c r="J17" s="869"/>
      <c r="K17" s="869"/>
      <c r="L17" s="869"/>
      <c r="M17" s="869"/>
      <c r="N17" s="869"/>
      <c r="O17" s="869"/>
      <c r="P17" s="869"/>
      <c r="Q17" s="869"/>
      <c r="R17" s="869"/>
      <c r="S17" s="869"/>
      <c r="T17" s="869"/>
      <c r="U17" s="869"/>
      <c r="V17" s="869"/>
      <c r="W17" s="869"/>
      <c r="X17" s="869"/>
      <c r="Y17" s="869"/>
      <c r="Z17" s="869"/>
    </row>
    <row r="18">
      <c r="A18" s="870"/>
      <c r="B18" s="873" t="s">
        <v>1024</v>
      </c>
      <c r="C18" s="879" t="s">
        <v>1052</v>
      </c>
      <c r="D18" s="873" t="s">
        <v>216</v>
      </c>
      <c r="E18" s="883"/>
      <c r="F18" s="879" t="s">
        <v>1053</v>
      </c>
      <c r="G18" s="882" t="s">
        <v>1054</v>
      </c>
      <c r="H18" s="877"/>
      <c r="I18" s="879"/>
      <c r="J18" s="869"/>
      <c r="K18" s="881"/>
      <c r="L18" s="881"/>
      <c r="M18" s="869"/>
      <c r="N18" s="869"/>
      <c r="O18" s="869"/>
      <c r="P18" s="869"/>
      <c r="Q18" s="869"/>
      <c r="R18" s="869"/>
      <c r="S18" s="869"/>
      <c r="T18" s="869"/>
      <c r="U18" s="869"/>
      <c r="V18" s="869"/>
      <c r="W18" s="869"/>
      <c r="X18" s="869"/>
      <c r="Y18" s="869"/>
      <c r="Z18" s="869"/>
    </row>
    <row r="19">
      <c r="A19" s="870"/>
      <c r="B19" s="876" t="s">
        <v>115</v>
      </c>
      <c r="C19" s="874" t="s">
        <v>56</v>
      </c>
      <c r="D19" s="873" t="s">
        <v>510</v>
      </c>
      <c r="E19" s="883"/>
      <c r="F19" s="873" t="s">
        <v>753</v>
      </c>
      <c r="G19" s="877"/>
      <c r="H19" s="877"/>
      <c r="I19" s="879"/>
      <c r="J19" s="869"/>
      <c r="K19" s="869"/>
      <c r="L19" s="881"/>
      <c r="M19" s="869"/>
      <c r="N19" s="869"/>
      <c r="O19" s="869"/>
      <c r="P19" s="869"/>
      <c r="Q19" s="869"/>
      <c r="R19" s="869"/>
      <c r="S19" s="869"/>
      <c r="T19" s="869"/>
      <c r="U19" s="869"/>
      <c r="V19" s="869"/>
      <c r="W19" s="869"/>
      <c r="X19" s="869"/>
      <c r="Y19" s="869"/>
      <c r="Z19" s="869"/>
    </row>
    <row r="20">
      <c r="A20" s="870"/>
      <c r="B20" s="878" t="s">
        <v>143</v>
      </c>
      <c r="C20" s="882" t="s">
        <v>1055</v>
      </c>
      <c r="D20" s="873" t="s">
        <v>513</v>
      </c>
      <c r="E20" s="883"/>
      <c r="F20" s="873" t="s">
        <v>1056</v>
      </c>
      <c r="G20" s="877"/>
      <c r="H20" s="877"/>
      <c r="I20" s="877"/>
      <c r="J20" s="869"/>
      <c r="K20" s="869"/>
      <c r="L20" s="869"/>
      <c r="M20" s="869"/>
      <c r="N20" s="869"/>
      <c r="O20" s="869"/>
      <c r="P20" s="869"/>
      <c r="Q20" s="869"/>
      <c r="R20" s="869"/>
      <c r="S20" s="869"/>
      <c r="T20" s="869"/>
      <c r="U20" s="869"/>
      <c r="V20" s="869"/>
      <c r="W20" s="869"/>
      <c r="X20" s="869"/>
      <c r="Y20" s="869"/>
      <c r="Z20" s="869"/>
    </row>
    <row r="21">
      <c r="A21" s="870"/>
      <c r="B21" s="879" t="s">
        <v>1057</v>
      </c>
      <c r="C21" s="873" t="s">
        <v>280</v>
      </c>
      <c r="D21" s="873" t="s">
        <v>718</v>
      </c>
      <c r="E21" s="883"/>
      <c r="F21" s="879" t="s">
        <v>1058</v>
      </c>
      <c r="G21" s="877"/>
      <c r="H21" s="877"/>
      <c r="I21" s="877"/>
      <c r="J21" s="869"/>
      <c r="K21" s="869"/>
      <c r="L21" s="869"/>
      <c r="M21" s="869"/>
      <c r="N21" s="869"/>
      <c r="O21" s="869"/>
      <c r="P21" s="869"/>
      <c r="Q21" s="869"/>
      <c r="R21" s="869"/>
      <c r="S21" s="869"/>
      <c r="T21" s="869"/>
      <c r="U21" s="869"/>
      <c r="V21" s="869"/>
      <c r="W21" s="869"/>
      <c r="X21" s="869"/>
      <c r="Y21" s="869"/>
      <c r="Z21" s="869"/>
    </row>
    <row r="22">
      <c r="A22" s="870"/>
      <c r="B22" s="879"/>
      <c r="C22" s="882" t="s">
        <v>1059</v>
      </c>
      <c r="D22" s="873" t="s">
        <v>752</v>
      </c>
      <c r="E22" s="883"/>
      <c r="F22" s="879" t="s">
        <v>1060</v>
      </c>
      <c r="G22" s="877"/>
      <c r="H22" s="877"/>
      <c r="I22" s="157"/>
      <c r="J22" s="869"/>
      <c r="K22" s="869"/>
      <c r="L22" s="869"/>
      <c r="M22" s="869"/>
      <c r="N22" s="869"/>
      <c r="O22" s="869"/>
      <c r="P22" s="869"/>
      <c r="Q22" s="869"/>
      <c r="R22" s="869"/>
      <c r="S22" s="869"/>
      <c r="T22" s="869"/>
      <c r="U22" s="869"/>
      <c r="V22" s="869"/>
      <c r="W22" s="869"/>
      <c r="X22" s="869"/>
      <c r="Y22" s="869"/>
      <c r="Z22" s="869"/>
    </row>
    <row r="23">
      <c r="A23" s="870"/>
      <c r="B23" s="877"/>
      <c r="C23" s="883"/>
      <c r="D23" s="873" t="s">
        <v>938</v>
      </c>
      <c r="E23" s="883"/>
      <c r="F23" s="878" t="s">
        <v>253</v>
      </c>
      <c r="G23" s="877"/>
      <c r="H23" s="877"/>
      <c r="I23" s="877"/>
      <c r="J23" s="869"/>
      <c r="K23" s="869"/>
      <c r="L23" s="869"/>
      <c r="M23" s="869"/>
      <c r="N23" s="869"/>
      <c r="O23" s="869"/>
      <c r="P23" s="869"/>
      <c r="Q23" s="869"/>
      <c r="R23" s="869"/>
      <c r="S23" s="869"/>
      <c r="T23" s="869"/>
      <c r="U23" s="869"/>
      <c r="V23" s="869"/>
      <c r="W23" s="869"/>
      <c r="X23" s="869"/>
      <c r="Y23" s="869"/>
      <c r="Z23" s="869"/>
    </row>
    <row r="24">
      <c r="A24" s="870"/>
      <c r="B24" s="877"/>
      <c r="C24" s="883"/>
      <c r="D24" s="873" t="s">
        <v>936</v>
      </c>
      <c r="E24" s="883"/>
      <c r="F24" s="874" t="s">
        <v>33</v>
      </c>
      <c r="G24" s="877"/>
      <c r="H24" s="877"/>
      <c r="I24" s="877"/>
      <c r="J24" s="869"/>
      <c r="K24" s="869"/>
      <c r="L24" s="869"/>
      <c r="M24" s="869"/>
      <c r="N24" s="869"/>
      <c r="O24" s="869"/>
      <c r="P24" s="869"/>
      <c r="Q24" s="869"/>
      <c r="R24" s="869"/>
      <c r="S24" s="869"/>
      <c r="T24" s="869"/>
      <c r="U24" s="869"/>
      <c r="V24" s="869"/>
      <c r="W24" s="869"/>
      <c r="X24" s="869"/>
      <c r="Y24" s="869"/>
      <c r="Z24" s="869"/>
    </row>
    <row r="25">
      <c r="A25" s="870"/>
      <c r="B25" s="877"/>
      <c r="C25" s="883"/>
      <c r="D25" s="882"/>
      <c r="E25" s="883"/>
      <c r="F25" s="878" t="s">
        <v>1061</v>
      </c>
      <c r="G25" s="877"/>
      <c r="H25" s="877"/>
      <c r="I25" s="877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Y25" s="869"/>
      <c r="Z25" s="869"/>
    </row>
    <row r="26">
      <c r="A26" s="870"/>
      <c r="B26" s="877"/>
      <c r="C26" s="883"/>
      <c r="D26" s="157"/>
      <c r="E26" s="883"/>
      <c r="F26" s="879"/>
      <c r="G26" s="877"/>
      <c r="H26" s="877"/>
      <c r="I26" s="877"/>
      <c r="J26" s="869"/>
      <c r="K26" s="869"/>
      <c r="L26" s="869"/>
      <c r="M26" s="869"/>
      <c r="N26" s="869"/>
      <c r="O26" s="869"/>
      <c r="P26" s="869"/>
      <c r="Q26" s="869"/>
      <c r="R26" s="869"/>
      <c r="S26" s="869"/>
      <c r="T26" s="869"/>
      <c r="U26" s="869"/>
      <c r="V26" s="869"/>
      <c r="W26" s="869"/>
      <c r="X26" s="869"/>
      <c r="Y26" s="869"/>
      <c r="Z26" s="869"/>
    </row>
    <row r="27">
      <c r="A27" s="870"/>
      <c r="B27" s="877"/>
      <c r="C27" s="883"/>
      <c r="D27" s="157"/>
      <c r="E27" s="883"/>
      <c r="F27" s="879"/>
      <c r="G27" s="879" t="s">
        <v>50</v>
      </c>
      <c r="H27" s="877"/>
      <c r="I27" s="877"/>
      <c r="J27" s="869"/>
      <c r="K27" s="869"/>
      <c r="L27" s="869"/>
      <c r="M27" s="869"/>
      <c r="N27" s="869"/>
      <c r="O27" s="869"/>
      <c r="P27" s="869"/>
      <c r="Q27" s="869"/>
      <c r="R27" s="869"/>
      <c r="S27" s="869"/>
      <c r="T27" s="869"/>
      <c r="U27" s="869"/>
      <c r="V27" s="869"/>
      <c r="W27" s="869"/>
      <c r="X27" s="869"/>
      <c r="Y27" s="869"/>
      <c r="Z27" s="869"/>
    </row>
    <row r="28">
      <c r="A28" s="870"/>
      <c r="B28" s="877"/>
      <c r="C28" s="883"/>
      <c r="D28" s="157"/>
      <c r="E28" s="883"/>
      <c r="F28" s="879"/>
      <c r="G28" s="877"/>
      <c r="H28" s="877"/>
      <c r="I28" s="877"/>
      <c r="J28" s="869"/>
      <c r="K28" s="869"/>
      <c r="L28" s="869"/>
      <c r="M28" s="869"/>
      <c r="N28" s="869"/>
      <c r="O28" s="869"/>
      <c r="P28" s="869"/>
      <c r="Q28" s="869"/>
      <c r="R28" s="869"/>
      <c r="S28" s="869"/>
      <c r="T28" s="869"/>
      <c r="U28" s="869"/>
      <c r="V28" s="869"/>
      <c r="W28" s="869"/>
      <c r="X28" s="869"/>
      <c r="Y28" s="869"/>
      <c r="Z28" s="869"/>
    </row>
    <row r="29">
      <c r="A29" s="870"/>
      <c r="B29" s="877"/>
      <c r="C29" s="883"/>
      <c r="D29" s="882"/>
      <c r="E29" s="883"/>
      <c r="F29" s="879"/>
      <c r="G29" s="877"/>
      <c r="H29" s="877"/>
      <c r="I29" s="877"/>
      <c r="J29" s="869"/>
      <c r="K29" s="869"/>
      <c r="L29" s="869"/>
      <c r="M29" s="869"/>
      <c r="N29" s="869"/>
      <c r="O29" s="869"/>
      <c r="P29" s="869"/>
      <c r="Q29" s="869"/>
      <c r="R29" s="869"/>
      <c r="S29" s="869"/>
      <c r="T29" s="869"/>
      <c r="U29" s="869"/>
      <c r="V29" s="869"/>
      <c r="W29" s="869"/>
      <c r="X29" s="869"/>
      <c r="Y29" s="869"/>
      <c r="Z29" s="869"/>
    </row>
    <row r="30">
      <c r="A30" s="870"/>
      <c r="B30" s="877"/>
      <c r="C30" s="883"/>
      <c r="D30" s="882"/>
      <c r="E30" s="883"/>
      <c r="F30" s="879"/>
      <c r="G30" s="877"/>
      <c r="H30" s="877"/>
      <c r="I30" s="877"/>
      <c r="J30" s="869"/>
      <c r="K30" s="869"/>
      <c r="L30" s="869"/>
      <c r="M30" s="869"/>
      <c r="N30" s="869"/>
      <c r="O30" s="869"/>
      <c r="P30" s="869"/>
      <c r="Q30" s="869"/>
      <c r="R30" s="869"/>
      <c r="S30" s="869"/>
      <c r="T30" s="869"/>
      <c r="U30" s="869"/>
      <c r="V30" s="869"/>
      <c r="W30" s="869"/>
      <c r="X30" s="869"/>
      <c r="Y30" s="869"/>
      <c r="Z30" s="869"/>
    </row>
    <row r="31">
      <c r="A31" s="870"/>
      <c r="B31" s="877"/>
      <c r="C31" s="883"/>
      <c r="D31" s="882"/>
      <c r="E31" s="883"/>
      <c r="F31" s="877"/>
      <c r="G31" s="877"/>
      <c r="H31" s="877"/>
      <c r="I31" s="877"/>
      <c r="J31" s="869"/>
      <c r="K31" s="869"/>
      <c r="L31" s="869"/>
      <c r="M31" s="869"/>
      <c r="N31" s="869"/>
      <c r="O31" s="869"/>
      <c r="P31" s="869"/>
      <c r="Q31" s="869"/>
      <c r="R31" s="869"/>
      <c r="S31" s="869"/>
      <c r="T31" s="869"/>
      <c r="U31" s="869"/>
      <c r="V31" s="869"/>
      <c r="W31" s="869"/>
      <c r="X31" s="869"/>
      <c r="Y31" s="869"/>
      <c r="Z31" s="869"/>
    </row>
    <row r="32">
      <c r="A32" s="870"/>
      <c r="B32" s="877"/>
      <c r="C32" s="883"/>
      <c r="D32" s="882"/>
      <c r="E32" s="883"/>
      <c r="F32" s="877"/>
      <c r="G32" s="877"/>
      <c r="H32" s="877"/>
      <c r="I32" s="877"/>
      <c r="J32" s="869"/>
      <c r="K32" s="869"/>
      <c r="L32" s="869"/>
      <c r="M32" s="869"/>
      <c r="N32" s="869"/>
      <c r="O32" s="869"/>
      <c r="P32" s="869"/>
      <c r="Q32" s="869"/>
      <c r="R32" s="869"/>
      <c r="S32" s="869"/>
      <c r="T32" s="869"/>
      <c r="U32" s="869"/>
      <c r="V32" s="869"/>
      <c r="W32" s="869"/>
      <c r="X32" s="869"/>
      <c r="Y32" s="869"/>
      <c r="Z32" s="869"/>
    </row>
    <row r="33">
      <c r="A33" s="870"/>
      <c r="B33" s="884"/>
      <c r="C33" s="884"/>
      <c r="D33" s="884"/>
      <c r="E33" s="884"/>
      <c r="F33" s="884"/>
      <c r="G33" s="884"/>
      <c r="H33" s="885"/>
      <c r="I33" s="885"/>
      <c r="J33" s="869"/>
      <c r="K33" s="869"/>
      <c r="L33" s="869"/>
      <c r="M33" s="869"/>
      <c r="N33" s="869"/>
      <c r="O33" s="869"/>
      <c r="P33" s="869"/>
      <c r="Q33" s="869"/>
      <c r="R33" s="869"/>
      <c r="S33" s="869"/>
      <c r="T33" s="869"/>
      <c r="U33" s="869"/>
      <c r="V33" s="869"/>
      <c r="W33" s="869"/>
      <c r="X33" s="869"/>
      <c r="Y33" s="869"/>
      <c r="Z33" s="869"/>
    </row>
    <row r="34">
      <c r="A34" s="870"/>
      <c r="B34" s="870"/>
      <c r="C34" s="870"/>
      <c r="D34" s="870"/>
      <c r="E34" s="870"/>
      <c r="F34" s="870"/>
      <c r="G34" s="870"/>
      <c r="H34" s="870"/>
      <c r="I34" s="870"/>
      <c r="J34" s="869"/>
      <c r="K34" s="869"/>
      <c r="L34" s="869"/>
      <c r="M34" s="869"/>
      <c r="N34" s="869"/>
      <c r="O34" s="869"/>
      <c r="P34" s="869"/>
      <c r="Q34" s="869"/>
      <c r="R34" s="869"/>
      <c r="S34" s="869"/>
      <c r="T34" s="869"/>
      <c r="U34" s="869"/>
      <c r="V34" s="869"/>
      <c r="W34" s="869"/>
      <c r="X34" s="869"/>
      <c r="Y34" s="869"/>
      <c r="Z34" s="869"/>
    </row>
    <row r="35">
      <c r="A35" s="870"/>
      <c r="B35" s="886" t="s">
        <v>1062</v>
      </c>
      <c r="C35" s="4"/>
      <c r="D35" s="4"/>
      <c r="E35" s="4"/>
      <c r="F35" s="5"/>
      <c r="G35" s="887"/>
      <c r="H35" s="887"/>
      <c r="I35" s="870"/>
      <c r="J35" s="869"/>
      <c r="K35" s="869"/>
      <c r="L35" s="869"/>
      <c r="M35" s="869"/>
      <c r="N35" s="869"/>
      <c r="O35" s="869"/>
      <c r="P35" s="869"/>
      <c r="Q35" s="869"/>
      <c r="R35" s="869"/>
      <c r="S35" s="869"/>
      <c r="T35" s="869"/>
      <c r="U35" s="869"/>
      <c r="V35" s="869"/>
      <c r="W35" s="869"/>
      <c r="X35" s="869"/>
      <c r="Y35" s="869"/>
      <c r="Z35" s="869"/>
    </row>
    <row r="36">
      <c r="A36" s="870"/>
      <c r="B36" s="888" t="s">
        <v>399</v>
      </c>
      <c r="C36" s="888" t="s">
        <v>403</v>
      </c>
      <c r="D36" s="888" t="s">
        <v>1029</v>
      </c>
      <c r="E36" s="888" t="s">
        <v>400</v>
      </c>
      <c r="F36" s="888" t="s">
        <v>1030</v>
      </c>
      <c r="G36" s="887"/>
      <c r="H36" s="887"/>
      <c r="I36" s="870"/>
      <c r="J36" s="869"/>
      <c r="K36" s="869"/>
      <c r="L36" s="869"/>
      <c r="M36" s="869"/>
      <c r="N36" s="869"/>
      <c r="O36" s="869"/>
      <c r="P36" s="869"/>
      <c r="Q36" s="869"/>
      <c r="R36" s="869"/>
      <c r="S36" s="869"/>
      <c r="T36" s="869"/>
      <c r="U36" s="869"/>
      <c r="V36" s="869"/>
      <c r="W36" s="869"/>
      <c r="X36" s="869"/>
      <c r="Y36" s="869"/>
      <c r="Z36" s="869"/>
    </row>
    <row r="37">
      <c r="A37" s="870"/>
      <c r="B37" s="889" t="s">
        <v>715</v>
      </c>
      <c r="C37" s="889" t="s">
        <v>293</v>
      </c>
      <c r="D37" s="889" t="s">
        <v>196</v>
      </c>
      <c r="E37" s="889" t="s">
        <v>61</v>
      </c>
      <c r="F37" s="889" t="s">
        <v>192</v>
      </c>
      <c r="G37" s="887"/>
      <c r="H37" s="887"/>
      <c r="I37" s="870"/>
      <c r="J37" s="869"/>
      <c r="K37" s="869"/>
      <c r="L37" s="869"/>
      <c r="M37" s="869"/>
      <c r="N37" s="869"/>
      <c r="O37" s="869"/>
      <c r="P37" s="869"/>
      <c r="Q37" s="869"/>
      <c r="R37" s="869"/>
      <c r="S37" s="869"/>
      <c r="T37" s="869"/>
      <c r="U37" s="869"/>
      <c r="V37" s="869"/>
      <c r="W37" s="869"/>
      <c r="X37" s="869"/>
      <c r="Y37" s="869"/>
      <c r="Z37" s="869"/>
    </row>
    <row r="38">
      <c r="A38" s="870"/>
      <c r="B38" s="889" t="s">
        <v>290</v>
      </c>
      <c r="C38" s="889" t="s">
        <v>202</v>
      </c>
      <c r="D38" s="889" t="s">
        <v>1063</v>
      </c>
      <c r="E38" s="889" t="s">
        <v>155</v>
      </c>
      <c r="F38" s="889" t="s">
        <v>136</v>
      </c>
      <c r="G38" s="887"/>
      <c r="H38" s="887"/>
      <c r="I38" s="870"/>
      <c r="J38" s="869"/>
      <c r="K38" s="869"/>
      <c r="L38" s="869"/>
      <c r="M38" s="869"/>
      <c r="N38" s="869"/>
      <c r="O38" s="869"/>
      <c r="P38" s="869"/>
      <c r="Q38" s="869"/>
      <c r="R38" s="869"/>
      <c r="S38" s="869"/>
      <c r="T38" s="869"/>
      <c r="U38" s="869"/>
      <c r="V38" s="869"/>
      <c r="W38" s="869"/>
      <c r="X38" s="869"/>
      <c r="Y38" s="869"/>
      <c r="Z38" s="869"/>
    </row>
    <row r="39">
      <c r="A39" s="870"/>
      <c r="B39" s="889" t="s">
        <v>642</v>
      </c>
      <c r="C39" s="889" t="s">
        <v>159</v>
      </c>
      <c r="D39" s="889" t="s">
        <v>711</v>
      </c>
      <c r="E39" s="889" t="s">
        <v>1064</v>
      </c>
      <c r="F39" s="889" t="s">
        <v>58</v>
      </c>
      <c r="G39" s="870"/>
      <c r="H39" s="870"/>
      <c r="I39" s="870"/>
      <c r="J39" s="869"/>
      <c r="K39" s="869"/>
      <c r="L39" s="869"/>
      <c r="M39" s="869"/>
      <c r="N39" s="869"/>
      <c r="O39" s="869"/>
      <c r="P39" s="869"/>
      <c r="Q39" s="869"/>
      <c r="R39" s="869"/>
      <c r="S39" s="869"/>
      <c r="T39" s="869"/>
      <c r="U39" s="869"/>
      <c r="V39" s="869"/>
      <c r="W39" s="869"/>
      <c r="X39" s="869"/>
      <c r="Y39" s="869"/>
      <c r="Z39" s="869"/>
    </row>
    <row r="40">
      <c r="A40" s="870"/>
      <c r="B40" s="889" t="s">
        <v>1065</v>
      </c>
      <c r="C40" s="889" t="s">
        <v>144</v>
      </c>
      <c r="D40" s="889" t="s">
        <v>1066</v>
      </c>
      <c r="E40" s="889" t="s">
        <v>188</v>
      </c>
      <c r="F40" s="889" t="s">
        <v>1067</v>
      </c>
      <c r="G40" s="870"/>
      <c r="H40" s="870"/>
      <c r="I40" s="870"/>
      <c r="J40" s="869"/>
      <c r="K40" s="869"/>
      <c r="L40" s="869"/>
      <c r="M40" s="869"/>
      <c r="N40" s="869"/>
      <c r="O40" s="869"/>
      <c r="P40" s="869"/>
      <c r="Q40" s="869"/>
      <c r="R40" s="869"/>
      <c r="S40" s="869"/>
      <c r="T40" s="869"/>
      <c r="U40" s="869"/>
      <c r="V40" s="869"/>
      <c r="W40" s="869"/>
      <c r="X40" s="869"/>
      <c r="Y40" s="869"/>
      <c r="Z40" s="869"/>
    </row>
    <row r="41">
      <c r="A41" s="870"/>
      <c r="B41" s="889" t="s">
        <v>116</v>
      </c>
      <c r="C41" s="889" t="s">
        <v>172</v>
      </c>
      <c r="D41" s="889" t="s">
        <v>211</v>
      </c>
      <c r="E41" s="889" t="s">
        <v>1068</v>
      </c>
      <c r="F41" s="889" t="s">
        <v>190</v>
      </c>
      <c r="G41" s="870"/>
      <c r="H41" s="870"/>
      <c r="I41" s="870"/>
      <c r="J41" s="869"/>
      <c r="K41" s="869"/>
      <c r="L41" s="869"/>
      <c r="M41" s="869"/>
      <c r="N41" s="869"/>
      <c r="O41" s="869"/>
      <c r="P41" s="869"/>
      <c r="Q41" s="869"/>
      <c r="R41" s="869"/>
      <c r="S41" s="869"/>
      <c r="T41" s="869"/>
      <c r="U41" s="869"/>
      <c r="V41" s="869"/>
      <c r="W41" s="869"/>
      <c r="X41" s="869"/>
      <c r="Y41" s="869"/>
      <c r="Z41" s="869"/>
    </row>
    <row r="42">
      <c r="A42" s="870"/>
      <c r="B42" s="889" t="s">
        <v>745</v>
      </c>
      <c r="C42" s="889" t="s">
        <v>276</v>
      </c>
      <c r="D42" s="889" t="s">
        <v>1069</v>
      </c>
      <c r="E42" s="889" t="s">
        <v>712</v>
      </c>
      <c r="F42" s="889" t="s">
        <v>109</v>
      </c>
      <c r="G42" s="870"/>
      <c r="H42" s="870"/>
      <c r="I42" s="870"/>
      <c r="J42" s="869"/>
      <c r="K42" s="869"/>
      <c r="L42" s="869"/>
      <c r="M42" s="869"/>
      <c r="N42" s="869"/>
      <c r="O42" s="869"/>
      <c r="P42" s="869"/>
      <c r="Q42" s="869"/>
      <c r="R42" s="869"/>
      <c r="S42" s="869"/>
      <c r="T42" s="869"/>
      <c r="U42" s="869"/>
      <c r="V42" s="869"/>
      <c r="W42" s="869"/>
      <c r="X42" s="869"/>
      <c r="Y42" s="869"/>
      <c r="Z42" s="869"/>
    </row>
    <row r="43">
      <c r="A43" s="870"/>
      <c r="B43" s="889" t="s">
        <v>1070</v>
      </c>
      <c r="C43" s="889" t="s">
        <v>93</v>
      </c>
      <c r="D43" s="889" t="s">
        <v>146</v>
      </c>
      <c r="E43" s="889" t="s">
        <v>740</v>
      </c>
      <c r="F43" s="889" t="s">
        <v>720</v>
      </c>
      <c r="G43" s="870"/>
      <c r="H43" s="870"/>
      <c r="I43" s="870"/>
      <c r="J43" s="869"/>
      <c r="K43" s="869"/>
      <c r="L43" s="869"/>
      <c r="M43" s="869"/>
      <c r="N43" s="869"/>
      <c r="O43" s="869"/>
      <c r="P43" s="869"/>
      <c r="Q43" s="869"/>
      <c r="R43" s="869"/>
      <c r="S43" s="869"/>
      <c r="T43" s="869"/>
      <c r="U43" s="869"/>
      <c r="V43" s="869"/>
      <c r="W43" s="869"/>
      <c r="X43" s="869"/>
      <c r="Y43" s="869"/>
      <c r="Z43" s="869"/>
    </row>
    <row r="44">
      <c r="A44" s="870"/>
      <c r="B44" s="889" t="s">
        <v>1071</v>
      </c>
      <c r="C44" s="890"/>
      <c r="D44" s="889" t="s">
        <v>742</v>
      </c>
      <c r="E44" s="889" t="s">
        <v>518</v>
      </c>
      <c r="F44" s="889" t="s">
        <v>127</v>
      </c>
      <c r="G44" s="870"/>
      <c r="H44" s="870"/>
      <c r="I44" s="870"/>
      <c r="J44" s="869"/>
      <c r="K44" s="869"/>
      <c r="L44" s="869"/>
      <c r="M44" s="869"/>
      <c r="N44" s="869"/>
      <c r="O44" s="869"/>
      <c r="P44" s="869"/>
      <c r="Q44" s="869"/>
      <c r="R44" s="869"/>
      <c r="S44" s="869"/>
      <c r="T44" s="869"/>
      <c r="U44" s="869"/>
      <c r="V44" s="869"/>
      <c r="W44" s="869"/>
      <c r="X44" s="869"/>
      <c r="Y44" s="869"/>
      <c r="Z44" s="869"/>
    </row>
    <row r="45">
      <c r="A45" s="870"/>
      <c r="B45" s="889" t="s">
        <v>710</v>
      </c>
      <c r="C45" s="890"/>
      <c r="D45" s="889" t="s">
        <v>160</v>
      </c>
      <c r="E45" s="889" t="s">
        <v>709</v>
      </c>
      <c r="F45" s="889" t="s">
        <v>1072</v>
      </c>
      <c r="G45" s="870"/>
      <c r="H45" s="870"/>
      <c r="I45" s="870"/>
      <c r="J45" s="869"/>
      <c r="K45" s="869"/>
      <c r="L45" s="869"/>
      <c r="M45" s="869"/>
      <c r="N45" s="869"/>
      <c r="O45" s="869"/>
      <c r="P45" s="869"/>
      <c r="Q45" s="869"/>
      <c r="R45" s="869"/>
      <c r="S45" s="869"/>
      <c r="T45" s="869"/>
      <c r="U45" s="869"/>
      <c r="V45" s="869"/>
      <c r="W45" s="869"/>
      <c r="X45" s="869"/>
      <c r="Y45" s="869"/>
      <c r="Z45" s="869"/>
    </row>
    <row r="46">
      <c r="A46" s="870"/>
      <c r="B46" s="889" t="s">
        <v>1073</v>
      </c>
      <c r="C46" s="890"/>
      <c r="D46" s="890"/>
      <c r="E46" s="889" t="s">
        <v>1074</v>
      </c>
      <c r="F46" s="890"/>
      <c r="G46" s="870"/>
      <c r="H46" s="870"/>
      <c r="I46" s="870"/>
      <c r="J46" s="869"/>
      <c r="K46" s="869"/>
      <c r="L46" s="869"/>
      <c r="M46" s="869"/>
      <c r="N46" s="869"/>
      <c r="O46" s="869"/>
      <c r="P46" s="869"/>
      <c r="Q46" s="869"/>
      <c r="R46" s="869"/>
      <c r="S46" s="869"/>
      <c r="T46" s="869"/>
      <c r="U46" s="869"/>
      <c r="V46" s="869"/>
      <c r="W46" s="869"/>
      <c r="X46" s="869"/>
      <c r="Y46" s="869"/>
      <c r="Z46" s="869"/>
    </row>
    <row r="47">
      <c r="A47" s="870"/>
      <c r="B47" s="889" t="s">
        <v>712</v>
      </c>
      <c r="C47" s="890"/>
      <c r="D47" s="890"/>
      <c r="E47" s="889" t="s">
        <v>715</v>
      </c>
      <c r="F47" s="890"/>
      <c r="G47" s="870"/>
      <c r="H47" s="870"/>
      <c r="I47" s="870"/>
      <c r="J47" s="869"/>
      <c r="K47" s="869"/>
      <c r="L47" s="869"/>
      <c r="M47" s="869"/>
      <c r="N47" s="869"/>
      <c r="O47" s="869"/>
      <c r="P47" s="869"/>
      <c r="Q47" s="869"/>
      <c r="R47" s="869"/>
      <c r="S47" s="869"/>
      <c r="T47" s="869"/>
      <c r="U47" s="869"/>
      <c r="V47" s="869"/>
      <c r="W47" s="869"/>
      <c r="X47" s="869"/>
      <c r="Y47" s="869"/>
      <c r="Z47" s="869"/>
    </row>
    <row r="48">
      <c r="A48" s="870"/>
      <c r="B48" s="889" t="s">
        <v>740</v>
      </c>
      <c r="C48" s="890"/>
      <c r="D48" s="890"/>
      <c r="E48" s="889" t="s">
        <v>1073</v>
      </c>
      <c r="F48" s="890"/>
      <c r="G48" s="870"/>
      <c r="H48" s="870"/>
      <c r="I48" s="870"/>
      <c r="J48" s="869"/>
      <c r="K48" s="869"/>
      <c r="L48" s="869"/>
      <c r="M48" s="869"/>
      <c r="N48" s="869"/>
      <c r="O48" s="869"/>
      <c r="P48" s="869"/>
      <c r="Q48" s="869"/>
      <c r="R48" s="869"/>
      <c r="S48" s="869"/>
      <c r="T48" s="869"/>
      <c r="U48" s="869"/>
      <c r="V48" s="869"/>
      <c r="W48" s="869"/>
      <c r="X48" s="869"/>
      <c r="Y48" s="869"/>
      <c r="Z48" s="869"/>
    </row>
    <row r="49">
      <c r="A49" s="870"/>
      <c r="B49" s="889" t="s">
        <v>518</v>
      </c>
      <c r="C49" s="890"/>
      <c r="D49" s="890"/>
      <c r="E49" s="889" t="s">
        <v>1071</v>
      </c>
      <c r="F49" s="890"/>
      <c r="G49" s="870"/>
      <c r="H49" s="870"/>
      <c r="I49" s="870"/>
      <c r="J49" s="869"/>
      <c r="K49" s="869"/>
      <c r="L49" s="869"/>
      <c r="M49" s="869"/>
      <c r="N49" s="869"/>
      <c r="O49" s="869"/>
      <c r="P49" s="869"/>
      <c r="Q49" s="869"/>
      <c r="R49" s="869"/>
      <c r="S49" s="869"/>
      <c r="T49" s="869"/>
      <c r="U49" s="869"/>
      <c r="V49" s="869"/>
      <c r="W49" s="869"/>
      <c r="X49" s="869"/>
      <c r="Y49" s="869"/>
      <c r="Z49" s="869"/>
    </row>
    <row r="50">
      <c r="A50" s="870"/>
      <c r="B50" s="889" t="s">
        <v>709</v>
      </c>
      <c r="C50" s="890"/>
      <c r="D50" s="890"/>
      <c r="E50" s="890"/>
      <c r="F50" s="890"/>
      <c r="G50" s="870"/>
      <c r="H50" s="870"/>
      <c r="I50" s="870"/>
      <c r="J50" s="869"/>
      <c r="K50" s="869"/>
      <c r="L50" s="869"/>
      <c r="M50" s="869"/>
      <c r="N50" s="869"/>
      <c r="O50" s="869"/>
      <c r="P50" s="869"/>
      <c r="Q50" s="869"/>
      <c r="R50" s="869"/>
      <c r="S50" s="869"/>
      <c r="T50" s="869"/>
      <c r="U50" s="869"/>
      <c r="V50" s="869"/>
      <c r="W50" s="869"/>
      <c r="X50" s="869"/>
      <c r="Y50" s="869"/>
      <c r="Z50" s="869"/>
    </row>
    <row r="51">
      <c r="A51" s="870"/>
      <c r="B51" s="889" t="s">
        <v>1074</v>
      </c>
      <c r="C51" s="890"/>
      <c r="D51" s="890"/>
      <c r="E51" s="890"/>
      <c r="F51" s="890"/>
      <c r="G51" s="870"/>
      <c r="H51" s="870"/>
      <c r="I51" s="870"/>
      <c r="J51" s="869"/>
      <c r="K51" s="869"/>
      <c r="L51" s="869"/>
      <c r="M51" s="869"/>
      <c r="N51" s="869"/>
      <c r="O51" s="869"/>
      <c r="P51" s="869"/>
      <c r="Q51" s="869"/>
      <c r="R51" s="869"/>
      <c r="S51" s="869"/>
      <c r="T51" s="869"/>
      <c r="U51" s="869"/>
      <c r="V51" s="869"/>
      <c r="W51" s="869"/>
      <c r="X51" s="869"/>
      <c r="Y51" s="869"/>
      <c r="Z51" s="869"/>
    </row>
    <row r="52">
      <c r="A52" s="869"/>
      <c r="B52" s="869"/>
      <c r="C52" s="869"/>
      <c r="D52" s="869"/>
      <c r="E52" s="869"/>
      <c r="F52" s="869"/>
      <c r="G52" s="869"/>
      <c r="H52" s="869"/>
      <c r="I52" s="869"/>
      <c r="J52" s="869"/>
      <c r="K52" s="869"/>
      <c r="L52" s="869"/>
      <c r="M52" s="869"/>
      <c r="N52" s="869"/>
      <c r="O52" s="869"/>
      <c r="P52" s="869"/>
      <c r="Q52" s="869"/>
      <c r="R52" s="869"/>
      <c r="S52" s="869"/>
      <c r="T52" s="869"/>
      <c r="U52" s="869"/>
      <c r="V52" s="869"/>
      <c r="W52" s="869"/>
      <c r="X52" s="869"/>
      <c r="Y52" s="869"/>
      <c r="Z52" s="869"/>
    </row>
    <row r="53">
      <c r="A53" s="869"/>
      <c r="B53" s="869"/>
      <c r="C53" s="869"/>
      <c r="D53" s="869"/>
      <c r="E53" s="869"/>
      <c r="F53" s="869"/>
      <c r="G53" s="869"/>
      <c r="H53" s="869"/>
      <c r="I53" s="869"/>
      <c r="J53" s="869"/>
      <c r="K53" s="869"/>
      <c r="L53" s="869"/>
      <c r="M53" s="869"/>
      <c r="N53" s="869"/>
      <c r="O53" s="869"/>
      <c r="P53" s="869"/>
      <c r="Q53" s="869"/>
      <c r="R53" s="869"/>
      <c r="S53" s="869"/>
      <c r="T53" s="869"/>
      <c r="U53" s="869"/>
      <c r="V53" s="869"/>
      <c r="W53" s="869"/>
      <c r="X53" s="869"/>
      <c r="Y53" s="869"/>
      <c r="Z53" s="869"/>
    </row>
    <row r="54">
      <c r="A54" s="869"/>
      <c r="B54" s="869"/>
      <c r="C54" s="869"/>
      <c r="D54" s="869"/>
      <c r="E54" s="869"/>
      <c r="F54" s="869"/>
      <c r="G54" s="869"/>
      <c r="H54" s="869"/>
      <c r="I54" s="869"/>
      <c r="J54" s="869"/>
      <c r="K54" s="869"/>
      <c r="L54" s="869"/>
      <c r="M54" s="869"/>
      <c r="N54" s="869"/>
      <c r="O54" s="869"/>
      <c r="P54" s="869"/>
      <c r="Q54" s="869"/>
      <c r="R54" s="869"/>
      <c r="S54" s="869"/>
      <c r="T54" s="869"/>
      <c r="U54" s="869"/>
      <c r="V54" s="869"/>
      <c r="W54" s="869"/>
      <c r="X54" s="869"/>
      <c r="Y54" s="869"/>
      <c r="Z54" s="869"/>
    </row>
    <row r="55">
      <c r="A55" s="869"/>
      <c r="B55" s="869"/>
      <c r="C55" s="869"/>
      <c r="D55" s="869"/>
      <c r="E55" s="869"/>
      <c r="F55" s="869"/>
      <c r="G55" s="869"/>
      <c r="H55" s="869"/>
      <c r="I55" s="869"/>
      <c r="J55" s="869"/>
      <c r="K55" s="869"/>
      <c r="L55" s="869"/>
      <c r="M55" s="869"/>
      <c r="N55" s="869"/>
      <c r="O55" s="869"/>
      <c r="P55" s="869"/>
      <c r="Q55" s="869"/>
      <c r="R55" s="869"/>
      <c r="S55" s="869"/>
      <c r="T55" s="869"/>
      <c r="U55" s="869"/>
      <c r="V55" s="869"/>
      <c r="W55" s="869"/>
      <c r="X55" s="869"/>
      <c r="Y55" s="869"/>
      <c r="Z55" s="869"/>
    </row>
    <row r="56">
      <c r="A56" s="869"/>
      <c r="B56" s="869"/>
      <c r="C56" s="869"/>
      <c r="D56" s="869"/>
      <c r="E56" s="869"/>
      <c r="F56" s="869"/>
      <c r="G56" s="869"/>
      <c r="H56" s="869"/>
      <c r="I56" s="869"/>
      <c r="J56" s="869"/>
      <c r="K56" s="869"/>
      <c r="L56" s="869"/>
      <c r="M56" s="869"/>
      <c r="N56" s="869"/>
      <c r="O56" s="869"/>
      <c r="P56" s="869"/>
      <c r="Q56" s="869"/>
      <c r="R56" s="869"/>
      <c r="S56" s="869"/>
      <c r="T56" s="869"/>
      <c r="U56" s="869"/>
      <c r="V56" s="869"/>
      <c r="W56" s="869"/>
      <c r="X56" s="869"/>
      <c r="Y56" s="869"/>
      <c r="Z56" s="869"/>
    </row>
    <row r="57">
      <c r="A57" s="869"/>
      <c r="B57" s="869"/>
      <c r="C57" s="869"/>
      <c r="D57" s="869"/>
      <c r="E57" s="869"/>
      <c r="F57" s="869"/>
      <c r="G57" s="869"/>
      <c r="H57" s="869"/>
      <c r="I57" s="869"/>
      <c r="J57" s="869"/>
      <c r="K57" s="869"/>
      <c r="L57" s="869"/>
      <c r="M57" s="869"/>
      <c r="N57" s="869"/>
      <c r="O57" s="869"/>
      <c r="P57" s="869"/>
      <c r="Q57" s="869"/>
      <c r="R57" s="869"/>
      <c r="S57" s="869"/>
      <c r="T57" s="869"/>
      <c r="U57" s="869"/>
      <c r="V57" s="869"/>
      <c r="W57" s="869"/>
      <c r="X57" s="869"/>
      <c r="Y57" s="869"/>
      <c r="Z57" s="869"/>
    </row>
    <row r="58">
      <c r="A58" s="869"/>
      <c r="B58" s="869"/>
      <c r="C58" s="869"/>
      <c r="D58" s="869"/>
      <c r="E58" s="869"/>
      <c r="F58" s="869"/>
      <c r="G58" s="869"/>
      <c r="H58" s="869"/>
      <c r="I58" s="869"/>
      <c r="J58" s="869"/>
      <c r="K58" s="869"/>
      <c r="L58" s="869"/>
      <c r="M58" s="869"/>
      <c r="N58" s="869"/>
      <c r="O58" s="869"/>
      <c r="P58" s="869"/>
      <c r="Q58" s="869"/>
      <c r="R58" s="869"/>
      <c r="S58" s="869"/>
      <c r="T58" s="869"/>
      <c r="U58" s="869"/>
      <c r="V58" s="869"/>
      <c r="W58" s="869"/>
      <c r="X58" s="869"/>
      <c r="Y58" s="869"/>
      <c r="Z58" s="869"/>
    </row>
    <row r="59">
      <c r="A59" s="869"/>
      <c r="B59" s="869"/>
      <c r="C59" s="869"/>
      <c r="D59" s="869"/>
      <c r="E59" s="869"/>
      <c r="F59" s="869"/>
      <c r="G59" s="869"/>
      <c r="H59" s="869"/>
      <c r="I59" s="869"/>
      <c r="J59" s="869"/>
      <c r="K59" s="869"/>
      <c r="L59" s="869"/>
      <c r="M59" s="869"/>
      <c r="N59" s="869"/>
      <c r="O59" s="869"/>
      <c r="P59" s="869"/>
      <c r="Q59" s="869"/>
      <c r="R59" s="869"/>
      <c r="S59" s="869"/>
      <c r="T59" s="869"/>
      <c r="U59" s="869"/>
      <c r="V59" s="869"/>
      <c r="W59" s="869"/>
      <c r="X59" s="869"/>
      <c r="Y59" s="869"/>
      <c r="Z59" s="869"/>
    </row>
    <row r="60">
      <c r="A60" s="869"/>
      <c r="B60" s="869"/>
      <c r="C60" s="869"/>
      <c r="D60" s="869"/>
      <c r="E60" s="869"/>
      <c r="F60" s="869"/>
      <c r="G60" s="869"/>
      <c r="H60" s="869"/>
      <c r="I60" s="869"/>
      <c r="J60" s="869"/>
      <c r="K60" s="869"/>
      <c r="L60" s="869"/>
      <c r="M60" s="869"/>
      <c r="N60" s="869"/>
      <c r="O60" s="869"/>
      <c r="P60" s="869"/>
      <c r="Q60" s="869"/>
      <c r="R60" s="869"/>
      <c r="S60" s="869"/>
      <c r="T60" s="869"/>
      <c r="U60" s="869"/>
      <c r="V60" s="869"/>
      <c r="W60" s="869"/>
      <c r="X60" s="869"/>
      <c r="Y60" s="869"/>
      <c r="Z60" s="869"/>
    </row>
    <row r="61">
      <c r="A61" s="869"/>
      <c r="B61" s="869"/>
      <c r="C61" s="869"/>
      <c r="D61" s="869"/>
      <c r="E61" s="869"/>
      <c r="F61" s="869"/>
      <c r="G61" s="869"/>
      <c r="H61" s="869"/>
      <c r="I61" s="869"/>
      <c r="J61" s="869"/>
      <c r="K61" s="869"/>
      <c r="L61" s="869"/>
      <c r="M61" s="869"/>
      <c r="N61" s="869"/>
      <c r="O61" s="869"/>
      <c r="P61" s="869"/>
      <c r="Q61" s="869"/>
      <c r="R61" s="869"/>
      <c r="S61" s="869"/>
      <c r="T61" s="869"/>
      <c r="U61" s="869"/>
      <c r="V61" s="869"/>
      <c r="W61" s="869"/>
      <c r="X61" s="869"/>
      <c r="Y61" s="869"/>
      <c r="Z61" s="869"/>
    </row>
    <row r="62">
      <c r="A62" s="869"/>
      <c r="B62" s="869"/>
      <c r="C62" s="869"/>
      <c r="D62" s="869"/>
      <c r="E62" s="869"/>
      <c r="F62" s="869"/>
      <c r="G62" s="869"/>
      <c r="H62" s="869"/>
      <c r="I62" s="869"/>
      <c r="J62" s="869"/>
      <c r="K62" s="869"/>
      <c r="L62" s="869"/>
      <c r="M62" s="869"/>
      <c r="N62" s="869"/>
      <c r="O62" s="869"/>
      <c r="P62" s="869"/>
      <c r="Q62" s="869"/>
      <c r="R62" s="869"/>
      <c r="S62" s="869"/>
      <c r="T62" s="869"/>
      <c r="U62" s="869"/>
      <c r="V62" s="869"/>
      <c r="W62" s="869"/>
      <c r="X62" s="869"/>
      <c r="Y62" s="869"/>
      <c r="Z62" s="869"/>
    </row>
    <row r="63">
      <c r="A63" s="869"/>
      <c r="B63" s="869"/>
      <c r="C63" s="869"/>
      <c r="D63" s="869"/>
      <c r="E63" s="869"/>
      <c r="F63" s="869"/>
      <c r="G63" s="869"/>
      <c r="H63" s="869"/>
      <c r="I63" s="869"/>
      <c r="J63" s="869"/>
      <c r="K63" s="869"/>
      <c r="L63" s="869"/>
      <c r="M63" s="869"/>
      <c r="N63" s="869"/>
      <c r="O63" s="869"/>
      <c r="P63" s="869"/>
      <c r="Q63" s="869"/>
      <c r="R63" s="869"/>
      <c r="S63" s="869"/>
      <c r="T63" s="869"/>
      <c r="U63" s="869"/>
      <c r="V63" s="869"/>
      <c r="W63" s="869"/>
      <c r="X63" s="869"/>
      <c r="Y63" s="869"/>
      <c r="Z63" s="869"/>
    </row>
    <row r="64">
      <c r="A64" s="869"/>
      <c r="B64" s="869"/>
      <c r="C64" s="869"/>
      <c r="D64" s="869"/>
      <c r="E64" s="869"/>
      <c r="F64" s="869"/>
      <c r="G64" s="869"/>
      <c r="H64" s="869"/>
      <c r="I64" s="869"/>
      <c r="J64" s="869"/>
      <c r="K64" s="869"/>
      <c r="L64" s="869"/>
      <c r="M64" s="869"/>
      <c r="N64" s="869"/>
      <c r="O64" s="869"/>
      <c r="P64" s="869"/>
      <c r="Q64" s="869"/>
      <c r="R64" s="869"/>
      <c r="S64" s="869"/>
      <c r="T64" s="869"/>
      <c r="U64" s="869"/>
      <c r="V64" s="869"/>
      <c r="W64" s="869"/>
      <c r="X64" s="869"/>
      <c r="Y64" s="869"/>
      <c r="Z64" s="869"/>
    </row>
    <row r="65">
      <c r="A65" s="869"/>
      <c r="B65" s="869"/>
      <c r="C65" s="869"/>
      <c r="D65" s="869"/>
      <c r="E65" s="869"/>
      <c r="F65" s="869"/>
      <c r="G65" s="869"/>
      <c r="H65" s="869"/>
      <c r="I65" s="869"/>
      <c r="J65" s="869"/>
      <c r="K65" s="869"/>
      <c r="L65" s="869"/>
      <c r="M65" s="869"/>
      <c r="N65" s="869"/>
      <c r="O65" s="869"/>
      <c r="P65" s="869"/>
      <c r="Q65" s="869"/>
      <c r="R65" s="869"/>
      <c r="S65" s="869"/>
      <c r="T65" s="869"/>
      <c r="U65" s="869"/>
      <c r="V65" s="869"/>
      <c r="W65" s="869"/>
      <c r="X65" s="869"/>
      <c r="Y65" s="869"/>
      <c r="Z65" s="869"/>
    </row>
    <row r="66">
      <c r="A66" s="869"/>
      <c r="B66" s="869"/>
      <c r="C66" s="869"/>
      <c r="D66" s="869"/>
      <c r="E66" s="869"/>
      <c r="F66" s="869"/>
      <c r="G66" s="869"/>
      <c r="H66" s="869"/>
      <c r="I66" s="869"/>
      <c r="J66" s="869"/>
      <c r="K66" s="869"/>
      <c r="L66" s="869"/>
      <c r="M66" s="869"/>
      <c r="N66" s="869"/>
      <c r="O66" s="869"/>
      <c r="P66" s="869"/>
      <c r="Q66" s="869"/>
      <c r="R66" s="869"/>
      <c r="S66" s="869"/>
      <c r="T66" s="869"/>
      <c r="U66" s="869"/>
      <c r="V66" s="869"/>
      <c r="W66" s="869"/>
      <c r="X66" s="869"/>
      <c r="Y66" s="869"/>
      <c r="Z66" s="869"/>
    </row>
    <row r="67">
      <c r="A67" s="869"/>
      <c r="B67" s="869"/>
      <c r="C67" s="869"/>
      <c r="D67" s="869"/>
      <c r="E67" s="869"/>
      <c r="F67" s="869"/>
      <c r="G67" s="869"/>
      <c r="H67" s="869"/>
      <c r="I67" s="869"/>
      <c r="J67" s="869"/>
      <c r="K67" s="869"/>
      <c r="L67" s="869"/>
      <c r="M67" s="869"/>
      <c r="N67" s="869"/>
      <c r="O67" s="869"/>
      <c r="P67" s="869"/>
      <c r="Q67" s="869"/>
      <c r="R67" s="869"/>
      <c r="S67" s="869"/>
      <c r="T67" s="869"/>
      <c r="U67" s="869"/>
      <c r="V67" s="869"/>
      <c r="W67" s="869"/>
      <c r="X67" s="869"/>
      <c r="Y67" s="869"/>
      <c r="Z67" s="869"/>
    </row>
    <row r="68">
      <c r="A68" s="869"/>
      <c r="B68" s="869"/>
      <c r="C68" s="869"/>
      <c r="D68" s="869"/>
      <c r="E68" s="869"/>
      <c r="F68" s="869"/>
      <c r="G68" s="869"/>
      <c r="H68" s="869"/>
      <c r="I68" s="869"/>
      <c r="J68" s="869"/>
      <c r="K68" s="869"/>
      <c r="L68" s="869"/>
      <c r="M68" s="869"/>
      <c r="N68" s="869"/>
      <c r="O68" s="869"/>
      <c r="P68" s="869"/>
      <c r="Q68" s="869"/>
      <c r="R68" s="869"/>
      <c r="S68" s="869"/>
      <c r="T68" s="869"/>
      <c r="U68" s="869"/>
      <c r="V68" s="869"/>
      <c r="W68" s="869"/>
      <c r="X68" s="869"/>
      <c r="Y68" s="869"/>
      <c r="Z68" s="869"/>
    </row>
    <row r="69">
      <c r="A69" s="869"/>
      <c r="B69" s="869"/>
      <c r="C69" s="869"/>
      <c r="D69" s="869"/>
      <c r="E69" s="869"/>
      <c r="F69" s="869"/>
      <c r="G69" s="869"/>
      <c r="H69" s="869"/>
      <c r="I69" s="869"/>
      <c r="J69" s="869"/>
      <c r="K69" s="869"/>
      <c r="L69" s="869"/>
      <c r="M69" s="869"/>
      <c r="N69" s="869"/>
      <c r="O69" s="869"/>
      <c r="P69" s="869"/>
      <c r="Q69" s="869"/>
      <c r="R69" s="869"/>
      <c r="S69" s="869"/>
      <c r="T69" s="869"/>
      <c r="U69" s="869"/>
      <c r="V69" s="869"/>
      <c r="W69" s="869"/>
      <c r="X69" s="869"/>
      <c r="Y69" s="869"/>
      <c r="Z69" s="869"/>
    </row>
    <row r="70">
      <c r="A70" s="869"/>
      <c r="B70" s="869"/>
      <c r="C70" s="869"/>
      <c r="D70" s="869"/>
      <c r="E70" s="869"/>
      <c r="F70" s="869"/>
      <c r="G70" s="869"/>
      <c r="H70" s="869"/>
      <c r="I70" s="869"/>
      <c r="J70" s="869"/>
      <c r="K70" s="869"/>
      <c r="L70" s="869"/>
      <c r="M70" s="869"/>
      <c r="N70" s="869"/>
      <c r="O70" s="869"/>
      <c r="P70" s="869"/>
      <c r="Q70" s="869"/>
      <c r="R70" s="869"/>
      <c r="S70" s="869"/>
      <c r="T70" s="869"/>
      <c r="U70" s="869"/>
      <c r="V70" s="869"/>
      <c r="W70" s="869"/>
      <c r="X70" s="869"/>
      <c r="Y70" s="869"/>
      <c r="Z70" s="869"/>
    </row>
    <row r="71">
      <c r="A71" s="869"/>
      <c r="B71" s="869"/>
      <c r="C71" s="869"/>
      <c r="D71" s="869"/>
      <c r="E71" s="869"/>
      <c r="F71" s="869"/>
      <c r="G71" s="869"/>
      <c r="H71" s="869"/>
      <c r="I71" s="869"/>
      <c r="J71" s="869"/>
      <c r="K71" s="869"/>
      <c r="L71" s="869"/>
      <c r="M71" s="869"/>
      <c r="N71" s="869"/>
      <c r="O71" s="869"/>
      <c r="P71" s="869"/>
      <c r="Q71" s="869"/>
      <c r="R71" s="869"/>
      <c r="S71" s="869"/>
      <c r="T71" s="869"/>
      <c r="U71" s="869"/>
      <c r="V71" s="869"/>
      <c r="W71" s="869"/>
      <c r="X71" s="869"/>
      <c r="Y71" s="869"/>
      <c r="Z71" s="869"/>
    </row>
    <row r="72">
      <c r="A72" s="869"/>
      <c r="B72" s="869"/>
      <c r="C72" s="869"/>
      <c r="D72" s="869"/>
      <c r="E72" s="869"/>
      <c r="F72" s="869"/>
      <c r="G72" s="869"/>
      <c r="H72" s="869"/>
      <c r="I72" s="869"/>
      <c r="J72" s="869"/>
      <c r="K72" s="869"/>
      <c r="L72" s="869"/>
      <c r="M72" s="869"/>
      <c r="N72" s="869"/>
      <c r="O72" s="869"/>
      <c r="P72" s="869"/>
      <c r="Q72" s="869"/>
      <c r="R72" s="869"/>
      <c r="S72" s="869"/>
      <c r="T72" s="869"/>
      <c r="U72" s="869"/>
      <c r="V72" s="869"/>
      <c r="W72" s="869"/>
      <c r="X72" s="869"/>
      <c r="Y72" s="869"/>
      <c r="Z72" s="869"/>
    </row>
    <row r="73">
      <c r="A73" s="869"/>
      <c r="B73" s="869"/>
      <c r="C73" s="869"/>
      <c r="D73" s="869"/>
      <c r="E73" s="869"/>
      <c r="F73" s="869"/>
      <c r="G73" s="869"/>
      <c r="H73" s="869"/>
      <c r="I73" s="869"/>
      <c r="J73" s="869"/>
      <c r="K73" s="869"/>
      <c r="L73" s="869"/>
      <c r="M73" s="869"/>
      <c r="N73" s="869"/>
      <c r="O73" s="869"/>
      <c r="P73" s="869"/>
      <c r="Q73" s="869"/>
      <c r="R73" s="869"/>
      <c r="S73" s="869"/>
      <c r="T73" s="869"/>
      <c r="U73" s="869"/>
      <c r="V73" s="869"/>
      <c r="W73" s="869"/>
      <c r="X73" s="869"/>
      <c r="Y73" s="869"/>
      <c r="Z73" s="869"/>
    </row>
    <row r="74">
      <c r="A74" s="869"/>
      <c r="B74" s="869"/>
      <c r="C74" s="869"/>
      <c r="D74" s="869"/>
      <c r="E74" s="869"/>
      <c r="F74" s="869"/>
      <c r="G74" s="869"/>
      <c r="H74" s="869"/>
      <c r="I74" s="869"/>
      <c r="J74" s="869"/>
      <c r="K74" s="869"/>
      <c r="L74" s="869"/>
      <c r="M74" s="869"/>
      <c r="N74" s="869"/>
      <c r="O74" s="869"/>
      <c r="P74" s="869"/>
      <c r="Q74" s="869"/>
      <c r="R74" s="869"/>
      <c r="S74" s="869"/>
      <c r="T74" s="869"/>
      <c r="U74" s="869"/>
      <c r="V74" s="869"/>
      <c r="W74" s="869"/>
      <c r="X74" s="869"/>
      <c r="Y74" s="869"/>
      <c r="Z74" s="869"/>
    </row>
    <row r="75">
      <c r="A75" s="869"/>
      <c r="B75" s="869"/>
      <c r="C75" s="869"/>
      <c r="D75" s="869"/>
      <c r="E75" s="869"/>
      <c r="F75" s="869"/>
      <c r="G75" s="869"/>
      <c r="H75" s="869"/>
      <c r="I75" s="869"/>
      <c r="J75" s="869"/>
      <c r="K75" s="869"/>
      <c r="L75" s="869"/>
      <c r="M75" s="869"/>
      <c r="N75" s="869"/>
      <c r="O75" s="869"/>
      <c r="P75" s="869"/>
      <c r="Q75" s="869"/>
      <c r="R75" s="869"/>
      <c r="S75" s="869"/>
      <c r="T75" s="869"/>
      <c r="U75" s="869"/>
      <c r="V75" s="869"/>
      <c r="W75" s="869"/>
      <c r="X75" s="869"/>
      <c r="Y75" s="869"/>
      <c r="Z75" s="869"/>
    </row>
    <row r="76">
      <c r="A76" s="869"/>
      <c r="B76" s="869"/>
      <c r="C76" s="869"/>
      <c r="D76" s="869"/>
      <c r="E76" s="869"/>
      <c r="F76" s="869"/>
      <c r="G76" s="869"/>
      <c r="H76" s="869"/>
      <c r="I76" s="869"/>
      <c r="J76" s="869"/>
      <c r="K76" s="869"/>
      <c r="L76" s="869"/>
      <c r="M76" s="869"/>
      <c r="N76" s="869"/>
      <c r="O76" s="869"/>
      <c r="P76" s="869"/>
      <c r="Q76" s="869"/>
      <c r="R76" s="869"/>
      <c r="S76" s="869"/>
      <c r="T76" s="869"/>
      <c r="U76" s="869"/>
      <c r="V76" s="869"/>
      <c r="W76" s="869"/>
      <c r="X76" s="869"/>
      <c r="Y76" s="869"/>
      <c r="Z76" s="869"/>
    </row>
    <row r="77">
      <c r="A77" s="869"/>
      <c r="B77" s="869"/>
      <c r="C77" s="869"/>
      <c r="D77" s="869"/>
      <c r="E77" s="869"/>
      <c r="F77" s="869"/>
      <c r="G77" s="869"/>
      <c r="H77" s="869"/>
      <c r="I77" s="869"/>
      <c r="J77" s="869"/>
      <c r="K77" s="869"/>
      <c r="L77" s="869"/>
      <c r="M77" s="869"/>
      <c r="N77" s="869"/>
      <c r="O77" s="869"/>
      <c r="P77" s="869"/>
      <c r="Q77" s="869"/>
      <c r="R77" s="869"/>
      <c r="S77" s="869"/>
      <c r="T77" s="869"/>
      <c r="U77" s="869"/>
      <c r="V77" s="869"/>
      <c r="W77" s="869"/>
      <c r="X77" s="869"/>
      <c r="Y77" s="869"/>
      <c r="Z77" s="869"/>
    </row>
    <row r="78">
      <c r="A78" s="869"/>
      <c r="B78" s="869"/>
      <c r="C78" s="869"/>
      <c r="D78" s="869"/>
      <c r="E78" s="869"/>
      <c r="F78" s="869"/>
      <c r="G78" s="869"/>
      <c r="H78" s="869"/>
      <c r="I78" s="869"/>
      <c r="J78" s="869"/>
      <c r="K78" s="869"/>
      <c r="L78" s="869"/>
      <c r="M78" s="869"/>
      <c r="N78" s="869"/>
      <c r="O78" s="869"/>
      <c r="P78" s="869"/>
      <c r="Q78" s="869"/>
      <c r="R78" s="869"/>
      <c r="S78" s="869"/>
      <c r="T78" s="869"/>
      <c r="U78" s="869"/>
      <c r="V78" s="869"/>
      <c r="W78" s="869"/>
      <c r="X78" s="869"/>
      <c r="Y78" s="869"/>
      <c r="Z78" s="869"/>
    </row>
    <row r="79">
      <c r="A79" s="869"/>
      <c r="B79" s="869"/>
      <c r="C79" s="869"/>
      <c r="D79" s="869"/>
      <c r="E79" s="869"/>
      <c r="F79" s="869"/>
      <c r="G79" s="869"/>
      <c r="H79" s="869"/>
      <c r="I79" s="869"/>
      <c r="J79" s="869"/>
      <c r="K79" s="869"/>
      <c r="L79" s="869"/>
      <c r="M79" s="869"/>
      <c r="N79" s="869"/>
      <c r="O79" s="869"/>
      <c r="P79" s="869"/>
      <c r="Q79" s="869"/>
      <c r="R79" s="869"/>
      <c r="S79" s="869"/>
      <c r="T79" s="869"/>
      <c r="U79" s="869"/>
      <c r="V79" s="869"/>
      <c r="W79" s="869"/>
      <c r="X79" s="869"/>
      <c r="Y79" s="869"/>
      <c r="Z79" s="869"/>
    </row>
    <row r="80">
      <c r="A80" s="869"/>
      <c r="B80" s="869"/>
      <c r="C80" s="869"/>
      <c r="D80" s="869"/>
      <c r="E80" s="869"/>
      <c r="F80" s="869"/>
      <c r="G80" s="869"/>
      <c r="H80" s="869"/>
      <c r="I80" s="869"/>
      <c r="J80" s="869"/>
      <c r="K80" s="869"/>
      <c r="L80" s="869"/>
      <c r="M80" s="869"/>
      <c r="N80" s="869"/>
      <c r="O80" s="869"/>
      <c r="P80" s="869"/>
      <c r="Q80" s="869"/>
      <c r="R80" s="869"/>
      <c r="S80" s="869"/>
      <c r="T80" s="869"/>
      <c r="U80" s="869"/>
      <c r="V80" s="869"/>
      <c r="W80" s="869"/>
      <c r="X80" s="869"/>
      <c r="Y80" s="869"/>
      <c r="Z80" s="869"/>
    </row>
    <row r="81">
      <c r="A81" s="869"/>
      <c r="B81" s="869"/>
      <c r="C81" s="869"/>
      <c r="D81" s="869"/>
      <c r="E81" s="869"/>
      <c r="F81" s="869"/>
      <c r="G81" s="869"/>
      <c r="H81" s="869"/>
      <c r="I81" s="869"/>
      <c r="J81" s="869"/>
      <c r="K81" s="869"/>
      <c r="L81" s="869"/>
      <c r="M81" s="869"/>
      <c r="N81" s="869"/>
      <c r="O81" s="869"/>
      <c r="P81" s="869"/>
      <c r="Q81" s="869"/>
      <c r="R81" s="869"/>
      <c r="S81" s="869"/>
      <c r="T81" s="869"/>
      <c r="U81" s="869"/>
      <c r="V81" s="869"/>
      <c r="W81" s="869"/>
      <c r="X81" s="869"/>
      <c r="Y81" s="869"/>
      <c r="Z81" s="869"/>
    </row>
    <row r="82">
      <c r="A82" s="869"/>
      <c r="B82" s="869"/>
      <c r="C82" s="869"/>
      <c r="D82" s="869"/>
      <c r="E82" s="869"/>
      <c r="F82" s="869"/>
      <c r="G82" s="869"/>
      <c r="H82" s="869"/>
      <c r="I82" s="869"/>
      <c r="J82" s="869"/>
      <c r="K82" s="869"/>
      <c r="L82" s="869"/>
      <c r="M82" s="869"/>
      <c r="N82" s="869"/>
      <c r="O82" s="869"/>
      <c r="P82" s="869"/>
      <c r="Q82" s="869"/>
      <c r="R82" s="869"/>
      <c r="S82" s="869"/>
      <c r="T82" s="869"/>
      <c r="U82" s="869"/>
      <c r="V82" s="869"/>
      <c r="W82" s="869"/>
      <c r="X82" s="869"/>
      <c r="Y82" s="869"/>
      <c r="Z82" s="869"/>
    </row>
    <row r="83">
      <c r="A83" s="869"/>
      <c r="B83" s="869"/>
      <c r="C83" s="869"/>
      <c r="D83" s="869"/>
      <c r="E83" s="869"/>
      <c r="F83" s="869"/>
      <c r="G83" s="869"/>
      <c r="H83" s="869"/>
      <c r="I83" s="869"/>
      <c r="J83" s="869"/>
      <c r="K83" s="869"/>
      <c r="L83" s="869"/>
      <c r="M83" s="869"/>
      <c r="N83" s="869"/>
      <c r="O83" s="869"/>
      <c r="P83" s="869"/>
      <c r="Q83" s="869"/>
      <c r="R83" s="869"/>
      <c r="S83" s="869"/>
      <c r="T83" s="869"/>
      <c r="U83" s="869"/>
      <c r="V83" s="869"/>
      <c r="W83" s="869"/>
      <c r="X83" s="869"/>
      <c r="Y83" s="869"/>
      <c r="Z83" s="869"/>
    </row>
    <row r="84">
      <c r="A84" s="869"/>
      <c r="B84" s="869"/>
      <c r="C84" s="869"/>
      <c r="D84" s="869"/>
      <c r="E84" s="869"/>
      <c r="F84" s="869"/>
      <c r="G84" s="869"/>
      <c r="H84" s="869"/>
      <c r="I84" s="869"/>
      <c r="J84" s="869"/>
      <c r="K84" s="869"/>
      <c r="L84" s="869"/>
      <c r="M84" s="869"/>
      <c r="N84" s="869"/>
      <c r="O84" s="869"/>
      <c r="P84" s="869"/>
      <c r="Q84" s="869"/>
      <c r="R84" s="869"/>
      <c r="S84" s="869"/>
      <c r="T84" s="869"/>
      <c r="U84" s="869"/>
      <c r="V84" s="869"/>
      <c r="W84" s="869"/>
      <c r="X84" s="869"/>
      <c r="Y84" s="869"/>
      <c r="Z84" s="869"/>
    </row>
    <row r="85">
      <c r="A85" s="869"/>
      <c r="B85" s="869"/>
      <c r="C85" s="869"/>
      <c r="D85" s="869"/>
      <c r="E85" s="869"/>
      <c r="F85" s="869"/>
      <c r="G85" s="869"/>
      <c r="H85" s="869"/>
      <c r="I85" s="869"/>
      <c r="J85" s="869"/>
      <c r="K85" s="869"/>
      <c r="L85" s="869"/>
      <c r="M85" s="869"/>
      <c r="N85" s="869"/>
      <c r="O85" s="869"/>
      <c r="P85" s="869"/>
      <c r="Q85" s="869"/>
      <c r="R85" s="869"/>
      <c r="S85" s="869"/>
      <c r="T85" s="869"/>
      <c r="U85" s="869"/>
      <c r="V85" s="869"/>
      <c r="W85" s="869"/>
      <c r="X85" s="869"/>
      <c r="Y85" s="869"/>
      <c r="Z85" s="869"/>
    </row>
    <row r="86">
      <c r="A86" s="869"/>
      <c r="B86" s="869"/>
      <c r="C86" s="869"/>
      <c r="D86" s="869"/>
      <c r="E86" s="869"/>
      <c r="F86" s="869"/>
      <c r="G86" s="869"/>
      <c r="H86" s="869"/>
      <c r="I86" s="869"/>
      <c r="J86" s="869"/>
      <c r="K86" s="869"/>
      <c r="L86" s="869"/>
      <c r="M86" s="869"/>
      <c r="N86" s="869"/>
      <c r="O86" s="869"/>
      <c r="P86" s="869"/>
      <c r="Q86" s="869"/>
      <c r="R86" s="869"/>
      <c r="S86" s="869"/>
      <c r="T86" s="869"/>
      <c r="U86" s="869"/>
      <c r="V86" s="869"/>
      <c r="W86" s="869"/>
      <c r="X86" s="869"/>
      <c r="Y86" s="869"/>
      <c r="Z86" s="869"/>
    </row>
    <row r="87">
      <c r="A87" s="869"/>
      <c r="B87" s="869"/>
      <c r="C87" s="869"/>
      <c r="D87" s="869"/>
      <c r="E87" s="869"/>
      <c r="F87" s="869"/>
      <c r="G87" s="869"/>
      <c r="H87" s="869"/>
      <c r="I87" s="869"/>
      <c r="J87" s="869"/>
      <c r="K87" s="869"/>
      <c r="L87" s="869"/>
      <c r="M87" s="869"/>
      <c r="N87" s="869"/>
      <c r="O87" s="869"/>
      <c r="P87" s="869"/>
      <c r="Q87" s="869"/>
      <c r="R87" s="869"/>
      <c r="S87" s="869"/>
      <c r="T87" s="869"/>
      <c r="U87" s="869"/>
      <c r="V87" s="869"/>
      <c r="W87" s="869"/>
      <c r="X87" s="869"/>
      <c r="Y87" s="869"/>
      <c r="Z87" s="869"/>
    </row>
    <row r="88">
      <c r="A88" s="869"/>
      <c r="B88" s="869"/>
      <c r="C88" s="869"/>
      <c r="D88" s="869"/>
      <c r="E88" s="869"/>
      <c r="F88" s="869"/>
      <c r="G88" s="869"/>
      <c r="H88" s="869"/>
      <c r="I88" s="869"/>
      <c r="J88" s="869"/>
      <c r="K88" s="869"/>
      <c r="L88" s="869"/>
      <c r="M88" s="869"/>
      <c r="N88" s="869"/>
      <c r="O88" s="869"/>
      <c r="P88" s="869"/>
      <c r="Q88" s="869"/>
      <c r="R88" s="869"/>
      <c r="S88" s="869"/>
      <c r="T88" s="869"/>
      <c r="U88" s="869"/>
      <c r="V88" s="869"/>
      <c r="W88" s="869"/>
      <c r="X88" s="869"/>
      <c r="Y88" s="869"/>
      <c r="Z88" s="869"/>
    </row>
    <row r="89">
      <c r="A89" s="869"/>
      <c r="B89" s="869"/>
      <c r="C89" s="869"/>
      <c r="D89" s="869"/>
      <c r="E89" s="869"/>
      <c r="F89" s="869"/>
      <c r="G89" s="869"/>
      <c r="H89" s="869"/>
      <c r="I89" s="869"/>
      <c r="J89" s="869"/>
      <c r="K89" s="869"/>
      <c r="L89" s="869"/>
      <c r="M89" s="869"/>
      <c r="N89" s="869"/>
      <c r="O89" s="869"/>
      <c r="P89" s="869"/>
      <c r="Q89" s="869"/>
      <c r="R89" s="869"/>
      <c r="S89" s="869"/>
      <c r="T89" s="869"/>
      <c r="U89" s="869"/>
      <c r="V89" s="869"/>
      <c r="W89" s="869"/>
      <c r="X89" s="869"/>
      <c r="Y89" s="869"/>
      <c r="Z89" s="869"/>
    </row>
    <row r="90">
      <c r="A90" s="869"/>
      <c r="B90" s="869"/>
      <c r="C90" s="869"/>
      <c r="D90" s="869"/>
      <c r="E90" s="869"/>
      <c r="F90" s="869"/>
      <c r="G90" s="869"/>
      <c r="H90" s="869"/>
      <c r="I90" s="869"/>
      <c r="J90" s="869"/>
      <c r="K90" s="869"/>
      <c r="L90" s="869"/>
      <c r="M90" s="869"/>
      <c r="N90" s="869"/>
      <c r="O90" s="869"/>
      <c r="P90" s="869"/>
      <c r="Q90" s="869"/>
      <c r="R90" s="869"/>
      <c r="S90" s="869"/>
      <c r="T90" s="869"/>
      <c r="U90" s="869"/>
      <c r="V90" s="869"/>
      <c r="W90" s="869"/>
      <c r="X90" s="869"/>
      <c r="Y90" s="869"/>
      <c r="Z90" s="869"/>
    </row>
    <row r="91">
      <c r="A91" s="869"/>
      <c r="B91" s="869"/>
      <c r="C91" s="869"/>
      <c r="D91" s="869"/>
      <c r="E91" s="869"/>
      <c r="F91" s="869"/>
      <c r="G91" s="869"/>
      <c r="H91" s="869"/>
      <c r="I91" s="869"/>
      <c r="J91" s="869"/>
      <c r="K91" s="869"/>
      <c r="L91" s="869"/>
      <c r="M91" s="869"/>
      <c r="N91" s="869"/>
      <c r="O91" s="869"/>
      <c r="P91" s="869"/>
      <c r="Q91" s="869"/>
      <c r="R91" s="869"/>
      <c r="S91" s="869"/>
      <c r="T91" s="869"/>
      <c r="U91" s="869"/>
      <c r="V91" s="869"/>
      <c r="W91" s="869"/>
      <c r="X91" s="869"/>
      <c r="Y91" s="869"/>
      <c r="Z91" s="869"/>
    </row>
    <row r="92">
      <c r="A92" s="869"/>
      <c r="B92" s="869"/>
      <c r="C92" s="869"/>
      <c r="D92" s="869"/>
      <c r="E92" s="869"/>
      <c r="F92" s="869"/>
      <c r="G92" s="869"/>
      <c r="H92" s="869"/>
      <c r="I92" s="869"/>
      <c r="J92" s="869"/>
      <c r="K92" s="869"/>
      <c r="L92" s="869"/>
      <c r="M92" s="869"/>
      <c r="N92" s="869"/>
      <c r="O92" s="869"/>
      <c r="P92" s="869"/>
      <c r="Q92" s="869"/>
      <c r="R92" s="869"/>
      <c r="S92" s="869"/>
      <c r="T92" s="869"/>
      <c r="U92" s="869"/>
      <c r="V92" s="869"/>
      <c r="W92" s="869"/>
      <c r="X92" s="869"/>
      <c r="Y92" s="869"/>
      <c r="Z92" s="869"/>
    </row>
    <row r="93">
      <c r="A93" s="869"/>
      <c r="B93" s="869"/>
      <c r="C93" s="869"/>
      <c r="D93" s="869"/>
      <c r="E93" s="869"/>
      <c r="F93" s="869"/>
      <c r="G93" s="869"/>
      <c r="H93" s="869"/>
      <c r="I93" s="869"/>
      <c r="J93" s="869"/>
      <c r="K93" s="869"/>
      <c r="L93" s="869"/>
      <c r="M93" s="869"/>
      <c r="N93" s="869"/>
      <c r="O93" s="869"/>
      <c r="P93" s="869"/>
      <c r="Q93" s="869"/>
      <c r="R93" s="869"/>
      <c r="S93" s="869"/>
      <c r="T93" s="869"/>
      <c r="U93" s="869"/>
      <c r="V93" s="869"/>
      <c r="W93" s="869"/>
      <c r="X93" s="869"/>
      <c r="Y93" s="869"/>
      <c r="Z93" s="869"/>
    </row>
    <row r="94">
      <c r="A94" s="869"/>
      <c r="B94" s="869"/>
      <c r="C94" s="869"/>
      <c r="D94" s="869"/>
      <c r="E94" s="869"/>
      <c r="F94" s="869"/>
      <c r="G94" s="869"/>
      <c r="H94" s="869"/>
      <c r="I94" s="869"/>
      <c r="J94" s="869"/>
      <c r="K94" s="869"/>
      <c r="L94" s="869"/>
      <c r="M94" s="869"/>
      <c r="N94" s="869"/>
      <c r="O94" s="869"/>
      <c r="P94" s="869"/>
      <c r="Q94" s="869"/>
      <c r="R94" s="869"/>
      <c r="S94" s="869"/>
      <c r="T94" s="869"/>
      <c r="U94" s="869"/>
      <c r="V94" s="869"/>
      <c r="W94" s="869"/>
      <c r="X94" s="869"/>
      <c r="Y94" s="869"/>
      <c r="Z94" s="869"/>
    </row>
    <row r="95">
      <c r="A95" s="869"/>
      <c r="B95" s="869"/>
      <c r="C95" s="869"/>
      <c r="D95" s="869"/>
      <c r="E95" s="869"/>
      <c r="F95" s="869"/>
      <c r="G95" s="869"/>
      <c r="H95" s="869"/>
      <c r="I95" s="869"/>
      <c r="J95" s="869"/>
      <c r="K95" s="869"/>
      <c r="L95" s="869"/>
      <c r="M95" s="869"/>
      <c r="N95" s="869"/>
      <c r="O95" s="869"/>
      <c r="P95" s="869"/>
      <c r="Q95" s="869"/>
      <c r="R95" s="869"/>
      <c r="S95" s="869"/>
      <c r="T95" s="869"/>
      <c r="U95" s="869"/>
      <c r="V95" s="869"/>
      <c r="W95" s="869"/>
      <c r="X95" s="869"/>
      <c r="Y95" s="869"/>
      <c r="Z95" s="869"/>
    </row>
    <row r="96">
      <c r="A96" s="869"/>
      <c r="B96" s="869"/>
      <c r="C96" s="869"/>
      <c r="D96" s="869"/>
      <c r="E96" s="869"/>
      <c r="F96" s="869"/>
      <c r="G96" s="869"/>
      <c r="H96" s="869"/>
      <c r="I96" s="869"/>
      <c r="J96" s="869"/>
      <c r="K96" s="869"/>
      <c r="L96" s="869"/>
      <c r="M96" s="869"/>
      <c r="N96" s="869"/>
      <c r="O96" s="869"/>
      <c r="P96" s="869"/>
      <c r="Q96" s="869"/>
      <c r="R96" s="869"/>
      <c r="S96" s="869"/>
      <c r="T96" s="869"/>
      <c r="U96" s="869"/>
      <c r="V96" s="869"/>
      <c r="W96" s="869"/>
      <c r="X96" s="869"/>
      <c r="Y96" s="869"/>
      <c r="Z96" s="869"/>
    </row>
    <row r="97">
      <c r="A97" s="869"/>
      <c r="B97" s="869"/>
      <c r="C97" s="869"/>
      <c r="D97" s="869"/>
      <c r="E97" s="869"/>
      <c r="F97" s="869"/>
      <c r="G97" s="869"/>
      <c r="H97" s="869"/>
      <c r="I97" s="869"/>
      <c r="J97" s="869"/>
      <c r="K97" s="869"/>
      <c r="L97" s="869"/>
      <c r="M97" s="869"/>
      <c r="N97" s="869"/>
      <c r="O97" s="869"/>
      <c r="P97" s="869"/>
      <c r="Q97" s="869"/>
      <c r="R97" s="869"/>
      <c r="S97" s="869"/>
      <c r="T97" s="869"/>
      <c r="U97" s="869"/>
      <c r="V97" s="869"/>
      <c r="W97" s="869"/>
      <c r="X97" s="869"/>
      <c r="Y97" s="869"/>
      <c r="Z97" s="869"/>
    </row>
    <row r="98">
      <c r="A98" s="869"/>
      <c r="B98" s="869"/>
      <c r="C98" s="869"/>
      <c r="D98" s="869"/>
      <c r="E98" s="869"/>
      <c r="F98" s="869"/>
      <c r="G98" s="869"/>
      <c r="H98" s="869"/>
      <c r="I98" s="869"/>
      <c r="J98" s="869"/>
      <c r="K98" s="869"/>
      <c r="L98" s="869"/>
      <c r="M98" s="869"/>
      <c r="N98" s="869"/>
      <c r="O98" s="869"/>
      <c r="P98" s="869"/>
      <c r="Q98" s="869"/>
      <c r="R98" s="869"/>
      <c r="S98" s="869"/>
      <c r="T98" s="869"/>
      <c r="U98" s="869"/>
      <c r="V98" s="869"/>
      <c r="W98" s="869"/>
      <c r="X98" s="869"/>
      <c r="Y98" s="869"/>
      <c r="Z98" s="869"/>
    </row>
    <row r="99">
      <c r="A99" s="869"/>
      <c r="B99" s="869"/>
      <c r="C99" s="869"/>
      <c r="D99" s="869"/>
      <c r="E99" s="869"/>
      <c r="F99" s="869"/>
      <c r="G99" s="869"/>
      <c r="H99" s="869"/>
      <c r="I99" s="869"/>
      <c r="J99" s="869"/>
      <c r="K99" s="869"/>
      <c r="L99" s="869"/>
      <c r="M99" s="869"/>
      <c r="N99" s="869"/>
      <c r="O99" s="869"/>
      <c r="P99" s="869"/>
      <c r="Q99" s="869"/>
      <c r="R99" s="869"/>
      <c r="S99" s="869"/>
      <c r="T99" s="869"/>
      <c r="U99" s="869"/>
      <c r="V99" s="869"/>
      <c r="W99" s="869"/>
      <c r="X99" s="869"/>
      <c r="Y99" s="869"/>
      <c r="Z99" s="869"/>
    </row>
    <row r="100">
      <c r="A100" s="869"/>
      <c r="B100" s="869"/>
      <c r="C100" s="869"/>
      <c r="D100" s="869"/>
      <c r="E100" s="869"/>
      <c r="F100" s="869"/>
      <c r="G100" s="869"/>
      <c r="H100" s="869"/>
      <c r="I100" s="869"/>
      <c r="J100" s="869"/>
      <c r="K100" s="869"/>
      <c r="L100" s="869"/>
      <c r="M100" s="869"/>
      <c r="N100" s="869"/>
      <c r="O100" s="869"/>
      <c r="P100" s="869"/>
      <c r="Q100" s="869"/>
      <c r="R100" s="869"/>
      <c r="S100" s="869"/>
      <c r="T100" s="869"/>
      <c r="U100" s="869"/>
      <c r="V100" s="869"/>
      <c r="W100" s="869"/>
      <c r="X100" s="869"/>
      <c r="Y100" s="869"/>
      <c r="Z100" s="869"/>
    </row>
    <row r="101">
      <c r="A101" s="869"/>
      <c r="B101" s="869"/>
      <c r="C101" s="869"/>
      <c r="D101" s="869"/>
      <c r="E101" s="869"/>
      <c r="F101" s="869"/>
      <c r="G101" s="869"/>
      <c r="H101" s="869"/>
      <c r="I101" s="869"/>
      <c r="J101" s="869"/>
      <c r="K101" s="869"/>
      <c r="L101" s="869"/>
      <c r="M101" s="869"/>
      <c r="N101" s="869"/>
      <c r="O101" s="869"/>
      <c r="P101" s="869"/>
      <c r="Q101" s="869"/>
      <c r="R101" s="869"/>
      <c r="S101" s="869"/>
      <c r="T101" s="869"/>
      <c r="U101" s="869"/>
      <c r="V101" s="869"/>
      <c r="W101" s="869"/>
      <c r="X101" s="869"/>
      <c r="Y101" s="869"/>
      <c r="Z101" s="869"/>
    </row>
    <row r="102">
      <c r="A102" s="869"/>
      <c r="B102" s="869"/>
      <c r="C102" s="869"/>
      <c r="D102" s="869"/>
      <c r="E102" s="869"/>
      <c r="F102" s="869"/>
      <c r="G102" s="869"/>
      <c r="H102" s="869"/>
      <c r="I102" s="869"/>
      <c r="J102" s="869"/>
      <c r="K102" s="869"/>
      <c r="L102" s="869"/>
      <c r="M102" s="869"/>
      <c r="N102" s="869"/>
      <c r="O102" s="869"/>
      <c r="P102" s="869"/>
      <c r="Q102" s="869"/>
      <c r="R102" s="869"/>
      <c r="S102" s="869"/>
      <c r="T102" s="869"/>
      <c r="U102" s="869"/>
      <c r="V102" s="869"/>
      <c r="W102" s="869"/>
      <c r="X102" s="869"/>
      <c r="Y102" s="869"/>
      <c r="Z102" s="869"/>
    </row>
    <row r="103">
      <c r="A103" s="869"/>
      <c r="B103" s="869"/>
      <c r="C103" s="869"/>
      <c r="D103" s="869"/>
      <c r="E103" s="869"/>
      <c r="F103" s="869"/>
      <c r="G103" s="869"/>
      <c r="H103" s="869"/>
      <c r="I103" s="869"/>
      <c r="J103" s="869"/>
      <c r="K103" s="869"/>
      <c r="L103" s="869"/>
      <c r="M103" s="869"/>
      <c r="N103" s="869"/>
      <c r="O103" s="869"/>
      <c r="P103" s="869"/>
      <c r="Q103" s="869"/>
      <c r="R103" s="869"/>
      <c r="S103" s="869"/>
      <c r="T103" s="869"/>
      <c r="U103" s="869"/>
      <c r="V103" s="869"/>
      <c r="W103" s="869"/>
      <c r="X103" s="869"/>
      <c r="Y103" s="869"/>
      <c r="Z103" s="869"/>
    </row>
    <row r="104">
      <c r="A104" s="869"/>
      <c r="B104" s="869"/>
      <c r="C104" s="869"/>
      <c r="D104" s="869"/>
      <c r="E104" s="869"/>
      <c r="F104" s="869"/>
      <c r="G104" s="869"/>
      <c r="H104" s="869"/>
      <c r="I104" s="869"/>
      <c r="J104" s="869"/>
      <c r="K104" s="869"/>
      <c r="L104" s="869"/>
      <c r="M104" s="869"/>
      <c r="N104" s="869"/>
      <c r="O104" s="869"/>
      <c r="P104" s="869"/>
      <c r="Q104" s="869"/>
      <c r="R104" s="869"/>
      <c r="S104" s="869"/>
      <c r="T104" s="869"/>
      <c r="U104" s="869"/>
      <c r="V104" s="869"/>
      <c r="W104" s="869"/>
      <c r="X104" s="869"/>
      <c r="Y104" s="869"/>
      <c r="Z104" s="869"/>
    </row>
    <row r="105">
      <c r="A105" s="869"/>
      <c r="B105" s="869"/>
      <c r="C105" s="869"/>
      <c r="D105" s="869"/>
      <c r="E105" s="869"/>
      <c r="F105" s="869"/>
      <c r="G105" s="869"/>
      <c r="H105" s="869"/>
      <c r="I105" s="869"/>
      <c r="J105" s="869"/>
      <c r="K105" s="869"/>
      <c r="L105" s="869"/>
      <c r="M105" s="869"/>
      <c r="N105" s="869"/>
      <c r="O105" s="869"/>
      <c r="P105" s="869"/>
      <c r="Q105" s="869"/>
      <c r="R105" s="869"/>
      <c r="S105" s="869"/>
      <c r="T105" s="869"/>
      <c r="U105" s="869"/>
      <c r="V105" s="869"/>
      <c r="W105" s="869"/>
      <c r="X105" s="869"/>
      <c r="Y105" s="869"/>
      <c r="Z105" s="869"/>
    </row>
    <row r="106">
      <c r="A106" s="869"/>
      <c r="B106" s="869"/>
      <c r="C106" s="869"/>
      <c r="D106" s="869"/>
      <c r="E106" s="869"/>
      <c r="F106" s="869"/>
      <c r="G106" s="869"/>
      <c r="H106" s="869"/>
      <c r="I106" s="869"/>
      <c r="J106" s="869"/>
      <c r="K106" s="869"/>
      <c r="L106" s="869"/>
      <c r="M106" s="869"/>
      <c r="N106" s="869"/>
      <c r="O106" s="869"/>
      <c r="P106" s="869"/>
      <c r="Q106" s="869"/>
      <c r="R106" s="869"/>
      <c r="S106" s="869"/>
      <c r="T106" s="869"/>
      <c r="U106" s="869"/>
      <c r="V106" s="869"/>
      <c r="W106" s="869"/>
      <c r="X106" s="869"/>
      <c r="Y106" s="869"/>
      <c r="Z106" s="869"/>
    </row>
    <row r="107">
      <c r="A107" s="869"/>
      <c r="B107" s="869"/>
      <c r="C107" s="869"/>
      <c r="D107" s="869"/>
      <c r="E107" s="869"/>
      <c r="F107" s="869"/>
      <c r="G107" s="869"/>
      <c r="H107" s="869"/>
      <c r="I107" s="869"/>
      <c r="J107" s="869"/>
      <c r="K107" s="869"/>
      <c r="L107" s="869"/>
      <c r="M107" s="869"/>
      <c r="N107" s="869"/>
      <c r="O107" s="869"/>
      <c r="P107" s="869"/>
      <c r="Q107" s="869"/>
      <c r="R107" s="869"/>
      <c r="S107" s="869"/>
      <c r="T107" s="869"/>
      <c r="U107" s="869"/>
      <c r="V107" s="869"/>
      <c r="W107" s="869"/>
      <c r="X107" s="869"/>
      <c r="Y107" s="869"/>
      <c r="Z107" s="869"/>
    </row>
    <row r="108">
      <c r="A108" s="869"/>
      <c r="B108" s="869"/>
      <c r="C108" s="869"/>
      <c r="D108" s="869"/>
      <c r="E108" s="869"/>
      <c r="F108" s="869"/>
      <c r="G108" s="869"/>
      <c r="H108" s="869"/>
      <c r="I108" s="869"/>
      <c r="J108" s="869"/>
      <c r="K108" s="869"/>
      <c r="L108" s="869"/>
      <c r="M108" s="869"/>
      <c r="N108" s="869"/>
      <c r="O108" s="869"/>
      <c r="P108" s="869"/>
      <c r="Q108" s="869"/>
      <c r="R108" s="869"/>
      <c r="S108" s="869"/>
      <c r="T108" s="869"/>
      <c r="U108" s="869"/>
      <c r="V108" s="869"/>
      <c r="W108" s="869"/>
      <c r="X108" s="869"/>
      <c r="Y108" s="869"/>
      <c r="Z108" s="869"/>
    </row>
    <row r="109">
      <c r="A109" s="869"/>
      <c r="B109" s="869"/>
      <c r="C109" s="869"/>
      <c r="D109" s="869"/>
      <c r="E109" s="869"/>
      <c r="F109" s="869"/>
      <c r="G109" s="869"/>
      <c r="H109" s="869"/>
      <c r="I109" s="869"/>
      <c r="J109" s="869"/>
      <c r="K109" s="869"/>
      <c r="L109" s="869"/>
      <c r="M109" s="869"/>
      <c r="N109" s="869"/>
      <c r="O109" s="869"/>
      <c r="P109" s="869"/>
      <c r="Q109" s="869"/>
      <c r="R109" s="869"/>
      <c r="S109" s="869"/>
      <c r="T109" s="869"/>
      <c r="U109" s="869"/>
      <c r="V109" s="869"/>
      <c r="W109" s="869"/>
      <c r="X109" s="869"/>
      <c r="Y109" s="869"/>
      <c r="Z109" s="869"/>
    </row>
    <row r="110">
      <c r="A110" s="869"/>
      <c r="B110" s="869"/>
      <c r="C110" s="869"/>
      <c r="D110" s="869"/>
      <c r="E110" s="869"/>
      <c r="F110" s="869"/>
      <c r="G110" s="869"/>
      <c r="H110" s="869"/>
      <c r="I110" s="869"/>
      <c r="J110" s="869"/>
      <c r="K110" s="869"/>
      <c r="L110" s="869"/>
      <c r="M110" s="869"/>
      <c r="N110" s="869"/>
      <c r="O110" s="869"/>
      <c r="P110" s="869"/>
      <c r="Q110" s="869"/>
      <c r="R110" s="869"/>
      <c r="S110" s="869"/>
      <c r="T110" s="869"/>
      <c r="U110" s="869"/>
      <c r="V110" s="869"/>
      <c r="W110" s="869"/>
      <c r="X110" s="869"/>
      <c r="Y110" s="869"/>
      <c r="Z110" s="869"/>
    </row>
    <row r="111">
      <c r="A111" s="869"/>
      <c r="B111" s="869"/>
      <c r="C111" s="869"/>
      <c r="D111" s="869"/>
      <c r="E111" s="869"/>
      <c r="F111" s="869"/>
      <c r="G111" s="869"/>
      <c r="H111" s="869"/>
      <c r="I111" s="869"/>
      <c r="J111" s="869"/>
      <c r="K111" s="869"/>
      <c r="L111" s="869"/>
      <c r="M111" s="869"/>
      <c r="N111" s="869"/>
      <c r="O111" s="869"/>
      <c r="P111" s="869"/>
      <c r="Q111" s="869"/>
      <c r="R111" s="869"/>
      <c r="S111" s="869"/>
      <c r="T111" s="869"/>
      <c r="U111" s="869"/>
      <c r="V111" s="869"/>
      <c r="W111" s="869"/>
      <c r="X111" s="869"/>
      <c r="Y111" s="869"/>
      <c r="Z111" s="869"/>
    </row>
    <row r="112">
      <c r="A112" s="869"/>
      <c r="B112" s="869"/>
      <c r="C112" s="869"/>
      <c r="D112" s="869"/>
      <c r="E112" s="869"/>
      <c r="F112" s="869"/>
      <c r="G112" s="869"/>
      <c r="H112" s="869"/>
      <c r="I112" s="869"/>
      <c r="J112" s="869"/>
      <c r="K112" s="869"/>
      <c r="L112" s="869"/>
      <c r="M112" s="869"/>
      <c r="N112" s="869"/>
      <c r="O112" s="869"/>
      <c r="P112" s="869"/>
      <c r="Q112" s="869"/>
      <c r="R112" s="869"/>
      <c r="S112" s="869"/>
      <c r="T112" s="869"/>
      <c r="U112" s="869"/>
      <c r="V112" s="869"/>
      <c r="W112" s="869"/>
      <c r="X112" s="869"/>
      <c r="Y112" s="869"/>
      <c r="Z112" s="869"/>
    </row>
    <row r="113">
      <c r="A113" s="869"/>
      <c r="B113" s="869"/>
      <c r="C113" s="869"/>
      <c r="D113" s="869"/>
      <c r="E113" s="869"/>
      <c r="F113" s="869"/>
      <c r="G113" s="869"/>
      <c r="H113" s="869"/>
      <c r="I113" s="869"/>
      <c r="J113" s="869"/>
      <c r="K113" s="869"/>
      <c r="L113" s="869"/>
      <c r="M113" s="869"/>
      <c r="N113" s="869"/>
      <c r="O113" s="869"/>
      <c r="P113" s="869"/>
      <c r="Q113" s="869"/>
      <c r="R113" s="869"/>
      <c r="S113" s="869"/>
      <c r="T113" s="869"/>
      <c r="U113" s="869"/>
      <c r="V113" s="869"/>
      <c r="W113" s="869"/>
      <c r="X113" s="869"/>
      <c r="Y113" s="869"/>
      <c r="Z113" s="869"/>
    </row>
    <row r="114">
      <c r="A114" s="869"/>
      <c r="B114" s="869"/>
      <c r="C114" s="869"/>
      <c r="D114" s="869"/>
      <c r="E114" s="869"/>
      <c r="F114" s="869"/>
      <c r="G114" s="869"/>
      <c r="H114" s="869"/>
      <c r="I114" s="869"/>
      <c r="J114" s="869"/>
      <c r="K114" s="869"/>
      <c r="L114" s="869"/>
      <c r="M114" s="869"/>
      <c r="N114" s="869"/>
      <c r="O114" s="869"/>
      <c r="P114" s="869"/>
      <c r="Q114" s="869"/>
      <c r="R114" s="869"/>
      <c r="S114" s="869"/>
      <c r="T114" s="869"/>
      <c r="U114" s="869"/>
      <c r="V114" s="869"/>
      <c r="W114" s="869"/>
      <c r="X114" s="869"/>
      <c r="Y114" s="869"/>
      <c r="Z114" s="869"/>
    </row>
    <row r="115">
      <c r="A115" s="869"/>
      <c r="B115" s="869"/>
      <c r="C115" s="869"/>
      <c r="D115" s="869"/>
      <c r="E115" s="869"/>
      <c r="F115" s="869"/>
      <c r="G115" s="869"/>
      <c r="H115" s="869"/>
      <c r="I115" s="869"/>
      <c r="J115" s="869"/>
      <c r="K115" s="869"/>
      <c r="L115" s="869"/>
      <c r="M115" s="869"/>
      <c r="N115" s="869"/>
      <c r="O115" s="869"/>
      <c r="P115" s="869"/>
      <c r="Q115" s="869"/>
      <c r="R115" s="869"/>
      <c r="S115" s="869"/>
      <c r="T115" s="869"/>
      <c r="U115" s="869"/>
      <c r="V115" s="869"/>
      <c r="W115" s="869"/>
      <c r="X115" s="869"/>
      <c r="Y115" s="869"/>
      <c r="Z115" s="869"/>
    </row>
    <row r="116">
      <c r="A116" s="869"/>
      <c r="B116" s="869"/>
      <c r="C116" s="869"/>
      <c r="D116" s="869"/>
      <c r="E116" s="869"/>
      <c r="F116" s="869"/>
      <c r="G116" s="869"/>
      <c r="H116" s="869"/>
      <c r="I116" s="869"/>
      <c r="J116" s="869"/>
      <c r="K116" s="869"/>
      <c r="L116" s="869"/>
      <c r="M116" s="869"/>
      <c r="N116" s="869"/>
      <c r="O116" s="869"/>
      <c r="P116" s="869"/>
      <c r="Q116" s="869"/>
      <c r="R116" s="869"/>
      <c r="S116" s="869"/>
      <c r="T116" s="869"/>
      <c r="U116" s="869"/>
      <c r="V116" s="869"/>
      <c r="W116" s="869"/>
      <c r="X116" s="869"/>
      <c r="Y116" s="869"/>
      <c r="Z116" s="869"/>
    </row>
    <row r="117">
      <c r="A117" s="869"/>
      <c r="B117" s="869"/>
      <c r="C117" s="869"/>
      <c r="D117" s="869"/>
      <c r="E117" s="869"/>
      <c r="F117" s="869"/>
      <c r="G117" s="869"/>
      <c r="H117" s="869"/>
      <c r="I117" s="869"/>
      <c r="J117" s="869"/>
      <c r="K117" s="869"/>
      <c r="L117" s="869"/>
      <c r="M117" s="869"/>
      <c r="N117" s="869"/>
      <c r="O117" s="869"/>
      <c r="P117" s="869"/>
      <c r="Q117" s="869"/>
      <c r="R117" s="869"/>
      <c r="S117" s="869"/>
      <c r="T117" s="869"/>
      <c r="U117" s="869"/>
      <c r="V117" s="869"/>
      <c r="W117" s="869"/>
      <c r="X117" s="869"/>
      <c r="Y117" s="869"/>
      <c r="Z117" s="869"/>
    </row>
    <row r="118">
      <c r="A118" s="869"/>
      <c r="B118" s="869"/>
      <c r="C118" s="869"/>
      <c r="D118" s="869"/>
      <c r="E118" s="869"/>
      <c r="F118" s="869"/>
      <c r="G118" s="869"/>
      <c r="H118" s="869"/>
      <c r="I118" s="869"/>
      <c r="J118" s="869"/>
      <c r="K118" s="869"/>
      <c r="L118" s="869"/>
      <c r="M118" s="869"/>
      <c r="N118" s="869"/>
      <c r="O118" s="869"/>
      <c r="P118" s="869"/>
      <c r="Q118" s="869"/>
      <c r="R118" s="869"/>
      <c r="S118" s="869"/>
      <c r="T118" s="869"/>
      <c r="U118" s="869"/>
      <c r="V118" s="869"/>
      <c r="W118" s="869"/>
      <c r="X118" s="869"/>
      <c r="Y118" s="869"/>
      <c r="Z118" s="869"/>
    </row>
    <row r="119">
      <c r="A119" s="869"/>
      <c r="B119" s="869"/>
      <c r="C119" s="869"/>
      <c r="D119" s="869"/>
      <c r="E119" s="869"/>
      <c r="F119" s="869"/>
      <c r="G119" s="869"/>
      <c r="H119" s="869"/>
      <c r="I119" s="869"/>
      <c r="J119" s="869"/>
      <c r="K119" s="869"/>
      <c r="L119" s="869"/>
      <c r="M119" s="869"/>
      <c r="N119" s="869"/>
      <c r="O119" s="869"/>
      <c r="P119" s="869"/>
      <c r="Q119" s="869"/>
      <c r="R119" s="869"/>
      <c r="S119" s="869"/>
      <c r="T119" s="869"/>
      <c r="U119" s="869"/>
      <c r="V119" s="869"/>
      <c r="W119" s="869"/>
      <c r="X119" s="869"/>
      <c r="Y119" s="869"/>
      <c r="Z119" s="869"/>
    </row>
    <row r="120">
      <c r="A120" s="869"/>
      <c r="B120" s="869"/>
      <c r="C120" s="869"/>
      <c r="D120" s="869"/>
      <c r="E120" s="869"/>
      <c r="F120" s="869"/>
      <c r="G120" s="869"/>
      <c r="H120" s="869"/>
      <c r="I120" s="869"/>
      <c r="J120" s="869"/>
      <c r="K120" s="869"/>
      <c r="L120" s="869"/>
      <c r="M120" s="869"/>
      <c r="N120" s="869"/>
      <c r="O120" s="869"/>
      <c r="P120" s="869"/>
      <c r="Q120" s="869"/>
      <c r="R120" s="869"/>
      <c r="S120" s="869"/>
      <c r="T120" s="869"/>
      <c r="U120" s="869"/>
      <c r="V120" s="869"/>
      <c r="W120" s="869"/>
      <c r="X120" s="869"/>
      <c r="Y120" s="869"/>
      <c r="Z120" s="869"/>
    </row>
    <row r="121">
      <c r="A121" s="869"/>
      <c r="B121" s="869"/>
      <c r="C121" s="869"/>
      <c r="D121" s="869"/>
      <c r="E121" s="869"/>
      <c r="F121" s="869"/>
      <c r="G121" s="869"/>
      <c r="H121" s="869"/>
      <c r="I121" s="869"/>
      <c r="J121" s="869"/>
      <c r="K121" s="869"/>
      <c r="L121" s="869"/>
      <c r="M121" s="869"/>
      <c r="N121" s="869"/>
      <c r="O121" s="869"/>
      <c r="P121" s="869"/>
      <c r="Q121" s="869"/>
      <c r="R121" s="869"/>
      <c r="S121" s="869"/>
      <c r="T121" s="869"/>
      <c r="U121" s="869"/>
      <c r="V121" s="869"/>
      <c r="W121" s="869"/>
      <c r="X121" s="869"/>
      <c r="Y121" s="869"/>
      <c r="Z121" s="869"/>
    </row>
    <row r="122">
      <c r="A122" s="869"/>
      <c r="B122" s="869"/>
      <c r="C122" s="869"/>
      <c r="D122" s="869"/>
      <c r="E122" s="869"/>
      <c r="F122" s="869"/>
      <c r="G122" s="869"/>
      <c r="H122" s="869"/>
      <c r="I122" s="869"/>
      <c r="J122" s="869"/>
      <c r="K122" s="869"/>
      <c r="L122" s="869"/>
      <c r="M122" s="869"/>
      <c r="N122" s="869"/>
      <c r="O122" s="869"/>
      <c r="P122" s="869"/>
      <c r="Q122" s="869"/>
      <c r="R122" s="869"/>
      <c r="S122" s="869"/>
      <c r="T122" s="869"/>
      <c r="U122" s="869"/>
      <c r="V122" s="869"/>
      <c r="W122" s="869"/>
      <c r="X122" s="869"/>
      <c r="Y122" s="869"/>
      <c r="Z122" s="869"/>
    </row>
    <row r="123">
      <c r="A123" s="869"/>
      <c r="B123" s="869"/>
      <c r="C123" s="869"/>
      <c r="D123" s="869"/>
      <c r="E123" s="869"/>
      <c r="F123" s="869"/>
      <c r="G123" s="869"/>
      <c r="H123" s="869"/>
      <c r="I123" s="869"/>
      <c r="J123" s="869"/>
      <c r="K123" s="869"/>
      <c r="L123" s="869"/>
      <c r="M123" s="869"/>
      <c r="N123" s="869"/>
      <c r="O123" s="869"/>
      <c r="P123" s="869"/>
      <c r="Q123" s="869"/>
      <c r="R123" s="869"/>
      <c r="S123" s="869"/>
      <c r="T123" s="869"/>
      <c r="U123" s="869"/>
      <c r="V123" s="869"/>
      <c r="W123" s="869"/>
      <c r="X123" s="869"/>
      <c r="Y123" s="869"/>
      <c r="Z123" s="869"/>
    </row>
    <row r="124">
      <c r="A124" s="869"/>
      <c r="B124" s="869"/>
      <c r="C124" s="869"/>
      <c r="D124" s="869"/>
      <c r="E124" s="869"/>
      <c r="F124" s="869"/>
      <c r="G124" s="869"/>
      <c r="H124" s="869"/>
      <c r="I124" s="869"/>
      <c r="J124" s="869"/>
      <c r="K124" s="869"/>
      <c r="L124" s="869"/>
      <c r="M124" s="869"/>
      <c r="N124" s="869"/>
      <c r="O124" s="869"/>
      <c r="P124" s="869"/>
      <c r="Q124" s="869"/>
      <c r="R124" s="869"/>
      <c r="S124" s="869"/>
      <c r="T124" s="869"/>
      <c r="U124" s="869"/>
      <c r="V124" s="869"/>
      <c r="W124" s="869"/>
      <c r="X124" s="869"/>
      <c r="Y124" s="869"/>
      <c r="Z124" s="869"/>
    </row>
    <row r="125">
      <c r="A125" s="869"/>
      <c r="B125" s="869"/>
      <c r="C125" s="869"/>
      <c r="D125" s="869"/>
      <c r="E125" s="869"/>
      <c r="F125" s="869"/>
      <c r="G125" s="869"/>
      <c r="H125" s="869"/>
      <c r="I125" s="869"/>
      <c r="J125" s="869"/>
      <c r="K125" s="869"/>
      <c r="L125" s="869"/>
      <c r="M125" s="869"/>
      <c r="N125" s="869"/>
      <c r="O125" s="869"/>
      <c r="P125" s="869"/>
      <c r="Q125" s="869"/>
      <c r="R125" s="869"/>
      <c r="S125" s="869"/>
      <c r="T125" s="869"/>
      <c r="U125" s="869"/>
      <c r="V125" s="869"/>
      <c r="W125" s="869"/>
      <c r="X125" s="869"/>
      <c r="Y125" s="869"/>
      <c r="Z125" s="869"/>
    </row>
    <row r="126">
      <c r="A126" s="869"/>
      <c r="B126" s="869"/>
      <c r="C126" s="869"/>
      <c r="D126" s="869"/>
      <c r="E126" s="869"/>
      <c r="F126" s="869"/>
      <c r="G126" s="869"/>
      <c r="H126" s="869"/>
      <c r="I126" s="869"/>
      <c r="J126" s="869"/>
      <c r="K126" s="869"/>
      <c r="L126" s="869"/>
      <c r="M126" s="869"/>
      <c r="N126" s="869"/>
      <c r="O126" s="869"/>
      <c r="P126" s="869"/>
      <c r="Q126" s="869"/>
      <c r="R126" s="869"/>
      <c r="S126" s="869"/>
      <c r="T126" s="869"/>
      <c r="U126" s="869"/>
      <c r="V126" s="869"/>
      <c r="W126" s="869"/>
      <c r="X126" s="869"/>
      <c r="Y126" s="869"/>
      <c r="Z126" s="869"/>
    </row>
    <row r="127">
      <c r="A127" s="869"/>
      <c r="B127" s="869"/>
      <c r="C127" s="869"/>
      <c r="D127" s="869"/>
      <c r="E127" s="869"/>
      <c r="F127" s="869"/>
      <c r="G127" s="869"/>
      <c r="H127" s="869"/>
      <c r="I127" s="869"/>
      <c r="J127" s="869"/>
      <c r="K127" s="869"/>
      <c r="L127" s="869"/>
      <c r="M127" s="869"/>
      <c r="N127" s="869"/>
      <c r="O127" s="869"/>
      <c r="P127" s="869"/>
      <c r="Q127" s="869"/>
      <c r="R127" s="869"/>
      <c r="S127" s="869"/>
      <c r="T127" s="869"/>
      <c r="U127" s="869"/>
      <c r="V127" s="869"/>
      <c r="W127" s="869"/>
      <c r="X127" s="869"/>
      <c r="Y127" s="869"/>
      <c r="Z127" s="869"/>
    </row>
    <row r="128">
      <c r="A128" s="869"/>
      <c r="B128" s="869"/>
      <c r="C128" s="869"/>
      <c r="D128" s="869"/>
      <c r="E128" s="869"/>
      <c r="F128" s="869"/>
      <c r="G128" s="869"/>
      <c r="H128" s="869"/>
      <c r="I128" s="869"/>
      <c r="J128" s="869"/>
      <c r="K128" s="869"/>
      <c r="L128" s="869"/>
      <c r="M128" s="869"/>
      <c r="N128" s="869"/>
      <c r="O128" s="869"/>
      <c r="P128" s="869"/>
      <c r="Q128" s="869"/>
      <c r="R128" s="869"/>
      <c r="S128" s="869"/>
      <c r="T128" s="869"/>
      <c r="U128" s="869"/>
      <c r="V128" s="869"/>
      <c r="W128" s="869"/>
      <c r="X128" s="869"/>
      <c r="Y128" s="869"/>
      <c r="Z128" s="869"/>
    </row>
    <row r="129">
      <c r="A129" s="869"/>
      <c r="B129" s="869"/>
      <c r="C129" s="869"/>
      <c r="D129" s="869"/>
      <c r="E129" s="869"/>
      <c r="F129" s="869"/>
      <c r="G129" s="869"/>
      <c r="H129" s="869"/>
      <c r="I129" s="869"/>
      <c r="J129" s="869"/>
      <c r="K129" s="869"/>
      <c r="L129" s="869"/>
      <c r="M129" s="869"/>
      <c r="N129" s="869"/>
      <c r="O129" s="869"/>
      <c r="P129" s="869"/>
      <c r="Q129" s="869"/>
      <c r="R129" s="869"/>
      <c r="S129" s="869"/>
      <c r="T129" s="869"/>
      <c r="U129" s="869"/>
      <c r="V129" s="869"/>
      <c r="W129" s="869"/>
      <c r="X129" s="869"/>
      <c r="Y129" s="869"/>
      <c r="Z129" s="869"/>
    </row>
    <row r="130">
      <c r="A130" s="869"/>
      <c r="B130" s="869"/>
      <c r="C130" s="869"/>
      <c r="D130" s="869"/>
      <c r="E130" s="869"/>
      <c r="F130" s="869"/>
      <c r="G130" s="869"/>
      <c r="H130" s="869"/>
      <c r="I130" s="869"/>
      <c r="J130" s="869"/>
      <c r="K130" s="869"/>
      <c r="L130" s="869"/>
      <c r="M130" s="869"/>
      <c r="N130" s="869"/>
      <c r="O130" s="869"/>
      <c r="P130" s="869"/>
      <c r="Q130" s="869"/>
      <c r="R130" s="869"/>
      <c r="S130" s="869"/>
      <c r="T130" s="869"/>
      <c r="U130" s="869"/>
      <c r="V130" s="869"/>
      <c r="W130" s="869"/>
      <c r="X130" s="869"/>
      <c r="Y130" s="869"/>
      <c r="Z130" s="869"/>
    </row>
    <row r="131">
      <c r="A131" s="869"/>
      <c r="B131" s="869"/>
      <c r="C131" s="869"/>
      <c r="D131" s="869"/>
      <c r="E131" s="869"/>
      <c r="F131" s="869"/>
      <c r="G131" s="869"/>
      <c r="H131" s="869"/>
      <c r="I131" s="869"/>
      <c r="J131" s="869"/>
      <c r="K131" s="869"/>
      <c r="L131" s="869"/>
      <c r="M131" s="869"/>
      <c r="N131" s="869"/>
      <c r="O131" s="869"/>
      <c r="P131" s="869"/>
      <c r="Q131" s="869"/>
      <c r="R131" s="869"/>
      <c r="S131" s="869"/>
      <c r="T131" s="869"/>
      <c r="U131" s="869"/>
      <c r="V131" s="869"/>
      <c r="W131" s="869"/>
      <c r="X131" s="869"/>
      <c r="Y131" s="869"/>
      <c r="Z131" s="869"/>
    </row>
    <row r="132">
      <c r="A132" s="869"/>
      <c r="B132" s="869"/>
      <c r="C132" s="869"/>
      <c r="D132" s="869"/>
      <c r="E132" s="869"/>
      <c r="F132" s="869"/>
      <c r="G132" s="869"/>
      <c r="H132" s="869"/>
      <c r="I132" s="869"/>
      <c r="J132" s="869"/>
      <c r="K132" s="869"/>
      <c r="L132" s="869"/>
      <c r="M132" s="869"/>
      <c r="N132" s="869"/>
      <c r="O132" s="869"/>
      <c r="P132" s="869"/>
      <c r="Q132" s="869"/>
      <c r="R132" s="869"/>
      <c r="S132" s="869"/>
      <c r="T132" s="869"/>
      <c r="U132" s="869"/>
      <c r="V132" s="869"/>
      <c r="W132" s="869"/>
      <c r="X132" s="869"/>
      <c r="Y132" s="869"/>
      <c r="Z132" s="869"/>
    </row>
    <row r="133">
      <c r="A133" s="869"/>
      <c r="B133" s="869"/>
      <c r="C133" s="869"/>
      <c r="D133" s="869"/>
      <c r="E133" s="869"/>
      <c r="F133" s="869"/>
      <c r="G133" s="869"/>
      <c r="H133" s="869"/>
      <c r="I133" s="869"/>
      <c r="J133" s="869"/>
      <c r="K133" s="869"/>
      <c r="L133" s="869"/>
      <c r="M133" s="869"/>
      <c r="N133" s="869"/>
      <c r="O133" s="869"/>
      <c r="P133" s="869"/>
      <c r="Q133" s="869"/>
      <c r="R133" s="869"/>
      <c r="S133" s="869"/>
      <c r="T133" s="869"/>
      <c r="U133" s="869"/>
      <c r="V133" s="869"/>
      <c r="W133" s="869"/>
      <c r="X133" s="869"/>
      <c r="Y133" s="869"/>
      <c r="Z133" s="869"/>
    </row>
    <row r="134">
      <c r="A134" s="869"/>
      <c r="B134" s="869"/>
      <c r="C134" s="869"/>
      <c r="D134" s="869"/>
      <c r="E134" s="869"/>
      <c r="F134" s="869"/>
      <c r="G134" s="869"/>
      <c r="H134" s="869"/>
      <c r="I134" s="869"/>
      <c r="J134" s="869"/>
      <c r="K134" s="869"/>
      <c r="L134" s="869"/>
      <c r="M134" s="869"/>
      <c r="N134" s="869"/>
      <c r="O134" s="869"/>
      <c r="P134" s="869"/>
      <c r="Q134" s="869"/>
      <c r="R134" s="869"/>
      <c r="S134" s="869"/>
      <c r="T134" s="869"/>
      <c r="U134" s="869"/>
      <c r="V134" s="869"/>
      <c r="W134" s="869"/>
      <c r="X134" s="869"/>
      <c r="Y134" s="869"/>
      <c r="Z134" s="869"/>
    </row>
    <row r="135">
      <c r="A135" s="869"/>
      <c r="B135" s="869"/>
      <c r="C135" s="869"/>
      <c r="D135" s="869"/>
      <c r="E135" s="869"/>
      <c r="F135" s="869"/>
      <c r="G135" s="869"/>
      <c r="H135" s="869"/>
      <c r="I135" s="869"/>
      <c r="J135" s="869"/>
      <c r="K135" s="869"/>
      <c r="L135" s="869"/>
      <c r="M135" s="869"/>
      <c r="N135" s="869"/>
      <c r="O135" s="869"/>
      <c r="P135" s="869"/>
      <c r="Q135" s="869"/>
      <c r="R135" s="869"/>
      <c r="S135" s="869"/>
      <c r="T135" s="869"/>
      <c r="U135" s="869"/>
      <c r="V135" s="869"/>
      <c r="W135" s="869"/>
      <c r="X135" s="869"/>
      <c r="Y135" s="869"/>
      <c r="Z135" s="869"/>
    </row>
    <row r="136">
      <c r="A136" s="869"/>
      <c r="B136" s="869"/>
      <c r="C136" s="869"/>
      <c r="D136" s="869"/>
      <c r="E136" s="869"/>
      <c r="F136" s="869"/>
      <c r="G136" s="869"/>
      <c r="H136" s="869"/>
      <c r="I136" s="869"/>
      <c r="J136" s="869"/>
      <c r="K136" s="869"/>
      <c r="L136" s="869"/>
      <c r="M136" s="869"/>
      <c r="N136" s="869"/>
      <c r="O136" s="869"/>
      <c r="P136" s="869"/>
      <c r="Q136" s="869"/>
      <c r="R136" s="869"/>
      <c r="S136" s="869"/>
      <c r="T136" s="869"/>
      <c r="U136" s="869"/>
      <c r="V136" s="869"/>
      <c r="W136" s="869"/>
      <c r="X136" s="869"/>
      <c r="Y136" s="869"/>
      <c r="Z136" s="869"/>
    </row>
    <row r="137">
      <c r="A137" s="869"/>
      <c r="B137" s="869"/>
      <c r="C137" s="869"/>
      <c r="D137" s="869"/>
      <c r="E137" s="869"/>
      <c r="F137" s="869"/>
      <c r="G137" s="869"/>
      <c r="H137" s="869"/>
      <c r="I137" s="869"/>
      <c r="J137" s="869"/>
      <c r="K137" s="869"/>
      <c r="L137" s="869"/>
      <c r="M137" s="869"/>
      <c r="N137" s="869"/>
      <c r="O137" s="869"/>
      <c r="P137" s="869"/>
      <c r="Q137" s="869"/>
      <c r="R137" s="869"/>
      <c r="S137" s="869"/>
      <c r="T137" s="869"/>
      <c r="U137" s="869"/>
      <c r="V137" s="869"/>
      <c r="W137" s="869"/>
      <c r="X137" s="869"/>
      <c r="Y137" s="869"/>
      <c r="Z137" s="869"/>
    </row>
    <row r="138">
      <c r="A138" s="869"/>
      <c r="B138" s="869"/>
      <c r="C138" s="869"/>
      <c r="D138" s="869"/>
      <c r="E138" s="869"/>
      <c r="F138" s="869"/>
      <c r="G138" s="869"/>
      <c r="H138" s="869"/>
      <c r="I138" s="869"/>
      <c r="J138" s="869"/>
      <c r="K138" s="869"/>
      <c r="L138" s="869"/>
      <c r="M138" s="869"/>
      <c r="N138" s="869"/>
      <c r="O138" s="869"/>
      <c r="P138" s="869"/>
      <c r="Q138" s="869"/>
      <c r="R138" s="869"/>
      <c r="S138" s="869"/>
      <c r="T138" s="869"/>
      <c r="U138" s="869"/>
      <c r="V138" s="869"/>
      <c r="W138" s="869"/>
      <c r="X138" s="869"/>
      <c r="Y138" s="869"/>
      <c r="Z138" s="869"/>
    </row>
    <row r="139">
      <c r="A139" s="869"/>
      <c r="B139" s="869"/>
      <c r="C139" s="869"/>
      <c r="D139" s="869"/>
      <c r="E139" s="869"/>
      <c r="F139" s="869"/>
      <c r="G139" s="869"/>
      <c r="H139" s="869"/>
      <c r="I139" s="869"/>
      <c r="J139" s="869"/>
      <c r="K139" s="869"/>
      <c r="L139" s="869"/>
      <c r="M139" s="869"/>
      <c r="N139" s="869"/>
      <c r="O139" s="869"/>
      <c r="P139" s="869"/>
      <c r="Q139" s="869"/>
      <c r="R139" s="869"/>
      <c r="S139" s="869"/>
      <c r="T139" s="869"/>
      <c r="U139" s="869"/>
      <c r="V139" s="869"/>
      <c r="W139" s="869"/>
      <c r="X139" s="869"/>
      <c r="Y139" s="869"/>
      <c r="Z139" s="869"/>
    </row>
    <row r="140">
      <c r="A140" s="869"/>
      <c r="B140" s="869"/>
      <c r="C140" s="869"/>
      <c r="D140" s="869"/>
      <c r="E140" s="869"/>
      <c r="F140" s="869"/>
      <c r="G140" s="869"/>
      <c r="H140" s="869"/>
      <c r="I140" s="869"/>
      <c r="J140" s="869"/>
      <c r="K140" s="869"/>
      <c r="L140" s="869"/>
      <c r="M140" s="869"/>
      <c r="N140" s="869"/>
      <c r="O140" s="869"/>
      <c r="P140" s="869"/>
      <c r="Q140" s="869"/>
      <c r="R140" s="869"/>
      <c r="S140" s="869"/>
      <c r="T140" s="869"/>
      <c r="U140" s="869"/>
      <c r="V140" s="869"/>
      <c r="W140" s="869"/>
      <c r="X140" s="869"/>
      <c r="Y140" s="869"/>
      <c r="Z140" s="869"/>
    </row>
    <row r="141">
      <c r="A141" s="869"/>
      <c r="B141" s="869"/>
      <c r="C141" s="869"/>
      <c r="D141" s="869"/>
      <c r="E141" s="869"/>
      <c r="F141" s="869"/>
      <c r="G141" s="869"/>
      <c r="H141" s="869"/>
      <c r="I141" s="869"/>
      <c r="J141" s="869"/>
      <c r="K141" s="869"/>
      <c r="L141" s="869"/>
      <c r="M141" s="869"/>
      <c r="N141" s="869"/>
      <c r="O141" s="869"/>
      <c r="P141" s="869"/>
      <c r="Q141" s="869"/>
      <c r="R141" s="869"/>
      <c r="S141" s="869"/>
      <c r="T141" s="869"/>
      <c r="U141" s="869"/>
      <c r="V141" s="869"/>
      <c r="W141" s="869"/>
      <c r="X141" s="869"/>
      <c r="Y141" s="869"/>
      <c r="Z141" s="869"/>
    </row>
    <row r="142">
      <c r="A142" s="869"/>
      <c r="B142" s="869"/>
      <c r="C142" s="869"/>
      <c r="D142" s="869"/>
      <c r="E142" s="869"/>
      <c r="F142" s="869"/>
      <c r="G142" s="869"/>
      <c r="H142" s="869"/>
      <c r="I142" s="869"/>
      <c r="J142" s="869"/>
      <c r="K142" s="869"/>
      <c r="L142" s="869"/>
      <c r="M142" s="869"/>
      <c r="N142" s="869"/>
      <c r="O142" s="869"/>
      <c r="P142" s="869"/>
      <c r="Q142" s="869"/>
      <c r="R142" s="869"/>
      <c r="S142" s="869"/>
      <c r="T142" s="869"/>
      <c r="U142" s="869"/>
      <c r="V142" s="869"/>
      <c r="W142" s="869"/>
      <c r="X142" s="869"/>
      <c r="Y142" s="869"/>
      <c r="Z142" s="869"/>
    </row>
    <row r="143">
      <c r="A143" s="869"/>
      <c r="B143" s="869"/>
      <c r="C143" s="869"/>
      <c r="D143" s="869"/>
      <c r="E143" s="869"/>
      <c r="F143" s="869"/>
      <c r="G143" s="869"/>
      <c r="H143" s="869"/>
      <c r="I143" s="869"/>
      <c r="J143" s="869"/>
      <c r="K143" s="869"/>
      <c r="L143" s="869"/>
      <c r="M143" s="869"/>
      <c r="N143" s="869"/>
      <c r="O143" s="869"/>
      <c r="P143" s="869"/>
      <c r="Q143" s="869"/>
      <c r="R143" s="869"/>
      <c r="S143" s="869"/>
      <c r="T143" s="869"/>
      <c r="U143" s="869"/>
      <c r="V143" s="869"/>
      <c r="W143" s="869"/>
      <c r="X143" s="869"/>
      <c r="Y143" s="869"/>
      <c r="Z143" s="869"/>
    </row>
    <row r="144">
      <c r="A144" s="869"/>
      <c r="B144" s="869"/>
      <c r="C144" s="869"/>
      <c r="D144" s="869"/>
      <c r="E144" s="869"/>
      <c r="F144" s="869"/>
      <c r="G144" s="869"/>
      <c r="H144" s="869"/>
      <c r="I144" s="869"/>
      <c r="J144" s="869"/>
      <c r="K144" s="869"/>
      <c r="L144" s="869"/>
      <c r="M144" s="869"/>
      <c r="N144" s="869"/>
      <c r="O144" s="869"/>
      <c r="P144" s="869"/>
      <c r="Q144" s="869"/>
      <c r="R144" s="869"/>
      <c r="S144" s="869"/>
      <c r="T144" s="869"/>
      <c r="U144" s="869"/>
      <c r="V144" s="869"/>
      <c r="W144" s="869"/>
      <c r="X144" s="869"/>
      <c r="Y144" s="869"/>
      <c r="Z144" s="869"/>
    </row>
    <row r="145">
      <c r="A145" s="869"/>
      <c r="B145" s="869"/>
      <c r="C145" s="869"/>
      <c r="D145" s="869"/>
      <c r="E145" s="869"/>
      <c r="F145" s="869"/>
      <c r="G145" s="869"/>
      <c r="H145" s="869"/>
      <c r="I145" s="869"/>
      <c r="J145" s="869"/>
      <c r="K145" s="869"/>
      <c r="L145" s="869"/>
      <c r="M145" s="869"/>
      <c r="N145" s="869"/>
      <c r="O145" s="869"/>
      <c r="P145" s="869"/>
      <c r="Q145" s="869"/>
      <c r="R145" s="869"/>
      <c r="S145" s="869"/>
      <c r="T145" s="869"/>
      <c r="U145" s="869"/>
      <c r="V145" s="869"/>
      <c r="W145" s="869"/>
      <c r="X145" s="869"/>
      <c r="Y145" s="869"/>
      <c r="Z145" s="869"/>
    </row>
    <row r="146">
      <c r="A146" s="869"/>
      <c r="B146" s="869"/>
      <c r="C146" s="869"/>
      <c r="D146" s="869"/>
      <c r="E146" s="869"/>
      <c r="F146" s="869"/>
      <c r="G146" s="869"/>
      <c r="H146" s="869"/>
      <c r="I146" s="869"/>
      <c r="J146" s="869"/>
      <c r="K146" s="869"/>
      <c r="L146" s="869"/>
      <c r="M146" s="869"/>
      <c r="N146" s="869"/>
      <c r="O146" s="869"/>
      <c r="P146" s="869"/>
      <c r="Q146" s="869"/>
      <c r="R146" s="869"/>
      <c r="S146" s="869"/>
      <c r="T146" s="869"/>
      <c r="U146" s="869"/>
      <c r="V146" s="869"/>
      <c r="W146" s="869"/>
      <c r="X146" s="869"/>
      <c r="Y146" s="869"/>
      <c r="Z146" s="869"/>
    </row>
    <row r="147">
      <c r="A147" s="869"/>
      <c r="B147" s="869"/>
      <c r="C147" s="869"/>
      <c r="D147" s="869"/>
      <c r="E147" s="869"/>
      <c r="F147" s="869"/>
      <c r="G147" s="869"/>
      <c r="H147" s="869"/>
      <c r="I147" s="869"/>
      <c r="J147" s="869"/>
      <c r="K147" s="869"/>
      <c r="L147" s="869"/>
      <c r="M147" s="869"/>
      <c r="N147" s="869"/>
      <c r="O147" s="869"/>
      <c r="P147" s="869"/>
      <c r="Q147" s="869"/>
      <c r="R147" s="869"/>
      <c r="S147" s="869"/>
      <c r="T147" s="869"/>
      <c r="U147" s="869"/>
      <c r="V147" s="869"/>
      <c r="W147" s="869"/>
      <c r="X147" s="869"/>
      <c r="Y147" s="869"/>
      <c r="Z147" s="869"/>
    </row>
    <row r="148">
      <c r="A148" s="869"/>
      <c r="B148" s="869"/>
      <c r="C148" s="869"/>
      <c r="D148" s="869"/>
      <c r="E148" s="869"/>
      <c r="F148" s="869"/>
      <c r="G148" s="869"/>
      <c r="H148" s="869"/>
      <c r="I148" s="869"/>
      <c r="J148" s="869"/>
      <c r="K148" s="869"/>
      <c r="L148" s="869"/>
      <c r="M148" s="869"/>
      <c r="N148" s="869"/>
      <c r="O148" s="869"/>
      <c r="P148" s="869"/>
      <c r="Q148" s="869"/>
      <c r="R148" s="869"/>
      <c r="S148" s="869"/>
      <c r="T148" s="869"/>
      <c r="U148" s="869"/>
      <c r="V148" s="869"/>
      <c r="W148" s="869"/>
      <c r="X148" s="869"/>
      <c r="Y148" s="869"/>
      <c r="Z148" s="869"/>
    </row>
    <row r="149">
      <c r="A149" s="869"/>
      <c r="B149" s="869"/>
      <c r="C149" s="869"/>
      <c r="D149" s="869"/>
      <c r="E149" s="869"/>
      <c r="F149" s="869"/>
      <c r="G149" s="869"/>
      <c r="H149" s="869"/>
      <c r="I149" s="869"/>
      <c r="J149" s="869"/>
      <c r="K149" s="869"/>
      <c r="L149" s="869"/>
      <c r="M149" s="869"/>
      <c r="N149" s="869"/>
      <c r="O149" s="869"/>
      <c r="P149" s="869"/>
      <c r="Q149" s="869"/>
      <c r="R149" s="869"/>
      <c r="S149" s="869"/>
      <c r="T149" s="869"/>
      <c r="U149" s="869"/>
      <c r="V149" s="869"/>
      <c r="W149" s="869"/>
      <c r="X149" s="869"/>
      <c r="Y149" s="869"/>
      <c r="Z149" s="869"/>
    </row>
    <row r="150">
      <c r="A150" s="869"/>
      <c r="B150" s="869"/>
      <c r="C150" s="869"/>
      <c r="D150" s="869"/>
      <c r="E150" s="869"/>
      <c r="F150" s="869"/>
      <c r="G150" s="869"/>
      <c r="H150" s="869"/>
      <c r="I150" s="869"/>
      <c r="J150" s="869"/>
      <c r="K150" s="869"/>
      <c r="L150" s="869"/>
      <c r="M150" s="869"/>
      <c r="N150" s="869"/>
      <c r="O150" s="869"/>
      <c r="P150" s="869"/>
      <c r="Q150" s="869"/>
      <c r="R150" s="869"/>
      <c r="S150" s="869"/>
      <c r="T150" s="869"/>
      <c r="U150" s="869"/>
      <c r="V150" s="869"/>
      <c r="W150" s="869"/>
      <c r="X150" s="869"/>
      <c r="Y150" s="869"/>
      <c r="Z150" s="869"/>
    </row>
    <row r="151">
      <c r="A151" s="869"/>
      <c r="B151" s="869"/>
      <c r="C151" s="869"/>
      <c r="D151" s="869"/>
      <c r="E151" s="869"/>
      <c r="F151" s="869"/>
      <c r="G151" s="869"/>
      <c r="H151" s="869"/>
      <c r="I151" s="869"/>
      <c r="J151" s="869"/>
      <c r="K151" s="869"/>
      <c r="L151" s="869"/>
      <c r="M151" s="869"/>
      <c r="N151" s="869"/>
      <c r="O151" s="869"/>
      <c r="P151" s="869"/>
      <c r="Q151" s="869"/>
      <c r="R151" s="869"/>
      <c r="S151" s="869"/>
      <c r="T151" s="869"/>
      <c r="U151" s="869"/>
      <c r="V151" s="869"/>
      <c r="W151" s="869"/>
      <c r="X151" s="869"/>
      <c r="Y151" s="869"/>
      <c r="Z151" s="869"/>
    </row>
    <row r="152">
      <c r="A152" s="869"/>
      <c r="B152" s="869"/>
      <c r="C152" s="869"/>
      <c r="D152" s="869"/>
      <c r="E152" s="869"/>
      <c r="F152" s="869"/>
      <c r="G152" s="869"/>
      <c r="H152" s="869"/>
      <c r="I152" s="869"/>
      <c r="J152" s="869"/>
      <c r="K152" s="869"/>
      <c r="L152" s="869"/>
      <c r="M152" s="869"/>
      <c r="N152" s="869"/>
      <c r="O152" s="869"/>
      <c r="P152" s="869"/>
      <c r="Q152" s="869"/>
      <c r="R152" s="869"/>
      <c r="S152" s="869"/>
      <c r="T152" s="869"/>
      <c r="U152" s="869"/>
      <c r="V152" s="869"/>
      <c r="W152" s="869"/>
      <c r="X152" s="869"/>
      <c r="Y152" s="869"/>
      <c r="Z152" s="869"/>
    </row>
    <row r="153">
      <c r="A153" s="869"/>
      <c r="B153" s="869"/>
      <c r="C153" s="869"/>
      <c r="D153" s="869"/>
      <c r="E153" s="869"/>
      <c r="F153" s="869"/>
      <c r="G153" s="869"/>
      <c r="H153" s="869"/>
      <c r="I153" s="869"/>
      <c r="J153" s="869"/>
      <c r="K153" s="869"/>
      <c r="L153" s="869"/>
      <c r="M153" s="869"/>
      <c r="N153" s="869"/>
      <c r="O153" s="869"/>
      <c r="P153" s="869"/>
      <c r="Q153" s="869"/>
      <c r="R153" s="869"/>
      <c r="S153" s="869"/>
      <c r="T153" s="869"/>
      <c r="U153" s="869"/>
      <c r="V153" s="869"/>
      <c r="W153" s="869"/>
      <c r="X153" s="869"/>
      <c r="Y153" s="869"/>
      <c r="Z153" s="869"/>
    </row>
    <row r="154">
      <c r="A154" s="869"/>
      <c r="B154" s="869"/>
      <c r="C154" s="869"/>
      <c r="D154" s="869"/>
      <c r="E154" s="869"/>
      <c r="F154" s="869"/>
      <c r="G154" s="869"/>
      <c r="H154" s="869"/>
      <c r="I154" s="869"/>
      <c r="J154" s="869"/>
      <c r="K154" s="869"/>
      <c r="L154" s="869"/>
      <c r="M154" s="869"/>
      <c r="N154" s="869"/>
      <c r="O154" s="869"/>
      <c r="P154" s="869"/>
      <c r="Q154" s="869"/>
      <c r="R154" s="869"/>
      <c r="S154" s="869"/>
      <c r="T154" s="869"/>
      <c r="U154" s="869"/>
      <c r="V154" s="869"/>
      <c r="W154" s="869"/>
      <c r="X154" s="869"/>
      <c r="Y154" s="869"/>
      <c r="Z154" s="869"/>
    </row>
    <row r="155">
      <c r="A155" s="869"/>
      <c r="B155" s="869"/>
      <c r="C155" s="869"/>
      <c r="D155" s="869"/>
      <c r="E155" s="869"/>
      <c r="F155" s="869"/>
      <c r="G155" s="869"/>
      <c r="H155" s="869"/>
      <c r="I155" s="869"/>
      <c r="J155" s="869"/>
      <c r="K155" s="869"/>
      <c r="L155" s="869"/>
      <c r="M155" s="869"/>
      <c r="N155" s="869"/>
      <c r="O155" s="869"/>
      <c r="P155" s="869"/>
      <c r="Q155" s="869"/>
      <c r="R155" s="869"/>
      <c r="S155" s="869"/>
      <c r="T155" s="869"/>
      <c r="U155" s="869"/>
      <c r="V155" s="869"/>
      <c r="W155" s="869"/>
      <c r="X155" s="869"/>
      <c r="Y155" s="869"/>
      <c r="Z155" s="869"/>
    </row>
    <row r="156">
      <c r="A156" s="869"/>
      <c r="B156" s="869"/>
      <c r="C156" s="869"/>
      <c r="D156" s="869"/>
      <c r="E156" s="869"/>
      <c r="F156" s="869"/>
      <c r="G156" s="869"/>
      <c r="H156" s="869"/>
      <c r="I156" s="869"/>
      <c r="J156" s="869"/>
      <c r="K156" s="869"/>
      <c r="L156" s="869"/>
      <c r="M156" s="869"/>
      <c r="N156" s="869"/>
      <c r="O156" s="869"/>
      <c r="P156" s="869"/>
      <c r="Q156" s="869"/>
      <c r="R156" s="869"/>
      <c r="S156" s="869"/>
      <c r="T156" s="869"/>
      <c r="U156" s="869"/>
      <c r="V156" s="869"/>
      <c r="W156" s="869"/>
      <c r="X156" s="869"/>
      <c r="Y156" s="869"/>
      <c r="Z156" s="869"/>
    </row>
    <row r="157">
      <c r="A157" s="869"/>
      <c r="B157" s="869"/>
      <c r="C157" s="869"/>
      <c r="D157" s="869"/>
      <c r="E157" s="869"/>
      <c r="F157" s="869"/>
      <c r="G157" s="869"/>
      <c r="H157" s="869"/>
      <c r="I157" s="869"/>
      <c r="J157" s="869"/>
      <c r="K157" s="869"/>
      <c r="L157" s="869"/>
      <c r="M157" s="869"/>
      <c r="N157" s="869"/>
      <c r="O157" s="869"/>
      <c r="P157" s="869"/>
      <c r="Q157" s="869"/>
      <c r="R157" s="869"/>
      <c r="S157" s="869"/>
      <c r="T157" s="869"/>
      <c r="U157" s="869"/>
      <c r="V157" s="869"/>
      <c r="W157" s="869"/>
      <c r="X157" s="869"/>
      <c r="Y157" s="869"/>
      <c r="Z157" s="869"/>
    </row>
    <row r="158">
      <c r="A158" s="869"/>
      <c r="B158" s="869"/>
      <c r="C158" s="869"/>
      <c r="D158" s="869"/>
      <c r="E158" s="869"/>
      <c r="F158" s="869"/>
      <c r="G158" s="869"/>
      <c r="H158" s="869"/>
      <c r="I158" s="869"/>
      <c r="J158" s="869"/>
      <c r="K158" s="869"/>
      <c r="L158" s="869"/>
      <c r="M158" s="869"/>
      <c r="N158" s="869"/>
      <c r="O158" s="869"/>
      <c r="P158" s="869"/>
      <c r="Q158" s="869"/>
      <c r="R158" s="869"/>
      <c r="S158" s="869"/>
      <c r="T158" s="869"/>
      <c r="U158" s="869"/>
      <c r="V158" s="869"/>
      <c r="W158" s="869"/>
      <c r="X158" s="869"/>
      <c r="Y158" s="869"/>
      <c r="Z158" s="869"/>
    </row>
    <row r="159">
      <c r="A159" s="869"/>
      <c r="B159" s="869"/>
      <c r="C159" s="869"/>
      <c r="D159" s="869"/>
      <c r="E159" s="869"/>
      <c r="F159" s="869"/>
      <c r="G159" s="869"/>
      <c r="H159" s="869"/>
      <c r="I159" s="869"/>
      <c r="J159" s="869"/>
      <c r="K159" s="869"/>
      <c r="L159" s="869"/>
      <c r="M159" s="869"/>
      <c r="N159" s="869"/>
      <c r="O159" s="869"/>
      <c r="P159" s="869"/>
      <c r="Q159" s="869"/>
      <c r="R159" s="869"/>
      <c r="S159" s="869"/>
      <c r="T159" s="869"/>
      <c r="U159" s="869"/>
      <c r="V159" s="869"/>
      <c r="W159" s="869"/>
      <c r="X159" s="869"/>
      <c r="Y159" s="869"/>
      <c r="Z159" s="869"/>
    </row>
    <row r="160">
      <c r="A160" s="869"/>
      <c r="B160" s="869"/>
      <c r="C160" s="869"/>
      <c r="D160" s="869"/>
      <c r="E160" s="869"/>
      <c r="F160" s="869"/>
      <c r="G160" s="869"/>
      <c r="H160" s="869"/>
      <c r="I160" s="869"/>
      <c r="J160" s="869"/>
      <c r="K160" s="869"/>
      <c r="L160" s="869"/>
      <c r="M160" s="869"/>
      <c r="N160" s="869"/>
      <c r="O160" s="869"/>
      <c r="P160" s="869"/>
      <c r="Q160" s="869"/>
      <c r="R160" s="869"/>
      <c r="S160" s="869"/>
      <c r="T160" s="869"/>
      <c r="U160" s="869"/>
      <c r="V160" s="869"/>
      <c r="W160" s="869"/>
      <c r="X160" s="869"/>
      <c r="Y160" s="869"/>
      <c r="Z160" s="869"/>
    </row>
    <row r="161">
      <c r="A161" s="869"/>
      <c r="B161" s="869"/>
      <c r="C161" s="869"/>
      <c r="D161" s="869"/>
      <c r="E161" s="869"/>
      <c r="F161" s="869"/>
      <c r="G161" s="869"/>
      <c r="H161" s="869"/>
      <c r="I161" s="869"/>
      <c r="J161" s="869"/>
      <c r="K161" s="869"/>
      <c r="L161" s="869"/>
      <c r="M161" s="869"/>
      <c r="N161" s="869"/>
      <c r="O161" s="869"/>
      <c r="P161" s="869"/>
      <c r="Q161" s="869"/>
      <c r="R161" s="869"/>
      <c r="S161" s="869"/>
      <c r="T161" s="869"/>
      <c r="U161" s="869"/>
      <c r="V161" s="869"/>
      <c r="W161" s="869"/>
      <c r="X161" s="869"/>
      <c r="Y161" s="869"/>
      <c r="Z161" s="869"/>
    </row>
    <row r="162">
      <c r="A162" s="869"/>
      <c r="B162" s="869"/>
      <c r="C162" s="869"/>
      <c r="D162" s="869"/>
      <c r="E162" s="869"/>
      <c r="F162" s="869"/>
      <c r="G162" s="869"/>
      <c r="H162" s="869"/>
      <c r="I162" s="869"/>
      <c r="J162" s="869"/>
      <c r="K162" s="869"/>
      <c r="L162" s="869"/>
      <c r="M162" s="869"/>
      <c r="N162" s="869"/>
      <c r="O162" s="869"/>
      <c r="P162" s="869"/>
      <c r="Q162" s="869"/>
      <c r="R162" s="869"/>
      <c r="S162" s="869"/>
      <c r="T162" s="869"/>
      <c r="U162" s="869"/>
      <c r="V162" s="869"/>
      <c r="W162" s="869"/>
      <c r="X162" s="869"/>
      <c r="Y162" s="869"/>
      <c r="Z162" s="869"/>
    </row>
    <row r="163">
      <c r="A163" s="869"/>
      <c r="B163" s="869"/>
      <c r="C163" s="869"/>
      <c r="D163" s="869"/>
      <c r="E163" s="869"/>
      <c r="F163" s="869"/>
      <c r="G163" s="869"/>
      <c r="H163" s="869"/>
      <c r="I163" s="869"/>
      <c r="J163" s="869"/>
      <c r="K163" s="869"/>
      <c r="L163" s="869"/>
      <c r="M163" s="869"/>
      <c r="N163" s="869"/>
      <c r="O163" s="869"/>
      <c r="P163" s="869"/>
      <c r="Q163" s="869"/>
      <c r="R163" s="869"/>
      <c r="S163" s="869"/>
      <c r="T163" s="869"/>
      <c r="U163" s="869"/>
      <c r="V163" s="869"/>
      <c r="W163" s="869"/>
      <c r="X163" s="869"/>
      <c r="Y163" s="869"/>
      <c r="Z163" s="869"/>
    </row>
    <row r="164">
      <c r="A164" s="869"/>
      <c r="B164" s="869"/>
      <c r="C164" s="869"/>
      <c r="D164" s="869"/>
      <c r="E164" s="869"/>
      <c r="F164" s="869"/>
      <c r="G164" s="869"/>
      <c r="H164" s="869"/>
      <c r="I164" s="869"/>
      <c r="J164" s="869"/>
      <c r="K164" s="869"/>
      <c r="L164" s="869"/>
      <c r="M164" s="869"/>
      <c r="N164" s="869"/>
      <c r="O164" s="869"/>
      <c r="P164" s="869"/>
      <c r="Q164" s="869"/>
      <c r="R164" s="869"/>
      <c r="S164" s="869"/>
      <c r="T164" s="869"/>
      <c r="U164" s="869"/>
      <c r="V164" s="869"/>
      <c r="W164" s="869"/>
      <c r="X164" s="869"/>
      <c r="Y164" s="869"/>
      <c r="Z164" s="869"/>
    </row>
    <row r="165">
      <c r="A165" s="869"/>
      <c r="B165" s="869"/>
      <c r="C165" s="869"/>
      <c r="D165" s="869"/>
      <c r="E165" s="869"/>
      <c r="F165" s="869"/>
      <c r="G165" s="869"/>
      <c r="H165" s="869"/>
      <c r="I165" s="869"/>
      <c r="J165" s="869"/>
      <c r="K165" s="869"/>
      <c r="L165" s="869"/>
      <c r="M165" s="869"/>
      <c r="N165" s="869"/>
      <c r="O165" s="869"/>
      <c r="P165" s="869"/>
      <c r="Q165" s="869"/>
      <c r="R165" s="869"/>
      <c r="S165" s="869"/>
      <c r="T165" s="869"/>
      <c r="U165" s="869"/>
      <c r="V165" s="869"/>
      <c r="W165" s="869"/>
      <c r="X165" s="869"/>
      <c r="Y165" s="869"/>
      <c r="Z165" s="869"/>
    </row>
    <row r="166">
      <c r="A166" s="869"/>
      <c r="B166" s="869"/>
      <c r="C166" s="869"/>
      <c r="D166" s="869"/>
      <c r="E166" s="869"/>
      <c r="F166" s="869"/>
      <c r="G166" s="869"/>
      <c r="H166" s="869"/>
      <c r="I166" s="869"/>
      <c r="J166" s="869"/>
      <c r="K166" s="869"/>
      <c r="L166" s="869"/>
      <c r="M166" s="869"/>
      <c r="N166" s="869"/>
      <c r="O166" s="869"/>
      <c r="P166" s="869"/>
      <c r="Q166" s="869"/>
      <c r="R166" s="869"/>
      <c r="S166" s="869"/>
      <c r="T166" s="869"/>
      <c r="U166" s="869"/>
      <c r="V166" s="869"/>
      <c r="W166" s="869"/>
      <c r="X166" s="869"/>
      <c r="Y166" s="869"/>
      <c r="Z166" s="869"/>
    </row>
    <row r="167">
      <c r="A167" s="869"/>
      <c r="B167" s="869"/>
      <c r="C167" s="869"/>
      <c r="D167" s="869"/>
      <c r="E167" s="869"/>
      <c r="F167" s="869"/>
      <c r="G167" s="869"/>
      <c r="H167" s="869"/>
      <c r="I167" s="869"/>
      <c r="J167" s="869"/>
      <c r="K167" s="869"/>
      <c r="L167" s="869"/>
      <c r="M167" s="869"/>
      <c r="N167" s="869"/>
      <c r="O167" s="869"/>
      <c r="P167" s="869"/>
      <c r="Q167" s="869"/>
      <c r="R167" s="869"/>
      <c r="S167" s="869"/>
      <c r="T167" s="869"/>
      <c r="U167" s="869"/>
      <c r="V167" s="869"/>
      <c r="W167" s="869"/>
      <c r="X167" s="869"/>
      <c r="Y167" s="869"/>
      <c r="Z167" s="869"/>
    </row>
    <row r="168">
      <c r="A168" s="869"/>
      <c r="B168" s="869"/>
      <c r="C168" s="869"/>
      <c r="D168" s="869"/>
      <c r="E168" s="869"/>
      <c r="F168" s="869"/>
      <c r="G168" s="869"/>
      <c r="H168" s="869"/>
      <c r="I168" s="869"/>
      <c r="J168" s="869"/>
      <c r="K168" s="869"/>
      <c r="L168" s="869"/>
      <c r="M168" s="869"/>
      <c r="N168" s="869"/>
      <c r="O168" s="869"/>
      <c r="P168" s="869"/>
      <c r="Q168" s="869"/>
      <c r="R168" s="869"/>
      <c r="S168" s="869"/>
      <c r="T168" s="869"/>
      <c r="U168" s="869"/>
      <c r="V168" s="869"/>
      <c r="W168" s="869"/>
      <c r="X168" s="869"/>
      <c r="Y168" s="869"/>
      <c r="Z168" s="869"/>
    </row>
    <row r="169">
      <c r="A169" s="869"/>
      <c r="B169" s="869"/>
      <c r="C169" s="869"/>
      <c r="D169" s="869"/>
      <c r="E169" s="869"/>
      <c r="F169" s="869"/>
      <c r="G169" s="869"/>
      <c r="H169" s="869"/>
      <c r="I169" s="869"/>
      <c r="J169" s="869"/>
      <c r="K169" s="869"/>
      <c r="L169" s="869"/>
      <c r="M169" s="869"/>
      <c r="N169" s="869"/>
      <c r="O169" s="869"/>
      <c r="P169" s="869"/>
      <c r="Q169" s="869"/>
      <c r="R169" s="869"/>
      <c r="S169" s="869"/>
      <c r="T169" s="869"/>
      <c r="U169" s="869"/>
      <c r="V169" s="869"/>
      <c r="W169" s="869"/>
      <c r="X169" s="869"/>
      <c r="Y169" s="869"/>
      <c r="Z169" s="869"/>
    </row>
    <row r="170">
      <c r="A170" s="869"/>
      <c r="B170" s="869"/>
      <c r="C170" s="869"/>
      <c r="D170" s="869"/>
      <c r="E170" s="869"/>
      <c r="F170" s="869"/>
      <c r="G170" s="869"/>
      <c r="H170" s="869"/>
      <c r="I170" s="869"/>
      <c r="J170" s="869"/>
      <c r="K170" s="869"/>
      <c r="L170" s="869"/>
      <c r="M170" s="869"/>
      <c r="N170" s="869"/>
      <c r="O170" s="869"/>
      <c r="P170" s="869"/>
      <c r="Q170" s="869"/>
      <c r="R170" s="869"/>
      <c r="S170" s="869"/>
      <c r="T170" s="869"/>
      <c r="U170" s="869"/>
      <c r="V170" s="869"/>
      <c r="W170" s="869"/>
      <c r="X170" s="869"/>
      <c r="Y170" s="869"/>
      <c r="Z170" s="869"/>
    </row>
    <row r="171">
      <c r="A171" s="869"/>
      <c r="B171" s="869"/>
      <c r="C171" s="869"/>
      <c r="D171" s="869"/>
      <c r="E171" s="869"/>
      <c r="F171" s="869"/>
      <c r="G171" s="869"/>
      <c r="H171" s="869"/>
      <c r="I171" s="869"/>
      <c r="J171" s="869"/>
      <c r="K171" s="869"/>
      <c r="L171" s="869"/>
      <c r="M171" s="869"/>
      <c r="N171" s="869"/>
      <c r="O171" s="869"/>
      <c r="P171" s="869"/>
      <c r="Q171" s="869"/>
      <c r="R171" s="869"/>
      <c r="S171" s="869"/>
      <c r="T171" s="869"/>
      <c r="U171" s="869"/>
      <c r="V171" s="869"/>
      <c r="W171" s="869"/>
      <c r="X171" s="869"/>
      <c r="Y171" s="869"/>
      <c r="Z171" s="869"/>
    </row>
    <row r="172">
      <c r="A172" s="869"/>
      <c r="B172" s="869"/>
      <c r="C172" s="869"/>
      <c r="D172" s="869"/>
      <c r="E172" s="869"/>
      <c r="F172" s="869"/>
      <c r="G172" s="869"/>
      <c r="H172" s="869"/>
      <c r="I172" s="869"/>
      <c r="J172" s="869"/>
      <c r="K172" s="869"/>
      <c r="L172" s="869"/>
      <c r="M172" s="869"/>
      <c r="N172" s="869"/>
      <c r="O172" s="869"/>
      <c r="P172" s="869"/>
      <c r="Q172" s="869"/>
      <c r="R172" s="869"/>
      <c r="S172" s="869"/>
      <c r="T172" s="869"/>
      <c r="U172" s="869"/>
      <c r="V172" s="869"/>
      <c r="W172" s="869"/>
      <c r="X172" s="869"/>
      <c r="Y172" s="869"/>
      <c r="Z172" s="869"/>
    </row>
    <row r="173">
      <c r="A173" s="869"/>
      <c r="B173" s="869"/>
      <c r="C173" s="869"/>
      <c r="D173" s="869"/>
      <c r="E173" s="869"/>
      <c r="F173" s="869"/>
      <c r="G173" s="869"/>
      <c r="H173" s="869"/>
      <c r="I173" s="869"/>
      <c r="J173" s="869"/>
      <c r="K173" s="869"/>
      <c r="L173" s="869"/>
      <c r="M173" s="869"/>
      <c r="N173" s="869"/>
      <c r="O173" s="869"/>
      <c r="P173" s="869"/>
      <c r="Q173" s="869"/>
      <c r="R173" s="869"/>
      <c r="S173" s="869"/>
      <c r="T173" s="869"/>
      <c r="U173" s="869"/>
      <c r="V173" s="869"/>
      <c r="W173" s="869"/>
      <c r="X173" s="869"/>
      <c r="Y173" s="869"/>
      <c r="Z173" s="869"/>
    </row>
    <row r="174">
      <c r="A174" s="869"/>
      <c r="B174" s="869"/>
      <c r="C174" s="869"/>
      <c r="D174" s="869"/>
      <c r="E174" s="869"/>
      <c r="F174" s="869"/>
      <c r="G174" s="869"/>
      <c r="H174" s="869"/>
      <c r="I174" s="869"/>
      <c r="J174" s="869"/>
      <c r="K174" s="869"/>
      <c r="L174" s="869"/>
      <c r="M174" s="869"/>
      <c r="N174" s="869"/>
      <c r="O174" s="869"/>
      <c r="P174" s="869"/>
      <c r="Q174" s="869"/>
      <c r="R174" s="869"/>
      <c r="S174" s="869"/>
      <c r="T174" s="869"/>
      <c r="U174" s="869"/>
      <c r="V174" s="869"/>
      <c r="W174" s="869"/>
      <c r="X174" s="869"/>
      <c r="Y174" s="869"/>
      <c r="Z174" s="869"/>
    </row>
    <row r="175">
      <c r="A175" s="869"/>
      <c r="B175" s="869"/>
      <c r="C175" s="869"/>
      <c r="D175" s="869"/>
      <c r="E175" s="869"/>
      <c r="F175" s="869"/>
      <c r="G175" s="869"/>
      <c r="H175" s="869"/>
      <c r="I175" s="869"/>
      <c r="J175" s="869"/>
      <c r="K175" s="869"/>
      <c r="L175" s="869"/>
      <c r="M175" s="869"/>
      <c r="N175" s="869"/>
      <c r="O175" s="869"/>
      <c r="P175" s="869"/>
      <c r="Q175" s="869"/>
      <c r="R175" s="869"/>
      <c r="S175" s="869"/>
      <c r="T175" s="869"/>
      <c r="U175" s="869"/>
      <c r="V175" s="869"/>
      <c r="W175" s="869"/>
      <c r="X175" s="869"/>
      <c r="Y175" s="869"/>
      <c r="Z175" s="869"/>
    </row>
    <row r="176">
      <c r="A176" s="869"/>
      <c r="B176" s="869"/>
      <c r="C176" s="869"/>
      <c r="D176" s="869"/>
      <c r="E176" s="869"/>
      <c r="F176" s="869"/>
      <c r="G176" s="869"/>
      <c r="H176" s="869"/>
      <c r="I176" s="869"/>
      <c r="J176" s="869"/>
      <c r="K176" s="869"/>
      <c r="L176" s="869"/>
      <c r="M176" s="869"/>
      <c r="N176" s="869"/>
      <c r="O176" s="869"/>
      <c r="P176" s="869"/>
      <c r="Q176" s="869"/>
      <c r="R176" s="869"/>
      <c r="S176" s="869"/>
      <c r="T176" s="869"/>
      <c r="U176" s="869"/>
      <c r="V176" s="869"/>
      <c r="W176" s="869"/>
      <c r="X176" s="869"/>
      <c r="Y176" s="869"/>
      <c r="Z176" s="869"/>
    </row>
    <row r="177">
      <c r="A177" s="869"/>
      <c r="B177" s="869"/>
      <c r="C177" s="869"/>
      <c r="D177" s="869"/>
      <c r="E177" s="869"/>
      <c r="F177" s="869"/>
      <c r="G177" s="869"/>
      <c r="H177" s="869"/>
      <c r="I177" s="869"/>
      <c r="J177" s="869"/>
      <c r="K177" s="869"/>
      <c r="L177" s="869"/>
      <c r="M177" s="869"/>
      <c r="N177" s="869"/>
      <c r="O177" s="869"/>
      <c r="P177" s="869"/>
      <c r="Q177" s="869"/>
      <c r="R177" s="869"/>
      <c r="S177" s="869"/>
      <c r="T177" s="869"/>
      <c r="U177" s="869"/>
      <c r="V177" s="869"/>
      <c r="W177" s="869"/>
      <c r="X177" s="869"/>
      <c r="Y177" s="869"/>
      <c r="Z177" s="869"/>
    </row>
    <row r="178">
      <c r="A178" s="869"/>
      <c r="B178" s="869"/>
      <c r="C178" s="869"/>
      <c r="D178" s="869"/>
      <c r="E178" s="869"/>
      <c r="F178" s="869"/>
      <c r="G178" s="869"/>
      <c r="H178" s="869"/>
      <c r="I178" s="869"/>
      <c r="J178" s="869"/>
      <c r="K178" s="869"/>
      <c r="L178" s="869"/>
      <c r="M178" s="869"/>
      <c r="N178" s="869"/>
      <c r="O178" s="869"/>
      <c r="P178" s="869"/>
      <c r="Q178" s="869"/>
      <c r="R178" s="869"/>
      <c r="S178" s="869"/>
      <c r="T178" s="869"/>
      <c r="U178" s="869"/>
      <c r="V178" s="869"/>
      <c r="W178" s="869"/>
      <c r="X178" s="869"/>
      <c r="Y178" s="869"/>
      <c r="Z178" s="869"/>
    </row>
    <row r="179">
      <c r="A179" s="869"/>
      <c r="B179" s="869"/>
      <c r="C179" s="869"/>
      <c r="D179" s="869"/>
      <c r="E179" s="869"/>
      <c r="F179" s="869"/>
      <c r="G179" s="869"/>
      <c r="H179" s="869"/>
      <c r="I179" s="869"/>
      <c r="J179" s="869"/>
      <c r="K179" s="869"/>
      <c r="L179" s="869"/>
      <c r="M179" s="869"/>
      <c r="N179" s="869"/>
      <c r="O179" s="869"/>
      <c r="P179" s="869"/>
      <c r="Q179" s="869"/>
      <c r="R179" s="869"/>
      <c r="S179" s="869"/>
      <c r="T179" s="869"/>
      <c r="U179" s="869"/>
      <c r="V179" s="869"/>
      <c r="W179" s="869"/>
      <c r="X179" s="869"/>
      <c r="Y179" s="869"/>
      <c r="Z179" s="869"/>
    </row>
    <row r="180">
      <c r="A180" s="869"/>
      <c r="B180" s="869"/>
      <c r="C180" s="869"/>
      <c r="D180" s="869"/>
      <c r="E180" s="869"/>
      <c r="F180" s="869"/>
      <c r="G180" s="869"/>
      <c r="H180" s="869"/>
      <c r="I180" s="869"/>
      <c r="J180" s="869"/>
      <c r="K180" s="869"/>
      <c r="L180" s="869"/>
      <c r="M180" s="869"/>
      <c r="N180" s="869"/>
      <c r="O180" s="869"/>
      <c r="P180" s="869"/>
      <c r="Q180" s="869"/>
      <c r="R180" s="869"/>
      <c r="S180" s="869"/>
      <c r="T180" s="869"/>
      <c r="U180" s="869"/>
      <c r="V180" s="869"/>
      <c r="W180" s="869"/>
      <c r="X180" s="869"/>
      <c r="Y180" s="869"/>
      <c r="Z180" s="869"/>
    </row>
    <row r="181">
      <c r="A181" s="869"/>
      <c r="B181" s="869"/>
      <c r="C181" s="869"/>
      <c r="D181" s="869"/>
      <c r="E181" s="869"/>
      <c r="F181" s="869"/>
      <c r="G181" s="869"/>
      <c r="H181" s="869"/>
      <c r="I181" s="869"/>
      <c r="J181" s="869"/>
      <c r="K181" s="869"/>
      <c r="L181" s="869"/>
      <c r="M181" s="869"/>
      <c r="N181" s="869"/>
      <c r="O181" s="869"/>
      <c r="P181" s="869"/>
      <c r="Q181" s="869"/>
      <c r="R181" s="869"/>
      <c r="S181" s="869"/>
      <c r="T181" s="869"/>
      <c r="U181" s="869"/>
      <c r="V181" s="869"/>
      <c r="W181" s="869"/>
      <c r="X181" s="869"/>
      <c r="Y181" s="869"/>
      <c r="Z181" s="869"/>
    </row>
    <row r="182">
      <c r="A182" s="869"/>
      <c r="B182" s="869"/>
      <c r="C182" s="869"/>
      <c r="D182" s="869"/>
      <c r="E182" s="869"/>
      <c r="F182" s="869"/>
      <c r="G182" s="869"/>
      <c r="H182" s="869"/>
      <c r="I182" s="869"/>
      <c r="J182" s="869"/>
      <c r="K182" s="869"/>
      <c r="L182" s="869"/>
      <c r="M182" s="869"/>
      <c r="N182" s="869"/>
      <c r="O182" s="869"/>
      <c r="P182" s="869"/>
      <c r="Q182" s="869"/>
      <c r="R182" s="869"/>
      <c r="S182" s="869"/>
      <c r="T182" s="869"/>
      <c r="U182" s="869"/>
      <c r="V182" s="869"/>
      <c r="W182" s="869"/>
      <c r="X182" s="869"/>
      <c r="Y182" s="869"/>
      <c r="Z182" s="869"/>
    </row>
    <row r="183">
      <c r="A183" s="869"/>
      <c r="B183" s="869"/>
      <c r="C183" s="869"/>
      <c r="D183" s="869"/>
      <c r="E183" s="869"/>
      <c r="F183" s="869"/>
      <c r="G183" s="869"/>
      <c r="H183" s="869"/>
      <c r="I183" s="869"/>
      <c r="J183" s="869"/>
      <c r="K183" s="869"/>
      <c r="L183" s="869"/>
      <c r="M183" s="869"/>
      <c r="N183" s="869"/>
      <c r="O183" s="869"/>
      <c r="P183" s="869"/>
      <c r="Q183" s="869"/>
      <c r="R183" s="869"/>
      <c r="S183" s="869"/>
      <c r="T183" s="869"/>
      <c r="U183" s="869"/>
      <c r="V183" s="869"/>
      <c r="W183" s="869"/>
      <c r="X183" s="869"/>
      <c r="Y183" s="869"/>
      <c r="Z183" s="869"/>
    </row>
    <row r="184">
      <c r="A184" s="869"/>
      <c r="B184" s="869"/>
      <c r="C184" s="869"/>
      <c r="D184" s="869"/>
      <c r="E184" s="869"/>
      <c r="F184" s="869"/>
      <c r="G184" s="869"/>
      <c r="H184" s="869"/>
      <c r="I184" s="869"/>
      <c r="J184" s="869"/>
      <c r="K184" s="869"/>
      <c r="L184" s="869"/>
      <c r="M184" s="869"/>
      <c r="N184" s="869"/>
      <c r="O184" s="869"/>
      <c r="P184" s="869"/>
      <c r="Q184" s="869"/>
      <c r="R184" s="869"/>
      <c r="S184" s="869"/>
      <c r="T184" s="869"/>
      <c r="U184" s="869"/>
      <c r="V184" s="869"/>
      <c r="W184" s="869"/>
      <c r="X184" s="869"/>
      <c r="Y184" s="869"/>
      <c r="Z184" s="869"/>
    </row>
    <row r="185">
      <c r="A185" s="869"/>
      <c r="B185" s="869"/>
      <c r="C185" s="869"/>
      <c r="D185" s="869"/>
      <c r="E185" s="869"/>
      <c r="F185" s="869"/>
      <c r="G185" s="869"/>
      <c r="H185" s="869"/>
      <c r="I185" s="869"/>
      <c r="J185" s="869"/>
      <c r="K185" s="869"/>
      <c r="L185" s="869"/>
      <c r="M185" s="869"/>
      <c r="N185" s="869"/>
      <c r="O185" s="869"/>
      <c r="P185" s="869"/>
      <c r="Q185" s="869"/>
      <c r="R185" s="869"/>
      <c r="S185" s="869"/>
      <c r="T185" s="869"/>
      <c r="U185" s="869"/>
      <c r="V185" s="869"/>
      <c r="W185" s="869"/>
      <c r="X185" s="869"/>
      <c r="Y185" s="869"/>
      <c r="Z185" s="869"/>
    </row>
    <row r="186">
      <c r="A186" s="869"/>
      <c r="B186" s="869"/>
      <c r="C186" s="869"/>
      <c r="D186" s="869"/>
      <c r="E186" s="869"/>
      <c r="F186" s="869"/>
      <c r="G186" s="869"/>
      <c r="H186" s="869"/>
      <c r="I186" s="869"/>
      <c r="J186" s="869"/>
      <c r="K186" s="869"/>
      <c r="L186" s="869"/>
      <c r="M186" s="869"/>
      <c r="N186" s="869"/>
      <c r="O186" s="869"/>
      <c r="P186" s="869"/>
      <c r="Q186" s="869"/>
      <c r="R186" s="869"/>
      <c r="S186" s="869"/>
      <c r="T186" s="869"/>
      <c r="U186" s="869"/>
      <c r="V186" s="869"/>
      <c r="W186" s="869"/>
      <c r="X186" s="869"/>
      <c r="Y186" s="869"/>
      <c r="Z186" s="869"/>
    </row>
    <row r="187">
      <c r="A187" s="869"/>
      <c r="B187" s="869"/>
      <c r="C187" s="869"/>
      <c r="D187" s="869"/>
      <c r="E187" s="869"/>
      <c r="F187" s="869"/>
      <c r="G187" s="869"/>
      <c r="H187" s="869"/>
      <c r="I187" s="869"/>
      <c r="J187" s="869"/>
      <c r="K187" s="869"/>
      <c r="L187" s="869"/>
      <c r="M187" s="869"/>
      <c r="N187" s="869"/>
      <c r="O187" s="869"/>
      <c r="P187" s="869"/>
      <c r="Q187" s="869"/>
      <c r="R187" s="869"/>
      <c r="S187" s="869"/>
      <c r="T187" s="869"/>
      <c r="U187" s="869"/>
      <c r="V187" s="869"/>
      <c r="W187" s="869"/>
      <c r="X187" s="869"/>
      <c r="Y187" s="869"/>
      <c r="Z187" s="869"/>
    </row>
    <row r="188">
      <c r="A188" s="869"/>
      <c r="B188" s="869"/>
      <c r="C188" s="869"/>
      <c r="D188" s="869"/>
      <c r="E188" s="869"/>
      <c r="F188" s="869"/>
      <c r="G188" s="869"/>
      <c r="H188" s="869"/>
      <c r="I188" s="869"/>
      <c r="J188" s="869"/>
      <c r="K188" s="869"/>
      <c r="L188" s="869"/>
      <c r="M188" s="869"/>
      <c r="N188" s="869"/>
      <c r="O188" s="869"/>
      <c r="P188" s="869"/>
      <c r="Q188" s="869"/>
      <c r="R188" s="869"/>
      <c r="S188" s="869"/>
      <c r="T188" s="869"/>
      <c r="U188" s="869"/>
      <c r="V188" s="869"/>
      <c r="W188" s="869"/>
      <c r="X188" s="869"/>
      <c r="Y188" s="869"/>
      <c r="Z188" s="869"/>
    </row>
    <row r="189">
      <c r="A189" s="869"/>
      <c r="B189" s="869"/>
      <c r="C189" s="869"/>
      <c r="D189" s="869"/>
      <c r="E189" s="869"/>
      <c r="F189" s="869"/>
      <c r="G189" s="869"/>
      <c r="H189" s="869"/>
      <c r="I189" s="869"/>
      <c r="J189" s="869"/>
      <c r="K189" s="869"/>
      <c r="L189" s="869"/>
      <c r="M189" s="869"/>
      <c r="N189" s="869"/>
      <c r="O189" s="869"/>
      <c r="P189" s="869"/>
      <c r="Q189" s="869"/>
      <c r="R189" s="869"/>
      <c r="S189" s="869"/>
      <c r="T189" s="869"/>
      <c r="U189" s="869"/>
      <c r="V189" s="869"/>
      <c r="W189" s="869"/>
      <c r="X189" s="869"/>
      <c r="Y189" s="869"/>
      <c r="Z189" s="869"/>
    </row>
    <row r="190">
      <c r="A190" s="869"/>
      <c r="B190" s="869"/>
      <c r="C190" s="869"/>
      <c r="D190" s="869"/>
      <c r="E190" s="869"/>
      <c r="F190" s="869"/>
      <c r="G190" s="869"/>
      <c r="H190" s="869"/>
      <c r="I190" s="869"/>
      <c r="J190" s="869"/>
      <c r="K190" s="869"/>
      <c r="L190" s="869"/>
      <c r="M190" s="869"/>
      <c r="N190" s="869"/>
      <c r="O190" s="869"/>
      <c r="P190" s="869"/>
      <c r="Q190" s="869"/>
      <c r="R190" s="869"/>
      <c r="S190" s="869"/>
      <c r="T190" s="869"/>
      <c r="U190" s="869"/>
      <c r="V190" s="869"/>
      <c r="W190" s="869"/>
      <c r="X190" s="869"/>
      <c r="Y190" s="869"/>
      <c r="Z190" s="869"/>
    </row>
    <row r="191">
      <c r="A191" s="869"/>
      <c r="B191" s="869"/>
      <c r="C191" s="869"/>
      <c r="D191" s="869"/>
      <c r="E191" s="869"/>
      <c r="F191" s="869"/>
      <c r="G191" s="869"/>
      <c r="H191" s="869"/>
      <c r="I191" s="869"/>
      <c r="J191" s="869"/>
      <c r="K191" s="869"/>
      <c r="L191" s="869"/>
      <c r="M191" s="869"/>
      <c r="N191" s="869"/>
      <c r="O191" s="869"/>
      <c r="P191" s="869"/>
      <c r="Q191" s="869"/>
      <c r="R191" s="869"/>
      <c r="S191" s="869"/>
      <c r="T191" s="869"/>
      <c r="U191" s="869"/>
      <c r="V191" s="869"/>
      <c r="W191" s="869"/>
      <c r="X191" s="869"/>
      <c r="Y191" s="869"/>
      <c r="Z191" s="869"/>
    </row>
    <row r="192">
      <c r="A192" s="869"/>
      <c r="B192" s="869"/>
      <c r="C192" s="869"/>
      <c r="D192" s="869"/>
      <c r="E192" s="869"/>
      <c r="F192" s="869"/>
      <c r="G192" s="869"/>
      <c r="H192" s="869"/>
      <c r="I192" s="869"/>
      <c r="J192" s="869"/>
      <c r="K192" s="869"/>
      <c r="L192" s="869"/>
      <c r="M192" s="869"/>
      <c r="N192" s="869"/>
      <c r="O192" s="869"/>
      <c r="P192" s="869"/>
      <c r="Q192" s="869"/>
      <c r="R192" s="869"/>
      <c r="S192" s="869"/>
      <c r="T192" s="869"/>
      <c r="U192" s="869"/>
      <c r="V192" s="869"/>
      <c r="W192" s="869"/>
      <c r="X192" s="869"/>
      <c r="Y192" s="869"/>
      <c r="Z192" s="869"/>
    </row>
    <row r="193">
      <c r="A193" s="869"/>
      <c r="B193" s="869"/>
      <c r="C193" s="869"/>
      <c r="D193" s="869"/>
      <c r="E193" s="869"/>
      <c r="F193" s="869"/>
      <c r="G193" s="869"/>
      <c r="H193" s="869"/>
      <c r="I193" s="869"/>
      <c r="J193" s="869"/>
      <c r="K193" s="869"/>
      <c r="L193" s="869"/>
      <c r="M193" s="869"/>
      <c r="N193" s="869"/>
      <c r="O193" s="869"/>
      <c r="P193" s="869"/>
      <c r="Q193" s="869"/>
      <c r="R193" s="869"/>
      <c r="S193" s="869"/>
      <c r="T193" s="869"/>
      <c r="U193" s="869"/>
      <c r="V193" s="869"/>
      <c r="W193" s="869"/>
      <c r="X193" s="869"/>
      <c r="Y193" s="869"/>
      <c r="Z193" s="869"/>
    </row>
    <row r="194">
      <c r="A194" s="869"/>
      <c r="B194" s="869"/>
      <c r="C194" s="869"/>
      <c r="D194" s="869"/>
      <c r="E194" s="869"/>
      <c r="F194" s="869"/>
      <c r="G194" s="869"/>
      <c r="H194" s="869"/>
      <c r="I194" s="869"/>
      <c r="J194" s="869"/>
      <c r="K194" s="869"/>
      <c r="L194" s="869"/>
      <c r="M194" s="869"/>
      <c r="N194" s="869"/>
      <c r="O194" s="869"/>
      <c r="P194" s="869"/>
      <c r="Q194" s="869"/>
      <c r="R194" s="869"/>
      <c r="S194" s="869"/>
      <c r="T194" s="869"/>
      <c r="U194" s="869"/>
      <c r="V194" s="869"/>
      <c r="W194" s="869"/>
      <c r="X194" s="869"/>
      <c r="Y194" s="869"/>
      <c r="Z194" s="869"/>
    </row>
    <row r="195">
      <c r="A195" s="869"/>
      <c r="B195" s="869"/>
      <c r="C195" s="869"/>
      <c r="D195" s="869"/>
      <c r="E195" s="869"/>
      <c r="F195" s="869"/>
      <c r="G195" s="869"/>
      <c r="H195" s="869"/>
      <c r="I195" s="869"/>
      <c r="J195" s="869"/>
      <c r="K195" s="869"/>
      <c r="L195" s="869"/>
      <c r="M195" s="869"/>
      <c r="N195" s="869"/>
      <c r="O195" s="869"/>
      <c r="P195" s="869"/>
      <c r="Q195" s="869"/>
      <c r="R195" s="869"/>
      <c r="S195" s="869"/>
      <c r="T195" s="869"/>
      <c r="U195" s="869"/>
      <c r="V195" s="869"/>
      <c r="W195" s="869"/>
      <c r="X195" s="869"/>
      <c r="Y195" s="869"/>
      <c r="Z195" s="869"/>
    </row>
    <row r="196">
      <c r="A196" s="869"/>
      <c r="B196" s="869"/>
      <c r="C196" s="869"/>
      <c r="D196" s="869"/>
      <c r="E196" s="869"/>
      <c r="F196" s="869"/>
      <c r="G196" s="869"/>
      <c r="H196" s="869"/>
      <c r="I196" s="869"/>
      <c r="J196" s="869"/>
      <c r="K196" s="869"/>
      <c r="L196" s="869"/>
      <c r="M196" s="869"/>
      <c r="N196" s="869"/>
      <c r="O196" s="869"/>
      <c r="P196" s="869"/>
      <c r="Q196" s="869"/>
      <c r="R196" s="869"/>
      <c r="S196" s="869"/>
      <c r="T196" s="869"/>
      <c r="U196" s="869"/>
      <c r="V196" s="869"/>
      <c r="W196" s="869"/>
      <c r="X196" s="869"/>
      <c r="Y196" s="869"/>
      <c r="Z196" s="869"/>
    </row>
    <row r="197">
      <c r="A197" s="869"/>
      <c r="B197" s="869"/>
      <c r="C197" s="869"/>
      <c r="D197" s="869"/>
      <c r="E197" s="869"/>
      <c r="F197" s="869"/>
      <c r="G197" s="869"/>
      <c r="H197" s="869"/>
      <c r="I197" s="869"/>
      <c r="J197" s="869"/>
      <c r="K197" s="869"/>
      <c r="L197" s="869"/>
      <c r="M197" s="869"/>
      <c r="N197" s="869"/>
      <c r="O197" s="869"/>
      <c r="P197" s="869"/>
      <c r="Q197" s="869"/>
      <c r="R197" s="869"/>
      <c r="S197" s="869"/>
      <c r="T197" s="869"/>
      <c r="U197" s="869"/>
      <c r="V197" s="869"/>
      <c r="W197" s="869"/>
      <c r="X197" s="869"/>
      <c r="Y197" s="869"/>
      <c r="Z197" s="869"/>
    </row>
    <row r="198">
      <c r="A198" s="869"/>
      <c r="B198" s="869"/>
      <c r="C198" s="869"/>
      <c r="D198" s="869"/>
      <c r="E198" s="869"/>
      <c r="F198" s="869"/>
      <c r="G198" s="869"/>
      <c r="H198" s="869"/>
      <c r="I198" s="869"/>
      <c r="J198" s="869"/>
      <c r="K198" s="869"/>
      <c r="L198" s="869"/>
      <c r="M198" s="869"/>
      <c r="N198" s="869"/>
      <c r="O198" s="869"/>
      <c r="P198" s="869"/>
      <c r="Q198" s="869"/>
      <c r="R198" s="869"/>
      <c r="S198" s="869"/>
      <c r="T198" s="869"/>
      <c r="U198" s="869"/>
      <c r="V198" s="869"/>
      <c r="W198" s="869"/>
      <c r="X198" s="869"/>
      <c r="Y198" s="869"/>
      <c r="Z198" s="869"/>
    </row>
    <row r="199">
      <c r="A199" s="869"/>
      <c r="B199" s="869"/>
      <c r="C199" s="869"/>
      <c r="D199" s="869"/>
      <c r="E199" s="869"/>
      <c r="F199" s="869"/>
      <c r="G199" s="869"/>
      <c r="H199" s="869"/>
      <c r="I199" s="869"/>
      <c r="J199" s="869"/>
      <c r="K199" s="869"/>
      <c r="L199" s="869"/>
      <c r="M199" s="869"/>
      <c r="N199" s="869"/>
      <c r="O199" s="869"/>
      <c r="P199" s="869"/>
      <c r="Q199" s="869"/>
      <c r="R199" s="869"/>
      <c r="S199" s="869"/>
      <c r="T199" s="869"/>
      <c r="U199" s="869"/>
      <c r="V199" s="869"/>
      <c r="W199" s="869"/>
      <c r="X199" s="869"/>
      <c r="Y199" s="869"/>
      <c r="Z199" s="869"/>
    </row>
    <row r="200">
      <c r="A200" s="869"/>
      <c r="B200" s="869"/>
      <c r="C200" s="869"/>
      <c r="D200" s="869"/>
      <c r="E200" s="869"/>
      <c r="F200" s="869"/>
      <c r="G200" s="869"/>
      <c r="H200" s="869"/>
      <c r="I200" s="869"/>
      <c r="J200" s="869"/>
      <c r="K200" s="869"/>
      <c r="L200" s="869"/>
      <c r="M200" s="869"/>
      <c r="N200" s="869"/>
      <c r="O200" s="869"/>
      <c r="P200" s="869"/>
      <c r="Q200" s="869"/>
      <c r="R200" s="869"/>
      <c r="S200" s="869"/>
      <c r="T200" s="869"/>
      <c r="U200" s="869"/>
      <c r="V200" s="869"/>
      <c r="W200" s="869"/>
      <c r="X200" s="869"/>
      <c r="Y200" s="869"/>
      <c r="Z200" s="869"/>
    </row>
    <row r="201">
      <c r="A201" s="869"/>
      <c r="B201" s="869"/>
      <c r="C201" s="869"/>
      <c r="D201" s="869"/>
      <c r="E201" s="869"/>
      <c r="F201" s="869"/>
      <c r="G201" s="869"/>
      <c r="H201" s="869"/>
      <c r="I201" s="869"/>
      <c r="J201" s="869"/>
      <c r="K201" s="869"/>
      <c r="L201" s="869"/>
      <c r="M201" s="869"/>
      <c r="N201" s="869"/>
      <c r="O201" s="869"/>
      <c r="P201" s="869"/>
      <c r="Q201" s="869"/>
      <c r="R201" s="869"/>
      <c r="S201" s="869"/>
      <c r="T201" s="869"/>
      <c r="U201" s="869"/>
      <c r="V201" s="869"/>
      <c r="W201" s="869"/>
      <c r="X201" s="869"/>
      <c r="Y201" s="869"/>
      <c r="Z201" s="869"/>
    </row>
    <row r="202">
      <c r="A202" s="869"/>
      <c r="B202" s="869"/>
      <c r="C202" s="869"/>
      <c r="D202" s="869"/>
      <c r="E202" s="869"/>
      <c r="F202" s="869"/>
      <c r="G202" s="869"/>
      <c r="H202" s="869"/>
      <c r="I202" s="869"/>
      <c r="J202" s="869"/>
      <c r="K202" s="869"/>
      <c r="L202" s="869"/>
      <c r="M202" s="869"/>
      <c r="N202" s="869"/>
      <c r="O202" s="869"/>
      <c r="P202" s="869"/>
      <c r="Q202" s="869"/>
      <c r="R202" s="869"/>
      <c r="S202" s="869"/>
      <c r="T202" s="869"/>
      <c r="U202" s="869"/>
      <c r="V202" s="869"/>
      <c r="W202" s="869"/>
      <c r="X202" s="869"/>
      <c r="Y202" s="869"/>
      <c r="Z202" s="869"/>
    </row>
    <row r="203">
      <c r="A203" s="869"/>
      <c r="B203" s="869"/>
      <c r="C203" s="869"/>
      <c r="D203" s="869"/>
      <c r="E203" s="869"/>
      <c r="F203" s="869"/>
      <c r="G203" s="869"/>
      <c r="H203" s="869"/>
      <c r="I203" s="869"/>
      <c r="J203" s="869"/>
      <c r="K203" s="869"/>
      <c r="L203" s="869"/>
      <c r="M203" s="869"/>
      <c r="N203" s="869"/>
      <c r="O203" s="869"/>
      <c r="P203" s="869"/>
      <c r="Q203" s="869"/>
      <c r="R203" s="869"/>
      <c r="S203" s="869"/>
      <c r="T203" s="869"/>
      <c r="U203" s="869"/>
      <c r="V203" s="869"/>
      <c r="W203" s="869"/>
      <c r="X203" s="869"/>
      <c r="Y203" s="869"/>
      <c r="Z203" s="869"/>
    </row>
    <row r="204">
      <c r="A204" s="869"/>
      <c r="B204" s="869"/>
      <c r="C204" s="869"/>
      <c r="D204" s="869"/>
      <c r="E204" s="869"/>
      <c r="F204" s="869"/>
      <c r="G204" s="869"/>
      <c r="H204" s="869"/>
      <c r="I204" s="869"/>
      <c r="J204" s="869"/>
      <c r="K204" s="869"/>
      <c r="L204" s="869"/>
      <c r="M204" s="869"/>
      <c r="N204" s="869"/>
      <c r="O204" s="869"/>
      <c r="P204" s="869"/>
      <c r="Q204" s="869"/>
      <c r="R204" s="869"/>
      <c r="S204" s="869"/>
      <c r="T204" s="869"/>
      <c r="U204" s="869"/>
      <c r="V204" s="869"/>
      <c r="W204" s="869"/>
      <c r="X204" s="869"/>
      <c r="Y204" s="869"/>
      <c r="Z204" s="869"/>
    </row>
    <row r="205">
      <c r="A205" s="869"/>
      <c r="B205" s="869"/>
      <c r="C205" s="869"/>
      <c r="D205" s="869"/>
      <c r="E205" s="869"/>
      <c r="F205" s="869"/>
      <c r="G205" s="869"/>
      <c r="H205" s="869"/>
      <c r="I205" s="869"/>
      <c r="J205" s="869"/>
      <c r="K205" s="869"/>
      <c r="L205" s="869"/>
      <c r="M205" s="869"/>
      <c r="N205" s="869"/>
      <c r="O205" s="869"/>
      <c r="P205" s="869"/>
      <c r="Q205" s="869"/>
      <c r="R205" s="869"/>
      <c r="S205" s="869"/>
      <c r="T205" s="869"/>
      <c r="U205" s="869"/>
      <c r="V205" s="869"/>
      <c r="W205" s="869"/>
      <c r="X205" s="869"/>
      <c r="Y205" s="869"/>
      <c r="Z205" s="869"/>
    </row>
    <row r="206">
      <c r="A206" s="869"/>
      <c r="B206" s="869"/>
      <c r="C206" s="869"/>
      <c r="D206" s="869"/>
      <c r="E206" s="869"/>
      <c r="F206" s="869"/>
      <c r="G206" s="869"/>
      <c r="H206" s="869"/>
      <c r="I206" s="869"/>
      <c r="J206" s="869"/>
      <c r="K206" s="869"/>
      <c r="L206" s="869"/>
      <c r="M206" s="869"/>
      <c r="N206" s="869"/>
      <c r="O206" s="869"/>
      <c r="P206" s="869"/>
      <c r="Q206" s="869"/>
      <c r="R206" s="869"/>
      <c r="S206" s="869"/>
      <c r="T206" s="869"/>
      <c r="U206" s="869"/>
      <c r="V206" s="869"/>
      <c r="W206" s="869"/>
      <c r="X206" s="869"/>
      <c r="Y206" s="869"/>
      <c r="Z206" s="869"/>
    </row>
    <row r="207">
      <c r="A207" s="869"/>
      <c r="B207" s="869"/>
      <c r="C207" s="869"/>
      <c r="D207" s="869"/>
      <c r="E207" s="869"/>
      <c r="F207" s="869"/>
      <c r="G207" s="869"/>
      <c r="H207" s="869"/>
      <c r="I207" s="869"/>
      <c r="J207" s="869"/>
      <c r="K207" s="869"/>
      <c r="L207" s="869"/>
      <c r="M207" s="869"/>
      <c r="N207" s="869"/>
      <c r="O207" s="869"/>
      <c r="P207" s="869"/>
      <c r="Q207" s="869"/>
      <c r="R207" s="869"/>
      <c r="S207" s="869"/>
      <c r="T207" s="869"/>
      <c r="U207" s="869"/>
      <c r="V207" s="869"/>
      <c r="W207" s="869"/>
      <c r="X207" s="869"/>
      <c r="Y207" s="869"/>
      <c r="Z207" s="869"/>
    </row>
    <row r="208">
      <c r="A208" s="869"/>
      <c r="B208" s="869"/>
      <c r="C208" s="869"/>
      <c r="D208" s="869"/>
      <c r="E208" s="869"/>
      <c r="F208" s="869"/>
      <c r="G208" s="869"/>
      <c r="H208" s="869"/>
      <c r="I208" s="869"/>
      <c r="J208" s="869"/>
      <c r="K208" s="869"/>
      <c r="L208" s="869"/>
      <c r="M208" s="869"/>
      <c r="N208" s="869"/>
      <c r="O208" s="869"/>
      <c r="P208" s="869"/>
      <c r="Q208" s="869"/>
      <c r="R208" s="869"/>
      <c r="S208" s="869"/>
      <c r="T208" s="869"/>
      <c r="U208" s="869"/>
      <c r="V208" s="869"/>
      <c r="W208" s="869"/>
      <c r="X208" s="869"/>
      <c r="Y208" s="869"/>
      <c r="Z208" s="869"/>
    </row>
    <row r="209">
      <c r="A209" s="869"/>
      <c r="B209" s="869"/>
      <c r="C209" s="869"/>
      <c r="D209" s="869"/>
      <c r="E209" s="869"/>
      <c r="F209" s="869"/>
      <c r="G209" s="869"/>
      <c r="H209" s="869"/>
      <c r="I209" s="869"/>
      <c r="J209" s="869"/>
      <c r="K209" s="869"/>
      <c r="L209" s="869"/>
      <c r="M209" s="869"/>
      <c r="N209" s="869"/>
      <c r="O209" s="869"/>
      <c r="P209" s="869"/>
      <c r="Q209" s="869"/>
      <c r="R209" s="869"/>
      <c r="S209" s="869"/>
      <c r="T209" s="869"/>
      <c r="U209" s="869"/>
      <c r="V209" s="869"/>
      <c r="W209" s="869"/>
      <c r="X209" s="869"/>
      <c r="Y209" s="869"/>
      <c r="Z209" s="869"/>
    </row>
    <row r="210">
      <c r="A210" s="869"/>
      <c r="B210" s="869"/>
      <c r="C210" s="869"/>
      <c r="D210" s="869"/>
      <c r="E210" s="869"/>
      <c r="F210" s="869"/>
      <c r="G210" s="869"/>
      <c r="H210" s="869"/>
      <c r="I210" s="869"/>
      <c r="J210" s="869"/>
      <c r="K210" s="869"/>
      <c r="L210" s="869"/>
      <c r="M210" s="869"/>
      <c r="N210" s="869"/>
      <c r="O210" s="869"/>
      <c r="P210" s="869"/>
      <c r="Q210" s="869"/>
      <c r="R210" s="869"/>
      <c r="S210" s="869"/>
      <c r="T210" s="869"/>
      <c r="U210" s="869"/>
      <c r="V210" s="869"/>
      <c r="W210" s="869"/>
      <c r="X210" s="869"/>
      <c r="Y210" s="869"/>
      <c r="Z210" s="869"/>
    </row>
    <row r="211">
      <c r="A211" s="869"/>
      <c r="B211" s="869"/>
      <c r="C211" s="869"/>
      <c r="D211" s="869"/>
      <c r="E211" s="869"/>
      <c r="F211" s="869"/>
      <c r="G211" s="869"/>
      <c r="H211" s="869"/>
      <c r="I211" s="869"/>
      <c r="J211" s="869"/>
      <c r="K211" s="869"/>
      <c r="L211" s="869"/>
      <c r="M211" s="869"/>
      <c r="N211" s="869"/>
      <c r="O211" s="869"/>
      <c r="P211" s="869"/>
      <c r="Q211" s="869"/>
      <c r="R211" s="869"/>
      <c r="S211" s="869"/>
      <c r="T211" s="869"/>
      <c r="U211" s="869"/>
      <c r="V211" s="869"/>
      <c r="W211" s="869"/>
      <c r="X211" s="869"/>
      <c r="Y211" s="869"/>
      <c r="Z211" s="869"/>
    </row>
    <row r="212">
      <c r="A212" s="869"/>
      <c r="B212" s="869"/>
      <c r="C212" s="869"/>
      <c r="D212" s="869"/>
      <c r="E212" s="869"/>
      <c r="F212" s="869"/>
      <c r="G212" s="869"/>
      <c r="H212" s="869"/>
      <c r="I212" s="869"/>
      <c r="J212" s="869"/>
      <c r="K212" s="869"/>
      <c r="L212" s="869"/>
      <c r="M212" s="869"/>
      <c r="N212" s="869"/>
      <c r="O212" s="869"/>
      <c r="P212" s="869"/>
      <c r="Q212" s="869"/>
      <c r="R212" s="869"/>
      <c r="S212" s="869"/>
      <c r="T212" s="869"/>
      <c r="U212" s="869"/>
      <c r="V212" s="869"/>
      <c r="W212" s="869"/>
      <c r="X212" s="869"/>
      <c r="Y212" s="869"/>
      <c r="Z212" s="869"/>
    </row>
    <row r="213">
      <c r="A213" s="869"/>
      <c r="B213" s="869"/>
      <c r="C213" s="869"/>
      <c r="D213" s="869"/>
      <c r="E213" s="869"/>
      <c r="F213" s="869"/>
      <c r="G213" s="869"/>
      <c r="H213" s="869"/>
      <c r="I213" s="869"/>
      <c r="J213" s="869"/>
      <c r="K213" s="869"/>
      <c r="L213" s="869"/>
      <c r="M213" s="869"/>
      <c r="N213" s="869"/>
      <c r="O213" s="869"/>
      <c r="P213" s="869"/>
      <c r="Q213" s="869"/>
      <c r="R213" s="869"/>
      <c r="S213" s="869"/>
      <c r="T213" s="869"/>
      <c r="U213" s="869"/>
      <c r="V213" s="869"/>
      <c r="W213" s="869"/>
      <c r="X213" s="869"/>
      <c r="Y213" s="869"/>
      <c r="Z213" s="869"/>
    </row>
    <row r="214">
      <c r="A214" s="869"/>
      <c r="B214" s="869"/>
      <c r="C214" s="869"/>
      <c r="D214" s="869"/>
      <c r="E214" s="869"/>
      <c r="F214" s="869"/>
      <c r="G214" s="869"/>
      <c r="H214" s="869"/>
      <c r="I214" s="869"/>
      <c r="J214" s="869"/>
      <c r="K214" s="869"/>
      <c r="L214" s="869"/>
      <c r="M214" s="869"/>
      <c r="N214" s="869"/>
      <c r="O214" s="869"/>
      <c r="P214" s="869"/>
      <c r="Q214" s="869"/>
      <c r="R214" s="869"/>
      <c r="S214" s="869"/>
      <c r="T214" s="869"/>
      <c r="U214" s="869"/>
      <c r="V214" s="869"/>
      <c r="W214" s="869"/>
      <c r="X214" s="869"/>
      <c r="Y214" s="869"/>
      <c r="Z214" s="869"/>
    </row>
    <row r="215">
      <c r="A215" s="869"/>
      <c r="B215" s="869"/>
      <c r="C215" s="869"/>
      <c r="D215" s="869"/>
      <c r="E215" s="869"/>
      <c r="F215" s="869"/>
      <c r="G215" s="869"/>
      <c r="H215" s="869"/>
      <c r="I215" s="869"/>
      <c r="J215" s="869"/>
      <c r="K215" s="869"/>
      <c r="L215" s="869"/>
      <c r="M215" s="869"/>
      <c r="N215" s="869"/>
      <c r="O215" s="869"/>
      <c r="P215" s="869"/>
      <c r="Q215" s="869"/>
      <c r="R215" s="869"/>
      <c r="S215" s="869"/>
      <c r="T215" s="869"/>
      <c r="U215" s="869"/>
      <c r="V215" s="869"/>
      <c r="W215" s="869"/>
      <c r="X215" s="869"/>
      <c r="Y215" s="869"/>
      <c r="Z215" s="869"/>
    </row>
    <row r="216">
      <c r="A216" s="869"/>
      <c r="B216" s="869"/>
      <c r="C216" s="869"/>
      <c r="D216" s="869"/>
      <c r="E216" s="869"/>
      <c r="F216" s="869"/>
      <c r="G216" s="869"/>
      <c r="H216" s="869"/>
      <c r="I216" s="869"/>
      <c r="J216" s="869"/>
      <c r="K216" s="869"/>
      <c r="L216" s="869"/>
      <c r="M216" s="869"/>
      <c r="N216" s="869"/>
      <c r="O216" s="869"/>
      <c r="P216" s="869"/>
      <c r="Q216" s="869"/>
      <c r="R216" s="869"/>
      <c r="S216" s="869"/>
      <c r="T216" s="869"/>
      <c r="U216" s="869"/>
      <c r="V216" s="869"/>
      <c r="W216" s="869"/>
      <c r="X216" s="869"/>
      <c r="Y216" s="869"/>
      <c r="Z216" s="869"/>
    </row>
    <row r="217">
      <c r="A217" s="869"/>
      <c r="B217" s="869"/>
      <c r="C217" s="869"/>
      <c r="D217" s="869"/>
      <c r="E217" s="869"/>
      <c r="F217" s="869"/>
      <c r="G217" s="869"/>
      <c r="H217" s="869"/>
      <c r="I217" s="869"/>
      <c r="J217" s="869"/>
      <c r="K217" s="869"/>
      <c r="L217" s="869"/>
      <c r="M217" s="869"/>
      <c r="N217" s="869"/>
      <c r="O217" s="869"/>
      <c r="P217" s="869"/>
      <c r="Q217" s="869"/>
      <c r="R217" s="869"/>
      <c r="S217" s="869"/>
      <c r="T217" s="869"/>
      <c r="U217" s="869"/>
      <c r="V217" s="869"/>
      <c r="W217" s="869"/>
      <c r="X217" s="869"/>
      <c r="Y217" s="869"/>
      <c r="Z217" s="869"/>
    </row>
    <row r="218">
      <c r="A218" s="869"/>
      <c r="B218" s="869"/>
      <c r="C218" s="869"/>
      <c r="D218" s="869"/>
      <c r="E218" s="869"/>
      <c r="F218" s="869"/>
      <c r="G218" s="869"/>
      <c r="H218" s="869"/>
      <c r="I218" s="869"/>
      <c r="J218" s="869"/>
      <c r="K218" s="869"/>
      <c r="L218" s="869"/>
      <c r="M218" s="869"/>
      <c r="N218" s="869"/>
      <c r="O218" s="869"/>
      <c r="P218" s="869"/>
      <c r="Q218" s="869"/>
      <c r="R218" s="869"/>
      <c r="S218" s="869"/>
      <c r="T218" s="869"/>
      <c r="U218" s="869"/>
      <c r="V218" s="869"/>
      <c r="W218" s="869"/>
      <c r="X218" s="869"/>
      <c r="Y218" s="869"/>
      <c r="Z218" s="869"/>
    </row>
    <row r="219">
      <c r="A219" s="869"/>
      <c r="B219" s="869"/>
      <c r="C219" s="869"/>
      <c r="D219" s="869"/>
      <c r="E219" s="869"/>
      <c r="F219" s="869"/>
      <c r="G219" s="869"/>
      <c r="H219" s="869"/>
      <c r="I219" s="869"/>
      <c r="J219" s="869"/>
      <c r="K219" s="869"/>
      <c r="L219" s="869"/>
      <c r="M219" s="869"/>
      <c r="N219" s="869"/>
      <c r="O219" s="869"/>
      <c r="P219" s="869"/>
      <c r="Q219" s="869"/>
      <c r="R219" s="869"/>
      <c r="S219" s="869"/>
      <c r="T219" s="869"/>
      <c r="U219" s="869"/>
      <c r="V219" s="869"/>
      <c r="W219" s="869"/>
      <c r="X219" s="869"/>
      <c r="Y219" s="869"/>
      <c r="Z219" s="869"/>
    </row>
    <row r="220">
      <c r="A220" s="869"/>
      <c r="B220" s="869"/>
      <c r="C220" s="869"/>
      <c r="D220" s="869"/>
      <c r="E220" s="869"/>
      <c r="F220" s="869"/>
      <c r="G220" s="869"/>
      <c r="H220" s="869"/>
      <c r="I220" s="869"/>
      <c r="J220" s="869"/>
      <c r="K220" s="869"/>
      <c r="L220" s="869"/>
      <c r="M220" s="869"/>
      <c r="N220" s="869"/>
      <c r="O220" s="869"/>
      <c r="P220" s="869"/>
      <c r="Q220" s="869"/>
      <c r="R220" s="869"/>
      <c r="S220" s="869"/>
      <c r="T220" s="869"/>
      <c r="U220" s="869"/>
      <c r="V220" s="869"/>
      <c r="W220" s="869"/>
      <c r="X220" s="869"/>
      <c r="Y220" s="869"/>
      <c r="Z220" s="869"/>
    </row>
    <row r="221">
      <c r="A221" s="869"/>
      <c r="B221" s="869"/>
      <c r="C221" s="869"/>
      <c r="D221" s="869"/>
      <c r="E221" s="869"/>
      <c r="F221" s="869"/>
      <c r="G221" s="869"/>
      <c r="H221" s="869"/>
      <c r="I221" s="869"/>
      <c r="J221" s="869"/>
      <c r="K221" s="869"/>
      <c r="L221" s="869"/>
      <c r="M221" s="869"/>
      <c r="N221" s="869"/>
      <c r="O221" s="869"/>
      <c r="P221" s="869"/>
      <c r="Q221" s="869"/>
      <c r="R221" s="869"/>
      <c r="S221" s="869"/>
      <c r="T221" s="869"/>
      <c r="U221" s="869"/>
      <c r="V221" s="869"/>
      <c r="W221" s="869"/>
      <c r="X221" s="869"/>
      <c r="Y221" s="869"/>
      <c r="Z221" s="869"/>
    </row>
    <row r="222">
      <c r="A222" s="869"/>
      <c r="B222" s="869"/>
      <c r="C222" s="869"/>
      <c r="D222" s="869"/>
      <c r="E222" s="869"/>
      <c r="F222" s="869"/>
      <c r="G222" s="869"/>
      <c r="H222" s="869"/>
      <c r="I222" s="869"/>
      <c r="J222" s="869"/>
      <c r="K222" s="869"/>
      <c r="L222" s="869"/>
      <c r="M222" s="869"/>
      <c r="N222" s="869"/>
      <c r="O222" s="869"/>
      <c r="P222" s="869"/>
      <c r="Q222" s="869"/>
      <c r="R222" s="869"/>
      <c r="S222" s="869"/>
      <c r="T222" s="869"/>
      <c r="U222" s="869"/>
      <c r="V222" s="869"/>
      <c r="W222" s="869"/>
      <c r="X222" s="869"/>
      <c r="Y222" s="869"/>
      <c r="Z222" s="869"/>
    </row>
    <row r="223">
      <c r="A223" s="869"/>
      <c r="B223" s="869"/>
      <c r="C223" s="869"/>
      <c r="D223" s="869"/>
      <c r="E223" s="869"/>
      <c r="F223" s="869"/>
      <c r="G223" s="869"/>
      <c r="H223" s="869"/>
      <c r="I223" s="869"/>
      <c r="J223" s="869"/>
      <c r="K223" s="869"/>
      <c r="L223" s="869"/>
      <c r="M223" s="869"/>
      <c r="N223" s="869"/>
      <c r="O223" s="869"/>
      <c r="P223" s="869"/>
      <c r="Q223" s="869"/>
      <c r="R223" s="869"/>
      <c r="S223" s="869"/>
      <c r="T223" s="869"/>
      <c r="U223" s="869"/>
      <c r="V223" s="869"/>
      <c r="W223" s="869"/>
      <c r="X223" s="869"/>
      <c r="Y223" s="869"/>
      <c r="Z223" s="869"/>
    </row>
    <row r="224">
      <c r="A224" s="869"/>
      <c r="B224" s="869"/>
      <c r="C224" s="869"/>
      <c r="D224" s="869"/>
      <c r="E224" s="869"/>
      <c r="F224" s="869"/>
      <c r="G224" s="869"/>
      <c r="H224" s="869"/>
      <c r="I224" s="869"/>
      <c r="J224" s="869"/>
      <c r="K224" s="869"/>
      <c r="L224" s="869"/>
      <c r="M224" s="869"/>
      <c r="N224" s="869"/>
      <c r="O224" s="869"/>
      <c r="P224" s="869"/>
      <c r="Q224" s="869"/>
      <c r="R224" s="869"/>
      <c r="S224" s="869"/>
      <c r="T224" s="869"/>
      <c r="U224" s="869"/>
      <c r="V224" s="869"/>
      <c r="W224" s="869"/>
      <c r="X224" s="869"/>
      <c r="Y224" s="869"/>
      <c r="Z224" s="869"/>
    </row>
    <row r="225">
      <c r="A225" s="869"/>
      <c r="B225" s="869"/>
      <c r="C225" s="869"/>
      <c r="D225" s="869"/>
      <c r="E225" s="869"/>
      <c r="F225" s="869"/>
      <c r="G225" s="869"/>
      <c r="H225" s="869"/>
      <c r="I225" s="869"/>
      <c r="J225" s="869"/>
      <c r="K225" s="869"/>
      <c r="L225" s="869"/>
      <c r="M225" s="869"/>
      <c r="N225" s="869"/>
      <c r="O225" s="869"/>
      <c r="P225" s="869"/>
      <c r="Q225" s="869"/>
      <c r="R225" s="869"/>
      <c r="S225" s="869"/>
      <c r="T225" s="869"/>
      <c r="U225" s="869"/>
      <c r="V225" s="869"/>
      <c r="W225" s="869"/>
      <c r="X225" s="869"/>
      <c r="Y225" s="869"/>
      <c r="Z225" s="869"/>
    </row>
    <row r="226">
      <c r="A226" s="869"/>
      <c r="B226" s="869"/>
      <c r="C226" s="869"/>
      <c r="D226" s="869"/>
      <c r="E226" s="869"/>
      <c r="F226" s="869"/>
      <c r="G226" s="869"/>
      <c r="H226" s="869"/>
      <c r="I226" s="869"/>
      <c r="J226" s="869"/>
      <c r="K226" s="869"/>
      <c r="L226" s="869"/>
      <c r="M226" s="869"/>
      <c r="N226" s="869"/>
      <c r="O226" s="869"/>
      <c r="P226" s="869"/>
      <c r="Q226" s="869"/>
      <c r="R226" s="869"/>
      <c r="S226" s="869"/>
      <c r="T226" s="869"/>
      <c r="U226" s="869"/>
      <c r="V226" s="869"/>
      <c r="W226" s="869"/>
      <c r="X226" s="869"/>
      <c r="Y226" s="869"/>
      <c r="Z226" s="869"/>
    </row>
    <row r="227">
      <c r="A227" s="869"/>
      <c r="B227" s="869"/>
      <c r="C227" s="869"/>
      <c r="D227" s="869"/>
      <c r="E227" s="869"/>
      <c r="F227" s="869"/>
      <c r="G227" s="869"/>
      <c r="H227" s="869"/>
      <c r="I227" s="869"/>
      <c r="J227" s="869"/>
      <c r="K227" s="869"/>
      <c r="L227" s="869"/>
      <c r="M227" s="869"/>
      <c r="N227" s="869"/>
      <c r="O227" s="869"/>
      <c r="P227" s="869"/>
      <c r="Q227" s="869"/>
      <c r="R227" s="869"/>
      <c r="S227" s="869"/>
      <c r="T227" s="869"/>
      <c r="U227" s="869"/>
      <c r="V227" s="869"/>
      <c r="W227" s="869"/>
      <c r="X227" s="869"/>
      <c r="Y227" s="869"/>
      <c r="Z227" s="869"/>
    </row>
    <row r="228">
      <c r="A228" s="869"/>
      <c r="B228" s="869"/>
      <c r="C228" s="869"/>
      <c r="D228" s="869"/>
      <c r="E228" s="869"/>
      <c r="F228" s="869"/>
      <c r="G228" s="869"/>
      <c r="H228" s="869"/>
      <c r="I228" s="869"/>
      <c r="J228" s="869"/>
      <c r="K228" s="869"/>
      <c r="L228" s="869"/>
      <c r="M228" s="869"/>
      <c r="N228" s="869"/>
      <c r="O228" s="869"/>
      <c r="P228" s="869"/>
      <c r="Q228" s="869"/>
      <c r="R228" s="869"/>
      <c r="S228" s="869"/>
      <c r="T228" s="869"/>
      <c r="U228" s="869"/>
      <c r="V228" s="869"/>
      <c r="W228" s="869"/>
      <c r="X228" s="869"/>
      <c r="Y228" s="869"/>
      <c r="Z228" s="869"/>
    </row>
    <row r="229">
      <c r="A229" s="869"/>
      <c r="B229" s="869"/>
      <c r="C229" s="869"/>
      <c r="D229" s="869"/>
      <c r="E229" s="869"/>
      <c r="F229" s="869"/>
      <c r="G229" s="869"/>
      <c r="H229" s="869"/>
      <c r="I229" s="869"/>
      <c r="J229" s="869"/>
      <c r="K229" s="869"/>
      <c r="L229" s="869"/>
      <c r="M229" s="869"/>
      <c r="N229" s="869"/>
      <c r="O229" s="869"/>
      <c r="P229" s="869"/>
      <c r="Q229" s="869"/>
      <c r="R229" s="869"/>
      <c r="S229" s="869"/>
      <c r="T229" s="869"/>
      <c r="U229" s="869"/>
      <c r="V229" s="869"/>
      <c r="W229" s="869"/>
      <c r="X229" s="869"/>
      <c r="Y229" s="869"/>
      <c r="Z229" s="869"/>
    </row>
    <row r="230">
      <c r="A230" s="869"/>
      <c r="B230" s="869"/>
      <c r="C230" s="869"/>
      <c r="D230" s="869"/>
      <c r="E230" s="869"/>
      <c r="F230" s="869"/>
      <c r="G230" s="869"/>
      <c r="H230" s="869"/>
      <c r="I230" s="869"/>
      <c r="J230" s="869"/>
      <c r="K230" s="869"/>
      <c r="L230" s="869"/>
      <c r="M230" s="869"/>
      <c r="N230" s="869"/>
      <c r="O230" s="869"/>
      <c r="P230" s="869"/>
      <c r="Q230" s="869"/>
      <c r="R230" s="869"/>
      <c r="S230" s="869"/>
      <c r="T230" s="869"/>
      <c r="U230" s="869"/>
      <c r="V230" s="869"/>
      <c r="W230" s="869"/>
      <c r="X230" s="869"/>
      <c r="Y230" s="869"/>
      <c r="Z230" s="869"/>
    </row>
    <row r="231">
      <c r="A231" s="869"/>
      <c r="B231" s="869"/>
      <c r="C231" s="869"/>
      <c r="D231" s="869"/>
      <c r="E231" s="869"/>
      <c r="F231" s="869"/>
      <c r="G231" s="869"/>
      <c r="H231" s="869"/>
      <c r="I231" s="869"/>
      <c r="J231" s="869"/>
      <c r="K231" s="869"/>
      <c r="L231" s="869"/>
      <c r="M231" s="869"/>
      <c r="N231" s="869"/>
      <c r="O231" s="869"/>
      <c r="P231" s="869"/>
      <c r="Q231" s="869"/>
      <c r="R231" s="869"/>
      <c r="S231" s="869"/>
      <c r="T231" s="869"/>
      <c r="U231" s="869"/>
      <c r="V231" s="869"/>
      <c r="W231" s="869"/>
      <c r="X231" s="869"/>
      <c r="Y231" s="869"/>
      <c r="Z231" s="869"/>
    </row>
    <row r="232">
      <c r="A232" s="869"/>
      <c r="B232" s="869"/>
      <c r="C232" s="869"/>
      <c r="D232" s="869"/>
      <c r="E232" s="869"/>
      <c r="F232" s="869"/>
      <c r="G232" s="869"/>
      <c r="H232" s="869"/>
      <c r="I232" s="869"/>
      <c r="J232" s="869"/>
      <c r="K232" s="869"/>
      <c r="L232" s="869"/>
      <c r="M232" s="869"/>
      <c r="N232" s="869"/>
      <c r="O232" s="869"/>
      <c r="P232" s="869"/>
      <c r="Q232" s="869"/>
      <c r="R232" s="869"/>
      <c r="S232" s="869"/>
      <c r="T232" s="869"/>
      <c r="U232" s="869"/>
      <c r="V232" s="869"/>
      <c r="W232" s="869"/>
      <c r="X232" s="869"/>
      <c r="Y232" s="869"/>
      <c r="Z232" s="869"/>
    </row>
    <row r="233">
      <c r="A233" s="869"/>
      <c r="B233" s="869"/>
      <c r="C233" s="869"/>
      <c r="D233" s="869"/>
      <c r="E233" s="869"/>
      <c r="F233" s="869"/>
      <c r="G233" s="869"/>
      <c r="H233" s="869"/>
      <c r="I233" s="869"/>
      <c r="J233" s="869"/>
      <c r="K233" s="869"/>
      <c r="L233" s="869"/>
      <c r="M233" s="869"/>
      <c r="N233" s="869"/>
      <c r="O233" s="869"/>
      <c r="P233" s="869"/>
      <c r="Q233" s="869"/>
      <c r="R233" s="869"/>
      <c r="S233" s="869"/>
      <c r="T233" s="869"/>
      <c r="U233" s="869"/>
      <c r="V233" s="869"/>
      <c r="W233" s="869"/>
      <c r="X233" s="869"/>
      <c r="Y233" s="869"/>
      <c r="Z233" s="869"/>
    </row>
    <row r="234">
      <c r="A234" s="869"/>
      <c r="B234" s="869"/>
      <c r="C234" s="869"/>
      <c r="D234" s="869"/>
      <c r="E234" s="869"/>
      <c r="F234" s="869"/>
      <c r="G234" s="869"/>
      <c r="H234" s="869"/>
      <c r="I234" s="869"/>
      <c r="J234" s="869"/>
      <c r="K234" s="869"/>
      <c r="L234" s="869"/>
      <c r="M234" s="869"/>
      <c r="N234" s="869"/>
      <c r="O234" s="869"/>
      <c r="P234" s="869"/>
      <c r="Q234" s="869"/>
      <c r="R234" s="869"/>
      <c r="S234" s="869"/>
      <c r="T234" s="869"/>
      <c r="U234" s="869"/>
      <c r="V234" s="869"/>
      <c r="W234" s="869"/>
      <c r="X234" s="869"/>
      <c r="Y234" s="869"/>
      <c r="Z234" s="869"/>
    </row>
    <row r="235">
      <c r="A235" s="869"/>
      <c r="B235" s="869"/>
      <c r="C235" s="869"/>
      <c r="D235" s="869"/>
      <c r="E235" s="869"/>
      <c r="F235" s="869"/>
      <c r="G235" s="869"/>
      <c r="H235" s="869"/>
      <c r="I235" s="869"/>
      <c r="J235" s="869"/>
      <c r="K235" s="869"/>
      <c r="L235" s="869"/>
      <c r="M235" s="869"/>
      <c r="N235" s="869"/>
      <c r="O235" s="869"/>
      <c r="P235" s="869"/>
      <c r="Q235" s="869"/>
      <c r="R235" s="869"/>
      <c r="S235" s="869"/>
      <c r="T235" s="869"/>
      <c r="U235" s="869"/>
      <c r="V235" s="869"/>
      <c r="W235" s="869"/>
      <c r="X235" s="869"/>
      <c r="Y235" s="869"/>
      <c r="Z235" s="869"/>
    </row>
    <row r="236">
      <c r="A236" s="869"/>
      <c r="B236" s="869"/>
      <c r="C236" s="869"/>
      <c r="D236" s="869"/>
      <c r="E236" s="869"/>
      <c r="F236" s="869"/>
      <c r="G236" s="869"/>
      <c r="H236" s="869"/>
      <c r="I236" s="869"/>
      <c r="J236" s="869"/>
      <c r="K236" s="869"/>
      <c r="L236" s="869"/>
      <c r="M236" s="869"/>
      <c r="N236" s="869"/>
      <c r="O236" s="869"/>
      <c r="P236" s="869"/>
      <c r="Q236" s="869"/>
      <c r="R236" s="869"/>
      <c r="S236" s="869"/>
      <c r="T236" s="869"/>
      <c r="U236" s="869"/>
      <c r="V236" s="869"/>
      <c r="W236" s="869"/>
      <c r="X236" s="869"/>
      <c r="Y236" s="869"/>
      <c r="Z236" s="869"/>
    </row>
    <row r="237">
      <c r="A237" s="869"/>
      <c r="B237" s="869"/>
      <c r="C237" s="869"/>
      <c r="D237" s="869"/>
      <c r="E237" s="869"/>
      <c r="F237" s="869"/>
      <c r="G237" s="869"/>
      <c r="H237" s="869"/>
      <c r="I237" s="869"/>
      <c r="J237" s="869"/>
      <c r="K237" s="869"/>
      <c r="L237" s="869"/>
      <c r="M237" s="869"/>
      <c r="N237" s="869"/>
      <c r="O237" s="869"/>
      <c r="P237" s="869"/>
      <c r="Q237" s="869"/>
      <c r="R237" s="869"/>
      <c r="S237" s="869"/>
      <c r="T237" s="869"/>
      <c r="U237" s="869"/>
      <c r="V237" s="869"/>
      <c r="W237" s="869"/>
      <c r="X237" s="869"/>
      <c r="Y237" s="869"/>
      <c r="Z237" s="869"/>
    </row>
    <row r="238">
      <c r="A238" s="869"/>
      <c r="B238" s="869"/>
      <c r="C238" s="869"/>
      <c r="D238" s="869"/>
      <c r="E238" s="869"/>
      <c r="F238" s="869"/>
      <c r="G238" s="869"/>
      <c r="H238" s="869"/>
      <c r="I238" s="869"/>
      <c r="J238" s="869"/>
      <c r="K238" s="869"/>
      <c r="L238" s="869"/>
      <c r="M238" s="869"/>
      <c r="N238" s="869"/>
      <c r="O238" s="869"/>
      <c r="P238" s="869"/>
      <c r="Q238" s="869"/>
      <c r="R238" s="869"/>
      <c r="S238" s="869"/>
      <c r="T238" s="869"/>
      <c r="U238" s="869"/>
      <c r="V238" s="869"/>
      <c r="W238" s="869"/>
      <c r="X238" s="869"/>
      <c r="Y238" s="869"/>
      <c r="Z238" s="869"/>
    </row>
    <row r="239">
      <c r="A239" s="869"/>
      <c r="B239" s="869"/>
      <c r="C239" s="869"/>
      <c r="D239" s="869"/>
      <c r="E239" s="869"/>
      <c r="F239" s="869"/>
      <c r="G239" s="869"/>
      <c r="H239" s="869"/>
      <c r="I239" s="869"/>
      <c r="J239" s="869"/>
      <c r="K239" s="869"/>
      <c r="L239" s="869"/>
      <c r="M239" s="869"/>
      <c r="N239" s="869"/>
      <c r="O239" s="869"/>
      <c r="P239" s="869"/>
      <c r="Q239" s="869"/>
      <c r="R239" s="869"/>
      <c r="S239" s="869"/>
      <c r="T239" s="869"/>
      <c r="U239" s="869"/>
      <c r="V239" s="869"/>
      <c r="W239" s="869"/>
      <c r="X239" s="869"/>
      <c r="Y239" s="869"/>
      <c r="Z239" s="869"/>
    </row>
    <row r="240">
      <c r="A240" s="869"/>
      <c r="B240" s="869"/>
      <c r="C240" s="869"/>
      <c r="D240" s="869"/>
      <c r="E240" s="869"/>
      <c r="F240" s="869"/>
      <c r="G240" s="869"/>
      <c r="H240" s="869"/>
      <c r="I240" s="869"/>
      <c r="J240" s="869"/>
      <c r="K240" s="869"/>
      <c r="L240" s="869"/>
      <c r="M240" s="869"/>
      <c r="N240" s="869"/>
      <c r="O240" s="869"/>
      <c r="P240" s="869"/>
      <c r="Q240" s="869"/>
      <c r="R240" s="869"/>
      <c r="S240" s="869"/>
      <c r="T240" s="869"/>
      <c r="U240" s="869"/>
      <c r="V240" s="869"/>
      <c r="W240" s="869"/>
      <c r="X240" s="869"/>
      <c r="Y240" s="869"/>
      <c r="Z240" s="869"/>
    </row>
    <row r="241">
      <c r="A241" s="869"/>
      <c r="B241" s="869"/>
      <c r="C241" s="869"/>
      <c r="D241" s="869"/>
      <c r="E241" s="869"/>
      <c r="F241" s="869"/>
      <c r="G241" s="869"/>
      <c r="H241" s="869"/>
      <c r="I241" s="869"/>
      <c r="J241" s="869"/>
      <c r="K241" s="869"/>
      <c r="L241" s="869"/>
      <c r="M241" s="869"/>
      <c r="N241" s="869"/>
      <c r="O241" s="869"/>
      <c r="P241" s="869"/>
      <c r="Q241" s="869"/>
      <c r="R241" s="869"/>
      <c r="S241" s="869"/>
      <c r="T241" s="869"/>
      <c r="U241" s="869"/>
      <c r="V241" s="869"/>
      <c r="W241" s="869"/>
      <c r="X241" s="869"/>
      <c r="Y241" s="869"/>
      <c r="Z241" s="869"/>
    </row>
    <row r="242">
      <c r="A242" s="869"/>
      <c r="B242" s="869"/>
      <c r="C242" s="869"/>
      <c r="D242" s="869"/>
      <c r="E242" s="869"/>
      <c r="F242" s="869"/>
      <c r="G242" s="869"/>
      <c r="H242" s="869"/>
      <c r="I242" s="869"/>
      <c r="J242" s="869"/>
      <c r="K242" s="869"/>
      <c r="L242" s="869"/>
      <c r="M242" s="869"/>
      <c r="N242" s="869"/>
      <c r="O242" s="869"/>
      <c r="P242" s="869"/>
      <c r="Q242" s="869"/>
      <c r="R242" s="869"/>
      <c r="S242" s="869"/>
      <c r="T242" s="869"/>
      <c r="U242" s="869"/>
      <c r="V242" s="869"/>
      <c r="W242" s="869"/>
      <c r="X242" s="869"/>
      <c r="Y242" s="869"/>
      <c r="Z242" s="869"/>
    </row>
    <row r="243">
      <c r="A243" s="869"/>
      <c r="B243" s="869"/>
      <c r="C243" s="869"/>
      <c r="D243" s="869"/>
      <c r="E243" s="869"/>
      <c r="F243" s="869"/>
      <c r="G243" s="869"/>
      <c r="H243" s="869"/>
      <c r="I243" s="869"/>
      <c r="J243" s="869"/>
      <c r="K243" s="869"/>
      <c r="L243" s="869"/>
      <c r="M243" s="869"/>
      <c r="N243" s="869"/>
      <c r="O243" s="869"/>
      <c r="P243" s="869"/>
      <c r="Q243" s="869"/>
      <c r="R243" s="869"/>
      <c r="S243" s="869"/>
      <c r="T243" s="869"/>
      <c r="U243" s="869"/>
      <c r="V243" s="869"/>
      <c r="W243" s="869"/>
      <c r="X243" s="869"/>
      <c r="Y243" s="869"/>
      <c r="Z243" s="869"/>
    </row>
    <row r="244">
      <c r="A244" s="869"/>
      <c r="B244" s="869"/>
      <c r="C244" s="869"/>
      <c r="D244" s="869"/>
      <c r="E244" s="869"/>
      <c r="F244" s="869"/>
      <c r="G244" s="869"/>
      <c r="H244" s="869"/>
      <c r="I244" s="869"/>
      <c r="J244" s="869"/>
      <c r="K244" s="869"/>
      <c r="L244" s="869"/>
      <c r="M244" s="869"/>
      <c r="N244" s="869"/>
      <c r="O244" s="869"/>
      <c r="P244" s="869"/>
      <c r="Q244" s="869"/>
      <c r="R244" s="869"/>
      <c r="S244" s="869"/>
      <c r="T244" s="869"/>
      <c r="U244" s="869"/>
      <c r="V244" s="869"/>
      <c r="W244" s="869"/>
      <c r="X244" s="869"/>
      <c r="Y244" s="869"/>
      <c r="Z244" s="869"/>
    </row>
    <row r="245">
      <c r="A245" s="869"/>
      <c r="B245" s="869"/>
      <c r="C245" s="869"/>
      <c r="D245" s="869"/>
      <c r="E245" s="869"/>
      <c r="F245" s="869"/>
      <c r="G245" s="869"/>
      <c r="H245" s="869"/>
      <c r="I245" s="869"/>
      <c r="J245" s="869"/>
      <c r="K245" s="869"/>
      <c r="L245" s="869"/>
      <c r="M245" s="869"/>
      <c r="N245" s="869"/>
      <c r="O245" s="869"/>
      <c r="P245" s="869"/>
      <c r="Q245" s="869"/>
      <c r="R245" s="869"/>
      <c r="S245" s="869"/>
      <c r="T245" s="869"/>
      <c r="U245" s="869"/>
      <c r="V245" s="869"/>
      <c r="W245" s="869"/>
      <c r="X245" s="869"/>
      <c r="Y245" s="869"/>
      <c r="Z245" s="869"/>
    </row>
    <row r="246">
      <c r="A246" s="869"/>
      <c r="B246" s="869"/>
      <c r="C246" s="869"/>
      <c r="D246" s="869"/>
      <c r="E246" s="869"/>
      <c r="F246" s="869"/>
      <c r="G246" s="869"/>
      <c r="H246" s="869"/>
      <c r="I246" s="869"/>
      <c r="J246" s="869"/>
      <c r="K246" s="869"/>
      <c r="L246" s="869"/>
      <c r="M246" s="869"/>
      <c r="N246" s="869"/>
      <c r="O246" s="869"/>
      <c r="P246" s="869"/>
      <c r="Q246" s="869"/>
      <c r="R246" s="869"/>
      <c r="S246" s="869"/>
      <c r="T246" s="869"/>
      <c r="U246" s="869"/>
      <c r="V246" s="869"/>
      <c r="W246" s="869"/>
      <c r="X246" s="869"/>
      <c r="Y246" s="869"/>
      <c r="Z246" s="869"/>
    </row>
    <row r="247">
      <c r="A247" s="869"/>
      <c r="B247" s="869"/>
      <c r="C247" s="869"/>
      <c r="D247" s="869"/>
      <c r="E247" s="869"/>
      <c r="F247" s="869"/>
      <c r="G247" s="869"/>
      <c r="H247" s="869"/>
      <c r="I247" s="869"/>
      <c r="J247" s="869"/>
      <c r="K247" s="869"/>
      <c r="L247" s="869"/>
      <c r="M247" s="869"/>
      <c r="N247" s="869"/>
      <c r="O247" s="869"/>
      <c r="P247" s="869"/>
      <c r="Q247" s="869"/>
      <c r="R247" s="869"/>
      <c r="S247" s="869"/>
      <c r="T247" s="869"/>
      <c r="U247" s="869"/>
      <c r="V247" s="869"/>
      <c r="W247" s="869"/>
      <c r="X247" s="869"/>
      <c r="Y247" s="869"/>
      <c r="Z247" s="869"/>
    </row>
    <row r="248">
      <c r="A248" s="869"/>
      <c r="B248" s="869"/>
      <c r="C248" s="869"/>
      <c r="D248" s="869"/>
      <c r="E248" s="869"/>
      <c r="F248" s="869"/>
      <c r="G248" s="869"/>
      <c r="H248" s="869"/>
      <c r="I248" s="869"/>
      <c r="J248" s="869"/>
      <c r="K248" s="869"/>
      <c r="L248" s="869"/>
      <c r="M248" s="869"/>
      <c r="N248" s="869"/>
      <c r="O248" s="869"/>
      <c r="P248" s="869"/>
      <c r="Q248" s="869"/>
      <c r="R248" s="869"/>
      <c r="S248" s="869"/>
      <c r="T248" s="869"/>
      <c r="U248" s="869"/>
      <c r="V248" s="869"/>
      <c r="W248" s="869"/>
      <c r="X248" s="869"/>
      <c r="Y248" s="869"/>
      <c r="Z248" s="869"/>
    </row>
    <row r="249">
      <c r="A249" s="869"/>
      <c r="B249" s="869"/>
      <c r="C249" s="869"/>
      <c r="D249" s="869"/>
      <c r="E249" s="869"/>
      <c r="F249" s="869"/>
      <c r="G249" s="869"/>
      <c r="H249" s="869"/>
      <c r="I249" s="869"/>
      <c r="J249" s="869"/>
      <c r="K249" s="869"/>
      <c r="L249" s="869"/>
      <c r="M249" s="869"/>
      <c r="N249" s="869"/>
      <c r="O249" s="869"/>
      <c r="P249" s="869"/>
      <c r="Q249" s="869"/>
      <c r="R249" s="869"/>
      <c r="S249" s="869"/>
      <c r="T249" s="869"/>
      <c r="U249" s="869"/>
      <c r="V249" s="869"/>
      <c r="W249" s="869"/>
      <c r="X249" s="869"/>
      <c r="Y249" s="869"/>
      <c r="Z249" s="869"/>
    </row>
    <row r="250">
      <c r="A250" s="869"/>
      <c r="B250" s="869"/>
      <c r="C250" s="869"/>
      <c r="D250" s="869"/>
      <c r="E250" s="869"/>
      <c r="F250" s="869"/>
      <c r="G250" s="869"/>
      <c r="H250" s="869"/>
      <c r="I250" s="869"/>
      <c r="J250" s="869"/>
      <c r="K250" s="869"/>
      <c r="L250" s="869"/>
      <c r="M250" s="869"/>
      <c r="N250" s="869"/>
      <c r="O250" s="869"/>
      <c r="P250" s="869"/>
      <c r="Q250" s="869"/>
      <c r="R250" s="869"/>
      <c r="S250" s="869"/>
      <c r="T250" s="869"/>
      <c r="U250" s="869"/>
      <c r="V250" s="869"/>
      <c r="W250" s="869"/>
      <c r="X250" s="869"/>
      <c r="Y250" s="869"/>
      <c r="Z250" s="869"/>
    </row>
    <row r="251">
      <c r="A251" s="869"/>
      <c r="B251" s="869"/>
      <c r="C251" s="869"/>
      <c r="D251" s="869"/>
      <c r="E251" s="869"/>
      <c r="F251" s="869"/>
      <c r="G251" s="869"/>
      <c r="H251" s="869"/>
      <c r="I251" s="869"/>
      <c r="J251" s="869"/>
      <c r="K251" s="869"/>
      <c r="L251" s="869"/>
      <c r="M251" s="869"/>
      <c r="N251" s="869"/>
      <c r="O251" s="869"/>
      <c r="P251" s="869"/>
      <c r="Q251" s="869"/>
      <c r="R251" s="869"/>
      <c r="S251" s="869"/>
      <c r="T251" s="869"/>
      <c r="U251" s="869"/>
      <c r="V251" s="869"/>
      <c r="W251" s="869"/>
      <c r="X251" s="869"/>
      <c r="Y251" s="869"/>
      <c r="Z251" s="869"/>
    </row>
    <row r="252">
      <c r="A252" s="869"/>
      <c r="B252" s="869"/>
      <c r="C252" s="869"/>
      <c r="D252" s="869"/>
      <c r="E252" s="869"/>
      <c r="F252" s="869"/>
      <c r="G252" s="869"/>
      <c r="H252" s="869"/>
      <c r="I252" s="869"/>
      <c r="J252" s="869"/>
      <c r="K252" s="869"/>
      <c r="L252" s="869"/>
      <c r="M252" s="869"/>
      <c r="N252" s="869"/>
      <c r="O252" s="869"/>
      <c r="P252" s="869"/>
      <c r="Q252" s="869"/>
      <c r="R252" s="869"/>
      <c r="S252" s="869"/>
      <c r="T252" s="869"/>
      <c r="U252" s="869"/>
      <c r="V252" s="869"/>
      <c r="W252" s="869"/>
      <c r="X252" s="869"/>
      <c r="Y252" s="869"/>
      <c r="Z252" s="869"/>
    </row>
    <row r="253">
      <c r="A253" s="869"/>
      <c r="B253" s="869"/>
      <c r="C253" s="869"/>
      <c r="D253" s="869"/>
      <c r="E253" s="869"/>
      <c r="F253" s="869"/>
      <c r="G253" s="869"/>
      <c r="H253" s="869"/>
      <c r="I253" s="869"/>
      <c r="J253" s="869"/>
      <c r="K253" s="869"/>
      <c r="L253" s="869"/>
      <c r="M253" s="869"/>
      <c r="N253" s="869"/>
      <c r="O253" s="869"/>
      <c r="P253" s="869"/>
      <c r="Q253" s="869"/>
      <c r="R253" s="869"/>
      <c r="S253" s="869"/>
      <c r="T253" s="869"/>
      <c r="U253" s="869"/>
      <c r="V253" s="869"/>
      <c r="W253" s="869"/>
      <c r="X253" s="869"/>
      <c r="Y253" s="869"/>
      <c r="Z253" s="869"/>
    </row>
    <row r="254">
      <c r="A254" s="869"/>
      <c r="B254" s="869"/>
      <c r="C254" s="869"/>
      <c r="D254" s="869"/>
      <c r="E254" s="869"/>
      <c r="F254" s="869"/>
      <c r="G254" s="869"/>
      <c r="H254" s="869"/>
      <c r="I254" s="869"/>
      <c r="J254" s="869"/>
      <c r="K254" s="869"/>
      <c r="L254" s="869"/>
      <c r="M254" s="869"/>
      <c r="N254" s="869"/>
      <c r="O254" s="869"/>
      <c r="P254" s="869"/>
      <c r="Q254" s="869"/>
      <c r="R254" s="869"/>
      <c r="S254" s="869"/>
      <c r="T254" s="869"/>
      <c r="U254" s="869"/>
      <c r="V254" s="869"/>
      <c r="W254" s="869"/>
      <c r="X254" s="869"/>
      <c r="Y254" s="869"/>
      <c r="Z254" s="869"/>
    </row>
    <row r="255">
      <c r="A255" s="869"/>
      <c r="B255" s="869"/>
      <c r="C255" s="869"/>
      <c r="D255" s="869"/>
      <c r="E255" s="869"/>
      <c r="F255" s="869"/>
      <c r="G255" s="869"/>
      <c r="H255" s="869"/>
      <c r="I255" s="869"/>
      <c r="J255" s="869"/>
      <c r="K255" s="869"/>
      <c r="L255" s="869"/>
      <c r="M255" s="869"/>
      <c r="N255" s="869"/>
      <c r="O255" s="869"/>
      <c r="P255" s="869"/>
      <c r="Q255" s="869"/>
      <c r="R255" s="869"/>
      <c r="S255" s="869"/>
      <c r="T255" s="869"/>
      <c r="U255" s="869"/>
      <c r="V255" s="869"/>
      <c r="W255" s="869"/>
      <c r="X255" s="869"/>
      <c r="Y255" s="869"/>
      <c r="Z255" s="869"/>
    </row>
    <row r="256">
      <c r="A256" s="869"/>
      <c r="B256" s="869"/>
      <c r="C256" s="869"/>
      <c r="D256" s="869"/>
      <c r="E256" s="869"/>
      <c r="F256" s="869"/>
      <c r="G256" s="869"/>
      <c r="H256" s="869"/>
      <c r="I256" s="869"/>
      <c r="J256" s="869"/>
      <c r="K256" s="869"/>
      <c r="L256" s="869"/>
      <c r="M256" s="869"/>
      <c r="N256" s="869"/>
      <c r="O256" s="869"/>
      <c r="P256" s="869"/>
      <c r="Q256" s="869"/>
      <c r="R256" s="869"/>
      <c r="S256" s="869"/>
      <c r="T256" s="869"/>
      <c r="U256" s="869"/>
      <c r="V256" s="869"/>
      <c r="W256" s="869"/>
      <c r="X256" s="869"/>
      <c r="Y256" s="869"/>
      <c r="Z256" s="869"/>
    </row>
    <row r="257">
      <c r="A257" s="869"/>
      <c r="B257" s="869"/>
      <c r="C257" s="869"/>
      <c r="D257" s="869"/>
      <c r="E257" s="869"/>
      <c r="F257" s="869"/>
      <c r="G257" s="869"/>
      <c r="H257" s="869"/>
      <c r="I257" s="869"/>
      <c r="J257" s="869"/>
      <c r="K257" s="869"/>
      <c r="L257" s="869"/>
      <c r="M257" s="869"/>
      <c r="N257" s="869"/>
      <c r="O257" s="869"/>
      <c r="P257" s="869"/>
      <c r="Q257" s="869"/>
      <c r="R257" s="869"/>
      <c r="S257" s="869"/>
      <c r="T257" s="869"/>
      <c r="U257" s="869"/>
      <c r="V257" s="869"/>
      <c r="W257" s="869"/>
      <c r="X257" s="869"/>
      <c r="Y257" s="869"/>
      <c r="Z257" s="869"/>
    </row>
    <row r="258">
      <c r="A258" s="869"/>
      <c r="B258" s="869"/>
      <c r="C258" s="869"/>
      <c r="D258" s="869"/>
      <c r="E258" s="869"/>
      <c r="F258" s="869"/>
      <c r="G258" s="869"/>
      <c r="H258" s="869"/>
      <c r="I258" s="869"/>
      <c r="J258" s="869"/>
      <c r="K258" s="869"/>
      <c r="L258" s="869"/>
      <c r="M258" s="869"/>
      <c r="N258" s="869"/>
      <c r="O258" s="869"/>
      <c r="P258" s="869"/>
      <c r="Q258" s="869"/>
      <c r="R258" s="869"/>
      <c r="S258" s="869"/>
      <c r="T258" s="869"/>
      <c r="U258" s="869"/>
      <c r="V258" s="869"/>
      <c r="W258" s="869"/>
      <c r="X258" s="869"/>
      <c r="Y258" s="869"/>
      <c r="Z258" s="869"/>
    </row>
    <row r="259">
      <c r="A259" s="869"/>
      <c r="B259" s="869"/>
      <c r="C259" s="869"/>
      <c r="D259" s="869"/>
      <c r="E259" s="869"/>
      <c r="F259" s="869"/>
      <c r="G259" s="869"/>
      <c r="H259" s="869"/>
      <c r="I259" s="869"/>
      <c r="J259" s="869"/>
      <c r="K259" s="869"/>
      <c r="L259" s="869"/>
      <c r="M259" s="869"/>
      <c r="N259" s="869"/>
      <c r="O259" s="869"/>
      <c r="P259" s="869"/>
      <c r="Q259" s="869"/>
      <c r="R259" s="869"/>
      <c r="S259" s="869"/>
      <c r="T259" s="869"/>
      <c r="U259" s="869"/>
      <c r="V259" s="869"/>
      <c r="W259" s="869"/>
      <c r="X259" s="869"/>
      <c r="Y259" s="869"/>
      <c r="Z259" s="869"/>
    </row>
    <row r="260">
      <c r="A260" s="869"/>
      <c r="B260" s="869"/>
      <c r="C260" s="869"/>
      <c r="D260" s="869"/>
      <c r="E260" s="869"/>
      <c r="F260" s="869"/>
      <c r="G260" s="869"/>
      <c r="H260" s="869"/>
      <c r="I260" s="869"/>
      <c r="J260" s="869"/>
      <c r="K260" s="869"/>
      <c r="L260" s="869"/>
      <c r="M260" s="869"/>
      <c r="N260" s="869"/>
      <c r="O260" s="869"/>
      <c r="P260" s="869"/>
      <c r="Q260" s="869"/>
      <c r="R260" s="869"/>
      <c r="S260" s="869"/>
      <c r="T260" s="869"/>
      <c r="U260" s="869"/>
      <c r="V260" s="869"/>
      <c r="W260" s="869"/>
      <c r="X260" s="869"/>
      <c r="Y260" s="869"/>
      <c r="Z260" s="869"/>
    </row>
    <row r="261">
      <c r="A261" s="869"/>
      <c r="B261" s="869"/>
      <c r="C261" s="869"/>
      <c r="D261" s="869"/>
      <c r="E261" s="869"/>
      <c r="F261" s="869"/>
      <c r="G261" s="869"/>
      <c r="H261" s="869"/>
      <c r="I261" s="869"/>
      <c r="J261" s="869"/>
      <c r="K261" s="869"/>
      <c r="L261" s="869"/>
      <c r="M261" s="869"/>
      <c r="N261" s="869"/>
      <c r="O261" s="869"/>
      <c r="P261" s="869"/>
      <c r="Q261" s="869"/>
      <c r="R261" s="869"/>
      <c r="S261" s="869"/>
      <c r="T261" s="869"/>
      <c r="U261" s="869"/>
      <c r="V261" s="869"/>
      <c r="W261" s="869"/>
      <c r="X261" s="869"/>
      <c r="Y261" s="869"/>
      <c r="Z261" s="869"/>
    </row>
    <row r="262">
      <c r="A262" s="869"/>
      <c r="B262" s="869"/>
      <c r="C262" s="869"/>
      <c r="D262" s="869"/>
      <c r="E262" s="869"/>
      <c r="F262" s="869"/>
      <c r="G262" s="869"/>
      <c r="H262" s="869"/>
      <c r="I262" s="869"/>
      <c r="J262" s="869"/>
      <c r="K262" s="869"/>
      <c r="L262" s="869"/>
      <c r="M262" s="869"/>
      <c r="N262" s="869"/>
      <c r="O262" s="869"/>
      <c r="P262" s="869"/>
      <c r="Q262" s="869"/>
      <c r="R262" s="869"/>
      <c r="S262" s="869"/>
      <c r="T262" s="869"/>
      <c r="U262" s="869"/>
      <c r="V262" s="869"/>
      <c r="W262" s="869"/>
      <c r="X262" s="869"/>
      <c r="Y262" s="869"/>
      <c r="Z262" s="869"/>
    </row>
    <row r="263">
      <c r="A263" s="869"/>
      <c r="B263" s="869"/>
      <c r="C263" s="869"/>
      <c r="D263" s="869"/>
      <c r="E263" s="869"/>
      <c r="F263" s="869"/>
      <c r="G263" s="869"/>
      <c r="H263" s="869"/>
      <c r="I263" s="869"/>
      <c r="J263" s="869"/>
      <c r="K263" s="869"/>
      <c r="L263" s="869"/>
      <c r="M263" s="869"/>
      <c r="N263" s="869"/>
      <c r="O263" s="869"/>
      <c r="P263" s="869"/>
      <c r="Q263" s="869"/>
      <c r="R263" s="869"/>
      <c r="S263" s="869"/>
      <c r="T263" s="869"/>
      <c r="U263" s="869"/>
      <c r="V263" s="869"/>
      <c r="W263" s="869"/>
      <c r="X263" s="869"/>
      <c r="Y263" s="869"/>
      <c r="Z263" s="869"/>
    </row>
    <row r="264">
      <c r="A264" s="869"/>
      <c r="B264" s="869"/>
      <c r="C264" s="869"/>
      <c r="D264" s="869"/>
      <c r="E264" s="869"/>
      <c r="F264" s="869"/>
      <c r="G264" s="869"/>
      <c r="H264" s="869"/>
      <c r="I264" s="869"/>
      <c r="J264" s="869"/>
      <c r="K264" s="869"/>
      <c r="L264" s="869"/>
      <c r="M264" s="869"/>
      <c r="N264" s="869"/>
      <c r="O264" s="869"/>
      <c r="P264" s="869"/>
      <c r="Q264" s="869"/>
      <c r="R264" s="869"/>
      <c r="S264" s="869"/>
      <c r="T264" s="869"/>
      <c r="U264" s="869"/>
      <c r="V264" s="869"/>
      <c r="W264" s="869"/>
      <c r="X264" s="869"/>
      <c r="Y264" s="869"/>
      <c r="Z264" s="869"/>
    </row>
    <row r="265">
      <c r="A265" s="869"/>
      <c r="B265" s="869"/>
      <c r="C265" s="869"/>
      <c r="D265" s="869"/>
      <c r="E265" s="869"/>
      <c r="F265" s="869"/>
      <c r="G265" s="869"/>
      <c r="H265" s="869"/>
      <c r="I265" s="869"/>
      <c r="J265" s="869"/>
      <c r="K265" s="869"/>
      <c r="L265" s="869"/>
      <c r="M265" s="869"/>
      <c r="N265" s="869"/>
      <c r="O265" s="869"/>
      <c r="P265" s="869"/>
      <c r="Q265" s="869"/>
      <c r="R265" s="869"/>
      <c r="S265" s="869"/>
      <c r="T265" s="869"/>
      <c r="U265" s="869"/>
      <c r="V265" s="869"/>
      <c r="W265" s="869"/>
      <c r="X265" s="869"/>
      <c r="Y265" s="869"/>
      <c r="Z265" s="869"/>
    </row>
    <row r="266">
      <c r="A266" s="869"/>
      <c r="B266" s="869"/>
      <c r="C266" s="869"/>
      <c r="D266" s="869"/>
      <c r="E266" s="869"/>
      <c r="F266" s="869"/>
      <c r="G266" s="869"/>
      <c r="H266" s="869"/>
      <c r="I266" s="869"/>
      <c r="J266" s="869"/>
      <c r="K266" s="869"/>
      <c r="L266" s="869"/>
      <c r="M266" s="869"/>
      <c r="N266" s="869"/>
      <c r="O266" s="869"/>
      <c r="P266" s="869"/>
      <c r="Q266" s="869"/>
      <c r="R266" s="869"/>
      <c r="S266" s="869"/>
      <c r="T266" s="869"/>
      <c r="U266" s="869"/>
      <c r="V266" s="869"/>
      <c r="W266" s="869"/>
      <c r="X266" s="869"/>
      <c r="Y266" s="869"/>
      <c r="Z266" s="869"/>
    </row>
    <row r="267">
      <c r="A267" s="869"/>
      <c r="B267" s="869"/>
      <c r="C267" s="869"/>
      <c r="D267" s="869"/>
      <c r="E267" s="869"/>
      <c r="F267" s="869"/>
      <c r="G267" s="869"/>
      <c r="H267" s="869"/>
      <c r="I267" s="869"/>
      <c r="J267" s="869"/>
      <c r="K267" s="869"/>
      <c r="L267" s="869"/>
      <c r="M267" s="869"/>
      <c r="N267" s="869"/>
      <c r="O267" s="869"/>
      <c r="P267" s="869"/>
      <c r="Q267" s="869"/>
      <c r="R267" s="869"/>
      <c r="S267" s="869"/>
      <c r="T267" s="869"/>
      <c r="U267" s="869"/>
      <c r="V267" s="869"/>
      <c r="W267" s="869"/>
      <c r="X267" s="869"/>
      <c r="Y267" s="869"/>
      <c r="Z267" s="869"/>
    </row>
    <row r="268">
      <c r="A268" s="869"/>
      <c r="B268" s="869"/>
      <c r="C268" s="869"/>
      <c r="D268" s="869"/>
      <c r="E268" s="869"/>
      <c r="F268" s="869"/>
      <c r="G268" s="869"/>
      <c r="H268" s="869"/>
      <c r="I268" s="869"/>
      <c r="J268" s="869"/>
      <c r="K268" s="869"/>
      <c r="L268" s="869"/>
      <c r="M268" s="869"/>
      <c r="N268" s="869"/>
      <c r="O268" s="869"/>
      <c r="P268" s="869"/>
      <c r="Q268" s="869"/>
      <c r="R268" s="869"/>
      <c r="S268" s="869"/>
      <c r="T268" s="869"/>
      <c r="U268" s="869"/>
      <c r="V268" s="869"/>
      <c r="W268" s="869"/>
      <c r="X268" s="869"/>
      <c r="Y268" s="869"/>
      <c r="Z268" s="869"/>
    </row>
    <row r="269">
      <c r="A269" s="869"/>
      <c r="B269" s="869"/>
      <c r="C269" s="869"/>
      <c r="D269" s="869"/>
      <c r="E269" s="869"/>
      <c r="F269" s="869"/>
      <c r="G269" s="869"/>
      <c r="H269" s="869"/>
      <c r="I269" s="869"/>
      <c r="J269" s="869"/>
      <c r="K269" s="869"/>
      <c r="L269" s="869"/>
      <c r="M269" s="869"/>
      <c r="N269" s="869"/>
      <c r="O269" s="869"/>
      <c r="P269" s="869"/>
      <c r="Q269" s="869"/>
      <c r="R269" s="869"/>
      <c r="S269" s="869"/>
      <c r="T269" s="869"/>
      <c r="U269" s="869"/>
      <c r="V269" s="869"/>
      <c r="W269" s="869"/>
      <c r="X269" s="869"/>
      <c r="Y269" s="869"/>
      <c r="Z269" s="869"/>
    </row>
    <row r="270">
      <c r="A270" s="869"/>
      <c r="B270" s="869"/>
      <c r="C270" s="869"/>
      <c r="D270" s="869"/>
      <c r="E270" s="869"/>
      <c r="F270" s="869"/>
      <c r="G270" s="869"/>
      <c r="H270" s="869"/>
      <c r="I270" s="869"/>
      <c r="J270" s="869"/>
      <c r="K270" s="869"/>
      <c r="L270" s="869"/>
      <c r="M270" s="869"/>
      <c r="N270" s="869"/>
      <c r="O270" s="869"/>
      <c r="P270" s="869"/>
      <c r="Q270" s="869"/>
      <c r="R270" s="869"/>
      <c r="S270" s="869"/>
      <c r="T270" s="869"/>
      <c r="U270" s="869"/>
      <c r="V270" s="869"/>
      <c r="W270" s="869"/>
      <c r="X270" s="869"/>
      <c r="Y270" s="869"/>
      <c r="Z270" s="869"/>
    </row>
    <row r="271">
      <c r="A271" s="869"/>
      <c r="B271" s="869"/>
      <c r="C271" s="869"/>
      <c r="D271" s="869"/>
      <c r="E271" s="869"/>
      <c r="F271" s="869"/>
      <c r="G271" s="869"/>
      <c r="H271" s="869"/>
      <c r="I271" s="869"/>
      <c r="J271" s="869"/>
      <c r="K271" s="869"/>
      <c r="L271" s="869"/>
      <c r="M271" s="869"/>
      <c r="N271" s="869"/>
      <c r="O271" s="869"/>
      <c r="P271" s="869"/>
      <c r="Q271" s="869"/>
      <c r="R271" s="869"/>
      <c r="S271" s="869"/>
      <c r="T271" s="869"/>
      <c r="U271" s="869"/>
      <c r="V271" s="869"/>
      <c r="W271" s="869"/>
      <c r="X271" s="869"/>
      <c r="Y271" s="869"/>
      <c r="Z271" s="869"/>
    </row>
    <row r="272">
      <c r="A272" s="869"/>
      <c r="B272" s="869"/>
      <c r="C272" s="869"/>
      <c r="D272" s="869"/>
      <c r="E272" s="869"/>
      <c r="F272" s="869"/>
      <c r="G272" s="869"/>
      <c r="H272" s="869"/>
      <c r="I272" s="869"/>
      <c r="J272" s="869"/>
      <c r="K272" s="869"/>
      <c r="L272" s="869"/>
      <c r="M272" s="869"/>
      <c r="N272" s="869"/>
      <c r="O272" s="869"/>
      <c r="P272" s="869"/>
      <c r="Q272" s="869"/>
      <c r="R272" s="869"/>
      <c r="S272" s="869"/>
      <c r="T272" s="869"/>
      <c r="U272" s="869"/>
      <c r="V272" s="869"/>
      <c r="W272" s="869"/>
      <c r="X272" s="869"/>
      <c r="Y272" s="869"/>
      <c r="Z272" s="869"/>
    </row>
    <row r="273">
      <c r="A273" s="869"/>
      <c r="B273" s="869"/>
      <c r="C273" s="869"/>
      <c r="D273" s="869"/>
      <c r="E273" s="869"/>
      <c r="F273" s="869"/>
      <c r="G273" s="869"/>
      <c r="H273" s="869"/>
      <c r="I273" s="869"/>
      <c r="J273" s="869"/>
      <c r="K273" s="869"/>
      <c r="L273" s="869"/>
      <c r="M273" s="869"/>
      <c r="N273" s="869"/>
      <c r="O273" s="869"/>
      <c r="P273" s="869"/>
      <c r="Q273" s="869"/>
      <c r="R273" s="869"/>
      <c r="S273" s="869"/>
      <c r="T273" s="869"/>
      <c r="U273" s="869"/>
      <c r="V273" s="869"/>
      <c r="W273" s="869"/>
      <c r="X273" s="869"/>
      <c r="Y273" s="869"/>
      <c r="Z273" s="869"/>
    </row>
    <row r="274">
      <c r="A274" s="869"/>
      <c r="B274" s="869"/>
      <c r="C274" s="869"/>
      <c r="D274" s="869"/>
      <c r="E274" s="869"/>
      <c r="F274" s="869"/>
      <c r="G274" s="869"/>
      <c r="H274" s="869"/>
      <c r="I274" s="869"/>
      <c r="J274" s="869"/>
      <c r="K274" s="869"/>
      <c r="L274" s="869"/>
      <c r="M274" s="869"/>
      <c r="N274" s="869"/>
      <c r="O274" s="869"/>
      <c r="P274" s="869"/>
      <c r="Q274" s="869"/>
      <c r="R274" s="869"/>
      <c r="S274" s="869"/>
      <c r="T274" s="869"/>
      <c r="U274" s="869"/>
      <c r="V274" s="869"/>
      <c r="W274" s="869"/>
      <c r="X274" s="869"/>
      <c r="Y274" s="869"/>
      <c r="Z274" s="869"/>
    </row>
    <row r="275">
      <c r="A275" s="869"/>
      <c r="B275" s="869"/>
      <c r="C275" s="869"/>
      <c r="D275" s="869"/>
      <c r="E275" s="869"/>
      <c r="F275" s="869"/>
      <c r="G275" s="869"/>
      <c r="H275" s="869"/>
      <c r="I275" s="869"/>
      <c r="J275" s="869"/>
      <c r="K275" s="869"/>
      <c r="L275" s="869"/>
      <c r="M275" s="869"/>
      <c r="N275" s="869"/>
      <c r="O275" s="869"/>
      <c r="P275" s="869"/>
      <c r="Q275" s="869"/>
      <c r="R275" s="869"/>
      <c r="S275" s="869"/>
      <c r="T275" s="869"/>
      <c r="U275" s="869"/>
      <c r="V275" s="869"/>
      <c r="W275" s="869"/>
      <c r="X275" s="869"/>
      <c r="Y275" s="869"/>
      <c r="Z275" s="869"/>
    </row>
    <row r="276">
      <c r="A276" s="869"/>
      <c r="B276" s="869"/>
      <c r="C276" s="869"/>
      <c r="D276" s="869"/>
      <c r="E276" s="869"/>
      <c r="F276" s="869"/>
      <c r="G276" s="869"/>
      <c r="H276" s="869"/>
      <c r="I276" s="869"/>
      <c r="J276" s="869"/>
      <c r="K276" s="869"/>
      <c r="L276" s="869"/>
      <c r="M276" s="869"/>
      <c r="N276" s="869"/>
      <c r="O276" s="869"/>
      <c r="P276" s="869"/>
      <c r="Q276" s="869"/>
      <c r="R276" s="869"/>
      <c r="S276" s="869"/>
      <c r="T276" s="869"/>
      <c r="U276" s="869"/>
      <c r="V276" s="869"/>
      <c r="W276" s="869"/>
      <c r="X276" s="869"/>
      <c r="Y276" s="869"/>
      <c r="Z276" s="869"/>
    </row>
    <row r="277">
      <c r="A277" s="869"/>
      <c r="B277" s="869"/>
      <c r="C277" s="869"/>
      <c r="D277" s="869"/>
      <c r="E277" s="869"/>
      <c r="F277" s="869"/>
      <c r="G277" s="869"/>
      <c r="H277" s="869"/>
      <c r="I277" s="869"/>
      <c r="J277" s="869"/>
      <c r="K277" s="869"/>
      <c r="L277" s="869"/>
      <c r="M277" s="869"/>
      <c r="N277" s="869"/>
      <c r="O277" s="869"/>
      <c r="P277" s="869"/>
      <c r="Q277" s="869"/>
      <c r="R277" s="869"/>
      <c r="S277" s="869"/>
      <c r="T277" s="869"/>
      <c r="U277" s="869"/>
      <c r="V277" s="869"/>
      <c r="W277" s="869"/>
      <c r="X277" s="869"/>
      <c r="Y277" s="869"/>
      <c r="Z277" s="869"/>
    </row>
    <row r="278">
      <c r="A278" s="869"/>
      <c r="B278" s="869"/>
      <c r="C278" s="869"/>
      <c r="D278" s="869"/>
      <c r="E278" s="869"/>
      <c r="F278" s="869"/>
      <c r="G278" s="869"/>
      <c r="H278" s="869"/>
      <c r="I278" s="869"/>
      <c r="J278" s="869"/>
      <c r="K278" s="869"/>
      <c r="L278" s="869"/>
      <c r="M278" s="869"/>
      <c r="N278" s="869"/>
      <c r="O278" s="869"/>
      <c r="P278" s="869"/>
      <c r="Q278" s="869"/>
      <c r="R278" s="869"/>
      <c r="S278" s="869"/>
      <c r="T278" s="869"/>
      <c r="U278" s="869"/>
      <c r="V278" s="869"/>
      <c r="W278" s="869"/>
      <c r="X278" s="869"/>
      <c r="Y278" s="869"/>
      <c r="Z278" s="869"/>
    </row>
    <row r="279">
      <c r="A279" s="869"/>
      <c r="B279" s="869"/>
      <c r="C279" s="869"/>
      <c r="D279" s="869"/>
      <c r="E279" s="869"/>
      <c r="F279" s="869"/>
      <c r="G279" s="869"/>
      <c r="H279" s="869"/>
      <c r="I279" s="869"/>
      <c r="J279" s="869"/>
      <c r="K279" s="869"/>
      <c r="L279" s="869"/>
      <c r="M279" s="869"/>
      <c r="N279" s="869"/>
      <c r="O279" s="869"/>
      <c r="P279" s="869"/>
      <c r="Q279" s="869"/>
      <c r="R279" s="869"/>
      <c r="S279" s="869"/>
      <c r="T279" s="869"/>
      <c r="U279" s="869"/>
      <c r="V279" s="869"/>
      <c r="W279" s="869"/>
      <c r="X279" s="869"/>
      <c r="Y279" s="869"/>
      <c r="Z279" s="869"/>
    </row>
    <row r="280">
      <c r="A280" s="869"/>
      <c r="B280" s="869"/>
      <c r="C280" s="869"/>
      <c r="D280" s="869"/>
      <c r="E280" s="869"/>
      <c r="F280" s="869"/>
      <c r="G280" s="869"/>
      <c r="H280" s="869"/>
      <c r="I280" s="869"/>
      <c r="J280" s="869"/>
      <c r="K280" s="869"/>
      <c r="L280" s="869"/>
      <c r="M280" s="869"/>
      <c r="N280" s="869"/>
      <c r="O280" s="869"/>
      <c r="P280" s="869"/>
      <c r="Q280" s="869"/>
      <c r="R280" s="869"/>
      <c r="S280" s="869"/>
      <c r="T280" s="869"/>
      <c r="U280" s="869"/>
      <c r="V280" s="869"/>
      <c r="W280" s="869"/>
      <c r="X280" s="869"/>
      <c r="Y280" s="869"/>
      <c r="Z280" s="869"/>
    </row>
    <row r="281">
      <c r="A281" s="869"/>
      <c r="B281" s="869"/>
      <c r="C281" s="869"/>
      <c r="D281" s="869"/>
      <c r="E281" s="869"/>
      <c r="F281" s="869"/>
      <c r="G281" s="869"/>
      <c r="H281" s="869"/>
      <c r="I281" s="869"/>
      <c r="J281" s="869"/>
      <c r="K281" s="869"/>
      <c r="L281" s="869"/>
      <c r="M281" s="869"/>
      <c r="N281" s="869"/>
      <c r="O281" s="869"/>
      <c r="P281" s="869"/>
      <c r="Q281" s="869"/>
      <c r="R281" s="869"/>
      <c r="S281" s="869"/>
      <c r="T281" s="869"/>
      <c r="U281" s="869"/>
      <c r="V281" s="869"/>
      <c r="W281" s="869"/>
      <c r="X281" s="869"/>
      <c r="Y281" s="869"/>
      <c r="Z281" s="869"/>
    </row>
    <row r="282">
      <c r="A282" s="869"/>
      <c r="B282" s="869"/>
      <c r="C282" s="869"/>
      <c r="D282" s="869"/>
      <c r="E282" s="869"/>
      <c r="F282" s="869"/>
      <c r="G282" s="869"/>
      <c r="H282" s="869"/>
      <c r="I282" s="869"/>
      <c r="J282" s="869"/>
      <c r="K282" s="869"/>
      <c r="L282" s="869"/>
      <c r="M282" s="869"/>
      <c r="N282" s="869"/>
      <c r="O282" s="869"/>
      <c r="P282" s="869"/>
      <c r="Q282" s="869"/>
      <c r="R282" s="869"/>
      <c r="S282" s="869"/>
      <c r="T282" s="869"/>
      <c r="U282" s="869"/>
      <c r="V282" s="869"/>
      <c r="W282" s="869"/>
      <c r="X282" s="869"/>
      <c r="Y282" s="869"/>
      <c r="Z282" s="869"/>
    </row>
    <row r="283">
      <c r="A283" s="869"/>
      <c r="B283" s="869"/>
      <c r="C283" s="869"/>
      <c r="D283" s="869"/>
      <c r="E283" s="869"/>
      <c r="F283" s="869"/>
      <c r="G283" s="869"/>
      <c r="H283" s="869"/>
      <c r="I283" s="869"/>
      <c r="J283" s="869"/>
      <c r="K283" s="869"/>
      <c r="L283" s="869"/>
      <c r="M283" s="869"/>
      <c r="N283" s="869"/>
      <c r="O283" s="869"/>
      <c r="P283" s="869"/>
      <c r="Q283" s="869"/>
      <c r="R283" s="869"/>
      <c r="S283" s="869"/>
      <c r="T283" s="869"/>
      <c r="U283" s="869"/>
      <c r="V283" s="869"/>
      <c r="W283" s="869"/>
      <c r="X283" s="869"/>
      <c r="Y283" s="869"/>
      <c r="Z283" s="869"/>
    </row>
    <row r="284">
      <c r="A284" s="869"/>
      <c r="B284" s="869"/>
      <c r="C284" s="869"/>
      <c r="D284" s="869"/>
      <c r="E284" s="869"/>
      <c r="F284" s="869"/>
      <c r="G284" s="869"/>
      <c r="H284" s="869"/>
      <c r="I284" s="869"/>
      <c r="J284" s="869"/>
      <c r="K284" s="869"/>
      <c r="L284" s="869"/>
      <c r="M284" s="869"/>
      <c r="N284" s="869"/>
      <c r="O284" s="869"/>
      <c r="P284" s="869"/>
      <c r="Q284" s="869"/>
      <c r="R284" s="869"/>
      <c r="S284" s="869"/>
      <c r="T284" s="869"/>
      <c r="U284" s="869"/>
      <c r="V284" s="869"/>
      <c r="W284" s="869"/>
      <c r="X284" s="869"/>
      <c r="Y284" s="869"/>
      <c r="Z284" s="869"/>
    </row>
    <row r="285">
      <c r="A285" s="869"/>
      <c r="B285" s="869"/>
      <c r="C285" s="869"/>
      <c r="D285" s="869"/>
      <c r="E285" s="869"/>
      <c r="F285" s="869"/>
      <c r="G285" s="869"/>
      <c r="H285" s="869"/>
      <c r="I285" s="869"/>
      <c r="J285" s="869"/>
      <c r="K285" s="869"/>
      <c r="L285" s="869"/>
      <c r="M285" s="869"/>
      <c r="N285" s="869"/>
      <c r="O285" s="869"/>
      <c r="P285" s="869"/>
      <c r="Q285" s="869"/>
      <c r="R285" s="869"/>
      <c r="S285" s="869"/>
      <c r="T285" s="869"/>
      <c r="U285" s="869"/>
      <c r="V285" s="869"/>
      <c r="W285" s="869"/>
      <c r="X285" s="869"/>
      <c r="Y285" s="869"/>
      <c r="Z285" s="869"/>
    </row>
    <row r="286">
      <c r="A286" s="869"/>
      <c r="B286" s="869"/>
      <c r="C286" s="869"/>
      <c r="D286" s="869"/>
      <c r="E286" s="869"/>
      <c r="F286" s="869"/>
      <c r="G286" s="869"/>
      <c r="H286" s="869"/>
      <c r="I286" s="869"/>
      <c r="J286" s="869"/>
      <c r="K286" s="869"/>
      <c r="L286" s="869"/>
      <c r="M286" s="869"/>
      <c r="N286" s="869"/>
      <c r="O286" s="869"/>
      <c r="P286" s="869"/>
      <c r="Q286" s="869"/>
      <c r="R286" s="869"/>
      <c r="S286" s="869"/>
      <c r="T286" s="869"/>
      <c r="U286" s="869"/>
      <c r="V286" s="869"/>
      <c r="W286" s="869"/>
      <c r="X286" s="869"/>
      <c r="Y286" s="869"/>
      <c r="Z286" s="869"/>
    </row>
    <row r="287">
      <c r="A287" s="869"/>
      <c r="B287" s="869"/>
      <c r="C287" s="869"/>
      <c r="D287" s="869"/>
      <c r="E287" s="869"/>
      <c r="F287" s="869"/>
      <c r="G287" s="869"/>
      <c r="H287" s="869"/>
      <c r="I287" s="869"/>
      <c r="J287" s="869"/>
      <c r="K287" s="869"/>
      <c r="L287" s="869"/>
      <c r="M287" s="869"/>
      <c r="N287" s="869"/>
      <c r="O287" s="869"/>
      <c r="P287" s="869"/>
      <c r="Q287" s="869"/>
      <c r="R287" s="869"/>
      <c r="S287" s="869"/>
      <c r="T287" s="869"/>
      <c r="U287" s="869"/>
      <c r="V287" s="869"/>
      <c r="W287" s="869"/>
      <c r="X287" s="869"/>
      <c r="Y287" s="869"/>
      <c r="Z287" s="869"/>
    </row>
    <row r="288">
      <c r="A288" s="869"/>
      <c r="B288" s="869"/>
      <c r="C288" s="869"/>
      <c r="D288" s="869"/>
      <c r="E288" s="869"/>
      <c r="F288" s="869"/>
      <c r="G288" s="869"/>
      <c r="H288" s="869"/>
      <c r="I288" s="869"/>
      <c r="J288" s="869"/>
      <c r="K288" s="869"/>
      <c r="L288" s="869"/>
      <c r="M288" s="869"/>
      <c r="N288" s="869"/>
      <c r="O288" s="869"/>
      <c r="P288" s="869"/>
      <c r="Q288" s="869"/>
      <c r="R288" s="869"/>
      <c r="S288" s="869"/>
      <c r="T288" s="869"/>
      <c r="U288" s="869"/>
      <c r="V288" s="869"/>
      <c r="W288" s="869"/>
      <c r="X288" s="869"/>
      <c r="Y288" s="869"/>
      <c r="Z288" s="869"/>
    </row>
    <row r="289">
      <c r="A289" s="869"/>
      <c r="B289" s="869"/>
      <c r="C289" s="869"/>
      <c r="D289" s="869"/>
      <c r="E289" s="869"/>
      <c r="F289" s="869"/>
      <c r="G289" s="869"/>
      <c r="H289" s="869"/>
      <c r="I289" s="869"/>
      <c r="J289" s="869"/>
      <c r="K289" s="869"/>
      <c r="L289" s="869"/>
      <c r="M289" s="869"/>
      <c r="N289" s="869"/>
      <c r="O289" s="869"/>
      <c r="P289" s="869"/>
      <c r="Q289" s="869"/>
      <c r="R289" s="869"/>
      <c r="S289" s="869"/>
      <c r="T289" s="869"/>
      <c r="U289" s="869"/>
      <c r="V289" s="869"/>
      <c r="W289" s="869"/>
      <c r="X289" s="869"/>
      <c r="Y289" s="869"/>
      <c r="Z289" s="869"/>
    </row>
    <row r="290">
      <c r="A290" s="869"/>
      <c r="B290" s="869"/>
      <c r="C290" s="869"/>
      <c r="D290" s="869"/>
      <c r="E290" s="869"/>
      <c r="F290" s="869"/>
      <c r="G290" s="869"/>
      <c r="H290" s="869"/>
      <c r="I290" s="869"/>
      <c r="J290" s="869"/>
      <c r="K290" s="869"/>
      <c r="L290" s="869"/>
      <c r="M290" s="869"/>
      <c r="N290" s="869"/>
      <c r="O290" s="869"/>
      <c r="P290" s="869"/>
      <c r="Q290" s="869"/>
      <c r="R290" s="869"/>
      <c r="S290" s="869"/>
      <c r="T290" s="869"/>
      <c r="U290" s="869"/>
      <c r="V290" s="869"/>
      <c r="W290" s="869"/>
      <c r="X290" s="869"/>
      <c r="Y290" s="869"/>
      <c r="Z290" s="869"/>
    </row>
    <row r="291">
      <c r="A291" s="869"/>
      <c r="B291" s="869"/>
      <c r="C291" s="869"/>
      <c r="D291" s="869"/>
      <c r="E291" s="869"/>
      <c r="F291" s="869"/>
      <c r="G291" s="869"/>
      <c r="H291" s="869"/>
      <c r="I291" s="869"/>
      <c r="J291" s="869"/>
      <c r="K291" s="869"/>
      <c r="L291" s="869"/>
      <c r="M291" s="869"/>
      <c r="N291" s="869"/>
      <c r="O291" s="869"/>
      <c r="P291" s="869"/>
      <c r="Q291" s="869"/>
      <c r="R291" s="869"/>
      <c r="S291" s="869"/>
      <c r="T291" s="869"/>
      <c r="U291" s="869"/>
      <c r="V291" s="869"/>
      <c r="W291" s="869"/>
      <c r="X291" s="869"/>
      <c r="Y291" s="869"/>
      <c r="Z291" s="869"/>
    </row>
    <row r="292">
      <c r="A292" s="869"/>
      <c r="B292" s="869"/>
      <c r="C292" s="869"/>
      <c r="D292" s="869"/>
      <c r="E292" s="869"/>
      <c r="F292" s="869"/>
      <c r="G292" s="869"/>
      <c r="H292" s="869"/>
      <c r="I292" s="869"/>
      <c r="J292" s="869"/>
      <c r="K292" s="869"/>
      <c r="L292" s="869"/>
      <c r="M292" s="869"/>
      <c r="N292" s="869"/>
      <c r="O292" s="869"/>
      <c r="P292" s="869"/>
      <c r="Q292" s="869"/>
      <c r="R292" s="869"/>
      <c r="S292" s="869"/>
      <c r="T292" s="869"/>
      <c r="U292" s="869"/>
      <c r="V292" s="869"/>
      <c r="W292" s="869"/>
      <c r="X292" s="869"/>
      <c r="Y292" s="869"/>
      <c r="Z292" s="869"/>
    </row>
    <row r="293">
      <c r="A293" s="869"/>
      <c r="B293" s="869"/>
      <c r="C293" s="869"/>
      <c r="D293" s="869"/>
      <c r="E293" s="869"/>
      <c r="F293" s="869"/>
      <c r="G293" s="869"/>
      <c r="H293" s="869"/>
      <c r="I293" s="869"/>
      <c r="J293" s="869"/>
      <c r="K293" s="869"/>
      <c r="L293" s="869"/>
      <c r="M293" s="869"/>
      <c r="N293" s="869"/>
      <c r="O293" s="869"/>
      <c r="P293" s="869"/>
      <c r="Q293" s="869"/>
      <c r="R293" s="869"/>
      <c r="S293" s="869"/>
      <c r="T293" s="869"/>
      <c r="U293" s="869"/>
      <c r="V293" s="869"/>
      <c r="W293" s="869"/>
      <c r="X293" s="869"/>
      <c r="Y293" s="869"/>
      <c r="Z293" s="869"/>
    </row>
    <row r="294">
      <c r="A294" s="869"/>
      <c r="B294" s="869"/>
      <c r="C294" s="869"/>
      <c r="D294" s="869"/>
      <c r="E294" s="869"/>
      <c r="F294" s="869"/>
      <c r="G294" s="869"/>
      <c r="H294" s="869"/>
      <c r="I294" s="869"/>
      <c r="J294" s="869"/>
      <c r="K294" s="869"/>
      <c r="L294" s="869"/>
      <c r="M294" s="869"/>
      <c r="N294" s="869"/>
      <c r="O294" s="869"/>
      <c r="P294" s="869"/>
      <c r="Q294" s="869"/>
      <c r="R294" s="869"/>
      <c r="S294" s="869"/>
      <c r="T294" s="869"/>
      <c r="U294" s="869"/>
      <c r="V294" s="869"/>
      <c r="W294" s="869"/>
      <c r="X294" s="869"/>
      <c r="Y294" s="869"/>
      <c r="Z294" s="869"/>
    </row>
    <row r="295">
      <c r="A295" s="869"/>
      <c r="B295" s="869"/>
      <c r="C295" s="869"/>
      <c r="D295" s="869"/>
      <c r="E295" s="869"/>
      <c r="F295" s="869"/>
      <c r="G295" s="869"/>
      <c r="H295" s="869"/>
      <c r="I295" s="869"/>
      <c r="J295" s="869"/>
      <c r="K295" s="869"/>
      <c r="L295" s="869"/>
      <c r="M295" s="869"/>
      <c r="N295" s="869"/>
      <c r="O295" s="869"/>
      <c r="P295" s="869"/>
      <c r="Q295" s="869"/>
      <c r="R295" s="869"/>
      <c r="S295" s="869"/>
      <c r="T295" s="869"/>
      <c r="U295" s="869"/>
      <c r="V295" s="869"/>
      <c r="W295" s="869"/>
      <c r="X295" s="869"/>
      <c r="Y295" s="869"/>
      <c r="Z295" s="869"/>
    </row>
    <row r="296">
      <c r="A296" s="869"/>
      <c r="B296" s="869"/>
      <c r="C296" s="869"/>
      <c r="D296" s="869"/>
      <c r="E296" s="869"/>
      <c r="F296" s="869"/>
      <c r="G296" s="869"/>
      <c r="H296" s="869"/>
      <c r="I296" s="869"/>
      <c r="J296" s="869"/>
      <c r="K296" s="869"/>
      <c r="L296" s="869"/>
      <c r="M296" s="869"/>
      <c r="N296" s="869"/>
      <c r="O296" s="869"/>
      <c r="P296" s="869"/>
      <c r="Q296" s="869"/>
      <c r="R296" s="869"/>
      <c r="S296" s="869"/>
      <c r="T296" s="869"/>
      <c r="U296" s="869"/>
      <c r="V296" s="869"/>
      <c r="W296" s="869"/>
      <c r="X296" s="869"/>
      <c r="Y296" s="869"/>
      <c r="Z296" s="869"/>
    </row>
    <row r="297">
      <c r="A297" s="869"/>
      <c r="B297" s="869"/>
      <c r="C297" s="869"/>
      <c r="D297" s="869"/>
      <c r="E297" s="869"/>
      <c r="F297" s="869"/>
      <c r="G297" s="869"/>
      <c r="H297" s="869"/>
      <c r="I297" s="869"/>
      <c r="J297" s="869"/>
      <c r="K297" s="869"/>
      <c r="L297" s="869"/>
      <c r="M297" s="869"/>
      <c r="N297" s="869"/>
      <c r="O297" s="869"/>
      <c r="P297" s="869"/>
      <c r="Q297" s="869"/>
      <c r="R297" s="869"/>
      <c r="S297" s="869"/>
      <c r="T297" s="869"/>
      <c r="U297" s="869"/>
      <c r="V297" s="869"/>
      <c r="W297" s="869"/>
      <c r="X297" s="869"/>
      <c r="Y297" s="869"/>
      <c r="Z297" s="869"/>
    </row>
    <row r="298">
      <c r="A298" s="869"/>
      <c r="B298" s="869"/>
      <c r="C298" s="869"/>
      <c r="D298" s="869"/>
      <c r="E298" s="869"/>
      <c r="F298" s="869"/>
      <c r="G298" s="869"/>
      <c r="H298" s="869"/>
      <c r="I298" s="869"/>
      <c r="J298" s="869"/>
      <c r="K298" s="869"/>
      <c r="L298" s="869"/>
      <c r="M298" s="869"/>
      <c r="N298" s="869"/>
      <c r="O298" s="869"/>
      <c r="P298" s="869"/>
      <c r="Q298" s="869"/>
      <c r="R298" s="869"/>
      <c r="S298" s="869"/>
      <c r="T298" s="869"/>
      <c r="U298" s="869"/>
      <c r="V298" s="869"/>
      <c r="W298" s="869"/>
      <c r="X298" s="869"/>
      <c r="Y298" s="869"/>
      <c r="Z298" s="869"/>
    </row>
    <row r="299">
      <c r="A299" s="869"/>
      <c r="B299" s="869"/>
      <c r="C299" s="869"/>
      <c r="D299" s="869"/>
      <c r="E299" s="869"/>
      <c r="F299" s="869"/>
      <c r="G299" s="869"/>
      <c r="H299" s="869"/>
      <c r="I299" s="869"/>
      <c r="J299" s="869"/>
      <c r="K299" s="869"/>
      <c r="L299" s="869"/>
      <c r="M299" s="869"/>
      <c r="N299" s="869"/>
      <c r="O299" s="869"/>
      <c r="P299" s="869"/>
      <c r="Q299" s="869"/>
      <c r="R299" s="869"/>
      <c r="S299" s="869"/>
      <c r="T299" s="869"/>
      <c r="U299" s="869"/>
      <c r="V299" s="869"/>
      <c r="W299" s="869"/>
      <c r="X299" s="869"/>
      <c r="Y299" s="869"/>
      <c r="Z299" s="869"/>
    </row>
    <row r="300">
      <c r="A300" s="869"/>
      <c r="B300" s="869"/>
      <c r="C300" s="869"/>
      <c r="D300" s="869"/>
      <c r="E300" s="869"/>
      <c r="F300" s="869"/>
      <c r="G300" s="869"/>
      <c r="H300" s="869"/>
      <c r="I300" s="869"/>
      <c r="J300" s="869"/>
      <c r="K300" s="869"/>
      <c r="L300" s="869"/>
      <c r="M300" s="869"/>
      <c r="N300" s="869"/>
      <c r="O300" s="869"/>
      <c r="P300" s="869"/>
      <c r="Q300" s="869"/>
      <c r="R300" s="869"/>
      <c r="S300" s="869"/>
      <c r="T300" s="869"/>
      <c r="U300" s="869"/>
      <c r="V300" s="869"/>
      <c r="W300" s="869"/>
      <c r="X300" s="869"/>
      <c r="Y300" s="869"/>
      <c r="Z300" s="869"/>
    </row>
    <row r="301">
      <c r="A301" s="869"/>
      <c r="B301" s="869"/>
      <c r="C301" s="869"/>
      <c r="D301" s="869"/>
      <c r="E301" s="869"/>
      <c r="F301" s="869"/>
      <c r="G301" s="869"/>
      <c r="H301" s="869"/>
      <c r="I301" s="869"/>
      <c r="J301" s="869"/>
      <c r="K301" s="869"/>
      <c r="L301" s="869"/>
      <c r="M301" s="869"/>
      <c r="N301" s="869"/>
      <c r="O301" s="869"/>
      <c r="P301" s="869"/>
      <c r="Q301" s="869"/>
      <c r="R301" s="869"/>
      <c r="S301" s="869"/>
      <c r="T301" s="869"/>
      <c r="U301" s="869"/>
      <c r="V301" s="869"/>
      <c r="W301" s="869"/>
      <c r="X301" s="869"/>
      <c r="Y301" s="869"/>
      <c r="Z301" s="869"/>
    </row>
    <row r="302">
      <c r="A302" s="869"/>
      <c r="B302" s="869"/>
      <c r="C302" s="869"/>
      <c r="D302" s="869"/>
      <c r="E302" s="869"/>
      <c r="F302" s="869"/>
      <c r="G302" s="869"/>
      <c r="H302" s="869"/>
      <c r="I302" s="869"/>
      <c r="J302" s="869"/>
      <c r="K302" s="869"/>
      <c r="L302" s="869"/>
      <c r="M302" s="869"/>
      <c r="N302" s="869"/>
      <c r="O302" s="869"/>
      <c r="P302" s="869"/>
      <c r="Q302" s="869"/>
      <c r="R302" s="869"/>
      <c r="S302" s="869"/>
      <c r="T302" s="869"/>
      <c r="U302" s="869"/>
      <c r="V302" s="869"/>
      <c r="W302" s="869"/>
      <c r="X302" s="869"/>
      <c r="Y302" s="869"/>
      <c r="Z302" s="869"/>
    </row>
    <row r="303">
      <c r="A303" s="869"/>
      <c r="B303" s="869"/>
      <c r="C303" s="869"/>
      <c r="D303" s="869"/>
      <c r="E303" s="869"/>
      <c r="F303" s="869"/>
      <c r="G303" s="869"/>
      <c r="H303" s="869"/>
      <c r="I303" s="869"/>
      <c r="J303" s="869"/>
      <c r="K303" s="869"/>
      <c r="L303" s="869"/>
      <c r="M303" s="869"/>
      <c r="N303" s="869"/>
      <c r="O303" s="869"/>
      <c r="P303" s="869"/>
      <c r="Q303" s="869"/>
      <c r="R303" s="869"/>
      <c r="S303" s="869"/>
      <c r="T303" s="869"/>
      <c r="U303" s="869"/>
      <c r="V303" s="869"/>
      <c r="W303" s="869"/>
      <c r="X303" s="869"/>
      <c r="Y303" s="869"/>
      <c r="Z303" s="869"/>
    </row>
    <row r="304">
      <c r="A304" s="869"/>
      <c r="B304" s="869"/>
      <c r="C304" s="869"/>
      <c r="D304" s="869"/>
      <c r="E304" s="869"/>
      <c r="F304" s="869"/>
      <c r="G304" s="869"/>
      <c r="H304" s="869"/>
      <c r="I304" s="869"/>
      <c r="J304" s="869"/>
      <c r="K304" s="869"/>
      <c r="L304" s="869"/>
      <c r="M304" s="869"/>
      <c r="N304" s="869"/>
      <c r="O304" s="869"/>
      <c r="P304" s="869"/>
      <c r="Q304" s="869"/>
      <c r="R304" s="869"/>
      <c r="S304" s="869"/>
      <c r="T304" s="869"/>
      <c r="U304" s="869"/>
      <c r="V304" s="869"/>
      <c r="W304" s="869"/>
      <c r="X304" s="869"/>
      <c r="Y304" s="869"/>
      <c r="Z304" s="869"/>
    </row>
    <row r="305">
      <c r="A305" s="869"/>
      <c r="B305" s="869"/>
      <c r="C305" s="869"/>
      <c r="D305" s="869"/>
      <c r="E305" s="869"/>
      <c r="F305" s="869"/>
      <c r="G305" s="869"/>
      <c r="H305" s="869"/>
      <c r="I305" s="869"/>
      <c r="J305" s="869"/>
      <c r="K305" s="869"/>
      <c r="L305" s="869"/>
      <c r="M305" s="869"/>
      <c r="N305" s="869"/>
      <c r="O305" s="869"/>
      <c r="P305" s="869"/>
      <c r="Q305" s="869"/>
      <c r="R305" s="869"/>
      <c r="S305" s="869"/>
      <c r="T305" s="869"/>
      <c r="U305" s="869"/>
      <c r="V305" s="869"/>
      <c r="W305" s="869"/>
      <c r="X305" s="869"/>
      <c r="Y305" s="869"/>
      <c r="Z305" s="869"/>
    </row>
    <row r="306">
      <c r="A306" s="869"/>
      <c r="B306" s="869"/>
      <c r="C306" s="869"/>
      <c r="D306" s="869"/>
      <c r="E306" s="869"/>
      <c r="F306" s="869"/>
      <c r="G306" s="869"/>
      <c r="H306" s="869"/>
      <c r="I306" s="869"/>
      <c r="J306" s="869"/>
      <c r="K306" s="869"/>
      <c r="L306" s="869"/>
      <c r="M306" s="869"/>
      <c r="N306" s="869"/>
      <c r="O306" s="869"/>
      <c r="P306" s="869"/>
      <c r="Q306" s="869"/>
      <c r="R306" s="869"/>
      <c r="S306" s="869"/>
      <c r="T306" s="869"/>
      <c r="U306" s="869"/>
      <c r="V306" s="869"/>
      <c r="W306" s="869"/>
      <c r="X306" s="869"/>
      <c r="Y306" s="869"/>
      <c r="Z306" s="869"/>
    </row>
    <row r="307">
      <c r="A307" s="869"/>
      <c r="B307" s="869"/>
      <c r="C307" s="869"/>
      <c r="D307" s="869"/>
      <c r="E307" s="869"/>
      <c r="F307" s="869"/>
      <c r="G307" s="869"/>
      <c r="H307" s="869"/>
      <c r="I307" s="869"/>
      <c r="J307" s="869"/>
      <c r="K307" s="869"/>
      <c r="L307" s="869"/>
      <c r="M307" s="869"/>
      <c r="N307" s="869"/>
      <c r="O307" s="869"/>
      <c r="P307" s="869"/>
      <c r="Q307" s="869"/>
      <c r="R307" s="869"/>
      <c r="S307" s="869"/>
      <c r="T307" s="869"/>
      <c r="U307" s="869"/>
      <c r="V307" s="869"/>
      <c r="W307" s="869"/>
      <c r="X307" s="869"/>
      <c r="Y307" s="869"/>
      <c r="Z307" s="869"/>
    </row>
    <row r="308">
      <c r="A308" s="869"/>
      <c r="B308" s="869"/>
      <c r="C308" s="869"/>
      <c r="D308" s="869"/>
      <c r="E308" s="869"/>
      <c r="F308" s="869"/>
      <c r="G308" s="869"/>
      <c r="H308" s="869"/>
      <c r="I308" s="869"/>
      <c r="J308" s="869"/>
      <c r="K308" s="869"/>
      <c r="L308" s="869"/>
      <c r="M308" s="869"/>
      <c r="N308" s="869"/>
      <c r="O308" s="869"/>
      <c r="P308" s="869"/>
      <c r="Q308" s="869"/>
      <c r="R308" s="869"/>
      <c r="S308" s="869"/>
      <c r="T308" s="869"/>
      <c r="U308" s="869"/>
      <c r="V308" s="869"/>
      <c r="W308" s="869"/>
      <c r="X308" s="869"/>
      <c r="Y308" s="869"/>
      <c r="Z308" s="869"/>
    </row>
    <row r="309">
      <c r="A309" s="869"/>
      <c r="B309" s="869"/>
      <c r="C309" s="869"/>
      <c r="D309" s="869"/>
      <c r="E309" s="869"/>
      <c r="F309" s="869"/>
      <c r="G309" s="869"/>
      <c r="H309" s="869"/>
      <c r="I309" s="869"/>
      <c r="J309" s="869"/>
      <c r="K309" s="869"/>
      <c r="L309" s="869"/>
      <c r="M309" s="869"/>
      <c r="N309" s="869"/>
      <c r="O309" s="869"/>
      <c r="P309" s="869"/>
      <c r="Q309" s="869"/>
      <c r="R309" s="869"/>
      <c r="S309" s="869"/>
      <c r="T309" s="869"/>
      <c r="U309" s="869"/>
      <c r="V309" s="869"/>
      <c r="W309" s="869"/>
      <c r="X309" s="869"/>
      <c r="Y309" s="869"/>
      <c r="Z309" s="869"/>
    </row>
    <row r="310">
      <c r="A310" s="869"/>
      <c r="B310" s="869"/>
      <c r="C310" s="869"/>
      <c r="D310" s="869"/>
      <c r="E310" s="869"/>
      <c r="F310" s="869"/>
      <c r="G310" s="869"/>
      <c r="H310" s="869"/>
      <c r="I310" s="869"/>
      <c r="J310" s="869"/>
      <c r="K310" s="869"/>
      <c r="L310" s="869"/>
      <c r="M310" s="869"/>
      <c r="N310" s="869"/>
      <c r="O310" s="869"/>
      <c r="P310" s="869"/>
      <c r="Q310" s="869"/>
      <c r="R310" s="869"/>
      <c r="S310" s="869"/>
      <c r="T310" s="869"/>
      <c r="U310" s="869"/>
      <c r="V310" s="869"/>
      <c r="W310" s="869"/>
      <c r="X310" s="869"/>
      <c r="Y310" s="869"/>
      <c r="Z310" s="869"/>
    </row>
    <row r="311">
      <c r="A311" s="869"/>
      <c r="B311" s="869"/>
      <c r="C311" s="869"/>
      <c r="D311" s="869"/>
      <c r="E311" s="869"/>
      <c r="F311" s="869"/>
      <c r="G311" s="869"/>
      <c r="H311" s="869"/>
      <c r="I311" s="869"/>
      <c r="J311" s="869"/>
      <c r="K311" s="869"/>
      <c r="L311" s="869"/>
      <c r="M311" s="869"/>
      <c r="N311" s="869"/>
      <c r="O311" s="869"/>
      <c r="P311" s="869"/>
      <c r="Q311" s="869"/>
      <c r="R311" s="869"/>
      <c r="S311" s="869"/>
      <c r="T311" s="869"/>
      <c r="U311" s="869"/>
      <c r="V311" s="869"/>
      <c r="W311" s="869"/>
      <c r="X311" s="869"/>
      <c r="Y311" s="869"/>
      <c r="Z311" s="869"/>
    </row>
    <row r="312">
      <c r="A312" s="869"/>
      <c r="B312" s="869"/>
      <c r="C312" s="869"/>
      <c r="D312" s="869"/>
      <c r="E312" s="869"/>
      <c r="F312" s="869"/>
      <c r="G312" s="869"/>
      <c r="H312" s="869"/>
      <c r="I312" s="869"/>
      <c r="J312" s="869"/>
      <c r="K312" s="869"/>
      <c r="L312" s="869"/>
      <c r="M312" s="869"/>
      <c r="N312" s="869"/>
      <c r="O312" s="869"/>
      <c r="P312" s="869"/>
      <c r="Q312" s="869"/>
      <c r="R312" s="869"/>
      <c r="S312" s="869"/>
      <c r="T312" s="869"/>
      <c r="U312" s="869"/>
      <c r="V312" s="869"/>
      <c r="W312" s="869"/>
      <c r="X312" s="869"/>
      <c r="Y312" s="869"/>
      <c r="Z312" s="869"/>
    </row>
    <row r="313">
      <c r="A313" s="869"/>
      <c r="B313" s="869"/>
      <c r="C313" s="869"/>
      <c r="D313" s="869"/>
      <c r="E313" s="869"/>
      <c r="F313" s="869"/>
      <c r="G313" s="869"/>
      <c r="H313" s="869"/>
      <c r="I313" s="869"/>
      <c r="J313" s="869"/>
      <c r="K313" s="869"/>
      <c r="L313" s="869"/>
      <c r="M313" s="869"/>
      <c r="N313" s="869"/>
      <c r="O313" s="869"/>
      <c r="P313" s="869"/>
      <c r="Q313" s="869"/>
      <c r="R313" s="869"/>
      <c r="S313" s="869"/>
      <c r="T313" s="869"/>
      <c r="U313" s="869"/>
      <c r="V313" s="869"/>
      <c r="W313" s="869"/>
      <c r="X313" s="869"/>
      <c r="Y313" s="869"/>
      <c r="Z313" s="869"/>
    </row>
    <row r="314">
      <c r="A314" s="869"/>
      <c r="B314" s="869"/>
      <c r="C314" s="869"/>
      <c r="D314" s="869"/>
      <c r="E314" s="869"/>
      <c r="F314" s="869"/>
      <c r="G314" s="869"/>
      <c r="H314" s="869"/>
      <c r="I314" s="869"/>
      <c r="J314" s="869"/>
      <c r="K314" s="869"/>
      <c r="L314" s="869"/>
      <c r="M314" s="869"/>
      <c r="N314" s="869"/>
      <c r="O314" s="869"/>
      <c r="P314" s="869"/>
      <c r="Q314" s="869"/>
      <c r="R314" s="869"/>
      <c r="S314" s="869"/>
      <c r="T314" s="869"/>
      <c r="U314" s="869"/>
      <c r="V314" s="869"/>
      <c r="W314" s="869"/>
      <c r="X314" s="869"/>
      <c r="Y314" s="869"/>
      <c r="Z314" s="869"/>
    </row>
    <row r="315">
      <c r="A315" s="869"/>
      <c r="B315" s="869"/>
      <c r="C315" s="869"/>
      <c r="D315" s="869"/>
      <c r="E315" s="869"/>
      <c r="F315" s="869"/>
      <c r="G315" s="869"/>
      <c r="H315" s="869"/>
      <c r="I315" s="869"/>
      <c r="J315" s="869"/>
      <c r="K315" s="869"/>
      <c r="L315" s="869"/>
      <c r="M315" s="869"/>
      <c r="N315" s="869"/>
      <c r="O315" s="869"/>
      <c r="P315" s="869"/>
      <c r="Q315" s="869"/>
      <c r="R315" s="869"/>
      <c r="S315" s="869"/>
      <c r="T315" s="869"/>
      <c r="U315" s="869"/>
      <c r="V315" s="869"/>
      <c r="W315" s="869"/>
      <c r="X315" s="869"/>
      <c r="Y315" s="869"/>
      <c r="Z315" s="869"/>
    </row>
    <row r="316">
      <c r="A316" s="869"/>
      <c r="B316" s="869"/>
      <c r="C316" s="869"/>
      <c r="D316" s="869"/>
      <c r="E316" s="869"/>
      <c r="F316" s="869"/>
      <c r="G316" s="869"/>
      <c r="H316" s="869"/>
      <c r="I316" s="869"/>
      <c r="J316" s="869"/>
      <c r="K316" s="869"/>
      <c r="L316" s="869"/>
      <c r="M316" s="869"/>
      <c r="N316" s="869"/>
      <c r="O316" s="869"/>
      <c r="P316" s="869"/>
      <c r="Q316" s="869"/>
      <c r="R316" s="869"/>
      <c r="S316" s="869"/>
      <c r="T316" s="869"/>
      <c r="U316" s="869"/>
      <c r="V316" s="869"/>
      <c r="W316" s="869"/>
      <c r="X316" s="869"/>
      <c r="Y316" s="869"/>
      <c r="Z316" s="869"/>
    </row>
    <row r="317">
      <c r="A317" s="869"/>
      <c r="B317" s="869"/>
      <c r="C317" s="869"/>
      <c r="D317" s="869"/>
      <c r="E317" s="869"/>
      <c r="F317" s="869"/>
      <c r="G317" s="869"/>
      <c r="H317" s="869"/>
      <c r="I317" s="869"/>
      <c r="J317" s="869"/>
      <c r="K317" s="869"/>
      <c r="L317" s="869"/>
      <c r="M317" s="869"/>
      <c r="N317" s="869"/>
      <c r="O317" s="869"/>
      <c r="P317" s="869"/>
      <c r="Q317" s="869"/>
      <c r="R317" s="869"/>
      <c r="S317" s="869"/>
      <c r="T317" s="869"/>
      <c r="U317" s="869"/>
      <c r="V317" s="869"/>
      <c r="W317" s="869"/>
      <c r="X317" s="869"/>
      <c r="Y317" s="869"/>
      <c r="Z317" s="869"/>
    </row>
    <row r="318">
      <c r="A318" s="869"/>
      <c r="B318" s="869"/>
      <c r="C318" s="869"/>
      <c r="D318" s="869"/>
      <c r="E318" s="869"/>
      <c r="F318" s="869"/>
      <c r="G318" s="869"/>
      <c r="H318" s="869"/>
      <c r="I318" s="869"/>
      <c r="J318" s="869"/>
      <c r="K318" s="869"/>
      <c r="L318" s="869"/>
      <c r="M318" s="869"/>
      <c r="N318" s="869"/>
      <c r="O318" s="869"/>
      <c r="P318" s="869"/>
      <c r="Q318" s="869"/>
      <c r="R318" s="869"/>
      <c r="S318" s="869"/>
      <c r="T318" s="869"/>
      <c r="U318" s="869"/>
      <c r="V318" s="869"/>
      <c r="W318" s="869"/>
      <c r="X318" s="869"/>
      <c r="Y318" s="869"/>
      <c r="Z318" s="869"/>
    </row>
    <row r="319">
      <c r="A319" s="869"/>
      <c r="B319" s="869"/>
      <c r="C319" s="869"/>
      <c r="D319" s="869"/>
      <c r="E319" s="869"/>
      <c r="F319" s="869"/>
      <c r="G319" s="869"/>
      <c r="H319" s="869"/>
      <c r="I319" s="869"/>
      <c r="J319" s="869"/>
      <c r="K319" s="869"/>
      <c r="L319" s="869"/>
      <c r="M319" s="869"/>
      <c r="N319" s="869"/>
      <c r="O319" s="869"/>
      <c r="P319" s="869"/>
      <c r="Q319" s="869"/>
      <c r="R319" s="869"/>
      <c r="S319" s="869"/>
      <c r="T319" s="869"/>
      <c r="U319" s="869"/>
      <c r="V319" s="869"/>
      <c r="W319" s="869"/>
      <c r="X319" s="869"/>
      <c r="Y319" s="869"/>
      <c r="Z319" s="869"/>
    </row>
    <row r="320">
      <c r="A320" s="869"/>
      <c r="B320" s="869"/>
      <c r="C320" s="869"/>
      <c r="D320" s="869"/>
      <c r="E320" s="869"/>
      <c r="F320" s="869"/>
      <c r="G320" s="869"/>
      <c r="H320" s="869"/>
      <c r="I320" s="869"/>
      <c r="J320" s="869"/>
      <c r="K320" s="869"/>
      <c r="L320" s="869"/>
      <c r="M320" s="869"/>
      <c r="N320" s="869"/>
      <c r="O320" s="869"/>
      <c r="P320" s="869"/>
      <c r="Q320" s="869"/>
      <c r="R320" s="869"/>
      <c r="S320" s="869"/>
      <c r="T320" s="869"/>
      <c r="U320" s="869"/>
      <c r="V320" s="869"/>
      <c r="W320" s="869"/>
      <c r="X320" s="869"/>
      <c r="Y320" s="869"/>
      <c r="Z320" s="869"/>
    </row>
    <row r="321">
      <c r="A321" s="869"/>
      <c r="B321" s="869"/>
      <c r="C321" s="869"/>
      <c r="D321" s="869"/>
      <c r="E321" s="869"/>
      <c r="F321" s="869"/>
      <c r="G321" s="869"/>
      <c r="H321" s="869"/>
      <c r="I321" s="869"/>
      <c r="J321" s="869"/>
      <c r="K321" s="869"/>
      <c r="L321" s="869"/>
      <c r="M321" s="869"/>
      <c r="N321" s="869"/>
      <c r="O321" s="869"/>
      <c r="P321" s="869"/>
      <c r="Q321" s="869"/>
      <c r="R321" s="869"/>
      <c r="S321" s="869"/>
      <c r="T321" s="869"/>
      <c r="U321" s="869"/>
      <c r="V321" s="869"/>
      <c r="W321" s="869"/>
      <c r="X321" s="869"/>
      <c r="Y321" s="869"/>
      <c r="Z321" s="869"/>
    </row>
    <row r="322">
      <c r="A322" s="869"/>
      <c r="B322" s="869"/>
      <c r="C322" s="869"/>
      <c r="D322" s="869"/>
      <c r="E322" s="869"/>
      <c r="F322" s="869"/>
      <c r="G322" s="869"/>
      <c r="H322" s="869"/>
      <c r="I322" s="869"/>
      <c r="J322" s="869"/>
      <c r="K322" s="869"/>
      <c r="L322" s="869"/>
      <c r="M322" s="869"/>
      <c r="N322" s="869"/>
      <c r="O322" s="869"/>
      <c r="P322" s="869"/>
      <c r="Q322" s="869"/>
      <c r="R322" s="869"/>
      <c r="S322" s="869"/>
      <c r="T322" s="869"/>
      <c r="U322" s="869"/>
      <c r="V322" s="869"/>
      <c r="W322" s="869"/>
      <c r="X322" s="869"/>
      <c r="Y322" s="869"/>
      <c r="Z322" s="869"/>
    </row>
    <row r="323">
      <c r="A323" s="869"/>
      <c r="B323" s="869"/>
      <c r="C323" s="869"/>
      <c r="D323" s="869"/>
      <c r="E323" s="869"/>
      <c r="F323" s="869"/>
      <c r="G323" s="869"/>
      <c r="H323" s="869"/>
      <c r="I323" s="869"/>
      <c r="J323" s="869"/>
      <c r="K323" s="869"/>
      <c r="L323" s="869"/>
      <c r="M323" s="869"/>
      <c r="N323" s="869"/>
      <c r="O323" s="869"/>
      <c r="P323" s="869"/>
      <c r="Q323" s="869"/>
      <c r="R323" s="869"/>
      <c r="S323" s="869"/>
      <c r="T323" s="869"/>
      <c r="U323" s="869"/>
      <c r="V323" s="869"/>
      <c r="W323" s="869"/>
      <c r="X323" s="869"/>
      <c r="Y323" s="869"/>
      <c r="Z323" s="869"/>
    </row>
    <row r="324">
      <c r="A324" s="869"/>
      <c r="B324" s="869"/>
      <c r="C324" s="869"/>
      <c r="D324" s="869"/>
      <c r="E324" s="869"/>
      <c r="F324" s="869"/>
      <c r="G324" s="869"/>
      <c r="H324" s="869"/>
      <c r="I324" s="869"/>
      <c r="J324" s="869"/>
      <c r="K324" s="869"/>
      <c r="L324" s="869"/>
      <c r="M324" s="869"/>
      <c r="N324" s="869"/>
      <c r="O324" s="869"/>
      <c r="P324" s="869"/>
      <c r="Q324" s="869"/>
      <c r="R324" s="869"/>
      <c r="S324" s="869"/>
      <c r="T324" s="869"/>
      <c r="U324" s="869"/>
      <c r="V324" s="869"/>
      <c r="W324" s="869"/>
      <c r="X324" s="869"/>
      <c r="Y324" s="869"/>
      <c r="Z324" s="869"/>
    </row>
    <row r="325">
      <c r="A325" s="869"/>
      <c r="B325" s="869"/>
      <c r="C325" s="869"/>
      <c r="D325" s="869"/>
      <c r="E325" s="869"/>
      <c r="F325" s="869"/>
      <c r="G325" s="869"/>
      <c r="H325" s="869"/>
      <c r="I325" s="869"/>
      <c r="J325" s="869"/>
      <c r="K325" s="869"/>
      <c r="L325" s="869"/>
      <c r="M325" s="869"/>
      <c r="N325" s="869"/>
      <c r="O325" s="869"/>
      <c r="P325" s="869"/>
      <c r="Q325" s="869"/>
      <c r="R325" s="869"/>
      <c r="S325" s="869"/>
      <c r="T325" s="869"/>
      <c r="U325" s="869"/>
      <c r="V325" s="869"/>
      <c r="W325" s="869"/>
      <c r="X325" s="869"/>
      <c r="Y325" s="869"/>
      <c r="Z325" s="869"/>
    </row>
    <row r="326">
      <c r="A326" s="869"/>
      <c r="B326" s="869"/>
      <c r="C326" s="869"/>
      <c r="D326" s="869"/>
      <c r="E326" s="869"/>
      <c r="F326" s="869"/>
      <c r="G326" s="869"/>
      <c r="H326" s="869"/>
      <c r="I326" s="869"/>
      <c r="J326" s="869"/>
      <c r="K326" s="869"/>
      <c r="L326" s="869"/>
      <c r="M326" s="869"/>
      <c r="N326" s="869"/>
      <c r="O326" s="869"/>
      <c r="P326" s="869"/>
      <c r="Q326" s="869"/>
      <c r="R326" s="869"/>
      <c r="S326" s="869"/>
      <c r="T326" s="869"/>
      <c r="U326" s="869"/>
      <c r="V326" s="869"/>
      <c r="W326" s="869"/>
      <c r="X326" s="869"/>
      <c r="Y326" s="869"/>
      <c r="Z326" s="869"/>
    </row>
    <row r="327">
      <c r="A327" s="869"/>
      <c r="B327" s="869"/>
      <c r="C327" s="869"/>
      <c r="D327" s="869"/>
      <c r="E327" s="869"/>
      <c r="F327" s="869"/>
      <c r="G327" s="869"/>
      <c r="H327" s="869"/>
      <c r="I327" s="869"/>
      <c r="J327" s="869"/>
      <c r="K327" s="869"/>
      <c r="L327" s="869"/>
      <c r="M327" s="869"/>
      <c r="N327" s="869"/>
      <c r="O327" s="869"/>
      <c r="P327" s="869"/>
      <c r="Q327" s="869"/>
      <c r="R327" s="869"/>
      <c r="S327" s="869"/>
      <c r="T327" s="869"/>
      <c r="U327" s="869"/>
      <c r="V327" s="869"/>
      <c r="W327" s="869"/>
      <c r="X327" s="869"/>
      <c r="Y327" s="869"/>
      <c r="Z327" s="869"/>
    </row>
    <row r="328">
      <c r="A328" s="869"/>
      <c r="B328" s="869"/>
      <c r="C328" s="869"/>
      <c r="D328" s="869"/>
      <c r="E328" s="869"/>
      <c r="F328" s="869"/>
      <c r="G328" s="869"/>
      <c r="H328" s="869"/>
      <c r="I328" s="869"/>
      <c r="J328" s="869"/>
      <c r="K328" s="869"/>
      <c r="L328" s="869"/>
      <c r="M328" s="869"/>
      <c r="N328" s="869"/>
      <c r="O328" s="869"/>
      <c r="P328" s="869"/>
      <c r="Q328" s="869"/>
      <c r="R328" s="869"/>
      <c r="S328" s="869"/>
      <c r="T328" s="869"/>
      <c r="U328" s="869"/>
      <c r="V328" s="869"/>
      <c r="W328" s="869"/>
      <c r="X328" s="869"/>
      <c r="Y328" s="869"/>
      <c r="Z328" s="869"/>
    </row>
    <row r="329">
      <c r="A329" s="869"/>
      <c r="B329" s="869"/>
      <c r="C329" s="869"/>
      <c r="D329" s="869"/>
      <c r="E329" s="869"/>
      <c r="F329" s="869"/>
      <c r="G329" s="869"/>
      <c r="H329" s="869"/>
      <c r="I329" s="869"/>
      <c r="J329" s="869"/>
      <c r="K329" s="869"/>
      <c r="L329" s="869"/>
      <c r="M329" s="869"/>
      <c r="N329" s="869"/>
      <c r="O329" s="869"/>
      <c r="P329" s="869"/>
      <c r="Q329" s="869"/>
      <c r="R329" s="869"/>
      <c r="S329" s="869"/>
      <c r="T329" s="869"/>
      <c r="U329" s="869"/>
      <c r="V329" s="869"/>
      <c r="W329" s="869"/>
      <c r="X329" s="869"/>
      <c r="Y329" s="869"/>
      <c r="Z329" s="869"/>
    </row>
    <row r="330">
      <c r="A330" s="869"/>
      <c r="B330" s="869"/>
      <c r="C330" s="869"/>
      <c r="D330" s="869"/>
      <c r="E330" s="869"/>
      <c r="F330" s="869"/>
      <c r="G330" s="869"/>
      <c r="H330" s="869"/>
      <c r="I330" s="869"/>
      <c r="J330" s="869"/>
      <c r="K330" s="869"/>
      <c r="L330" s="869"/>
      <c r="M330" s="869"/>
      <c r="N330" s="869"/>
      <c r="O330" s="869"/>
      <c r="P330" s="869"/>
      <c r="Q330" s="869"/>
      <c r="R330" s="869"/>
      <c r="S330" s="869"/>
      <c r="T330" s="869"/>
      <c r="U330" s="869"/>
      <c r="V330" s="869"/>
      <c r="W330" s="869"/>
      <c r="X330" s="869"/>
      <c r="Y330" s="869"/>
      <c r="Z330" s="869"/>
    </row>
    <row r="331">
      <c r="A331" s="869"/>
      <c r="B331" s="869"/>
      <c r="C331" s="869"/>
      <c r="D331" s="869"/>
      <c r="E331" s="869"/>
      <c r="F331" s="869"/>
      <c r="G331" s="869"/>
      <c r="H331" s="869"/>
      <c r="I331" s="869"/>
      <c r="J331" s="869"/>
      <c r="K331" s="869"/>
      <c r="L331" s="869"/>
      <c r="M331" s="869"/>
      <c r="N331" s="869"/>
      <c r="O331" s="869"/>
      <c r="P331" s="869"/>
      <c r="Q331" s="869"/>
      <c r="R331" s="869"/>
      <c r="S331" s="869"/>
      <c r="T331" s="869"/>
      <c r="U331" s="869"/>
      <c r="V331" s="869"/>
      <c r="W331" s="869"/>
      <c r="X331" s="869"/>
      <c r="Y331" s="869"/>
      <c r="Z331" s="869"/>
    </row>
    <row r="332">
      <c r="A332" s="869"/>
      <c r="B332" s="869"/>
      <c r="C332" s="869"/>
      <c r="D332" s="869"/>
      <c r="E332" s="869"/>
      <c r="F332" s="869"/>
      <c r="G332" s="869"/>
      <c r="H332" s="869"/>
      <c r="I332" s="869"/>
      <c r="J332" s="869"/>
      <c r="K332" s="869"/>
      <c r="L332" s="869"/>
      <c r="M332" s="869"/>
      <c r="N332" s="869"/>
      <c r="O332" s="869"/>
      <c r="P332" s="869"/>
      <c r="Q332" s="869"/>
      <c r="R332" s="869"/>
      <c r="S332" s="869"/>
      <c r="T332" s="869"/>
      <c r="U332" s="869"/>
      <c r="V332" s="869"/>
      <c r="W332" s="869"/>
      <c r="X332" s="869"/>
      <c r="Y332" s="869"/>
      <c r="Z332" s="869"/>
    </row>
    <row r="333">
      <c r="A333" s="869"/>
      <c r="B333" s="869"/>
      <c r="C333" s="869"/>
      <c r="D333" s="869"/>
      <c r="E333" s="869"/>
      <c r="F333" s="869"/>
      <c r="G333" s="869"/>
      <c r="H333" s="869"/>
      <c r="I333" s="869"/>
      <c r="J333" s="869"/>
      <c r="K333" s="869"/>
      <c r="L333" s="869"/>
      <c r="M333" s="869"/>
      <c r="N333" s="869"/>
      <c r="O333" s="869"/>
      <c r="P333" s="869"/>
      <c r="Q333" s="869"/>
      <c r="R333" s="869"/>
      <c r="S333" s="869"/>
      <c r="T333" s="869"/>
      <c r="U333" s="869"/>
      <c r="V333" s="869"/>
      <c r="W333" s="869"/>
      <c r="X333" s="869"/>
      <c r="Y333" s="869"/>
      <c r="Z333" s="869"/>
    </row>
    <row r="334">
      <c r="A334" s="869"/>
      <c r="B334" s="869"/>
      <c r="C334" s="869"/>
      <c r="D334" s="869"/>
      <c r="E334" s="869"/>
      <c r="F334" s="869"/>
      <c r="G334" s="869"/>
      <c r="H334" s="869"/>
      <c r="I334" s="869"/>
      <c r="J334" s="869"/>
      <c r="K334" s="869"/>
      <c r="L334" s="869"/>
      <c r="M334" s="869"/>
      <c r="N334" s="869"/>
      <c r="O334" s="869"/>
      <c r="P334" s="869"/>
      <c r="Q334" s="869"/>
      <c r="R334" s="869"/>
      <c r="S334" s="869"/>
      <c r="T334" s="869"/>
      <c r="U334" s="869"/>
      <c r="V334" s="869"/>
      <c r="W334" s="869"/>
      <c r="X334" s="869"/>
      <c r="Y334" s="869"/>
      <c r="Z334" s="869"/>
    </row>
    <row r="335">
      <c r="A335" s="869"/>
      <c r="B335" s="869"/>
      <c r="C335" s="869"/>
      <c r="D335" s="869"/>
      <c r="E335" s="869"/>
      <c r="F335" s="869"/>
      <c r="G335" s="869"/>
      <c r="H335" s="869"/>
      <c r="I335" s="869"/>
      <c r="J335" s="869"/>
      <c r="K335" s="869"/>
      <c r="L335" s="869"/>
      <c r="M335" s="869"/>
      <c r="N335" s="869"/>
      <c r="O335" s="869"/>
      <c r="P335" s="869"/>
      <c r="Q335" s="869"/>
      <c r="R335" s="869"/>
      <c r="S335" s="869"/>
      <c r="T335" s="869"/>
      <c r="U335" s="869"/>
      <c r="V335" s="869"/>
      <c r="W335" s="869"/>
      <c r="X335" s="869"/>
      <c r="Y335" s="869"/>
      <c r="Z335" s="869"/>
    </row>
    <row r="336">
      <c r="A336" s="869"/>
      <c r="B336" s="869"/>
      <c r="C336" s="869"/>
      <c r="D336" s="869"/>
      <c r="E336" s="869"/>
      <c r="F336" s="869"/>
      <c r="G336" s="869"/>
      <c r="H336" s="869"/>
      <c r="I336" s="869"/>
      <c r="J336" s="869"/>
      <c r="K336" s="869"/>
      <c r="L336" s="869"/>
      <c r="M336" s="869"/>
      <c r="N336" s="869"/>
      <c r="O336" s="869"/>
      <c r="P336" s="869"/>
      <c r="Q336" s="869"/>
      <c r="R336" s="869"/>
      <c r="S336" s="869"/>
      <c r="T336" s="869"/>
      <c r="U336" s="869"/>
      <c r="V336" s="869"/>
      <c r="W336" s="869"/>
      <c r="X336" s="869"/>
      <c r="Y336" s="869"/>
      <c r="Z336" s="869"/>
    </row>
    <row r="337">
      <c r="A337" s="869"/>
      <c r="B337" s="869"/>
      <c r="C337" s="869"/>
      <c r="D337" s="869"/>
      <c r="E337" s="869"/>
      <c r="F337" s="869"/>
      <c r="G337" s="869"/>
      <c r="H337" s="869"/>
      <c r="I337" s="869"/>
      <c r="J337" s="869"/>
      <c r="K337" s="869"/>
      <c r="L337" s="869"/>
      <c r="M337" s="869"/>
      <c r="N337" s="869"/>
      <c r="O337" s="869"/>
      <c r="P337" s="869"/>
      <c r="Q337" s="869"/>
      <c r="R337" s="869"/>
      <c r="S337" s="869"/>
      <c r="T337" s="869"/>
      <c r="U337" s="869"/>
      <c r="V337" s="869"/>
      <c r="W337" s="869"/>
      <c r="X337" s="869"/>
      <c r="Y337" s="869"/>
      <c r="Z337" s="869"/>
    </row>
    <row r="338">
      <c r="A338" s="869"/>
      <c r="B338" s="869"/>
      <c r="C338" s="869"/>
      <c r="D338" s="869"/>
      <c r="E338" s="869"/>
      <c r="F338" s="869"/>
      <c r="G338" s="869"/>
      <c r="H338" s="869"/>
      <c r="I338" s="869"/>
      <c r="J338" s="869"/>
      <c r="K338" s="869"/>
      <c r="L338" s="869"/>
      <c r="M338" s="869"/>
      <c r="N338" s="869"/>
      <c r="O338" s="869"/>
      <c r="P338" s="869"/>
      <c r="Q338" s="869"/>
      <c r="R338" s="869"/>
      <c r="S338" s="869"/>
      <c r="T338" s="869"/>
      <c r="U338" s="869"/>
      <c r="V338" s="869"/>
      <c r="W338" s="869"/>
      <c r="X338" s="869"/>
      <c r="Y338" s="869"/>
      <c r="Z338" s="869"/>
    </row>
    <row r="339">
      <c r="A339" s="869"/>
      <c r="B339" s="869"/>
      <c r="C339" s="869"/>
      <c r="D339" s="869"/>
      <c r="E339" s="869"/>
      <c r="F339" s="869"/>
      <c r="G339" s="869"/>
      <c r="H339" s="869"/>
      <c r="I339" s="869"/>
      <c r="J339" s="869"/>
      <c r="K339" s="869"/>
      <c r="L339" s="869"/>
      <c r="M339" s="869"/>
      <c r="N339" s="869"/>
      <c r="O339" s="869"/>
      <c r="P339" s="869"/>
      <c r="Q339" s="869"/>
      <c r="R339" s="869"/>
      <c r="S339" s="869"/>
      <c r="T339" s="869"/>
      <c r="U339" s="869"/>
      <c r="V339" s="869"/>
      <c r="W339" s="869"/>
      <c r="X339" s="869"/>
      <c r="Y339" s="869"/>
      <c r="Z339" s="869"/>
    </row>
    <row r="340">
      <c r="A340" s="869"/>
      <c r="B340" s="869"/>
      <c r="C340" s="869"/>
      <c r="D340" s="869"/>
      <c r="E340" s="869"/>
      <c r="F340" s="869"/>
      <c r="G340" s="869"/>
      <c r="H340" s="869"/>
      <c r="I340" s="869"/>
      <c r="J340" s="869"/>
      <c r="K340" s="869"/>
      <c r="L340" s="869"/>
      <c r="M340" s="869"/>
      <c r="N340" s="869"/>
      <c r="O340" s="869"/>
      <c r="P340" s="869"/>
      <c r="Q340" s="869"/>
      <c r="R340" s="869"/>
      <c r="S340" s="869"/>
      <c r="T340" s="869"/>
      <c r="U340" s="869"/>
      <c r="V340" s="869"/>
      <c r="W340" s="869"/>
      <c r="X340" s="869"/>
      <c r="Y340" s="869"/>
      <c r="Z340" s="869"/>
    </row>
    <row r="341">
      <c r="A341" s="869"/>
      <c r="B341" s="869"/>
      <c r="C341" s="869"/>
      <c r="D341" s="869"/>
      <c r="E341" s="869"/>
      <c r="F341" s="869"/>
      <c r="G341" s="869"/>
      <c r="H341" s="869"/>
      <c r="I341" s="869"/>
      <c r="J341" s="869"/>
      <c r="K341" s="869"/>
      <c r="L341" s="869"/>
      <c r="M341" s="869"/>
      <c r="N341" s="869"/>
      <c r="O341" s="869"/>
      <c r="P341" s="869"/>
      <c r="Q341" s="869"/>
      <c r="R341" s="869"/>
      <c r="S341" s="869"/>
      <c r="T341" s="869"/>
      <c r="U341" s="869"/>
      <c r="V341" s="869"/>
      <c r="W341" s="869"/>
      <c r="X341" s="869"/>
      <c r="Y341" s="869"/>
      <c r="Z341" s="869"/>
    </row>
    <row r="342">
      <c r="A342" s="869"/>
      <c r="B342" s="869"/>
      <c r="C342" s="869"/>
      <c r="D342" s="869"/>
      <c r="E342" s="869"/>
      <c r="F342" s="869"/>
      <c r="G342" s="869"/>
      <c r="H342" s="869"/>
      <c r="I342" s="869"/>
      <c r="J342" s="869"/>
      <c r="K342" s="869"/>
      <c r="L342" s="869"/>
      <c r="M342" s="869"/>
      <c r="N342" s="869"/>
      <c r="O342" s="869"/>
      <c r="P342" s="869"/>
      <c r="Q342" s="869"/>
      <c r="R342" s="869"/>
      <c r="S342" s="869"/>
      <c r="T342" s="869"/>
      <c r="U342" s="869"/>
      <c r="V342" s="869"/>
      <c r="W342" s="869"/>
      <c r="X342" s="869"/>
      <c r="Y342" s="869"/>
      <c r="Z342" s="869"/>
    </row>
    <row r="343">
      <c r="A343" s="869"/>
      <c r="B343" s="869"/>
      <c r="C343" s="869"/>
      <c r="D343" s="869"/>
      <c r="E343" s="869"/>
      <c r="F343" s="869"/>
      <c r="G343" s="869"/>
      <c r="H343" s="869"/>
      <c r="I343" s="869"/>
      <c r="J343" s="869"/>
      <c r="K343" s="869"/>
      <c r="L343" s="869"/>
      <c r="M343" s="869"/>
      <c r="N343" s="869"/>
      <c r="O343" s="869"/>
      <c r="P343" s="869"/>
      <c r="Q343" s="869"/>
      <c r="R343" s="869"/>
      <c r="S343" s="869"/>
      <c r="T343" s="869"/>
      <c r="U343" s="869"/>
      <c r="V343" s="869"/>
      <c r="W343" s="869"/>
      <c r="X343" s="869"/>
      <c r="Y343" s="869"/>
      <c r="Z343" s="869"/>
    </row>
    <row r="344">
      <c r="A344" s="869"/>
      <c r="B344" s="869"/>
      <c r="C344" s="869"/>
      <c r="D344" s="869"/>
      <c r="E344" s="869"/>
      <c r="F344" s="869"/>
      <c r="G344" s="869"/>
      <c r="H344" s="869"/>
      <c r="I344" s="869"/>
      <c r="J344" s="869"/>
      <c r="K344" s="869"/>
      <c r="L344" s="869"/>
      <c r="M344" s="869"/>
      <c r="N344" s="869"/>
      <c r="O344" s="869"/>
      <c r="P344" s="869"/>
      <c r="Q344" s="869"/>
      <c r="R344" s="869"/>
      <c r="S344" s="869"/>
      <c r="T344" s="869"/>
      <c r="U344" s="869"/>
      <c r="V344" s="869"/>
      <c r="W344" s="869"/>
      <c r="X344" s="869"/>
      <c r="Y344" s="869"/>
      <c r="Z344" s="869"/>
    </row>
    <row r="345">
      <c r="A345" s="869"/>
      <c r="B345" s="869"/>
      <c r="C345" s="869"/>
      <c r="D345" s="869"/>
      <c r="E345" s="869"/>
      <c r="F345" s="869"/>
      <c r="G345" s="869"/>
      <c r="H345" s="869"/>
      <c r="I345" s="869"/>
      <c r="J345" s="869"/>
      <c r="K345" s="869"/>
      <c r="L345" s="869"/>
      <c r="M345" s="869"/>
      <c r="N345" s="869"/>
      <c r="O345" s="869"/>
      <c r="P345" s="869"/>
      <c r="Q345" s="869"/>
      <c r="R345" s="869"/>
      <c r="S345" s="869"/>
      <c r="T345" s="869"/>
      <c r="U345" s="869"/>
      <c r="V345" s="869"/>
      <c r="W345" s="869"/>
      <c r="X345" s="869"/>
      <c r="Y345" s="869"/>
      <c r="Z345" s="869"/>
    </row>
    <row r="346">
      <c r="A346" s="869"/>
      <c r="B346" s="869"/>
      <c r="C346" s="869"/>
      <c r="D346" s="869"/>
      <c r="E346" s="869"/>
      <c r="F346" s="869"/>
      <c r="G346" s="869"/>
      <c r="H346" s="869"/>
      <c r="I346" s="869"/>
      <c r="J346" s="869"/>
      <c r="K346" s="869"/>
      <c r="L346" s="869"/>
      <c r="M346" s="869"/>
      <c r="N346" s="869"/>
      <c r="O346" s="869"/>
      <c r="P346" s="869"/>
      <c r="Q346" s="869"/>
      <c r="R346" s="869"/>
      <c r="S346" s="869"/>
      <c r="T346" s="869"/>
      <c r="U346" s="869"/>
      <c r="V346" s="869"/>
      <c r="W346" s="869"/>
      <c r="X346" s="869"/>
      <c r="Y346" s="869"/>
      <c r="Z346" s="869"/>
    </row>
    <row r="347">
      <c r="A347" s="869"/>
      <c r="B347" s="869"/>
      <c r="C347" s="869"/>
      <c r="D347" s="869"/>
      <c r="E347" s="869"/>
      <c r="F347" s="869"/>
      <c r="G347" s="869"/>
      <c r="H347" s="869"/>
      <c r="I347" s="869"/>
      <c r="J347" s="869"/>
      <c r="K347" s="869"/>
      <c r="L347" s="869"/>
      <c r="M347" s="869"/>
      <c r="N347" s="869"/>
      <c r="O347" s="869"/>
      <c r="P347" s="869"/>
      <c r="Q347" s="869"/>
      <c r="R347" s="869"/>
      <c r="S347" s="869"/>
      <c r="T347" s="869"/>
      <c r="U347" s="869"/>
      <c r="V347" s="869"/>
      <c r="W347" s="869"/>
      <c r="X347" s="869"/>
      <c r="Y347" s="869"/>
      <c r="Z347" s="869"/>
    </row>
    <row r="348">
      <c r="A348" s="869"/>
      <c r="B348" s="869"/>
      <c r="C348" s="869"/>
      <c r="D348" s="869"/>
      <c r="E348" s="869"/>
      <c r="F348" s="869"/>
      <c r="G348" s="869"/>
      <c r="H348" s="869"/>
      <c r="I348" s="869"/>
      <c r="J348" s="869"/>
      <c r="K348" s="869"/>
      <c r="L348" s="869"/>
      <c r="M348" s="869"/>
      <c r="N348" s="869"/>
      <c r="O348" s="869"/>
      <c r="P348" s="869"/>
      <c r="Q348" s="869"/>
      <c r="R348" s="869"/>
      <c r="S348" s="869"/>
      <c r="T348" s="869"/>
      <c r="U348" s="869"/>
      <c r="V348" s="869"/>
      <c r="W348" s="869"/>
      <c r="X348" s="869"/>
      <c r="Y348" s="869"/>
      <c r="Z348" s="869"/>
    </row>
    <row r="349">
      <c r="A349" s="869"/>
      <c r="B349" s="869"/>
      <c r="C349" s="869"/>
      <c r="D349" s="869"/>
      <c r="E349" s="869"/>
      <c r="F349" s="869"/>
      <c r="G349" s="869"/>
      <c r="H349" s="869"/>
      <c r="I349" s="869"/>
      <c r="J349" s="869"/>
      <c r="K349" s="869"/>
      <c r="L349" s="869"/>
      <c r="M349" s="869"/>
      <c r="N349" s="869"/>
      <c r="O349" s="869"/>
      <c r="P349" s="869"/>
      <c r="Q349" s="869"/>
      <c r="R349" s="869"/>
      <c r="S349" s="869"/>
      <c r="T349" s="869"/>
      <c r="U349" s="869"/>
      <c r="V349" s="869"/>
      <c r="W349" s="869"/>
      <c r="X349" s="869"/>
      <c r="Y349" s="869"/>
      <c r="Z349" s="869"/>
    </row>
    <row r="350">
      <c r="A350" s="869"/>
      <c r="B350" s="869"/>
      <c r="C350" s="869"/>
      <c r="D350" s="869"/>
      <c r="E350" s="869"/>
      <c r="F350" s="869"/>
      <c r="G350" s="869"/>
      <c r="H350" s="869"/>
      <c r="I350" s="869"/>
      <c r="J350" s="869"/>
      <c r="K350" s="869"/>
      <c r="L350" s="869"/>
      <c r="M350" s="869"/>
      <c r="N350" s="869"/>
      <c r="O350" s="869"/>
      <c r="P350" s="869"/>
      <c r="Q350" s="869"/>
      <c r="R350" s="869"/>
      <c r="S350" s="869"/>
      <c r="T350" s="869"/>
      <c r="U350" s="869"/>
      <c r="V350" s="869"/>
      <c r="W350" s="869"/>
      <c r="X350" s="869"/>
      <c r="Y350" s="869"/>
      <c r="Z350" s="869"/>
    </row>
    <row r="351">
      <c r="A351" s="869"/>
      <c r="B351" s="869"/>
      <c r="C351" s="869"/>
      <c r="D351" s="869"/>
      <c r="E351" s="869"/>
      <c r="F351" s="869"/>
      <c r="G351" s="869"/>
      <c r="H351" s="869"/>
      <c r="I351" s="869"/>
      <c r="J351" s="869"/>
      <c r="K351" s="869"/>
      <c r="L351" s="869"/>
      <c r="M351" s="869"/>
      <c r="N351" s="869"/>
      <c r="O351" s="869"/>
      <c r="P351" s="869"/>
      <c r="Q351" s="869"/>
      <c r="R351" s="869"/>
      <c r="S351" s="869"/>
      <c r="T351" s="869"/>
      <c r="U351" s="869"/>
      <c r="V351" s="869"/>
      <c r="W351" s="869"/>
      <c r="X351" s="869"/>
      <c r="Y351" s="869"/>
      <c r="Z351" s="869"/>
    </row>
    <row r="352">
      <c r="A352" s="869"/>
      <c r="B352" s="869"/>
      <c r="C352" s="869"/>
      <c r="D352" s="869"/>
      <c r="E352" s="869"/>
      <c r="F352" s="869"/>
      <c r="G352" s="869"/>
      <c r="H352" s="869"/>
      <c r="I352" s="869"/>
      <c r="J352" s="869"/>
      <c r="K352" s="869"/>
      <c r="L352" s="869"/>
      <c r="M352" s="869"/>
      <c r="N352" s="869"/>
      <c r="O352" s="869"/>
      <c r="P352" s="869"/>
      <c r="Q352" s="869"/>
      <c r="R352" s="869"/>
      <c r="S352" s="869"/>
      <c r="T352" s="869"/>
      <c r="U352" s="869"/>
      <c r="V352" s="869"/>
      <c r="W352" s="869"/>
      <c r="X352" s="869"/>
      <c r="Y352" s="869"/>
      <c r="Z352" s="869"/>
    </row>
    <row r="353">
      <c r="A353" s="869"/>
      <c r="B353" s="869"/>
      <c r="C353" s="869"/>
      <c r="D353" s="869"/>
      <c r="E353" s="869"/>
      <c r="F353" s="869"/>
      <c r="G353" s="869"/>
      <c r="H353" s="869"/>
      <c r="I353" s="869"/>
      <c r="J353" s="869"/>
      <c r="K353" s="869"/>
      <c r="L353" s="869"/>
      <c r="M353" s="869"/>
      <c r="N353" s="869"/>
      <c r="O353" s="869"/>
      <c r="P353" s="869"/>
      <c r="Q353" s="869"/>
      <c r="R353" s="869"/>
      <c r="S353" s="869"/>
      <c r="T353" s="869"/>
      <c r="U353" s="869"/>
      <c r="V353" s="869"/>
      <c r="W353" s="869"/>
      <c r="X353" s="869"/>
      <c r="Y353" s="869"/>
      <c r="Z353" s="869"/>
    </row>
    <row r="354">
      <c r="A354" s="869"/>
      <c r="B354" s="869"/>
      <c r="C354" s="869"/>
      <c r="D354" s="869"/>
      <c r="E354" s="869"/>
      <c r="F354" s="869"/>
      <c r="G354" s="869"/>
      <c r="H354" s="869"/>
      <c r="I354" s="869"/>
      <c r="J354" s="869"/>
      <c r="K354" s="869"/>
      <c r="L354" s="869"/>
      <c r="M354" s="869"/>
      <c r="N354" s="869"/>
      <c r="O354" s="869"/>
      <c r="P354" s="869"/>
      <c r="Q354" s="869"/>
      <c r="R354" s="869"/>
      <c r="S354" s="869"/>
      <c r="T354" s="869"/>
      <c r="U354" s="869"/>
      <c r="V354" s="869"/>
      <c r="W354" s="869"/>
      <c r="X354" s="869"/>
      <c r="Y354" s="869"/>
      <c r="Z354" s="869"/>
    </row>
    <row r="355">
      <c r="A355" s="869"/>
      <c r="B355" s="869"/>
      <c r="C355" s="869"/>
      <c r="D355" s="869"/>
      <c r="E355" s="869"/>
      <c r="F355" s="869"/>
      <c r="G355" s="869"/>
      <c r="H355" s="869"/>
      <c r="I355" s="869"/>
      <c r="J355" s="869"/>
      <c r="K355" s="869"/>
      <c r="L355" s="869"/>
      <c r="M355" s="869"/>
      <c r="N355" s="869"/>
      <c r="O355" s="869"/>
      <c r="P355" s="869"/>
      <c r="Q355" s="869"/>
      <c r="R355" s="869"/>
      <c r="S355" s="869"/>
      <c r="T355" s="869"/>
      <c r="U355" s="869"/>
      <c r="V355" s="869"/>
      <c r="W355" s="869"/>
      <c r="X355" s="869"/>
      <c r="Y355" s="869"/>
      <c r="Z355" s="869"/>
    </row>
    <row r="356">
      <c r="A356" s="869"/>
      <c r="B356" s="869"/>
      <c r="C356" s="869"/>
      <c r="D356" s="869"/>
      <c r="E356" s="869"/>
      <c r="F356" s="869"/>
      <c r="G356" s="869"/>
      <c r="H356" s="869"/>
      <c r="I356" s="869"/>
      <c r="J356" s="869"/>
      <c r="K356" s="869"/>
      <c r="L356" s="869"/>
      <c r="M356" s="869"/>
      <c r="N356" s="869"/>
      <c r="O356" s="869"/>
      <c r="P356" s="869"/>
      <c r="Q356" s="869"/>
      <c r="R356" s="869"/>
      <c r="S356" s="869"/>
      <c r="T356" s="869"/>
      <c r="U356" s="869"/>
      <c r="V356" s="869"/>
      <c r="W356" s="869"/>
      <c r="X356" s="869"/>
      <c r="Y356" s="869"/>
      <c r="Z356" s="869"/>
    </row>
    <row r="357">
      <c r="A357" s="869"/>
      <c r="B357" s="869"/>
      <c r="C357" s="869"/>
      <c r="D357" s="869"/>
      <c r="E357" s="869"/>
      <c r="F357" s="869"/>
      <c r="G357" s="869"/>
      <c r="H357" s="869"/>
      <c r="I357" s="869"/>
      <c r="J357" s="869"/>
      <c r="K357" s="869"/>
      <c r="L357" s="869"/>
      <c r="M357" s="869"/>
      <c r="N357" s="869"/>
      <c r="O357" s="869"/>
      <c r="P357" s="869"/>
      <c r="Q357" s="869"/>
      <c r="R357" s="869"/>
      <c r="S357" s="869"/>
      <c r="T357" s="869"/>
      <c r="U357" s="869"/>
      <c r="V357" s="869"/>
      <c r="W357" s="869"/>
      <c r="X357" s="869"/>
      <c r="Y357" s="869"/>
      <c r="Z357" s="869"/>
    </row>
    <row r="358">
      <c r="A358" s="869"/>
      <c r="B358" s="869"/>
      <c r="C358" s="869"/>
      <c r="D358" s="869"/>
      <c r="E358" s="869"/>
      <c r="F358" s="869"/>
      <c r="G358" s="869"/>
      <c r="H358" s="869"/>
      <c r="I358" s="869"/>
      <c r="J358" s="869"/>
      <c r="K358" s="869"/>
      <c r="L358" s="869"/>
      <c r="M358" s="869"/>
      <c r="N358" s="869"/>
      <c r="O358" s="869"/>
      <c r="P358" s="869"/>
      <c r="Q358" s="869"/>
      <c r="R358" s="869"/>
      <c r="S358" s="869"/>
      <c r="T358" s="869"/>
      <c r="U358" s="869"/>
      <c r="V358" s="869"/>
      <c r="W358" s="869"/>
      <c r="X358" s="869"/>
      <c r="Y358" s="869"/>
      <c r="Z358" s="869"/>
    </row>
    <row r="359">
      <c r="A359" s="869"/>
      <c r="B359" s="869"/>
      <c r="C359" s="869"/>
      <c r="D359" s="869"/>
      <c r="E359" s="869"/>
      <c r="F359" s="869"/>
      <c r="G359" s="869"/>
      <c r="H359" s="869"/>
      <c r="I359" s="869"/>
      <c r="J359" s="869"/>
      <c r="K359" s="869"/>
      <c r="L359" s="869"/>
      <c r="M359" s="869"/>
      <c r="N359" s="869"/>
      <c r="O359" s="869"/>
      <c r="P359" s="869"/>
      <c r="Q359" s="869"/>
      <c r="R359" s="869"/>
      <c r="S359" s="869"/>
      <c r="T359" s="869"/>
      <c r="U359" s="869"/>
      <c r="V359" s="869"/>
      <c r="W359" s="869"/>
      <c r="X359" s="869"/>
      <c r="Y359" s="869"/>
      <c r="Z359" s="869"/>
    </row>
    <row r="360">
      <c r="A360" s="869"/>
      <c r="B360" s="869"/>
      <c r="C360" s="869"/>
      <c r="D360" s="869"/>
      <c r="E360" s="869"/>
      <c r="F360" s="869"/>
      <c r="G360" s="869"/>
      <c r="H360" s="869"/>
      <c r="I360" s="869"/>
      <c r="J360" s="869"/>
      <c r="K360" s="869"/>
      <c r="L360" s="869"/>
      <c r="M360" s="869"/>
      <c r="N360" s="869"/>
      <c r="O360" s="869"/>
      <c r="P360" s="869"/>
      <c r="Q360" s="869"/>
      <c r="R360" s="869"/>
      <c r="S360" s="869"/>
      <c r="T360" s="869"/>
      <c r="U360" s="869"/>
      <c r="V360" s="869"/>
      <c r="W360" s="869"/>
      <c r="X360" s="869"/>
      <c r="Y360" s="869"/>
      <c r="Z360" s="869"/>
    </row>
    <row r="361">
      <c r="A361" s="869"/>
      <c r="B361" s="869"/>
      <c r="C361" s="869"/>
      <c r="D361" s="869"/>
      <c r="E361" s="869"/>
      <c r="F361" s="869"/>
      <c r="G361" s="869"/>
      <c r="H361" s="869"/>
      <c r="I361" s="869"/>
      <c r="J361" s="869"/>
      <c r="K361" s="869"/>
      <c r="L361" s="869"/>
      <c r="M361" s="869"/>
      <c r="N361" s="869"/>
      <c r="O361" s="869"/>
      <c r="P361" s="869"/>
      <c r="Q361" s="869"/>
      <c r="R361" s="869"/>
      <c r="S361" s="869"/>
      <c r="T361" s="869"/>
      <c r="U361" s="869"/>
      <c r="V361" s="869"/>
      <c r="W361" s="869"/>
      <c r="X361" s="869"/>
      <c r="Y361" s="869"/>
      <c r="Z361" s="869"/>
    </row>
    <row r="362">
      <c r="A362" s="869"/>
      <c r="B362" s="869"/>
      <c r="C362" s="869"/>
      <c r="D362" s="869"/>
      <c r="E362" s="869"/>
      <c r="F362" s="869"/>
      <c r="G362" s="869"/>
      <c r="H362" s="869"/>
      <c r="I362" s="869"/>
      <c r="J362" s="869"/>
      <c r="K362" s="869"/>
      <c r="L362" s="869"/>
      <c r="M362" s="869"/>
      <c r="N362" s="869"/>
      <c r="O362" s="869"/>
      <c r="P362" s="869"/>
      <c r="Q362" s="869"/>
      <c r="R362" s="869"/>
      <c r="S362" s="869"/>
      <c r="T362" s="869"/>
      <c r="U362" s="869"/>
      <c r="V362" s="869"/>
      <c r="W362" s="869"/>
      <c r="X362" s="869"/>
      <c r="Y362" s="869"/>
      <c r="Z362" s="869"/>
    </row>
    <row r="363">
      <c r="A363" s="869"/>
      <c r="B363" s="869"/>
      <c r="C363" s="869"/>
      <c r="D363" s="869"/>
      <c r="E363" s="869"/>
      <c r="F363" s="869"/>
      <c r="G363" s="869"/>
      <c r="H363" s="869"/>
      <c r="I363" s="869"/>
      <c r="J363" s="869"/>
      <c r="K363" s="869"/>
      <c r="L363" s="869"/>
      <c r="M363" s="869"/>
      <c r="N363" s="869"/>
      <c r="O363" s="869"/>
      <c r="P363" s="869"/>
      <c r="Q363" s="869"/>
      <c r="R363" s="869"/>
      <c r="S363" s="869"/>
      <c r="T363" s="869"/>
      <c r="U363" s="869"/>
      <c r="V363" s="869"/>
      <c r="W363" s="869"/>
      <c r="X363" s="869"/>
      <c r="Y363" s="869"/>
      <c r="Z363" s="869"/>
    </row>
    <row r="364">
      <c r="A364" s="869"/>
      <c r="B364" s="869"/>
      <c r="C364" s="869"/>
      <c r="D364" s="869"/>
      <c r="E364" s="869"/>
      <c r="F364" s="869"/>
      <c r="G364" s="869"/>
      <c r="H364" s="869"/>
      <c r="I364" s="869"/>
      <c r="J364" s="869"/>
      <c r="K364" s="869"/>
      <c r="L364" s="869"/>
      <c r="M364" s="869"/>
      <c r="N364" s="869"/>
      <c r="O364" s="869"/>
      <c r="P364" s="869"/>
      <c r="Q364" s="869"/>
      <c r="R364" s="869"/>
      <c r="S364" s="869"/>
      <c r="T364" s="869"/>
      <c r="U364" s="869"/>
      <c r="V364" s="869"/>
      <c r="W364" s="869"/>
      <c r="X364" s="869"/>
      <c r="Y364" s="869"/>
      <c r="Z364" s="869"/>
    </row>
    <row r="365">
      <c r="A365" s="869"/>
      <c r="B365" s="869"/>
      <c r="C365" s="869"/>
      <c r="D365" s="869"/>
      <c r="E365" s="869"/>
      <c r="F365" s="869"/>
      <c r="G365" s="869"/>
      <c r="H365" s="869"/>
      <c r="I365" s="869"/>
      <c r="J365" s="869"/>
      <c r="K365" s="869"/>
      <c r="L365" s="869"/>
      <c r="M365" s="869"/>
      <c r="N365" s="869"/>
      <c r="O365" s="869"/>
      <c r="P365" s="869"/>
      <c r="Q365" s="869"/>
      <c r="R365" s="869"/>
      <c r="S365" s="869"/>
      <c r="T365" s="869"/>
      <c r="U365" s="869"/>
      <c r="V365" s="869"/>
      <c r="W365" s="869"/>
      <c r="X365" s="869"/>
      <c r="Y365" s="869"/>
      <c r="Z365" s="869"/>
    </row>
    <row r="366">
      <c r="A366" s="869"/>
      <c r="B366" s="869"/>
      <c r="C366" s="869"/>
      <c r="D366" s="869"/>
      <c r="E366" s="869"/>
      <c r="F366" s="869"/>
      <c r="G366" s="869"/>
      <c r="H366" s="869"/>
      <c r="I366" s="869"/>
      <c r="J366" s="869"/>
      <c r="K366" s="869"/>
      <c r="L366" s="869"/>
      <c r="M366" s="869"/>
      <c r="N366" s="869"/>
      <c r="O366" s="869"/>
      <c r="P366" s="869"/>
      <c r="Q366" s="869"/>
      <c r="R366" s="869"/>
      <c r="S366" s="869"/>
      <c r="T366" s="869"/>
      <c r="U366" s="869"/>
      <c r="V366" s="869"/>
      <c r="W366" s="869"/>
      <c r="X366" s="869"/>
      <c r="Y366" s="869"/>
      <c r="Z366" s="869"/>
    </row>
    <row r="367">
      <c r="A367" s="869"/>
      <c r="B367" s="869"/>
      <c r="C367" s="869"/>
      <c r="D367" s="869"/>
      <c r="E367" s="869"/>
      <c r="F367" s="869"/>
      <c r="G367" s="869"/>
      <c r="H367" s="869"/>
      <c r="I367" s="869"/>
      <c r="J367" s="869"/>
      <c r="K367" s="869"/>
      <c r="L367" s="869"/>
      <c r="M367" s="869"/>
      <c r="N367" s="869"/>
      <c r="O367" s="869"/>
      <c r="P367" s="869"/>
      <c r="Q367" s="869"/>
      <c r="R367" s="869"/>
      <c r="S367" s="869"/>
      <c r="T367" s="869"/>
      <c r="U367" s="869"/>
      <c r="V367" s="869"/>
      <c r="W367" s="869"/>
      <c r="X367" s="869"/>
      <c r="Y367" s="869"/>
      <c r="Z367" s="869"/>
    </row>
    <row r="368">
      <c r="A368" s="869"/>
      <c r="B368" s="869"/>
      <c r="C368" s="869"/>
      <c r="D368" s="869"/>
      <c r="E368" s="869"/>
      <c r="F368" s="869"/>
      <c r="G368" s="869"/>
      <c r="H368" s="869"/>
      <c r="I368" s="869"/>
      <c r="J368" s="869"/>
      <c r="K368" s="869"/>
      <c r="L368" s="869"/>
      <c r="M368" s="869"/>
      <c r="N368" s="869"/>
      <c r="O368" s="869"/>
      <c r="P368" s="869"/>
      <c r="Q368" s="869"/>
      <c r="R368" s="869"/>
      <c r="S368" s="869"/>
      <c r="T368" s="869"/>
      <c r="U368" s="869"/>
      <c r="V368" s="869"/>
      <c r="W368" s="869"/>
      <c r="X368" s="869"/>
      <c r="Y368" s="869"/>
      <c r="Z368" s="869"/>
    </row>
    <row r="369">
      <c r="A369" s="869"/>
      <c r="B369" s="869"/>
      <c r="C369" s="869"/>
      <c r="D369" s="869"/>
      <c r="E369" s="869"/>
      <c r="F369" s="869"/>
      <c r="G369" s="869"/>
      <c r="H369" s="869"/>
      <c r="I369" s="869"/>
      <c r="J369" s="869"/>
      <c r="K369" s="869"/>
      <c r="L369" s="869"/>
      <c r="M369" s="869"/>
      <c r="N369" s="869"/>
      <c r="O369" s="869"/>
      <c r="P369" s="869"/>
      <c r="Q369" s="869"/>
      <c r="R369" s="869"/>
      <c r="S369" s="869"/>
      <c r="T369" s="869"/>
      <c r="U369" s="869"/>
      <c r="V369" s="869"/>
      <c r="W369" s="869"/>
      <c r="X369" s="869"/>
      <c r="Y369" s="869"/>
      <c r="Z369" s="869"/>
    </row>
    <row r="370">
      <c r="A370" s="869"/>
      <c r="B370" s="869"/>
      <c r="C370" s="869"/>
      <c r="D370" s="869"/>
      <c r="E370" s="869"/>
      <c r="F370" s="869"/>
      <c r="G370" s="869"/>
      <c r="H370" s="869"/>
      <c r="I370" s="869"/>
      <c r="J370" s="869"/>
      <c r="K370" s="869"/>
      <c r="L370" s="869"/>
      <c r="M370" s="869"/>
      <c r="N370" s="869"/>
      <c r="O370" s="869"/>
      <c r="P370" s="869"/>
      <c r="Q370" s="869"/>
      <c r="R370" s="869"/>
      <c r="S370" s="869"/>
      <c r="T370" s="869"/>
      <c r="U370" s="869"/>
      <c r="V370" s="869"/>
      <c r="W370" s="869"/>
      <c r="X370" s="869"/>
      <c r="Y370" s="869"/>
      <c r="Z370" s="869"/>
    </row>
    <row r="371">
      <c r="A371" s="869"/>
      <c r="B371" s="869"/>
      <c r="C371" s="869"/>
      <c r="D371" s="869"/>
      <c r="E371" s="869"/>
      <c r="F371" s="869"/>
      <c r="G371" s="869"/>
      <c r="H371" s="869"/>
      <c r="I371" s="869"/>
      <c r="J371" s="869"/>
      <c r="K371" s="869"/>
      <c r="L371" s="869"/>
      <c r="M371" s="869"/>
      <c r="N371" s="869"/>
      <c r="O371" s="869"/>
      <c r="P371" s="869"/>
      <c r="Q371" s="869"/>
      <c r="R371" s="869"/>
      <c r="S371" s="869"/>
      <c r="T371" s="869"/>
      <c r="U371" s="869"/>
      <c r="V371" s="869"/>
      <c r="W371" s="869"/>
      <c r="X371" s="869"/>
      <c r="Y371" s="869"/>
      <c r="Z371" s="869"/>
    </row>
    <row r="372">
      <c r="A372" s="869"/>
      <c r="B372" s="869"/>
      <c r="C372" s="869"/>
      <c r="D372" s="869"/>
      <c r="E372" s="869"/>
      <c r="F372" s="869"/>
      <c r="G372" s="869"/>
      <c r="H372" s="869"/>
      <c r="I372" s="869"/>
      <c r="J372" s="869"/>
      <c r="K372" s="869"/>
      <c r="L372" s="869"/>
      <c r="M372" s="869"/>
      <c r="N372" s="869"/>
      <c r="O372" s="869"/>
      <c r="P372" s="869"/>
      <c r="Q372" s="869"/>
      <c r="R372" s="869"/>
      <c r="S372" s="869"/>
      <c r="T372" s="869"/>
      <c r="U372" s="869"/>
      <c r="V372" s="869"/>
      <c r="W372" s="869"/>
      <c r="X372" s="869"/>
      <c r="Y372" s="869"/>
      <c r="Z372" s="869"/>
    </row>
    <row r="373">
      <c r="A373" s="869"/>
      <c r="B373" s="869"/>
      <c r="C373" s="869"/>
      <c r="D373" s="869"/>
      <c r="E373" s="869"/>
      <c r="F373" s="869"/>
      <c r="G373" s="869"/>
      <c r="H373" s="869"/>
      <c r="I373" s="869"/>
      <c r="J373" s="869"/>
      <c r="K373" s="869"/>
      <c r="L373" s="869"/>
      <c r="M373" s="869"/>
      <c r="N373" s="869"/>
      <c r="O373" s="869"/>
      <c r="P373" s="869"/>
      <c r="Q373" s="869"/>
      <c r="R373" s="869"/>
      <c r="S373" s="869"/>
      <c r="T373" s="869"/>
      <c r="U373" s="869"/>
      <c r="V373" s="869"/>
      <c r="W373" s="869"/>
      <c r="X373" s="869"/>
      <c r="Y373" s="869"/>
      <c r="Z373" s="869"/>
    </row>
    <row r="374">
      <c r="A374" s="869"/>
      <c r="B374" s="869"/>
      <c r="C374" s="869"/>
      <c r="D374" s="869"/>
      <c r="E374" s="869"/>
      <c r="F374" s="869"/>
      <c r="G374" s="869"/>
      <c r="H374" s="869"/>
      <c r="I374" s="869"/>
      <c r="J374" s="869"/>
      <c r="K374" s="869"/>
      <c r="L374" s="869"/>
      <c r="M374" s="869"/>
      <c r="N374" s="869"/>
      <c r="O374" s="869"/>
      <c r="P374" s="869"/>
      <c r="Q374" s="869"/>
      <c r="R374" s="869"/>
      <c r="S374" s="869"/>
      <c r="T374" s="869"/>
      <c r="U374" s="869"/>
      <c r="V374" s="869"/>
      <c r="W374" s="869"/>
      <c r="X374" s="869"/>
      <c r="Y374" s="869"/>
      <c r="Z374" s="869"/>
    </row>
    <row r="375">
      <c r="A375" s="869"/>
      <c r="B375" s="869"/>
      <c r="C375" s="869"/>
      <c r="D375" s="869"/>
      <c r="E375" s="869"/>
      <c r="F375" s="869"/>
      <c r="G375" s="869"/>
      <c r="H375" s="869"/>
      <c r="I375" s="869"/>
      <c r="J375" s="869"/>
      <c r="K375" s="869"/>
      <c r="L375" s="869"/>
      <c r="M375" s="869"/>
      <c r="N375" s="869"/>
      <c r="O375" s="869"/>
      <c r="P375" s="869"/>
      <c r="Q375" s="869"/>
      <c r="R375" s="869"/>
      <c r="S375" s="869"/>
      <c r="T375" s="869"/>
      <c r="U375" s="869"/>
      <c r="V375" s="869"/>
      <c r="W375" s="869"/>
      <c r="X375" s="869"/>
      <c r="Y375" s="869"/>
      <c r="Z375" s="869"/>
    </row>
    <row r="376">
      <c r="A376" s="869"/>
      <c r="B376" s="869"/>
      <c r="C376" s="869"/>
      <c r="D376" s="869"/>
      <c r="E376" s="869"/>
      <c r="F376" s="869"/>
      <c r="G376" s="869"/>
      <c r="H376" s="869"/>
      <c r="I376" s="869"/>
      <c r="J376" s="869"/>
      <c r="K376" s="869"/>
      <c r="L376" s="869"/>
      <c r="M376" s="869"/>
      <c r="N376" s="869"/>
      <c r="O376" s="869"/>
      <c r="P376" s="869"/>
      <c r="Q376" s="869"/>
      <c r="R376" s="869"/>
      <c r="S376" s="869"/>
      <c r="T376" s="869"/>
      <c r="U376" s="869"/>
      <c r="V376" s="869"/>
      <c r="W376" s="869"/>
      <c r="X376" s="869"/>
      <c r="Y376" s="869"/>
      <c r="Z376" s="869"/>
    </row>
    <row r="377">
      <c r="A377" s="869"/>
      <c r="B377" s="869"/>
      <c r="C377" s="869"/>
      <c r="D377" s="869"/>
      <c r="E377" s="869"/>
      <c r="F377" s="869"/>
      <c r="G377" s="869"/>
      <c r="H377" s="869"/>
      <c r="I377" s="869"/>
      <c r="J377" s="869"/>
      <c r="K377" s="869"/>
      <c r="L377" s="869"/>
      <c r="M377" s="869"/>
      <c r="N377" s="869"/>
      <c r="O377" s="869"/>
      <c r="P377" s="869"/>
      <c r="Q377" s="869"/>
      <c r="R377" s="869"/>
      <c r="S377" s="869"/>
      <c r="T377" s="869"/>
      <c r="U377" s="869"/>
      <c r="V377" s="869"/>
      <c r="W377" s="869"/>
      <c r="X377" s="869"/>
      <c r="Y377" s="869"/>
      <c r="Z377" s="869"/>
    </row>
    <row r="378">
      <c r="A378" s="869"/>
      <c r="B378" s="869"/>
      <c r="C378" s="869"/>
      <c r="D378" s="869"/>
      <c r="E378" s="869"/>
      <c r="F378" s="869"/>
      <c r="G378" s="869"/>
      <c r="H378" s="869"/>
      <c r="I378" s="869"/>
      <c r="J378" s="869"/>
      <c r="K378" s="869"/>
      <c r="L378" s="869"/>
      <c r="M378" s="869"/>
      <c r="N378" s="869"/>
      <c r="O378" s="869"/>
      <c r="P378" s="869"/>
      <c r="Q378" s="869"/>
      <c r="R378" s="869"/>
      <c r="S378" s="869"/>
      <c r="T378" s="869"/>
      <c r="U378" s="869"/>
      <c r="V378" s="869"/>
      <c r="W378" s="869"/>
      <c r="X378" s="869"/>
      <c r="Y378" s="869"/>
      <c r="Z378" s="869"/>
    </row>
    <row r="379">
      <c r="A379" s="869"/>
      <c r="B379" s="869"/>
      <c r="C379" s="869"/>
      <c r="D379" s="869"/>
      <c r="E379" s="869"/>
      <c r="F379" s="869"/>
      <c r="G379" s="869"/>
      <c r="H379" s="869"/>
      <c r="I379" s="869"/>
      <c r="J379" s="869"/>
      <c r="K379" s="869"/>
      <c r="L379" s="869"/>
      <c r="M379" s="869"/>
      <c r="N379" s="869"/>
      <c r="O379" s="869"/>
      <c r="P379" s="869"/>
      <c r="Q379" s="869"/>
      <c r="R379" s="869"/>
      <c r="S379" s="869"/>
      <c r="T379" s="869"/>
      <c r="U379" s="869"/>
      <c r="V379" s="869"/>
      <c r="W379" s="869"/>
      <c r="X379" s="869"/>
      <c r="Y379" s="869"/>
      <c r="Z379" s="869"/>
    </row>
    <row r="380">
      <c r="A380" s="869"/>
      <c r="B380" s="869"/>
      <c r="C380" s="869"/>
      <c r="D380" s="869"/>
      <c r="E380" s="869"/>
      <c r="F380" s="869"/>
      <c r="G380" s="869"/>
      <c r="H380" s="869"/>
      <c r="I380" s="869"/>
      <c r="J380" s="869"/>
      <c r="K380" s="869"/>
      <c r="L380" s="869"/>
      <c r="M380" s="869"/>
      <c r="N380" s="869"/>
      <c r="O380" s="869"/>
      <c r="P380" s="869"/>
      <c r="Q380" s="869"/>
      <c r="R380" s="869"/>
      <c r="S380" s="869"/>
      <c r="T380" s="869"/>
      <c r="U380" s="869"/>
      <c r="V380" s="869"/>
      <c r="W380" s="869"/>
      <c r="X380" s="869"/>
      <c r="Y380" s="869"/>
      <c r="Z380" s="869"/>
    </row>
    <row r="381">
      <c r="A381" s="869"/>
      <c r="B381" s="869"/>
      <c r="C381" s="869"/>
      <c r="D381" s="869"/>
      <c r="E381" s="869"/>
      <c r="F381" s="869"/>
      <c r="G381" s="869"/>
      <c r="H381" s="869"/>
      <c r="I381" s="869"/>
      <c r="J381" s="869"/>
      <c r="K381" s="869"/>
      <c r="L381" s="869"/>
      <c r="M381" s="869"/>
      <c r="N381" s="869"/>
      <c r="O381" s="869"/>
      <c r="P381" s="869"/>
      <c r="Q381" s="869"/>
      <c r="R381" s="869"/>
      <c r="S381" s="869"/>
      <c r="T381" s="869"/>
      <c r="U381" s="869"/>
      <c r="V381" s="869"/>
      <c r="W381" s="869"/>
      <c r="X381" s="869"/>
      <c r="Y381" s="869"/>
      <c r="Z381" s="869"/>
    </row>
    <row r="382">
      <c r="A382" s="869"/>
      <c r="B382" s="869"/>
      <c r="C382" s="869"/>
      <c r="D382" s="869"/>
      <c r="E382" s="869"/>
      <c r="F382" s="869"/>
      <c r="G382" s="869"/>
      <c r="H382" s="869"/>
      <c r="I382" s="869"/>
      <c r="J382" s="869"/>
      <c r="K382" s="869"/>
      <c r="L382" s="869"/>
      <c r="M382" s="869"/>
      <c r="N382" s="869"/>
      <c r="O382" s="869"/>
      <c r="P382" s="869"/>
      <c r="Q382" s="869"/>
      <c r="R382" s="869"/>
      <c r="S382" s="869"/>
      <c r="T382" s="869"/>
      <c r="U382" s="869"/>
      <c r="V382" s="869"/>
      <c r="W382" s="869"/>
      <c r="X382" s="869"/>
      <c r="Y382" s="869"/>
      <c r="Z382" s="869"/>
    </row>
    <row r="383">
      <c r="A383" s="869"/>
      <c r="B383" s="869"/>
      <c r="C383" s="869"/>
      <c r="D383" s="869"/>
      <c r="E383" s="869"/>
      <c r="F383" s="869"/>
      <c r="G383" s="869"/>
      <c r="H383" s="869"/>
      <c r="I383" s="869"/>
      <c r="J383" s="869"/>
      <c r="K383" s="869"/>
      <c r="L383" s="869"/>
      <c r="M383" s="869"/>
      <c r="N383" s="869"/>
      <c r="O383" s="869"/>
      <c r="P383" s="869"/>
      <c r="Q383" s="869"/>
      <c r="R383" s="869"/>
      <c r="S383" s="869"/>
      <c r="T383" s="869"/>
      <c r="U383" s="869"/>
      <c r="V383" s="869"/>
      <c r="W383" s="869"/>
      <c r="X383" s="869"/>
      <c r="Y383" s="869"/>
      <c r="Z383" s="869"/>
    </row>
    <row r="384">
      <c r="A384" s="869"/>
      <c r="B384" s="869"/>
      <c r="C384" s="869"/>
      <c r="D384" s="869"/>
      <c r="E384" s="869"/>
      <c r="F384" s="869"/>
      <c r="G384" s="869"/>
      <c r="H384" s="869"/>
      <c r="I384" s="869"/>
      <c r="J384" s="869"/>
      <c r="K384" s="869"/>
      <c r="L384" s="869"/>
      <c r="M384" s="869"/>
      <c r="N384" s="869"/>
      <c r="O384" s="869"/>
      <c r="P384" s="869"/>
      <c r="Q384" s="869"/>
      <c r="R384" s="869"/>
      <c r="S384" s="869"/>
      <c r="T384" s="869"/>
      <c r="U384" s="869"/>
      <c r="V384" s="869"/>
      <c r="W384" s="869"/>
      <c r="X384" s="869"/>
      <c r="Y384" s="869"/>
      <c r="Z384" s="869"/>
    </row>
    <row r="385">
      <c r="A385" s="869"/>
      <c r="B385" s="869"/>
      <c r="C385" s="869"/>
      <c r="D385" s="869"/>
      <c r="E385" s="869"/>
      <c r="F385" s="869"/>
      <c r="G385" s="869"/>
      <c r="H385" s="869"/>
      <c r="I385" s="869"/>
      <c r="J385" s="869"/>
      <c r="K385" s="869"/>
      <c r="L385" s="869"/>
      <c r="M385" s="869"/>
      <c r="N385" s="869"/>
      <c r="O385" s="869"/>
      <c r="P385" s="869"/>
      <c r="Q385" s="869"/>
      <c r="R385" s="869"/>
      <c r="S385" s="869"/>
      <c r="T385" s="869"/>
      <c r="U385" s="869"/>
      <c r="V385" s="869"/>
      <c r="W385" s="869"/>
      <c r="X385" s="869"/>
      <c r="Y385" s="869"/>
      <c r="Z385" s="869"/>
    </row>
    <row r="386">
      <c r="A386" s="869"/>
      <c r="B386" s="869"/>
      <c r="C386" s="869"/>
      <c r="D386" s="869"/>
      <c r="E386" s="869"/>
      <c r="F386" s="869"/>
      <c r="G386" s="869"/>
      <c r="H386" s="869"/>
      <c r="I386" s="869"/>
      <c r="J386" s="869"/>
      <c r="K386" s="869"/>
      <c r="L386" s="869"/>
      <c r="M386" s="869"/>
      <c r="N386" s="869"/>
      <c r="O386" s="869"/>
      <c r="P386" s="869"/>
      <c r="Q386" s="869"/>
      <c r="R386" s="869"/>
      <c r="S386" s="869"/>
      <c r="T386" s="869"/>
      <c r="U386" s="869"/>
      <c r="V386" s="869"/>
      <c r="W386" s="869"/>
      <c r="X386" s="869"/>
      <c r="Y386" s="869"/>
      <c r="Z386" s="869"/>
    </row>
    <row r="387">
      <c r="A387" s="869"/>
      <c r="B387" s="869"/>
      <c r="C387" s="869"/>
      <c r="D387" s="869"/>
      <c r="E387" s="869"/>
      <c r="F387" s="869"/>
      <c r="G387" s="869"/>
      <c r="H387" s="869"/>
      <c r="I387" s="869"/>
      <c r="J387" s="869"/>
      <c r="K387" s="869"/>
      <c r="L387" s="869"/>
      <c r="M387" s="869"/>
      <c r="N387" s="869"/>
      <c r="O387" s="869"/>
      <c r="P387" s="869"/>
      <c r="Q387" s="869"/>
      <c r="R387" s="869"/>
      <c r="S387" s="869"/>
      <c r="T387" s="869"/>
      <c r="U387" s="869"/>
      <c r="V387" s="869"/>
      <c r="W387" s="869"/>
      <c r="X387" s="869"/>
      <c r="Y387" s="869"/>
      <c r="Z387" s="869"/>
    </row>
    <row r="388">
      <c r="A388" s="869"/>
      <c r="B388" s="869"/>
      <c r="C388" s="869"/>
      <c r="D388" s="869"/>
      <c r="E388" s="869"/>
      <c r="F388" s="869"/>
      <c r="G388" s="869"/>
      <c r="H388" s="869"/>
      <c r="I388" s="869"/>
      <c r="J388" s="869"/>
      <c r="K388" s="869"/>
      <c r="L388" s="869"/>
      <c r="M388" s="869"/>
      <c r="N388" s="869"/>
      <c r="O388" s="869"/>
      <c r="P388" s="869"/>
      <c r="Q388" s="869"/>
      <c r="R388" s="869"/>
      <c r="S388" s="869"/>
      <c r="T388" s="869"/>
      <c r="U388" s="869"/>
      <c r="V388" s="869"/>
      <c r="W388" s="869"/>
      <c r="X388" s="869"/>
      <c r="Y388" s="869"/>
      <c r="Z388" s="869"/>
    </row>
    <row r="389">
      <c r="A389" s="869"/>
      <c r="B389" s="869"/>
      <c r="C389" s="869"/>
      <c r="D389" s="869"/>
      <c r="E389" s="869"/>
      <c r="F389" s="869"/>
      <c r="G389" s="869"/>
      <c r="H389" s="869"/>
      <c r="I389" s="869"/>
      <c r="J389" s="869"/>
      <c r="K389" s="869"/>
      <c r="L389" s="869"/>
      <c r="M389" s="869"/>
      <c r="N389" s="869"/>
      <c r="O389" s="869"/>
      <c r="P389" s="869"/>
      <c r="Q389" s="869"/>
      <c r="R389" s="869"/>
      <c r="S389" s="869"/>
      <c r="T389" s="869"/>
      <c r="U389" s="869"/>
      <c r="V389" s="869"/>
      <c r="W389" s="869"/>
      <c r="X389" s="869"/>
      <c r="Y389" s="869"/>
      <c r="Z389" s="869"/>
    </row>
    <row r="390">
      <c r="A390" s="869"/>
      <c r="B390" s="869"/>
      <c r="C390" s="869"/>
      <c r="D390" s="869"/>
      <c r="E390" s="869"/>
      <c r="F390" s="869"/>
      <c r="G390" s="869"/>
      <c r="H390" s="869"/>
      <c r="I390" s="869"/>
      <c r="J390" s="869"/>
      <c r="K390" s="869"/>
      <c r="L390" s="869"/>
      <c r="M390" s="869"/>
      <c r="N390" s="869"/>
      <c r="O390" s="869"/>
      <c r="P390" s="869"/>
      <c r="Q390" s="869"/>
      <c r="R390" s="869"/>
      <c r="S390" s="869"/>
      <c r="T390" s="869"/>
      <c r="U390" s="869"/>
      <c r="V390" s="869"/>
      <c r="W390" s="869"/>
      <c r="X390" s="869"/>
      <c r="Y390" s="869"/>
      <c r="Z390" s="869"/>
    </row>
    <row r="391">
      <c r="A391" s="869"/>
      <c r="B391" s="869"/>
      <c r="C391" s="869"/>
      <c r="D391" s="869"/>
      <c r="E391" s="869"/>
      <c r="F391" s="869"/>
      <c r="G391" s="869"/>
      <c r="H391" s="869"/>
      <c r="I391" s="869"/>
      <c r="J391" s="869"/>
      <c r="K391" s="869"/>
      <c r="L391" s="869"/>
      <c r="M391" s="869"/>
      <c r="N391" s="869"/>
      <c r="O391" s="869"/>
      <c r="P391" s="869"/>
      <c r="Q391" s="869"/>
      <c r="R391" s="869"/>
      <c r="S391" s="869"/>
      <c r="T391" s="869"/>
      <c r="U391" s="869"/>
      <c r="V391" s="869"/>
      <c r="W391" s="869"/>
      <c r="X391" s="869"/>
      <c r="Y391" s="869"/>
      <c r="Z391" s="869"/>
    </row>
    <row r="392">
      <c r="A392" s="869"/>
      <c r="B392" s="869"/>
      <c r="C392" s="869"/>
      <c r="D392" s="869"/>
      <c r="E392" s="869"/>
      <c r="F392" s="869"/>
      <c r="G392" s="869"/>
      <c r="H392" s="869"/>
      <c r="I392" s="869"/>
      <c r="J392" s="869"/>
      <c r="K392" s="869"/>
      <c r="L392" s="869"/>
      <c r="M392" s="869"/>
      <c r="N392" s="869"/>
      <c r="O392" s="869"/>
      <c r="P392" s="869"/>
      <c r="Q392" s="869"/>
      <c r="R392" s="869"/>
      <c r="S392" s="869"/>
      <c r="T392" s="869"/>
      <c r="U392" s="869"/>
      <c r="V392" s="869"/>
      <c r="W392" s="869"/>
      <c r="X392" s="869"/>
      <c r="Y392" s="869"/>
      <c r="Z392" s="869"/>
    </row>
    <row r="393">
      <c r="A393" s="869"/>
      <c r="B393" s="869"/>
      <c r="C393" s="869"/>
      <c r="D393" s="869"/>
      <c r="E393" s="869"/>
      <c r="F393" s="869"/>
      <c r="G393" s="869"/>
      <c r="H393" s="869"/>
      <c r="I393" s="869"/>
      <c r="J393" s="869"/>
      <c r="K393" s="869"/>
      <c r="L393" s="869"/>
      <c r="M393" s="869"/>
      <c r="N393" s="869"/>
      <c r="O393" s="869"/>
      <c r="P393" s="869"/>
      <c r="Q393" s="869"/>
      <c r="R393" s="869"/>
      <c r="S393" s="869"/>
      <c r="T393" s="869"/>
      <c r="U393" s="869"/>
      <c r="V393" s="869"/>
      <c r="W393" s="869"/>
      <c r="X393" s="869"/>
      <c r="Y393" s="869"/>
      <c r="Z393" s="869"/>
    </row>
    <row r="394">
      <c r="A394" s="869"/>
      <c r="B394" s="869"/>
      <c r="C394" s="869"/>
      <c r="D394" s="869"/>
      <c r="E394" s="869"/>
      <c r="F394" s="869"/>
      <c r="G394" s="869"/>
      <c r="H394" s="869"/>
      <c r="I394" s="869"/>
      <c r="J394" s="869"/>
      <c r="K394" s="869"/>
      <c r="L394" s="869"/>
      <c r="M394" s="869"/>
      <c r="N394" s="869"/>
      <c r="O394" s="869"/>
      <c r="P394" s="869"/>
      <c r="Q394" s="869"/>
      <c r="R394" s="869"/>
      <c r="S394" s="869"/>
      <c r="T394" s="869"/>
      <c r="U394" s="869"/>
      <c r="V394" s="869"/>
      <c r="W394" s="869"/>
      <c r="X394" s="869"/>
      <c r="Y394" s="869"/>
      <c r="Z394" s="869"/>
    </row>
    <row r="395">
      <c r="A395" s="869"/>
      <c r="B395" s="869"/>
      <c r="C395" s="869"/>
      <c r="D395" s="869"/>
      <c r="E395" s="869"/>
      <c r="F395" s="869"/>
      <c r="G395" s="869"/>
      <c r="H395" s="869"/>
      <c r="I395" s="869"/>
      <c r="J395" s="869"/>
      <c r="K395" s="869"/>
      <c r="L395" s="869"/>
      <c r="M395" s="869"/>
      <c r="N395" s="869"/>
      <c r="O395" s="869"/>
      <c r="P395" s="869"/>
      <c r="Q395" s="869"/>
      <c r="R395" s="869"/>
      <c r="S395" s="869"/>
      <c r="T395" s="869"/>
      <c r="U395" s="869"/>
      <c r="V395" s="869"/>
      <c r="W395" s="869"/>
      <c r="X395" s="869"/>
      <c r="Y395" s="869"/>
      <c r="Z395" s="869"/>
    </row>
    <row r="396">
      <c r="A396" s="869"/>
      <c r="B396" s="869"/>
      <c r="C396" s="869"/>
      <c r="D396" s="869"/>
      <c r="E396" s="869"/>
      <c r="F396" s="869"/>
      <c r="G396" s="869"/>
      <c r="H396" s="869"/>
      <c r="I396" s="869"/>
      <c r="J396" s="869"/>
      <c r="K396" s="869"/>
      <c r="L396" s="869"/>
      <c r="M396" s="869"/>
      <c r="N396" s="869"/>
      <c r="O396" s="869"/>
      <c r="P396" s="869"/>
      <c r="Q396" s="869"/>
      <c r="R396" s="869"/>
      <c r="S396" s="869"/>
      <c r="T396" s="869"/>
      <c r="U396" s="869"/>
      <c r="V396" s="869"/>
      <c r="W396" s="869"/>
      <c r="X396" s="869"/>
      <c r="Y396" s="869"/>
      <c r="Z396" s="869"/>
    </row>
    <row r="397">
      <c r="A397" s="869"/>
      <c r="B397" s="869"/>
      <c r="C397" s="869"/>
      <c r="D397" s="869"/>
      <c r="E397" s="869"/>
      <c r="F397" s="869"/>
      <c r="G397" s="869"/>
      <c r="H397" s="869"/>
      <c r="I397" s="869"/>
      <c r="J397" s="869"/>
      <c r="K397" s="869"/>
      <c r="L397" s="869"/>
      <c r="M397" s="869"/>
      <c r="N397" s="869"/>
      <c r="O397" s="869"/>
      <c r="P397" s="869"/>
      <c r="Q397" s="869"/>
      <c r="R397" s="869"/>
      <c r="S397" s="869"/>
      <c r="T397" s="869"/>
      <c r="U397" s="869"/>
      <c r="V397" s="869"/>
      <c r="W397" s="869"/>
      <c r="X397" s="869"/>
      <c r="Y397" s="869"/>
      <c r="Z397" s="869"/>
    </row>
    <row r="398">
      <c r="A398" s="869"/>
      <c r="B398" s="869"/>
      <c r="C398" s="869"/>
      <c r="D398" s="869"/>
      <c r="E398" s="869"/>
      <c r="F398" s="869"/>
      <c r="G398" s="869"/>
      <c r="H398" s="869"/>
      <c r="I398" s="869"/>
      <c r="J398" s="869"/>
      <c r="K398" s="869"/>
      <c r="L398" s="869"/>
      <c r="M398" s="869"/>
      <c r="N398" s="869"/>
      <c r="O398" s="869"/>
      <c r="P398" s="869"/>
      <c r="Q398" s="869"/>
      <c r="R398" s="869"/>
      <c r="S398" s="869"/>
      <c r="T398" s="869"/>
      <c r="U398" s="869"/>
      <c r="V398" s="869"/>
      <c r="W398" s="869"/>
      <c r="X398" s="869"/>
      <c r="Y398" s="869"/>
      <c r="Z398" s="869"/>
    </row>
    <row r="399">
      <c r="A399" s="869"/>
      <c r="B399" s="869"/>
      <c r="C399" s="869"/>
      <c r="D399" s="869"/>
      <c r="E399" s="869"/>
      <c r="F399" s="869"/>
      <c r="G399" s="869"/>
      <c r="H399" s="869"/>
      <c r="I399" s="869"/>
      <c r="J399" s="869"/>
      <c r="K399" s="869"/>
      <c r="L399" s="869"/>
      <c r="M399" s="869"/>
      <c r="N399" s="869"/>
      <c r="O399" s="869"/>
      <c r="P399" s="869"/>
      <c r="Q399" s="869"/>
      <c r="R399" s="869"/>
      <c r="S399" s="869"/>
      <c r="T399" s="869"/>
      <c r="U399" s="869"/>
      <c r="V399" s="869"/>
      <c r="W399" s="869"/>
      <c r="X399" s="869"/>
      <c r="Y399" s="869"/>
      <c r="Z399" s="869"/>
    </row>
    <row r="400">
      <c r="A400" s="869"/>
      <c r="B400" s="869"/>
      <c r="C400" s="869"/>
      <c r="D400" s="869"/>
      <c r="E400" s="869"/>
      <c r="F400" s="869"/>
      <c r="G400" s="869"/>
      <c r="H400" s="869"/>
      <c r="I400" s="869"/>
      <c r="J400" s="869"/>
      <c r="K400" s="869"/>
      <c r="L400" s="869"/>
      <c r="M400" s="869"/>
      <c r="N400" s="869"/>
      <c r="O400" s="869"/>
      <c r="P400" s="869"/>
      <c r="Q400" s="869"/>
      <c r="R400" s="869"/>
      <c r="S400" s="869"/>
      <c r="T400" s="869"/>
      <c r="U400" s="869"/>
      <c r="V400" s="869"/>
      <c r="W400" s="869"/>
      <c r="X400" s="869"/>
      <c r="Y400" s="869"/>
      <c r="Z400" s="869"/>
    </row>
    <row r="401">
      <c r="A401" s="869"/>
      <c r="B401" s="869"/>
      <c r="C401" s="869"/>
      <c r="D401" s="869"/>
      <c r="E401" s="869"/>
      <c r="F401" s="869"/>
      <c r="G401" s="869"/>
      <c r="H401" s="869"/>
      <c r="I401" s="869"/>
      <c r="J401" s="869"/>
      <c r="K401" s="869"/>
      <c r="L401" s="869"/>
      <c r="M401" s="869"/>
      <c r="N401" s="869"/>
      <c r="O401" s="869"/>
      <c r="P401" s="869"/>
      <c r="Q401" s="869"/>
      <c r="R401" s="869"/>
      <c r="S401" s="869"/>
      <c r="T401" s="869"/>
      <c r="U401" s="869"/>
      <c r="V401" s="869"/>
      <c r="W401" s="869"/>
      <c r="X401" s="869"/>
      <c r="Y401" s="869"/>
      <c r="Z401" s="869"/>
    </row>
    <row r="402">
      <c r="A402" s="869"/>
      <c r="B402" s="869"/>
      <c r="C402" s="869"/>
      <c r="D402" s="869"/>
      <c r="E402" s="869"/>
      <c r="F402" s="869"/>
      <c r="G402" s="869"/>
      <c r="H402" s="869"/>
      <c r="I402" s="869"/>
      <c r="J402" s="869"/>
      <c r="K402" s="869"/>
      <c r="L402" s="869"/>
      <c r="M402" s="869"/>
      <c r="N402" s="869"/>
      <c r="O402" s="869"/>
      <c r="P402" s="869"/>
      <c r="Q402" s="869"/>
      <c r="R402" s="869"/>
      <c r="S402" s="869"/>
      <c r="T402" s="869"/>
      <c r="U402" s="869"/>
      <c r="V402" s="869"/>
      <c r="W402" s="869"/>
      <c r="X402" s="869"/>
      <c r="Y402" s="869"/>
      <c r="Z402" s="869"/>
    </row>
    <row r="403">
      <c r="A403" s="869"/>
      <c r="B403" s="869"/>
      <c r="C403" s="869"/>
      <c r="D403" s="869"/>
      <c r="E403" s="869"/>
      <c r="F403" s="869"/>
      <c r="G403" s="869"/>
      <c r="H403" s="869"/>
      <c r="I403" s="869"/>
      <c r="J403" s="869"/>
      <c r="K403" s="869"/>
      <c r="L403" s="869"/>
      <c r="M403" s="869"/>
      <c r="N403" s="869"/>
      <c r="O403" s="869"/>
      <c r="P403" s="869"/>
      <c r="Q403" s="869"/>
      <c r="R403" s="869"/>
      <c r="S403" s="869"/>
      <c r="T403" s="869"/>
      <c r="U403" s="869"/>
      <c r="V403" s="869"/>
      <c r="W403" s="869"/>
      <c r="X403" s="869"/>
      <c r="Y403" s="869"/>
      <c r="Z403" s="869"/>
    </row>
    <row r="404">
      <c r="A404" s="869"/>
      <c r="B404" s="869"/>
      <c r="C404" s="869"/>
      <c r="D404" s="869"/>
      <c r="E404" s="869"/>
      <c r="F404" s="869"/>
      <c r="G404" s="869"/>
      <c r="H404" s="869"/>
      <c r="I404" s="869"/>
      <c r="J404" s="869"/>
      <c r="K404" s="869"/>
      <c r="L404" s="869"/>
      <c r="M404" s="869"/>
      <c r="N404" s="869"/>
      <c r="O404" s="869"/>
      <c r="P404" s="869"/>
      <c r="Q404" s="869"/>
      <c r="R404" s="869"/>
      <c r="S404" s="869"/>
      <c r="T404" s="869"/>
      <c r="U404" s="869"/>
      <c r="V404" s="869"/>
      <c r="W404" s="869"/>
      <c r="X404" s="869"/>
      <c r="Y404" s="869"/>
      <c r="Z404" s="869"/>
    </row>
    <row r="405">
      <c r="A405" s="869"/>
      <c r="B405" s="869"/>
      <c r="C405" s="869"/>
      <c r="D405" s="869"/>
      <c r="E405" s="869"/>
      <c r="F405" s="869"/>
      <c r="G405" s="869"/>
      <c r="H405" s="869"/>
      <c r="I405" s="869"/>
      <c r="J405" s="869"/>
      <c r="K405" s="869"/>
      <c r="L405" s="869"/>
      <c r="M405" s="869"/>
      <c r="N405" s="869"/>
      <c r="O405" s="869"/>
      <c r="P405" s="869"/>
      <c r="Q405" s="869"/>
      <c r="R405" s="869"/>
      <c r="S405" s="869"/>
      <c r="T405" s="869"/>
      <c r="U405" s="869"/>
      <c r="V405" s="869"/>
      <c r="W405" s="869"/>
      <c r="X405" s="869"/>
      <c r="Y405" s="869"/>
      <c r="Z405" s="869"/>
    </row>
    <row r="406">
      <c r="A406" s="869"/>
      <c r="B406" s="869"/>
      <c r="C406" s="869"/>
      <c r="D406" s="869"/>
      <c r="E406" s="869"/>
      <c r="F406" s="869"/>
      <c r="G406" s="869"/>
      <c r="H406" s="869"/>
      <c r="I406" s="869"/>
      <c r="J406" s="869"/>
      <c r="K406" s="869"/>
      <c r="L406" s="869"/>
      <c r="M406" s="869"/>
      <c r="N406" s="869"/>
      <c r="O406" s="869"/>
      <c r="P406" s="869"/>
      <c r="Q406" s="869"/>
      <c r="R406" s="869"/>
      <c r="S406" s="869"/>
      <c r="T406" s="869"/>
      <c r="U406" s="869"/>
      <c r="V406" s="869"/>
      <c r="W406" s="869"/>
      <c r="X406" s="869"/>
      <c r="Y406" s="869"/>
      <c r="Z406" s="869"/>
    </row>
    <row r="407">
      <c r="A407" s="869"/>
      <c r="B407" s="869"/>
      <c r="C407" s="869"/>
      <c r="D407" s="869"/>
      <c r="E407" s="869"/>
      <c r="F407" s="869"/>
      <c r="G407" s="869"/>
      <c r="H407" s="869"/>
      <c r="I407" s="869"/>
      <c r="J407" s="869"/>
      <c r="K407" s="869"/>
      <c r="L407" s="869"/>
      <c r="M407" s="869"/>
      <c r="N407" s="869"/>
      <c r="O407" s="869"/>
      <c r="P407" s="869"/>
      <c r="Q407" s="869"/>
      <c r="R407" s="869"/>
      <c r="S407" s="869"/>
      <c r="T407" s="869"/>
      <c r="U407" s="869"/>
      <c r="V407" s="869"/>
      <c r="W407" s="869"/>
      <c r="X407" s="869"/>
      <c r="Y407" s="869"/>
      <c r="Z407" s="869"/>
    </row>
    <row r="408">
      <c r="A408" s="869"/>
      <c r="B408" s="869"/>
      <c r="C408" s="869"/>
      <c r="D408" s="869"/>
      <c r="E408" s="869"/>
      <c r="F408" s="869"/>
      <c r="G408" s="869"/>
      <c r="H408" s="869"/>
      <c r="I408" s="869"/>
      <c r="J408" s="869"/>
      <c r="K408" s="869"/>
      <c r="L408" s="869"/>
      <c r="M408" s="869"/>
      <c r="N408" s="869"/>
      <c r="O408" s="869"/>
      <c r="P408" s="869"/>
      <c r="Q408" s="869"/>
      <c r="R408" s="869"/>
      <c r="S408" s="869"/>
      <c r="T408" s="869"/>
      <c r="U408" s="869"/>
      <c r="V408" s="869"/>
      <c r="W408" s="869"/>
      <c r="X408" s="869"/>
      <c r="Y408" s="869"/>
      <c r="Z408" s="869"/>
    </row>
    <row r="409">
      <c r="A409" s="869"/>
      <c r="B409" s="869"/>
      <c r="C409" s="869"/>
      <c r="D409" s="869"/>
      <c r="E409" s="869"/>
      <c r="F409" s="869"/>
      <c r="G409" s="869"/>
      <c r="H409" s="869"/>
      <c r="I409" s="869"/>
      <c r="J409" s="869"/>
      <c r="K409" s="869"/>
      <c r="L409" s="869"/>
      <c r="M409" s="869"/>
      <c r="N409" s="869"/>
      <c r="O409" s="869"/>
      <c r="P409" s="869"/>
      <c r="Q409" s="869"/>
      <c r="R409" s="869"/>
      <c r="S409" s="869"/>
      <c r="T409" s="869"/>
      <c r="U409" s="869"/>
      <c r="V409" s="869"/>
      <c r="W409" s="869"/>
      <c r="X409" s="869"/>
      <c r="Y409" s="869"/>
      <c r="Z409" s="869"/>
    </row>
    <row r="410">
      <c r="A410" s="869"/>
      <c r="B410" s="869"/>
      <c r="C410" s="869"/>
      <c r="D410" s="869"/>
      <c r="E410" s="869"/>
      <c r="F410" s="869"/>
      <c r="G410" s="869"/>
      <c r="H410" s="869"/>
      <c r="I410" s="869"/>
      <c r="J410" s="869"/>
      <c r="K410" s="869"/>
      <c r="L410" s="869"/>
      <c r="M410" s="869"/>
      <c r="N410" s="869"/>
      <c r="O410" s="869"/>
      <c r="P410" s="869"/>
      <c r="Q410" s="869"/>
      <c r="R410" s="869"/>
      <c r="S410" s="869"/>
      <c r="T410" s="869"/>
      <c r="U410" s="869"/>
      <c r="V410" s="869"/>
      <c r="W410" s="869"/>
      <c r="X410" s="869"/>
      <c r="Y410" s="869"/>
      <c r="Z410" s="869"/>
    </row>
    <row r="411">
      <c r="A411" s="869"/>
      <c r="B411" s="869"/>
      <c r="C411" s="869"/>
      <c r="D411" s="869"/>
      <c r="E411" s="869"/>
      <c r="F411" s="869"/>
      <c r="G411" s="869"/>
      <c r="H411" s="869"/>
      <c r="I411" s="869"/>
      <c r="J411" s="869"/>
      <c r="K411" s="869"/>
      <c r="L411" s="869"/>
      <c r="M411" s="869"/>
      <c r="N411" s="869"/>
      <c r="O411" s="869"/>
      <c r="P411" s="869"/>
      <c r="Q411" s="869"/>
      <c r="R411" s="869"/>
      <c r="S411" s="869"/>
      <c r="T411" s="869"/>
      <c r="U411" s="869"/>
      <c r="V411" s="869"/>
      <c r="W411" s="869"/>
      <c r="X411" s="869"/>
      <c r="Y411" s="869"/>
      <c r="Z411" s="869"/>
    </row>
    <row r="412">
      <c r="A412" s="869"/>
      <c r="B412" s="869"/>
      <c r="C412" s="869"/>
      <c r="D412" s="869"/>
      <c r="E412" s="869"/>
      <c r="F412" s="869"/>
      <c r="G412" s="869"/>
      <c r="H412" s="869"/>
      <c r="I412" s="869"/>
      <c r="J412" s="869"/>
      <c r="K412" s="869"/>
      <c r="L412" s="869"/>
      <c r="M412" s="869"/>
      <c r="N412" s="869"/>
      <c r="O412" s="869"/>
      <c r="P412" s="869"/>
      <c r="Q412" s="869"/>
      <c r="R412" s="869"/>
      <c r="S412" s="869"/>
      <c r="T412" s="869"/>
      <c r="U412" s="869"/>
      <c r="V412" s="869"/>
      <c r="W412" s="869"/>
      <c r="X412" s="869"/>
      <c r="Y412" s="869"/>
      <c r="Z412" s="869"/>
    </row>
    <row r="413">
      <c r="A413" s="869"/>
      <c r="B413" s="869"/>
      <c r="C413" s="869"/>
      <c r="D413" s="869"/>
      <c r="E413" s="869"/>
      <c r="F413" s="869"/>
      <c r="G413" s="869"/>
      <c r="H413" s="869"/>
      <c r="I413" s="869"/>
      <c r="J413" s="869"/>
      <c r="K413" s="869"/>
      <c r="L413" s="869"/>
      <c r="M413" s="869"/>
      <c r="N413" s="869"/>
      <c r="O413" s="869"/>
      <c r="P413" s="869"/>
      <c r="Q413" s="869"/>
      <c r="R413" s="869"/>
      <c r="S413" s="869"/>
      <c r="T413" s="869"/>
      <c r="U413" s="869"/>
      <c r="V413" s="869"/>
      <c r="W413" s="869"/>
      <c r="X413" s="869"/>
      <c r="Y413" s="869"/>
      <c r="Z413" s="869"/>
    </row>
    <row r="414">
      <c r="A414" s="869"/>
      <c r="B414" s="869"/>
      <c r="C414" s="869"/>
      <c r="D414" s="869"/>
      <c r="E414" s="869"/>
      <c r="F414" s="869"/>
      <c r="G414" s="869"/>
      <c r="H414" s="869"/>
      <c r="I414" s="869"/>
      <c r="J414" s="869"/>
      <c r="K414" s="869"/>
      <c r="L414" s="869"/>
      <c r="M414" s="869"/>
      <c r="N414" s="869"/>
      <c r="O414" s="869"/>
      <c r="P414" s="869"/>
      <c r="Q414" s="869"/>
      <c r="R414" s="869"/>
      <c r="S414" s="869"/>
      <c r="T414" s="869"/>
      <c r="U414" s="869"/>
      <c r="V414" s="869"/>
      <c r="W414" s="869"/>
      <c r="X414" s="869"/>
      <c r="Y414" s="869"/>
      <c r="Z414" s="869"/>
    </row>
    <row r="415">
      <c r="A415" s="869"/>
      <c r="B415" s="869"/>
      <c r="C415" s="869"/>
      <c r="D415" s="869"/>
      <c r="E415" s="869"/>
      <c r="F415" s="869"/>
      <c r="G415" s="869"/>
      <c r="H415" s="869"/>
      <c r="I415" s="869"/>
      <c r="J415" s="869"/>
      <c r="K415" s="869"/>
      <c r="L415" s="869"/>
      <c r="M415" s="869"/>
      <c r="N415" s="869"/>
      <c r="O415" s="869"/>
      <c r="P415" s="869"/>
      <c r="Q415" s="869"/>
      <c r="R415" s="869"/>
      <c r="S415" s="869"/>
      <c r="T415" s="869"/>
      <c r="U415" s="869"/>
      <c r="V415" s="869"/>
      <c r="W415" s="869"/>
      <c r="X415" s="869"/>
      <c r="Y415" s="869"/>
      <c r="Z415" s="869"/>
    </row>
    <row r="416">
      <c r="A416" s="869"/>
      <c r="B416" s="869"/>
      <c r="C416" s="869"/>
      <c r="D416" s="869"/>
      <c r="E416" s="869"/>
      <c r="F416" s="869"/>
      <c r="G416" s="869"/>
      <c r="H416" s="869"/>
      <c r="I416" s="869"/>
      <c r="J416" s="869"/>
      <c r="K416" s="869"/>
      <c r="L416" s="869"/>
      <c r="M416" s="869"/>
      <c r="N416" s="869"/>
      <c r="O416" s="869"/>
      <c r="P416" s="869"/>
      <c r="Q416" s="869"/>
      <c r="R416" s="869"/>
      <c r="S416" s="869"/>
      <c r="T416" s="869"/>
      <c r="U416" s="869"/>
      <c r="V416" s="869"/>
      <c r="W416" s="869"/>
      <c r="X416" s="869"/>
      <c r="Y416" s="869"/>
      <c r="Z416" s="869"/>
    </row>
    <row r="417">
      <c r="A417" s="869"/>
      <c r="B417" s="869"/>
      <c r="C417" s="869"/>
      <c r="D417" s="869"/>
      <c r="E417" s="869"/>
      <c r="F417" s="869"/>
      <c r="G417" s="869"/>
      <c r="H417" s="869"/>
      <c r="I417" s="869"/>
      <c r="J417" s="869"/>
      <c r="K417" s="869"/>
      <c r="L417" s="869"/>
      <c r="M417" s="869"/>
      <c r="N417" s="869"/>
      <c r="O417" s="869"/>
      <c r="P417" s="869"/>
      <c r="Q417" s="869"/>
      <c r="R417" s="869"/>
      <c r="S417" s="869"/>
      <c r="T417" s="869"/>
      <c r="U417" s="869"/>
      <c r="V417" s="869"/>
      <c r="W417" s="869"/>
      <c r="X417" s="869"/>
      <c r="Y417" s="869"/>
      <c r="Z417" s="869"/>
    </row>
    <row r="418">
      <c r="A418" s="869"/>
      <c r="B418" s="869"/>
      <c r="C418" s="869"/>
      <c r="D418" s="869"/>
      <c r="E418" s="869"/>
      <c r="F418" s="869"/>
      <c r="G418" s="869"/>
      <c r="H418" s="869"/>
      <c r="I418" s="869"/>
      <c r="J418" s="869"/>
      <c r="K418" s="869"/>
      <c r="L418" s="869"/>
      <c r="M418" s="869"/>
      <c r="N418" s="869"/>
      <c r="O418" s="869"/>
      <c r="P418" s="869"/>
      <c r="Q418" s="869"/>
      <c r="R418" s="869"/>
      <c r="S418" s="869"/>
      <c r="T418" s="869"/>
      <c r="U418" s="869"/>
      <c r="V418" s="869"/>
      <c r="W418" s="869"/>
      <c r="X418" s="869"/>
      <c r="Y418" s="869"/>
      <c r="Z418" s="869"/>
    </row>
    <row r="419">
      <c r="A419" s="869"/>
      <c r="B419" s="869"/>
      <c r="C419" s="869"/>
      <c r="D419" s="869"/>
      <c r="E419" s="869"/>
      <c r="F419" s="869"/>
      <c r="G419" s="869"/>
      <c r="H419" s="869"/>
      <c r="I419" s="869"/>
      <c r="J419" s="869"/>
      <c r="K419" s="869"/>
      <c r="L419" s="869"/>
      <c r="M419" s="869"/>
      <c r="N419" s="869"/>
      <c r="O419" s="869"/>
      <c r="P419" s="869"/>
      <c r="Q419" s="869"/>
      <c r="R419" s="869"/>
      <c r="S419" s="869"/>
      <c r="T419" s="869"/>
      <c r="U419" s="869"/>
      <c r="V419" s="869"/>
      <c r="W419" s="869"/>
      <c r="X419" s="869"/>
      <c r="Y419" s="869"/>
      <c r="Z419" s="869"/>
    </row>
    <row r="420">
      <c r="A420" s="869"/>
      <c r="B420" s="869"/>
      <c r="C420" s="869"/>
      <c r="D420" s="869"/>
      <c r="E420" s="869"/>
      <c r="F420" s="869"/>
      <c r="G420" s="869"/>
      <c r="H420" s="869"/>
      <c r="I420" s="869"/>
      <c r="J420" s="869"/>
      <c r="K420" s="869"/>
      <c r="L420" s="869"/>
      <c r="M420" s="869"/>
      <c r="N420" s="869"/>
      <c r="O420" s="869"/>
      <c r="P420" s="869"/>
      <c r="Q420" s="869"/>
      <c r="R420" s="869"/>
      <c r="S420" s="869"/>
      <c r="T420" s="869"/>
      <c r="U420" s="869"/>
      <c r="V420" s="869"/>
      <c r="W420" s="869"/>
      <c r="X420" s="869"/>
      <c r="Y420" s="869"/>
      <c r="Z420" s="869"/>
    </row>
    <row r="421">
      <c r="A421" s="869"/>
      <c r="B421" s="869"/>
      <c r="C421" s="869"/>
      <c r="D421" s="869"/>
      <c r="E421" s="869"/>
      <c r="F421" s="869"/>
      <c r="G421" s="869"/>
      <c r="H421" s="869"/>
      <c r="I421" s="869"/>
      <c r="J421" s="869"/>
      <c r="K421" s="869"/>
      <c r="L421" s="869"/>
      <c r="M421" s="869"/>
      <c r="N421" s="869"/>
      <c r="O421" s="869"/>
      <c r="P421" s="869"/>
      <c r="Q421" s="869"/>
      <c r="R421" s="869"/>
      <c r="S421" s="869"/>
      <c r="T421" s="869"/>
      <c r="U421" s="869"/>
      <c r="V421" s="869"/>
      <c r="W421" s="869"/>
      <c r="X421" s="869"/>
      <c r="Y421" s="869"/>
      <c r="Z421" s="869"/>
    </row>
    <row r="422">
      <c r="A422" s="869"/>
      <c r="B422" s="869"/>
      <c r="C422" s="869"/>
      <c r="D422" s="869"/>
      <c r="E422" s="869"/>
      <c r="F422" s="869"/>
      <c r="G422" s="869"/>
      <c r="H422" s="869"/>
      <c r="I422" s="869"/>
      <c r="J422" s="869"/>
      <c r="K422" s="869"/>
      <c r="L422" s="869"/>
      <c r="M422" s="869"/>
      <c r="N422" s="869"/>
      <c r="O422" s="869"/>
      <c r="P422" s="869"/>
      <c r="Q422" s="869"/>
      <c r="R422" s="869"/>
      <c r="S422" s="869"/>
      <c r="T422" s="869"/>
      <c r="U422" s="869"/>
      <c r="V422" s="869"/>
      <c r="W422" s="869"/>
      <c r="X422" s="869"/>
      <c r="Y422" s="869"/>
      <c r="Z422" s="869"/>
    </row>
    <row r="423">
      <c r="A423" s="869"/>
      <c r="B423" s="869"/>
      <c r="C423" s="869"/>
      <c r="D423" s="869"/>
      <c r="E423" s="869"/>
      <c r="F423" s="869"/>
      <c r="G423" s="869"/>
      <c r="H423" s="869"/>
      <c r="I423" s="869"/>
      <c r="J423" s="869"/>
      <c r="K423" s="869"/>
      <c r="L423" s="869"/>
      <c r="M423" s="869"/>
      <c r="N423" s="869"/>
      <c r="O423" s="869"/>
      <c r="P423" s="869"/>
      <c r="Q423" s="869"/>
      <c r="R423" s="869"/>
      <c r="S423" s="869"/>
      <c r="T423" s="869"/>
      <c r="U423" s="869"/>
      <c r="V423" s="869"/>
      <c r="W423" s="869"/>
      <c r="X423" s="869"/>
      <c r="Y423" s="869"/>
      <c r="Z423" s="869"/>
    </row>
    <row r="424">
      <c r="A424" s="869"/>
      <c r="B424" s="869"/>
      <c r="C424" s="869"/>
      <c r="D424" s="869"/>
      <c r="E424" s="869"/>
      <c r="F424" s="869"/>
      <c r="G424" s="869"/>
      <c r="H424" s="869"/>
      <c r="I424" s="869"/>
      <c r="J424" s="869"/>
      <c r="K424" s="869"/>
      <c r="L424" s="869"/>
      <c r="M424" s="869"/>
      <c r="N424" s="869"/>
      <c r="O424" s="869"/>
      <c r="P424" s="869"/>
      <c r="Q424" s="869"/>
      <c r="R424" s="869"/>
      <c r="S424" s="869"/>
      <c r="T424" s="869"/>
      <c r="U424" s="869"/>
      <c r="V424" s="869"/>
      <c r="W424" s="869"/>
      <c r="X424" s="869"/>
      <c r="Y424" s="869"/>
      <c r="Z424" s="869"/>
    </row>
    <row r="425">
      <c r="A425" s="869"/>
      <c r="B425" s="869"/>
      <c r="C425" s="869"/>
      <c r="D425" s="869"/>
      <c r="E425" s="869"/>
      <c r="F425" s="869"/>
      <c r="G425" s="869"/>
      <c r="H425" s="869"/>
      <c r="I425" s="869"/>
      <c r="J425" s="869"/>
      <c r="K425" s="869"/>
      <c r="L425" s="869"/>
      <c r="M425" s="869"/>
      <c r="N425" s="869"/>
      <c r="O425" s="869"/>
      <c r="P425" s="869"/>
      <c r="Q425" s="869"/>
      <c r="R425" s="869"/>
      <c r="S425" s="869"/>
      <c r="T425" s="869"/>
      <c r="U425" s="869"/>
      <c r="V425" s="869"/>
      <c r="W425" s="869"/>
      <c r="X425" s="869"/>
      <c r="Y425" s="869"/>
      <c r="Z425" s="869"/>
    </row>
    <row r="426">
      <c r="A426" s="869"/>
      <c r="B426" s="869"/>
      <c r="C426" s="869"/>
      <c r="D426" s="869"/>
      <c r="E426" s="869"/>
      <c r="F426" s="869"/>
      <c r="G426" s="869"/>
      <c r="H426" s="869"/>
      <c r="I426" s="869"/>
      <c r="J426" s="869"/>
      <c r="K426" s="869"/>
      <c r="L426" s="869"/>
      <c r="M426" s="869"/>
      <c r="N426" s="869"/>
      <c r="O426" s="869"/>
      <c r="P426" s="869"/>
      <c r="Q426" s="869"/>
      <c r="R426" s="869"/>
      <c r="S426" s="869"/>
      <c r="T426" s="869"/>
      <c r="U426" s="869"/>
      <c r="V426" s="869"/>
      <c r="W426" s="869"/>
      <c r="X426" s="869"/>
      <c r="Y426" s="869"/>
      <c r="Z426" s="869"/>
    </row>
    <row r="427">
      <c r="A427" s="869"/>
      <c r="B427" s="869"/>
      <c r="C427" s="869"/>
      <c r="D427" s="869"/>
      <c r="E427" s="869"/>
      <c r="F427" s="869"/>
      <c r="G427" s="869"/>
      <c r="H427" s="869"/>
      <c r="I427" s="869"/>
      <c r="J427" s="869"/>
      <c r="K427" s="869"/>
      <c r="L427" s="869"/>
      <c r="M427" s="869"/>
      <c r="N427" s="869"/>
      <c r="O427" s="869"/>
      <c r="P427" s="869"/>
      <c r="Q427" s="869"/>
      <c r="R427" s="869"/>
      <c r="S427" s="869"/>
      <c r="T427" s="869"/>
      <c r="U427" s="869"/>
      <c r="V427" s="869"/>
      <c r="W427" s="869"/>
      <c r="X427" s="869"/>
      <c r="Y427" s="869"/>
      <c r="Z427" s="869"/>
    </row>
    <row r="428">
      <c r="A428" s="869"/>
      <c r="B428" s="869"/>
      <c r="C428" s="869"/>
      <c r="D428" s="869"/>
      <c r="E428" s="869"/>
      <c r="F428" s="869"/>
      <c r="G428" s="869"/>
      <c r="H428" s="869"/>
      <c r="I428" s="869"/>
      <c r="J428" s="869"/>
      <c r="K428" s="869"/>
      <c r="L428" s="869"/>
      <c r="M428" s="869"/>
      <c r="N428" s="869"/>
      <c r="O428" s="869"/>
      <c r="P428" s="869"/>
      <c r="Q428" s="869"/>
      <c r="R428" s="869"/>
      <c r="S428" s="869"/>
      <c r="T428" s="869"/>
      <c r="U428" s="869"/>
      <c r="V428" s="869"/>
      <c r="W428" s="869"/>
      <c r="X428" s="869"/>
      <c r="Y428" s="869"/>
      <c r="Z428" s="869"/>
    </row>
    <row r="429">
      <c r="A429" s="869"/>
      <c r="B429" s="869"/>
      <c r="C429" s="869"/>
      <c r="D429" s="869"/>
      <c r="E429" s="869"/>
      <c r="F429" s="869"/>
      <c r="G429" s="869"/>
      <c r="H429" s="869"/>
      <c r="I429" s="869"/>
      <c r="J429" s="869"/>
      <c r="K429" s="869"/>
      <c r="L429" s="869"/>
      <c r="M429" s="869"/>
      <c r="N429" s="869"/>
      <c r="O429" s="869"/>
      <c r="P429" s="869"/>
      <c r="Q429" s="869"/>
      <c r="R429" s="869"/>
      <c r="S429" s="869"/>
      <c r="T429" s="869"/>
      <c r="U429" s="869"/>
      <c r="V429" s="869"/>
      <c r="W429" s="869"/>
      <c r="X429" s="869"/>
      <c r="Y429" s="869"/>
      <c r="Z429" s="869"/>
    </row>
    <row r="430">
      <c r="A430" s="869"/>
      <c r="B430" s="869"/>
      <c r="C430" s="869"/>
      <c r="D430" s="869"/>
      <c r="E430" s="869"/>
      <c r="F430" s="869"/>
      <c r="G430" s="869"/>
      <c r="H430" s="869"/>
      <c r="I430" s="869"/>
      <c r="J430" s="869"/>
      <c r="K430" s="869"/>
      <c r="L430" s="869"/>
      <c r="M430" s="869"/>
      <c r="N430" s="869"/>
      <c r="O430" s="869"/>
      <c r="P430" s="869"/>
      <c r="Q430" s="869"/>
      <c r="R430" s="869"/>
      <c r="S430" s="869"/>
      <c r="T430" s="869"/>
      <c r="U430" s="869"/>
      <c r="V430" s="869"/>
      <c r="W430" s="869"/>
      <c r="X430" s="869"/>
      <c r="Y430" s="869"/>
      <c r="Z430" s="869"/>
    </row>
    <row r="431">
      <c r="A431" s="869"/>
      <c r="B431" s="869"/>
      <c r="C431" s="869"/>
      <c r="D431" s="869"/>
      <c r="E431" s="869"/>
      <c r="F431" s="869"/>
      <c r="G431" s="869"/>
      <c r="H431" s="869"/>
      <c r="I431" s="869"/>
      <c r="J431" s="869"/>
      <c r="K431" s="869"/>
      <c r="L431" s="869"/>
      <c r="M431" s="869"/>
      <c r="N431" s="869"/>
      <c r="O431" s="869"/>
      <c r="P431" s="869"/>
      <c r="Q431" s="869"/>
      <c r="R431" s="869"/>
      <c r="S431" s="869"/>
      <c r="T431" s="869"/>
      <c r="U431" s="869"/>
      <c r="V431" s="869"/>
      <c r="W431" s="869"/>
      <c r="X431" s="869"/>
      <c r="Y431" s="869"/>
      <c r="Z431" s="869"/>
    </row>
    <row r="432">
      <c r="A432" s="869"/>
      <c r="B432" s="869"/>
      <c r="C432" s="869"/>
      <c r="D432" s="869"/>
      <c r="E432" s="869"/>
      <c r="F432" s="869"/>
      <c r="G432" s="869"/>
      <c r="H432" s="869"/>
      <c r="I432" s="869"/>
      <c r="J432" s="869"/>
      <c r="K432" s="869"/>
      <c r="L432" s="869"/>
      <c r="M432" s="869"/>
      <c r="N432" s="869"/>
      <c r="O432" s="869"/>
      <c r="P432" s="869"/>
      <c r="Q432" s="869"/>
      <c r="R432" s="869"/>
      <c r="S432" s="869"/>
      <c r="T432" s="869"/>
      <c r="U432" s="869"/>
      <c r="V432" s="869"/>
      <c r="W432" s="869"/>
      <c r="X432" s="869"/>
      <c r="Y432" s="869"/>
      <c r="Z432" s="869"/>
    </row>
    <row r="433">
      <c r="A433" s="869"/>
      <c r="B433" s="869"/>
      <c r="C433" s="869"/>
      <c r="D433" s="869"/>
      <c r="E433" s="869"/>
      <c r="F433" s="869"/>
      <c r="G433" s="869"/>
      <c r="H433" s="869"/>
      <c r="I433" s="869"/>
      <c r="J433" s="869"/>
      <c r="K433" s="869"/>
      <c r="L433" s="869"/>
      <c r="M433" s="869"/>
      <c r="N433" s="869"/>
      <c r="O433" s="869"/>
      <c r="P433" s="869"/>
      <c r="Q433" s="869"/>
      <c r="R433" s="869"/>
      <c r="S433" s="869"/>
      <c r="T433" s="869"/>
      <c r="U433" s="869"/>
      <c r="V433" s="869"/>
      <c r="W433" s="869"/>
      <c r="X433" s="869"/>
      <c r="Y433" s="869"/>
      <c r="Z433" s="869"/>
    </row>
    <row r="434">
      <c r="A434" s="869"/>
      <c r="B434" s="869"/>
      <c r="C434" s="869"/>
      <c r="D434" s="869"/>
      <c r="E434" s="869"/>
      <c r="F434" s="869"/>
      <c r="G434" s="869"/>
      <c r="H434" s="869"/>
      <c r="I434" s="869"/>
      <c r="J434" s="869"/>
      <c r="K434" s="869"/>
      <c r="L434" s="869"/>
      <c r="M434" s="869"/>
      <c r="N434" s="869"/>
      <c r="O434" s="869"/>
      <c r="P434" s="869"/>
      <c r="Q434" s="869"/>
      <c r="R434" s="869"/>
      <c r="S434" s="869"/>
      <c r="T434" s="869"/>
      <c r="U434" s="869"/>
      <c r="V434" s="869"/>
      <c r="W434" s="869"/>
      <c r="X434" s="869"/>
      <c r="Y434" s="869"/>
      <c r="Z434" s="869"/>
    </row>
    <row r="435">
      <c r="A435" s="869"/>
      <c r="B435" s="869"/>
      <c r="C435" s="869"/>
      <c r="D435" s="869"/>
      <c r="E435" s="869"/>
      <c r="F435" s="869"/>
      <c r="G435" s="869"/>
      <c r="H435" s="869"/>
      <c r="I435" s="869"/>
      <c r="J435" s="869"/>
      <c r="K435" s="869"/>
      <c r="L435" s="869"/>
      <c r="M435" s="869"/>
      <c r="N435" s="869"/>
      <c r="O435" s="869"/>
      <c r="P435" s="869"/>
      <c r="Q435" s="869"/>
      <c r="R435" s="869"/>
      <c r="S435" s="869"/>
      <c r="T435" s="869"/>
      <c r="U435" s="869"/>
      <c r="V435" s="869"/>
      <c r="W435" s="869"/>
      <c r="X435" s="869"/>
      <c r="Y435" s="869"/>
      <c r="Z435" s="869"/>
    </row>
    <row r="436">
      <c r="A436" s="869"/>
      <c r="B436" s="869"/>
      <c r="C436" s="869"/>
      <c r="D436" s="869"/>
      <c r="E436" s="869"/>
      <c r="F436" s="869"/>
      <c r="G436" s="869"/>
      <c r="H436" s="869"/>
      <c r="I436" s="869"/>
      <c r="J436" s="869"/>
      <c r="K436" s="869"/>
      <c r="L436" s="869"/>
      <c r="M436" s="869"/>
      <c r="N436" s="869"/>
      <c r="O436" s="869"/>
      <c r="P436" s="869"/>
      <c r="Q436" s="869"/>
      <c r="R436" s="869"/>
      <c r="S436" s="869"/>
      <c r="T436" s="869"/>
      <c r="U436" s="869"/>
      <c r="V436" s="869"/>
      <c r="W436" s="869"/>
      <c r="X436" s="869"/>
      <c r="Y436" s="869"/>
      <c r="Z436" s="869"/>
    </row>
    <row r="437">
      <c r="A437" s="869"/>
      <c r="B437" s="869"/>
      <c r="C437" s="869"/>
      <c r="D437" s="869"/>
      <c r="E437" s="869"/>
      <c r="F437" s="869"/>
      <c r="G437" s="869"/>
      <c r="H437" s="869"/>
      <c r="I437" s="869"/>
      <c r="J437" s="869"/>
      <c r="K437" s="869"/>
      <c r="L437" s="869"/>
      <c r="M437" s="869"/>
      <c r="N437" s="869"/>
      <c r="O437" s="869"/>
      <c r="P437" s="869"/>
      <c r="Q437" s="869"/>
      <c r="R437" s="869"/>
      <c r="S437" s="869"/>
      <c r="T437" s="869"/>
      <c r="U437" s="869"/>
      <c r="V437" s="869"/>
      <c r="W437" s="869"/>
      <c r="X437" s="869"/>
      <c r="Y437" s="869"/>
      <c r="Z437" s="869"/>
    </row>
    <row r="438">
      <c r="A438" s="869"/>
      <c r="B438" s="869"/>
      <c r="C438" s="869"/>
      <c r="D438" s="869"/>
      <c r="E438" s="869"/>
      <c r="F438" s="869"/>
      <c r="G438" s="869"/>
      <c r="H438" s="869"/>
      <c r="I438" s="869"/>
      <c r="J438" s="869"/>
      <c r="K438" s="869"/>
      <c r="L438" s="869"/>
      <c r="M438" s="869"/>
      <c r="N438" s="869"/>
      <c r="O438" s="869"/>
      <c r="P438" s="869"/>
      <c r="Q438" s="869"/>
      <c r="R438" s="869"/>
      <c r="S438" s="869"/>
      <c r="T438" s="869"/>
      <c r="U438" s="869"/>
      <c r="V438" s="869"/>
      <c r="W438" s="869"/>
      <c r="X438" s="869"/>
      <c r="Y438" s="869"/>
      <c r="Z438" s="869"/>
    </row>
    <row r="439">
      <c r="A439" s="869"/>
      <c r="B439" s="869"/>
      <c r="C439" s="869"/>
      <c r="D439" s="869"/>
      <c r="E439" s="869"/>
      <c r="F439" s="869"/>
      <c r="G439" s="869"/>
      <c r="H439" s="869"/>
      <c r="I439" s="869"/>
      <c r="J439" s="869"/>
      <c r="K439" s="869"/>
      <c r="L439" s="869"/>
      <c r="M439" s="869"/>
      <c r="N439" s="869"/>
      <c r="O439" s="869"/>
      <c r="P439" s="869"/>
      <c r="Q439" s="869"/>
      <c r="R439" s="869"/>
      <c r="S439" s="869"/>
      <c r="T439" s="869"/>
      <c r="U439" s="869"/>
      <c r="V439" s="869"/>
      <c r="W439" s="869"/>
      <c r="X439" s="869"/>
      <c r="Y439" s="869"/>
      <c r="Z439" s="869"/>
    </row>
    <row r="440">
      <c r="A440" s="869"/>
      <c r="B440" s="869"/>
      <c r="C440" s="869"/>
      <c r="D440" s="869"/>
      <c r="E440" s="869"/>
      <c r="F440" s="869"/>
      <c r="G440" s="869"/>
      <c r="H440" s="869"/>
      <c r="I440" s="869"/>
      <c r="J440" s="869"/>
      <c r="K440" s="869"/>
      <c r="L440" s="869"/>
      <c r="M440" s="869"/>
      <c r="N440" s="869"/>
      <c r="O440" s="869"/>
      <c r="P440" s="869"/>
      <c r="Q440" s="869"/>
      <c r="R440" s="869"/>
      <c r="S440" s="869"/>
      <c r="T440" s="869"/>
      <c r="U440" s="869"/>
      <c r="V440" s="869"/>
      <c r="W440" s="869"/>
      <c r="X440" s="869"/>
      <c r="Y440" s="869"/>
      <c r="Z440" s="869"/>
    </row>
    <row r="441">
      <c r="A441" s="869"/>
      <c r="B441" s="869"/>
      <c r="C441" s="869"/>
      <c r="D441" s="869"/>
      <c r="E441" s="869"/>
      <c r="F441" s="869"/>
      <c r="G441" s="869"/>
      <c r="H441" s="869"/>
      <c r="I441" s="869"/>
      <c r="J441" s="869"/>
      <c r="K441" s="869"/>
      <c r="L441" s="869"/>
      <c r="M441" s="869"/>
      <c r="N441" s="869"/>
      <c r="O441" s="869"/>
      <c r="P441" s="869"/>
      <c r="Q441" s="869"/>
      <c r="R441" s="869"/>
      <c r="S441" s="869"/>
      <c r="T441" s="869"/>
      <c r="U441" s="869"/>
      <c r="V441" s="869"/>
      <c r="W441" s="869"/>
      <c r="X441" s="869"/>
      <c r="Y441" s="869"/>
      <c r="Z441" s="869"/>
    </row>
    <row r="442">
      <c r="A442" s="869"/>
      <c r="B442" s="869"/>
      <c r="C442" s="869"/>
      <c r="D442" s="869"/>
      <c r="E442" s="869"/>
      <c r="F442" s="869"/>
      <c r="G442" s="869"/>
      <c r="H442" s="869"/>
      <c r="I442" s="869"/>
      <c r="J442" s="869"/>
      <c r="K442" s="869"/>
      <c r="L442" s="869"/>
      <c r="M442" s="869"/>
      <c r="N442" s="869"/>
      <c r="O442" s="869"/>
      <c r="P442" s="869"/>
      <c r="Q442" s="869"/>
      <c r="R442" s="869"/>
      <c r="S442" s="869"/>
      <c r="T442" s="869"/>
      <c r="U442" s="869"/>
      <c r="V442" s="869"/>
      <c r="W442" s="869"/>
      <c r="X442" s="869"/>
      <c r="Y442" s="869"/>
      <c r="Z442" s="869"/>
    </row>
    <row r="443">
      <c r="A443" s="869"/>
      <c r="B443" s="869"/>
      <c r="C443" s="869"/>
      <c r="D443" s="869"/>
      <c r="E443" s="869"/>
      <c r="F443" s="869"/>
      <c r="G443" s="869"/>
      <c r="H443" s="869"/>
      <c r="I443" s="869"/>
      <c r="J443" s="869"/>
      <c r="K443" s="869"/>
      <c r="L443" s="869"/>
      <c r="M443" s="869"/>
      <c r="N443" s="869"/>
      <c r="O443" s="869"/>
      <c r="P443" s="869"/>
      <c r="Q443" s="869"/>
      <c r="R443" s="869"/>
      <c r="S443" s="869"/>
      <c r="T443" s="869"/>
      <c r="U443" s="869"/>
      <c r="V443" s="869"/>
      <c r="W443" s="869"/>
      <c r="X443" s="869"/>
      <c r="Y443" s="869"/>
      <c r="Z443" s="869"/>
    </row>
    <row r="444">
      <c r="A444" s="869"/>
      <c r="B444" s="869"/>
      <c r="C444" s="869"/>
      <c r="D444" s="869"/>
      <c r="E444" s="869"/>
      <c r="F444" s="869"/>
      <c r="G444" s="869"/>
      <c r="H444" s="869"/>
      <c r="I444" s="869"/>
      <c r="J444" s="869"/>
      <c r="K444" s="869"/>
      <c r="L444" s="869"/>
      <c r="M444" s="869"/>
      <c r="N444" s="869"/>
      <c r="O444" s="869"/>
      <c r="P444" s="869"/>
      <c r="Q444" s="869"/>
      <c r="R444" s="869"/>
      <c r="S444" s="869"/>
      <c r="T444" s="869"/>
      <c r="U444" s="869"/>
      <c r="V444" s="869"/>
      <c r="W444" s="869"/>
      <c r="X444" s="869"/>
      <c r="Y444" s="869"/>
      <c r="Z444" s="869"/>
    </row>
    <row r="445">
      <c r="A445" s="869"/>
      <c r="B445" s="869"/>
      <c r="C445" s="869"/>
      <c r="D445" s="869"/>
      <c r="E445" s="869"/>
      <c r="F445" s="869"/>
      <c r="G445" s="869"/>
      <c r="H445" s="869"/>
      <c r="I445" s="869"/>
      <c r="J445" s="869"/>
      <c r="K445" s="869"/>
      <c r="L445" s="869"/>
      <c r="M445" s="869"/>
      <c r="N445" s="869"/>
      <c r="O445" s="869"/>
      <c r="P445" s="869"/>
      <c r="Q445" s="869"/>
      <c r="R445" s="869"/>
      <c r="S445" s="869"/>
      <c r="T445" s="869"/>
      <c r="U445" s="869"/>
      <c r="V445" s="869"/>
      <c r="W445" s="869"/>
      <c r="X445" s="869"/>
      <c r="Y445" s="869"/>
      <c r="Z445" s="869"/>
    </row>
    <row r="446">
      <c r="A446" s="869"/>
      <c r="B446" s="869"/>
      <c r="C446" s="869"/>
      <c r="D446" s="869"/>
      <c r="E446" s="869"/>
      <c r="F446" s="869"/>
      <c r="G446" s="869"/>
      <c r="H446" s="869"/>
      <c r="I446" s="869"/>
      <c r="J446" s="869"/>
      <c r="K446" s="869"/>
      <c r="L446" s="869"/>
      <c r="M446" s="869"/>
      <c r="N446" s="869"/>
      <c r="O446" s="869"/>
      <c r="P446" s="869"/>
      <c r="Q446" s="869"/>
      <c r="R446" s="869"/>
      <c r="S446" s="869"/>
      <c r="T446" s="869"/>
      <c r="U446" s="869"/>
      <c r="V446" s="869"/>
      <c r="W446" s="869"/>
      <c r="X446" s="869"/>
      <c r="Y446" s="869"/>
      <c r="Z446" s="869"/>
    </row>
    <row r="447">
      <c r="A447" s="869"/>
      <c r="B447" s="869"/>
      <c r="C447" s="869"/>
      <c r="D447" s="869"/>
      <c r="E447" s="869"/>
      <c r="F447" s="869"/>
      <c r="G447" s="869"/>
      <c r="H447" s="869"/>
      <c r="I447" s="869"/>
      <c r="J447" s="869"/>
      <c r="K447" s="869"/>
      <c r="L447" s="869"/>
      <c r="M447" s="869"/>
      <c r="N447" s="869"/>
      <c r="O447" s="869"/>
      <c r="P447" s="869"/>
      <c r="Q447" s="869"/>
      <c r="R447" s="869"/>
      <c r="S447" s="869"/>
      <c r="T447" s="869"/>
      <c r="U447" s="869"/>
      <c r="V447" s="869"/>
      <c r="W447" s="869"/>
      <c r="X447" s="869"/>
      <c r="Y447" s="869"/>
      <c r="Z447" s="869"/>
    </row>
    <row r="448">
      <c r="A448" s="869"/>
      <c r="B448" s="869"/>
      <c r="C448" s="869"/>
      <c r="D448" s="869"/>
      <c r="E448" s="869"/>
      <c r="F448" s="869"/>
      <c r="G448" s="869"/>
      <c r="H448" s="869"/>
      <c r="I448" s="869"/>
      <c r="J448" s="869"/>
      <c r="K448" s="869"/>
      <c r="L448" s="869"/>
      <c r="M448" s="869"/>
      <c r="N448" s="869"/>
      <c r="O448" s="869"/>
      <c r="P448" s="869"/>
      <c r="Q448" s="869"/>
      <c r="R448" s="869"/>
      <c r="S448" s="869"/>
      <c r="T448" s="869"/>
      <c r="U448" s="869"/>
      <c r="V448" s="869"/>
      <c r="W448" s="869"/>
      <c r="X448" s="869"/>
      <c r="Y448" s="869"/>
      <c r="Z448" s="869"/>
    </row>
    <row r="449">
      <c r="A449" s="869"/>
      <c r="B449" s="869"/>
      <c r="C449" s="869"/>
      <c r="D449" s="869"/>
      <c r="E449" s="869"/>
      <c r="F449" s="869"/>
      <c r="G449" s="869"/>
      <c r="H449" s="869"/>
      <c r="I449" s="869"/>
      <c r="J449" s="869"/>
      <c r="K449" s="869"/>
      <c r="L449" s="869"/>
      <c r="M449" s="869"/>
      <c r="N449" s="869"/>
      <c r="O449" s="869"/>
      <c r="P449" s="869"/>
      <c r="Q449" s="869"/>
      <c r="R449" s="869"/>
      <c r="S449" s="869"/>
      <c r="T449" s="869"/>
      <c r="U449" s="869"/>
      <c r="V449" s="869"/>
      <c r="W449" s="869"/>
      <c r="X449" s="869"/>
      <c r="Y449" s="869"/>
      <c r="Z449" s="869"/>
    </row>
    <row r="450">
      <c r="A450" s="869"/>
      <c r="B450" s="869"/>
      <c r="C450" s="869"/>
      <c r="D450" s="869"/>
      <c r="E450" s="869"/>
      <c r="F450" s="869"/>
      <c r="G450" s="869"/>
      <c r="H450" s="869"/>
      <c r="I450" s="869"/>
      <c r="J450" s="869"/>
      <c r="K450" s="869"/>
      <c r="L450" s="869"/>
      <c r="M450" s="869"/>
      <c r="N450" s="869"/>
      <c r="O450" s="869"/>
      <c r="P450" s="869"/>
      <c r="Q450" s="869"/>
      <c r="R450" s="869"/>
      <c r="S450" s="869"/>
      <c r="T450" s="869"/>
      <c r="U450" s="869"/>
      <c r="V450" s="869"/>
      <c r="W450" s="869"/>
      <c r="X450" s="869"/>
      <c r="Y450" s="869"/>
      <c r="Z450" s="869"/>
    </row>
    <row r="451">
      <c r="A451" s="869"/>
      <c r="B451" s="869"/>
      <c r="C451" s="869"/>
      <c r="D451" s="869"/>
      <c r="E451" s="869"/>
      <c r="F451" s="869"/>
      <c r="G451" s="869"/>
      <c r="H451" s="869"/>
      <c r="I451" s="869"/>
      <c r="J451" s="869"/>
      <c r="K451" s="869"/>
      <c r="L451" s="869"/>
      <c r="M451" s="869"/>
      <c r="N451" s="869"/>
      <c r="O451" s="869"/>
      <c r="P451" s="869"/>
      <c r="Q451" s="869"/>
      <c r="R451" s="869"/>
      <c r="S451" s="869"/>
      <c r="T451" s="869"/>
      <c r="U451" s="869"/>
      <c r="V451" s="869"/>
      <c r="W451" s="869"/>
      <c r="X451" s="869"/>
      <c r="Y451" s="869"/>
      <c r="Z451" s="869"/>
    </row>
    <row r="452">
      <c r="A452" s="869"/>
      <c r="B452" s="869"/>
      <c r="C452" s="869"/>
      <c r="D452" s="869"/>
      <c r="E452" s="869"/>
      <c r="F452" s="869"/>
      <c r="G452" s="869"/>
      <c r="H452" s="869"/>
      <c r="I452" s="869"/>
      <c r="J452" s="869"/>
      <c r="K452" s="869"/>
      <c r="L452" s="869"/>
      <c r="M452" s="869"/>
      <c r="N452" s="869"/>
      <c r="O452" s="869"/>
      <c r="P452" s="869"/>
      <c r="Q452" s="869"/>
      <c r="R452" s="869"/>
      <c r="S452" s="869"/>
      <c r="T452" s="869"/>
      <c r="U452" s="869"/>
      <c r="V452" s="869"/>
      <c r="W452" s="869"/>
      <c r="X452" s="869"/>
      <c r="Y452" s="869"/>
      <c r="Z452" s="869"/>
    </row>
    <row r="453">
      <c r="A453" s="869"/>
      <c r="B453" s="869"/>
      <c r="C453" s="869"/>
      <c r="D453" s="869"/>
      <c r="E453" s="869"/>
      <c r="F453" s="869"/>
      <c r="G453" s="869"/>
      <c r="H453" s="869"/>
      <c r="I453" s="869"/>
      <c r="J453" s="869"/>
      <c r="K453" s="869"/>
      <c r="L453" s="869"/>
      <c r="M453" s="869"/>
      <c r="N453" s="869"/>
      <c r="O453" s="869"/>
      <c r="P453" s="869"/>
      <c r="Q453" s="869"/>
      <c r="R453" s="869"/>
      <c r="S453" s="869"/>
      <c r="T453" s="869"/>
      <c r="U453" s="869"/>
      <c r="V453" s="869"/>
      <c r="W453" s="869"/>
      <c r="X453" s="869"/>
      <c r="Y453" s="869"/>
      <c r="Z453" s="869"/>
    </row>
    <row r="454">
      <c r="A454" s="869"/>
      <c r="B454" s="869"/>
      <c r="C454" s="869"/>
      <c r="D454" s="869"/>
      <c r="E454" s="869"/>
      <c r="F454" s="869"/>
      <c r="G454" s="869"/>
      <c r="H454" s="869"/>
      <c r="I454" s="869"/>
      <c r="J454" s="869"/>
      <c r="K454" s="869"/>
      <c r="L454" s="869"/>
      <c r="M454" s="869"/>
      <c r="N454" s="869"/>
      <c r="O454" s="869"/>
      <c r="P454" s="869"/>
      <c r="Q454" s="869"/>
      <c r="R454" s="869"/>
      <c r="S454" s="869"/>
      <c r="T454" s="869"/>
      <c r="U454" s="869"/>
      <c r="V454" s="869"/>
      <c r="W454" s="869"/>
      <c r="X454" s="869"/>
      <c r="Y454" s="869"/>
      <c r="Z454" s="869"/>
    </row>
    <row r="455">
      <c r="A455" s="869"/>
      <c r="B455" s="869"/>
      <c r="C455" s="869"/>
      <c r="D455" s="869"/>
      <c r="E455" s="869"/>
      <c r="F455" s="869"/>
      <c r="G455" s="869"/>
      <c r="H455" s="869"/>
      <c r="I455" s="869"/>
      <c r="J455" s="869"/>
      <c r="K455" s="869"/>
      <c r="L455" s="869"/>
      <c r="M455" s="869"/>
      <c r="N455" s="869"/>
      <c r="O455" s="869"/>
      <c r="P455" s="869"/>
      <c r="Q455" s="869"/>
      <c r="R455" s="869"/>
      <c r="S455" s="869"/>
      <c r="T455" s="869"/>
      <c r="U455" s="869"/>
      <c r="V455" s="869"/>
      <c r="W455" s="869"/>
      <c r="X455" s="869"/>
      <c r="Y455" s="869"/>
      <c r="Z455" s="869"/>
    </row>
    <row r="456">
      <c r="A456" s="869"/>
      <c r="B456" s="869"/>
      <c r="C456" s="869"/>
      <c r="D456" s="869"/>
      <c r="E456" s="869"/>
      <c r="F456" s="869"/>
      <c r="G456" s="869"/>
      <c r="H456" s="869"/>
      <c r="I456" s="869"/>
      <c r="J456" s="869"/>
      <c r="K456" s="869"/>
      <c r="L456" s="869"/>
      <c r="M456" s="869"/>
      <c r="N456" s="869"/>
      <c r="O456" s="869"/>
      <c r="P456" s="869"/>
      <c r="Q456" s="869"/>
      <c r="R456" s="869"/>
      <c r="S456" s="869"/>
      <c r="T456" s="869"/>
      <c r="U456" s="869"/>
      <c r="V456" s="869"/>
      <c r="W456" s="869"/>
      <c r="X456" s="869"/>
      <c r="Y456" s="869"/>
      <c r="Z456" s="869"/>
    </row>
    <row r="457">
      <c r="A457" s="869"/>
      <c r="B457" s="869"/>
      <c r="C457" s="869"/>
      <c r="D457" s="869"/>
      <c r="E457" s="869"/>
      <c r="F457" s="869"/>
      <c r="G457" s="869"/>
      <c r="H457" s="869"/>
      <c r="I457" s="869"/>
      <c r="J457" s="869"/>
      <c r="K457" s="869"/>
      <c r="L457" s="869"/>
      <c r="M457" s="869"/>
      <c r="N457" s="869"/>
      <c r="O457" s="869"/>
      <c r="P457" s="869"/>
      <c r="Q457" s="869"/>
      <c r="R457" s="869"/>
      <c r="S457" s="869"/>
      <c r="T457" s="869"/>
      <c r="U457" s="869"/>
      <c r="V457" s="869"/>
      <c r="W457" s="869"/>
      <c r="X457" s="869"/>
      <c r="Y457" s="869"/>
      <c r="Z457" s="869"/>
    </row>
    <row r="458">
      <c r="A458" s="869"/>
      <c r="B458" s="869"/>
      <c r="C458" s="869"/>
      <c r="D458" s="869"/>
      <c r="E458" s="869"/>
      <c r="F458" s="869"/>
      <c r="G458" s="869"/>
      <c r="H458" s="869"/>
      <c r="I458" s="869"/>
      <c r="J458" s="869"/>
      <c r="K458" s="869"/>
      <c r="L458" s="869"/>
      <c r="M458" s="869"/>
      <c r="N458" s="869"/>
      <c r="O458" s="869"/>
      <c r="P458" s="869"/>
      <c r="Q458" s="869"/>
      <c r="R458" s="869"/>
      <c r="S458" s="869"/>
      <c r="T458" s="869"/>
      <c r="U458" s="869"/>
      <c r="V458" s="869"/>
      <c r="W458" s="869"/>
      <c r="X458" s="869"/>
      <c r="Y458" s="869"/>
      <c r="Z458" s="869"/>
    </row>
    <row r="459">
      <c r="A459" s="869"/>
      <c r="B459" s="869"/>
      <c r="C459" s="869"/>
      <c r="D459" s="869"/>
      <c r="E459" s="869"/>
      <c r="F459" s="869"/>
      <c r="G459" s="869"/>
      <c r="H459" s="869"/>
      <c r="I459" s="869"/>
      <c r="J459" s="869"/>
      <c r="K459" s="869"/>
      <c r="L459" s="869"/>
      <c r="M459" s="869"/>
      <c r="N459" s="869"/>
      <c r="O459" s="869"/>
      <c r="P459" s="869"/>
      <c r="Q459" s="869"/>
      <c r="R459" s="869"/>
      <c r="S459" s="869"/>
      <c r="T459" s="869"/>
      <c r="U459" s="869"/>
      <c r="V459" s="869"/>
      <c r="W459" s="869"/>
      <c r="X459" s="869"/>
      <c r="Y459" s="869"/>
      <c r="Z459" s="869"/>
    </row>
    <row r="460">
      <c r="A460" s="869"/>
      <c r="B460" s="869"/>
      <c r="C460" s="869"/>
      <c r="D460" s="869"/>
      <c r="E460" s="869"/>
      <c r="F460" s="869"/>
      <c r="G460" s="869"/>
      <c r="H460" s="869"/>
      <c r="I460" s="869"/>
      <c r="J460" s="869"/>
      <c r="K460" s="869"/>
      <c r="L460" s="869"/>
      <c r="M460" s="869"/>
      <c r="N460" s="869"/>
      <c r="O460" s="869"/>
      <c r="P460" s="869"/>
      <c r="Q460" s="869"/>
      <c r="R460" s="869"/>
      <c r="S460" s="869"/>
      <c r="T460" s="869"/>
      <c r="U460" s="869"/>
      <c r="V460" s="869"/>
      <c r="W460" s="869"/>
      <c r="X460" s="869"/>
      <c r="Y460" s="869"/>
      <c r="Z460" s="869"/>
    </row>
    <row r="461">
      <c r="A461" s="869"/>
      <c r="B461" s="869"/>
      <c r="C461" s="869"/>
      <c r="D461" s="869"/>
      <c r="E461" s="869"/>
      <c r="F461" s="869"/>
      <c r="G461" s="869"/>
      <c r="H461" s="869"/>
      <c r="I461" s="869"/>
      <c r="J461" s="869"/>
      <c r="K461" s="869"/>
      <c r="L461" s="869"/>
      <c r="M461" s="869"/>
      <c r="N461" s="869"/>
      <c r="O461" s="869"/>
      <c r="P461" s="869"/>
      <c r="Q461" s="869"/>
      <c r="R461" s="869"/>
      <c r="S461" s="869"/>
      <c r="T461" s="869"/>
      <c r="U461" s="869"/>
      <c r="V461" s="869"/>
      <c r="W461" s="869"/>
      <c r="X461" s="869"/>
      <c r="Y461" s="869"/>
      <c r="Z461" s="869"/>
    </row>
    <row r="462">
      <c r="A462" s="869"/>
      <c r="B462" s="869"/>
      <c r="C462" s="869"/>
      <c r="D462" s="869"/>
      <c r="E462" s="869"/>
      <c r="F462" s="869"/>
      <c r="G462" s="869"/>
      <c r="H462" s="869"/>
      <c r="I462" s="869"/>
      <c r="J462" s="869"/>
      <c r="K462" s="869"/>
      <c r="L462" s="869"/>
      <c r="M462" s="869"/>
      <c r="N462" s="869"/>
      <c r="O462" s="869"/>
      <c r="P462" s="869"/>
      <c r="Q462" s="869"/>
      <c r="R462" s="869"/>
      <c r="S462" s="869"/>
      <c r="T462" s="869"/>
      <c r="U462" s="869"/>
      <c r="V462" s="869"/>
      <c r="W462" s="869"/>
      <c r="X462" s="869"/>
      <c r="Y462" s="869"/>
      <c r="Z462" s="869"/>
    </row>
    <row r="463">
      <c r="A463" s="869"/>
      <c r="B463" s="869"/>
      <c r="C463" s="869"/>
      <c r="D463" s="869"/>
      <c r="E463" s="869"/>
      <c r="F463" s="869"/>
      <c r="G463" s="869"/>
      <c r="H463" s="869"/>
      <c r="I463" s="869"/>
      <c r="J463" s="869"/>
      <c r="K463" s="869"/>
      <c r="L463" s="869"/>
      <c r="M463" s="869"/>
      <c r="N463" s="869"/>
      <c r="O463" s="869"/>
      <c r="P463" s="869"/>
      <c r="Q463" s="869"/>
      <c r="R463" s="869"/>
      <c r="S463" s="869"/>
      <c r="T463" s="869"/>
      <c r="U463" s="869"/>
      <c r="V463" s="869"/>
      <c r="W463" s="869"/>
      <c r="X463" s="869"/>
      <c r="Y463" s="869"/>
      <c r="Z463" s="869"/>
    </row>
    <row r="464">
      <c r="A464" s="869"/>
      <c r="B464" s="869"/>
      <c r="C464" s="869"/>
      <c r="D464" s="869"/>
      <c r="E464" s="869"/>
      <c r="F464" s="869"/>
      <c r="G464" s="869"/>
      <c r="H464" s="869"/>
      <c r="I464" s="869"/>
      <c r="J464" s="869"/>
      <c r="K464" s="869"/>
      <c r="L464" s="869"/>
      <c r="M464" s="869"/>
      <c r="N464" s="869"/>
      <c r="O464" s="869"/>
      <c r="P464" s="869"/>
      <c r="Q464" s="869"/>
      <c r="R464" s="869"/>
      <c r="S464" s="869"/>
      <c r="T464" s="869"/>
      <c r="U464" s="869"/>
      <c r="V464" s="869"/>
      <c r="W464" s="869"/>
      <c r="X464" s="869"/>
      <c r="Y464" s="869"/>
      <c r="Z464" s="869"/>
    </row>
    <row r="465">
      <c r="A465" s="869"/>
      <c r="B465" s="869"/>
      <c r="C465" s="869"/>
      <c r="D465" s="869"/>
      <c r="E465" s="869"/>
      <c r="F465" s="869"/>
      <c r="G465" s="869"/>
      <c r="H465" s="869"/>
      <c r="I465" s="869"/>
      <c r="J465" s="869"/>
      <c r="K465" s="869"/>
      <c r="L465" s="869"/>
      <c r="M465" s="869"/>
      <c r="N465" s="869"/>
      <c r="O465" s="869"/>
      <c r="P465" s="869"/>
      <c r="Q465" s="869"/>
      <c r="R465" s="869"/>
      <c r="S465" s="869"/>
      <c r="T465" s="869"/>
      <c r="U465" s="869"/>
      <c r="V465" s="869"/>
      <c r="W465" s="869"/>
      <c r="X465" s="869"/>
      <c r="Y465" s="869"/>
      <c r="Z465" s="869"/>
    </row>
    <row r="466">
      <c r="A466" s="869"/>
      <c r="B466" s="869"/>
      <c r="C466" s="869"/>
      <c r="D466" s="869"/>
      <c r="E466" s="869"/>
      <c r="F466" s="869"/>
      <c r="G466" s="869"/>
      <c r="H466" s="869"/>
      <c r="I466" s="869"/>
      <c r="J466" s="869"/>
      <c r="K466" s="869"/>
      <c r="L466" s="869"/>
      <c r="M466" s="869"/>
      <c r="N466" s="869"/>
      <c r="O466" s="869"/>
      <c r="P466" s="869"/>
      <c r="Q466" s="869"/>
      <c r="R466" s="869"/>
      <c r="S466" s="869"/>
      <c r="T466" s="869"/>
      <c r="U466" s="869"/>
      <c r="V466" s="869"/>
      <c r="W466" s="869"/>
      <c r="X466" s="869"/>
      <c r="Y466" s="869"/>
      <c r="Z466" s="869"/>
    </row>
    <row r="467">
      <c r="A467" s="869"/>
      <c r="B467" s="869"/>
      <c r="C467" s="869"/>
      <c r="D467" s="869"/>
      <c r="E467" s="869"/>
      <c r="F467" s="869"/>
      <c r="G467" s="869"/>
      <c r="H467" s="869"/>
      <c r="I467" s="869"/>
      <c r="J467" s="869"/>
      <c r="K467" s="869"/>
      <c r="L467" s="869"/>
      <c r="M467" s="869"/>
      <c r="N467" s="869"/>
      <c r="O467" s="869"/>
      <c r="P467" s="869"/>
      <c r="Q467" s="869"/>
      <c r="R467" s="869"/>
      <c r="S467" s="869"/>
      <c r="T467" s="869"/>
      <c r="U467" s="869"/>
      <c r="V467" s="869"/>
      <c r="W467" s="869"/>
      <c r="X467" s="869"/>
      <c r="Y467" s="869"/>
      <c r="Z467" s="869"/>
    </row>
    <row r="468">
      <c r="A468" s="869"/>
      <c r="B468" s="869"/>
      <c r="C468" s="869"/>
      <c r="D468" s="869"/>
      <c r="E468" s="869"/>
      <c r="F468" s="869"/>
      <c r="G468" s="869"/>
      <c r="H468" s="869"/>
      <c r="I468" s="869"/>
      <c r="J468" s="869"/>
      <c r="K468" s="869"/>
      <c r="L468" s="869"/>
      <c r="M468" s="869"/>
      <c r="N468" s="869"/>
      <c r="O468" s="869"/>
      <c r="P468" s="869"/>
      <c r="Q468" s="869"/>
      <c r="R468" s="869"/>
      <c r="S468" s="869"/>
      <c r="T468" s="869"/>
      <c r="U468" s="869"/>
      <c r="V468" s="869"/>
      <c r="W468" s="869"/>
      <c r="X468" s="869"/>
      <c r="Y468" s="869"/>
      <c r="Z468" s="869"/>
    </row>
    <row r="469">
      <c r="A469" s="869"/>
      <c r="B469" s="869"/>
      <c r="C469" s="869"/>
      <c r="D469" s="869"/>
      <c r="E469" s="869"/>
      <c r="F469" s="869"/>
      <c r="G469" s="869"/>
      <c r="H469" s="869"/>
      <c r="I469" s="869"/>
      <c r="J469" s="869"/>
      <c r="K469" s="869"/>
      <c r="L469" s="869"/>
      <c r="M469" s="869"/>
      <c r="N469" s="869"/>
      <c r="O469" s="869"/>
      <c r="P469" s="869"/>
      <c r="Q469" s="869"/>
      <c r="R469" s="869"/>
      <c r="S469" s="869"/>
      <c r="T469" s="869"/>
      <c r="U469" s="869"/>
      <c r="V469" s="869"/>
      <c r="W469" s="869"/>
      <c r="X469" s="869"/>
      <c r="Y469" s="869"/>
      <c r="Z469" s="869"/>
    </row>
    <row r="470">
      <c r="A470" s="869"/>
      <c r="B470" s="869"/>
      <c r="C470" s="869"/>
      <c r="D470" s="869"/>
      <c r="E470" s="869"/>
      <c r="F470" s="869"/>
      <c r="G470" s="869"/>
      <c r="H470" s="869"/>
      <c r="I470" s="869"/>
      <c r="J470" s="869"/>
      <c r="K470" s="869"/>
      <c r="L470" s="869"/>
      <c r="M470" s="869"/>
      <c r="N470" s="869"/>
      <c r="O470" s="869"/>
      <c r="P470" s="869"/>
      <c r="Q470" s="869"/>
      <c r="R470" s="869"/>
      <c r="S470" s="869"/>
      <c r="T470" s="869"/>
      <c r="U470" s="869"/>
      <c r="V470" s="869"/>
      <c r="W470" s="869"/>
      <c r="X470" s="869"/>
      <c r="Y470" s="869"/>
      <c r="Z470" s="869"/>
    </row>
    <row r="471">
      <c r="A471" s="869"/>
      <c r="B471" s="869"/>
      <c r="C471" s="869"/>
      <c r="D471" s="869"/>
      <c r="E471" s="869"/>
      <c r="F471" s="869"/>
      <c r="G471" s="869"/>
      <c r="H471" s="869"/>
      <c r="I471" s="869"/>
      <c r="J471" s="869"/>
      <c r="K471" s="869"/>
      <c r="L471" s="869"/>
      <c r="M471" s="869"/>
      <c r="N471" s="869"/>
      <c r="O471" s="869"/>
      <c r="P471" s="869"/>
      <c r="Q471" s="869"/>
      <c r="R471" s="869"/>
      <c r="S471" s="869"/>
      <c r="T471" s="869"/>
      <c r="U471" s="869"/>
      <c r="V471" s="869"/>
      <c r="W471" s="869"/>
      <c r="X471" s="869"/>
      <c r="Y471" s="869"/>
      <c r="Z471" s="869"/>
    </row>
    <row r="472">
      <c r="A472" s="869"/>
      <c r="B472" s="869"/>
      <c r="C472" s="869"/>
      <c r="D472" s="869"/>
      <c r="E472" s="869"/>
      <c r="F472" s="869"/>
      <c r="G472" s="869"/>
      <c r="H472" s="869"/>
      <c r="I472" s="869"/>
      <c r="J472" s="869"/>
      <c r="K472" s="869"/>
      <c r="L472" s="869"/>
      <c r="M472" s="869"/>
      <c r="N472" s="869"/>
      <c r="O472" s="869"/>
      <c r="P472" s="869"/>
      <c r="Q472" s="869"/>
      <c r="R472" s="869"/>
      <c r="S472" s="869"/>
      <c r="T472" s="869"/>
      <c r="U472" s="869"/>
      <c r="V472" s="869"/>
      <c r="W472" s="869"/>
      <c r="X472" s="869"/>
      <c r="Y472" s="869"/>
      <c r="Z472" s="869"/>
    </row>
    <row r="473">
      <c r="A473" s="869"/>
      <c r="B473" s="869"/>
      <c r="C473" s="869"/>
      <c r="D473" s="869"/>
      <c r="E473" s="869"/>
      <c r="F473" s="869"/>
      <c r="G473" s="869"/>
      <c r="H473" s="869"/>
      <c r="I473" s="869"/>
      <c r="J473" s="869"/>
      <c r="K473" s="869"/>
      <c r="L473" s="869"/>
      <c r="M473" s="869"/>
      <c r="N473" s="869"/>
      <c r="O473" s="869"/>
      <c r="P473" s="869"/>
      <c r="Q473" s="869"/>
      <c r="R473" s="869"/>
      <c r="S473" s="869"/>
      <c r="T473" s="869"/>
      <c r="U473" s="869"/>
      <c r="V473" s="869"/>
      <c r="W473" s="869"/>
      <c r="X473" s="869"/>
      <c r="Y473" s="869"/>
      <c r="Z473" s="869"/>
    </row>
    <row r="474">
      <c r="A474" s="869"/>
      <c r="B474" s="869"/>
      <c r="C474" s="869"/>
      <c r="D474" s="869"/>
      <c r="E474" s="869"/>
      <c r="F474" s="869"/>
      <c r="G474" s="869"/>
      <c r="H474" s="869"/>
      <c r="I474" s="869"/>
      <c r="J474" s="869"/>
      <c r="K474" s="869"/>
      <c r="L474" s="869"/>
      <c r="M474" s="869"/>
      <c r="N474" s="869"/>
      <c r="O474" s="869"/>
      <c r="P474" s="869"/>
      <c r="Q474" s="869"/>
      <c r="R474" s="869"/>
      <c r="S474" s="869"/>
      <c r="T474" s="869"/>
      <c r="U474" s="869"/>
      <c r="V474" s="869"/>
      <c r="W474" s="869"/>
      <c r="X474" s="869"/>
      <c r="Y474" s="869"/>
      <c r="Z474" s="869"/>
    </row>
    <row r="475">
      <c r="A475" s="869"/>
      <c r="B475" s="869"/>
      <c r="C475" s="869"/>
      <c r="D475" s="869"/>
      <c r="E475" s="869"/>
      <c r="F475" s="869"/>
      <c r="G475" s="869"/>
      <c r="H475" s="869"/>
      <c r="I475" s="869"/>
      <c r="J475" s="869"/>
      <c r="K475" s="869"/>
      <c r="L475" s="869"/>
      <c r="M475" s="869"/>
      <c r="N475" s="869"/>
      <c r="O475" s="869"/>
      <c r="P475" s="869"/>
      <c r="Q475" s="869"/>
      <c r="R475" s="869"/>
      <c r="S475" s="869"/>
      <c r="T475" s="869"/>
      <c r="U475" s="869"/>
      <c r="V475" s="869"/>
      <c r="W475" s="869"/>
      <c r="X475" s="869"/>
      <c r="Y475" s="869"/>
      <c r="Z475" s="869"/>
    </row>
    <row r="476">
      <c r="A476" s="869"/>
      <c r="B476" s="869"/>
      <c r="C476" s="869"/>
      <c r="D476" s="869"/>
      <c r="E476" s="869"/>
      <c r="F476" s="869"/>
      <c r="G476" s="869"/>
      <c r="H476" s="869"/>
      <c r="I476" s="869"/>
      <c r="J476" s="869"/>
      <c r="K476" s="869"/>
      <c r="L476" s="869"/>
      <c r="M476" s="869"/>
      <c r="N476" s="869"/>
      <c r="O476" s="869"/>
      <c r="P476" s="869"/>
      <c r="Q476" s="869"/>
      <c r="R476" s="869"/>
      <c r="S476" s="869"/>
      <c r="T476" s="869"/>
      <c r="U476" s="869"/>
      <c r="V476" s="869"/>
      <c r="W476" s="869"/>
      <c r="X476" s="869"/>
      <c r="Y476" s="869"/>
      <c r="Z476" s="869"/>
    </row>
    <row r="477">
      <c r="A477" s="869"/>
      <c r="B477" s="869"/>
      <c r="C477" s="869"/>
      <c r="D477" s="869"/>
      <c r="E477" s="869"/>
      <c r="F477" s="869"/>
      <c r="G477" s="869"/>
      <c r="H477" s="869"/>
      <c r="I477" s="869"/>
      <c r="J477" s="869"/>
      <c r="K477" s="869"/>
      <c r="L477" s="869"/>
      <c r="M477" s="869"/>
      <c r="N477" s="869"/>
      <c r="O477" s="869"/>
      <c r="P477" s="869"/>
      <c r="Q477" s="869"/>
      <c r="R477" s="869"/>
      <c r="S477" s="869"/>
      <c r="T477" s="869"/>
      <c r="U477" s="869"/>
      <c r="V477" s="869"/>
      <c r="W477" s="869"/>
      <c r="X477" s="869"/>
      <c r="Y477" s="869"/>
      <c r="Z477" s="869"/>
    </row>
    <row r="478">
      <c r="A478" s="869"/>
      <c r="B478" s="869"/>
      <c r="C478" s="869"/>
      <c r="D478" s="869"/>
      <c r="E478" s="869"/>
      <c r="F478" s="869"/>
      <c r="G478" s="869"/>
      <c r="H478" s="869"/>
      <c r="I478" s="869"/>
      <c r="J478" s="869"/>
      <c r="K478" s="869"/>
      <c r="L478" s="869"/>
      <c r="M478" s="869"/>
      <c r="N478" s="869"/>
      <c r="O478" s="869"/>
      <c r="P478" s="869"/>
      <c r="Q478" s="869"/>
      <c r="R478" s="869"/>
      <c r="S478" s="869"/>
      <c r="T478" s="869"/>
      <c r="U478" s="869"/>
      <c r="V478" s="869"/>
      <c r="W478" s="869"/>
      <c r="X478" s="869"/>
      <c r="Y478" s="869"/>
      <c r="Z478" s="869"/>
    </row>
    <row r="479">
      <c r="A479" s="869"/>
      <c r="B479" s="869"/>
      <c r="C479" s="869"/>
      <c r="D479" s="869"/>
      <c r="E479" s="869"/>
      <c r="F479" s="869"/>
      <c r="G479" s="869"/>
      <c r="H479" s="869"/>
      <c r="I479" s="869"/>
      <c r="J479" s="869"/>
      <c r="K479" s="869"/>
      <c r="L479" s="869"/>
      <c r="M479" s="869"/>
      <c r="N479" s="869"/>
      <c r="O479" s="869"/>
      <c r="P479" s="869"/>
      <c r="Q479" s="869"/>
      <c r="R479" s="869"/>
      <c r="S479" s="869"/>
      <c r="T479" s="869"/>
      <c r="U479" s="869"/>
      <c r="V479" s="869"/>
      <c r="W479" s="869"/>
      <c r="X479" s="869"/>
      <c r="Y479" s="869"/>
      <c r="Z479" s="869"/>
    </row>
    <row r="480">
      <c r="A480" s="869"/>
      <c r="B480" s="869"/>
      <c r="C480" s="869"/>
      <c r="D480" s="869"/>
      <c r="E480" s="869"/>
      <c r="F480" s="869"/>
      <c r="G480" s="869"/>
      <c r="H480" s="869"/>
      <c r="I480" s="869"/>
      <c r="J480" s="869"/>
      <c r="K480" s="869"/>
      <c r="L480" s="869"/>
      <c r="M480" s="869"/>
      <c r="N480" s="869"/>
      <c r="O480" s="869"/>
      <c r="P480" s="869"/>
      <c r="Q480" s="869"/>
      <c r="R480" s="869"/>
      <c r="S480" s="869"/>
      <c r="T480" s="869"/>
      <c r="U480" s="869"/>
      <c r="V480" s="869"/>
      <c r="W480" s="869"/>
      <c r="X480" s="869"/>
      <c r="Y480" s="869"/>
      <c r="Z480" s="869"/>
    </row>
    <row r="481">
      <c r="A481" s="869"/>
      <c r="B481" s="869"/>
      <c r="C481" s="869"/>
      <c r="D481" s="869"/>
      <c r="E481" s="869"/>
      <c r="F481" s="869"/>
      <c r="G481" s="869"/>
      <c r="H481" s="869"/>
      <c r="I481" s="869"/>
      <c r="J481" s="869"/>
      <c r="K481" s="869"/>
      <c r="L481" s="869"/>
      <c r="M481" s="869"/>
      <c r="N481" s="869"/>
      <c r="O481" s="869"/>
      <c r="P481" s="869"/>
      <c r="Q481" s="869"/>
      <c r="R481" s="869"/>
      <c r="S481" s="869"/>
      <c r="T481" s="869"/>
      <c r="U481" s="869"/>
      <c r="V481" s="869"/>
      <c r="W481" s="869"/>
      <c r="X481" s="869"/>
      <c r="Y481" s="869"/>
      <c r="Z481" s="869"/>
    </row>
    <row r="482">
      <c r="A482" s="869"/>
      <c r="B482" s="869"/>
      <c r="C482" s="869"/>
      <c r="D482" s="869"/>
      <c r="E482" s="869"/>
      <c r="F482" s="869"/>
      <c r="G482" s="869"/>
      <c r="H482" s="869"/>
      <c r="I482" s="869"/>
      <c r="J482" s="869"/>
      <c r="K482" s="869"/>
      <c r="L482" s="869"/>
      <c r="M482" s="869"/>
      <c r="N482" s="869"/>
      <c r="O482" s="869"/>
      <c r="P482" s="869"/>
      <c r="Q482" s="869"/>
      <c r="R482" s="869"/>
      <c r="S482" s="869"/>
      <c r="T482" s="869"/>
      <c r="U482" s="869"/>
      <c r="V482" s="869"/>
      <c r="W482" s="869"/>
      <c r="X482" s="869"/>
      <c r="Y482" s="869"/>
      <c r="Z482" s="869"/>
    </row>
    <row r="483">
      <c r="A483" s="869"/>
      <c r="B483" s="869"/>
      <c r="C483" s="869"/>
      <c r="D483" s="869"/>
      <c r="E483" s="869"/>
      <c r="F483" s="869"/>
      <c r="G483" s="869"/>
      <c r="H483" s="869"/>
      <c r="I483" s="869"/>
      <c r="J483" s="869"/>
      <c r="K483" s="869"/>
      <c r="L483" s="869"/>
      <c r="M483" s="869"/>
      <c r="N483" s="869"/>
      <c r="O483" s="869"/>
      <c r="P483" s="869"/>
      <c r="Q483" s="869"/>
      <c r="R483" s="869"/>
      <c r="S483" s="869"/>
      <c r="T483" s="869"/>
      <c r="U483" s="869"/>
      <c r="V483" s="869"/>
      <c r="W483" s="869"/>
      <c r="X483" s="869"/>
      <c r="Y483" s="869"/>
      <c r="Z483" s="869"/>
    </row>
    <row r="484">
      <c r="A484" s="869"/>
      <c r="B484" s="869"/>
      <c r="C484" s="869"/>
      <c r="D484" s="869"/>
      <c r="E484" s="869"/>
      <c r="F484" s="869"/>
      <c r="G484" s="869"/>
      <c r="H484" s="869"/>
      <c r="I484" s="869"/>
      <c r="J484" s="869"/>
      <c r="K484" s="869"/>
      <c r="L484" s="869"/>
      <c r="M484" s="869"/>
      <c r="N484" s="869"/>
      <c r="O484" s="869"/>
      <c r="P484" s="869"/>
      <c r="Q484" s="869"/>
      <c r="R484" s="869"/>
      <c r="S484" s="869"/>
      <c r="T484" s="869"/>
      <c r="U484" s="869"/>
      <c r="V484" s="869"/>
      <c r="W484" s="869"/>
      <c r="X484" s="869"/>
      <c r="Y484" s="869"/>
      <c r="Z484" s="869"/>
    </row>
    <row r="485">
      <c r="A485" s="869"/>
      <c r="B485" s="869"/>
      <c r="C485" s="869"/>
      <c r="D485" s="869"/>
      <c r="E485" s="869"/>
      <c r="F485" s="869"/>
      <c r="G485" s="869"/>
      <c r="H485" s="869"/>
      <c r="I485" s="869"/>
      <c r="J485" s="869"/>
      <c r="K485" s="869"/>
      <c r="L485" s="869"/>
      <c r="M485" s="869"/>
      <c r="N485" s="869"/>
      <c r="O485" s="869"/>
      <c r="P485" s="869"/>
      <c r="Q485" s="869"/>
      <c r="R485" s="869"/>
      <c r="S485" s="869"/>
      <c r="T485" s="869"/>
      <c r="U485" s="869"/>
      <c r="V485" s="869"/>
      <c r="W485" s="869"/>
      <c r="X485" s="869"/>
      <c r="Y485" s="869"/>
      <c r="Z485" s="869"/>
    </row>
    <row r="486">
      <c r="A486" s="869"/>
      <c r="B486" s="869"/>
      <c r="C486" s="869"/>
      <c r="D486" s="869"/>
      <c r="E486" s="869"/>
      <c r="F486" s="869"/>
      <c r="G486" s="869"/>
      <c r="H486" s="869"/>
      <c r="I486" s="869"/>
      <c r="J486" s="869"/>
      <c r="K486" s="869"/>
      <c r="L486" s="869"/>
      <c r="M486" s="869"/>
      <c r="N486" s="869"/>
      <c r="O486" s="869"/>
      <c r="P486" s="869"/>
      <c r="Q486" s="869"/>
      <c r="R486" s="869"/>
      <c r="S486" s="869"/>
      <c r="T486" s="869"/>
      <c r="U486" s="869"/>
      <c r="V486" s="869"/>
      <c r="W486" s="869"/>
      <c r="X486" s="869"/>
      <c r="Y486" s="869"/>
      <c r="Z486" s="869"/>
    </row>
    <row r="487">
      <c r="A487" s="869"/>
      <c r="B487" s="869"/>
      <c r="C487" s="869"/>
      <c r="D487" s="869"/>
      <c r="E487" s="869"/>
      <c r="F487" s="869"/>
      <c r="G487" s="869"/>
      <c r="H487" s="869"/>
      <c r="I487" s="869"/>
      <c r="J487" s="869"/>
      <c r="K487" s="869"/>
      <c r="L487" s="869"/>
      <c r="M487" s="869"/>
      <c r="N487" s="869"/>
      <c r="O487" s="869"/>
      <c r="P487" s="869"/>
      <c r="Q487" s="869"/>
      <c r="R487" s="869"/>
      <c r="S487" s="869"/>
      <c r="T487" s="869"/>
      <c r="U487" s="869"/>
      <c r="V487" s="869"/>
      <c r="W487" s="869"/>
      <c r="X487" s="869"/>
      <c r="Y487" s="869"/>
      <c r="Z487" s="869"/>
    </row>
    <row r="488">
      <c r="A488" s="869"/>
      <c r="B488" s="869"/>
      <c r="C488" s="869"/>
      <c r="D488" s="869"/>
      <c r="E488" s="869"/>
      <c r="F488" s="869"/>
      <c r="G488" s="869"/>
      <c r="H488" s="869"/>
      <c r="I488" s="869"/>
      <c r="J488" s="869"/>
      <c r="K488" s="869"/>
      <c r="L488" s="869"/>
      <c r="M488" s="869"/>
      <c r="N488" s="869"/>
      <c r="O488" s="869"/>
      <c r="P488" s="869"/>
      <c r="Q488" s="869"/>
      <c r="R488" s="869"/>
      <c r="S488" s="869"/>
      <c r="T488" s="869"/>
      <c r="U488" s="869"/>
      <c r="V488" s="869"/>
      <c r="W488" s="869"/>
      <c r="X488" s="869"/>
      <c r="Y488" s="869"/>
      <c r="Z488" s="869"/>
    </row>
    <row r="489">
      <c r="A489" s="869"/>
      <c r="B489" s="869"/>
      <c r="C489" s="869"/>
      <c r="D489" s="869"/>
      <c r="E489" s="869"/>
      <c r="F489" s="869"/>
      <c r="G489" s="869"/>
      <c r="H489" s="869"/>
      <c r="I489" s="869"/>
      <c r="J489" s="869"/>
      <c r="K489" s="869"/>
      <c r="L489" s="869"/>
      <c r="M489" s="869"/>
      <c r="N489" s="869"/>
      <c r="O489" s="869"/>
      <c r="P489" s="869"/>
      <c r="Q489" s="869"/>
      <c r="R489" s="869"/>
      <c r="S489" s="869"/>
      <c r="T489" s="869"/>
      <c r="U489" s="869"/>
      <c r="V489" s="869"/>
      <c r="W489" s="869"/>
      <c r="X489" s="869"/>
      <c r="Y489" s="869"/>
      <c r="Z489" s="869"/>
    </row>
    <row r="490">
      <c r="A490" s="869"/>
      <c r="B490" s="869"/>
      <c r="C490" s="869"/>
      <c r="D490" s="869"/>
      <c r="E490" s="869"/>
      <c r="F490" s="869"/>
      <c r="G490" s="869"/>
      <c r="H490" s="869"/>
      <c r="I490" s="869"/>
      <c r="J490" s="869"/>
      <c r="K490" s="869"/>
      <c r="L490" s="869"/>
      <c r="M490" s="869"/>
      <c r="N490" s="869"/>
      <c r="O490" s="869"/>
      <c r="P490" s="869"/>
      <c r="Q490" s="869"/>
      <c r="R490" s="869"/>
      <c r="S490" s="869"/>
      <c r="T490" s="869"/>
      <c r="U490" s="869"/>
      <c r="V490" s="869"/>
      <c r="W490" s="869"/>
      <c r="X490" s="869"/>
      <c r="Y490" s="869"/>
      <c r="Z490" s="869"/>
    </row>
    <row r="491">
      <c r="A491" s="869"/>
      <c r="B491" s="869"/>
      <c r="C491" s="869"/>
      <c r="D491" s="869"/>
      <c r="E491" s="869"/>
      <c r="F491" s="869"/>
      <c r="G491" s="869"/>
      <c r="H491" s="869"/>
      <c r="I491" s="869"/>
      <c r="J491" s="869"/>
      <c r="K491" s="869"/>
      <c r="L491" s="869"/>
      <c r="M491" s="869"/>
      <c r="N491" s="869"/>
      <c r="O491" s="869"/>
      <c r="P491" s="869"/>
      <c r="Q491" s="869"/>
      <c r="R491" s="869"/>
      <c r="S491" s="869"/>
      <c r="T491" s="869"/>
      <c r="U491" s="869"/>
      <c r="V491" s="869"/>
      <c r="W491" s="869"/>
      <c r="X491" s="869"/>
      <c r="Y491" s="869"/>
      <c r="Z491" s="869"/>
    </row>
    <row r="492">
      <c r="A492" s="869"/>
      <c r="B492" s="869"/>
      <c r="C492" s="869"/>
      <c r="D492" s="869"/>
      <c r="E492" s="869"/>
      <c r="F492" s="869"/>
      <c r="G492" s="869"/>
      <c r="H492" s="869"/>
      <c r="I492" s="869"/>
      <c r="J492" s="869"/>
      <c r="K492" s="869"/>
      <c r="L492" s="869"/>
      <c r="M492" s="869"/>
      <c r="N492" s="869"/>
      <c r="O492" s="869"/>
      <c r="P492" s="869"/>
      <c r="Q492" s="869"/>
      <c r="R492" s="869"/>
      <c r="S492" s="869"/>
      <c r="T492" s="869"/>
      <c r="U492" s="869"/>
      <c r="V492" s="869"/>
      <c r="W492" s="869"/>
      <c r="X492" s="869"/>
      <c r="Y492" s="869"/>
      <c r="Z492" s="869"/>
    </row>
    <row r="493">
      <c r="A493" s="869"/>
      <c r="B493" s="869"/>
      <c r="C493" s="869"/>
      <c r="D493" s="869"/>
      <c r="E493" s="869"/>
      <c r="F493" s="869"/>
      <c r="G493" s="869"/>
      <c r="H493" s="869"/>
      <c r="I493" s="869"/>
      <c r="J493" s="869"/>
      <c r="K493" s="869"/>
      <c r="L493" s="869"/>
      <c r="M493" s="869"/>
      <c r="N493" s="869"/>
      <c r="O493" s="869"/>
      <c r="P493" s="869"/>
      <c r="Q493" s="869"/>
      <c r="R493" s="869"/>
      <c r="S493" s="869"/>
      <c r="T493" s="869"/>
      <c r="U493" s="869"/>
      <c r="V493" s="869"/>
      <c r="W493" s="869"/>
      <c r="X493" s="869"/>
      <c r="Y493" s="869"/>
      <c r="Z493" s="869"/>
    </row>
    <row r="494">
      <c r="A494" s="869"/>
      <c r="B494" s="869"/>
      <c r="C494" s="869"/>
      <c r="D494" s="869"/>
      <c r="E494" s="869"/>
      <c r="F494" s="869"/>
      <c r="G494" s="869"/>
      <c r="H494" s="869"/>
      <c r="I494" s="869"/>
      <c r="J494" s="869"/>
      <c r="K494" s="869"/>
      <c r="L494" s="869"/>
      <c r="M494" s="869"/>
      <c r="N494" s="869"/>
      <c r="O494" s="869"/>
      <c r="P494" s="869"/>
      <c r="Q494" s="869"/>
      <c r="R494" s="869"/>
      <c r="S494" s="869"/>
      <c r="T494" s="869"/>
      <c r="U494" s="869"/>
      <c r="V494" s="869"/>
      <c r="W494" s="869"/>
      <c r="X494" s="869"/>
      <c r="Y494" s="869"/>
      <c r="Z494" s="869"/>
    </row>
    <row r="495">
      <c r="A495" s="869"/>
      <c r="B495" s="869"/>
      <c r="C495" s="869"/>
      <c r="D495" s="869"/>
      <c r="E495" s="869"/>
      <c r="F495" s="869"/>
      <c r="G495" s="869"/>
      <c r="H495" s="869"/>
      <c r="I495" s="869"/>
      <c r="J495" s="869"/>
      <c r="K495" s="869"/>
      <c r="L495" s="869"/>
      <c r="M495" s="869"/>
      <c r="N495" s="869"/>
      <c r="O495" s="869"/>
      <c r="P495" s="869"/>
      <c r="Q495" s="869"/>
      <c r="R495" s="869"/>
      <c r="S495" s="869"/>
      <c r="T495" s="869"/>
      <c r="U495" s="869"/>
      <c r="V495" s="869"/>
      <c r="W495" s="869"/>
      <c r="X495" s="869"/>
      <c r="Y495" s="869"/>
      <c r="Z495" s="869"/>
    </row>
    <row r="496">
      <c r="A496" s="869"/>
      <c r="B496" s="869"/>
      <c r="C496" s="869"/>
      <c r="D496" s="869"/>
      <c r="E496" s="869"/>
      <c r="F496" s="869"/>
      <c r="G496" s="869"/>
      <c r="H496" s="869"/>
      <c r="I496" s="869"/>
      <c r="J496" s="869"/>
      <c r="K496" s="869"/>
      <c r="L496" s="869"/>
      <c r="M496" s="869"/>
      <c r="N496" s="869"/>
      <c r="O496" s="869"/>
      <c r="P496" s="869"/>
      <c r="Q496" s="869"/>
      <c r="R496" s="869"/>
      <c r="S496" s="869"/>
      <c r="T496" s="869"/>
      <c r="U496" s="869"/>
      <c r="V496" s="869"/>
      <c r="W496" s="869"/>
      <c r="X496" s="869"/>
      <c r="Y496" s="869"/>
      <c r="Z496" s="869"/>
    </row>
    <row r="497">
      <c r="A497" s="869"/>
      <c r="B497" s="869"/>
      <c r="C497" s="869"/>
      <c r="D497" s="869"/>
      <c r="E497" s="869"/>
      <c r="F497" s="869"/>
      <c r="G497" s="869"/>
      <c r="H497" s="869"/>
      <c r="I497" s="869"/>
      <c r="J497" s="869"/>
      <c r="K497" s="869"/>
      <c r="L497" s="869"/>
      <c r="M497" s="869"/>
      <c r="N497" s="869"/>
      <c r="O497" s="869"/>
      <c r="P497" s="869"/>
      <c r="Q497" s="869"/>
      <c r="R497" s="869"/>
      <c r="S497" s="869"/>
      <c r="T497" s="869"/>
      <c r="U497" s="869"/>
      <c r="V497" s="869"/>
      <c r="W497" s="869"/>
      <c r="X497" s="869"/>
      <c r="Y497" s="869"/>
      <c r="Z497" s="869"/>
    </row>
    <row r="498">
      <c r="A498" s="869"/>
      <c r="B498" s="869"/>
      <c r="C498" s="869"/>
      <c r="D498" s="869"/>
      <c r="E498" s="869"/>
      <c r="F498" s="869"/>
      <c r="G498" s="869"/>
      <c r="H498" s="869"/>
      <c r="I498" s="869"/>
      <c r="J498" s="869"/>
      <c r="K498" s="869"/>
      <c r="L498" s="869"/>
      <c r="M498" s="869"/>
      <c r="N498" s="869"/>
      <c r="O498" s="869"/>
      <c r="P498" s="869"/>
      <c r="Q498" s="869"/>
      <c r="R498" s="869"/>
      <c r="S498" s="869"/>
      <c r="T498" s="869"/>
      <c r="U498" s="869"/>
      <c r="V498" s="869"/>
      <c r="W498" s="869"/>
      <c r="X498" s="869"/>
      <c r="Y498" s="869"/>
      <c r="Z498" s="869"/>
    </row>
    <row r="499">
      <c r="A499" s="869"/>
      <c r="B499" s="869"/>
      <c r="C499" s="869"/>
      <c r="D499" s="869"/>
      <c r="E499" s="869"/>
      <c r="F499" s="869"/>
      <c r="G499" s="869"/>
      <c r="H499" s="869"/>
      <c r="I499" s="869"/>
      <c r="J499" s="869"/>
      <c r="K499" s="869"/>
      <c r="L499" s="869"/>
      <c r="M499" s="869"/>
      <c r="N499" s="869"/>
      <c r="O499" s="869"/>
      <c r="P499" s="869"/>
      <c r="Q499" s="869"/>
      <c r="R499" s="869"/>
      <c r="S499" s="869"/>
      <c r="T499" s="869"/>
      <c r="U499" s="869"/>
      <c r="V499" s="869"/>
      <c r="W499" s="869"/>
      <c r="X499" s="869"/>
      <c r="Y499" s="869"/>
      <c r="Z499" s="869"/>
    </row>
    <row r="500">
      <c r="A500" s="869"/>
      <c r="B500" s="869"/>
      <c r="C500" s="869"/>
      <c r="D500" s="869"/>
      <c r="E500" s="869"/>
      <c r="F500" s="869"/>
      <c r="G500" s="869"/>
      <c r="H500" s="869"/>
      <c r="I500" s="869"/>
      <c r="J500" s="869"/>
      <c r="K500" s="869"/>
      <c r="L500" s="869"/>
      <c r="M500" s="869"/>
      <c r="N500" s="869"/>
      <c r="O500" s="869"/>
      <c r="P500" s="869"/>
      <c r="Q500" s="869"/>
      <c r="R500" s="869"/>
      <c r="S500" s="869"/>
      <c r="T500" s="869"/>
      <c r="U500" s="869"/>
      <c r="V500" s="869"/>
      <c r="W500" s="869"/>
      <c r="X500" s="869"/>
      <c r="Y500" s="869"/>
      <c r="Z500" s="869"/>
    </row>
    <row r="501">
      <c r="A501" s="869"/>
      <c r="B501" s="869"/>
      <c r="C501" s="869"/>
      <c r="D501" s="869"/>
      <c r="E501" s="869"/>
      <c r="F501" s="869"/>
      <c r="G501" s="869"/>
      <c r="H501" s="869"/>
      <c r="I501" s="869"/>
      <c r="J501" s="869"/>
      <c r="K501" s="869"/>
      <c r="L501" s="869"/>
      <c r="M501" s="869"/>
      <c r="N501" s="869"/>
      <c r="O501" s="869"/>
      <c r="P501" s="869"/>
      <c r="Q501" s="869"/>
      <c r="R501" s="869"/>
      <c r="S501" s="869"/>
      <c r="T501" s="869"/>
      <c r="U501" s="869"/>
      <c r="V501" s="869"/>
      <c r="W501" s="869"/>
      <c r="X501" s="869"/>
      <c r="Y501" s="869"/>
      <c r="Z501" s="869"/>
    </row>
    <row r="502">
      <c r="A502" s="869"/>
      <c r="B502" s="869"/>
      <c r="C502" s="869"/>
      <c r="D502" s="869"/>
      <c r="E502" s="869"/>
      <c r="F502" s="869"/>
      <c r="G502" s="869"/>
      <c r="H502" s="869"/>
      <c r="I502" s="869"/>
      <c r="J502" s="869"/>
      <c r="K502" s="869"/>
      <c r="L502" s="869"/>
      <c r="M502" s="869"/>
      <c r="N502" s="869"/>
      <c r="O502" s="869"/>
      <c r="P502" s="869"/>
      <c r="Q502" s="869"/>
      <c r="R502" s="869"/>
      <c r="S502" s="869"/>
      <c r="T502" s="869"/>
      <c r="U502" s="869"/>
      <c r="V502" s="869"/>
      <c r="W502" s="869"/>
      <c r="X502" s="869"/>
      <c r="Y502" s="869"/>
      <c r="Z502" s="869"/>
    </row>
    <row r="503">
      <c r="A503" s="869"/>
      <c r="B503" s="869"/>
      <c r="C503" s="869"/>
      <c r="D503" s="869"/>
      <c r="E503" s="869"/>
      <c r="F503" s="869"/>
      <c r="G503" s="869"/>
      <c r="H503" s="869"/>
      <c r="I503" s="869"/>
      <c r="J503" s="869"/>
      <c r="K503" s="869"/>
      <c r="L503" s="869"/>
      <c r="M503" s="869"/>
      <c r="N503" s="869"/>
      <c r="O503" s="869"/>
      <c r="P503" s="869"/>
      <c r="Q503" s="869"/>
      <c r="R503" s="869"/>
      <c r="S503" s="869"/>
      <c r="T503" s="869"/>
      <c r="U503" s="869"/>
      <c r="V503" s="869"/>
      <c r="W503" s="869"/>
      <c r="X503" s="869"/>
      <c r="Y503" s="869"/>
      <c r="Z503" s="869"/>
    </row>
    <row r="504">
      <c r="A504" s="869"/>
      <c r="B504" s="869"/>
      <c r="C504" s="869"/>
      <c r="D504" s="869"/>
      <c r="E504" s="869"/>
      <c r="F504" s="869"/>
      <c r="G504" s="869"/>
      <c r="H504" s="869"/>
      <c r="I504" s="869"/>
      <c r="J504" s="869"/>
      <c r="K504" s="869"/>
      <c r="L504" s="869"/>
      <c r="M504" s="869"/>
      <c r="N504" s="869"/>
      <c r="O504" s="869"/>
      <c r="P504" s="869"/>
      <c r="Q504" s="869"/>
      <c r="R504" s="869"/>
      <c r="S504" s="869"/>
      <c r="T504" s="869"/>
      <c r="U504" s="869"/>
      <c r="V504" s="869"/>
      <c r="W504" s="869"/>
      <c r="X504" s="869"/>
      <c r="Y504" s="869"/>
      <c r="Z504" s="869"/>
    </row>
    <row r="505">
      <c r="A505" s="869"/>
      <c r="B505" s="869"/>
      <c r="C505" s="869"/>
      <c r="D505" s="869"/>
      <c r="E505" s="869"/>
      <c r="F505" s="869"/>
      <c r="G505" s="869"/>
      <c r="H505" s="869"/>
      <c r="I505" s="869"/>
      <c r="J505" s="869"/>
      <c r="K505" s="869"/>
      <c r="L505" s="869"/>
      <c r="M505" s="869"/>
      <c r="N505" s="869"/>
      <c r="O505" s="869"/>
      <c r="P505" s="869"/>
      <c r="Q505" s="869"/>
      <c r="R505" s="869"/>
      <c r="S505" s="869"/>
      <c r="T505" s="869"/>
      <c r="U505" s="869"/>
      <c r="V505" s="869"/>
      <c r="W505" s="869"/>
      <c r="X505" s="869"/>
      <c r="Y505" s="869"/>
      <c r="Z505" s="869"/>
    </row>
    <row r="506">
      <c r="A506" s="869"/>
      <c r="B506" s="869"/>
      <c r="C506" s="869"/>
      <c r="D506" s="869"/>
      <c r="E506" s="869"/>
      <c r="F506" s="869"/>
      <c r="G506" s="869"/>
      <c r="H506" s="869"/>
      <c r="I506" s="869"/>
      <c r="J506" s="869"/>
      <c r="K506" s="869"/>
      <c r="L506" s="869"/>
      <c r="M506" s="869"/>
      <c r="N506" s="869"/>
      <c r="O506" s="869"/>
      <c r="P506" s="869"/>
      <c r="Q506" s="869"/>
      <c r="R506" s="869"/>
      <c r="S506" s="869"/>
      <c r="T506" s="869"/>
      <c r="U506" s="869"/>
      <c r="V506" s="869"/>
      <c r="W506" s="869"/>
      <c r="X506" s="869"/>
      <c r="Y506" s="869"/>
      <c r="Z506" s="869"/>
    </row>
    <row r="507">
      <c r="A507" s="869"/>
      <c r="B507" s="869"/>
      <c r="C507" s="869"/>
      <c r="D507" s="869"/>
      <c r="E507" s="869"/>
      <c r="F507" s="869"/>
      <c r="G507" s="869"/>
      <c r="H507" s="869"/>
      <c r="I507" s="869"/>
      <c r="J507" s="869"/>
      <c r="K507" s="869"/>
      <c r="L507" s="869"/>
      <c r="M507" s="869"/>
      <c r="N507" s="869"/>
      <c r="O507" s="869"/>
      <c r="P507" s="869"/>
      <c r="Q507" s="869"/>
      <c r="R507" s="869"/>
      <c r="S507" s="869"/>
      <c r="T507" s="869"/>
      <c r="U507" s="869"/>
      <c r="V507" s="869"/>
      <c r="W507" s="869"/>
      <c r="X507" s="869"/>
      <c r="Y507" s="869"/>
      <c r="Z507" s="869"/>
    </row>
    <row r="508">
      <c r="A508" s="869"/>
      <c r="B508" s="869"/>
      <c r="C508" s="869"/>
      <c r="D508" s="869"/>
      <c r="E508" s="869"/>
      <c r="F508" s="869"/>
      <c r="G508" s="869"/>
      <c r="H508" s="869"/>
      <c r="I508" s="869"/>
      <c r="J508" s="869"/>
      <c r="K508" s="869"/>
      <c r="L508" s="869"/>
      <c r="M508" s="869"/>
      <c r="N508" s="869"/>
      <c r="O508" s="869"/>
      <c r="P508" s="869"/>
      <c r="Q508" s="869"/>
      <c r="R508" s="869"/>
      <c r="S508" s="869"/>
      <c r="T508" s="869"/>
      <c r="U508" s="869"/>
      <c r="V508" s="869"/>
      <c r="W508" s="869"/>
      <c r="X508" s="869"/>
      <c r="Y508" s="869"/>
      <c r="Z508" s="869"/>
    </row>
    <row r="509">
      <c r="A509" s="869"/>
      <c r="B509" s="869"/>
      <c r="C509" s="869"/>
      <c r="D509" s="869"/>
      <c r="E509" s="869"/>
      <c r="F509" s="869"/>
      <c r="G509" s="869"/>
      <c r="H509" s="869"/>
      <c r="I509" s="869"/>
      <c r="J509" s="869"/>
      <c r="K509" s="869"/>
      <c r="L509" s="869"/>
      <c r="M509" s="869"/>
      <c r="N509" s="869"/>
      <c r="O509" s="869"/>
      <c r="P509" s="869"/>
      <c r="Q509" s="869"/>
      <c r="R509" s="869"/>
      <c r="S509" s="869"/>
      <c r="T509" s="869"/>
      <c r="U509" s="869"/>
      <c r="V509" s="869"/>
      <c r="W509" s="869"/>
      <c r="X509" s="869"/>
      <c r="Y509" s="869"/>
      <c r="Z509" s="869"/>
    </row>
    <row r="510">
      <c r="A510" s="869"/>
      <c r="B510" s="869"/>
      <c r="C510" s="869"/>
      <c r="D510" s="869"/>
      <c r="E510" s="869"/>
      <c r="F510" s="869"/>
      <c r="G510" s="869"/>
      <c r="H510" s="869"/>
      <c r="I510" s="869"/>
      <c r="J510" s="869"/>
      <c r="K510" s="869"/>
      <c r="L510" s="869"/>
      <c r="M510" s="869"/>
      <c r="N510" s="869"/>
      <c r="O510" s="869"/>
      <c r="P510" s="869"/>
      <c r="Q510" s="869"/>
      <c r="R510" s="869"/>
      <c r="S510" s="869"/>
      <c r="T510" s="869"/>
      <c r="U510" s="869"/>
      <c r="V510" s="869"/>
      <c r="W510" s="869"/>
      <c r="X510" s="869"/>
      <c r="Y510" s="869"/>
      <c r="Z510" s="869"/>
    </row>
    <row r="511">
      <c r="A511" s="869"/>
      <c r="B511" s="869"/>
      <c r="C511" s="869"/>
      <c r="D511" s="869"/>
      <c r="E511" s="869"/>
      <c r="F511" s="869"/>
      <c r="G511" s="869"/>
      <c r="H511" s="869"/>
      <c r="I511" s="869"/>
      <c r="J511" s="869"/>
      <c r="K511" s="869"/>
      <c r="L511" s="869"/>
      <c r="M511" s="869"/>
      <c r="N511" s="869"/>
      <c r="O511" s="869"/>
      <c r="P511" s="869"/>
      <c r="Q511" s="869"/>
      <c r="R511" s="869"/>
      <c r="S511" s="869"/>
      <c r="T511" s="869"/>
      <c r="U511" s="869"/>
      <c r="V511" s="869"/>
      <c r="W511" s="869"/>
      <c r="X511" s="869"/>
      <c r="Y511" s="869"/>
      <c r="Z511" s="869"/>
    </row>
    <row r="512">
      <c r="A512" s="869"/>
      <c r="B512" s="869"/>
      <c r="C512" s="869"/>
      <c r="D512" s="869"/>
      <c r="E512" s="869"/>
      <c r="F512" s="869"/>
      <c r="G512" s="869"/>
      <c r="H512" s="869"/>
      <c r="I512" s="869"/>
      <c r="J512" s="869"/>
      <c r="K512" s="869"/>
      <c r="L512" s="869"/>
      <c r="M512" s="869"/>
      <c r="N512" s="869"/>
      <c r="O512" s="869"/>
      <c r="P512" s="869"/>
      <c r="Q512" s="869"/>
      <c r="R512" s="869"/>
      <c r="S512" s="869"/>
      <c r="T512" s="869"/>
      <c r="U512" s="869"/>
      <c r="V512" s="869"/>
      <c r="W512" s="869"/>
      <c r="X512" s="869"/>
      <c r="Y512" s="869"/>
      <c r="Z512" s="869"/>
    </row>
    <row r="513">
      <c r="A513" s="869"/>
      <c r="B513" s="869"/>
      <c r="C513" s="869"/>
      <c r="D513" s="869"/>
      <c r="E513" s="869"/>
      <c r="F513" s="869"/>
      <c r="G513" s="869"/>
      <c r="H513" s="869"/>
      <c r="I513" s="869"/>
      <c r="J513" s="869"/>
      <c r="K513" s="869"/>
      <c r="L513" s="869"/>
      <c r="M513" s="869"/>
      <c r="N513" s="869"/>
      <c r="O513" s="869"/>
      <c r="P513" s="869"/>
      <c r="Q513" s="869"/>
      <c r="R513" s="869"/>
      <c r="S513" s="869"/>
      <c r="T513" s="869"/>
      <c r="U513" s="869"/>
      <c r="V513" s="869"/>
      <c r="W513" s="869"/>
      <c r="X513" s="869"/>
      <c r="Y513" s="869"/>
      <c r="Z513" s="869"/>
    </row>
    <row r="514">
      <c r="A514" s="869"/>
      <c r="B514" s="869"/>
      <c r="C514" s="869"/>
      <c r="D514" s="869"/>
      <c r="E514" s="869"/>
      <c r="F514" s="869"/>
      <c r="G514" s="869"/>
      <c r="H514" s="869"/>
      <c r="I514" s="869"/>
      <c r="J514" s="869"/>
      <c r="K514" s="869"/>
      <c r="L514" s="869"/>
      <c r="M514" s="869"/>
      <c r="N514" s="869"/>
      <c r="O514" s="869"/>
      <c r="P514" s="869"/>
      <c r="Q514" s="869"/>
      <c r="R514" s="869"/>
      <c r="S514" s="869"/>
      <c r="T514" s="869"/>
      <c r="U514" s="869"/>
      <c r="V514" s="869"/>
      <c r="W514" s="869"/>
      <c r="X514" s="869"/>
      <c r="Y514" s="869"/>
      <c r="Z514" s="869"/>
    </row>
    <row r="515">
      <c r="A515" s="869"/>
      <c r="B515" s="869"/>
      <c r="C515" s="869"/>
      <c r="D515" s="869"/>
      <c r="E515" s="869"/>
      <c r="F515" s="869"/>
      <c r="G515" s="869"/>
      <c r="H515" s="869"/>
      <c r="I515" s="869"/>
      <c r="J515" s="869"/>
      <c r="K515" s="869"/>
      <c r="L515" s="869"/>
      <c r="M515" s="869"/>
      <c r="N515" s="869"/>
      <c r="O515" s="869"/>
      <c r="P515" s="869"/>
      <c r="Q515" s="869"/>
      <c r="R515" s="869"/>
      <c r="S515" s="869"/>
      <c r="T515" s="869"/>
      <c r="U515" s="869"/>
      <c r="V515" s="869"/>
      <c r="W515" s="869"/>
      <c r="X515" s="869"/>
      <c r="Y515" s="869"/>
      <c r="Z515" s="869"/>
    </row>
    <row r="516">
      <c r="A516" s="869"/>
      <c r="B516" s="869"/>
      <c r="C516" s="869"/>
      <c r="D516" s="869"/>
      <c r="E516" s="869"/>
      <c r="F516" s="869"/>
      <c r="G516" s="869"/>
      <c r="H516" s="869"/>
      <c r="I516" s="869"/>
      <c r="J516" s="869"/>
      <c r="K516" s="869"/>
      <c r="L516" s="869"/>
      <c r="M516" s="869"/>
      <c r="N516" s="869"/>
      <c r="O516" s="869"/>
      <c r="P516" s="869"/>
      <c r="Q516" s="869"/>
      <c r="R516" s="869"/>
      <c r="S516" s="869"/>
      <c r="T516" s="869"/>
      <c r="U516" s="869"/>
      <c r="V516" s="869"/>
      <c r="W516" s="869"/>
      <c r="X516" s="869"/>
      <c r="Y516" s="869"/>
      <c r="Z516" s="869"/>
    </row>
    <row r="517">
      <c r="A517" s="869"/>
      <c r="B517" s="869"/>
      <c r="C517" s="869"/>
      <c r="D517" s="869"/>
      <c r="E517" s="869"/>
      <c r="F517" s="869"/>
      <c r="G517" s="869"/>
      <c r="H517" s="869"/>
      <c r="I517" s="869"/>
      <c r="J517" s="869"/>
      <c r="K517" s="869"/>
      <c r="L517" s="869"/>
      <c r="M517" s="869"/>
      <c r="N517" s="869"/>
      <c r="O517" s="869"/>
      <c r="P517" s="869"/>
      <c r="Q517" s="869"/>
      <c r="R517" s="869"/>
      <c r="S517" s="869"/>
      <c r="T517" s="869"/>
      <c r="U517" s="869"/>
      <c r="V517" s="869"/>
      <c r="W517" s="869"/>
      <c r="X517" s="869"/>
      <c r="Y517" s="869"/>
      <c r="Z517" s="869"/>
    </row>
    <row r="518">
      <c r="A518" s="869"/>
      <c r="B518" s="869"/>
      <c r="C518" s="869"/>
      <c r="D518" s="869"/>
      <c r="E518" s="869"/>
      <c r="F518" s="869"/>
      <c r="G518" s="869"/>
      <c r="H518" s="869"/>
      <c r="I518" s="869"/>
      <c r="J518" s="869"/>
      <c r="K518" s="869"/>
      <c r="L518" s="869"/>
      <c r="M518" s="869"/>
      <c r="N518" s="869"/>
      <c r="O518" s="869"/>
      <c r="P518" s="869"/>
      <c r="Q518" s="869"/>
      <c r="R518" s="869"/>
      <c r="S518" s="869"/>
      <c r="T518" s="869"/>
      <c r="U518" s="869"/>
      <c r="V518" s="869"/>
      <c r="W518" s="869"/>
      <c r="X518" s="869"/>
      <c r="Y518" s="869"/>
      <c r="Z518" s="869"/>
    </row>
    <row r="519">
      <c r="A519" s="869"/>
      <c r="B519" s="869"/>
      <c r="C519" s="869"/>
      <c r="D519" s="869"/>
      <c r="E519" s="869"/>
      <c r="F519" s="869"/>
      <c r="G519" s="869"/>
      <c r="H519" s="869"/>
      <c r="I519" s="869"/>
      <c r="J519" s="869"/>
      <c r="K519" s="869"/>
      <c r="L519" s="869"/>
      <c r="M519" s="869"/>
      <c r="N519" s="869"/>
      <c r="O519" s="869"/>
      <c r="P519" s="869"/>
      <c r="Q519" s="869"/>
      <c r="R519" s="869"/>
      <c r="S519" s="869"/>
      <c r="T519" s="869"/>
      <c r="U519" s="869"/>
      <c r="V519" s="869"/>
      <c r="W519" s="869"/>
      <c r="X519" s="869"/>
      <c r="Y519" s="869"/>
      <c r="Z519" s="869"/>
    </row>
    <row r="520">
      <c r="A520" s="869"/>
      <c r="B520" s="869"/>
      <c r="C520" s="869"/>
      <c r="D520" s="869"/>
      <c r="E520" s="869"/>
      <c r="F520" s="869"/>
      <c r="G520" s="869"/>
      <c r="H520" s="869"/>
      <c r="I520" s="869"/>
      <c r="J520" s="869"/>
      <c r="K520" s="869"/>
      <c r="L520" s="869"/>
      <c r="M520" s="869"/>
      <c r="N520" s="869"/>
      <c r="O520" s="869"/>
      <c r="P520" s="869"/>
      <c r="Q520" s="869"/>
      <c r="R520" s="869"/>
      <c r="S520" s="869"/>
      <c r="T520" s="869"/>
      <c r="U520" s="869"/>
      <c r="V520" s="869"/>
      <c r="W520" s="869"/>
      <c r="X520" s="869"/>
      <c r="Y520" s="869"/>
      <c r="Z520" s="869"/>
    </row>
    <row r="521">
      <c r="A521" s="869"/>
      <c r="B521" s="869"/>
      <c r="C521" s="869"/>
      <c r="D521" s="869"/>
      <c r="E521" s="869"/>
      <c r="F521" s="869"/>
      <c r="G521" s="869"/>
      <c r="H521" s="869"/>
      <c r="I521" s="869"/>
      <c r="J521" s="869"/>
      <c r="K521" s="869"/>
      <c r="L521" s="869"/>
      <c r="M521" s="869"/>
      <c r="N521" s="869"/>
      <c r="O521" s="869"/>
      <c r="P521" s="869"/>
      <c r="Q521" s="869"/>
      <c r="R521" s="869"/>
      <c r="S521" s="869"/>
      <c r="T521" s="869"/>
      <c r="U521" s="869"/>
      <c r="V521" s="869"/>
      <c r="W521" s="869"/>
      <c r="X521" s="869"/>
      <c r="Y521" s="869"/>
      <c r="Z521" s="869"/>
    </row>
    <row r="522">
      <c r="A522" s="869"/>
      <c r="B522" s="869"/>
      <c r="C522" s="869"/>
      <c r="D522" s="869"/>
      <c r="E522" s="869"/>
      <c r="F522" s="869"/>
      <c r="G522" s="869"/>
      <c r="H522" s="869"/>
      <c r="I522" s="869"/>
      <c r="J522" s="869"/>
      <c r="K522" s="869"/>
      <c r="L522" s="869"/>
      <c r="M522" s="869"/>
      <c r="N522" s="869"/>
      <c r="O522" s="869"/>
      <c r="P522" s="869"/>
      <c r="Q522" s="869"/>
      <c r="R522" s="869"/>
      <c r="S522" s="869"/>
      <c r="T522" s="869"/>
      <c r="U522" s="869"/>
      <c r="V522" s="869"/>
      <c r="W522" s="869"/>
      <c r="X522" s="869"/>
      <c r="Y522" s="869"/>
      <c r="Z522" s="869"/>
    </row>
    <row r="523">
      <c r="A523" s="869"/>
      <c r="B523" s="869"/>
      <c r="C523" s="869"/>
      <c r="D523" s="869"/>
      <c r="E523" s="869"/>
      <c r="F523" s="869"/>
      <c r="G523" s="869"/>
      <c r="H523" s="869"/>
      <c r="I523" s="869"/>
      <c r="J523" s="869"/>
      <c r="K523" s="869"/>
      <c r="L523" s="869"/>
      <c r="M523" s="869"/>
      <c r="N523" s="869"/>
      <c r="O523" s="869"/>
      <c r="P523" s="869"/>
      <c r="Q523" s="869"/>
      <c r="R523" s="869"/>
      <c r="S523" s="869"/>
      <c r="T523" s="869"/>
      <c r="U523" s="869"/>
      <c r="V523" s="869"/>
      <c r="W523" s="869"/>
      <c r="X523" s="869"/>
      <c r="Y523" s="869"/>
      <c r="Z523" s="869"/>
    </row>
    <row r="524">
      <c r="A524" s="869"/>
      <c r="B524" s="869"/>
      <c r="C524" s="869"/>
      <c r="D524" s="869"/>
      <c r="E524" s="869"/>
      <c r="F524" s="869"/>
      <c r="G524" s="869"/>
      <c r="H524" s="869"/>
      <c r="I524" s="869"/>
      <c r="J524" s="869"/>
      <c r="K524" s="869"/>
      <c r="L524" s="869"/>
      <c r="M524" s="869"/>
      <c r="N524" s="869"/>
      <c r="O524" s="869"/>
      <c r="P524" s="869"/>
      <c r="Q524" s="869"/>
      <c r="R524" s="869"/>
      <c r="S524" s="869"/>
      <c r="T524" s="869"/>
      <c r="U524" s="869"/>
      <c r="V524" s="869"/>
      <c r="W524" s="869"/>
      <c r="X524" s="869"/>
      <c r="Y524" s="869"/>
      <c r="Z524" s="869"/>
    </row>
    <row r="525">
      <c r="A525" s="869"/>
      <c r="B525" s="869"/>
      <c r="C525" s="869"/>
      <c r="D525" s="869"/>
      <c r="E525" s="869"/>
      <c r="F525" s="869"/>
      <c r="G525" s="869"/>
      <c r="H525" s="869"/>
      <c r="I525" s="869"/>
      <c r="J525" s="869"/>
      <c r="K525" s="869"/>
      <c r="L525" s="869"/>
      <c r="M525" s="869"/>
      <c r="N525" s="869"/>
      <c r="O525" s="869"/>
      <c r="P525" s="869"/>
      <c r="Q525" s="869"/>
      <c r="R525" s="869"/>
      <c r="S525" s="869"/>
      <c r="T525" s="869"/>
      <c r="U525" s="869"/>
      <c r="V525" s="869"/>
      <c r="W525" s="869"/>
      <c r="X525" s="869"/>
      <c r="Y525" s="869"/>
      <c r="Z525" s="869"/>
    </row>
    <row r="526">
      <c r="A526" s="869"/>
      <c r="B526" s="869"/>
      <c r="C526" s="869"/>
      <c r="D526" s="869"/>
      <c r="E526" s="869"/>
      <c r="F526" s="869"/>
      <c r="G526" s="869"/>
      <c r="H526" s="869"/>
      <c r="I526" s="869"/>
      <c r="J526" s="869"/>
      <c r="K526" s="869"/>
      <c r="L526" s="869"/>
      <c r="M526" s="869"/>
      <c r="N526" s="869"/>
      <c r="O526" s="869"/>
      <c r="P526" s="869"/>
      <c r="Q526" s="869"/>
      <c r="R526" s="869"/>
      <c r="S526" s="869"/>
      <c r="T526" s="869"/>
      <c r="U526" s="869"/>
      <c r="V526" s="869"/>
      <c r="W526" s="869"/>
      <c r="X526" s="869"/>
      <c r="Y526" s="869"/>
      <c r="Z526" s="869"/>
    </row>
    <row r="527">
      <c r="A527" s="869"/>
      <c r="B527" s="869"/>
      <c r="C527" s="869"/>
      <c r="D527" s="869"/>
      <c r="E527" s="869"/>
      <c r="F527" s="869"/>
      <c r="G527" s="869"/>
      <c r="H527" s="869"/>
      <c r="I527" s="869"/>
      <c r="J527" s="869"/>
      <c r="K527" s="869"/>
      <c r="L527" s="869"/>
      <c r="M527" s="869"/>
      <c r="N527" s="869"/>
      <c r="O527" s="869"/>
      <c r="P527" s="869"/>
      <c r="Q527" s="869"/>
      <c r="R527" s="869"/>
      <c r="S527" s="869"/>
      <c r="T527" s="869"/>
      <c r="U527" s="869"/>
      <c r="V527" s="869"/>
      <c r="W527" s="869"/>
      <c r="X527" s="869"/>
      <c r="Y527" s="869"/>
      <c r="Z527" s="869"/>
    </row>
    <row r="528">
      <c r="A528" s="869"/>
      <c r="B528" s="869"/>
      <c r="C528" s="869"/>
      <c r="D528" s="869"/>
      <c r="E528" s="869"/>
      <c r="F528" s="869"/>
      <c r="G528" s="869"/>
      <c r="H528" s="869"/>
      <c r="I528" s="869"/>
      <c r="J528" s="869"/>
      <c r="K528" s="869"/>
      <c r="L528" s="869"/>
      <c r="M528" s="869"/>
      <c r="N528" s="869"/>
      <c r="O528" s="869"/>
      <c r="P528" s="869"/>
      <c r="Q528" s="869"/>
      <c r="R528" s="869"/>
      <c r="S528" s="869"/>
      <c r="T528" s="869"/>
      <c r="U528" s="869"/>
      <c r="V528" s="869"/>
      <c r="W528" s="869"/>
      <c r="X528" s="869"/>
      <c r="Y528" s="869"/>
      <c r="Z528" s="869"/>
    </row>
    <row r="529">
      <c r="A529" s="869"/>
      <c r="B529" s="869"/>
      <c r="C529" s="869"/>
      <c r="D529" s="869"/>
      <c r="E529" s="869"/>
      <c r="F529" s="869"/>
      <c r="G529" s="869"/>
      <c r="H529" s="869"/>
      <c r="I529" s="869"/>
      <c r="J529" s="869"/>
      <c r="K529" s="869"/>
      <c r="L529" s="869"/>
      <c r="M529" s="869"/>
      <c r="N529" s="869"/>
      <c r="O529" s="869"/>
      <c r="P529" s="869"/>
      <c r="Q529" s="869"/>
      <c r="R529" s="869"/>
      <c r="S529" s="869"/>
      <c r="T529" s="869"/>
      <c r="U529" s="869"/>
      <c r="V529" s="869"/>
      <c r="W529" s="869"/>
      <c r="X529" s="869"/>
      <c r="Y529" s="869"/>
      <c r="Z529" s="869"/>
    </row>
    <row r="530">
      <c r="A530" s="869"/>
      <c r="B530" s="869"/>
      <c r="C530" s="869"/>
      <c r="D530" s="869"/>
      <c r="E530" s="869"/>
      <c r="F530" s="869"/>
      <c r="G530" s="869"/>
      <c r="H530" s="869"/>
      <c r="I530" s="869"/>
      <c r="J530" s="869"/>
      <c r="K530" s="869"/>
      <c r="L530" s="869"/>
      <c r="M530" s="869"/>
      <c r="N530" s="869"/>
      <c r="O530" s="869"/>
      <c r="P530" s="869"/>
      <c r="Q530" s="869"/>
      <c r="R530" s="869"/>
      <c r="S530" s="869"/>
      <c r="T530" s="869"/>
      <c r="U530" s="869"/>
      <c r="V530" s="869"/>
      <c r="W530" s="869"/>
      <c r="X530" s="869"/>
      <c r="Y530" s="869"/>
      <c r="Z530" s="869"/>
    </row>
    <row r="531">
      <c r="A531" s="869"/>
      <c r="B531" s="869"/>
      <c r="C531" s="869"/>
      <c r="D531" s="869"/>
      <c r="E531" s="869"/>
      <c r="F531" s="869"/>
      <c r="G531" s="869"/>
      <c r="H531" s="869"/>
      <c r="I531" s="869"/>
      <c r="J531" s="869"/>
      <c r="K531" s="869"/>
      <c r="L531" s="869"/>
      <c r="M531" s="869"/>
      <c r="N531" s="869"/>
      <c r="O531" s="869"/>
      <c r="P531" s="869"/>
      <c r="Q531" s="869"/>
      <c r="R531" s="869"/>
      <c r="S531" s="869"/>
      <c r="T531" s="869"/>
      <c r="U531" s="869"/>
      <c r="V531" s="869"/>
      <c r="W531" s="869"/>
      <c r="X531" s="869"/>
      <c r="Y531" s="869"/>
      <c r="Z531" s="869"/>
    </row>
    <row r="532">
      <c r="A532" s="869"/>
      <c r="B532" s="869"/>
      <c r="C532" s="869"/>
      <c r="D532" s="869"/>
      <c r="E532" s="869"/>
      <c r="F532" s="869"/>
      <c r="G532" s="869"/>
      <c r="H532" s="869"/>
      <c r="I532" s="869"/>
      <c r="J532" s="869"/>
      <c r="K532" s="869"/>
      <c r="L532" s="869"/>
      <c r="M532" s="869"/>
      <c r="N532" s="869"/>
      <c r="O532" s="869"/>
      <c r="P532" s="869"/>
      <c r="Q532" s="869"/>
      <c r="R532" s="869"/>
      <c r="S532" s="869"/>
      <c r="T532" s="869"/>
      <c r="U532" s="869"/>
      <c r="V532" s="869"/>
      <c r="W532" s="869"/>
      <c r="X532" s="869"/>
      <c r="Y532" s="869"/>
      <c r="Z532" s="869"/>
    </row>
    <row r="533">
      <c r="A533" s="869"/>
      <c r="B533" s="869"/>
      <c r="C533" s="869"/>
      <c r="D533" s="869"/>
      <c r="E533" s="869"/>
      <c r="F533" s="869"/>
      <c r="G533" s="869"/>
      <c r="H533" s="869"/>
      <c r="I533" s="869"/>
      <c r="J533" s="869"/>
      <c r="K533" s="869"/>
      <c r="L533" s="869"/>
      <c r="M533" s="869"/>
      <c r="N533" s="869"/>
      <c r="O533" s="869"/>
      <c r="P533" s="869"/>
      <c r="Q533" s="869"/>
      <c r="R533" s="869"/>
      <c r="S533" s="869"/>
      <c r="T533" s="869"/>
      <c r="U533" s="869"/>
      <c r="V533" s="869"/>
      <c r="W533" s="869"/>
      <c r="X533" s="869"/>
      <c r="Y533" s="869"/>
      <c r="Z533" s="869"/>
    </row>
    <row r="534">
      <c r="A534" s="869"/>
      <c r="B534" s="869"/>
      <c r="C534" s="869"/>
      <c r="D534" s="869"/>
      <c r="E534" s="869"/>
      <c r="F534" s="869"/>
      <c r="G534" s="869"/>
      <c r="H534" s="869"/>
      <c r="I534" s="869"/>
      <c r="J534" s="869"/>
      <c r="K534" s="869"/>
      <c r="L534" s="869"/>
      <c r="M534" s="869"/>
      <c r="N534" s="869"/>
      <c r="O534" s="869"/>
      <c r="P534" s="869"/>
      <c r="Q534" s="869"/>
      <c r="R534" s="869"/>
      <c r="S534" s="869"/>
      <c r="T534" s="869"/>
      <c r="U534" s="869"/>
      <c r="V534" s="869"/>
      <c r="W534" s="869"/>
      <c r="X534" s="869"/>
      <c r="Y534" s="869"/>
      <c r="Z534" s="869"/>
    </row>
    <row r="535">
      <c r="A535" s="869"/>
      <c r="B535" s="869"/>
      <c r="C535" s="869"/>
      <c r="D535" s="869"/>
      <c r="E535" s="869"/>
      <c r="F535" s="869"/>
      <c r="G535" s="869"/>
      <c r="H535" s="869"/>
      <c r="I535" s="869"/>
      <c r="J535" s="869"/>
      <c r="K535" s="869"/>
      <c r="L535" s="869"/>
      <c r="M535" s="869"/>
      <c r="N535" s="869"/>
      <c r="O535" s="869"/>
      <c r="P535" s="869"/>
      <c r="Q535" s="869"/>
      <c r="R535" s="869"/>
      <c r="S535" s="869"/>
      <c r="T535" s="869"/>
      <c r="U535" s="869"/>
      <c r="V535" s="869"/>
      <c r="W535" s="869"/>
      <c r="X535" s="869"/>
      <c r="Y535" s="869"/>
      <c r="Z535" s="869"/>
    </row>
    <row r="536">
      <c r="A536" s="869"/>
      <c r="B536" s="869"/>
      <c r="C536" s="869"/>
      <c r="D536" s="869"/>
      <c r="E536" s="869"/>
      <c r="F536" s="869"/>
      <c r="G536" s="869"/>
      <c r="H536" s="869"/>
      <c r="I536" s="869"/>
      <c r="J536" s="869"/>
      <c r="K536" s="869"/>
      <c r="L536" s="869"/>
      <c r="M536" s="869"/>
      <c r="N536" s="869"/>
      <c r="O536" s="869"/>
      <c r="P536" s="869"/>
      <c r="Q536" s="869"/>
      <c r="R536" s="869"/>
      <c r="S536" s="869"/>
      <c r="T536" s="869"/>
      <c r="U536" s="869"/>
      <c r="V536" s="869"/>
      <c r="W536" s="869"/>
      <c r="X536" s="869"/>
      <c r="Y536" s="869"/>
      <c r="Z536" s="869"/>
    </row>
    <row r="537">
      <c r="A537" s="869"/>
      <c r="B537" s="869"/>
      <c r="C537" s="869"/>
      <c r="D537" s="869"/>
      <c r="E537" s="869"/>
      <c r="F537" s="869"/>
      <c r="G537" s="869"/>
      <c r="H537" s="869"/>
      <c r="I537" s="869"/>
      <c r="J537" s="869"/>
      <c r="K537" s="869"/>
      <c r="L537" s="869"/>
      <c r="M537" s="869"/>
      <c r="N537" s="869"/>
      <c r="O537" s="869"/>
      <c r="P537" s="869"/>
      <c r="Q537" s="869"/>
      <c r="R537" s="869"/>
      <c r="S537" s="869"/>
      <c r="T537" s="869"/>
      <c r="U537" s="869"/>
      <c r="V537" s="869"/>
      <c r="W537" s="869"/>
      <c r="X537" s="869"/>
      <c r="Y537" s="869"/>
      <c r="Z537" s="869"/>
    </row>
    <row r="538">
      <c r="A538" s="869"/>
      <c r="B538" s="869"/>
      <c r="C538" s="869"/>
      <c r="D538" s="869"/>
      <c r="E538" s="869"/>
      <c r="F538" s="869"/>
      <c r="G538" s="869"/>
      <c r="H538" s="869"/>
      <c r="I538" s="869"/>
      <c r="J538" s="869"/>
      <c r="K538" s="869"/>
      <c r="L538" s="869"/>
      <c r="M538" s="869"/>
      <c r="N538" s="869"/>
      <c r="O538" s="869"/>
      <c r="P538" s="869"/>
      <c r="Q538" s="869"/>
      <c r="R538" s="869"/>
      <c r="S538" s="869"/>
      <c r="T538" s="869"/>
      <c r="U538" s="869"/>
      <c r="V538" s="869"/>
      <c r="W538" s="869"/>
      <c r="X538" s="869"/>
      <c r="Y538" s="869"/>
      <c r="Z538" s="869"/>
    </row>
    <row r="539">
      <c r="A539" s="869"/>
      <c r="B539" s="869"/>
      <c r="C539" s="869"/>
      <c r="D539" s="869"/>
      <c r="E539" s="869"/>
      <c r="F539" s="869"/>
      <c r="G539" s="869"/>
      <c r="H539" s="869"/>
      <c r="I539" s="869"/>
      <c r="J539" s="869"/>
      <c r="K539" s="869"/>
      <c r="L539" s="869"/>
      <c r="M539" s="869"/>
      <c r="N539" s="869"/>
      <c r="O539" s="869"/>
      <c r="P539" s="869"/>
      <c r="Q539" s="869"/>
      <c r="R539" s="869"/>
      <c r="S539" s="869"/>
      <c r="T539" s="869"/>
      <c r="U539" s="869"/>
      <c r="V539" s="869"/>
      <c r="W539" s="869"/>
      <c r="X539" s="869"/>
      <c r="Y539" s="869"/>
      <c r="Z539" s="869"/>
    </row>
    <row r="540">
      <c r="A540" s="869"/>
      <c r="B540" s="869"/>
      <c r="C540" s="869"/>
      <c r="D540" s="869"/>
      <c r="E540" s="869"/>
      <c r="F540" s="869"/>
      <c r="G540" s="869"/>
      <c r="H540" s="869"/>
      <c r="I540" s="869"/>
      <c r="J540" s="869"/>
      <c r="K540" s="869"/>
      <c r="L540" s="869"/>
      <c r="M540" s="869"/>
      <c r="N540" s="869"/>
      <c r="O540" s="869"/>
      <c r="P540" s="869"/>
      <c r="Q540" s="869"/>
      <c r="R540" s="869"/>
      <c r="S540" s="869"/>
      <c r="T540" s="869"/>
      <c r="U540" s="869"/>
      <c r="V540" s="869"/>
      <c r="W540" s="869"/>
      <c r="X540" s="869"/>
      <c r="Y540" s="869"/>
      <c r="Z540" s="869"/>
    </row>
    <row r="541">
      <c r="A541" s="869"/>
      <c r="B541" s="869"/>
      <c r="C541" s="869"/>
      <c r="D541" s="869"/>
      <c r="E541" s="869"/>
      <c r="F541" s="869"/>
      <c r="G541" s="869"/>
      <c r="H541" s="869"/>
      <c r="I541" s="869"/>
      <c r="J541" s="869"/>
      <c r="K541" s="869"/>
      <c r="L541" s="869"/>
      <c r="M541" s="869"/>
      <c r="N541" s="869"/>
      <c r="O541" s="869"/>
      <c r="P541" s="869"/>
      <c r="Q541" s="869"/>
      <c r="R541" s="869"/>
      <c r="S541" s="869"/>
      <c r="T541" s="869"/>
      <c r="U541" s="869"/>
      <c r="V541" s="869"/>
      <c r="W541" s="869"/>
      <c r="X541" s="869"/>
      <c r="Y541" s="869"/>
      <c r="Z541" s="869"/>
    </row>
    <row r="542">
      <c r="A542" s="869"/>
      <c r="B542" s="869"/>
      <c r="C542" s="869"/>
      <c r="D542" s="869"/>
      <c r="E542" s="869"/>
      <c r="F542" s="869"/>
      <c r="G542" s="869"/>
      <c r="H542" s="869"/>
      <c r="I542" s="869"/>
      <c r="J542" s="869"/>
      <c r="K542" s="869"/>
      <c r="L542" s="869"/>
      <c r="M542" s="869"/>
      <c r="N542" s="869"/>
      <c r="O542" s="869"/>
      <c r="P542" s="869"/>
      <c r="Q542" s="869"/>
      <c r="R542" s="869"/>
      <c r="S542" s="869"/>
      <c r="T542" s="869"/>
      <c r="U542" s="869"/>
      <c r="V542" s="869"/>
      <c r="W542" s="869"/>
      <c r="X542" s="869"/>
      <c r="Y542" s="869"/>
      <c r="Z542" s="869"/>
    </row>
    <row r="543">
      <c r="A543" s="869"/>
      <c r="B543" s="869"/>
      <c r="C543" s="869"/>
      <c r="D543" s="869"/>
      <c r="E543" s="869"/>
      <c r="F543" s="869"/>
      <c r="G543" s="869"/>
      <c r="H543" s="869"/>
      <c r="I543" s="869"/>
      <c r="J543" s="869"/>
      <c r="K543" s="869"/>
      <c r="L543" s="869"/>
      <c r="M543" s="869"/>
      <c r="N543" s="869"/>
      <c r="O543" s="869"/>
      <c r="P543" s="869"/>
      <c r="Q543" s="869"/>
      <c r="R543" s="869"/>
      <c r="S543" s="869"/>
      <c r="T543" s="869"/>
      <c r="U543" s="869"/>
      <c r="V543" s="869"/>
      <c r="W543" s="869"/>
      <c r="X543" s="869"/>
      <c r="Y543" s="869"/>
      <c r="Z543" s="869"/>
    </row>
    <row r="544">
      <c r="A544" s="869"/>
      <c r="B544" s="869"/>
      <c r="C544" s="869"/>
      <c r="D544" s="869"/>
      <c r="E544" s="869"/>
      <c r="F544" s="869"/>
      <c r="G544" s="869"/>
      <c r="H544" s="869"/>
      <c r="I544" s="869"/>
      <c r="J544" s="869"/>
      <c r="K544" s="869"/>
      <c r="L544" s="869"/>
      <c r="M544" s="869"/>
      <c r="N544" s="869"/>
      <c r="O544" s="869"/>
      <c r="P544" s="869"/>
      <c r="Q544" s="869"/>
      <c r="R544" s="869"/>
      <c r="S544" s="869"/>
      <c r="T544" s="869"/>
      <c r="U544" s="869"/>
      <c r="V544" s="869"/>
      <c r="W544" s="869"/>
      <c r="X544" s="869"/>
      <c r="Y544" s="869"/>
      <c r="Z544" s="869"/>
    </row>
    <row r="545">
      <c r="A545" s="869"/>
      <c r="B545" s="869"/>
      <c r="C545" s="869"/>
      <c r="D545" s="869"/>
      <c r="E545" s="869"/>
      <c r="F545" s="869"/>
      <c r="G545" s="869"/>
      <c r="H545" s="869"/>
      <c r="I545" s="869"/>
      <c r="J545" s="869"/>
      <c r="K545" s="869"/>
      <c r="L545" s="869"/>
      <c r="M545" s="869"/>
      <c r="N545" s="869"/>
      <c r="O545" s="869"/>
      <c r="P545" s="869"/>
      <c r="Q545" s="869"/>
      <c r="R545" s="869"/>
      <c r="S545" s="869"/>
      <c r="T545" s="869"/>
      <c r="U545" s="869"/>
      <c r="V545" s="869"/>
      <c r="W545" s="869"/>
      <c r="X545" s="869"/>
      <c r="Y545" s="869"/>
      <c r="Z545" s="869"/>
    </row>
    <row r="546">
      <c r="A546" s="869"/>
      <c r="B546" s="869"/>
      <c r="C546" s="869"/>
      <c r="D546" s="869"/>
      <c r="E546" s="869"/>
      <c r="F546" s="869"/>
      <c r="G546" s="869"/>
      <c r="H546" s="869"/>
      <c r="I546" s="869"/>
      <c r="J546" s="869"/>
      <c r="K546" s="869"/>
      <c r="L546" s="869"/>
      <c r="M546" s="869"/>
      <c r="N546" s="869"/>
      <c r="O546" s="869"/>
      <c r="P546" s="869"/>
      <c r="Q546" s="869"/>
      <c r="R546" s="869"/>
      <c r="S546" s="869"/>
      <c r="T546" s="869"/>
      <c r="U546" s="869"/>
      <c r="V546" s="869"/>
      <c r="W546" s="869"/>
      <c r="X546" s="869"/>
      <c r="Y546" s="869"/>
      <c r="Z546" s="869"/>
    </row>
    <row r="547">
      <c r="A547" s="869"/>
      <c r="B547" s="869"/>
      <c r="C547" s="869"/>
      <c r="D547" s="869"/>
      <c r="E547" s="869"/>
      <c r="F547" s="869"/>
      <c r="G547" s="869"/>
      <c r="H547" s="869"/>
      <c r="I547" s="869"/>
      <c r="J547" s="869"/>
      <c r="K547" s="869"/>
      <c r="L547" s="869"/>
      <c r="M547" s="869"/>
      <c r="N547" s="869"/>
      <c r="O547" s="869"/>
      <c r="P547" s="869"/>
      <c r="Q547" s="869"/>
      <c r="R547" s="869"/>
      <c r="S547" s="869"/>
      <c r="T547" s="869"/>
      <c r="U547" s="869"/>
      <c r="V547" s="869"/>
      <c r="W547" s="869"/>
      <c r="X547" s="869"/>
      <c r="Y547" s="869"/>
      <c r="Z547" s="869"/>
    </row>
    <row r="548">
      <c r="A548" s="869"/>
      <c r="B548" s="869"/>
      <c r="C548" s="869"/>
      <c r="D548" s="869"/>
      <c r="E548" s="869"/>
      <c r="F548" s="869"/>
      <c r="G548" s="869"/>
      <c r="H548" s="869"/>
      <c r="I548" s="869"/>
      <c r="J548" s="869"/>
      <c r="K548" s="869"/>
      <c r="L548" s="869"/>
      <c r="M548" s="869"/>
      <c r="N548" s="869"/>
      <c r="O548" s="869"/>
      <c r="P548" s="869"/>
      <c r="Q548" s="869"/>
      <c r="R548" s="869"/>
      <c r="S548" s="869"/>
      <c r="T548" s="869"/>
      <c r="U548" s="869"/>
      <c r="V548" s="869"/>
      <c r="W548" s="869"/>
      <c r="X548" s="869"/>
      <c r="Y548" s="869"/>
      <c r="Z548" s="869"/>
    </row>
    <row r="549">
      <c r="A549" s="869"/>
      <c r="B549" s="869"/>
      <c r="C549" s="869"/>
      <c r="D549" s="869"/>
      <c r="E549" s="869"/>
      <c r="F549" s="869"/>
      <c r="G549" s="869"/>
      <c r="H549" s="869"/>
      <c r="I549" s="869"/>
      <c r="J549" s="869"/>
      <c r="K549" s="869"/>
      <c r="L549" s="869"/>
      <c r="M549" s="869"/>
      <c r="N549" s="869"/>
      <c r="O549" s="869"/>
      <c r="P549" s="869"/>
      <c r="Q549" s="869"/>
      <c r="R549" s="869"/>
      <c r="S549" s="869"/>
      <c r="T549" s="869"/>
      <c r="U549" s="869"/>
      <c r="V549" s="869"/>
      <c r="W549" s="869"/>
      <c r="X549" s="869"/>
      <c r="Y549" s="869"/>
      <c r="Z549" s="869"/>
    </row>
    <row r="550">
      <c r="A550" s="869"/>
      <c r="B550" s="869"/>
      <c r="C550" s="869"/>
      <c r="D550" s="869"/>
      <c r="E550" s="869"/>
      <c r="F550" s="869"/>
      <c r="G550" s="869"/>
      <c r="H550" s="869"/>
      <c r="I550" s="869"/>
      <c r="J550" s="869"/>
      <c r="K550" s="869"/>
      <c r="L550" s="869"/>
      <c r="M550" s="869"/>
      <c r="N550" s="869"/>
      <c r="O550" s="869"/>
      <c r="P550" s="869"/>
      <c r="Q550" s="869"/>
      <c r="R550" s="869"/>
      <c r="S550" s="869"/>
      <c r="T550" s="869"/>
      <c r="U550" s="869"/>
      <c r="V550" s="869"/>
      <c r="W550" s="869"/>
      <c r="X550" s="869"/>
      <c r="Y550" s="869"/>
      <c r="Z550" s="869"/>
    </row>
    <row r="551">
      <c r="A551" s="869"/>
      <c r="B551" s="869"/>
      <c r="C551" s="869"/>
      <c r="D551" s="869"/>
      <c r="E551" s="869"/>
      <c r="F551" s="869"/>
      <c r="G551" s="869"/>
      <c r="H551" s="869"/>
      <c r="I551" s="869"/>
      <c r="J551" s="869"/>
      <c r="K551" s="869"/>
      <c r="L551" s="869"/>
      <c r="M551" s="869"/>
      <c r="N551" s="869"/>
      <c r="O551" s="869"/>
      <c r="P551" s="869"/>
      <c r="Q551" s="869"/>
      <c r="R551" s="869"/>
      <c r="S551" s="869"/>
      <c r="T551" s="869"/>
      <c r="U551" s="869"/>
      <c r="V551" s="869"/>
      <c r="W551" s="869"/>
      <c r="X551" s="869"/>
      <c r="Y551" s="869"/>
      <c r="Z551" s="869"/>
    </row>
    <row r="552">
      <c r="A552" s="869"/>
      <c r="B552" s="869"/>
      <c r="C552" s="869"/>
      <c r="D552" s="869"/>
      <c r="E552" s="869"/>
      <c r="F552" s="869"/>
      <c r="G552" s="869"/>
      <c r="H552" s="869"/>
      <c r="I552" s="869"/>
      <c r="J552" s="869"/>
      <c r="K552" s="869"/>
      <c r="L552" s="869"/>
      <c r="M552" s="869"/>
      <c r="N552" s="869"/>
      <c r="O552" s="869"/>
      <c r="P552" s="869"/>
      <c r="Q552" s="869"/>
      <c r="R552" s="869"/>
      <c r="S552" s="869"/>
      <c r="T552" s="869"/>
      <c r="U552" s="869"/>
      <c r="V552" s="869"/>
      <c r="W552" s="869"/>
      <c r="X552" s="869"/>
      <c r="Y552" s="869"/>
      <c r="Z552" s="869"/>
    </row>
    <row r="553">
      <c r="A553" s="869"/>
      <c r="B553" s="869"/>
      <c r="C553" s="869"/>
      <c r="D553" s="869"/>
      <c r="E553" s="869"/>
      <c r="F553" s="869"/>
      <c r="G553" s="869"/>
      <c r="H553" s="869"/>
      <c r="I553" s="869"/>
      <c r="J553" s="869"/>
      <c r="K553" s="869"/>
      <c r="L553" s="869"/>
      <c r="M553" s="869"/>
      <c r="N553" s="869"/>
      <c r="O553" s="869"/>
      <c r="P553" s="869"/>
      <c r="Q553" s="869"/>
      <c r="R553" s="869"/>
      <c r="S553" s="869"/>
      <c r="T553" s="869"/>
      <c r="U553" s="869"/>
      <c r="V553" s="869"/>
      <c r="W553" s="869"/>
      <c r="X553" s="869"/>
      <c r="Y553" s="869"/>
      <c r="Z553" s="869"/>
    </row>
    <row r="554">
      <c r="A554" s="869"/>
      <c r="B554" s="869"/>
      <c r="C554" s="869"/>
      <c r="D554" s="869"/>
      <c r="E554" s="869"/>
      <c r="F554" s="869"/>
      <c r="G554" s="869"/>
      <c r="H554" s="869"/>
      <c r="I554" s="869"/>
      <c r="J554" s="869"/>
      <c r="K554" s="869"/>
      <c r="L554" s="869"/>
      <c r="M554" s="869"/>
      <c r="N554" s="869"/>
      <c r="O554" s="869"/>
      <c r="P554" s="869"/>
      <c r="Q554" s="869"/>
      <c r="R554" s="869"/>
      <c r="S554" s="869"/>
      <c r="T554" s="869"/>
      <c r="U554" s="869"/>
      <c r="V554" s="869"/>
      <c r="W554" s="869"/>
      <c r="X554" s="869"/>
      <c r="Y554" s="869"/>
      <c r="Z554" s="869"/>
    </row>
    <row r="555">
      <c r="A555" s="869"/>
      <c r="B555" s="869"/>
      <c r="C555" s="869"/>
      <c r="D555" s="869"/>
      <c r="E555" s="869"/>
      <c r="F555" s="869"/>
      <c r="G555" s="869"/>
      <c r="H555" s="869"/>
      <c r="I555" s="869"/>
      <c r="J555" s="869"/>
      <c r="K555" s="869"/>
      <c r="L555" s="869"/>
      <c r="M555" s="869"/>
      <c r="N555" s="869"/>
      <c r="O555" s="869"/>
      <c r="P555" s="869"/>
      <c r="Q555" s="869"/>
      <c r="R555" s="869"/>
      <c r="S555" s="869"/>
      <c r="T555" s="869"/>
      <c r="U555" s="869"/>
      <c r="V555" s="869"/>
      <c r="W555" s="869"/>
      <c r="X555" s="869"/>
      <c r="Y555" s="869"/>
      <c r="Z555" s="869"/>
    </row>
    <row r="556">
      <c r="A556" s="869"/>
      <c r="B556" s="869"/>
      <c r="C556" s="869"/>
      <c r="D556" s="869"/>
      <c r="E556" s="869"/>
      <c r="F556" s="869"/>
      <c r="G556" s="869"/>
      <c r="H556" s="869"/>
      <c r="I556" s="869"/>
      <c r="J556" s="869"/>
      <c r="K556" s="869"/>
      <c r="L556" s="869"/>
      <c r="M556" s="869"/>
      <c r="N556" s="869"/>
      <c r="O556" s="869"/>
      <c r="P556" s="869"/>
      <c r="Q556" s="869"/>
      <c r="R556" s="869"/>
      <c r="S556" s="869"/>
      <c r="T556" s="869"/>
      <c r="U556" s="869"/>
      <c r="V556" s="869"/>
      <c r="W556" s="869"/>
      <c r="X556" s="869"/>
      <c r="Y556" s="869"/>
      <c r="Z556" s="869"/>
    </row>
    <row r="557">
      <c r="A557" s="869"/>
      <c r="B557" s="869"/>
      <c r="C557" s="869"/>
      <c r="D557" s="869"/>
      <c r="E557" s="869"/>
      <c r="F557" s="869"/>
      <c r="G557" s="869"/>
      <c r="H557" s="869"/>
      <c r="I557" s="869"/>
      <c r="J557" s="869"/>
      <c r="K557" s="869"/>
      <c r="L557" s="869"/>
      <c r="M557" s="869"/>
      <c r="N557" s="869"/>
      <c r="O557" s="869"/>
      <c r="P557" s="869"/>
      <c r="Q557" s="869"/>
      <c r="R557" s="869"/>
      <c r="S557" s="869"/>
      <c r="T557" s="869"/>
      <c r="U557" s="869"/>
      <c r="V557" s="869"/>
      <c r="W557" s="869"/>
      <c r="X557" s="869"/>
      <c r="Y557" s="869"/>
      <c r="Z557" s="869"/>
    </row>
    <row r="558">
      <c r="A558" s="869"/>
      <c r="B558" s="869"/>
      <c r="C558" s="869"/>
      <c r="D558" s="869"/>
      <c r="E558" s="869"/>
      <c r="F558" s="869"/>
      <c r="G558" s="869"/>
      <c r="H558" s="869"/>
      <c r="I558" s="869"/>
      <c r="J558" s="869"/>
      <c r="K558" s="869"/>
      <c r="L558" s="869"/>
      <c r="M558" s="869"/>
      <c r="N558" s="869"/>
      <c r="O558" s="869"/>
      <c r="P558" s="869"/>
      <c r="Q558" s="869"/>
      <c r="R558" s="869"/>
      <c r="S558" s="869"/>
      <c r="T558" s="869"/>
      <c r="U558" s="869"/>
      <c r="V558" s="869"/>
      <c r="W558" s="869"/>
      <c r="X558" s="869"/>
      <c r="Y558" s="869"/>
      <c r="Z558" s="869"/>
    </row>
    <row r="559">
      <c r="A559" s="869"/>
      <c r="B559" s="869"/>
      <c r="C559" s="869"/>
      <c r="D559" s="869"/>
      <c r="E559" s="869"/>
      <c r="F559" s="869"/>
      <c r="G559" s="869"/>
      <c r="H559" s="869"/>
      <c r="I559" s="869"/>
      <c r="J559" s="869"/>
      <c r="K559" s="869"/>
      <c r="L559" s="869"/>
      <c r="M559" s="869"/>
      <c r="N559" s="869"/>
      <c r="O559" s="869"/>
      <c r="P559" s="869"/>
      <c r="Q559" s="869"/>
      <c r="R559" s="869"/>
      <c r="S559" s="869"/>
      <c r="T559" s="869"/>
      <c r="U559" s="869"/>
      <c r="V559" s="869"/>
      <c r="W559" s="869"/>
      <c r="X559" s="869"/>
      <c r="Y559" s="869"/>
      <c r="Z559" s="869"/>
    </row>
    <row r="560">
      <c r="A560" s="869"/>
      <c r="B560" s="869"/>
      <c r="C560" s="869"/>
      <c r="D560" s="869"/>
      <c r="E560" s="869"/>
      <c r="F560" s="869"/>
      <c r="G560" s="869"/>
      <c r="H560" s="869"/>
      <c r="I560" s="869"/>
      <c r="J560" s="869"/>
      <c r="K560" s="869"/>
      <c r="L560" s="869"/>
      <c r="M560" s="869"/>
      <c r="N560" s="869"/>
      <c r="O560" s="869"/>
      <c r="P560" s="869"/>
      <c r="Q560" s="869"/>
      <c r="R560" s="869"/>
      <c r="S560" s="869"/>
      <c r="T560" s="869"/>
      <c r="U560" s="869"/>
      <c r="V560" s="869"/>
      <c r="W560" s="869"/>
      <c r="X560" s="869"/>
      <c r="Y560" s="869"/>
      <c r="Z560" s="869"/>
    </row>
    <row r="561">
      <c r="A561" s="869"/>
      <c r="B561" s="869"/>
      <c r="C561" s="869"/>
      <c r="D561" s="869"/>
      <c r="E561" s="869"/>
      <c r="F561" s="869"/>
      <c r="G561" s="869"/>
      <c r="H561" s="869"/>
      <c r="I561" s="869"/>
      <c r="J561" s="869"/>
      <c r="K561" s="869"/>
      <c r="L561" s="869"/>
      <c r="M561" s="869"/>
      <c r="N561" s="869"/>
      <c r="O561" s="869"/>
      <c r="P561" s="869"/>
      <c r="Q561" s="869"/>
      <c r="R561" s="869"/>
      <c r="S561" s="869"/>
      <c r="T561" s="869"/>
      <c r="U561" s="869"/>
      <c r="V561" s="869"/>
      <c r="W561" s="869"/>
      <c r="X561" s="869"/>
      <c r="Y561" s="869"/>
      <c r="Z561" s="869"/>
    </row>
    <row r="562">
      <c r="A562" s="869"/>
      <c r="B562" s="869"/>
      <c r="C562" s="869"/>
      <c r="D562" s="869"/>
      <c r="E562" s="869"/>
      <c r="F562" s="869"/>
      <c r="G562" s="869"/>
      <c r="H562" s="869"/>
      <c r="I562" s="869"/>
      <c r="J562" s="869"/>
      <c r="K562" s="869"/>
      <c r="L562" s="869"/>
      <c r="M562" s="869"/>
      <c r="N562" s="869"/>
      <c r="O562" s="869"/>
      <c r="P562" s="869"/>
      <c r="Q562" s="869"/>
      <c r="R562" s="869"/>
      <c r="S562" s="869"/>
      <c r="T562" s="869"/>
      <c r="U562" s="869"/>
      <c r="V562" s="869"/>
      <c r="W562" s="869"/>
      <c r="X562" s="869"/>
      <c r="Y562" s="869"/>
      <c r="Z562" s="869"/>
    </row>
    <row r="563">
      <c r="A563" s="869"/>
      <c r="B563" s="869"/>
      <c r="C563" s="869"/>
      <c r="D563" s="869"/>
      <c r="E563" s="869"/>
      <c r="F563" s="869"/>
      <c r="G563" s="869"/>
      <c r="H563" s="869"/>
      <c r="I563" s="869"/>
      <c r="J563" s="869"/>
      <c r="K563" s="869"/>
      <c r="L563" s="869"/>
      <c r="M563" s="869"/>
      <c r="N563" s="869"/>
      <c r="O563" s="869"/>
      <c r="P563" s="869"/>
      <c r="Q563" s="869"/>
      <c r="R563" s="869"/>
      <c r="S563" s="869"/>
      <c r="T563" s="869"/>
      <c r="U563" s="869"/>
      <c r="V563" s="869"/>
      <c r="W563" s="869"/>
      <c r="X563" s="869"/>
      <c r="Y563" s="869"/>
      <c r="Z563" s="869"/>
    </row>
    <row r="564">
      <c r="A564" s="869"/>
      <c r="B564" s="869"/>
      <c r="C564" s="869"/>
      <c r="D564" s="869"/>
      <c r="E564" s="869"/>
      <c r="F564" s="869"/>
      <c r="G564" s="869"/>
      <c r="H564" s="869"/>
      <c r="I564" s="869"/>
      <c r="J564" s="869"/>
      <c r="K564" s="869"/>
      <c r="L564" s="869"/>
      <c r="M564" s="869"/>
      <c r="N564" s="869"/>
      <c r="O564" s="869"/>
      <c r="P564" s="869"/>
      <c r="Q564" s="869"/>
      <c r="R564" s="869"/>
      <c r="S564" s="869"/>
      <c r="T564" s="869"/>
      <c r="U564" s="869"/>
      <c r="V564" s="869"/>
      <c r="W564" s="869"/>
      <c r="X564" s="869"/>
      <c r="Y564" s="869"/>
      <c r="Z564" s="869"/>
    </row>
    <row r="565">
      <c r="A565" s="869"/>
      <c r="B565" s="869"/>
      <c r="C565" s="869"/>
      <c r="D565" s="869"/>
      <c r="E565" s="869"/>
      <c r="F565" s="869"/>
      <c r="G565" s="869"/>
      <c r="H565" s="869"/>
      <c r="I565" s="869"/>
      <c r="J565" s="869"/>
      <c r="K565" s="869"/>
      <c r="L565" s="869"/>
      <c r="M565" s="869"/>
      <c r="N565" s="869"/>
      <c r="O565" s="869"/>
      <c r="P565" s="869"/>
      <c r="Q565" s="869"/>
      <c r="R565" s="869"/>
      <c r="S565" s="869"/>
      <c r="T565" s="869"/>
      <c r="U565" s="869"/>
      <c r="V565" s="869"/>
      <c r="W565" s="869"/>
      <c r="X565" s="869"/>
      <c r="Y565" s="869"/>
      <c r="Z565" s="869"/>
    </row>
    <row r="566">
      <c r="A566" s="869"/>
      <c r="B566" s="869"/>
      <c r="C566" s="869"/>
      <c r="D566" s="869"/>
      <c r="E566" s="869"/>
      <c r="F566" s="869"/>
      <c r="G566" s="869"/>
      <c r="H566" s="869"/>
      <c r="I566" s="869"/>
      <c r="J566" s="869"/>
      <c r="K566" s="869"/>
      <c r="L566" s="869"/>
      <c r="M566" s="869"/>
      <c r="N566" s="869"/>
      <c r="O566" s="869"/>
      <c r="P566" s="869"/>
      <c r="Q566" s="869"/>
      <c r="R566" s="869"/>
      <c r="S566" s="869"/>
      <c r="T566" s="869"/>
      <c r="U566" s="869"/>
      <c r="V566" s="869"/>
      <c r="W566" s="869"/>
      <c r="X566" s="869"/>
      <c r="Y566" s="869"/>
      <c r="Z566" s="869"/>
    </row>
    <row r="567">
      <c r="A567" s="869"/>
      <c r="B567" s="869"/>
      <c r="C567" s="869"/>
      <c r="D567" s="869"/>
      <c r="E567" s="869"/>
      <c r="F567" s="869"/>
      <c r="G567" s="869"/>
      <c r="H567" s="869"/>
      <c r="I567" s="869"/>
      <c r="J567" s="869"/>
      <c r="K567" s="869"/>
      <c r="L567" s="869"/>
      <c r="M567" s="869"/>
      <c r="N567" s="869"/>
      <c r="O567" s="869"/>
      <c r="P567" s="869"/>
      <c r="Q567" s="869"/>
      <c r="R567" s="869"/>
      <c r="S567" s="869"/>
      <c r="T567" s="869"/>
      <c r="U567" s="869"/>
      <c r="V567" s="869"/>
      <c r="W567" s="869"/>
      <c r="X567" s="869"/>
      <c r="Y567" s="869"/>
      <c r="Z567" s="869"/>
    </row>
    <row r="568">
      <c r="A568" s="869"/>
      <c r="B568" s="869"/>
      <c r="C568" s="869"/>
      <c r="D568" s="869"/>
      <c r="E568" s="869"/>
      <c r="F568" s="869"/>
      <c r="G568" s="869"/>
      <c r="H568" s="869"/>
      <c r="I568" s="869"/>
      <c r="J568" s="869"/>
      <c r="K568" s="869"/>
      <c r="L568" s="869"/>
      <c r="M568" s="869"/>
      <c r="N568" s="869"/>
      <c r="O568" s="869"/>
      <c r="P568" s="869"/>
      <c r="Q568" s="869"/>
      <c r="R568" s="869"/>
      <c r="S568" s="869"/>
      <c r="T568" s="869"/>
      <c r="U568" s="869"/>
      <c r="V568" s="869"/>
      <c r="W568" s="869"/>
      <c r="X568" s="869"/>
      <c r="Y568" s="869"/>
      <c r="Z568" s="869"/>
    </row>
    <row r="569">
      <c r="A569" s="869"/>
      <c r="B569" s="869"/>
      <c r="C569" s="869"/>
      <c r="D569" s="869"/>
      <c r="E569" s="869"/>
      <c r="F569" s="869"/>
      <c r="G569" s="869"/>
      <c r="H569" s="869"/>
      <c r="I569" s="869"/>
      <c r="J569" s="869"/>
      <c r="K569" s="869"/>
      <c r="L569" s="869"/>
      <c r="M569" s="869"/>
      <c r="N569" s="869"/>
      <c r="O569" s="869"/>
      <c r="P569" s="869"/>
      <c r="Q569" s="869"/>
      <c r="R569" s="869"/>
      <c r="S569" s="869"/>
      <c r="T569" s="869"/>
      <c r="U569" s="869"/>
      <c r="V569" s="869"/>
      <c r="W569" s="869"/>
      <c r="X569" s="869"/>
      <c r="Y569" s="869"/>
      <c r="Z569" s="869"/>
    </row>
    <row r="570">
      <c r="A570" s="869"/>
      <c r="B570" s="869"/>
      <c r="C570" s="869"/>
      <c r="D570" s="869"/>
      <c r="E570" s="869"/>
      <c r="F570" s="869"/>
      <c r="G570" s="869"/>
      <c r="H570" s="869"/>
      <c r="I570" s="869"/>
      <c r="J570" s="869"/>
      <c r="K570" s="869"/>
      <c r="L570" s="869"/>
      <c r="M570" s="869"/>
      <c r="N570" s="869"/>
      <c r="O570" s="869"/>
      <c r="P570" s="869"/>
      <c r="Q570" s="869"/>
      <c r="R570" s="869"/>
      <c r="S570" s="869"/>
      <c r="T570" s="869"/>
      <c r="U570" s="869"/>
      <c r="V570" s="869"/>
      <c r="W570" s="869"/>
      <c r="X570" s="869"/>
      <c r="Y570" s="869"/>
      <c r="Z570" s="869"/>
    </row>
    <row r="571">
      <c r="A571" s="869"/>
      <c r="B571" s="869"/>
      <c r="C571" s="869"/>
      <c r="D571" s="869"/>
      <c r="E571" s="869"/>
      <c r="F571" s="869"/>
      <c r="G571" s="869"/>
      <c r="H571" s="869"/>
      <c r="I571" s="869"/>
      <c r="J571" s="869"/>
      <c r="K571" s="869"/>
      <c r="L571" s="869"/>
      <c r="M571" s="869"/>
      <c r="N571" s="869"/>
      <c r="O571" s="869"/>
      <c r="P571" s="869"/>
      <c r="Q571" s="869"/>
      <c r="R571" s="869"/>
      <c r="S571" s="869"/>
      <c r="T571" s="869"/>
      <c r="U571" s="869"/>
      <c r="V571" s="869"/>
      <c r="W571" s="869"/>
      <c r="X571" s="869"/>
      <c r="Y571" s="869"/>
      <c r="Z571" s="869"/>
    </row>
    <row r="572">
      <c r="A572" s="869"/>
      <c r="B572" s="869"/>
      <c r="C572" s="869"/>
      <c r="D572" s="869"/>
      <c r="E572" s="869"/>
      <c r="F572" s="869"/>
      <c r="G572" s="869"/>
      <c r="H572" s="869"/>
      <c r="I572" s="869"/>
      <c r="J572" s="869"/>
      <c r="K572" s="869"/>
      <c r="L572" s="869"/>
      <c r="M572" s="869"/>
      <c r="N572" s="869"/>
      <c r="O572" s="869"/>
      <c r="P572" s="869"/>
      <c r="Q572" s="869"/>
      <c r="R572" s="869"/>
      <c r="S572" s="869"/>
      <c r="T572" s="869"/>
      <c r="U572" s="869"/>
      <c r="V572" s="869"/>
      <c r="W572" s="869"/>
      <c r="X572" s="869"/>
      <c r="Y572" s="869"/>
      <c r="Z572" s="869"/>
    </row>
    <row r="573">
      <c r="A573" s="869"/>
      <c r="B573" s="869"/>
      <c r="C573" s="869"/>
      <c r="D573" s="869"/>
      <c r="E573" s="869"/>
      <c r="F573" s="869"/>
      <c r="G573" s="869"/>
      <c r="H573" s="869"/>
      <c r="I573" s="869"/>
      <c r="J573" s="869"/>
      <c r="K573" s="869"/>
      <c r="L573" s="869"/>
      <c r="M573" s="869"/>
      <c r="N573" s="869"/>
      <c r="O573" s="869"/>
      <c r="P573" s="869"/>
      <c r="Q573" s="869"/>
      <c r="R573" s="869"/>
      <c r="S573" s="869"/>
      <c r="T573" s="869"/>
      <c r="U573" s="869"/>
      <c r="V573" s="869"/>
      <c r="W573" s="869"/>
      <c r="X573" s="869"/>
      <c r="Y573" s="869"/>
      <c r="Z573" s="869"/>
    </row>
    <row r="574">
      <c r="A574" s="869"/>
      <c r="B574" s="869"/>
      <c r="C574" s="869"/>
      <c r="D574" s="869"/>
      <c r="E574" s="869"/>
      <c r="F574" s="869"/>
      <c r="G574" s="869"/>
      <c r="H574" s="869"/>
      <c r="I574" s="869"/>
      <c r="J574" s="869"/>
      <c r="K574" s="869"/>
      <c r="L574" s="869"/>
      <c r="M574" s="869"/>
      <c r="N574" s="869"/>
      <c r="O574" s="869"/>
      <c r="P574" s="869"/>
      <c r="Q574" s="869"/>
      <c r="R574" s="869"/>
      <c r="S574" s="869"/>
      <c r="T574" s="869"/>
      <c r="U574" s="869"/>
      <c r="V574" s="869"/>
      <c r="W574" s="869"/>
      <c r="X574" s="869"/>
      <c r="Y574" s="869"/>
      <c r="Z574" s="869"/>
    </row>
    <row r="575">
      <c r="A575" s="869"/>
      <c r="B575" s="869"/>
      <c r="C575" s="869"/>
      <c r="D575" s="869"/>
      <c r="E575" s="869"/>
      <c r="F575" s="869"/>
      <c r="G575" s="869"/>
      <c r="H575" s="869"/>
      <c r="I575" s="869"/>
      <c r="J575" s="869"/>
      <c r="K575" s="869"/>
      <c r="L575" s="869"/>
      <c r="M575" s="869"/>
      <c r="N575" s="869"/>
      <c r="O575" s="869"/>
      <c r="P575" s="869"/>
      <c r="Q575" s="869"/>
      <c r="R575" s="869"/>
      <c r="S575" s="869"/>
      <c r="T575" s="869"/>
      <c r="U575" s="869"/>
      <c r="V575" s="869"/>
      <c r="W575" s="869"/>
      <c r="X575" s="869"/>
      <c r="Y575" s="869"/>
      <c r="Z575" s="869"/>
    </row>
    <row r="576">
      <c r="A576" s="869"/>
      <c r="B576" s="869"/>
      <c r="C576" s="869"/>
      <c r="D576" s="869"/>
      <c r="E576" s="869"/>
      <c r="F576" s="869"/>
      <c r="G576" s="869"/>
      <c r="H576" s="869"/>
      <c r="I576" s="869"/>
      <c r="J576" s="869"/>
      <c r="K576" s="869"/>
      <c r="L576" s="869"/>
      <c r="M576" s="869"/>
      <c r="N576" s="869"/>
      <c r="O576" s="869"/>
      <c r="P576" s="869"/>
      <c r="Q576" s="869"/>
      <c r="R576" s="869"/>
      <c r="S576" s="869"/>
      <c r="T576" s="869"/>
      <c r="U576" s="869"/>
      <c r="V576" s="869"/>
      <c r="W576" s="869"/>
      <c r="X576" s="869"/>
      <c r="Y576" s="869"/>
      <c r="Z576" s="869"/>
    </row>
    <row r="577">
      <c r="A577" s="869"/>
      <c r="B577" s="869"/>
      <c r="C577" s="869"/>
      <c r="D577" s="869"/>
      <c r="E577" s="869"/>
      <c r="F577" s="869"/>
      <c r="G577" s="869"/>
      <c r="H577" s="869"/>
      <c r="I577" s="869"/>
      <c r="J577" s="869"/>
      <c r="K577" s="869"/>
      <c r="L577" s="869"/>
      <c r="M577" s="869"/>
      <c r="N577" s="869"/>
      <c r="O577" s="869"/>
      <c r="P577" s="869"/>
      <c r="Q577" s="869"/>
      <c r="R577" s="869"/>
      <c r="S577" s="869"/>
      <c r="T577" s="869"/>
      <c r="U577" s="869"/>
      <c r="V577" s="869"/>
      <c r="W577" s="869"/>
      <c r="X577" s="869"/>
      <c r="Y577" s="869"/>
      <c r="Z577" s="869"/>
    </row>
    <row r="578">
      <c r="A578" s="869"/>
      <c r="B578" s="869"/>
      <c r="C578" s="869"/>
      <c r="D578" s="869"/>
      <c r="E578" s="869"/>
      <c r="F578" s="869"/>
      <c r="G578" s="869"/>
      <c r="H578" s="869"/>
      <c r="I578" s="869"/>
      <c r="J578" s="869"/>
      <c r="K578" s="869"/>
      <c r="L578" s="869"/>
      <c r="M578" s="869"/>
      <c r="N578" s="869"/>
      <c r="O578" s="869"/>
      <c r="P578" s="869"/>
      <c r="Q578" s="869"/>
      <c r="R578" s="869"/>
      <c r="S578" s="869"/>
      <c r="T578" s="869"/>
      <c r="U578" s="869"/>
      <c r="V578" s="869"/>
      <c r="W578" s="869"/>
      <c r="X578" s="869"/>
      <c r="Y578" s="869"/>
      <c r="Z578" s="869"/>
    </row>
    <row r="579">
      <c r="A579" s="869"/>
      <c r="B579" s="869"/>
      <c r="C579" s="869"/>
      <c r="D579" s="869"/>
      <c r="E579" s="869"/>
      <c r="F579" s="869"/>
      <c r="G579" s="869"/>
      <c r="H579" s="869"/>
      <c r="I579" s="869"/>
      <c r="J579" s="869"/>
      <c r="K579" s="869"/>
      <c r="L579" s="869"/>
      <c r="M579" s="869"/>
      <c r="N579" s="869"/>
      <c r="O579" s="869"/>
      <c r="P579" s="869"/>
      <c r="Q579" s="869"/>
      <c r="R579" s="869"/>
      <c r="S579" s="869"/>
      <c r="T579" s="869"/>
      <c r="U579" s="869"/>
      <c r="V579" s="869"/>
      <c r="W579" s="869"/>
      <c r="X579" s="869"/>
      <c r="Y579" s="869"/>
      <c r="Z579" s="869"/>
    </row>
    <row r="580">
      <c r="A580" s="869"/>
      <c r="B580" s="869"/>
      <c r="C580" s="869"/>
      <c r="D580" s="869"/>
      <c r="E580" s="869"/>
      <c r="F580" s="869"/>
      <c r="G580" s="869"/>
      <c r="H580" s="869"/>
      <c r="I580" s="869"/>
      <c r="J580" s="869"/>
      <c r="K580" s="869"/>
      <c r="L580" s="869"/>
      <c r="M580" s="869"/>
      <c r="N580" s="869"/>
      <c r="O580" s="869"/>
      <c r="P580" s="869"/>
      <c r="Q580" s="869"/>
      <c r="R580" s="869"/>
      <c r="S580" s="869"/>
      <c r="T580" s="869"/>
      <c r="U580" s="869"/>
      <c r="V580" s="869"/>
      <c r="W580" s="869"/>
      <c r="X580" s="869"/>
      <c r="Y580" s="869"/>
      <c r="Z580" s="869"/>
    </row>
    <row r="581">
      <c r="A581" s="869"/>
      <c r="B581" s="869"/>
      <c r="C581" s="869"/>
      <c r="D581" s="869"/>
      <c r="E581" s="869"/>
      <c r="F581" s="869"/>
      <c r="G581" s="869"/>
      <c r="H581" s="869"/>
      <c r="I581" s="869"/>
      <c r="J581" s="869"/>
      <c r="K581" s="869"/>
      <c r="L581" s="869"/>
      <c r="M581" s="869"/>
      <c r="N581" s="869"/>
      <c r="O581" s="869"/>
      <c r="P581" s="869"/>
      <c r="Q581" s="869"/>
      <c r="R581" s="869"/>
      <c r="S581" s="869"/>
      <c r="T581" s="869"/>
      <c r="U581" s="869"/>
      <c r="V581" s="869"/>
      <c r="W581" s="869"/>
      <c r="X581" s="869"/>
      <c r="Y581" s="869"/>
      <c r="Z581" s="869"/>
    </row>
    <row r="582">
      <c r="A582" s="869"/>
      <c r="B582" s="869"/>
      <c r="C582" s="869"/>
      <c r="D582" s="869"/>
      <c r="E582" s="869"/>
      <c r="F582" s="869"/>
      <c r="G582" s="869"/>
      <c r="H582" s="869"/>
      <c r="I582" s="869"/>
      <c r="J582" s="869"/>
      <c r="K582" s="869"/>
      <c r="L582" s="869"/>
      <c r="M582" s="869"/>
      <c r="N582" s="869"/>
      <c r="O582" s="869"/>
      <c r="P582" s="869"/>
      <c r="Q582" s="869"/>
      <c r="R582" s="869"/>
      <c r="S582" s="869"/>
      <c r="T582" s="869"/>
      <c r="U582" s="869"/>
      <c r="V582" s="869"/>
      <c r="W582" s="869"/>
      <c r="X582" s="869"/>
      <c r="Y582" s="869"/>
      <c r="Z582" s="869"/>
    </row>
    <row r="583">
      <c r="A583" s="869"/>
      <c r="B583" s="869"/>
      <c r="C583" s="869"/>
      <c r="D583" s="869"/>
      <c r="E583" s="869"/>
      <c r="F583" s="869"/>
      <c r="G583" s="869"/>
      <c r="H583" s="869"/>
      <c r="I583" s="869"/>
      <c r="J583" s="869"/>
      <c r="K583" s="869"/>
      <c r="L583" s="869"/>
      <c r="M583" s="869"/>
      <c r="N583" s="869"/>
      <c r="O583" s="869"/>
      <c r="P583" s="869"/>
      <c r="Q583" s="869"/>
      <c r="R583" s="869"/>
      <c r="S583" s="869"/>
      <c r="T583" s="869"/>
      <c r="U583" s="869"/>
      <c r="V583" s="869"/>
      <c r="W583" s="869"/>
      <c r="X583" s="869"/>
      <c r="Y583" s="869"/>
      <c r="Z583" s="869"/>
    </row>
    <row r="584">
      <c r="A584" s="869"/>
      <c r="B584" s="869"/>
      <c r="C584" s="869"/>
      <c r="D584" s="869"/>
      <c r="E584" s="869"/>
      <c r="F584" s="869"/>
      <c r="G584" s="869"/>
      <c r="H584" s="869"/>
      <c r="I584" s="869"/>
      <c r="J584" s="869"/>
      <c r="K584" s="869"/>
      <c r="L584" s="869"/>
      <c r="M584" s="869"/>
      <c r="N584" s="869"/>
      <c r="O584" s="869"/>
      <c r="P584" s="869"/>
      <c r="Q584" s="869"/>
      <c r="R584" s="869"/>
      <c r="S584" s="869"/>
      <c r="T584" s="869"/>
      <c r="U584" s="869"/>
      <c r="V584" s="869"/>
      <c r="W584" s="869"/>
      <c r="X584" s="869"/>
      <c r="Y584" s="869"/>
      <c r="Z584" s="869"/>
    </row>
    <row r="585">
      <c r="A585" s="869"/>
      <c r="B585" s="869"/>
      <c r="C585" s="869"/>
      <c r="D585" s="869"/>
      <c r="E585" s="869"/>
      <c r="F585" s="869"/>
      <c r="G585" s="869"/>
      <c r="H585" s="869"/>
      <c r="I585" s="869"/>
      <c r="J585" s="869"/>
      <c r="K585" s="869"/>
      <c r="L585" s="869"/>
      <c r="M585" s="869"/>
      <c r="N585" s="869"/>
      <c r="O585" s="869"/>
      <c r="P585" s="869"/>
      <c r="Q585" s="869"/>
      <c r="R585" s="869"/>
      <c r="S585" s="869"/>
      <c r="T585" s="869"/>
      <c r="U585" s="869"/>
      <c r="V585" s="869"/>
      <c r="W585" s="869"/>
      <c r="X585" s="869"/>
      <c r="Y585" s="869"/>
      <c r="Z585" s="869"/>
    </row>
    <row r="586">
      <c r="A586" s="869"/>
      <c r="B586" s="869"/>
      <c r="C586" s="869"/>
      <c r="D586" s="869"/>
      <c r="E586" s="869"/>
      <c r="F586" s="869"/>
      <c r="G586" s="869"/>
      <c r="H586" s="869"/>
      <c r="I586" s="869"/>
      <c r="J586" s="869"/>
      <c r="K586" s="869"/>
      <c r="L586" s="869"/>
      <c r="M586" s="869"/>
      <c r="N586" s="869"/>
      <c r="O586" s="869"/>
      <c r="P586" s="869"/>
      <c r="Q586" s="869"/>
      <c r="R586" s="869"/>
      <c r="S586" s="869"/>
      <c r="T586" s="869"/>
      <c r="U586" s="869"/>
      <c r="V586" s="869"/>
      <c r="W586" s="869"/>
      <c r="X586" s="869"/>
      <c r="Y586" s="869"/>
      <c r="Z586" s="869"/>
    </row>
    <row r="587">
      <c r="A587" s="869"/>
      <c r="B587" s="869"/>
      <c r="C587" s="869"/>
      <c r="D587" s="869"/>
      <c r="E587" s="869"/>
      <c r="F587" s="869"/>
      <c r="G587" s="869"/>
      <c r="H587" s="869"/>
      <c r="I587" s="869"/>
      <c r="J587" s="869"/>
      <c r="K587" s="869"/>
      <c r="L587" s="869"/>
      <c r="M587" s="869"/>
      <c r="N587" s="869"/>
      <c r="O587" s="869"/>
      <c r="P587" s="869"/>
      <c r="Q587" s="869"/>
      <c r="R587" s="869"/>
      <c r="S587" s="869"/>
      <c r="T587" s="869"/>
      <c r="U587" s="869"/>
      <c r="V587" s="869"/>
      <c r="W587" s="869"/>
      <c r="X587" s="869"/>
      <c r="Y587" s="869"/>
      <c r="Z587" s="869"/>
    </row>
    <row r="588">
      <c r="A588" s="869"/>
      <c r="B588" s="869"/>
      <c r="C588" s="869"/>
      <c r="D588" s="869"/>
      <c r="E588" s="869"/>
      <c r="F588" s="869"/>
      <c r="G588" s="869"/>
      <c r="H588" s="869"/>
      <c r="I588" s="869"/>
      <c r="J588" s="869"/>
      <c r="K588" s="869"/>
      <c r="L588" s="869"/>
      <c r="M588" s="869"/>
      <c r="N588" s="869"/>
      <c r="O588" s="869"/>
      <c r="P588" s="869"/>
      <c r="Q588" s="869"/>
      <c r="R588" s="869"/>
      <c r="S588" s="869"/>
      <c r="T588" s="869"/>
      <c r="U588" s="869"/>
      <c r="V588" s="869"/>
      <c r="W588" s="869"/>
      <c r="X588" s="869"/>
      <c r="Y588" s="869"/>
      <c r="Z588" s="869"/>
    </row>
    <row r="589">
      <c r="A589" s="869"/>
      <c r="B589" s="869"/>
      <c r="C589" s="869"/>
      <c r="D589" s="869"/>
      <c r="E589" s="869"/>
      <c r="F589" s="869"/>
      <c r="G589" s="869"/>
      <c r="H589" s="869"/>
      <c r="I589" s="869"/>
      <c r="J589" s="869"/>
      <c r="K589" s="869"/>
      <c r="L589" s="869"/>
      <c r="M589" s="869"/>
      <c r="N589" s="869"/>
      <c r="O589" s="869"/>
      <c r="P589" s="869"/>
      <c r="Q589" s="869"/>
      <c r="R589" s="869"/>
      <c r="S589" s="869"/>
      <c r="T589" s="869"/>
      <c r="U589" s="869"/>
      <c r="V589" s="869"/>
      <c r="W589" s="869"/>
      <c r="X589" s="869"/>
      <c r="Y589" s="869"/>
      <c r="Z589" s="869"/>
    </row>
    <row r="590">
      <c r="A590" s="869"/>
      <c r="B590" s="869"/>
      <c r="C590" s="869"/>
      <c r="D590" s="869"/>
      <c r="E590" s="869"/>
      <c r="F590" s="869"/>
      <c r="G590" s="869"/>
      <c r="H590" s="869"/>
      <c r="I590" s="869"/>
      <c r="J590" s="869"/>
      <c r="K590" s="869"/>
      <c r="L590" s="869"/>
      <c r="M590" s="869"/>
      <c r="N590" s="869"/>
      <c r="O590" s="869"/>
      <c r="P590" s="869"/>
      <c r="Q590" s="869"/>
      <c r="R590" s="869"/>
      <c r="S590" s="869"/>
      <c r="T590" s="869"/>
      <c r="U590" s="869"/>
      <c r="V590" s="869"/>
      <c r="W590" s="869"/>
      <c r="X590" s="869"/>
      <c r="Y590" s="869"/>
      <c r="Z590" s="869"/>
    </row>
    <row r="591">
      <c r="A591" s="869"/>
      <c r="B591" s="869"/>
      <c r="C591" s="869"/>
      <c r="D591" s="869"/>
      <c r="E591" s="869"/>
      <c r="F591" s="869"/>
      <c r="G591" s="869"/>
      <c r="H591" s="869"/>
      <c r="I591" s="869"/>
      <c r="J591" s="869"/>
      <c r="K591" s="869"/>
      <c r="L591" s="869"/>
      <c r="M591" s="869"/>
      <c r="N591" s="869"/>
      <c r="O591" s="869"/>
      <c r="P591" s="869"/>
      <c r="Q591" s="869"/>
      <c r="R591" s="869"/>
      <c r="S591" s="869"/>
      <c r="T591" s="869"/>
      <c r="U591" s="869"/>
      <c r="V591" s="869"/>
      <c r="W591" s="869"/>
      <c r="X591" s="869"/>
      <c r="Y591" s="869"/>
      <c r="Z591" s="869"/>
    </row>
    <row r="592">
      <c r="A592" s="869"/>
      <c r="B592" s="869"/>
      <c r="C592" s="869"/>
      <c r="D592" s="869"/>
      <c r="E592" s="869"/>
      <c r="F592" s="869"/>
      <c r="G592" s="869"/>
      <c r="H592" s="869"/>
      <c r="I592" s="869"/>
      <c r="J592" s="869"/>
      <c r="K592" s="869"/>
      <c r="L592" s="869"/>
      <c r="M592" s="869"/>
      <c r="N592" s="869"/>
      <c r="O592" s="869"/>
      <c r="P592" s="869"/>
      <c r="Q592" s="869"/>
      <c r="R592" s="869"/>
      <c r="S592" s="869"/>
      <c r="T592" s="869"/>
      <c r="U592" s="869"/>
      <c r="V592" s="869"/>
      <c r="W592" s="869"/>
      <c r="X592" s="869"/>
      <c r="Y592" s="869"/>
      <c r="Z592" s="869"/>
    </row>
    <row r="593">
      <c r="A593" s="869"/>
      <c r="B593" s="869"/>
      <c r="C593" s="869"/>
      <c r="D593" s="869"/>
      <c r="E593" s="869"/>
      <c r="F593" s="869"/>
      <c r="G593" s="869"/>
      <c r="H593" s="869"/>
      <c r="I593" s="869"/>
      <c r="J593" s="869"/>
      <c r="K593" s="869"/>
      <c r="L593" s="869"/>
      <c r="M593" s="869"/>
      <c r="N593" s="869"/>
      <c r="O593" s="869"/>
      <c r="P593" s="869"/>
      <c r="Q593" s="869"/>
      <c r="R593" s="869"/>
      <c r="S593" s="869"/>
      <c r="T593" s="869"/>
      <c r="U593" s="869"/>
      <c r="V593" s="869"/>
      <c r="W593" s="869"/>
      <c r="X593" s="869"/>
      <c r="Y593" s="869"/>
      <c r="Z593" s="869"/>
    </row>
    <row r="594">
      <c r="A594" s="869"/>
      <c r="B594" s="869"/>
      <c r="C594" s="869"/>
      <c r="D594" s="869"/>
      <c r="E594" s="869"/>
      <c r="F594" s="869"/>
      <c r="G594" s="869"/>
      <c r="H594" s="869"/>
      <c r="I594" s="869"/>
      <c r="J594" s="869"/>
      <c r="K594" s="869"/>
      <c r="L594" s="869"/>
      <c r="M594" s="869"/>
      <c r="N594" s="869"/>
      <c r="O594" s="869"/>
      <c r="P594" s="869"/>
      <c r="Q594" s="869"/>
      <c r="R594" s="869"/>
      <c r="S594" s="869"/>
      <c r="T594" s="869"/>
      <c r="U594" s="869"/>
      <c r="V594" s="869"/>
      <c r="W594" s="869"/>
      <c r="X594" s="869"/>
      <c r="Y594" s="869"/>
      <c r="Z594" s="869"/>
    </row>
    <row r="595">
      <c r="A595" s="869"/>
      <c r="B595" s="869"/>
      <c r="C595" s="869"/>
      <c r="D595" s="869"/>
      <c r="E595" s="869"/>
      <c r="F595" s="869"/>
      <c r="G595" s="869"/>
      <c r="H595" s="869"/>
      <c r="I595" s="869"/>
      <c r="J595" s="869"/>
      <c r="K595" s="869"/>
      <c r="L595" s="869"/>
      <c r="M595" s="869"/>
      <c r="N595" s="869"/>
      <c r="O595" s="869"/>
      <c r="P595" s="869"/>
      <c r="Q595" s="869"/>
      <c r="R595" s="869"/>
      <c r="S595" s="869"/>
      <c r="T595" s="869"/>
      <c r="U595" s="869"/>
      <c r="V595" s="869"/>
      <c r="W595" s="869"/>
      <c r="X595" s="869"/>
      <c r="Y595" s="869"/>
      <c r="Z595" s="869"/>
    </row>
    <row r="596">
      <c r="A596" s="869"/>
      <c r="B596" s="869"/>
      <c r="C596" s="869"/>
      <c r="D596" s="869"/>
      <c r="E596" s="869"/>
      <c r="F596" s="869"/>
      <c r="G596" s="869"/>
      <c r="H596" s="869"/>
      <c r="I596" s="869"/>
      <c r="J596" s="869"/>
      <c r="K596" s="869"/>
      <c r="L596" s="869"/>
      <c r="M596" s="869"/>
      <c r="N596" s="869"/>
      <c r="O596" s="869"/>
      <c r="P596" s="869"/>
      <c r="Q596" s="869"/>
      <c r="R596" s="869"/>
      <c r="S596" s="869"/>
      <c r="T596" s="869"/>
      <c r="U596" s="869"/>
      <c r="V596" s="869"/>
      <c r="W596" s="869"/>
      <c r="X596" s="869"/>
      <c r="Y596" s="869"/>
      <c r="Z596" s="869"/>
    </row>
    <row r="597">
      <c r="A597" s="869"/>
      <c r="B597" s="869"/>
      <c r="C597" s="869"/>
      <c r="D597" s="869"/>
      <c r="E597" s="869"/>
      <c r="F597" s="869"/>
      <c r="G597" s="869"/>
      <c r="H597" s="869"/>
      <c r="I597" s="869"/>
      <c r="J597" s="869"/>
      <c r="K597" s="869"/>
      <c r="L597" s="869"/>
      <c r="M597" s="869"/>
      <c r="N597" s="869"/>
      <c r="O597" s="869"/>
      <c r="P597" s="869"/>
      <c r="Q597" s="869"/>
      <c r="R597" s="869"/>
      <c r="S597" s="869"/>
      <c r="T597" s="869"/>
      <c r="U597" s="869"/>
      <c r="V597" s="869"/>
      <c r="W597" s="869"/>
      <c r="X597" s="869"/>
      <c r="Y597" s="869"/>
      <c r="Z597" s="869"/>
    </row>
    <row r="598">
      <c r="A598" s="869"/>
      <c r="B598" s="869"/>
      <c r="C598" s="869"/>
      <c r="D598" s="869"/>
      <c r="E598" s="869"/>
      <c r="F598" s="869"/>
      <c r="G598" s="869"/>
      <c r="H598" s="869"/>
      <c r="I598" s="869"/>
      <c r="J598" s="869"/>
      <c r="K598" s="869"/>
      <c r="L598" s="869"/>
      <c r="M598" s="869"/>
      <c r="N598" s="869"/>
      <c r="O598" s="869"/>
      <c r="P598" s="869"/>
      <c r="Q598" s="869"/>
      <c r="R598" s="869"/>
      <c r="S598" s="869"/>
      <c r="T598" s="869"/>
      <c r="U598" s="869"/>
      <c r="V598" s="869"/>
      <c r="W598" s="869"/>
      <c r="X598" s="869"/>
      <c r="Y598" s="869"/>
      <c r="Z598" s="869"/>
    </row>
    <row r="599">
      <c r="A599" s="869"/>
      <c r="B599" s="869"/>
      <c r="C599" s="869"/>
      <c r="D599" s="869"/>
      <c r="E599" s="869"/>
      <c r="F599" s="869"/>
      <c r="G599" s="869"/>
      <c r="H599" s="869"/>
      <c r="I599" s="869"/>
      <c r="J599" s="869"/>
      <c r="K599" s="869"/>
      <c r="L599" s="869"/>
      <c r="M599" s="869"/>
      <c r="N599" s="869"/>
      <c r="O599" s="869"/>
      <c r="P599" s="869"/>
      <c r="Q599" s="869"/>
      <c r="R599" s="869"/>
      <c r="S599" s="869"/>
      <c r="T599" s="869"/>
      <c r="U599" s="869"/>
      <c r="V599" s="869"/>
      <c r="W599" s="869"/>
      <c r="X599" s="869"/>
      <c r="Y599" s="869"/>
      <c r="Z599" s="869"/>
    </row>
    <row r="600">
      <c r="A600" s="869"/>
      <c r="B600" s="869"/>
      <c r="C600" s="869"/>
      <c r="D600" s="869"/>
      <c r="E600" s="869"/>
      <c r="F600" s="869"/>
      <c r="G600" s="869"/>
      <c r="H600" s="869"/>
      <c r="I600" s="869"/>
      <c r="J600" s="869"/>
      <c r="K600" s="869"/>
      <c r="L600" s="869"/>
      <c r="M600" s="869"/>
      <c r="N600" s="869"/>
      <c r="O600" s="869"/>
      <c r="P600" s="869"/>
      <c r="Q600" s="869"/>
      <c r="R600" s="869"/>
      <c r="S600" s="869"/>
      <c r="T600" s="869"/>
      <c r="U600" s="869"/>
      <c r="V600" s="869"/>
      <c r="W600" s="869"/>
      <c r="X600" s="869"/>
      <c r="Y600" s="869"/>
      <c r="Z600" s="869"/>
    </row>
    <row r="601">
      <c r="A601" s="869"/>
      <c r="B601" s="869"/>
      <c r="C601" s="869"/>
      <c r="D601" s="869"/>
      <c r="E601" s="869"/>
      <c r="F601" s="869"/>
      <c r="G601" s="869"/>
      <c r="H601" s="869"/>
      <c r="I601" s="869"/>
      <c r="J601" s="869"/>
      <c r="K601" s="869"/>
      <c r="L601" s="869"/>
      <c r="M601" s="869"/>
      <c r="N601" s="869"/>
      <c r="O601" s="869"/>
      <c r="P601" s="869"/>
      <c r="Q601" s="869"/>
      <c r="R601" s="869"/>
      <c r="S601" s="869"/>
      <c r="T601" s="869"/>
      <c r="U601" s="869"/>
      <c r="V601" s="869"/>
      <c r="W601" s="869"/>
      <c r="X601" s="869"/>
      <c r="Y601" s="869"/>
      <c r="Z601" s="869"/>
    </row>
    <row r="602">
      <c r="A602" s="869"/>
      <c r="B602" s="869"/>
      <c r="C602" s="869"/>
      <c r="D602" s="869"/>
      <c r="E602" s="869"/>
      <c r="F602" s="869"/>
      <c r="G602" s="869"/>
      <c r="H602" s="869"/>
      <c r="I602" s="869"/>
      <c r="J602" s="869"/>
      <c r="K602" s="869"/>
      <c r="L602" s="869"/>
      <c r="M602" s="869"/>
      <c r="N602" s="869"/>
      <c r="O602" s="869"/>
      <c r="P602" s="869"/>
      <c r="Q602" s="869"/>
      <c r="R602" s="869"/>
      <c r="S602" s="869"/>
      <c r="T602" s="869"/>
      <c r="U602" s="869"/>
      <c r="V602" s="869"/>
      <c r="W602" s="869"/>
      <c r="X602" s="869"/>
      <c r="Y602" s="869"/>
      <c r="Z602" s="869"/>
    </row>
    <row r="603">
      <c r="A603" s="869"/>
      <c r="B603" s="869"/>
      <c r="C603" s="869"/>
      <c r="D603" s="869"/>
      <c r="E603" s="869"/>
      <c r="F603" s="869"/>
      <c r="G603" s="869"/>
      <c r="H603" s="869"/>
      <c r="I603" s="869"/>
      <c r="J603" s="869"/>
      <c r="K603" s="869"/>
      <c r="L603" s="869"/>
      <c r="M603" s="869"/>
      <c r="N603" s="869"/>
      <c r="O603" s="869"/>
      <c r="P603" s="869"/>
      <c r="Q603" s="869"/>
      <c r="R603" s="869"/>
      <c r="S603" s="869"/>
      <c r="T603" s="869"/>
      <c r="U603" s="869"/>
      <c r="V603" s="869"/>
      <c r="W603" s="869"/>
      <c r="X603" s="869"/>
      <c r="Y603" s="869"/>
      <c r="Z603" s="869"/>
    </row>
    <row r="604">
      <c r="A604" s="869"/>
      <c r="B604" s="869"/>
      <c r="C604" s="869"/>
      <c r="D604" s="869"/>
      <c r="E604" s="869"/>
      <c r="F604" s="869"/>
      <c r="G604" s="869"/>
      <c r="H604" s="869"/>
      <c r="I604" s="869"/>
      <c r="J604" s="869"/>
      <c r="K604" s="869"/>
      <c r="L604" s="869"/>
      <c r="M604" s="869"/>
      <c r="N604" s="869"/>
      <c r="O604" s="869"/>
      <c r="P604" s="869"/>
      <c r="Q604" s="869"/>
      <c r="R604" s="869"/>
      <c r="S604" s="869"/>
      <c r="T604" s="869"/>
      <c r="U604" s="869"/>
      <c r="V604" s="869"/>
      <c r="W604" s="869"/>
      <c r="X604" s="869"/>
      <c r="Y604" s="869"/>
      <c r="Z604" s="869"/>
    </row>
    <row r="605">
      <c r="A605" s="869"/>
      <c r="B605" s="869"/>
      <c r="C605" s="869"/>
      <c r="D605" s="869"/>
      <c r="E605" s="869"/>
      <c r="F605" s="869"/>
      <c r="G605" s="869"/>
      <c r="H605" s="869"/>
      <c r="I605" s="869"/>
      <c r="J605" s="869"/>
      <c r="K605" s="869"/>
      <c r="L605" s="869"/>
      <c r="M605" s="869"/>
      <c r="N605" s="869"/>
      <c r="O605" s="869"/>
      <c r="P605" s="869"/>
      <c r="Q605" s="869"/>
      <c r="R605" s="869"/>
      <c r="S605" s="869"/>
      <c r="T605" s="869"/>
      <c r="U605" s="869"/>
      <c r="V605" s="869"/>
      <c r="W605" s="869"/>
      <c r="X605" s="869"/>
      <c r="Y605" s="869"/>
      <c r="Z605" s="869"/>
    </row>
    <row r="606">
      <c r="A606" s="869"/>
      <c r="B606" s="869"/>
      <c r="C606" s="869"/>
      <c r="D606" s="869"/>
      <c r="E606" s="869"/>
      <c r="F606" s="869"/>
      <c r="G606" s="869"/>
      <c r="H606" s="869"/>
      <c r="I606" s="869"/>
      <c r="J606" s="869"/>
      <c r="K606" s="869"/>
      <c r="L606" s="869"/>
      <c r="M606" s="869"/>
      <c r="N606" s="869"/>
      <c r="O606" s="869"/>
      <c r="P606" s="869"/>
      <c r="Q606" s="869"/>
      <c r="R606" s="869"/>
      <c r="S606" s="869"/>
      <c r="T606" s="869"/>
      <c r="U606" s="869"/>
      <c r="V606" s="869"/>
      <c r="W606" s="869"/>
      <c r="X606" s="869"/>
      <c r="Y606" s="869"/>
      <c r="Z606" s="869"/>
    </row>
    <row r="607">
      <c r="A607" s="869"/>
      <c r="B607" s="869"/>
      <c r="C607" s="869"/>
      <c r="D607" s="869"/>
      <c r="E607" s="869"/>
      <c r="F607" s="869"/>
      <c r="G607" s="869"/>
      <c r="H607" s="869"/>
      <c r="I607" s="869"/>
      <c r="J607" s="869"/>
      <c r="K607" s="869"/>
      <c r="L607" s="869"/>
      <c r="M607" s="869"/>
      <c r="N607" s="869"/>
      <c r="O607" s="869"/>
      <c r="P607" s="869"/>
      <c r="Q607" s="869"/>
      <c r="R607" s="869"/>
      <c r="S607" s="869"/>
      <c r="T607" s="869"/>
      <c r="U607" s="869"/>
      <c r="V607" s="869"/>
      <c r="W607" s="869"/>
      <c r="X607" s="869"/>
      <c r="Y607" s="869"/>
      <c r="Z607" s="869"/>
    </row>
    <row r="608">
      <c r="A608" s="869"/>
      <c r="B608" s="869"/>
      <c r="C608" s="869"/>
      <c r="D608" s="869"/>
      <c r="E608" s="869"/>
      <c r="F608" s="869"/>
      <c r="G608" s="869"/>
      <c r="H608" s="869"/>
      <c r="I608" s="869"/>
      <c r="J608" s="869"/>
      <c r="K608" s="869"/>
      <c r="L608" s="869"/>
      <c r="M608" s="869"/>
      <c r="N608" s="869"/>
      <c r="O608" s="869"/>
      <c r="P608" s="869"/>
      <c r="Q608" s="869"/>
      <c r="R608" s="869"/>
      <c r="S608" s="869"/>
      <c r="T608" s="869"/>
      <c r="U608" s="869"/>
      <c r="V608" s="869"/>
      <c r="W608" s="869"/>
      <c r="X608" s="869"/>
      <c r="Y608" s="869"/>
      <c r="Z608" s="869"/>
    </row>
    <row r="609">
      <c r="A609" s="869"/>
      <c r="B609" s="869"/>
      <c r="C609" s="869"/>
      <c r="D609" s="869"/>
      <c r="E609" s="869"/>
      <c r="F609" s="869"/>
      <c r="G609" s="869"/>
      <c r="H609" s="869"/>
      <c r="I609" s="869"/>
      <c r="J609" s="869"/>
      <c r="K609" s="869"/>
      <c r="L609" s="869"/>
      <c r="M609" s="869"/>
      <c r="N609" s="869"/>
      <c r="O609" s="869"/>
      <c r="P609" s="869"/>
      <c r="Q609" s="869"/>
      <c r="R609" s="869"/>
      <c r="S609" s="869"/>
      <c r="T609" s="869"/>
      <c r="U609" s="869"/>
      <c r="V609" s="869"/>
      <c r="W609" s="869"/>
      <c r="X609" s="869"/>
      <c r="Y609" s="869"/>
      <c r="Z609" s="869"/>
    </row>
    <row r="610">
      <c r="A610" s="869"/>
      <c r="B610" s="869"/>
      <c r="C610" s="869"/>
      <c r="D610" s="869"/>
      <c r="E610" s="869"/>
      <c r="F610" s="869"/>
      <c r="G610" s="869"/>
      <c r="H610" s="869"/>
      <c r="I610" s="869"/>
      <c r="J610" s="869"/>
      <c r="K610" s="869"/>
      <c r="L610" s="869"/>
      <c r="M610" s="869"/>
      <c r="N610" s="869"/>
      <c r="O610" s="869"/>
      <c r="P610" s="869"/>
      <c r="Q610" s="869"/>
      <c r="R610" s="869"/>
      <c r="S610" s="869"/>
      <c r="T610" s="869"/>
      <c r="U610" s="869"/>
      <c r="V610" s="869"/>
      <c r="W610" s="869"/>
      <c r="X610" s="869"/>
      <c r="Y610" s="869"/>
      <c r="Z610" s="869"/>
    </row>
    <row r="611">
      <c r="A611" s="869"/>
      <c r="B611" s="869"/>
      <c r="C611" s="869"/>
      <c r="D611" s="869"/>
      <c r="E611" s="869"/>
      <c r="F611" s="869"/>
      <c r="G611" s="869"/>
      <c r="H611" s="869"/>
      <c r="I611" s="869"/>
      <c r="J611" s="869"/>
      <c r="K611" s="869"/>
      <c r="L611" s="869"/>
      <c r="M611" s="869"/>
      <c r="N611" s="869"/>
      <c r="O611" s="869"/>
      <c r="P611" s="869"/>
      <c r="Q611" s="869"/>
      <c r="R611" s="869"/>
      <c r="S611" s="869"/>
      <c r="T611" s="869"/>
      <c r="U611" s="869"/>
      <c r="V611" s="869"/>
      <c r="W611" s="869"/>
      <c r="X611" s="869"/>
      <c r="Y611" s="869"/>
      <c r="Z611" s="869"/>
    </row>
    <row r="612">
      <c r="A612" s="869"/>
      <c r="B612" s="869"/>
      <c r="C612" s="869"/>
      <c r="D612" s="869"/>
      <c r="E612" s="869"/>
      <c r="F612" s="869"/>
      <c r="G612" s="869"/>
      <c r="H612" s="869"/>
      <c r="I612" s="869"/>
      <c r="J612" s="869"/>
      <c r="K612" s="869"/>
      <c r="L612" s="869"/>
      <c r="M612" s="869"/>
      <c r="N612" s="869"/>
      <c r="O612" s="869"/>
      <c r="P612" s="869"/>
      <c r="Q612" s="869"/>
      <c r="R612" s="869"/>
      <c r="S612" s="869"/>
      <c r="T612" s="869"/>
      <c r="U612" s="869"/>
      <c r="V612" s="869"/>
      <c r="W612" s="869"/>
      <c r="X612" s="869"/>
      <c r="Y612" s="869"/>
      <c r="Z612" s="869"/>
    </row>
    <row r="613">
      <c r="A613" s="869"/>
      <c r="B613" s="869"/>
      <c r="C613" s="869"/>
      <c r="D613" s="869"/>
      <c r="E613" s="869"/>
      <c r="F613" s="869"/>
      <c r="G613" s="869"/>
      <c r="H613" s="869"/>
      <c r="I613" s="869"/>
      <c r="J613" s="869"/>
      <c r="K613" s="869"/>
      <c r="L613" s="869"/>
      <c r="M613" s="869"/>
      <c r="N613" s="869"/>
      <c r="O613" s="869"/>
      <c r="P613" s="869"/>
      <c r="Q613" s="869"/>
      <c r="R613" s="869"/>
      <c r="S613" s="869"/>
      <c r="T613" s="869"/>
      <c r="U613" s="869"/>
      <c r="V613" s="869"/>
      <c r="W613" s="869"/>
      <c r="X613" s="869"/>
      <c r="Y613" s="869"/>
      <c r="Z613" s="869"/>
    </row>
    <row r="614">
      <c r="A614" s="869"/>
      <c r="B614" s="869"/>
      <c r="C614" s="869"/>
      <c r="D614" s="869"/>
      <c r="E614" s="869"/>
      <c r="F614" s="869"/>
      <c r="G614" s="869"/>
      <c r="H614" s="869"/>
      <c r="I614" s="869"/>
      <c r="J614" s="869"/>
      <c r="K614" s="869"/>
      <c r="L614" s="869"/>
      <c r="M614" s="869"/>
      <c r="N614" s="869"/>
      <c r="O614" s="869"/>
      <c r="P614" s="869"/>
      <c r="Q614" s="869"/>
      <c r="R614" s="869"/>
      <c r="S614" s="869"/>
      <c r="T614" s="869"/>
      <c r="U614" s="869"/>
      <c r="V614" s="869"/>
      <c r="W614" s="869"/>
      <c r="X614" s="869"/>
      <c r="Y614" s="869"/>
      <c r="Z614" s="869"/>
    </row>
    <row r="615">
      <c r="A615" s="869"/>
      <c r="B615" s="869"/>
      <c r="C615" s="869"/>
      <c r="D615" s="869"/>
      <c r="E615" s="869"/>
      <c r="F615" s="869"/>
      <c r="G615" s="869"/>
      <c r="H615" s="869"/>
      <c r="I615" s="869"/>
      <c r="J615" s="869"/>
      <c r="K615" s="869"/>
      <c r="L615" s="869"/>
      <c r="M615" s="869"/>
      <c r="N615" s="869"/>
      <c r="O615" s="869"/>
      <c r="P615" s="869"/>
      <c r="Q615" s="869"/>
      <c r="R615" s="869"/>
      <c r="S615" s="869"/>
      <c r="T615" s="869"/>
      <c r="U615" s="869"/>
      <c r="V615" s="869"/>
      <c r="W615" s="869"/>
      <c r="X615" s="869"/>
      <c r="Y615" s="869"/>
      <c r="Z615" s="869"/>
    </row>
    <row r="616">
      <c r="A616" s="869"/>
      <c r="B616" s="869"/>
      <c r="C616" s="869"/>
      <c r="D616" s="869"/>
      <c r="E616" s="869"/>
      <c r="F616" s="869"/>
      <c r="G616" s="869"/>
      <c r="H616" s="869"/>
      <c r="I616" s="869"/>
      <c r="J616" s="869"/>
      <c r="K616" s="869"/>
      <c r="L616" s="869"/>
      <c r="M616" s="869"/>
      <c r="N616" s="869"/>
      <c r="O616" s="869"/>
      <c r="P616" s="869"/>
      <c r="Q616" s="869"/>
      <c r="R616" s="869"/>
      <c r="S616" s="869"/>
      <c r="T616" s="869"/>
      <c r="U616" s="869"/>
      <c r="V616" s="869"/>
      <c r="W616" s="869"/>
      <c r="X616" s="869"/>
      <c r="Y616" s="869"/>
      <c r="Z616" s="869"/>
    </row>
    <row r="617">
      <c r="A617" s="869"/>
      <c r="B617" s="869"/>
      <c r="C617" s="869"/>
      <c r="D617" s="869"/>
      <c r="E617" s="869"/>
      <c r="F617" s="869"/>
      <c r="G617" s="869"/>
      <c r="H617" s="869"/>
      <c r="I617" s="869"/>
      <c r="J617" s="869"/>
      <c r="K617" s="869"/>
      <c r="L617" s="869"/>
      <c r="M617" s="869"/>
      <c r="N617" s="869"/>
      <c r="O617" s="869"/>
      <c r="P617" s="869"/>
      <c r="Q617" s="869"/>
      <c r="R617" s="869"/>
      <c r="S617" s="869"/>
      <c r="T617" s="869"/>
      <c r="U617" s="869"/>
      <c r="V617" s="869"/>
      <c r="W617" s="869"/>
      <c r="X617" s="869"/>
      <c r="Y617" s="869"/>
      <c r="Z617" s="869"/>
    </row>
    <row r="618">
      <c r="A618" s="869"/>
      <c r="B618" s="869"/>
      <c r="C618" s="869"/>
      <c r="D618" s="869"/>
      <c r="E618" s="869"/>
      <c r="F618" s="869"/>
      <c r="G618" s="869"/>
      <c r="H618" s="869"/>
      <c r="I618" s="869"/>
      <c r="J618" s="869"/>
      <c r="K618" s="869"/>
      <c r="L618" s="869"/>
      <c r="M618" s="869"/>
      <c r="N618" s="869"/>
      <c r="O618" s="869"/>
      <c r="P618" s="869"/>
      <c r="Q618" s="869"/>
      <c r="R618" s="869"/>
      <c r="S618" s="869"/>
      <c r="T618" s="869"/>
      <c r="U618" s="869"/>
      <c r="V618" s="869"/>
      <c r="W618" s="869"/>
      <c r="X618" s="869"/>
      <c r="Y618" s="869"/>
      <c r="Z618" s="869"/>
    </row>
    <row r="619">
      <c r="A619" s="869"/>
      <c r="B619" s="869"/>
      <c r="C619" s="869"/>
      <c r="D619" s="869"/>
      <c r="E619" s="869"/>
      <c r="F619" s="869"/>
      <c r="G619" s="869"/>
      <c r="H619" s="869"/>
      <c r="I619" s="869"/>
      <c r="J619" s="869"/>
      <c r="K619" s="869"/>
      <c r="L619" s="869"/>
      <c r="M619" s="869"/>
      <c r="N619" s="869"/>
      <c r="O619" s="869"/>
      <c r="P619" s="869"/>
      <c r="Q619" s="869"/>
      <c r="R619" s="869"/>
      <c r="S619" s="869"/>
      <c r="T619" s="869"/>
      <c r="U619" s="869"/>
      <c r="V619" s="869"/>
      <c r="W619" s="869"/>
      <c r="X619" s="869"/>
      <c r="Y619" s="869"/>
      <c r="Z619" s="869"/>
    </row>
    <row r="620">
      <c r="A620" s="869"/>
      <c r="B620" s="869"/>
      <c r="C620" s="869"/>
      <c r="D620" s="869"/>
      <c r="E620" s="869"/>
      <c r="F620" s="869"/>
      <c r="G620" s="869"/>
      <c r="H620" s="869"/>
      <c r="I620" s="869"/>
      <c r="J620" s="869"/>
      <c r="K620" s="869"/>
      <c r="L620" s="869"/>
      <c r="M620" s="869"/>
      <c r="N620" s="869"/>
      <c r="O620" s="869"/>
      <c r="P620" s="869"/>
      <c r="Q620" s="869"/>
      <c r="R620" s="869"/>
      <c r="S620" s="869"/>
      <c r="T620" s="869"/>
      <c r="U620" s="869"/>
      <c r="V620" s="869"/>
      <c r="W620" s="869"/>
      <c r="X620" s="869"/>
      <c r="Y620" s="869"/>
      <c r="Z620" s="869"/>
    </row>
    <row r="621">
      <c r="A621" s="869"/>
      <c r="B621" s="869"/>
      <c r="C621" s="869"/>
      <c r="D621" s="869"/>
      <c r="E621" s="869"/>
      <c r="F621" s="869"/>
      <c r="G621" s="869"/>
      <c r="H621" s="869"/>
      <c r="I621" s="869"/>
      <c r="J621" s="869"/>
      <c r="K621" s="869"/>
      <c r="L621" s="869"/>
      <c r="M621" s="869"/>
      <c r="N621" s="869"/>
      <c r="O621" s="869"/>
      <c r="P621" s="869"/>
      <c r="Q621" s="869"/>
      <c r="R621" s="869"/>
      <c r="S621" s="869"/>
      <c r="T621" s="869"/>
      <c r="U621" s="869"/>
      <c r="V621" s="869"/>
      <c r="W621" s="869"/>
      <c r="X621" s="869"/>
      <c r="Y621" s="869"/>
      <c r="Z621" s="869"/>
    </row>
    <row r="622">
      <c r="A622" s="869"/>
      <c r="B622" s="869"/>
      <c r="C622" s="869"/>
      <c r="D622" s="869"/>
      <c r="E622" s="869"/>
      <c r="F622" s="869"/>
      <c r="G622" s="869"/>
      <c r="H622" s="869"/>
      <c r="I622" s="869"/>
      <c r="J622" s="869"/>
      <c r="K622" s="869"/>
      <c r="L622" s="869"/>
      <c r="M622" s="869"/>
      <c r="N622" s="869"/>
      <c r="O622" s="869"/>
      <c r="P622" s="869"/>
      <c r="Q622" s="869"/>
      <c r="R622" s="869"/>
      <c r="S622" s="869"/>
      <c r="T622" s="869"/>
      <c r="U622" s="869"/>
      <c r="V622" s="869"/>
      <c r="W622" s="869"/>
      <c r="X622" s="869"/>
      <c r="Y622" s="869"/>
      <c r="Z622" s="869"/>
    </row>
    <row r="623">
      <c r="A623" s="869"/>
      <c r="B623" s="869"/>
      <c r="C623" s="869"/>
      <c r="D623" s="869"/>
      <c r="E623" s="869"/>
      <c r="F623" s="869"/>
      <c r="G623" s="869"/>
      <c r="H623" s="869"/>
      <c r="I623" s="869"/>
      <c r="J623" s="869"/>
      <c r="K623" s="869"/>
      <c r="L623" s="869"/>
      <c r="M623" s="869"/>
      <c r="N623" s="869"/>
      <c r="O623" s="869"/>
      <c r="P623" s="869"/>
      <c r="Q623" s="869"/>
      <c r="R623" s="869"/>
      <c r="S623" s="869"/>
      <c r="T623" s="869"/>
      <c r="U623" s="869"/>
      <c r="V623" s="869"/>
      <c r="W623" s="869"/>
      <c r="X623" s="869"/>
      <c r="Y623" s="869"/>
      <c r="Z623" s="869"/>
    </row>
    <row r="624">
      <c r="A624" s="869"/>
      <c r="B624" s="869"/>
      <c r="C624" s="869"/>
      <c r="D624" s="869"/>
      <c r="E624" s="869"/>
      <c r="F624" s="869"/>
      <c r="G624" s="869"/>
      <c r="H624" s="869"/>
      <c r="I624" s="869"/>
      <c r="J624" s="869"/>
      <c r="K624" s="869"/>
      <c r="L624" s="869"/>
      <c r="M624" s="869"/>
      <c r="N624" s="869"/>
      <c r="O624" s="869"/>
      <c r="P624" s="869"/>
      <c r="Q624" s="869"/>
      <c r="R624" s="869"/>
      <c r="S624" s="869"/>
      <c r="T624" s="869"/>
      <c r="U624" s="869"/>
      <c r="V624" s="869"/>
      <c r="W624" s="869"/>
      <c r="X624" s="869"/>
      <c r="Y624" s="869"/>
      <c r="Z624" s="869"/>
    </row>
    <row r="625">
      <c r="A625" s="869"/>
      <c r="B625" s="869"/>
      <c r="C625" s="869"/>
      <c r="D625" s="869"/>
      <c r="E625" s="869"/>
      <c r="F625" s="869"/>
      <c r="G625" s="869"/>
      <c r="H625" s="869"/>
      <c r="I625" s="869"/>
      <c r="J625" s="869"/>
      <c r="K625" s="869"/>
      <c r="L625" s="869"/>
      <c r="M625" s="869"/>
      <c r="N625" s="869"/>
      <c r="O625" s="869"/>
      <c r="P625" s="869"/>
      <c r="Q625" s="869"/>
      <c r="R625" s="869"/>
      <c r="S625" s="869"/>
      <c r="T625" s="869"/>
      <c r="U625" s="869"/>
      <c r="V625" s="869"/>
      <c r="W625" s="869"/>
      <c r="X625" s="869"/>
      <c r="Y625" s="869"/>
      <c r="Z625" s="869"/>
    </row>
    <row r="626">
      <c r="A626" s="869"/>
      <c r="B626" s="869"/>
      <c r="C626" s="869"/>
      <c r="D626" s="869"/>
      <c r="E626" s="869"/>
      <c r="F626" s="869"/>
      <c r="G626" s="869"/>
      <c r="H626" s="869"/>
      <c r="I626" s="869"/>
      <c r="J626" s="869"/>
      <c r="K626" s="869"/>
      <c r="L626" s="869"/>
      <c r="M626" s="869"/>
      <c r="N626" s="869"/>
      <c r="O626" s="869"/>
      <c r="P626" s="869"/>
      <c r="Q626" s="869"/>
      <c r="R626" s="869"/>
      <c r="S626" s="869"/>
      <c r="T626" s="869"/>
      <c r="U626" s="869"/>
      <c r="V626" s="869"/>
      <c r="W626" s="869"/>
      <c r="X626" s="869"/>
      <c r="Y626" s="869"/>
      <c r="Z626" s="869"/>
    </row>
    <row r="627">
      <c r="A627" s="869"/>
      <c r="B627" s="869"/>
      <c r="C627" s="869"/>
      <c r="D627" s="869"/>
      <c r="E627" s="869"/>
      <c r="F627" s="869"/>
      <c r="G627" s="869"/>
      <c r="H627" s="869"/>
      <c r="I627" s="869"/>
      <c r="J627" s="869"/>
      <c r="K627" s="869"/>
      <c r="L627" s="869"/>
      <c r="M627" s="869"/>
      <c r="N627" s="869"/>
      <c r="O627" s="869"/>
      <c r="P627" s="869"/>
      <c r="Q627" s="869"/>
      <c r="R627" s="869"/>
      <c r="S627" s="869"/>
      <c r="T627" s="869"/>
      <c r="U627" s="869"/>
      <c r="V627" s="869"/>
      <c r="W627" s="869"/>
      <c r="X627" s="869"/>
      <c r="Y627" s="869"/>
      <c r="Z627" s="869"/>
    </row>
    <row r="628">
      <c r="A628" s="869"/>
      <c r="B628" s="869"/>
      <c r="C628" s="869"/>
      <c r="D628" s="869"/>
      <c r="E628" s="869"/>
      <c r="F628" s="869"/>
      <c r="G628" s="869"/>
      <c r="H628" s="869"/>
      <c r="I628" s="869"/>
      <c r="J628" s="869"/>
      <c r="K628" s="869"/>
      <c r="L628" s="869"/>
      <c r="M628" s="869"/>
      <c r="N628" s="869"/>
      <c r="O628" s="869"/>
      <c r="P628" s="869"/>
      <c r="Q628" s="869"/>
      <c r="R628" s="869"/>
      <c r="S628" s="869"/>
      <c r="T628" s="869"/>
      <c r="U628" s="869"/>
      <c r="V628" s="869"/>
      <c r="W628" s="869"/>
      <c r="X628" s="869"/>
      <c r="Y628" s="869"/>
      <c r="Z628" s="869"/>
    </row>
    <row r="629">
      <c r="A629" s="869"/>
      <c r="B629" s="869"/>
      <c r="C629" s="869"/>
      <c r="D629" s="869"/>
      <c r="E629" s="869"/>
      <c r="F629" s="869"/>
      <c r="G629" s="869"/>
      <c r="H629" s="869"/>
      <c r="I629" s="869"/>
      <c r="J629" s="869"/>
      <c r="K629" s="869"/>
      <c r="L629" s="869"/>
      <c r="M629" s="869"/>
      <c r="N629" s="869"/>
      <c r="O629" s="869"/>
      <c r="P629" s="869"/>
      <c r="Q629" s="869"/>
      <c r="R629" s="869"/>
      <c r="S629" s="869"/>
      <c r="T629" s="869"/>
      <c r="U629" s="869"/>
      <c r="V629" s="869"/>
      <c r="W629" s="869"/>
      <c r="X629" s="869"/>
      <c r="Y629" s="869"/>
      <c r="Z629" s="869"/>
    </row>
    <row r="630">
      <c r="A630" s="869"/>
      <c r="B630" s="869"/>
      <c r="C630" s="869"/>
      <c r="D630" s="869"/>
      <c r="E630" s="869"/>
      <c r="F630" s="869"/>
      <c r="G630" s="869"/>
      <c r="H630" s="869"/>
      <c r="I630" s="869"/>
      <c r="J630" s="869"/>
      <c r="K630" s="869"/>
      <c r="L630" s="869"/>
      <c r="M630" s="869"/>
      <c r="N630" s="869"/>
      <c r="O630" s="869"/>
      <c r="P630" s="869"/>
      <c r="Q630" s="869"/>
      <c r="R630" s="869"/>
      <c r="S630" s="869"/>
      <c r="T630" s="869"/>
      <c r="U630" s="869"/>
      <c r="V630" s="869"/>
      <c r="W630" s="869"/>
      <c r="X630" s="869"/>
      <c r="Y630" s="869"/>
      <c r="Z630" s="869"/>
    </row>
    <row r="631">
      <c r="A631" s="869"/>
      <c r="B631" s="869"/>
      <c r="C631" s="869"/>
      <c r="D631" s="869"/>
      <c r="E631" s="869"/>
      <c r="F631" s="869"/>
      <c r="G631" s="869"/>
      <c r="H631" s="869"/>
      <c r="I631" s="869"/>
      <c r="J631" s="869"/>
      <c r="K631" s="869"/>
      <c r="L631" s="869"/>
      <c r="M631" s="869"/>
      <c r="N631" s="869"/>
      <c r="O631" s="869"/>
      <c r="P631" s="869"/>
      <c r="Q631" s="869"/>
      <c r="R631" s="869"/>
      <c r="S631" s="869"/>
      <c r="T631" s="869"/>
      <c r="U631" s="869"/>
      <c r="V631" s="869"/>
      <c r="W631" s="869"/>
      <c r="X631" s="869"/>
      <c r="Y631" s="869"/>
      <c r="Z631" s="869"/>
    </row>
    <row r="632">
      <c r="A632" s="869"/>
      <c r="B632" s="869"/>
      <c r="C632" s="869"/>
      <c r="D632" s="869"/>
      <c r="E632" s="869"/>
      <c r="F632" s="869"/>
      <c r="G632" s="869"/>
      <c r="H632" s="869"/>
      <c r="I632" s="869"/>
      <c r="J632" s="869"/>
      <c r="K632" s="869"/>
      <c r="L632" s="869"/>
      <c r="M632" s="869"/>
      <c r="N632" s="869"/>
      <c r="O632" s="869"/>
      <c r="P632" s="869"/>
      <c r="Q632" s="869"/>
      <c r="R632" s="869"/>
      <c r="S632" s="869"/>
      <c r="T632" s="869"/>
      <c r="U632" s="869"/>
      <c r="V632" s="869"/>
      <c r="W632" s="869"/>
      <c r="X632" s="869"/>
      <c r="Y632" s="869"/>
      <c r="Z632" s="869"/>
    </row>
    <row r="633">
      <c r="A633" s="869"/>
      <c r="B633" s="869"/>
      <c r="C633" s="869"/>
      <c r="D633" s="869"/>
      <c r="E633" s="869"/>
      <c r="F633" s="869"/>
      <c r="G633" s="869"/>
      <c r="H633" s="869"/>
      <c r="I633" s="869"/>
      <c r="J633" s="869"/>
      <c r="K633" s="869"/>
      <c r="L633" s="869"/>
      <c r="M633" s="869"/>
      <c r="N633" s="869"/>
      <c r="O633" s="869"/>
      <c r="P633" s="869"/>
      <c r="Q633" s="869"/>
      <c r="R633" s="869"/>
      <c r="S633" s="869"/>
      <c r="T633" s="869"/>
      <c r="U633" s="869"/>
      <c r="V633" s="869"/>
      <c r="W633" s="869"/>
      <c r="X633" s="869"/>
      <c r="Y633" s="869"/>
      <c r="Z633" s="869"/>
    </row>
    <row r="634">
      <c r="A634" s="869"/>
      <c r="B634" s="869"/>
      <c r="C634" s="869"/>
      <c r="D634" s="869"/>
      <c r="E634" s="869"/>
      <c r="F634" s="869"/>
      <c r="G634" s="869"/>
      <c r="H634" s="869"/>
      <c r="I634" s="869"/>
      <c r="J634" s="869"/>
      <c r="K634" s="869"/>
      <c r="L634" s="869"/>
      <c r="M634" s="869"/>
      <c r="N634" s="869"/>
      <c r="O634" s="869"/>
      <c r="P634" s="869"/>
      <c r="Q634" s="869"/>
      <c r="R634" s="869"/>
      <c r="S634" s="869"/>
      <c r="T634" s="869"/>
      <c r="U634" s="869"/>
      <c r="V634" s="869"/>
      <c r="W634" s="869"/>
      <c r="X634" s="869"/>
      <c r="Y634" s="869"/>
      <c r="Z634" s="869"/>
    </row>
    <row r="635">
      <c r="A635" s="869"/>
      <c r="B635" s="869"/>
      <c r="C635" s="869"/>
      <c r="D635" s="869"/>
      <c r="E635" s="869"/>
      <c r="F635" s="869"/>
      <c r="G635" s="869"/>
      <c r="H635" s="869"/>
      <c r="I635" s="869"/>
      <c r="J635" s="869"/>
      <c r="K635" s="869"/>
      <c r="L635" s="869"/>
      <c r="M635" s="869"/>
      <c r="N635" s="869"/>
      <c r="O635" s="869"/>
      <c r="P635" s="869"/>
      <c r="Q635" s="869"/>
      <c r="R635" s="869"/>
      <c r="S635" s="869"/>
      <c r="T635" s="869"/>
      <c r="U635" s="869"/>
      <c r="V635" s="869"/>
      <c r="W635" s="869"/>
      <c r="X635" s="869"/>
      <c r="Y635" s="869"/>
      <c r="Z635" s="869"/>
    </row>
    <row r="636">
      <c r="A636" s="869"/>
      <c r="B636" s="869"/>
      <c r="C636" s="869"/>
      <c r="D636" s="869"/>
      <c r="E636" s="869"/>
      <c r="F636" s="869"/>
      <c r="G636" s="869"/>
      <c r="H636" s="869"/>
      <c r="I636" s="869"/>
      <c r="J636" s="869"/>
      <c r="K636" s="869"/>
      <c r="L636" s="869"/>
      <c r="M636" s="869"/>
      <c r="N636" s="869"/>
      <c r="O636" s="869"/>
      <c r="P636" s="869"/>
      <c r="Q636" s="869"/>
      <c r="R636" s="869"/>
      <c r="S636" s="869"/>
      <c r="T636" s="869"/>
      <c r="U636" s="869"/>
      <c r="V636" s="869"/>
      <c r="W636" s="869"/>
      <c r="X636" s="869"/>
      <c r="Y636" s="869"/>
      <c r="Z636" s="869"/>
    </row>
    <row r="637">
      <c r="A637" s="869"/>
      <c r="B637" s="869"/>
      <c r="C637" s="869"/>
      <c r="D637" s="869"/>
      <c r="E637" s="869"/>
      <c r="F637" s="869"/>
      <c r="G637" s="869"/>
      <c r="H637" s="869"/>
      <c r="I637" s="869"/>
      <c r="J637" s="869"/>
      <c r="K637" s="869"/>
      <c r="L637" s="869"/>
      <c r="M637" s="869"/>
      <c r="N637" s="869"/>
      <c r="O637" s="869"/>
      <c r="P637" s="869"/>
      <c r="Q637" s="869"/>
      <c r="R637" s="869"/>
      <c r="S637" s="869"/>
      <c r="T637" s="869"/>
      <c r="U637" s="869"/>
      <c r="V637" s="869"/>
      <c r="W637" s="869"/>
      <c r="X637" s="869"/>
      <c r="Y637" s="869"/>
      <c r="Z637" s="869"/>
    </row>
    <row r="638">
      <c r="A638" s="869"/>
      <c r="B638" s="869"/>
      <c r="C638" s="869"/>
      <c r="D638" s="869"/>
      <c r="E638" s="869"/>
      <c r="F638" s="869"/>
      <c r="G638" s="869"/>
      <c r="H638" s="869"/>
      <c r="I638" s="869"/>
      <c r="J638" s="869"/>
      <c r="K638" s="869"/>
      <c r="L638" s="869"/>
      <c r="M638" s="869"/>
      <c r="N638" s="869"/>
      <c r="O638" s="869"/>
      <c r="P638" s="869"/>
      <c r="Q638" s="869"/>
      <c r="R638" s="869"/>
      <c r="S638" s="869"/>
      <c r="T638" s="869"/>
      <c r="U638" s="869"/>
      <c r="V638" s="869"/>
      <c r="W638" s="869"/>
      <c r="X638" s="869"/>
      <c r="Y638" s="869"/>
      <c r="Z638" s="869"/>
    </row>
    <row r="639">
      <c r="A639" s="869"/>
      <c r="B639" s="869"/>
      <c r="C639" s="869"/>
      <c r="D639" s="869"/>
      <c r="E639" s="869"/>
      <c r="F639" s="869"/>
      <c r="G639" s="869"/>
      <c r="H639" s="869"/>
      <c r="I639" s="869"/>
      <c r="J639" s="869"/>
      <c r="K639" s="869"/>
      <c r="L639" s="869"/>
      <c r="M639" s="869"/>
      <c r="N639" s="869"/>
      <c r="O639" s="869"/>
      <c r="P639" s="869"/>
      <c r="Q639" s="869"/>
      <c r="R639" s="869"/>
      <c r="S639" s="869"/>
      <c r="T639" s="869"/>
      <c r="U639" s="869"/>
      <c r="V639" s="869"/>
      <c r="W639" s="869"/>
      <c r="X639" s="869"/>
      <c r="Y639" s="869"/>
      <c r="Z639" s="869"/>
    </row>
    <row r="640">
      <c r="A640" s="869"/>
      <c r="B640" s="869"/>
      <c r="C640" s="869"/>
      <c r="D640" s="869"/>
      <c r="E640" s="869"/>
      <c r="F640" s="869"/>
      <c r="G640" s="869"/>
      <c r="H640" s="869"/>
      <c r="I640" s="869"/>
      <c r="J640" s="869"/>
      <c r="K640" s="869"/>
      <c r="L640" s="869"/>
      <c r="M640" s="869"/>
      <c r="N640" s="869"/>
      <c r="O640" s="869"/>
      <c r="P640" s="869"/>
      <c r="Q640" s="869"/>
      <c r="R640" s="869"/>
      <c r="S640" s="869"/>
      <c r="T640" s="869"/>
      <c r="U640" s="869"/>
      <c r="V640" s="869"/>
      <c r="W640" s="869"/>
      <c r="X640" s="869"/>
      <c r="Y640" s="869"/>
      <c r="Z640" s="869"/>
    </row>
    <row r="641">
      <c r="A641" s="869"/>
      <c r="B641" s="869"/>
      <c r="C641" s="869"/>
      <c r="D641" s="869"/>
      <c r="E641" s="869"/>
      <c r="F641" s="869"/>
      <c r="G641" s="869"/>
      <c r="H641" s="869"/>
      <c r="I641" s="869"/>
      <c r="J641" s="869"/>
      <c r="K641" s="869"/>
      <c r="L641" s="869"/>
      <c r="M641" s="869"/>
      <c r="N641" s="869"/>
      <c r="O641" s="869"/>
      <c r="P641" s="869"/>
      <c r="Q641" s="869"/>
      <c r="R641" s="869"/>
      <c r="S641" s="869"/>
      <c r="T641" s="869"/>
      <c r="U641" s="869"/>
      <c r="V641" s="869"/>
      <c r="W641" s="869"/>
      <c r="X641" s="869"/>
      <c r="Y641" s="869"/>
      <c r="Z641" s="869"/>
    </row>
    <row r="642">
      <c r="A642" s="869"/>
      <c r="B642" s="869"/>
      <c r="C642" s="869"/>
      <c r="D642" s="869"/>
      <c r="E642" s="869"/>
      <c r="F642" s="869"/>
      <c r="G642" s="869"/>
      <c r="H642" s="869"/>
      <c r="I642" s="869"/>
      <c r="J642" s="869"/>
      <c r="K642" s="869"/>
      <c r="L642" s="869"/>
      <c r="M642" s="869"/>
      <c r="N642" s="869"/>
      <c r="O642" s="869"/>
      <c r="P642" s="869"/>
      <c r="Q642" s="869"/>
      <c r="R642" s="869"/>
      <c r="S642" s="869"/>
      <c r="T642" s="869"/>
      <c r="U642" s="869"/>
      <c r="V642" s="869"/>
      <c r="W642" s="869"/>
      <c r="X642" s="869"/>
      <c r="Y642" s="869"/>
      <c r="Z642" s="869"/>
    </row>
    <row r="643">
      <c r="A643" s="869"/>
      <c r="B643" s="869"/>
      <c r="C643" s="869"/>
      <c r="D643" s="869"/>
      <c r="E643" s="869"/>
      <c r="F643" s="869"/>
      <c r="G643" s="869"/>
      <c r="H643" s="869"/>
      <c r="I643" s="869"/>
      <c r="J643" s="869"/>
      <c r="K643" s="869"/>
      <c r="L643" s="869"/>
      <c r="M643" s="869"/>
      <c r="N643" s="869"/>
      <c r="O643" s="869"/>
      <c r="P643" s="869"/>
      <c r="Q643" s="869"/>
      <c r="R643" s="869"/>
      <c r="S643" s="869"/>
      <c r="T643" s="869"/>
      <c r="U643" s="869"/>
      <c r="V643" s="869"/>
      <c r="W643" s="869"/>
      <c r="X643" s="869"/>
      <c r="Y643" s="869"/>
      <c r="Z643" s="869"/>
    </row>
    <row r="644">
      <c r="A644" s="869"/>
      <c r="B644" s="869"/>
      <c r="C644" s="869"/>
      <c r="D644" s="869"/>
      <c r="E644" s="869"/>
      <c r="F644" s="869"/>
      <c r="G644" s="869"/>
      <c r="H644" s="869"/>
      <c r="I644" s="869"/>
      <c r="J644" s="869"/>
      <c r="K644" s="869"/>
      <c r="L644" s="869"/>
      <c r="M644" s="869"/>
      <c r="N644" s="869"/>
      <c r="O644" s="869"/>
      <c r="P644" s="869"/>
      <c r="Q644" s="869"/>
      <c r="R644" s="869"/>
      <c r="S644" s="869"/>
      <c r="T644" s="869"/>
      <c r="U644" s="869"/>
      <c r="V644" s="869"/>
      <c r="W644" s="869"/>
      <c r="X644" s="869"/>
      <c r="Y644" s="869"/>
      <c r="Z644" s="869"/>
    </row>
    <row r="645">
      <c r="A645" s="869"/>
      <c r="B645" s="869"/>
      <c r="C645" s="869"/>
      <c r="D645" s="869"/>
      <c r="E645" s="869"/>
      <c r="F645" s="869"/>
      <c r="G645" s="869"/>
      <c r="H645" s="869"/>
      <c r="I645" s="869"/>
      <c r="J645" s="869"/>
      <c r="K645" s="869"/>
      <c r="L645" s="869"/>
      <c r="M645" s="869"/>
      <c r="N645" s="869"/>
      <c r="O645" s="869"/>
      <c r="P645" s="869"/>
      <c r="Q645" s="869"/>
      <c r="R645" s="869"/>
      <c r="S645" s="869"/>
      <c r="T645" s="869"/>
      <c r="U645" s="869"/>
      <c r="V645" s="869"/>
      <c r="W645" s="869"/>
      <c r="X645" s="869"/>
      <c r="Y645" s="869"/>
      <c r="Z645" s="869"/>
    </row>
    <row r="646">
      <c r="A646" s="869"/>
      <c r="B646" s="869"/>
      <c r="C646" s="869"/>
      <c r="D646" s="869"/>
      <c r="E646" s="869"/>
      <c r="F646" s="869"/>
      <c r="G646" s="869"/>
      <c r="H646" s="869"/>
      <c r="I646" s="869"/>
      <c r="J646" s="869"/>
      <c r="K646" s="869"/>
      <c r="L646" s="869"/>
      <c r="M646" s="869"/>
      <c r="N646" s="869"/>
      <c r="O646" s="869"/>
      <c r="P646" s="869"/>
      <c r="Q646" s="869"/>
      <c r="R646" s="869"/>
      <c r="S646" s="869"/>
      <c r="T646" s="869"/>
      <c r="U646" s="869"/>
      <c r="V646" s="869"/>
      <c r="W646" s="869"/>
      <c r="X646" s="869"/>
      <c r="Y646" s="869"/>
      <c r="Z646" s="869"/>
    </row>
    <row r="647">
      <c r="A647" s="869"/>
      <c r="B647" s="869"/>
      <c r="C647" s="869"/>
      <c r="D647" s="869"/>
      <c r="E647" s="869"/>
      <c r="F647" s="869"/>
      <c r="G647" s="869"/>
      <c r="H647" s="869"/>
      <c r="I647" s="869"/>
      <c r="J647" s="869"/>
      <c r="K647" s="869"/>
      <c r="L647" s="869"/>
      <c r="M647" s="869"/>
      <c r="N647" s="869"/>
      <c r="O647" s="869"/>
      <c r="P647" s="869"/>
      <c r="Q647" s="869"/>
      <c r="R647" s="869"/>
      <c r="S647" s="869"/>
      <c r="T647" s="869"/>
      <c r="U647" s="869"/>
      <c r="V647" s="869"/>
      <c r="W647" s="869"/>
      <c r="X647" s="869"/>
      <c r="Y647" s="869"/>
      <c r="Z647" s="869"/>
    </row>
    <row r="648">
      <c r="A648" s="869"/>
      <c r="B648" s="869"/>
      <c r="C648" s="869"/>
      <c r="D648" s="869"/>
      <c r="E648" s="869"/>
      <c r="F648" s="869"/>
      <c r="G648" s="869"/>
      <c r="H648" s="869"/>
      <c r="I648" s="869"/>
      <c r="J648" s="869"/>
      <c r="K648" s="869"/>
      <c r="L648" s="869"/>
      <c r="M648" s="869"/>
      <c r="N648" s="869"/>
      <c r="O648" s="869"/>
      <c r="P648" s="869"/>
      <c r="Q648" s="869"/>
      <c r="R648" s="869"/>
      <c r="S648" s="869"/>
      <c r="T648" s="869"/>
      <c r="U648" s="869"/>
      <c r="V648" s="869"/>
      <c r="W648" s="869"/>
      <c r="X648" s="869"/>
      <c r="Y648" s="869"/>
      <c r="Z648" s="869"/>
    </row>
    <row r="649">
      <c r="A649" s="869"/>
      <c r="B649" s="869"/>
      <c r="C649" s="869"/>
      <c r="D649" s="869"/>
      <c r="E649" s="869"/>
      <c r="F649" s="869"/>
      <c r="G649" s="869"/>
      <c r="H649" s="869"/>
      <c r="I649" s="869"/>
      <c r="J649" s="869"/>
      <c r="K649" s="869"/>
      <c r="L649" s="869"/>
      <c r="M649" s="869"/>
      <c r="N649" s="869"/>
      <c r="O649" s="869"/>
      <c r="P649" s="869"/>
      <c r="Q649" s="869"/>
      <c r="R649" s="869"/>
      <c r="S649" s="869"/>
      <c r="T649" s="869"/>
      <c r="U649" s="869"/>
      <c r="V649" s="869"/>
      <c r="W649" s="869"/>
      <c r="X649" s="869"/>
      <c r="Y649" s="869"/>
      <c r="Z649" s="869"/>
    </row>
    <row r="650">
      <c r="A650" s="869"/>
      <c r="B650" s="869"/>
      <c r="C650" s="869"/>
      <c r="D650" s="869"/>
      <c r="E650" s="869"/>
      <c r="F650" s="869"/>
      <c r="G650" s="869"/>
      <c r="H650" s="869"/>
      <c r="I650" s="869"/>
      <c r="J650" s="869"/>
      <c r="K650" s="869"/>
      <c r="L650" s="869"/>
      <c r="M650" s="869"/>
      <c r="N650" s="869"/>
      <c r="O650" s="869"/>
      <c r="P650" s="869"/>
      <c r="Q650" s="869"/>
      <c r="R650" s="869"/>
      <c r="S650" s="869"/>
      <c r="T650" s="869"/>
      <c r="U650" s="869"/>
      <c r="V650" s="869"/>
      <c r="W650" s="869"/>
      <c r="X650" s="869"/>
      <c r="Y650" s="869"/>
      <c r="Z650" s="869"/>
    </row>
    <row r="651">
      <c r="A651" s="869"/>
      <c r="B651" s="869"/>
      <c r="C651" s="869"/>
      <c r="D651" s="869"/>
      <c r="E651" s="869"/>
      <c r="F651" s="869"/>
      <c r="G651" s="869"/>
      <c r="H651" s="869"/>
      <c r="I651" s="869"/>
      <c r="J651" s="869"/>
      <c r="K651" s="869"/>
      <c r="L651" s="869"/>
      <c r="M651" s="869"/>
      <c r="N651" s="869"/>
      <c r="O651" s="869"/>
      <c r="P651" s="869"/>
      <c r="Q651" s="869"/>
      <c r="R651" s="869"/>
      <c r="S651" s="869"/>
      <c r="T651" s="869"/>
      <c r="U651" s="869"/>
      <c r="V651" s="869"/>
      <c r="W651" s="869"/>
      <c r="X651" s="869"/>
      <c r="Y651" s="869"/>
      <c r="Z651" s="869"/>
    </row>
    <row r="652">
      <c r="A652" s="869"/>
      <c r="B652" s="869"/>
      <c r="C652" s="869"/>
      <c r="D652" s="869"/>
      <c r="E652" s="869"/>
      <c r="F652" s="869"/>
      <c r="G652" s="869"/>
      <c r="H652" s="869"/>
      <c r="I652" s="869"/>
      <c r="J652" s="869"/>
      <c r="K652" s="869"/>
      <c r="L652" s="869"/>
      <c r="M652" s="869"/>
      <c r="N652" s="869"/>
      <c r="O652" s="869"/>
      <c r="P652" s="869"/>
      <c r="Q652" s="869"/>
      <c r="R652" s="869"/>
      <c r="S652" s="869"/>
      <c r="T652" s="869"/>
      <c r="U652" s="869"/>
      <c r="V652" s="869"/>
      <c r="W652" s="869"/>
      <c r="X652" s="869"/>
      <c r="Y652" s="869"/>
      <c r="Z652" s="869"/>
    </row>
    <row r="653">
      <c r="A653" s="869"/>
      <c r="B653" s="869"/>
      <c r="C653" s="869"/>
      <c r="D653" s="869"/>
      <c r="E653" s="869"/>
      <c r="F653" s="869"/>
      <c r="G653" s="869"/>
      <c r="H653" s="869"/>
      <c r="I653" s="869"/>
      <c r="J653" s="869"/>
      <c r="K653" s="869"/>
      <c r="L653" s="869"/>
      <c r="M653" s="869"/>
      <c r="N653" s="869"/>
      <c r="O653" s="869"/>
      <c r="P653" s="869"/>
      <c r="Q653" s="869"/>
      <c r="R653" s="869"/>
      <c r="S653" s="869"/>
      <c r="T653" s="869"/>
      <c r="U653" s="869"/>
      <c r="V653" s="869"/>
      <c r="W653" s="869"/>
      <c r="X653" s="869"/>
      <c r="Y653" s="869"/>
      <c r="Z653" s="869"/>
    </row>
    <row r="654">
      <c r="A654" s="869"/>
      <c r="B654" s="869"/>
      <c r="C654" s="869"/>
      <c r="D654" s="869"/>
      <c r="E654" s="869"/>
      <c r="F654" s="869"/>
      <c r="G654" s="869"/>
      <c r="H654" s="869"/>
      <c r="I654" s="869"/>
      <c r="J654" s="869"/>
      <c r="K654" s="869"/>
      <c r="L654" s="869"/>
      <c r="M654" s="869"/>
      <c r="N654" s="869"/>
      <c r="O654" s="869"/>
      <c r="P654" s="869"/>
      <c r="Q654" s="869"/>
      <c r="R654" s="869"/>
      <c r="S654" s="869"/>
      <c r="T654" s="869"/>
      <c r="U654" s="869"/>
      <c r="V654" s="869"/>
      <c r="W654" s="869"/>
      <c r="X654" s="869"/>
      <c r="Y654" s="869"/>
      <c r="Z654" s="869"/>
    </row>
    <row r="655">
      <c r="A655" s="869"/>
      <c r="B655" s="869"/>
      <c r="C655" s="869"/>
      <c r="D655" s="869"/>
      <c r="E655" s="869"/>
      <c r="F655" s="869"/>
      <c r="G655" s="869"/>
      <c r="H655" s="869"/>
      <c r="I655" s="869"/>
      <c r="J655" s="869"/>
      <c r="K655" s="869"/>
      <c r="L655" s="869"/>
      <c r="M655" s="869"/>
      <c r="N655" s="869"/>
      <c r="O655" s="869"/>
      <c r="P655" s="869"/>
      <c r="Q655" s="869"/>
      <c r="R655" s="869"/>
      <c r="S655" s="869"/>
      <c r="T655" s="869"/>
      <c r="U655" s="869"/>
      <c r="V655" s="869"/>
      <c r="W655" s="869"/>
      <c r="X655" s="869"/>
      <c r="Y655" s="869"/>
      <c r="Z655" s="869"/>
    </row>
    <row r="656">
      <c r="A656" s="869"/>
      <c r="B656" s="869"/>
      <c r="C656" s="869"/>
      <c r="D656" s="869"/>
      <c r="E656" s="869"/>
      <c r="F656" s="869"/>
      <c r="G656" s="869"/>
      <c r="H656" s="869"/>
      <c r="I656" s="869"/>
      <c r="J656" s="869"/>
      <c r="K656" s="869"/>
      <c r="L656" s="869"/>
      <c r="M656" s="869"/>
      <c r="N656" s="869"/>
      <c r="O656" s="869"/>
      <c r="P656" s="869"/>
      <c r="Q656" s="869"/>
      <c r="R656" s="869"/>
      <c r="S656" s="869"/>
      <c r="T656" s="869"/>
      <c r="U656" s="869"/>
      <c r="V656" s="869"/>
      <c r="W656" s="869"/>
      <c r="X656" s="869"/>
      <c r="Y656" s="869"/>
      <c r="Z656" s="869"/>
    </row>
    <row r="657">
      <c r="A657" s="869"/>
      <c r="B657" s="869"/>
      <c r="C657" s="869"/>
      <c r="D657" s="869"/>
      <c r="E657" s="869"/>
      <c r="F657" s="869"/>
      <c r="G657" s="869"/>
      <c r="H657" s="869"/>
      <c r="I657" s="869"/>
      <c r="J657" s="869"/>
      <c r="K657" s="869"/>
      <c r="L657" s="869"/>
      <c r="M657" s="869"/>
      <c r="N657" s="869"/>
      <c r="O657" s="869"/>
      <c r="P657" s="869"/>
      <c r="Q657" s="869"/>
      <c r="R657" s="869"/>
      <c r="S657" s="869"/>
      <c r="T657" s="869"/>
      <c r="U657" s="869"/>
      <c r="V657" s="869"/>
      <c r="W657" s="869"/>
      <c r="X657" s="869"/>
      <c r="Y657" s="869"/>
      <c r="Z657" s="869"/>
    </row>
    <row r="658">
      <c r="A658" s="869"/>
      <c r="B658" s="869"/>
      <c r="C658" s="869"/>
      <c r="D658" s="869"/>
      <c r="E658" s="869"/>
      <c r="F658" s="869"/>
      <c r="G658" s="869"/>
      <c r="H658" s="869"/>
      <c r="I658" s="869"/>
      <c r="J658" s="869"/>
      <c r="K658" s="869"/>
      <c r="L658" s="869"/>
      <c r="M658" s="869"/>
      <c r="N658" s="869"/>
      <c r="O658" s="869"/>
      <c r="P658" s="869"/>
      <c r="Q658" s="869"/>
      <c r="R658" s="869"/>
      <c r="S658" s="869"/>
      <c r="T658" s="869"/>
      <c r="U658" s="869"/>
      <c r="V658" s="869"/>
      <c r="W658" s="869"/>
      <c r="X658" s="869"/>
      <c r="Y658" s="869"/>
      <c r="Z658" s="869"/>
    </row>
    <row r="659">
      <c r="A659" s="869"/>
      <c r="B659" s="869"/>
      <c r="C659" s="869"/>
      <c r="D659" s="869"/>
      <c r="E659" s="869"/>
      <c r="F659" s="869"/>
      <c r="G659" s="869"/>
      <c r="H659" s="869"/>
      <c r="I659" s="869"/>
      <c r="J659" s="869"/>
      <c r="K659" s="869"/>
      <c r="L659" s="869"/>
      <c r="M659" s="869"/>
      <c r="N659" s="869"/>
      <c r="O659" s="869"/>
      <c r="P659" s="869"/>
      <c r="Q659" s="869"/>
      <c r="R659" s="869"/>
      <c r="S659" s="869"/>
      <c r="T659" s="869"/>
      <c r="U659" s="869"/>
      <c r="V659" s="869"/>
      <c r="W659" s="869"/>
      <c r="X659" s="869"/>
      <c r="Y659" s="869"/>
      <c r="Z659" s="869"/>
    </row>
    <row r="660">
      <c r="A660" s="869"/>
      <c r="B660" s="869"/>
      <c r="C660" s="869"/>
      <c r="D660" s="869"/>
      <c r="E660" s="869"/>
      <c r="F660" s="869"/>
      <c r="G660" s="869"/>
      <c r="H660" s="869"/>
      <c r="I660" s="869"/>
      <c r="J660" s="869"/>
      <c r="K660" s="869"/>
      <c r="L660" s="869"/>
      <c r="M660" s="869"/>
      <c r="N660" s="869"/>
      <c r="O660" s="869"/>
      <c r="P660" s="869"/>
      <c r="Q660" s="869"/>
      <c r="R660" s="869"/>
      <c r="S660" s="869"/>
      <c r="T660" s="869"/>
      <c r="U660" s="869"/>
      <c r="V660" s="869"/>
      <c r="W660" s="869"/>
      <c r="X660" s="869"/>
      <c r="Y660" s="869"/>
      <c r="Z660" s="869"/>
    </row>
    <row r="661">
      <c r="A661" s="869"/>
      <c r="B661" s="869"/>
      <c r="C661" s="869"/>
      <c r="D661" s="869"/>
      <c r="E661" s="869"/>
      <c r="F661" s="869"/>
      <c r="G661" s="869"/>
      <c r="H661" s="869"/>
      <c r="I661" s="869"/>
      <c r="J661" s="869"/>
      <c r="K661" s="869"/>
      <c r="L661" s="869"/>
      <c r="M661" s="869"/>
      <c r="N661" s="869"/>
      <c r="O661" s="869"/>
      <c r="P661" s="869"/>
      <c r="Q661" s="869"/>
      <c r="R661" s="869"/>
      <c r="S661" s="869"/>
      <c r="T661" s="869"/>
      <c r="U661" s="869"/>
      <c r="V661" s="869"/>
      <c r="W661" s="869"/>
      <c r="X661" s="869"/>
      <c r="Y661" s="869"/>
      <c r="Z661" s="869"/>
    </row>
    <row r="662">
      <c r="A662" s="869"/>
      <c r="B662" s="869"/>
      <c r="C662" s="869"/>
      <c r="D662" s="869"/>
      <c r="E662" s="869"/>
      <c r="F662" s="869"/>
      <c r="G662" s="869"/>
      <c r="H662" s="869"/>
      <c r="I662" s="869"/>
      <c r="J662" s="869"/>
      <c r="K662" s="869"/>
      <c r="L662" s="869"/>
      <c r="M662" s="869"/>
      <c r="N662" s="869"/>
      <c r="O662" s="869"/>
      <c r="P662" s="869"/>
      <c r="Q662" s="869"/>
      <c r="R662" s="869"/>
      <c r="S662" s="869"/>
      <c r="T662" s="869"/>
      <c r="U662" s="869"/>
      <c r="V662" s="869"/>
      <c r="W662" s="869"/>
      <c r="X662" s="869"/>
      <c r="Y662" s="869"/>
      <c r="Z662" s="869"/>
    </row>
    <row r="663">
      <c r="A663" s="869"/>
      <c r="B663" s="869"/>
      <c r="C663" s="869"/>
      <c r="D663" s="869"/>
      <c r="E663" s="869"/>
      <c r="F663" s="869"/>
      <c r="G663" s="869"/>
      <c r="H663" s="869"/>
      <c r="I663" s="869"/>
      <c r="J663" s="869"/>
      <c r="K663" s="869"/>
      <c r="L663" s="869"/>
      <c r="M663" s="869"/>
      <c r="N663" s="869"/>
      <c r="O663" s="869"/>
      <c r="P663" s="869"/>
      <c r="Q663" s="869"/>
      <c r="R663" s="869"/>
      <c r="S663" s="869"/>
      <c r="T663" s="869"/>
      <c r="U663" s="869"/>
      <c r="V663" s="869"/>
      <c r="W663" s="869"/>
      <c r="X663" s="869"/>
      <c r="Y663" s="869"/>
      <c r="Z663" s="869"/>
    </row>
    <row r="664">
      <c r="A664" s="869"/>
      <c r="B664" s="869"/>
      <c r="C664" s="869"/>
      <c r="D664" s="869"/>
      <c r="E664" s="869"/>
      <c r="F664" s="869"/>
      <c r="G664" s="869"/>
      <c r="H664" s="869"/>
      <c r="I664" s="869"/>
      <c r="J664" s="869"/>
      <c r="K664" s="869"/>
      <c r="L664" s="869"/>
      <c r="M664" s="869"/>
      <c r="N664" s="869"/>
      <c r="O664" s="869"/>
      <c r="P664" s="869"/>
      <c r="Q664" s="869"/>
      <c r="R664" s="869"/>
      <c r="S664" s="869"/>
      <c r="T664" s="869"/>
      <c r="U664" s="869"/>
      <c r="V664" s="869"/>
      <c r="W664" s="869"/>
      <c r="X664" s="869"/>
      <c r="Y664" s="869"/>
      <c r="Z664" s="869"/>
    </row>
    <row r="665">
      <c r="A665" s="869"/>
      <c r="B665" s="869"/>
      <c r="C665" s="869"/>
      <c r="D665" s="869"/>
      <c r="E665" s="869"/>
      <c r="F665" s="869"/>
      <c r="G665" s="869"/>
      <c r="H665" s="869"/>
      <c r="I665" s="869"/>
      <c r="J665" s="869"/>
      <c r="K665" s="869"/>
      <c r="L665" s="869"/>
      <c r="M665" s="869"/>
      <c r="N665" s="869"/>
      <c r="O665" s="869"/>
      <c r="P665" s="869"/>
      <c r="Q665" s="869"/>
      <c r="R665" s="869"/>
      <c r="S665" s="869"/>
      <c r="T665" s="869"/>
      <c r="U665" s="869"/>
      <c r="V665" s="869"/>
      <c r="W665" s="869"/>
      <c r="X665" s="869"/>
      <c r="Y665" s="869"/>
      <c r="Z665" s="869"/>
    </row>
    <row r="666">
      <c r="A666" s="869"/>
      <c r="B666" s="869"/>
      <c r="C666" s="869"/>
      <c r="D666" s="869"/>
      <c r="E666" s="869"/>
      <c r="F666" s="869"/>
      <c r="G666" s="869"/>
      <c r="H666" s="869"/>
      <c r="I666" s="869"/>
      <c r="J666" s="869"/>
      <c r="K666" s="869"/>
      <c r="L666" s="869"/>
      <c r="M666" s="869"/>
      <c r="N666" s="869"/>
      <c r="O666" s="869"/>
      <c r="P666" s="869"/>
      <c r="Q666" s="869"/>
      <c r="R666" s="869"/>
      <c r="S666" s="869"/>
      <c r="T666" s="869"/>
      <c r="U666" s="869"/>
      <c r="V666" s="869"/>
      <c r="W666" s="869"/>
      <c r="X666" s="869"/>
      <c r="Y666" s="869"/>
      <c r="Z666" s="869"/>
    </row>
    <row r="667">
      <c r="A667" s="869"/>
      <c r="B667" s="869"/>
      <c r="C667" s="869"/>
      <c r="D667" s="869"/>
      <c r="E667" s="869"/>
      <c r="F667" s="869"/>
      <c r="G667" s="869"/>
      <c r="H667" s="869"/>
      <c r="I667" s="869"/>
      <c r="J667" s="869"/>
      <c r="K667" s="869"/>
      <c r="L667" s="869"/>
      <c r="M667" s="869"/>
      <c r="N667" s="869"/>
      <c r="O667" s="869"/>
      <c r="P667" s="869"/>
      <c r="Q667" s="869"/>
      <c r="R667" s="869"/>
      <c r="S667" s="869"/>
      <c r="T667" s="869"/>
      <c r="U667" s="869"/>
      <c r="V667" s="869"/>
      <c r="W667" s="869"/>
      <c r="X667" s="869"/>
      <c r="Y667" s="869"/>
      <c r="Z667" s="869"/>
    </row>
    <row r="668">
      <c r="A668" s="869"/>
      <c r="B668" s="869"/>
      <c r="C668" s="869"/>
      <c r="D668" s="869"/>
      <c r="E668" s="869"/>
      <c r="F668" s="869"/>
      <c r="G668" s="869"/>
      <c r="H668" s="869"/>
      <c r="I668" s="869"/>
      <c r="J668" s="869"/>
      <c r="K668" s="869"/>
      <c r="L668" s="869"/>
      <c r="M668" s="869"/>
      <c r="N668" s="869"/>
      <c r="O668" s="869"/>
      <c r="P668" s="869"/>
      <c r="Q668" s="869"/>
      <c r="R668" s="869"/>
      <c r="S668" s="869"/>
      <c r="T668" s="869"/>
      <c r="U668" s="869"/>
      <c r="V668" s="869"/>
      <c r="W668" s="869"/>
      <c r="X668" s="869"/>
      <c r="Y668" s="869"/>
      <c r="Z668" s="869"/>
    </row>
    <row r="669">
      <c r="A669" s="869"/>
      <c r="B669" s="869"/>
      <c r="C669" s="869"/>
      <c r="D669" s="869"/>
      <c r="E669" s="869"/>
      <c r="F669" s="869"/>
      <c r="G669" s="869"/>
      <c r="H669" s="869"/>
      <c r="I669" s="869"/>
      <c r="J669" s="869"/>
      <c r="K669" s="869"/>
      <c r="L669" s="869"/>
      <c r="M669" s="869"/>
      <c r="N669" s="869"/>
      <c r="O669" s="869"/>
      <c r="P669" s="869"/>
      <c r="Q669" s="869"/>
      <c r="R669" s="869"/>
      <c r="S669" s="869"/>
      <c r="T669" s="869"/>
      <c r="U669" s="869"/>
      <c r="V669" s="869"/>
      <c r="W669" s="869"/>
      <c r="X669" s="869"/>
      <c r="Y669" s="869"/>
      <c r="Z669" s="869"/>
    </row>
    <row r="670">
      <c r="A670" s="869"/>
      <c r="B670" s="869"/>
      <c r="C670" s="869"/>
      <c r="D670" s="869"/>
      <c r="E670" s="869"/>
      <c r="F670" s="869"/>
      <c r="G670" s="869"/>
      <c r="H670" s="869"/>
      <c r="I670" s="869"/>
      <c r="J670" s="869"/>
      <c r="K670" s="869"/>
      <c r="L670" s="869"/>
      <c r="M670" s="869"/>
      <c r="N670" s="869"/>
      <c r="O670" s="869"/>
      <c r="P670" s="869"/>
      <c r="Q670" s="869"/>
      <c r="R670" s="869"/>
      <c r="S670" s="869"/>
      <c r="T670" s="869"/>
      <c r="U670" s="869"/>
      <c r="V670" s="869"/>
      <c r="W670" s="869"/>
      <c r="X670" s="869"/>
      <c r="Y670" s="869"/>
      <c r="Z670" s="869"/>
    </row>
    <row r="671">
      <c r="A671" s="869"/>
      <c r="B671" s="869"/>
      <c r="C671" s="869"/>
      <c r="D671" s="869"/>
      <c r="E671" s="869"/>
      <c r="F671" s="869"/>
      <c r="G671" s="869"/>
      <c r="H671" s="869"/>
      <c r="I671" s="869"/>
      <c r="J671" s="869"/>
      <c r="K671" s="869"/>
      <c r="L671" s="869"/>
      <c r="M671" s="869"/>
      <c r="N671" s="869"/>
      <c r="O671" s="869"/>
      <c r="P671" s="869"/>
      <c r="Q671" s="869"/>
      <c r="R671" s="869"/>
      <c r="S671" s="869"/>
      <c r="T671" s="869"/>
      <c r="U671" s="869"/>
      <c r="V671" s="869"/>
      <c r="W671" s="869"/>
      <c r="X671" s="869"/>
      <c r="Y671" s="869"/>
      <c r="Z671" s="869"/>
    </row>
    <row r="672">
      <c r="A672" s="869"/>
      <c r="B672" s="869"/>
      <c r="C672" s="869"/>
      <c r="D672" s="869"/>
      <c r="E672" s="869"/>
      <c r="F672" s="869"/>
      <c r="G672" s="869"/>
      <c r="H672" s="869"/>
      <c r="I672" s="869"/>
      <c r="J672" s="869"/>
      <c r="K672" s="869"/>
      <c r="L672" s="869"/>
      <c r="M672" s="869"/>
      <c r="N672" s="869"/>
      <c r="O672" s="869"/>
      <c r="P672" s="869"/>
      <c r="Q672" s="869"/>
      <c r="R672" s="869"/>
      <c r="S672" s="869"/>
      <c r="T672" s="869"/>
      <c r="U672" s="869"/>
      <c r="V672" s="869"/>
      <c r="W672" s="869"/>
      <c r="X672" s="869"/>
      <c r="Y672" s="869"/>
      <c r="Z672" s="869"/>
    </row>
    <row r="673">
      <c r="A673" s="869"/>
      <c r="B673" s="869"/>
      <c r="C673" s="869"/>
      <c r="D673" s="869"/>
      <c r="E673" s="869"/>
      <c r="F673" s="869"/>
      <c r="G673" s="869"/>
      <c r="H673" s="869"/>
      <c r="I673" s="869"/>
      <c r="J673" s="869"/>
      <c r="K673" s="869"/>
      <c r="L673" s="869"/>
      <c r="M673" s="869"/>
      <c r="N673" s="869"/>
      <c r="O673" s="869"/>
      <c r="P673" s="869"/>
      <c r="Q673" s="869"/>
      <c r="R673" s="869"/>
      <c r="S673" s="869"/>
      <c r="T673" s="869"/>
      <c r="U673" s="869"/>
      <c r="V673" s="869"/>
      <c r="W673" s="869"/>
      <c r="X673" s="869"/>
      <c r="Y673" s="869"/>
      <c r="Z673" s="869"/>
    </row>
    <row r="674">
      <c r="A674" s="869"/>
      <c r="B674" s="869"/>
      <c r="C674" s="869"/>
      <c r="D674" s="869"/>
      <c r="E674" s="869"/>
      <c r="F674" s="869"/>
      <c r="G674" s="869"/>
      <c r="H674" s="869"/>
      <c r="I674" s="869"/>
      <c r="J674" s="869"/>
      <c r="K674" s="869"/>
      <c r="L674" s="869"/>
      <c r="M674" s="869"/>
      <c r="N674" s="869"/>
      <c r="O674" s="869"/>
      <c r="P674" s="869"/>
      <c r="Q674" s="869"/>
      <c r="R674" s="869"/>
      <c r="S674" s="869"/>
      <c r="T674" s="869"/>
      <c r="U674" s="869"/>
      <c r="V674" s="869"/>
      <c r="W674" s="869"/>
      <c r="X674" s="869"/>
      <c r="Y674" s="869"/>
      <c r="Z674" s="869"/>
    </row>
    <row r="675">
      <c r="A675" s="869"/>
      <c r="B675" s="869"/>
      <c r="C675" s="869"/>
      <c r="D675" s="869"/>
      <c r="E675" s="869"/>
      <c r="F675" s="869"/>
      <c r="G675" s="869"/>
      <c r="H675" s="869"/>
      <c r="I675" s="869"/>
      <c r="J675" s="869"/>
      <c r="K675" s="869"/>
      <c r="L675" s="869"/>
      <c r="M675" s="869"/>
      <c r="N675" s="869"/>
      <c r="O675" s="869"/>
      <c r="P675" s="869"/>
      <c r="Q675" s="869"/>
      <c r="R675" s="869"/>
      <c r="S675" s="869"/>
      <c r="T675" s="869"/>
      <c r="U675" s="869"/>
      <c r="V675" s="869"/>
      <c r="W675" s="869"/>
      <c r="X675" s="869"/>
      <c r="Y675" s="869"/>
      <c r="Z675" s="869"/>
    </row>
    <row r="676">
      <c r="A676" s="869"/>
      <c r="B676" s="869"/>
      <c r="C676" s="869"/>
      <c r="D676" s="869"/>
      <c r="E676" s="869"/>
      <c r="F676" s="869"/>
      <c r="G676" s="869"/>
      <c r="H676" s="869"/>
      <c r="I676" s="869"/>
      <c r="J676" s="869"/>
      <c r="K676" s="869"/>
      <c r="L676" s="869"/>
      <c r="M676" s="869"/>
      <c r="N676" s="869"/>
      <c r="O676" s="869"/>
      <c r="P676" s="869"/>
      <c r="Q676" s="869"/>
      <c r="R676" s="869"/>
      <c r="S676" s="869"/>
      <c r="T676" s="869"/>
      <c r="U676" s="869"/>
      <c r="V676" s="869"/>
      <c r="W676" s="869"/>
      <c r="X676" s="869"/>
      <c r="Y676" s="869"/>
      <c r="Z676" s="869"/>
    </row>
    <row r="677">
      <c r="A677" s="869"/>
      <c r="B677" s="869"/>
      <c r="C677" s="869"/>
      <c r="D677" s="869"/>
      <c r="E677" s="869"/>
      <c r="F677" s="869"/>
      <c r="G677" s="869"/>
      <c r="H677" s="869"/>
      <c r="I677" s="869"/>
      <c r="J677" s="869"/>
      <c r="K677" s="869"/>
      <c r="L677" s="869"/>
      <c r="M677" s="869"/>
      <c r="N677" s="869"/>
      <c r="O677" s="869"/>
      <c r="P677" s="869"/>
      <c r="Q677" s="869"/>
      <c r="R677" s="869"/>
      <c r="S677" s="869"/>
      <c r="T677" s="869"/>
      <c r="U677" s="869"/>
      <c r="V677" s="869"/>
      <c r="W677" s="869"/>
      <c r="X677" s="869"/>
      <c r="Y677" s="869"/>
      <c r="Z677" s="869"/>
    </row>
    <row r="678">
      <c r="A678" s="869"/>
      <c r="B678" s="869"/>
      <c r="C678" s="869"/>
      <c r="D678" s="869"/>
      <c r="E678" s="869"/>
      <c r="F678" s="869"/>
      <c r="G678" s="869"/>
      <c r="H678" s="869"/>
      <c r="I678" s="869"/>
      <c r="J678" s="869"/>
      <c r="K678" s="869"/>
      <c r="L678" s="869"/>
      <c r="M678" s="869"/>
      <c r="N678" s="869"/>
      <c r="O678" s="869"/>
      <c r="P678" s="869"/>
      <c r="Q678" s="869"/>
      <c r="R678" s="869"/>
      <c r="S678" s="869"/>
      <c r="T678" s="869"/>
      <c r="U678" s="869"/>
      <c r="V678" s="869"/>
      <c r="W678" s="869"/>
      <c r="X678" s="869"/>
      <c r="Y678" s="869"/>
      <c r="Z678" s="869"/>
    </row>
    <row r="679">
      <c r="A679" s="869"/>
      <c r="B679" s="869"/>
      <c r="C679" s="869"/>
      <c r="D679" s="869"/>
      <c r="E679" s="869"/>
      <c r="F679" s="869"/>
      <c r="G679" s="869"/>
      <c r="H679" s="869"/>
      <c r="I679" s="869"/>
      <c r="J679" s="869"/>
      <c r="K679" s="869"/>
      <c r="L679" s="869"/>
      <c r="M679" s="869"/>
      <c r="N679" s="869"/>
      <c r="O679" s="869"/>
      <c r="P679" s="869"/>
      <c r="Q679" s="869"/>
      <c r="R679" s="869"/>
      <c r="S679" s="869"/>
      <c r="T679" s="869"/>
      <c r="U679" s="869"/>
      <c r="V679" s="869"/>
      <c r="W679" s="869"/>
      <c r="X679" s="869"/>
      <c r="Y679" s="869"/>
      <c r="Z679" s="869"/>
    </row>
    <row r="680">
      <c r="A680" s="869"/>
      <c r="B680" s="869"/>
      <c r="C680" s="869"/>
      <c r="D680" s="869"/>
      <c r="E680" s="869"/>
      <c r="F680" s="869"/>
      <c r="G680" s="869"/>
      <c r="H680" s="869"/>
      <c r="I680" s="869"/>
      <c r="J680" s="869"/>
      <c r="K680" s="869"/>
      <c r="L680" s="869"/>
      <c r="M680" s="869"/>
      <c r="N680" s="869"/>
      <c r="O680" s="869"/>
      <c r="P680" s="869"/>
      <c r="Q680" s="869"/>
      <c r="R680" s="869"/>
      <c r="S680" s="869"/>
      <c r="T680" s="869"/>
      <c r="U680" s="869"/>
      <c r="V680" s="869"/>
      <c r="W680" s="869"/>
      <c r="X680" s="869"/>
      <c r="Y680" s="869"/>
      <c r="Z680" s="869"/>
    </row>
    <row r="681">
      <c r="A681" s="869"/>
      <c r="B681" s="869"/>
      <c r="C681" s="869"/>
      <c r="D681" s="869"/>
      <c r="E681" s="869"/>
      <c r="F681" s="869"/>
      <c r="G681" s="869"/>
      <c r="H681" s="869"/>
      <c r="I681" s="869"/>
      <c r="J681" s="869"/>
      <c r="K681" s="869"/>
      <c r="L681" s="869"/>
      <c r="M681" s="869"/>
      <c r="N681" s="869"/>
      <c r="O681" s="869"/>
      <c r="P681" s="869"/>
      <c r="Q681" s="869"/>
      <c r="R681" s="869"/>
      <c r="S681" s="869"/>
      <c r="T681" s="869"/>
      <c r="U681" s="869"/>
      <c r="V681" s="869"/>
      <c r="W681" s="869"/>
      <c r="X681" s="869"/>
      <c r="Y681" s="869"/>
      <c r="Z681" s="869"/>
    </row>
    <row r="682">
      <c r="A682" s="869"/>
      <c r="B682" s="869"/>
      <c r="C682" s="869"/>
      <c r="D682" s="869"/>
      <c r="E682" s="869"/>
      <c r="F682" s="869"/>
      <c r="G682" s="869"/>
      <c r="H682" s="869"/>
      <c r="I682" s="869"/>
      <c r="J682" s="869"/>
      <c r="K682" s="869"/>
      <c r="L682" s="869"/>
      <c r="M682" s="869"/>
      <c r="N682" s="869"/>
      <c r="O682" s="869"/>
      <c r="P682" s="869"/>
      <c r="Q682" s="869"/>
      <c r="R682" s="869"/>
      <c r="S682" s="869"/>
      <c r="T682" s="869"/>
      <c r="U682" s="869"/>
      <c r="V682" s="869"/>
      <c r="W682" s="869"/>
      <c r="X682" s="869"/>
      <c r="Y682" s="869"/>
      <c r="Z682" s="869"/>
    </row>
    <row r="683">
      <c r="A683" s="869"/>
      <c r="B683" s="869"/>
      <c r="C683" s="869"/>
      <c r="D683" s="869"/>
      <c r="E683" s="869"/>
      <c r="F683" s="869"/>
      <c r="G683" s="869"/>
      <c r="H683" s="869"/>
      <c r="I683" s="869"/>
      <c r="J683" s="869"/>
      <c r="K683" s="869"/>
      <c r="L683" s="869"/>
      <c r="M683" s="869"/>
      <c r="N683" s="869"/>
      <c r="O683" s="869"/>
      <c r="P683" s="869"/>
      <c r="Q683" s="869"/>
      <c r="R683" s="869"/>
      <c r="S683" s="869"/>
      <c r="T683" s="869"/>
      <c r="U683" s="869"/>
      <c r="V683" s="869"/>
      <c r="W683" s="869"/>
      <c r="X683" s="869"/>
      <c r="Y683" s="869"/>
      <c r="Z683" s="869"/>
    </row>
    <row r="684">
      <c r="A684" s="869"/>
      <c r="B684" s="869"/>
      <c r="C684" s="869"/>
      <c r="D684" s="869"/>
      <c r="E684" s="869"/>
      <c r="F684" s="869"/>
      <c r="G684" s="869"/>
      <c r="H684" s="869"/>
      <c r="I684" s="869"/>
      <c r="J684" s="869"/>
      <c r="K684" s="869"/>
      <c r="L684" s="869"/>
      <c r="M684" s="869"/>
      <c r="N684" s="869"/>
      <c r="O684" s="869"/>
      <c r="P684" s="869"/>
      <c r="Q684" s="869"/>
      <c r="R684" s="869"/>
      <c r="S684" s="869"/>
      <c r="T684" s="869"/>
      <c r="U684" s="869"/>
      <c r="V684" s="869"/>
      <c r="W684" s="869"/>
      <c r="X684" s="869"/>
      <c r="Y684" s="869"/>
      <c r="Z684" s="869"/>
    </row>
    <row r="685">
      <c r="A685" s="869"/>
      <c r="B685" s="869"/>
      <c r="C685" s="869"/>
      <c r="D685" s="869"/>
      <c r="E685" s="869"/>
      <c r="F685" s="869"/>
      <c r="G685" s="869"/>
      <c r="H685" s="869"/>
      <c r="I685" s="869"/>
      <c r="J685" s="869"/>
      <c r="K685" s="869"/>
      <c r="L685" s="869"/>
      <c r="M685" s="869"/>
      <c r="N685" s="869"/>
      <c r="O685" s="869"/>
      <c r="P685" s="869"/>
      <c r="Q685" s="869"/>
      <c r="R685" s="869"/>
      <c r="S685" s="869"/>
      <c r="T685" s="869"/>
      <c r="U685" s="869"/>
      <c r="V685" s="869"/>
      <c r="W685" s="869"/>
      <c r="X685" s="869"/>
      <c r="Y685" s="869"/>
      <c r="Z685" s="869"/>
    </row>
    <row r="686">
      <c r="A686" s="869"/>
      <c r="B686" s="869"/>
      <c r="C686" s="869"/>
      <c r="D686" s="869"/>
      <c r="E686" s="869"/>
      <c r="F686" s="869"/>
      <c r="G686" s="869"/>
      <c r="H686" s="869"/>
      <c r="I686" s="869"/>
      <c r="J686" s="869"/>
      <c r="K686" s="869"/>
      <c r="L686" s="869"/>
      <c r="M686" s="869"/>
      <c r="N686" s="869"/>
      <c r="O686" s="869"/>
      <c r="P686" s="869"/>
      <c r="Q686" s="869"/>
      <c r="R686" s="869"/>
      <c r="S686" s="869"/>
      <c r="T686" s="869"/>
      <c r="U686" s="869"/>
      <c r="V686" s="869"/>
      <c r="W686" s="869"/>
      <c r="X686" s="869"/>
      <c r="Y686" s="869"/>
      <c r="Z686" s="869"/>
    </row>
    <row r="687">
      <c r="A687" s="869"/>
      <c r="B687" s="869"/>
      <c r="C687" s="869"/>
      <c r="D687" s="869"/>
      <c r="E687" s="869"/>
      <c r="F687" s="869"/>
      <c r="G687" s="869"/>
      <c r="H687" s="869"/>
      <c r="I687" s="869"/>
      <c r="J687" s="869"/>
      <c r="K687" s="869"/>
      <c r="L687" s="869"/>
      <c r="M687" s="869"/>
      <c r="N687" s="869"/>
      <c r="O687" s="869"/>
      <c r="P687" s="869"/>
      <c r="Q687" s="869"/>
      <c r="R687" s="869"/>
      <c r="S687" s="869"/>
      <c r="T687" s="869"/>
      <c r="U687" s="869"/>
      <c r="V687" s="869"/>
      <c r="W687" s="869"/>
      <c r="X687" s="869"/>
      <c r="Y687" s="869"/>
      <c r="Z687" s="869"/>
    </row>
    <row r="688">
      <c r="A688" s="869"/>
      <c r="B688" s="869"/>
      <c r="C688" s="869"/>
      <c r="D688" s="869"/>
      <c r="E688" s="869"/>
      <c r="F688" s="869"/>
      <c r="G688" s="869"/>
      <c r="H688" s="869"/>
      <c r="I688" s="869"/>
      <c r="J688" s="869"/>
      <c r="K688" s="869"/>
      <c r="L688" s="869"/>
      <c r="M688" s="869"/>
      <c r="N688" s="869"/>
      <c r="O688" s="869"/>
      <c r="P688" s="869"/>
      <c r="Q688" s="869"/>
      <c r="R688" s="869"/>
      <c r="S688" s="869"/>
      <c r="T688" s="869"/>
      <c r="U688" s="869"/>
      <c r="V688" s="869"/>
      <c r="W688" s="869"/>
      <c r="X688" s="869"/>
      <c r="Y688" s="869"/>
      <c r="Z688" s="869"/>
    </row>
    <row r="689">
      <c r="A689" s="869"/>
      <c r="B689" s="869"/>
      <c r="C689" s="869"/>
      <c r="D689" s="869"/>
      <c r="E689" s="869"/>
      <c r="F689" s="869"/>
      <c r="G689" s="869"/>
      <c r="H689" s="869"/>
      <c r="I689" s="869"/>
      <c r="J689" s="869"/>
      <c r="K689" s="869"/>
      <c r="L689" s="869"/>
      <c r="M689" s="869"/>
      <c r="N689" s="869"/>
      <c r="O689" s="869"/>
      <c r="P689" s="869"/>
      <c r="Q689" s="869"/>
      <c r="R689" s="869"/>
      <c r="S689" s="869"/>
      <c r="T689" s="869"/>
      <c r="U689" s="869"/>
      <c r="V689" s="869"/>
      <c r="W689" s="869"/>
      <c r="X689" s="869"/>
      <c r="Y689" s="869"/>
      <c r="Z689" s="869"/>
    </row>
    <row r="690">
      <c r="A690" s="869"/>
      <c r="B690" s="869"/>
      <c r="C690" s="869"/>
      <c r="D690" s="869"/>
      <c r="E690" s="869"/>
      <c r="F690" s="869"/>
      <c r="G690" s="869"/>
      <c r="H690" s="869"/>
      <c r="I690" s="869"/>
      <c r="J690" s="869"/>
      <c r="K690" s="869"/>
      <c r="L690" s="869"/>
      <c r="M690" s="869"/>
      <c r="N690" s="869"/>
      <c r="O690" s="869"/>
      <c r="P690" s="869"/>
      <c r="Q690" s="869"/>
      <c r="R690" s="869"/>
      <c r="S690" s="869"/>
      <c r="T690" s="869"/>
      <c r="U690" s="869"/>
      <c r="V690" s="869"/>
      <c r="W690" s="869"/>
      <c r="X690" s="869"/>
      <c r="Y690" s="869"/>
      <c r="Z690" s="869"/>
    </row>
    <row r="691">
      <c r="A691" s="869"/>
      <c r="B691" s="869"/>
      <c r="C691" s="869"/>
      <c r="D691" s="869"/>
      <c r="E691" s="869"/>
      <c r="F691" s="869"/>
      <c r="G691" s="869"/>
      <c r="H691" s="869"/>
      <c r="I691" s="869"/>
      <c r="J691" s="869"/>
      <c r="K691" s="869"/>
      <c r="L691" s="869"/>
      <c r="M691" s="869"/>
      <c r="N691" s="869"/>
      <c r="O691" s="869"/>
      <c r="P691" s="869"/>
      <c r="Q691" s="869"/>
      <c r="R691" s="869"/>
      <c r="S691" s="869"/>
      <c r="T691" s="869"/>
      <c r="U691" s="869"/>
      <c r="V691" s="869"/>
      <c r="W691" s="869"/>
      <c r="X691" s="869"/>
      <c r="Y691" s="869"/>
      <c r="Z691" s="869"/>
    </row>
    <row r="692">
      <c r="A692" s="869"/>
      <c r="B692" s="869"/>
      <c r="C692" s="869"/>
      <c r="D692" s="869"/>
      <c r="E692" s="869"/>
      <c r="F692" s="869"/>
      <c r="G692" s="869"/>
      <c r="H692" s="869"/>
      <c r="I692" s="869"/>
      <c r="J692" s="869"/>
      <c r="K692" s="869"/>
      <c r="L692" s="869"/>
      <c r="M692" s="869"/>
      <c r="N692" s="869"/>
      <c r="O692" s="869"/>
      <c r="P692" s="869"/>
      <c r="Q692" s="869"/>
      <c r="R692" s="869"/>
      <c r="S692" s="869"/>
      <c r="T692" s="869"/>
      <c r="U692" s="869"/>
      <c r="V692" s="869"/>
      <c r="W692" s="869"/>
      <c r="X692" s="869"/>
      <c r="Y692" s="869"/>
      <c r="Z692" s="869"/>
    </row>
    <row r="693">
      <c r="A693" s="869"/>
      <c r="B693" s="869"/>
      <c r="C693" s="869"/>
      <c r="D693" s="869"/>
      <c r="E693" s="869"/>
      <c r="F693" s="869"/>
      <c r="G693" s="869"/>
      <c r="H693" s="869"/>
      <c r="I693" s="869"/>
      <c r="J693" s="869"/>
      <c r="K693" s="869"/>
      <c r="L693" s="869"/>
      <c r="M693" s="869"/>
      <c r="N693" s="869"/>
      <c r="O693" s="869"/>
      <c r="P693" s="869"/>
      <c r="Q693" s="869"/>
      <c r="R693" s="869"/>
      <c r="S693" s="869"/>
      <c r="T693" s="869"/>
      <c r="U693" s="869"/>
      <c r="V693" s="869"/>
      <c r="W693" s="869"/>
      <c r="X693" s="869"/>
      <c r="Y693" s="869"/>
      <c r="Z693" s="869"/>
    </row>
    <row r="694">
      <c r="A694" s="869"/>
      <c r="B694" s="869"/>
      <c r="C694" s="869"/>
      <c r="D694" s="869"/>
      <c r="E694" s="869"/>
      <c r="F694" s="869"/>
      <c r="G694" s="869"/>
      <c r="H694" s="869"/>
      <c r="I694" s="869"/>
      <c r="J694" s="869"/>
      <c r="K694" s="869"/>
      <c r="L694" s="869"/>
      <c r="M694" s="869"/>
      <c r="N694" s="869"/>
      <c r="O694" s="869"/>
      <c r="P694" s="869"/>
      <c r="Q694" s="869"/>
      <c r="R694" s="869"/>
      <c r="S694" s="869"/>
      <c r="T694" s="869"/>
      <c r="U694" s="869"/>
      <c r="V694" s="869"/>
      <c r="W694" s="869"/>
      <c r="X694" s="869"/>
      <c r="Y694" s="869"/>
      <c r="Z694" s="869"/>
    </row>
    <row r="695">
      <c r="A695" s="869"/>
      <c r="B695" s="869"/>
      <c r="C695" s="869"/>
      <c r="D695" s="869"/>
      <c r="E695" s="869"/>
      <c r="F695" s="869"/>
      <c r="G695" s="869"/>
      <c r="H695" s="869"/>
      <c r="I695" s="869"/>
      <c r="J695" s="869"/>
      <c r="K695" s="869"/>
      <c r="L695" s="869"/>
      <c r="M695" s="869"/>
      <c r="N695" s="869"/>
      <c r="O695" s="869"/>
      <c r="P695" s="869"/>
      <c r="Q695" s="869"/>
      <c r="R695" s="869"/>
      <c r="S695" s="869"/>
      <c r="T695" s="869"/>
      <c r="U695" s="869"/>
      <c r="V695" s="869"/>
      <c r="W695" s="869"/>
      <c r="X695" s="869"/>
      <c r="Y695" s="869"/>
      <c r="Z695" s="869"/>
    </row>
    <row r="696">
      <c r="A696" s="869"/>
      <c r="B696" s="869"/>
      <c r="C696" s="869"/>
      <c r="D696" s="869"/>
      <c r="E696" s="869"/>
      <c r="F696" s="869"/>
      <c r="G696" s="869"/>
      <c r="H696" s="869"/>
      <c r="I696" s="869"/>
      <c r="J696" s="869"/>
      <c r="K696" s="869"/>
      <c r="L696" s="869"/>
      <c r="M696" s="869"/>
      <c r="N696" s="869"/>
      <c r="O696" s="869"/>
      <c r="P696" s="869"/>
      <c r="Q696" s="869"/>
      <c r="R696" s="869"/>
      <c r="S696" s="869"/>
      <c r="T696" s="869"/>
      <c r="U696" s="869"/>
      <c r="V696" s="869"/>
      <c r="W696" s="869"/>
      <c r="X696" s="869"/>
      <c r="Y696" s="869"/>
      <c r="Z696" s="869"/>
    </row>
    <row r="697">
      <c r="A697" s="869"/>
      <c r="B697" s="869"/>
      <c r="C697" s="869"/>
      <c r="D697" s="869"/>
      <c r="E697" s="869"/>
      <c r="F697" s="869"/>
      <c r="G697" s="869"/>
      <c r="H697" s="869"/>
      <c r="I697" s="869"/>
      <c r="J697" s="869"/>
      <c r="K697" s="869"/>
      <c r="L697" s="869"/>
      <c r="M697" s="869"/>
      <c r="N697" s="869"/>
      <c r="O697" s="869"/>
      <c r="P697" s="869"/>
      <c r="Q697" s="869"/>
      <c r="R697" s="869"/>
      <c r="S697" s="869"/>
      <c r="T697" s="869"/>
      <c r="U697" s="869"/>
      <c r="V697" s="869"/>
      <c r="W697" s="869"/>
      <c r="X697" s="869"/>
      <c r="Y697" s="869"/>
      <c r="Z697" s="869"/>
    </row>
    <row r="698">
      <c r="A698" s="869"/>
      <c r="B698" s="869"/>
      <c r="C698" s="869"/>
      <c r="D698" s="869"/>
      <c r="E698" s="869"/>
      <c r="F698" s="869"/>
      <c r="G698" s="869"/>
      <c r="H698" s="869"/>
      <c r="I698" s="869"/>
      <c r="J698" s="869"/>
      <c r="K698" s="869"/>
      <c r="L698" s="869"/>
      <c r="M698" s="869"/>
      <c r="N698" s="869"/>
      <c r="O698" s="869"/>
      <c r="P698" s="869"/>
      <c r="Q698" s="869"/>
      <c r="R698" s="869"/>
      <c r="S698" s="869"/>
      <c r="T698" s="869"/>
      <c r="U698" s="869"/>
      <c r="V698" s="869"/>
      <c r="W698" s="869"/>
      <c r="X698" s="869"/>
      <c r="Y698" s="869"/>
      <c r="Z698" s="869"/>
    </row>
    <row r="699">
      <c r="A699" s="869"/>
      <c r="B699" s="869"/>
      <c r="C699" s="869"/>
      <c r="D699" s="869"/>
      <c r="E699" s="869"/>
      <c r="F699" s="869"/>
      <c r="G699" s="869"/>
      <c r="H699" s="869"/>
      <c r="I699" s="869"/>
      <c r="J699" s="869"/>
      <c r="K699" s="869"/>
      <c r="L699" s="869"/>
      <c r="M699" s="869"/>
      <c r="N699" s="869"/>
      <c r="O699" s="869"/>
      <c r="P699" s="869"/>
      <c r="Q699" s="869"/>
      <c r="R699" s="869"/>
      <c r="S699" s="869"/>
      <c r="T699" s="869"/>
      <c r="U699" s="869"/>
      <c r="V699" s="869"/>
      <c r="W699" s="869"/>
      <c r="X699" s="869"/>
      <c r="Y699" s="869"/>
      <c r="Z699" s="869"/>
    </row>
    <row r="700">
      <c r="A700" s="869"/>
      <c r="B700" s="869"/>
      <c r="C700" s="869"/>
      <c r="D700" s="869"/>
      <c r="E700" s="869"/>
      <c r="F700" s="869"/>
      <c r="G700" s="869"/>
      <c r="H700" s="869"/>
      <c r="I700" s="869"/>
      <c r="J700" s="869"/>
      <c r="K700" s="869"/>
      <c r="L700" s="869"/>
      <c r="M700" s="869"/>
      <c r="N700" s="869"/>
      <c r="O700" s="869"/>
      <c r="P700" s="869"/>
      <c r="Q700" s="869"/>
      <c r="R700" s="869"/>
      <c r="S700" s="869"/>
      <c r="T700" s="869"/>
      <c r="U700" s="869"/>
      <c r="V700" s="869"/>
      <c r="W700" s="869"/>
      <c r="X700" s="869"/>
      <c r="Y700" s="869"/>
      <c r="Z700" s="869"/>
    </row>
    <row r="701">
      <c r="A701" s="869"/>
      <c r="B701" s="869"/>
      <c r="C701" s="869"/>
      <c r="D701" s="869"/>
      <c r="E701" s="869"/>
      <c r="F701" s="869"/>
      <c r="G701" s="869"/>
      <c r="H701" s="869"/>
      <c r="I701" s="869"/>
      <c r="J701" s="869"/>
      <c r="K701" s="869"/>
      <c r="L701" s="869"/>
      <c r="M701" s="869"/>
      <c r="N701" s="869"/>
      <c r="O701" s="869"/>
      <c r="P701" s="869"/>
      <c r="Q701" s="869"/>
      <c r="R701" s="869"/>
      <c r="S701" s="869"/>
      <c r="T701" s="869"/>
      <c r="U701" s="869"/>
      <c r="V701" s="869"/>
      <c r="W701" s="869"/>
      <c r="X701" s="869"/>
      <c r="Y701" s="869"/>
      <c r="Z701" s="869"/>
    </row>
    <row r="702">
      <c r="A702" s="869"/>
      <c r="B702" s="869"/>
      <c r="C702" s="869"/>
      <c r="D702" s="869"/>
      <c r="E702" s="869"/>
      <c r="F702" s="869"/>
      <c r="G702" s="869"/>
      <c r="H702" s="869"/>
      <c r="I702" s="869"/>
      <c r="J702" s="869"/>
      <c r="K702" s="869"/>
      <c r="L702" s="869"/>
      <c r="M702" s="869"/>
      <c r="N702" s="869"/>
      <c r="O702" s="869"/>
      <c r="P702" s="869"/>
      <c r="Q702" s="869"/>
      <c r="R702" s="869"/>
      <c r="S702" s="869"/>
      <c r="T702" s="869"/>
      <c r="U702" s="869"/>
      <c r="V702" s="869"/>
      <c r="W702" s="869"/>
      <c r="X702" s="869"/>
      <c r="Y702" s="869"/>
      <c r="Z702" s="869"/>
    </row>
    <row r="703">
      <c r="A703" s="869"/>
      <c r="B703" s="869"/>
      <c r="C703" s="869"/>
      <c r="D703" s="869"/>
      <c r="E703" s="869"/>
      <c r="F703" s="869"/>
      <c r="G703" s="869"/>
      <c r="H703" s="869"/>
      <c r="I703" s="869"/>
      <c r="J703" s="869"/>
      <c r="K703" s="869"/>
      <c r="L703" s="869"/>
      <c r="M703" s="869"/>
      <c r="N703" s="869"/>
      <c r="O703" s="869"/>
      <c r="P703" s="869"/>
      <c r="Q703" s="869"/>
      <c r="R703" s="869"/>
      <c r="S703" s="869"/>
      <c r="T703" s="869"/>
      <c r="U703" s="869"/>
      <c r="V703" s="869"/>
      <c r="W703" s="869"/>
      <c r="X703" s="869"/>
      <c r="Y703" s="869"/>
      <c r="Z703" s="869"/>
    </row>
    <row r="704">
      <c r="A704" s="869"/>
      <c r="B704" s="869"/>
      <c r="C704" s="869"/>
      <c r="D704" s="869"/>
      <c r="E704" s="869"/>
      <c r="F704" s="869"/>
      <c r="G704" s="869"/>
      <c r="H704" s="869"/>
      <c r="I704" s="869"/>
      <c r="J704" s="869"/>
      <c r="K704" s="869"/>
      <c r="L704" s="869"/>
      <c r="M704" s="869"/>
      <c r="N704" s="869"/>
      <c r="O704" s="869"/>
      <c r="P704" s="869"/>
      <c r="Q704" s="869"/>
      <c r="R704" s="869"/>
      <c r="S704" s="869"/>
      <c r="T704" s="869"/>
      <c r="U704" s="869"/>
      <c r="V704" s="869"/>
      <c r="W704" s="869"/>
      <c r="X704" s="869"/>
      <c r="Y704" s="869"/>
      <c r="Z704" s="869"/>
    </row>
    <row r="705">
      <c r="A705" s="869"/>
      <c r="B705" s="869"/>
      <c r="C705" s="869"/>
      <c r="D705" s="869"/>
      <c r="E705" s="869"/>
      <c r="F705" s="869"/>
      <c r="G705" s="869"/>
      <c r="H705" s="869"/>
      <c r="I705" s="869"/>
      <c r="J705" s="869"/>
      <c r="K705" s="869"/>
      <c r="L705" s="869"/>
      <c r="M705" s="869"/>
      <c r="N705" s="869"/>
      <c r="O705" s="869"/>
      <c r="P705" s="869"/>
      <c r="Q705" s="869"/>
      <c r="R705" s="869"/>
      <c r="S705" s="869"/>
      <c r="T705" s="869"/>
      <c r="U705" s="869"/>
      <c r="V705" s="869"/>
      <c r="W705" s="869"/>
      <c r="X705" s="869"/>
      <c r="Y705" s="869"/>
      <c r="Z705" s="869"/>
    </row>
    <row r="706">
      <c r="A706" s="869"/>
      <c r="B706" s="869"/>
      <c r="C706" s="869"/>
      <c r="D706" s="869"/>
      <c r="E706" s="869"/>
      <c r="F706" s="869"/>
      <c r="G706" s="869"/>
      <c r="H706" s="869"/>
      <c r="I706" s="869"/>
      <c r="J706" s="869"/>
      <c r="K706" s="869"/>
      <c r="L706" s="869"/>
      <c r="M706" s="869"/>
      <c r="N706" s="869"/>
      <c r="O706" s="869"/>
      <c r="P706" s="869"/>
      <c r="Q706" s="869"/>
      <c r="R706" s="869"/>
      <c r="S706" s="869"/>
      <c r="T706" s="869"/>
      <c r="U706" s="869"/>
      <c r="V706" s="869"/>
      <c r="W706" s="869"/>
      <c r="X706" s="869"/>
      <c r="Y706" s="869"/>
      <c r="Z706" s="869"/>
    </row>
    <row r="707">
      <c r="A707" s="869"/>
      <c r="B707" s="869"/>
      <c r="C707" s="869"/>
      <c r="D707" s="869"/>
      <c r="E707" s="869"/>
      <c r="F707" s="869"/>
      <c r="G707" s="869"/>
      <c r="H707" s="869"/>
      <c r="I707" s="869"/>
      <c r="J707" s="869"/>
      <c r="K707" s="869"/>
      <c r="L707" s="869"/>
      <c r="M707" s="869"/>
      <c r="N707" s="869"/>
      <c r="O707" s="869"/>
      <c r="P707" s="869"/>
      <c r="Q707" s="869"/>
      <c r="R707" s="869"/>
      <c r="S707" s="869"/>
      <c r="T707" s="869"/>
      <c r="U707" s="869"/>
      <c r="V707" s="869"/>
      <c r="W707" s="869"/>
      <c r="X707" s="869"/>
      <c r="Y707" s="869"/>
      <c r="Z707" s="869"/>
    </row>
    <row r="708">
      <c r="A708" s="869"/>
      <c r="B708" s="869"/>
      <c r="C708" s="869"/>
      <c r="D708" s="869"/>
      <c r="E708" s="869"/>
      <c r="F708" s="869"/>
      <c r="G708" s="869"/>
      <c r="H708" s="869"/>
      <c r="I708" s="869"/>
      <c r="J708" s="869"/>
      <c r="K708" s="869"/>
      <c r="L708" s="869"/>
      <c r="M708" s="869"/>
      <c r="N708" s="869"/>
      <c r="O708" s="869"/>
      <c r="P708" s="869"/>
      <c r="Q708" s="869"/>
      <c r="R708" s="869"/>
      <c r="S708" s="869"/>
      <c r="T708" s="869"/>
      <c r="U708" s="869"/>
      <c r="V708" s="869"/>
      <c r="W708" s="869"/>
      <c r="X708" s="869"/>
      <c r="Y708" s="869"/>
      <c r="Z708" s="869"/>
    </row>
    <row r="709">
      <c r="A709" s="869"/>
      <c r="B709" s="869"/>
      <c r="C709" s="869"/>
      <c r="D709" s="869"/>
      <c r="E709" s="869"/>
      <c r="F709" s="869"/>
      <c r="G709" s="869"/>
      <c r="H709" s="869"/>
      <c r="I709" s="869"/>
      <c r="J709" s="869"/>
      <c r="K709" s="869"/>
      <c r="L709" s="869"/>
      <c r="M709" s="869"/>
      <c r="N709" s="869"/>
      <c r="O709" s="869"/>
      <c r="P709" s="869"/>
      <c r="Q709" s="869"/>
      <c r="R709" s="869"/>
      <c r="S709" s="869"/>
      <c r="T709" s="869"/>
      <c r="U709" s="869"/>
      <c r="V709" s="869"/>
      <c r="W709" s="869"/>
      <c r="X709" s="869"/>
      <c r="Y709" s="869"/>
      <c r="Z709" s="869"/>
    </row>
    <row r="710">
      <c r="A710" s="869"/>
      <c r="B710" s="869"/>
      <c r="C710" s="869"/>
      <c r="D710" s="869"/>
      <c r="E710" s="869"/>
      <c r="F710" s="869"/>
      <c r="G710" s="869"/>
      <c r="H710" s="869"/>
      <c r="I710" s="869"/>
      <c r="J710" s="869"/>
      <c r="K710" s="869"/>
      <c r="L710" s="869"/>
      <c r="M710" s="869"/>
      <c r="N710" s="869"/>
      <c r="O710" s="869"/>
      <c r="P710" s="869"/>
      <c r="Q710" s="869"/>
      <c r="R710" s="869"/>
      <c r="S710" s="869"/>
      <c r="T710" s="869"/>
      <c r="U710" s="869"/>
      <c r="V710" s="869"/>
      <c r="W710" s="869"/>
      <c r="X710" s="869"/>
      <c r="Y710" s="869"/>
      <c r="Z710" s="869"/>
    </row>
    <row r="711">
      <c r="A711" s="869"/>
      <c r="B711" s="869"/>
      <c r="C711" s="869"/>
      <c r="D711" s="869"/>
      <c r="E711" s="869"/>
      <c r="F711" s="869"/>
      <c r="G711" s="869"/>
      <c r="H711" s="869"/>
      <c r="I711" s="869"/>
      <c r="J711" s="869"/>
      <c r="K711" s="869"/>
      <c r="L711" s="869"/>
      <c r="M711" s="869"/>
      <c r="N711" s="869"/>
      <c r="O711" s="869"/>
      <c r="P711" s="869"/>
      <c r="Q711" s="869"/>
      <c r="R711" s="869"/>
      <c r="S711" s="869"/>
      <c r="T711" s="869"/>
      <c r="U711" s="869"/>
      <c r="V711" s="869"/>
      <c r="W711" s="869"/>
      <c r="X711" s="869"/>
      <c r="Y711" s="869"/>
      <c r="Z711" s="869"/>
    </row>
    <row r="712">
      <c r="A712" s="869"/>
      <c r="B712" s="869"/>
      <c r="C712" s="869"/>
      <c r="D712" s="869"/>
      <c r="E712" s="869"/>
      <c r="F712" s="869"/>
      <c r="G712" s="869"/>
      <c r="H712" s="869"/>
      <c r="I712" s="869"/>
      <c r="J712" s="869"/>
      <c r="K712" s="869"/>
      <c r="L712" s="869"/>
      <c r="M712" s="869"/>
      <c r="N712" s="869"/>
      <c r="O712" s="869"/>
      <c r="P712" s="869"/>
      <c r="Q712" s="869"/>
      <c r="R712" s="869"/>
      <c r="S712" s="869"/>
      <c r="T712" s="869"/>
      <c r="U712" s="869"/>
      <c r="V712" s="869"/>
      <c r="W712" s="869"/>
      <c r="X712" s="869"/>
      <c r="Y712" s="869"/>
      <c r="Z712" s="869"/>
    </row>
    <row r="713">
      <c r="A713" s="869"/>
      <c r="B713" s="869"/>
      <c r="C713" s="869"/>
      <c r="D713" s="869"/>
      <c r="E713" s="869"/>
      <c r="F713" s="869"/>
      <c r="G713" s="869"/>
      <c r="H713" s="869"/>
      <c r="I713" s="869"/>
      <c r="J713" s="869"/>
      <c r="K713" s="869"/>
      <c r="L713" s="869"/>
      <c r="M713" s="869"/>
      <c r="N713" s="869"/>
      <c r="O713" s="869"/>
      <c r="P713" s="869"/>
      <c r="Q713" s="869"/>
      <c r="R713" s="869"/>
      <c r="S713" s="869"/>
      <c r="T713" s="869"/>
      <c r="U713" s="869"/>
      <c r="V713" s="869"/>
      <c r="W713" s="869"/>
      <c r="X713" s="869"/>
      <c r="Y713" s="869"/>
      <c r="Z713" s="869"/>
    </row>
    <row r="714">
      <c r="A714" s="869"/>
      <c r="B714" s="869"/>
      <c r="C714" s="869"/>
      <c r="D714" s="869"/>
      <c r="E714" s="869"/>
      <c r="F714" s="869"/>
      <c r="G714" s="869"/>
      <c r="H714" s="869"/>
      <c r="I714" s="869"/>
      <c r="J714" s="869"/>
      <c r="K714" s="869"/>
      <c r="L714" s="869"/>
      <c r="M714" s="869"/>
      <c r="N714" s="869"/>
      <c r="O714" s="869"/>
      <c r="P714" s="869"/>
      <c r="Q714" s="869"/>
      <c r="R714" s="869"/>
      <c r="S714" s="869"/>
      <c r="T714" s="869"/>
      <c r="U714" s="869"/>
      <c r="V714" s="869"/>
      <c r="W714" s="869"/>
      <c r="X714" s="869"/>
      <c r="Y714" s="869"/>
      <c r="Z714" s="869"/>
    </row>
    <row r="715">
      <c r="A715" s="869"/>
      <c r="B715" s="869"/>
      <c r="C715" s="869"/>
      <c r="D715" s="869"/>
      <c r="E715" s="869"/>
      <c r="F715" s="869"/>
      <c r="G715" s="869"/>
      <c r="H715" s="869"/>
      <c r="I715" s="869"/>
      <c r="J715" s="869"/>
      <c r="K715" s="869"/>
      <c r="L715" s="869"/>
      <c r="M715" s="869"/>
      <c r="N715" s="869"/>
      <c r="O715" s="869"/>
      <c r="P715" s="869"/>
      <c r="Q715" s="869"/>
      <c r="R715" s="869"/>
      <c r="S715" s="869"/>
      <c r="T715" s="869"/>
      <c r="U715" s="869"/>
      <c r="V715" s="869"/>
      <c r="W715" s="869"/>
      <c r="X715" s="869"/>
      <c r="Y715" s="869"/>
      <c r="Z715" s="869"/>
    </row>
    <row r="716">
      <c r="A716" s="869"/>
      <c r="B716" s="869"/>
      <c r="C716" s="869"/>
      <c r="D716" s="869"/>
      <c r="E716" s="869"/>
      <c r="F716" s="869"/>
      <c r="G716" s="869"/>
      <c r="H716" s="869"/>
      <c r="I716" s="869"/>
      <c r="J716" s="869"/>
      <c r="K716" s="869"/>
      <c r="L716" s="869"/>
      <c r="M716" s="869"/>
      <c r="N716" s="869"/>
      <c r="O716" s="869"/>
      <c r="P716" s="869"/>
      <c r="Q716" s="869"/>
      <c r="R716" s="869"/>
      <c r="S716" s="869"/>
      <c r="T716" s="869"/>
      <c r="U716" s="869"/>
      <c r="V716" s="869"/>
      <c r="W716" s="869"/>
      <c r="X716" s="869"/>
      <c r="Y716" s="869"/>
      <c r="Z716" s="869"/>
    </row>
    <row r="717">
      <c r="A717" s="869"/>
      <c r="B717" s="869"/>
      <c r="C717" s="869"/>
      <c r="D717" s="869"/>
      <c r="E717" s="869"/>
      <c r="F717" s="869"/>
      <c r="G717" s="869"/>
      <c r="H717" s="869"/>
      <c r="I717" s="869"/>
      <c r="J717" s="869"/>
      <c r="K717" s="869"/>
      <c r="L717" s="869"/>
      <c r="M717" s="869"/>
      <c r="N717" s="869"/>
      <c r="O717" s="869"/>
      <c r="P717" s="869"/>
      <c r="Q717" s="869"/>
      <c r="R717" s="869"/>
      <c r="S717" s="869"/>
      <c r="T717" s="869"/>
      <c r="U717" s="869"/>
      <c r="V717" s="869"/>
      <c r="W717" s="869"/>
      <c r="X717" s="869"/>
      <c r="Y717" s="869"/>
      <c r="Z717" s="869"/>
    </row>
    <row r="718">
      <c r="A718" s="869"/>
      <c r="B718" s="869"/>
      <c r="C718" s="869"/>
      <c r="D718" s="869"/>
      <c r="E718" s="869"/>
      <c r="F718" s="869"/>
      <c r="G718" s="869"/>
      <c r="H718" s="869"/>
      <c r="I718" s="869"/>
      <c r="J718" s="869"/>
      <c r="K718" s="869"/>
      <c r="L718" s="869"/>
      <c r="M718" s="869"/>
      <c r="N718" s="869"/>
      <c r="O718" s="869"/>
      <c r="P718" s="869"/>
      <c r="Q718" s="869"/>
      <c r="R718" s="869"/>
      <c r="S718" s="869"/>
      <c r="T718" s="869"/>
      <c r="U718" s="869"/>
      <c r="V718" s="869"/>
      <c r="W718" s="869"/>
      <c r="X718" s="869"/>
      <c r="Y718" s="869"/>
      <c r="Z718" s="869"/>
    </row>
    <row r="719">
      <c r="A719" s="869"/>
      <c r="B719" s="869"/>
      <c r="C719" s="869"/>
      <c r="D719" s="869"/>
      <c r="E719" s="869"/>
      <c r="F719" s="869"/>
      <c r="G719" s="869"/>
      <c r="H719" s="869"/>
      <c r="I719" s="869"/>
      <c r="J719" s="869"/>
      <c r="K719" s="869"/>
      <c r="L719" s="869"/>
      <c r="M719" s="869"/>
      <c r="N719" s="869"/>
      <c r="O719" s="869"/>
      <c r="P719" s="869"/>
      <c r="Q719" s="869"/>
      <c r="R719" s="869"/>
      <c r="S719" s="869"/>
      <c r="T719" s="869"/>
      <c r="U719" s="869"/>
      <c r="V719" s="869"/>
      <c r="W719" s="869"/>
      <c r="X719" s="869"/>
      <c r="Y719" s="869"/>
      <c r="Z719" s="869"/>
    </row>
    <row r="720">
      <c r="A720" s="869"/>
      <c r="B720" s="869"/>
      <c r="C720" s="869"/>
      <c r="D720" s="869"/>
      <c r="E720" s="869"/>
      <c r="F720" s="869"/>
      <c r="G720" s="869"/>
      <c r="H720" s="869"/>
      <c r="I720" s="869"/>
      <c r="J720" s="869"/>
      <c r="K720" s="869"/>
      <c r="L720" s="869"/>
      <c r="M720" s="869"/>
      <c r="N720" s="869"/>
      <c r="O720" s="869"/>
      <c r="P720" s="869"/>
      <c r="Q720" s="869"/>
      <c r="R720" s="869"/>
      <c r="S720" s="869"/>
      <c r="T720" s="869"/>
      <c r="U720" s="869"/>
      <c r="V720" s="869"/>
      <c r="W720" s="869"/>
      <c r="X720" s="869"/>
      <c r="Y720" s="869"/>
      <c r="Z720" s="869"/>
    </row>
    <row r="721">
      <c r="A721" s="869"/>
      <c r="B721" s="869"/>
      <c r="C721" s="869"/>
      <c r="D721" s="869"/>
      <c r="E721" s="869"/>
      <c r="F721" s="869"/>
      <c r="G721" s="869"/>
      <c r="H721" s="869"/>
      <c r="I721" s="869"/>
      <c r="J721" s="869"/>
      <c r="K721" s="869"/>
      <c r="L721" s="869"/>
      <c r="M721" s="869"/>
      <c r="N721" s="869"/>
      <c r="O721" s="869"/>
      <c r="P721" s="869"/>
      <c r="Q721" s="869"/>
      <c r="R721" s="869"/>
      <c r="S721" s="869"/>
      <c r="T721" s="869"/>
      <c r="U721" s="869"/>
      <c r="V721" s="869"/>
      <c r="W721" s="869"/>
      <c r="X721" s="869"/>
      <c r="Y721" s="869"/>
      <c r="Z721" s="869"/>
    </row>
    <row r="722">
      <c r="A722" s="869"/>
      <c r="B722" s="869"/>
      <c r="C722" s="869"/>
      <c r="D722" s="869"/>
      <c r="E722" s="869"/>
      <c r="F722" s="869"/>
      <c r="G722" s="869"/>
      <c r="H722" s="869"/>
      <c r="I722" s="869"/>
      <c r="J722" s="869"/>
      <c r="K722" s="869"/>
      <c r="L722" s="869"/>
      <c r="M722" s="869"/>
      <c r="N722" s="869"/>
      <c r="O722" s="869"/>
      <c r="P722" s="869"/>
      <c r="Q722" s="869"/>
      <c r="R722" s="869"/>
      <c r="S722" s="869"/>
      <c r="T722" s="869"/>
      <c r="U722" s="869"/>
      <c r="V722" s="869"/>
      <c r="W722" s="869"/>
      <c r="X722" s="869"/>
      <c r="Y722" s="869"/>
      <c r="Z722" s="869"/>
    </row>
    <row r="723">
      <c r="A723" s="869"/>
      <c r="B723" s="869"/>
      <c r="C723" s="869"/>
      <c r="D723" s="869"/>
      <c r="E723" s="869"/>
      <c r="F723" s="869"/>
      <c r="G723" s="869"/>
      <c r="H723" s="869"/>
      <c r="I723" s="869"/>
      <c r="J723" s="869"/>
      <c r="K723" s="869"/>
      <c r="L723" s="869"/>
      <c r="M723" s="869"/>
      <c r="N723" s="869"/>
      <c r="O723" s="869"/>
      <c r="P723" s="869"/>
      <c r="Q723" s="869"/>
      <c r="R723" s="869"/>
      <c r="S723" s="869"/>
      <c r="T723" s="869"/>
      <c r="U723" s="869"/>
      <c r="V723" s="869"/>
      <c r="W723" s="869"/>
      <c r="X723" s="869"/>
      <c r="Y723" s="869"/>
      <c r="Z723" s="869"/>
    </row>
    <row r="724">
      <c r="A724" s="869"/>
      <c r="B724" s="869"/>
      <c r="C724" s="869"/>
      <c r="D724" s="869"/>
      <c r="E724" s="869"/>
      <c r="F724" s="869"/>
      <c r="G724" s="869"/>
      <c r="H724" s="869"/>
      <c r="I724" s="869"/>
      <c r="J724" s="869"/>
      <c r="K724" s="869"/>
      <c r="L724" s="869"/>
      <c r="M724" s="869"/>
      <c r="N724" s="869"/>
      <c r="O724" s="869"/>
      <c r="P724" s="869"/>
      <c r="Q724" s="869"/>
      <c r="R724" s="869"/>
      <c r="S724" s="869"/>
      <c r="T724" s="869"/>
      <c r="U724" s="869"/>
      <c r="V724" s="869"/>
      <c r="W724" s="869"/>
      <c r="X724" s="869"/>
      <c r="Y724" s="869"/>
      <c r="Z724" s="869"/>
    </row>
    <row r="725">
      <c r="A725" s="869"/>
      <c r="B725" s="869"/>
      <c r="C725" s="869"/>
      <c r="D725" s="869"/>
      <c r="E725" s="869"/>
      <c r="F725" s="869"/>
      <c r="G725" s="869"/>
      <c r="H725" s="869"/>
      <c r="I725" s="869"/>
      <c r="J725" s="869"/>
      <c r="K725" s="869"/>
      <c r="L725" s="869"/>
      <c r="M725" s="869"/>
      <c r="N725" s="869"/>
      <c r="O725" s="869"/>
      <c r="P725" s="869"/>
      <c r="Q725" s="869"/>
      <c r="R725" s="869"/>
      <c r="S725" s="869"/>
      <c r="T725" s="869"/>
      <c r="U725" s="869"/>
      <c r="V725" s="869"/>
      <c r="W725" s="869"/>
      <c r="X725" s="869"/>
      <c r="Y725" s="869"/>
      <c r="Z725" s="869"/>
    </row>
    <row r="726">
      <c r="A726" s="869"/>
      <c r="B726" s="869"/>
      <c r="C726" s="869"/>
      <c r="D726" s="869"/>
      <c r="E726" s="869"/>
      <c r="F726" s="869"/>
      <c r="G726" s="869"/>
      <c r="H726" s="869"/>
      <c r="I726" s="869"/>
      <c r="J726" s="869"/>
      <c r="K726" s="869"/>
      <c r="L726" s="869"/>
      <c r="M726" s="869"/>
      <c r="N726" s="869"/>
      <c r="O726" s="869"/>
      <c r="P726" s="869"/>
      <c r="Q726" s="869"/>
      <c r="R726" s="869"/>
      <c r="S726" s="869"/>
      <c r="T726" s="869"/>
      <c r="U726" s="869"/>
      <c r="V726" s="869"/>
      <c r="W726" s="869"/>
      <c r="X726" s="869"/>
      <c r="Y726" s="869"/>
      <c r="Z726" s="869"/>
    </row>
    <row r="727">
      <c r="A727" s="869"/>
      <c r="B727" s="869"/>
      <c r="C727" s="869"/>
      <c r="D727" s="869"/>
      <c r="E727" s="869"/>
      <c r="F727" s="869"/>
      <c r="G727" s="869"/>
      <c r="H727" s="869"/>
      <c r="I727" s="869"/>
      <c r="J727" s="869"/>
      <c r="K727" s="869"/>
      <c r="L727" s="869"/>
      <c r="M727" s="869"/>
      <c r="N727" s="869"/>
      <c r="O727" s="869"/>
      <c r="P727" s="869"/>
      <c r="Q727" s="869"/>
      <c r="R727" s="869"/>
      <c r="S727" s="869"/>
      <c r="T727" s="869"/>
      <c r="U727" s="869"/>
      <c r="V727" s="869"/>
      <c r="W727" s="869"/>
      <c r="X727" s="869"/>
      <c r="Y727" s="869"/>
      <c r="Z727" s="869"/>
    </row>
    <row r="728">
      <c r="A728" s="869"/>
      <c r="B728" s="869"/>
      <c r="C728" s="869"/>
      <c r="D728" s="869"/>
      <c r="E728" s="869"/>
      <c r="F728" s="869"/>
      <c r="G728" s="869"/>
      <c r="H728" s="869"/>
      <c r="I728" s="869"/>
      <c r="J728" s="869"/>
      <c r="K728" s="869"/>
      <c r="L728" s="869"/>
      <c r="M728" s="869"/>
      <c r="N728" s="869"/>
      <c r="O728" s="869"/>
      <c r="P728" s="869"/>
      <c r="Q728" s="869"/>
      <c r="R728" s="869"/>
      <c r="S728" s="869"/>
      <c r="T728" s="869"/>
      <c r="U728" s="869"/>
      <c r="V728" s="869"/>
      <c r="W728" s="869"/>
      <c r="X728" s="869"/>
      <c r="Y728" s="869"/>
      <c r="Z728" s="869"/>
    </row>
    <row r="729">
      <c r="A729" s="869"/>
      <c r="B729" s="869"/>
      <c r="C729" s="869"/>
      <c r="D729" s="869"/>
      <c r="E729" s="869"/>
      <c r="F729" s="869"/>
      <c r="G729" s="869"/>
      <c r="H729" s="869"/>
      <c r="I729" s="869"/>
      <c r="J729" s="869"/>
      <c r="K729" s="869"/>
      <c r="L729" s="869"/>
      <c r="M729" s="869"/>
      <c r="N729" s="869"/>
      <c r="O729" s="869"/>
      <c r="P729" s="869"/>
      <c r="Q729" s="869"/>
      <c r="R729" s="869"/>
      <c r="S729" s="869"/>
      <c r="T729" s="869"/>
      <c r="U729" s="869"/>
      <c r="V729" s="869"/>
      <c r="W729" s="869"/>
      <c r="X729" s="869"/>
      <c r="Y729" s="869"/>
      <c r="Z729" s="869"/>
    </row>
    <row r="730">
      <c r="A730" s="869"/>
      <c r="B730" s="869"/>
      <c r="C730" s="869"/>
      <c r="D730" s="869"/>
      <c r="E730" s="869"/>
      <c r="F730" s="869"/>
      <c r="G730" s="869"/>
      <c r="H730" s="869"/>
      <c r="I730" s="869"/>
      <c r="J730" s="869"/>
      <c r="K730" s="869"/>
      <c r="L730" s="869"/>
      <c r="M730" s="869"/>
      <c r="N730" s="869"/>
      <c r="O730" s="869"/>
      <c r="P730" s="869"/>
      <c r="Q730" s="869"/>
      <c r="R730" s="869"/>
      <c r="S730" s="869"/>
      <c r="T730" s="869"/>
      <c r="U730" s="869"/>
      <c r="V730" s="869"/>
      <c r="W730" s="869"/>
      <c r="X730" s="869"/>
      <c r="Y730" s="869"/>
      <c r="Z730" s="869"/>
    </row>
    <row r="731">
      <c r="A731" s="869"/>
      <c r="B731" s="869"/>
      <c r="C731" s="869"/>
      <c r="D731" s="869"/>
      <c r="E731" s="869"/>
      <c r="F731" s="869"/>
      <c r="G731" s="869"/>
      <c r="H731" s="869"/>
      <c r="I731" s="869"/>
      <c r="J731" s="869"/>
      <c r="K731" s="869"/>
      <c r="L731" s="869"/>
      <c r="M731" s="869"/>
      <c r="N731" s="869"/>
      <c r="O731" s="869"/>
      <c r="P731" s="869"/>
      <c r="Q731" s="869"/>
      <c r="R731" s="869"/>
      <c r="S731" s="869"/>
      <c r="T731" s="869"/>
      <c r="U731" s="869"/>
      <c r="V731" s="869"/>
      <c r="W731" s="869"/>
      <c r="X731" s="869"/>
      <c r="Y731" s="869"/>
      <c r="Z731" s="869"/>
    </row>
    <row r="732">
      <c r="A732" s="869"/>
      <c r="B732" s="869"/>
      <c r="C732" s="869"/>
      <c r="D732" s="869"/>
      <c r="E732" s="869"/>
      <c r="F732" s="869"/>
      <c r="G732" s="869"/>
      <c r="H732" s="869"/>
      <c r="I732" s="869"/>
      <c r="J732" s="869"/>
      <c r="K732" s="869"/>
      <c r="L732" s="869"/>
      <c r="M732" s="869"/>
      <c r="N732" s="869"/>
      <c r="O732" s="869"/>
      <c r="P732" s="869"/>
      <c r="Q732" s="869"/>
      <c r="R732" s="869"/>
      <c r="S732" s="869"/>
      <c r="T732" s="869"/>
      <c r="U732" s="869"/>
      <c r="V732" s="869"/>
      <c r="W732" s="869"/>
      <c r="X732" s="869"/>
      <c r="Y732" s="869"/>
      <c r="Z732" s="869"/>
    </row>
    <row r="733">
      <c r="A733" s="869"/>
      <c r="B733" s="869"/>
      <c r="C733" s="869"/>
      <c r="D733" s="869"/>
      <c r="E733" s="869"/>
      <c r="F733" s="869"/>
      <c r="G733" s="869"/>
      <c r="H733" s="869"/>
      <c r="I733" s="869"/>
      <c r="J733" s="869"/>
      <c r="K733" s="869"/>
      <c r="L733" s="869"/>
      <c r="M733" s="869"/>
      <c r="N733" s="869"/>
      <c r="O733" s="869"/>
      <c r="P733" s="869"/>
      <c r="Q733" s="869"/>
      <c r="R733" s="869"/>
      <c r="S733" s="869"/>
      <c r="T733" s="869"/>
      <c r="U733" s="869"/>
      <c r="V733" s="869"/>
      <c r="W733" s="869"/>
      <c r="X733" s="869"/>
      <c r="Y733" s="869"/>
      <c r="Z733" s="869"/>
    </row>
    <row r="734">
      <c r="A734" s="869"/>
      <c r="B734" s="869"/>
      <c r="C734" s="869"/>
      <c r="D734" s="869"/>
      <c r="E734" s="869"/>
      <c r="F734" s="869"/>
      <c r="G734" s="869"/>
      <c r="H734" s="869"/>
      <c r="I734" s="869"/>
      <c r="J734" s="869"/>
      <c r="K734" s="869"/>
      <c r="L734" s="869"/>
      <c r="M734" s="869"/>
      <c r="N734" s="869"/>
      <c r="O734" s="869"/>
      <c r="P734" s="869"/>
      <c r="Q734" s="869"/>
      <c r="R734" s="869"/>
      <c r="S734" s="869"/>
      <c r="T734" s="869"/>
      <c r="U734" s="869"/>
      <c r="V734" s="869"/>
      <c r="W734" s="869"/>
      <c r="X734" s="869"/>
      <c r="Y734" s="869"/>
      <c r="Z734" s="869"/>
    </row>
    <row r="735">
      <c r="A735" s="869"/>
      <c r="B735" s="869"/>
      <c r="C735" s="869"/>
      <c r="D735" s="869"/>
      <c r="E735" s="869"/>
      <c r="F735" s="869"/>
      <c r="G735" s="869"/>
      <c r="H735" s="869"/>
      <c r="I735" s="869"/>
      <c r="J735" s="869"/>
      <c r="K735" s="869"/>
      <c r="L735" s="869"/>
      <c r="M735" s="869"/>
      <c r="N735" s="869"/>
      <c r="O735" s="869"/>
      <c r="P735" s="869"/>
      <c r="Q735" s="869"/>
      <c r="R735" s="869"/>
      <c r="S735" s="869"/>
      <c r="T735" s="869"/>
      <c r="U735" s="869"/>
      <c r="V735" s="869"/>
      <c r="W735" s="869"/>
      <c r="X735" s="869"/>
      <c r="Y735" s="869"/>
      <c r="Z735" s="869"/>
    </row>
    <row r="736">
      <c r="A736" s="869"/>
      <c r="B736" s="869"/>
      <c r="C736" s="869"/>
      <c r="D736" s="869"/>
      <c r="E736" s="869"/>
      <c r="F736" s="869"/>
      <c r="G736" s="869"/>
      <c r="H736" s="869"/>
      <c r="I736" s="869"/>
      <c r="J736" s="869"/>
      <c r="K736" s="869"/>
      <c r="L736" s="869"/>
      <c r="M736" s="869"/>
      <c r="N736" s="869"/>
      <c r="O736" s="869"/>
      <c r="P736" s="869"/>
      <c r="Q736" s="869"/>
      <c r="R736" s="869"/>
      <c r="S736" s="869"/>
      <c r="T736" s="869"/>
      <c r="U736" s="869"/>
      <c r="V736" s="869"/>
      <c r="W736" s="869"/>
      <c r="X736" s="869"/>
      <c r="Y736" s="869"/>
      <c r="Z736" s="869"/>
    </row>
    <row r="737">
      <c r="A737" s="869"/>
      <c r="B737" s="869"/>
      <c r="C737" s="869"/>
      <c r="D737" s="869"/>
      <c r="E737" s="869"/>
      <c r="F737" s="869"/>
      <c r="G737" s="869"/>
      <c r="H737" s="869"/>
      <c r="I737" s="869"/>
      <c r="J737" s="869"/>
      <c r="K737" s="869"/>
      <c r="L737" s="869"/>
      <c r="M737" s="869"/>
      <c r="N737" s="869"/>
      <c r="O737" s="869"/>
      <c r="P737" s="869"/>
      <c r="Q737" s="869"/>
      <c r="R737" s="869"/>
      <c r="S737" s="869"/>
      <c r="T737" s="869"/>
      <c r="U737" s="869"/>
      <c r="V737" s="869"/>
      <c r="W737" s="869"/>
      <c r="X737" s="869"/>
      <c r="Y737" s="869"/>
      <c r="Z737" s="869"/>
    </row>
    <row r="738">
      <c r="A738" s="869"/>
      <c r="B738" s="869"/>
      <c r="C738" s="869"/>
      <c r="D738" s="869"/>
      <c r="E738" s="869"/>
      <c r="F738" s="869"/>
      <c r="G738" s="869"/>
      <c r="H738" s="869"/>
      <c r="I738" s="869"/>
      <c r="J738" s="869"/>
      <c r="K738" s="869"/>
      <c r="L738" s="869"/>
      <c r="M738" s="869"/>
      <c r="N738" s="869"/>
      <c r="O738" s="869"/>
      <c r="P738" s="869"/>
      <c r="Q738" s="869"/>
      <c r="R738" s="869"/>
      <c r="S738" s="869"/>
      <c r="T738" s="869"/>
      <c r="U738" s="869"/>
      <c r="V738" s="869"/>
      <c r="W738" s="869"/>
      <c r="X738" s="869"/>
      <c r="Y738" s="869"/>
      <c r="Z738" s="869"/>
    </row>
    <row r="739">
      <c r="A739" s="869"/>
      <c r="B739" s="869"/>
      <c r="C739" s="869"/>
      <c r="D739" s="869"/>
      <c r="E739" s="869"/>
      <c r="F739" s="869"/>
      <c r="G739" s="869"/>
      <c r="H739" s="869"/>
      <c r="I739" s="869"/>
      <c r="J739" s="869"/>
      <c r="K739" s="869"/>
      <c r="L739" s="869"/>
      <c r="M739" s="869"/>
      <c r="N739" s="869"/>
      <c r="O739" s="869"/>
      <c r="P739" s="869"/>
      <c r="Q739" s="869"/>
      <c r="R739" s="869"/>
      <c r="S739" s="869"/>
      <c r="T739" s="869"/>
      <c r="U739" s="869"/>
      <c r="V739" s="869"/>
      <c r="W739" s="869"/>
      <c r="X739" s="869"/>
      <c r="Y739" s="869"/>
      <c r="Z739" s="869"/>
    </row>
    <row r="740">
      <c r="A740" s="869"/>
      <c r="B740" s="869"/>
      <c r="C740" s="869"/>
      <c r="D740" s="869"/>
      <c r="E740" s="869"/>
      <c r="F740" s="869"/>
      <c r="G740" s="869"/>
      <c r="H740" s="869"/>
      <c r="I740" s="869"/>
      <c r="J740" s="869"/>
      <c r="K740" s="869"/>
      <c r="L740" s="869"/>
      <c r="M740" s="869"/>
      <c r="N740" s="869"/>
      <c r="O740" s="869"/>
      <c r="P740" s="869"/>
      <c r="Q740" s="869"/>
      <c r="R740" s="869"/>
      <c r="S740" s="869"/>
      <c r="T740" s="869"/>
      <c r="U740" s="869"/>
      <c r="V740" s="869"/>
      <c r="W740" s="869"/>
      <c r="X740" s="869"/>
      <c r="Y740" s="869"/>
      <c r="Z740" s="869"/>
    </row>
    <row r="741">
      <c r="A741" s="869"/>
      <c r="B741" s="869"/>
      <c r="C741" s="869"/>
      <c r="D741" s="869"/>
      <c r="E741" s="869"/>
      <c r="F741" s="869"/>
      <c r="G741" s="869"/>
      <c r="H741" s="869"/>
      <c r="I741" s="869"/>
      <c r="J741" s="869"/>
      <c r="K741" s="869"/>
      <c r="L741" s="869"/>
      <c r="M741" s="869"/>
      <c r="N741" s="869"/>
      <c r="O741" s="869"/>
      <c r="P741" s="869"/>
      <c r="Q741" s="869"/>
      <c r="R741" s="869"/>
      <c r="S741" s="869"/>
      <c r="T741" s="869"/>
      <c r="U741" s="869"/>
      <c r="V741" s="869"/>
      <c r="W741" s="869"/>
      <c r="X741" s="869"/>
      <c r="Y741" s="869"/>
      <c r="Z741" s="869"/>
    </row>
    <row r="742">
      <c r="A742" s="869"/>
      <c r="B742" s="869"/>
      <c r="C742" s="869"/>
      <c r="D742" s="869"/>
      <c r="E742" s="869"/>
      <c r="F742" s="869"/>
      <c r="G742" s="869"/>
      <c r="H742" s="869"/>
      <c r="I742" s="869"/>
      <c r="J742" s="869"/>
      <c r="K742" s="869"/>
      <c r="L742" s="869"/>
      <c r="M742" s="869"/>
      <c r="N742" s="869"/>
      <c r="O742" s="869"/>
      <c r="P742" s="869"/>
      <c r="Q742" s="869"/>
      <c r="R742" s="869"/>
      <c r="S742" s="869"/>
      <c r="T742" s="869"/>
      <c r="U742" s="869"/>
      <c r="V742" s="869"/>
      <c r="W742" s="869"/>
      <c r="X742" s="869"/>
      <c r="Y742" s="869"/>
      <c r="Z742" s="869"/>
    </row>
    <row r="743">
      <c r="A743" s="869"/>
      <c r="B743" s="869"/>
      <c r="C743" s="869"/>
      <c r="D743" s="869"/>
      <c r="E743" s="869"/>
      <c r="F743" s="869"/>
      <c r="G743" s="869"/>
      <c r="H743" s="869"/>
      <c r="I743" s="869"/>
      <c r="J743" s="869"/>
      <c r="K743" s="869"/>
      <c r="L743" s="869"/>
      <c r="M743" s="869"/>
      <c r="N743" s="869"/>
      <c r="O743" s="869"/>
      <c r="P743" s="869"/>
      <c r="Q743" s="869"/>
      <c r="R743" s="869"/>
      <c r="S743" s="869"/>
      <c r="T743" s="869"/>
      <c r="U743" s="869"/>
      <c r="V743" s="869"/>
      <c r="W743" s="869"/>
      <c r="X743" s="869"/>
      <c r="Y743" s="869"/>
      <c r="Z743" s="869"/>
    </row>
    <row r="744">
      <c r="A744" s="869"/>
      <c r="B744" s="869"/>
      <c r="C744" s="869"/>
      <c r="D744" s="869"/>
      <c r="E744" s="869"/>
      <c r="F744" s="869"/>
      <c r="G744" s="869"/>
      <c r="H744" s="869"/>
      <c r="I744" s="869"/>
      <c r="J744" s="869"/>
      <c r="K744" s="869"/>
      <c r="L744" s="869"/>
      <c r="M744" s="869"/>
      <c r="N744" s="869"/>
      <c r="O744" s="869"/>
      <c r="P744" s="869"/>
      <c r="Q744" s="869"/>
      <c r="R744" s="869"/>
      <c r="S744" s="869"/>
      <c r="T744" s="869"/>
      <c r="U744" s="869"/>
      <c r="V744" s="869"/>
      <c r="W744" s="869"/>
      <c r="X744" s="869"/>
      <c r="Y744" s="869"/>
      <c r="Z744" s="869"/>
    </row>
    <row r="745">
      <c r="A745" s="869"/>
      <c r="B745" s="869"/>
      <c r="C745" s="869"/>
      <c r="D745" s="869"/>
      <c r="E745" s="869"/>
      <c r="F745" s="869"/>
      <c r="G745" s="869"/>
      <c r="H745" s="869"/>
      <c r="I745" s="869"/>
      <c r="J745" s="869"/>
      <c r="K745" s="869"/>
      <c r="L745" s="869"/>
      <c r="M745" s="869"/>
      <c r="N745" s="869"/>
      <c r="O745" s="869"/>
      <c r="P745" s="869"/>
      <c r="Q745" s="869"/>
      <c r="R745" s="869"/>
      <c r="S745" s="869"/>
      <c r="T745" s="869"/>
      <c r="U745" s="869"/>
      <c r="V745" s="869"/>
      <c r="W745" s="869"/>
      <c r="X745" s="869"/>
      <c r="Y745" s="869"/>
      <c r="Z745" s="869"/>
    </row>
    <row r="746">
      <c r="A746" s="869"/>
      <c r="B746" s="869"/>
      <c r="C746" s="869"/>
      <c r="D746" s="869"/>
      <c r="E746" s="869"/>
      <c r="F746" s="869"/>
      <c r="G746" s="869"/>
      <c r="H746" s="869"/>
      <c r="I746" s="869"/>
      <c r="J746" s="869"/>
      <c r="K746" s="869"/>
      <c r="L746" s="869"/>
      <c r="M746" s="869"/>
      <c r="N746" s="869"/>
      <c r="O746" s="869"/>
      <c r="P746" s="869"/>
      <c r="Q746" s="869"/>
      <c r="R746" s="869"/>
      <c r="S746" s="869"/>
      <c r="T746" s="869"/>
      <c r="U746" s="869"/>
      <c r="V746" s="869"/>
      <c r="W746" s="869"/>
      <c r="X746" s="869"/>
      <c r="Y746" s="869"/>
      <c r="Z746" s="869"/>
    </row>
    <row r="747">
      <c r="A747" s="869"/>
      <c r="B747" s="869"/>
      <c r="C747" s="869"/>
      <c r="D747" s="869"/>
      <c r="E747" s="869"/>
      <c r="F747" s="869"/>
      <c r="G747" s="869"/>
      <c r="H747" s="869"/>
      <c r="I747" s="869"/>
      <c r="J747" s="869"/>
      <c r="K747" s="869"/>
      <c r="L747" s="869"/>
      <c r="M747" s="869"/>
      <c r="N747" s="869"/>
      <c r="O747" s="869"/>
      <c r="P747" s="869"/>
      <c r="Q747" s="869"/>
      <c r="R747" s="869"/>
      <c r="S747" s="869"/>
      <c r="T747" s="869"/>
      <c r="U747" s="869"/>
      <c r="V747" s="869"/>
      <c r="W747" s="869"/>
      <c r="X747" s="869"/>
      <c r="Y747" s="869"/>
      <c r="Z747" s="869"/>
    </row>
    <row r="748">
      <c r="A748" s="869"/>
      <c r="B748" s="869"/>
      <c r="C748" s="869"/>
      <c r="D748" s="869"/>
      <c r="E748" s="869"/>
      <c r="F748" s="869"/>
      <c r="G748" s="869"/>
      <c r="H748" s="869"/>
      <c r="I748" s="869"/>
      <c r="J748" s="869"/>
      <c r="K748" s="869"/>
      <c r="L748" s="869"/>
      <c r="M748" s="869"/>
      <c r="N748" s="869"/>
      <c r="O748" s="869"/>
      <c r="P748" s="869"/>
      <c r="Q748" s="869"/>
      <c r="R748" s="869"/>
      <c r="S748" s="869"/>
      <c r="T748" s="869"/>
      <c r="U748" s="869"/>
      <c r="V748" s="869"/>
      <c r="W748" s="869"/>
      <c r="X748" s="869"/>
      <c r="Y748" s="869"/>
      <c r="Z748" s="869"/>
    </row>
    <row r="749">
      <c r="A749" s="869"/>
      <c r="B749" s="869"/>
      <c r="C749" s="869"/>
      <c r="D749" s="869"/>
      <c r="E749" s="869"/>
      <c r="F749" s="869"/>
      <c r="G749" s="869"/>
      <c r="H749" s="869"/>
      <c r="I749" s="869"/>
      <c r="J749" s="869"/>
      <c r="K749" s="869"/>
      <c r="L749" s="869"/>
      <c r="M749" s="869"/>
      <c r="N749" s="869"/>
      <c r="O749" s="869"/>
      <c r="P749" s="869"/>
      <c r="Q749" s="869"/>
      <c r="R749" s="869"/>
      <c r="S749" s="869"/>
      <c r="T749" s="869"/>
      <c r="U749" s="869"/>
      <c r="V749" s="869"/>
      <c r="W749" s="869"/>
      <c r="X749" s="869"/>
      <c r="Y749" s="869"/>
      <c r="Z749" s="869"/>
    </row>
    <row r="750">
      <c r="A750" s="869"/>
      <c r="B750" s="869"/>
      <c r="C750" s="869"/>
      <c r="D750" s="869"/>
      <c r="E750" s="869"/>
      <c r="F750" s="869"/>
      <c r="G750" s="869"/>
      <c r="H750" s="869"/>
      <c r="I750" s="869"/>
      <c r="J750" s="869"/>
      <c r="K750" s="869"/>
      <c r="L750" s="869"/>
      <c r="M750" s="869"/>
      <c r="N750" s="869"/>
      <c r="O750" s="869"/>
      <c r="P750" s="869"/>
      <c r="Q750" s="869"/>
      <c r="R750" s="869"/>
      <c r="S750" s="869"/>
      <c r="T750" s="869"/>
      <c r="U750" s="869"/>
      <c r="V750" s="869"/>
      <c r="W750" s="869"/>
      <c r="X750" s="869"/>
      <c r="Y750" s="869"/>
      <c r="Z750" s="869"/>
    </row>
    <row r="751">
      <c r="A751" s="869"/>
      <c r="B751" s="869"/>
      <c r="C751" s="869"/>
      <c r="D751" s="869"/>
      <c r="E751" s="869"/>
      <c r="F751" s="869"/>
      <c r="G751" s="869"/>
      <c r="H751" s="869"/>
      <c r="I751" s="869"/>
      <c r="J751" s="869"/>
      <c r="K751" s="869"/>
      <c r="L751" s="869"/>
      <c r="M751" s="869"/>
      <c r="N751" s="869"/>
      <c r="O751" s="869"/>
      <c r="P751" s="869"/>
      <c r="Q751" s="869"/>
      <c r="R751" s="869"/>
      <c r="S751" s="869"/>
      <c r="T751" s="869"/>
      <c r="U751" s="869"/>
      <c r="V751" s="869"/>
      <c r="W751" s="869"/>
      <c r="X751" s="869"/>
      <c r="Y751" s="869"/>
      <c r="Z751" s="869"/>
    </row>
    <row r="752">
      <c r="A752" s="869"/>
      <c r="B752" s="869"/>
      <c r="C752" s="869"/>
      <c r="D752" s="869"/>
      <c r="E752" s="869"/>
      <c r="F752" s="869"/>
      <c r="G752" s="869"/>
      <c r="H752" s="869"/>
      <c r="I752" s="869"/>
      <c r="J752" s="869"/>
      <c r="K752" s="869"/>
      <c r="L752" s="869"/>
      <c r="M752" s="869"/>
      <c r="N752" s="869"/>
      <c r="O752" s="869"/>
      <c r="P752" s="869"/>
      <c r="Q752" s="869"/>
      <c r="R752" s="869"/>
      <c r="S752" s="869"/>
      <c r="T752" s="869"/>
      <c r="U752" s="869"/>
      <c r="V752" s="869"/>
      <c r="W752" s="869"/>
      <c r="X752" s="869"/>
      <c r="Y752" s="869"/>
      <c r="Z752" s="869"/>
    </row>
    <row r="753">
      <c r="A753" s="869"/>
      <c r="B753" s="869"/>
      <c r="C753" s="869"/>
      <c r="D753" s="869"/>
      <c r="E753" s="869"/>
      <c r="F753" s="869"/>
      <c r="G753" s="869"/>
      <c r="H753" s="869"/>
      <c r="I753" s="869"/>
      <c r="J753" s="869"/>
      <c r="K753" s="869"/>
      <c r="L753" s="869"/>
      <c r="M753" s="869"/>
      <c r="N753" s="869"/>
      <c r="O753" s="869"/>
      <c r="P753" s="869"/>
      <c r="Q753" s="869"/>
      <c r="R753" s="869"/>
      <c r="S753" s="869"/>
      <c r="T753" s="869"/>
      <c r="U753" s="869"/>
      <c r="V753" s="869"/>
      <c r="W753" s="869"/>
      <c r="X753" s="869"/>
      <c r="Y753" s="869"/>
      <c r="Z753" s="869"/>
    </row>
    <row r="754">
      <c r="A754" s="869"/>
      <c r="B754" s="869"/>
      <c r="C754" s="869"/>
      <c r="D754" s="869"/>
      <c r="E754" s="869"/>
      <c r="F754" s="869"/>
      <c r="G754" s="869"/>
      <c r="H754" s="869"/>
      <c r="I754" s="869"/>
      <c r="J754" s="869"/>
      <c r="K754" s="869"/>
      <c r="L754" s="869"/>
      <c r="M754" s="869"/>
      <c r="N754" s="869"/>
      <c r="O754" s="869"/>
      <c r="P754" s="869"/>
      <c r="Q754" s="869"/>
      <c r="R754" s="869"/>
      <c r="S754" s="869"/>
      <c r="T754" s="869"/>
      <c r="U754" s="869"/>
      <c r="V754" s="869"/>
      <c r="W754" s="869"/>
      <c r="X754" s="869"/>
      <c r="Y754" s="869"/>
      <c r="Z754" s="869"/>
    </row>
    <row r="755">
      <c r="A755" s="869"/>
      <c r="B755" s="869"/>
      <c r="C755" s="869"/>
      <c r="D755" s="869"/>
      <c r="E755" s="869"/>
      <c r="F755" s="869"/>
      <c r="G755" s="869"/>
      <c r="H755" s="869"/>
      <c r="I755" s="869"/>
      <c r="J755" s="869"/>
      <c r="K755" s="869"/>
      <c r="L755" s="869"/>
      <c r="M755" s="869"/>
      <c r="N755" s="869"/>
      <c r="O755" s="869"/>
      <c r="P755" s="869"/>
      <c r="Q755" s="869"/>
      <c r="R755" s="869"/>
      <c r="S755" s="869"/>
      <c r="T755" s="869"/>
      <c r="U755" s="869"/>
      <c r="V755" s="869"/>
      <c r="W755" s="869"/>
      <c r="X755" s="869"/>
      <c r="Y755" s="869"/>
      <c r="Z755" s="869"/>
    </row>
    <row r="756">
      <c r="A756" s="869"/>
      <c r="B756" s="869"/>
      <c r="C756" s="869"/>
      <c r="D756" s="869"/>
      <c r="E756" s="869"/>
      <c r="F756" s="869"/>
      <c r="G756" s="869"/>
      <c r="H756" s="869"/>
      <c r="I756" s="869"/>
      <c r="J756" s="869"/>
      <c r="K756" s="869"/>
      <c r="L756" s="869"/>
      <c r="M756" s="869"/>
      <c r="N756" s="869"/>
      <c r="O756" s="869"/>
      <c r="P756" s="869"/>
      <c r="Q756" s="869"/>
      <c r="R756" s="869"/>
      <c r="S756" s="869"/>
      <c r="T756" s="869"/>
      <c r="U756" s="869"/>
      <c r="V756" s="869"/>
      <c r="W756" s="869"/>
      <c r="X756" s="869"/>
      <c r="Y756" s="869"/>
      <c r="Z756" s="869"/>
    </row>
    <row r="757">
      <c r="A757" s="869"/>
      <c r="B757" s="869"/>
      <c r="C757" s="869"/>
      <c r="D757" s="869"/>
      <c r="E757" s="869"/>
      <c r="F757" s="869"/>
      <c r="G757" s="869"/>
      <c r="H757" s="869"/>
      <c r="I757" s="869"/>
      <c r="J757" s="869"/>
      <c r="K757" s="869"/>
      <c r="L757" s="869"/>
      <c r="M757" s="869"/>
      <c r="N757" s="869"/>
      <c r="O757" s="869"/>
      <c r="P757" s="869"/>
      <c r="Q757" s="869"/>
      <c r="R757" s="869"/>
      <c r="S757" s="869"/>
      <c r="T757" s="869"/>
      <c r="U757" s="869"/>
      <c r="V757" s="869"/>
      <c r="W757" s="869"/>
      <c r="X757" s="869"/>
      <c r="Y757" s="869"/>
      <c r="Z757" s="869"/>
    </row>
    <row r="758">
      <c r="A758" s="869"/>
      <c r="B758" s="869"/>
      <c r="C758" s="869"/>
      <c r="D758" s="869"/>
      <c r="E758" s="869"/>
      <c r="F758" s="869"/>
      <c r="G758" s="869"/>
      <c r="H758" s="869"/>
      <c r="I758" s="869"/>
      <c r="J758" s="869"/>
      <c r="K758" s="869"/>
      <c r="L758" s="869"/>
      <c r="M758" s="869"/>
      <c r="N758" s="869"/>
      <c r="O758" s="869"/>
      <c r="P758" s="869"/>
      <c r="Q758" s="869"/>
      <c r="R758" s="869"/>
      <c r="S758" s="869"/>
      <c r="T758" s="869"/>
      <c r="U758" s="869"/>
      <c r="V758" s="869"/>
      <c r="W758" s="869"/>
      <c r="X758" s="869"/>
      <c r="Y758" s="869"/>
      <c r="Z758" s="869"/>
    </row>
    <row r="759">
      <c r="A759" s="869"/>
      <c r="B759" s="869"/>
      <c r="C759" s="869"/>
      <c r="D759" s="869"/>
      <c r="E759" s="869"/>
      <c r="F759" s="869"/>
      <c r="G759" s="869"/>
      <c r="H759" s="869"/>
      <c r="I759" s="869"/>
      <c r="J759" s="869"/>
      <c r="K759" s="869"/>
      <c r="L759" s="869"/>
      <c r="M759" s="869"/>
      <c r="N759" s="869"/>
      <c r="O759" s="869"/>
      <c r="P759" s="869"/>
      <c r="Q759" s="869"/>
      <c r="R759" s="869"/>
      <c r="S759" s="869"/>
      <c r="T759" s="869"/>
      <c r="U759" s="869"/>
      <c r="V759" s="869"/>
      <c r="W759" s="869"/>
      <c r="X759" s="869"/>
      <c r="Y759" s="869"/>
      <c r="Z759" s="869"/>
    </row>
    <row r="760">
      <c r="A760" s="869"/>
      <c r="B760" s="869"/>
      <c r="C760" s="869"/>
      <c r="D760" s="869"/>
      <c r="E760" s="869"/>
      <c r="F760" s="869"/>
      <c r="G760" s="869"/>
      <c r="H760" s="869"/>
      <c r="I760" s="869"/>
      <c r="J760" s="869"/>
      <c r="K760" s="869"/>
      <c r="L760" s="869"/>
      <c r="M760" s="869"/>
      <c r="N760" s="869"/>
      <c r="O760" s="869"/>
      <c r="P760" s="869"/>
      <c r="Q760" s="869"/>
      <c r="R760" s="869"/>
      <c r="S760" s="869"/>
      <c r="T760" s="869"/>
      <c r="U760" s="869"/>
      <c r="V760" s="869"/>
      <c r="W760" s="869"/>
      <c r="X760" s="869"/>
      <c r="Y760" s="869"/>
      <c r="Z760" s="869"/>
    </row>
    <row r="761">
      <c r="A761" s="869"/>
      <c r="B761" s="869"/>
      <c r="C761" s="869"/>
      <c r="D761" s="869"/>
      <c r="E761" s="869"/>
      <c r="F761" s="869"/>
      <c r="G761" s="869"/>
      <c r="H761" s="869"/>
      <c r="I761" s="869"/>
      <c r="J761" s="869"/>
      <c r="K761" s="869"/>
      <c r="L761" s="869"/>
      <c r="M761" s="869"/>
      <c r="N761" s="869"/>
      <c r="O761" s="869"/>
      <c r="P761" s="869"/>
      <c r="Q761" s="869"/>
      <c r="R761" s="869"/>
      <c r="S761" s="869"/>
      <c r="T761" s="869"/>
      <c r="U761" s="869"/>
      <c r="V761" s="869"/>
      <c r="W761" s="869"/>
      <c r="X761" s="869"/>
      <c r="Y761" s="869"/>
      <c r="Z761" s="869"/>
    </row>
    <row r="762">
      <c r="A762" s="869"/>
      <c r="B762" s="869"/>
      <c r="C762" s="869"/>
      <c r="D762" s="869"/>
      <c r="E762" s="869"/>
      <c r="F762" s="869"/>
      <c r="G762" s="869"/>
      <c r="H762" s="869"/>
      <c r="I762" s="869"/>
      <c r="J762" s="869"/>
      <c r="K762" s="869"/>
      <c r="L762" s="869"/>
      <c r="M762" s="869"/>
      <c r="N762" s="869"/>
      <c r="O762" s="869"/>
      <c r="P762" s="869"/>
      <c r="Q762" s="869"/>
      <c r="R762" s="869"/>
      <c r="S762" s="869"/>
      <c r="T762" s="869"/>
      <c r="U762" s="869"/>
      <c r="V762" s="869"/>
      <c r="W762" s="869"/>
      <c r="X762" s="869"/>
      <c r="Y762" s="869"/>
      <c r="Z762" s="869"/>
    </row>
    <row r="763">
      <c r="A763" s="869"/>
      <c r="B763" s="869"/>
      <c r="C763" s="869"/>
      <c r="D763" s="869"/>
      <c r="E763" s="869"/>
      <c r="F763" s="869"/>
      <c r="G763" s="869"/>
      <c r="H763" s="869"/>
      <c r="I763" s="869"/>
      <c r="J763" s="869"/>
      <c r="K763" s="869"/>
      <c r="L763" s="869"/>
      <c r="M763" s="869"/>
      <c r="N763" s="869"/>
      <c r="O763" s="869"/>
      <c r="P763" s="869"/>
      <c r="Q763" s="869"/>
      <c r="R763" s="869"/>
      <c r="S763" s="869"/>
      <c r="T763" s="869"/>
      <c r="U763" s="869"/>
      <c r="V763" s="869"/>
      <c r="W763" s="869"/>
      <c r="X763" s="869"/>
      <c r="Y763" s="869"/>
      <c r="Z763" s="869"/>
    </row>
    <row r="764">
      <c r="A764" s="869"/>
      <c r="B764" s="869"/>
      <c r="C764" s="869"/>
      <c r="D764" s="869"/>
      <c r="E764" s="869"/>
      <c r="F764" s="869"/>
      <c r="G764" s="869"/>
      <c r="H764" s="869"/>
      <c r="I764" s="869"/>
      <c r="J764" s="869"/>
      <c r="K764" s="869"/>
      <c r="L764" s="869"/>
      <c r="M764" s="869"/>
      <c r="N764" s="869"/>
      <c r="O764" s="869"/>
      <c r="P764" s="869"/>
      <c r="Q764" s="869"/>
      <c r="R764" s="869"/>
      <c r="S764" s="869"/>
      <c r="T764" s="869"/>
      <c r="U764" s="869"/>
      <c r="V764" s="869"/>
      <c r="W764" s="869"/>
      <c r="X764" s="869"/>
      <c r="Y764" s="869"/>
      <c r="Z764" s="869"/>
    </row>
    <row r="765">
      <c r="A765" s="869"/>
      <c r="B765" s="869"/>
      <c r="C765" s="869"/>
      <c r="D765" s="869"/>
      <c r="E765" s="869"/>
      <c r="F765" s="869"/>
      <c r="G765" s="869"/>
      <c r="H765" s="869"/>
      <c r="I765" s="869"/>
      <c r="J765" s="869"/>
      <c r="K765" s="869"/>
      <c r="L765" s="869"/>
      <c r="M765" s="869"/>
      <c r="N765" s="869"/>
      <c r="O765" s="869"/>
      <c r="P765" s="869"/>
      <c r="Q765" s="869"/>
      <c r="R765" s="869"/>
      <c r="S765" s="869"/>
      <c r="T765" s="869"/>
      <c r="U765" s="869"/>
      <c r="V765" s="869"/>
      <c r="W765" s="869"/>
      <c r="X765" s="869"/>
      <c r="Y765" s="869"/>
      <c r="Z765" s="869"/>
    </row>
    <row r="766">
      <c r="A766" s="869"/>
      <c r="B766" s="869"/>
      <c r="C766" s="869"/>
      <c r="D766" s="869"/>
      <c r="E766" s="869"/>
      <c r="F766" s="869"/>
      <c r="G766" s="869"/>
      <c r="H766" s="869"/>
      <c r="I766" s="869"/>
      <c r="J766" s="869"/>
      <c r="K766" s="869"/>
      <c r="L766" s="869"/>
      <c r="M766" s="869"/>
      <c r="N766" s="869"/>
      <c r="O766" s="869"/>
      <c r="P766" s="869"/>
      <c r="Q766" s="869"/>
      <c r="R766" s="869"/>
      <c r="S766" s="869"/>
      <c r="T766" s="869"/>
      <c r="U766" s="869"/>
      <c r="V766" s="869"/>
      <c r="W766" s="869"/>
      <c r="X766" s="869"/>
      <c r="Y766" s="869"/>
      <c r="Z766" s="869"/>
    </row>
    <row r="767">
      <c r="A767" s="869"/>
      <c r="B767" s="869"/>
      <c r="C767" s="869"/>
      <c r="D767" s="869"/>
      <c r="E767" s="869"/>
      <c r="F767" s="869"/>
      <c r="G767" s="869"/>
      <c r="H767" s="869"/>
      <c r="I767" s="869"/>
      <c r="J767" s="869"/>
      <c r="K767" s="869"/>
      <c r="L767" s="869"/>
      <c r="M767" s="869"/>
      <c r="N767" s="869"/>
      <c r="O767" s="869"/>
      <c r="P767" s="869"/>
      <c r="Q767" s="869"/>
      <c r="R767" s="869"/>
      <c r="S767" s="869"/>
      <c r="T767" s="869"/>
      <c r="U767" s="869"/>
      <c r="V767" s="869"/>
      <c r="W767" s="869"/>
      <c r="X767" s="869"/>
      <c r="Y767" s="869"/>
      <c r="Z767" s="869"/>
    </row>
    <row r="768">
      <c r="A768" s="869"/>
      <c r="B768" s="869"/>
      <c r="C768" s="869"/>
      <c r="D768" s="869"/>
      <c r="E768" s="869"/>
      <c r="F768" s="869"/>
      <c r="G768" s="869"/>
      <c r="H768" s="869"/>
      <c r="I768" s="869"/>
      <c r="J768" s="869"/>
      <c r="K768" s="869"/>
      <c r="L768" s="869"/>
      <c r="M768" s="869"/>
      <c r="N768" s="869"/>
      <c r="O768" s="869"/>
      <c r="P768" s="869"/>
      <c r="Q768" s="869"/>
      <c r="R768" s="869"/>
      <c r="S768" s="869"/>
      <c r="T768" s="869"/>
      <c r="U768" s="869"/>
      <c r="V768" s="869"/>
      <c r="W768" s="869"/>
      <c r="X768" s="869"/>
      <c r="Y768" s="869"/>
      <c r="Z768" s="869"/>
    </row>
    <row r="769">
      <c r="A769" s="869"/>
      <c r="B769" s="869"/>
      <c r="C769" s="869"/>
      <c r="D769" s="869"/>
      <c r="E769" s="869"/>
      <c r="F769" s="869"/>
      <c r="G769" s="869"/>
      <c r="H769" s="869"/>
      <c r="I769" s="869"/>
      <c r="J769" s="869"/>
      <c r="K769" s="869"/>
      <c r="L769" s="869"/>
      <c r="M769" s="869"/>
      <c r="N769" s="869"/>
      <c r="O769" s="869"/>
      <c r="P769" s="869"/>
      <c r="Q769" s="869"/>
      <c r="R769" s="869"/>
      <c r="S769" s="869"/>
      <c r="T769" s="869"/>
      <c r="U769" s="869"/>
      <c r="V769" s="869"/>
      <c r="W769" s="869"/>
      <c r="X769" s="869"/>
      <c r="Y769" s="869"/>
      <c r="Z769" s="869"/>
    </row>
    <row r="770">
      <c r="A770" s="869"/>
      <c r="B770" s="869"/>
      <c r="C770" s="869"/>
      <c r="D770" s="869"/>
      <c r="E770" s="869"/>
      <c r="F770" s="869"/>
      <c r="G770" s="869"/>
      <c r="H770" s="869"/>
      <c r="I770" s="869"/>
      <c r="J770" s="869"/>
      <c r="K770" s="869"/>
      <c r="L770" s="869"/>
      <c r="M770" s="869"/>
      <c r="N770" s="869"/>
      <c r="O770" s="869"/>
      <c r="P770" s="869"/>
      <c r="Q770" s="869"/>
      <c r="R770" s="869"/>
      <c r="S770" s="869"/>
      <c r="T770" s="869"/>
      <c r="U770" s="869"/>
      <c r="V770" s="869"/>
      <c r="W770" s="869"/>
      <c r="X770" s="869"/>
      <c r="Y770" s="869"/>
      <c r="Z770" s="869"/>
    </row>
    <row r="771">
      <c r="A771" s="869"/>
      <c r="B771" s="869"/>
      <c r="C771" s="869"/>
      <c r="D771" s="869"/>
      <c r="E771" s="869"/>
      <c r="F771" s="869"/>
      <c r="G771" s="869"/>
      <c r="H771" s="869"/>
      <c r="I771" s="869"/>
      <c r="J771" s="869"/>
      <c r="K771" s="869"/>
      <c r="L771" s="869"/>
      <c r="M771" s="869"/>
      <c r="N771" s="869"/>
      <c r="O771" s="869"/>
      <c r="P771" s="869"/>
      <c r="Q771" s="869"/>
      <c r="R771" s="869"/>
      <c r="S771" s="869"/>
      <c r="T771" s="869"/>
      <c r="U771" s="869"/>
      <c r="V771" s="869"/>
      <c r="W771" s="869"/>
      <c r="X771" s="869"/>
      <c r="Y771" s="869"/>
      <c r="Z771" s="869"/>
    </row>
    <row r="772">
      <c r="A772" s="869"/>
      <c r="B772" s="869"/>
      <c r="C772" s="869"/>
      <c r="D772" s="869"/>
      <c r="E772" s="869"/>
      <c r="F772" s="869"/>
      <c r="G772" s="869"/>
      <c r="H772" s="869"/>
      <c r="I772" s="869"/>
      <c r="J772" s="869"/>
      <c r="K772" s="869"/>
      <c r="L772" s="869"/>
      <c r="M772" s="869"/>
      <c r="N772" s="869"/>
      <c r="O772" s="869"/>
      <c r="P772" s="869"/>
      <c r="Q772" s="869"/>
      <c r="R772" s="869"/>
      <c r="S772" s="869"/>
      <c r="T772" s="869"/>
      <c r="U772" s="869"/>
      <c r="V772" s="869"/>
      <c r="W772" s="869"/>
      <c r="X772" s="869"/>
      <c r="Y772" s="869"/>
      <c r="Z772" s="869"/>
    </row>
    <row r="773">
      <c r="A773" s="869"/>
      <c r="B773" s="869"/>
      <c r="C773" s="869"/>
      <c r="D773" s="869"/>
      <c r="E773" s="869"/>
      <c r="F773" s="869"/>
      <c r="G773" s="869"/>
      <c r="H773" s="869"/>
      <c r="I773" s="869"/>
      <c r="J773" s="869"/>
      <c r="K773" s="869"/>
      <c r="L773" s="869"/>
      <c r="M773" s="869"/>
      <c r="N773" s="869"/>
      <c r="O773" s="869"/>
      <c r="P773" s="869"/>
      <c r="Q773" s="869"/>
      <c r="R773" s="869"/>
      <c r="S773" s="869"/>
      <c r="T773" s="869"/>
      <c r="U773" s="869"/>
      <c r="V773" s="869"/>
      <c r="W773" s="869"/>
      <c r="X773" s="869"/>
      <c r="Y773" s="869"/>
      <c r="Z773" s="869"/>
    </row>
    <row r="774">
      <c r="A774" s="869"/>
      <c r="B774" s="869"/>
      <c r="C774" s="869"/>
      <c r="D774" s="869"/>
      <c r="E774" s="869"/>
      <c r="F774" s="869"/>
      <c r="G774" s="869"/>
      <c r="H774" s="869"/>
      <c r="I774" s="869"/>
      <c r="J774" s="869"/>
      <c r="K774" s="869"/>
      <c r="L774" s="869"/>
      <c r="M774" s="869"/>
      <c r="N774" s="869"/>
      <c r="O774" s="869"/>
      <c r="P774" s="869"/>
      <c r="Q774" s="869"/>
      <c r="R774" s="869"/>
      <c r="S774" s="869"/>
      <c r="T774" s="869"/>
      <c r="U774" s="869"/>
      <c r="V774" s="869"/>
      <c r="W774" s="869"/>
      <c r="X774" s="869"/>
      <c r="Y774" s="869"/>
      <c r="Z774" s="869"/>
    </row>
    <row r="775">
      <c r="A775" s="869"/>
      <c r="B775" s="869"/>
      <c r="C775" s="869"/>
      <c r="D775" s="869"/>
      <c r="E775" s="869"/>
      <c r="F775" s="869"/>
      <c r="G775" s="869"/>
      <c r="H775" s="869"/>
      <c r="I775" s="869"/>
      <c r="J775" s="869"/>
      <c r="K775" s="869"/>
      <c r="L775" s="869"/>
      <c r="M775" s="869"/>
      <c r="N775" s="869"/>
      <c r="O775" s="869"/>
      <c r="P775" s="869"/>
      <c r="Q775" s="869"/>
      <c r="R775" s="869"/>
      <c r="S775" s="869"/>
      <c r="T775" s="869"/>
      <c r="U775" s="869"/>
      <c r="V775" s="869"/>
      <c r="W775" s="869"/>
      <c r="X775" s="869"/>
      <c r="Y775" s="869"/>
      <c r="Z775" s="869"/>
    </row>
    <row r="776">
      <c r="A776" s="869"/>
      <c r="B776" s="869"/>
      <c r="C776" s="869"/>
      <c r="D776" s="869"/>
      <c r="E776" s="869"/>
      <c r="F776" s="869"/>
      <c r="G776" s="869"/>
      <c r="H776" s="869"/>
      <c r="I776" s="869"/>
      <c r="J776" s="869"/>
      <c r="K776" s="869"/>
      <c r="L776" s="869"/>
      <c r="M776" s="869"/>
      <c r="N776" s="869"/>
      <c r="O776" s="869"/>
      <c r="P776" s="869"/>
      <c r="Q776" s="869"/>
      <c r="R776" s="869"/>
      <c r="S776" s="869"/>
      <c r="T776" s="869"/>
      <c r="U776" s="869"/>
      <c r="V776" s="869"/>
      <c r="W776" s="869"/>
      <c r="X776" s="869"/>
      <c r="Y776" s="869"/>
      <c r="Z776" s="869"/>
    </row>
    <row r="777">
      <c r="A777" s="869"/>
      <c r="B777" s="869"/>
      <c r="C777" s="869"/>
      <c r="D777" s="869"/>
      <c r="E777" s="869"/>
      <c r="F777" s="869"/>
      <c r="G777" s="869"/>
      <c r="H777" s="869"/>
      <c r="I777" s="869"/>
      <c r="J777" s="869"/>
      <c r="K777" s="869"/>
      <c r="L777" s="869"/>
      <c r="M777" s="869"/>
      <c r="N777" s="869"/>
      <c r="O777" s="869"/>
      <c r="P777" s="869"/>
      <c r="Q777" s="869"/>
      <c r="R777" s="869"/>
      <c r="S777" s="869"/>
      <c r="T777" s="869"/>
      <c r="U777" s="869"/>
      <c r="V777" s="869"/>
      <c r="W777" s="869"/>
      <c r="X777" s="869"/>
      <c r="Y777" s="869"/>
      <c r="Z777" s="869"/>
    </row>
    <row r="778">
      <c r="A778" s="869"/>
      <c r="B778" s="869"/>
      <c r="C778" s="869"/>
      <c r="D778" s="869"/>
      <c r="E778" s="869"/>
      <c r="F778" s="869"/>
      <c r="G778" s="869"/>
      <c r="H778" s="869"/>
      <c r="I778" s="869"/>
      <c r="J778" s="869"/>
      <c r="K778" s="869"/>
      <c r="L778" s="869"/>
      <c r="M778" s="869"/>
      <c r="N778" s="869"/>
      <c r="O778" s="869"/>
      <c r="P778" s="869"/>
      <c r="Q778" s="869"/>
      <c r="R778" s="869"/>
      <c r="S778" s="869"/>
      <c r="T778" s="869"/>
      <c r="U778" s="869"/>
      <c r="V778" s="869"/>
      <c r="W778" s="869"/>
      <c r="X778" s="869"/>
      <c r="Y778" s="869"/>
      <c r="Z778" s="869"/>
    </row>
    <row r="779">
      <c r="A779" s="869"/>
      <c r="B779" s="869"/>
      <c r="C779" s="869"/>
      <c r="D779" s="869"/>
      <c r="E779" s="869"/>
      <c r="F779" s="869"/>
      <c r="G779" s="869"/>
      <c r="H779" s="869"/>
      <c r="I779" s="869"/>
      <c r="J779" s="869"/>
      <c r="K779" s="869"/>
      <c r="L779" s="869"/>
      <c r="M779" s="869"/>
      <c r="N779" s="869"/>
      <c r="O779" s="869"/>
      <c r="P779" s="869"/>
      <c r="Q779" s="869"/>
      <c r="R779" s="869"/>
      <c r="S779" s="869"/>
      <c r="T779" s="869"/>
      <c r="U779" s="869"/>
      <c r="V779" s="869"/>
      <c r="W779" s="869"/>
      <c r="X779" s="869"/>
      <c r="Y779" s="869"/>
      <c r="Z779" s="869"/>
    </row>
    <row r="780">
      <c r="A780" s="869"/>
      <c r="B780" s="869"/>
      <c r="C780" s="869"/>
      <c r="D780" s="869"/>
      <c r="E780" s="869"/>
      <c r="F780" s="869"/>
      <c r="G780" s="869"/>
      <c r="H780" s="869"/>
      <c r="I780" s="869"/>
      <c r="J780" s="869"/>
      <c r="K780" s="869"/>
      <c r="L780" s="869"/>
      <c r="M780" s="869"/>
      <c r="N780" s="869"/>
      <c r="O780" s="869"/>
      <c r="P780" s="869"/>
      <c r="Q780" s="869"/>
      <c r="R780" s="869"/>
      <c r="S780" s="869"/>
      <c r="T780" s="869"/>
      <c r="U780" s="869"/>
      <c r="V780" s="869"/>
      <c r="W780" s="869"/>
      <c r="X780" s="869"/>
      <c r="Y780" s="869"/>
      <c r="Z780" s="869"/>
    </row>
    <row r="781">
      <c r="A781" s="869"/>
      <c r="B781" s="869"/>
      <c r="C781" s="869"/>
      <c r="D781" s="869"/>
      <c r="E781" s="869"/>
      <c r="F781" s="869"/>
      <c r="G781" s="869"/>
      <c r="H781" s="869"/>
      <c r="I781" s="869"/>
      <c r="J781" s="869"/>
      <c r="K781" s="869"/>
      <c r="L781" s="869"/>
      <c r="M781" s="869"/>
      <c r="N781" s="869"/>
      <c r="O781" s="869"/>
      <c r="P781" s="869"/>
      <c r="Q781" s="869"/>
      <c r="R781" s="869"/>
      <c r="S781" s="869"/>
      <c r="T781" s="869"/>
      <c r="U781" s="869"/>
      <c r="V781" s="869"/>
      <c r="W781" s="869"/>
      <c r="X781" s="869"/>
      <c r="Y781" s="869"/>
      <c r="Z781" s="869"/>
    </row>
    <row r="782">
      <c r="A782" s="869"/>
      <c r="B782" s="869"/>
      <c r="C782" s="869"/>
      <c r="D782" s="869"/>
      <c r="E782" s="869"/>
      <c r="F782" s="869"/>
      <c r="G782" s="869"/>
      <c r="H782" s="869"/>
      <c r="I782" s="869"/>
      <c r="J782" s="869"/>
      <c r="K782" s="869"/>
      <c r="L782" s="869"/>
      <c r="M782" s="869"/>
      <c r="N782" s="869"/>
      <c r="O782" s="869"/>
      <c r="P782" s="869"/>
      <c r="Q782" s="869"/>
      <c r="R782" s="869"/>
      <c r="S782" s="869"/>
      <c r="T782" s="869"/>
      <c r="U782" s="869"/>
      <c r="V782" s="869"/>
      <c r="W782" s="869"/>
      <c r="X782" s="869"/>
      <c r="Y782" s="869"/>
      <c r="Z782" s="869"/>
    </row>
    <row r="783">
      <c r="A783" s="869"/>
      <c r="B783" s="869"/>
      <c r="C783" s="869"/>
      <c r="D783" s="869"/>
      <c r="E783" s="869"/>
      <c r="F783" s="869"/>
      <c r="G783" s="869"/>
      <c r="H783" s="869"/>
      <c r="I783" s="869"/>
      <c r="J783" s="869"/>
      <c r="K783" s="869"/>
      <c r="L783" s="869"/>
      <c r="M783" s="869"/>
      <c r="N783" s="869"/>
      <c r="O783" s="869"/>
      <c r="P783" s="869"/>
      <c r="Q783" s="869"/>
      <c r="R783" s="869"/>
      <c r="S783" s="869"/>
      <c r="T783" s="869"/>
      <c r="U783" s="869"/>
      <c r="V783" s="869"/>
      <c r="W783" s="869"/>
      <c r="X783" s="869"/>
      <c r="Y783" s="869"/>
      <c r="Z783" s="869"/>
    </row>
    <row r="784">
      <c r="A784" s="869"/>
      <c r="B784" s="869"/>
      <c r="C784" s="869"/>
      <c r="D784" s="869"/>
      <c r="E784" s="869"/>
      <c r="F784" s="869"/>
      <c r="G784" s="869"/>
      <c r="H784" s="869"/>
      <c r="I784" s="869"/>
      <c r="J784" s="869"/>
      <c r="K784" s="869"/>
      <c r="L784" s="869"/>
      <c r="M784" s="869"/>
      <c r="N784" s="869"/>
      <c r="O784" s="869"/>
      <c r="P784" s="869"/>
      <c r="Q784" s="869"/>
      <c r="R784" s="869"/>
      <c r="S784" s="869"/>
      <c r="T784" s="869"/>
      <c r="U784" s="869"/>
      <c r="V784" s="869"/>
      <c r="W784" s="869"/>
      <c r="X784" s="869"/>
      <c r="Y784" s="869"/>
      <c r="Z784" s="869"/>
    </row>
    <row r="785">
      <c r="A785" s="869"/>
      <c r="B785" s="869"/>
      <c r="C785" s="869"/>
      <c r="D785" s="869"/>
      <c r="E785" s="869"/>
      <c r="F785" s="869"/>
      <c r="G785" s="869"/>
      <c r="H785" s="869"/>
      <c r="I785" s="869"/>
      <c r="J785" s="869"/>
      <c r="K785" s="869"/>
      <c r="L785" s="869"/>
      <c r="M785" s="869"/>
      <c r="N785" s="869"/>
      <c r="O785" s="869"/>
      <c r="P785" s="869"/>
      <c r="Q785" s="869"/>
      <c r="R785" s="869"/>
      <c r="S785" s="869"/>
      <c r="T785" s="869"/>
      <c r="U785" s="869"/>
      <c r="V785" s="869"/>
      <c r="W785" s="869"/>
      <c r="X785" s="869"/>
      <c r="Y785" s="869"/>
      <c r="Z785" s="869"/>
    </row>
    <row r="786">
      <c r="A786" s="869"/>
      <c r="B786" s="869"/>
      <c r="C786" s="869"/>
      <c r="D786" s="869"/>
      <c r="E786" s="869"/>
      <c r="F786" s="869"/>
      <c r="G786" s="869"/>
      <c r="H786" s="869"/>
      <c r="I786" s="869"/>
      <c r="J786" s="869"/>
      <c r="K786" s="869"/>
      <c r="L786" s="869"/>
      <c r="M786" s="869"/>
      <c r="N786" s="869"/>
      <c r="O786" s="869"/>
      <c r="P786" s="869"/>
      <c r="Q786" s="869"/>
      <c r="R786" s="869"/>
      <c r="S786" s="869"/>
      <c r="T786" s="869"/>
      <c r="U786" s="869"/>
      <c r="V786" s="869"/>
      <c r="W786" s="869"/>
      <c r="X786" s="869"/>
      <c r="Y786" s="869"/>
      <c r="Z786" s="869"/>
    </row>
    <row r="787">
      <c r="A787" s="869"/>
      <c r="B787" s="869"/>
      <c r="C787" s="869"/>
      <c r="D787" s="869"/>
      <c r="E787" s="869"/>
      <c r="F787" s="869"/>
      <c r="G787" s="869"/>
      <c r="H787" s="869"/>
      <c r="I787" s="869"/>
      <c r="J787" s="869"/>
      <c r="K787" s="869"/>
      <c r="L787" s="869"/>
      <c r="M787" s="869"/>
      <c r="N787" s="869"/>
      <c r="O787" s="869"/>
      <c r="P787" s="869"/>
      <c r="Q787" s="869"/>
      <c r="R787" s="869"/>
      <c r="S787" s="869"/>
      <c r="T787" s="869"/>
      <c r="U787" s="869"/>
      <c r="V787" s="869"/>
      <c r="W787" s="869"/>
      <c r="X787" s="869"/>
      <c r="Y787" s="869"/>
      <c r="Z787" s="869"/>
    </row>
    <row r="788">
      <c r="A788" s="869"/>
      <c r="B788" s="869"/>
      <c r="C788" s="869"/>
      <c r="D788" s="869"/>
      <c r="E788" s="869"/>
      <c r="F788" s="869"/>
      <c r="G788" s="869"/>
      <c r="H788" s="869"/>
      <c r="I788" s="869"/>
      <c r="J788" s="869"/>
      <c r="K788" s="869"/>
      <c r="L788" s="869"/>
      <c r="M788" s="869"/>
      <c r="N788" s="869"/>
      <c r="O788" s="869"/>
      <c r="P788" s="869"/>
      <c r="Q788" s="869"/>
      <c r="R788" s="869"/>
      <c r="S788" s="869"/>
      <c r="T788" s="869"/>
      <c r="U788" s="869"/>
      <c r="V788" s="869"/>
      <c r="W788" s="869"/>
      <c r="X788" s="869"/>
      <c r="Y788" s="869"/>
      <c r="Z788" s="869"/>
    </row>
    <row r="789">
      <c r="A789" s="869"/>
      <c r="B789" s="869"/>
      <c r="C789" s="869"/>
      <c r="D789" s="869"/>
      <c r="E789" s="869"/>
      <c r="F789" s="869"/>
      <c r="G789" s="869"/>
      <c r="H789" s="869"/>
      <c r="I789" s="869"/>
      <c r="J789" s="869"/>
      <c r="K789" s="869"/>
      <c r="L789" s="869"/>
      <c r="M789" s="869"/>
      <c r="N789" s="869"/>
      <c r="O789" s="869"/>
      <c r="P789" s="869"/>
      <c r="Q789" s="869"/>
      <c r="R789" s="869"/>
      <c r="S789" s="869"/>
      <c r="T789" s="869"/>
      <c r="U789" s="869"/>
      <c r="V789" s="869"/>
      <c r="W789" s="869"/>
      <c r="X789" s="869"/>
      <c r="Y789" s="869"/>
      <c r="Z789" s="869"/>
    </row>
    <row r="790">
      <c r="A790" s="869"/>
      <c r="B790" s="869"/>
      <c r="C790" s="869"/>
      <c r="D790" s="869"/>
      <c r="E790" s="869"/>
      <c r="F790" s="869"/>
      <c r="G790" s="869"/>
      <c r="H790" s="869"/>
      <c r="I790" s="869"/>
      <c r="J790" s="869"/>
      <c r="K790" s="869"/>
      <c r="L790" s="869"/>
      <c r="M790" s="869"/>
      <c r="N790" s="869"/>
      <c r="O790" s="869"/>
      <c r="P790" s="869"/>
      <c r="Q790" s="869"/>
      <c r="R790" s="869"/>
      <c r="S790" s="869"/>
      <c r="T790" s="869"/>
      <c r="U790" s="869"/>
      <c r="V790" s="869"/>
      <c r="W790" s="869"/>
      <c r="X790" s="869"/>
      <c r="Y790" s="869"/>
      <c r="Z790" s="869"/>
    </row>
    <row r="791">
      <c r="A791" s="869"/>
      <c r="B791" s="869"/>
      <c r="C791" s="869"/>
      <c r="D791" s="869"/>
      <c r="E791" s="869"/>
      <c r="F791" s="869"/>
      <c r="G791" s="869"/>
      <c r="H791" s="869"/>
      <c r="I791" s="869"/>
      <c r="J791" s="869"/>
      <c r="K791" s="869"/>
      <c r="L791" s="869"/>
      <c r="M791" s="869"/>
      <c r="N791" s="869"/>
      <c r="O791" s="869"/>
      <c r="P791" s="869"/>
      <c r="Q791" s="869"/>
      <c r="R791" s="869"/>
      <c r="S791" s="869"/>
      <c r="T791" s="869"/>
      <c r="U791" s="869"/>
      <c r="V791" s="869"/>
      <c r="W791" s="869"/>
      <c r="X791" s="869"/>
      <c r="Y791" s="869"/>
      <c r="Z791" s="869"/>
    </row>
    <row r="792">
      <c r="A792" s="869"/>
      <c r="B792" s="869"/>
      <c r="C792" s="869"/>
      <c r="D792" s="869"/>
      <c r="E792" s="869"/>
      <c r="F792" s="869"/>
      <c r="G792" s="869"/>
      <c r="H792" s="869"/>
      <c r="I792" s="869"/>
      <c r="J792" s="869"/>
      <c r="K792" s="869"/>
      <c r="L792" s="869"/>
      <c r="M792" s="869"/>
      <c r="N792" s="869"/>
      <c r="O792" s="869"/>
      <c r="P792" s="869"/>
      <c r="Q792" s="869"/>
      <c r="R792" s="869"/>
      <c r="S792" s="869"/>
      <c r="T792" s="869"/>
      <c r="U792" s="869"/>
      <c r="V792" s="869"/>
      <c r="W792" s="869"/>
      <c r="X792" s="869"/>
      <c r="Y792" s="869"/>
      <c r="Z792" s="869"/>
    </row>
    <row r="793">
      <c r="A793" s="869"/>
      <c r="B793" s="869"/>
      <c r="C793" s="869"/>
      <c r="D793" s="869"/>
      <c r="E793" s="869"/>
      <c r="F793" s="869"/>
      <c r="G793" s="869"/>
      <c r="H793" s="869"/>
      <c r="I793" s="869"/>
      <c r="J793" s="869"/>
      <c r="K793" s="869"/>
      <c r="L793" s="869"/>
      <c r="M793" s="869"/>
      <c r="N793" s="869"/>
      <c r="O793" s="869"/>
      <c r="P793" s="869"/>
      <c r="Q793" s="869"/>
      <c r="R793" s="869"/>
      <c r="S793" s="869"/>
      <c r="T793" s="869"/>
      <c r="U793" s="869"/>
      <c r="V793" s="869"/>
      <c r="W793" s="869"/>
      <c r="X793" s="869"/>
      <c r="Y793" s="869"/>
      <c r="Z793" s="869"/>
    </row>
    <row r="794">
      <c r="A794" s="869"/>
      <c r="B794" s="869"/>
      <c r="C794" s="869"/>
      <c r="D794" s="869"/>
      <c r="E794" s="869"/>
      <c r="F794" s="869"/>
      <c r="G794" s="869"/>
      <c r="H794" s="869"/>
      <c r="I794" s="869"/>
      <c r="J794" s="869"/>
      <c r="K794" s="869"/>
      <c r="L794" s="869"/>
      <c r="M794" s="869"/>
      <c r="N794" s="869"/>
      <c r="O794" s="869"/>
      <c r="P794" s="869"/>
      <c r="Q794" s="869"/>
      <c r="R794" s="869"/>
      <c r="S794" s="869"/>
      <c r="T794" s="869"/>
      <c r="U794" s="869"/>
      <c r="V794" s="869"/>
      <c r="W794" s="869"/>
      <c r="X794" s="869"/>
      <c r="Y794" s="869"/>
      <c r="Z794" s="869"/>
    </row>
    <row r="795">
      <c r="A795" s="869"/>
      <c r="B795" s="869"/>
      <c r="C795" s="869"/>
      <c r="D795" s="869"/>
      <c r="E795" s="869"/>
      <c r="F795" s="869"/>
      <c r="G795" s="869"/>
      <c r="H795" s="869"/>
      <c r="I795" s="869"/>
      <c r="J795" s="869"/>
      <c r="K795" s="869"/>
      <c r="L795" s="869"/>
      <c r="M795" s="869"/>
      <c r="N795" s="869"/>
      <c r="O795" s="869"/>
      <c r="P795" s="869"/>
      <c r="Q795" s="869"/>
      <c r="R795" s="869"/>
      <c r="S795" s="869"/>
      <c r="T795" s="869"/>
      <c r="U795" s="869"/>
      <c r="V795" s="869"/>
      <c r="W795" s="869"/>
      <c r="X795" s="869"/>
      <c r="Y795" s="869"/>
      <c r="Z795" s="869"/>
    </row>
    <row r="796">
      <c r="A796" s="869"/>
      <c r="B796" s="869"/>
      <c r="C796" s="869"/>
      <c r="D796" s="869"/>
      <c r="E796" s="869"/>
      <c r="F796" s="869"/>
      <c r="G796" s="869"/>
      <c r="H796" s="869"/>
      <c r="I796" s="869"/>
      <c r="J796" s="869"/>
      <c r="K796" s="869"/>
      <c r="L796" s="869"/>
      <c r="M796" s="869"/>
      <c r="N796" s="869"/>
      <c r="O796" s="869"/>
      <c r="P796" s="869"/>
      <c r="Q796" s="869"/>
      <c r="R796" s="869"/>
      <c r="S796" s="869"/>
      <c r="T796" s="869"/>
      <c r="U796" s="869"/>
      <c r="V796" s="869"/>
      <c r="W796" s="869"/>
      <c r="X796" s="869"/>
      <c r="Y796" s="869"/>
      <c r="Z796" s="869"/>
    </row>
    <row r="797">
      <c r="A797" s="869"/>
      <c r="B797" s="869"/>
      <c r="C797" s="869"/>
      <c r="D797" s="869"/>
      <c r="E797" s="869"/>
      <c r="F797" s="869"/>
      <c r="G797" s="869"/>
      <c r="H797" s="869"/>
      <c r="I797" s="869"/>
      <c r="J797" s="869"/>
      <c r="K797" s="869"/>
      <c r="L797" s="869"/>
      <c r="M797" s="869"/>
      <c r="N797" s="869"/>
      <c r="O797" s="869"/>
      <c r="P797" s="869"/>
      <c r="Q797" s="869"/>
      <c r="R797" s="869"/>
      <c r="S797" s="869"/>
      <c r="T797" s="869"/>
      <c r="U797" s="869"/>
      <c r="V797" s="869"/>
      <c r="W797" s="869"/>
      <c r="X797" s="869"/>
      <c r="Y797" s="869"/>
      <c r="Z797" s="869"/>
    </row>
    <row r="798">
      <c r="A798" s="869"/>
      <c r="B798" s="869"/>
      <c r="C798" s="869"/>
      <c r="D798" s="869"/>
      <c r="E798" s="869"/>
      <c r="F798" s="869"/>
      <c r="G798" s="869"/>
      <c r="H798" s="869"/>
      <c r="I798" s="869"/>
      <c r="J798" s="869"/>
      <c r="K798" s="869"/>
      <c r="L798" s="869"/>
      <c r="M798" s="869"/>
      <c r="N798" s="869"/>
      <c r="O798" s="869"/>
      <c r="P798" s="869"/>
      <c r="Q798" s="869"/>
      <c r="R798" s="869"/>
      <c r="S798" s="869"/>
      <c r="T798" s="869"/>
      <c r="U798" s="869"/>
      <c r="V798" s="869"/>
      <c r="W798" s="869"/>
      <c r="X798" s="869"/>
      <c r="Y798" s="869"/>
      <c r="Z798" s="869"/>
    </row>
    <row r="799">
      <c r="A799" s="869"/>
      <c r="B799" s="869"/>
      <c r="C799" s="869"/>
      <c r="D799" s="869"/>
      <c r="E799" s="869"/>
      <c r="F799" s="869"/>
      <c r="G799" s="869"/>
      <c r="H799" s="869"/>
      <c r="I799" s="869"/>
      <c r="J799" s="869"/>
      <c r="K799" s="869"/>
      <c r="L799" s="869"/>
      <c r="M799" s="869"/>
      <c r="N799" s="869"/>
      <c r="O799" s="869"/>
      <c r="P799" s="869"/>
      <c r="Q799" s="869"/>
      <c r="R799" s="869"/>
      <c r="S799" s="869"/>
      <c r="T799" s="869"/>
      <c r="U799" s="869"/>
      <c r="V799" s="869"/>
      <c r="W799" s="869"/>
      <c r="X799" s="869"/>
      <c r="Y799" s="869"/>
      <c r="Z799" s="869"/>
    </row>
    <row r="800">
      <c r="A800" s="869"/>
      <c r="B800" s="869"/>
      <c r="C800" s="869"/>
      <c r="D800" s="869"/>
      <c r="E800" s="869"/>
      <c r="F800" s="869"/>
      <c r="G800" s="869"/>
      <c r="H800" s="869"/>
      <c r="I800" s="869"/>
      <c r="J800" s="869"/>
      <c r="K800" s="869"/>
      <c r="L800" s="869"/>
      <c r="M800" s="869"/>
      <c r="N800" s="869"/>
      <c r="O800" s="869"/>
      <c r="P800" s="869"/>
      <c r="Q800" s="869"/>
      <c r="R800" s="869"/>
      <c r="S800" s="869"/>
      <c r="T800" s="869"/>
      <c r="U800" s="869"/>
      <c r="V800" s="869"/>
      <c r="W800" s="869"/>
      <c r="X800" s="869"/>
      <c r="Y800" s="869"/>
      <c r="Z800" s="869"/>
    </row>
    <row r="801">
      <c r="A801" s="869"/>
      <c r="B801" s="869"/>
      <c r="C801" s="869"/>
      <c r="D801" s="869"/>
      <c r="E801" s="869"/>
      <c r="F801" s="869"/>
      <c r="G801" s="869"/>
      <c r="H801" s="869"/>
      <c r="I801" s="869"/>
      <c r="J801" s="869"/>
      <c r="K801" s="869"/>
      <c r="L801" s="869"/>
      <c r="M801" s="869"/>
      <c r="N801" s="869"/>
      <c r="O801" s="869"/>
      <c r="P801" s="869"/>
      <c r="Q801" s="869"/>
      <c r="R801" s="869"/>
      <c r="S801" s="869"/>
      <c r="T801" s="869"/>
      <c r="U801" s="869"/>
      <c r="V801" s="869"/>
      <c r="W801" s="869"/>
      <c r="X801" s="869"/>
      <c r="Y801" s="869"/>
      <c r="Z801" s="869"/>
    </row>
    <row r="802">
      <c r="A802" s="869"/>
      <c r="B802" s="869"/>
      <c r="C802" s="869"/>
      <c r="D802" s="869"/>
      <c r="E802" s="869"/>
      <c r="F802" s="869"/>
      <c r="G802" s="869"/>
      <c r="H802" s="869"/>
      <c r="I802" s="869"/>
      <c r="J802" s="869"/>
      <c r="K802" s="869"/>
      <c r="L802" s="869"/>
      <c r="M802" s="869"/>
      <c r="N802" s="869"/>
      <c r="O802" s="869"/>
      <c r="P802" s="869"/>
      <c r="Q802" s="869"/>
      <c r="R802" s="869"/>
      <c r="S802" s="869"/>
      <c r="T802" s="869"/>
      <c r="U802" s="869"/>
      <c r="V802" s="869"/>
      <c r="W802" s="869"/>
      <c r="X802" s="869"/>
      <c r="Y802" s="869"/>
      <c r="Z802" s="869"/>
    </row>
    <row r="803">
      <c r="A803" s="869"/>
      <c r="B803" s="869"/>
      <c r="C803" s="869"/>
      <c r="D803" s="869"/>
      <c r="E803" s="869"/>
      <c r="F803" s="869"/>
      <c r="G803" s="869"/>
      <c r="H803" s="869"/>
      <c r="I803" s="869"/>
      <c r="J803" s="869"/>
      <c r="K803" s="869"/>
      <c r="L803" s="869"/>
      <c r="M803" s="869"/>
      <c r="N803" s="869"/>
      <c r="O803" s="869"/>
      <c r="P803" s="869"/>
      <c r="Q803" s="869"/>
      <c r="R803" s="869"/>
      <c r="S803" s="869"/>
      <c r="T803" s="869"/>
      <c r="U803" s="869"/>
      <c r="V803" s="869"/>
      <c r="W803" s="869"/>
      <c r="X803" s="869"/>
      <c r="Y803" s="869"/>
      <c r="Z803" s="869"/>
    </row>
    <row r="804">
      <c r="A804" s="869"/>
      <c r="B804" s="869"/>
      <c r="C804" s="869"/>
      <c r="D804" s="869"/>
      <c r="E804" s="869"/>
      <c r="F804" s="869"/>
      <c r="G804" s="869"/>
      <c r="H804" s="869"/>
      <c r="I804" s="869"/>
      <c r="J804" s="869"/>
      <c r="K804" s="869"/>
      <c r="L804" s="869"/>
      <c r="M804" s="869"/>
      <c r="N804" s="869"/>
      <c r="O804" s="869"/>
      <c r="P804" s="869"/>
      <c r="Q804" s="869"/>
      <c r="R804" s="869"/>
      <c r="S804" s="869"/>
      <c r="T804" s="869"/>
      <c r="U804" s="869"/>
      <c r="V804" s="869"/>
      <c r="W804" s="869"/>
      <c r="X804" s="869"/>
      <c r="Y804" s="869"/>
      <c r="Z804" s="869"/>
    </row>
    <row r="805">
      <c r="A805" s="869"/>
      <c r="B805" s="869"/>
      <c r="C805" s="869"/>
      <c r="D805" s="869"/>
      <c r="E805" s="869"/>
      <c r="F805" s="869"/>
      <c r="G805" s="869"/>
      <c r="H805" s="869"/>
      <c r="I805" s="869"/>
      <c r="J805" s="869"/>
      <c r="K805" s="869"/>
      <c r="L805" s="869"/>
      <c r="M805" s="869"/>
      <c r="N805" s="869"/>
      <c r="O805" s="869"/>
      <c r="P805" s="869"/>
      <c r="Q805" s="869"/>
      <c r="R805" s="869"/>
      <c r="S805" s="869"/>
      <c r="T805" s="869"/>
      <c r="U805" s="869"/>
      <c r="V805" s="869"/>
      <c r="W805" s="869"/>
      <c r="X805" s="869"/>
      <c r="Y805" s="869"/>
      <c r="Z805" s="869"/>
    </row>
    <row r="806">
      <c r="A806" s="869"/>
      <c r="B806" s="869"/>
      <c r="C806" s="869"/>
      <c r="D806" s="869"/>
      <c r="E806" s="869"/>
      <c r="F806" s="869"/>
      <c r="G806" s="869"/>
      <c r="H806" s="869"/>
      <c r="I806" s="869"/>
      <c r="J806" s="869"/>
      <c r="K806" s="869"/>
      <c r="L806" s="869"/>
      <c r="M806" s="869"/>
      <c r="N806" s="869"/>
      <c r="O806" s="869"/>
      <c r="P806" s="869"/>
      <c r="Q806" s="869"/>
      <c r="R806" s="869"/>
      <c r="S806" s="869"/>
      <c r="T806" s="869"/>
      <c r="U806" s="869"/>
      <c r="V806" s="869"/>
      <c r="W806" s="869"/>
      <c r="X806" s="869"/>
      <c r="Y806" s="869"/>
      <c r="Z806" s="869"/>
    </row>
    <row r="807">
      <c r="A807" s="869"/>
      <c r="B807" s="869"/>
      <c r="C807" s="869"/>
      <c r="D807" s="869"/>
      <c r="E807" s="869"/>
      <c r="F807" s="869"/>
      <c r="G807" s="869"/>
      <c r="H807" s="869"/>
      <c r="I807" s="869"/>
      <c r="J807" s="869"/>
      <c r="K807" s="869"/>
      <c r="L807" s="869"/>
      <c r="M807" s="869"/>
      <c r="N807" s="869"/>
      <c r="O807" s="869"/>
      <c r="P807" s="869"/>
      <c r="Q807" s="869"/>
      <c r="R807" s="869"/>
      <c r="S807" s="869"/>
      <c r="T807" s="869"/>
      <c r="U807" s="869"/>
      <c r="V807" s="869"/>
      <c r="W807" s="869"/>
      <c r="X807" s="869"/>
      <c r="Y807" s="869"/>
      <c r="Z807" s="869"/>
    </row>
    <row r="808">
      <c r="A808" s="869"/>
      <c r="B808" s="869"/>
      <c r="C808" s="869"/>
      <c r="D808" s="869"/>
      <c r="E808" s="869"/>
      <c r="F808" s="869"/>
      <c r="G808" s="869"/>
      <c r="H808" s="869"/>
      <c r="I808" s="869"/>
      <c r="J808" s="869"/>
      <c r="K808" s="869"/>
      <c r="L808" s="869"/>
      <c r="M808" s="869"/>
      <c r="N808" s="869"/>
      <c r="O808" s="869"/>
      <c r="P808" s="869"/>
      <c r="Q808" s="869"/>
      <c r="R808" s="869"/>
      <c r="S808" s="869"/>
      <c r="T808" s="869"/>
      <c r="U808" s="869"/>
      <c r="V808" s="869"/>
      <c r="W808" s="869"/>
      <c r="X808" s="869"/>
      <c r="Y808" s="869"/>
      <c r="Z808" s="869"/>
    </row>
    <row r="809">
      <c r="A809" s="869"/>
      <c r="B809" s="869"/>
      <c r="C809" s="869"/>
      <c r="D809" s="869"/>
      <c r="E809" s="869"/>
      <c r="F809" s="869"/>
      <c r="G809" s="869"/>
      <c r="H809" s="869"/>
      <c r="I809" s="869"/>
      <c r="J809" s="869"/>
      <c r="K809" s="869"/>
      <c r="L809" s="869"/>
      <c r="M809" s="869"/>
      <c r="N809" s="869"/>
      <c r="O809" s="869"/>
      <c r="P809" s="869"/>
      <c r="Q809" s="869"/>
      <c r="R809" s="869"/>
      <c r="S809" s="869"/>
      <c r="T809" s="869"/>
      <c r="U809" s="869"/>
      <c r="V809" s="869"/>
      <c r="W809" s="869"/>
      <c r="X809" s="869"/>
      <c r="Y809" s="869"/>
      <c r="Z809" s="869"/>
    </row>
    <row r="810">
      <c r="A810" s="869"/>
      <c r="B810" s="869"/>
      <c r="C810" s="869"/>
      <c r="D810" s="869"/>
      <c r="E810" s="869"/>
      <c r="F810" s="869"/>
      <c r="G810" s="869"/>
      <c r="H810" s="869"/>
      <c r="I810" s="869"/>
      <c r="J810" s="869"/>
      <c r="K810" s="869"/>
      <c r="L810" s="869"/>
      <c r="M810" s="869"/>
      <c r="N810" s="869"/>
      <c r="O810" s="869"/>
      <c r="P810" s="869"/>
      <c r="Q810" s="869"/>
      <c r="R810" s="869"/>
      <c r="S810" s="869"/>
      <c r="T810" s="869"/>
      <c r="U810" s="869"/>
      <c r="V810" s="869"/>
      <c r="W810" s="869"/>
      <c r="X810" s="869"/>
      <c r="Y810" s="869"/>
      <c r="Z810" s="869"/>
    </row>
    <row r="811">
      <c r="A811" s="869"/>
      <c r="B811" s="869"/>
      <c r="C811" s="869"/>
      <c r="D811" s="869"/>
      <c r="E811" s="869"/>
      <c r="F811" s="869"/>
      <c r="G811" s="869"/>
      <c r="H811" s="869"/>
      <c r="I811" s="869"/>
      <c r="J811" s="869"/>
      <c r="K811" s="869"/>
      <c r="L811" s="869"/>
      <c r="M811" s="869"/>
      <c r="N811" s="869"/>
      <c r="O811" s="869"/>
      <c r="P811" s="869"/>
      <c r="Q811" s="869"/>
      <c r="R811" s="869"/>
      <c r="S811" s="869"/>
      <c r="T811" s="869"/>
      <c r="U811" s="869"/>
      <c r="V811" s="869"/>
      <c r="W811" s="869"/>
      <c r="X811" s="869"/>
      <c r="Y811" s="869"/>
      <c r="Z811" s="869"/>
    </row>
    <row r="812">
      <c r="A812" s="869"/>
      <c r="B812" s="869"/>
      <c r="C812" s="869"/>
      <c r="D812" s="869"/>
      <c r="E812" s="869"/>
      <c r="F812" s="869"/>
      <c r="G812" s="869"/>
      <c r="H812" s="869"/>
      <c r="I812" s="869"/>
      <c r="J812" s="869"/>
      <c r="K812" s="869"/>
      <c r="L812" s="869"/>
      <c r="M812" s="869"/>
      <c r="N812" s="869"/>
      <c r="O812" s="869"/>
      <c r="P812" s="869"/>
      <c r="Q812" s="869"/>
      <c r="R812" s="869"/>
      <c r="S812" s="869"/>
      <c r="T812" s="869"/>
      <c r="U812" s="869"/>
      <c r="V812" s="869"/>
      <c r="W812" s="869"/>
      <c r="X812" s="869"/>
      <c r="Y812" s="869"/>
      <c r="Z812" s="869"/>
    </row>
    <row r="813">
      <c r="A813" s="869"/>
      <c r="B813" s="869"/>
      <c r="C813" s="869"/>
      <c r="D813" s="869"/>
      <c r="E813" s="869"/>
      <c r="F813" s="869"/>
      <c r="G813" s="869"/>
      <c r="H813" s="869"/>
      <c r="I813" s="869"/>
      <c r="J813" s="869"/>
      <c r="K813" s="869"/>
      <c r="L813" s="869"/>
      <c r="M813" s="869"/>
      <c r="N813" s="869"/>
      <c r="O813" s="869"/>
      <c r="P813" s="869"/>
      <c r="Q813" s="869"/>
      <c r="R813" s="869"/>
      <c r="S813" s="869"/>
      <c r="T813" s="869"/>
      <c r="U813" s="869"/>
      <c r="V813" s="869"/>
      <c r="W813" s="869"/>
      <c r="X813" s="869"/>
      <c r="Y813" s="869"/>
      <c r="Z813" s="869"/>
    </row>
    <row r="814">
      <c r="A814" s="869"/>
      <c r="B814" s="869"/>
      <c r="C814" s="869"/>
      <c r="D814" s="869"/>
      <c r="E814" s="869"/>
      <c r="F814" s="869"/>
      <c r="G814" s="869"/>
      <c r="H814" s="869"/>
      <c r="I814" s="869"/>
      <c r="J814" s="869"/>
      <c r="K814" s="869"/>
      <c r="L814" s="869"/>
      <c r="M814" s="869"/>
      <c r="N814" s="869"/>
      <c r="O814" s="869"/>
      <c r="P814" s="869"/>
      <c r="Q814" s="869"/>
      <c r="R814" s="869"/>
      <c r="S814" s="869"/>
      <c r="T814" s="869"/>
      <c r="U814" s="869"/>
      <c r="V814" s="869"/>
      <c r="W814" s="869"/>
      <c r="X814" s="869"/>
      <c r="Y814" s="869"/>
      <c r="Z814" s="869"/>
    </row>
    <row r="815">
      <c r="A815" s="869"/>
      <c r="B815" s="869"/>
      <c r="C815" s="869"/>
      <c r="D815" s="869"/>
      <c r="E815" s="869"/>
      <c r="F815" s="869"/>
      <c r="G815" s="869"/>
      <c r="H815" s="869"/>
      <c r="I815" s="869"/>
      <c r="J815" s="869"/>
      <c r="K815" s="869"/>
      <c r="L815" s="869"/>
      <c r="M815" s="869"/>
      <c r="N815" s="869"/>
      <c r="O815" s="869"/>
      <c r="P815" s="869"/>
      <c r="Q815" s="869"/>
      <c r="R815" s="869"/>
      <c r="S815" s="869"/>
      <c r="T815" s="869"/>
      <c r="U815" s="869"/>
      <c r="V815" s="869"/>
      <c r="W815" s="869"/>
      <c r="X815" s="869"/>
      <c r="Y815" s="869"/>
      <c r="Z815" s="869"/>
    </row>
    <row r="816">
      <c r="A816" s="869"/>
      <c r="B816" s="869"/>
      <c r="C816" s="869"/>
      <c r="D816" s="869"/>
      <c r="E816" s="869"/>
      <c r="F816" s="869"/>
      <c r="G816" s="869"/>
      <c r="H816" s="869"/>
      <c r="I816" s="869"/>
      <c r="J816" s="869"/>
      <c r="K816" s="869"/>
      <c r="L816" s="869"/>
      <c r="M816" s="869"/>
      <c r="N816" s="869"/>
      <c r="O816" s="869"/>
      <c r="P816" s="869"/>
      <c r="Q816" s="869"/>
      <c r="R816" s="869"/>
      <c r="S816" s="869"/>
      <c r="T816" s="869"/>
      <c r="U816" s="869"/>
      <c r="V816" s="869"/>
      <c r="W816" s="869"/>
      <c r="X816" s="869"/>
      <c r="Y816" s="869"/>
      <c r="Z816" s="869"/>
    </row>
    <row r="817">
      <c r="A817" s="869"/>
      <c r="B817" s="869"/>
      <c r="C817" s="869"/>
      <c r="D817" s="869"/>
      <c r="E817" s="869"/>
      <c r="F817" s="869"/>
      <c r="G817" s="869"/>
      <c r="H817" s="869"/>
      <c r="I817" s="869"/>
      <c r="J817" s="869"/>
      <c r="K817" s="869"/>
      <c r="L817" s="869"/>
      <c r="M817" s="869"/>
      <c r="N817" s="869"/>
      <c r="O817" s="869"/>
      <c r="P817" s="869"/>
      <c r="Q817" s="869"/>
      <c r="R817" s="869"/>
      <c r="S817" s="869"/>
      <c r="T817" s="869"/>
      <c r="U817" s="869"/>
      <c r="V817" s="869"/>
      <c r="W817" s="869"/>
      <c r="X817" s="869"/>
      <c r="Y817" s="869"/>
      <c r="Z817" s="869"/>
    </row>
    <row r="818">
      <c r="A818" s="869"/>
      <c r="B818" s="869"/>
      <c r="C818" s="869"/>
      <c r="D818" s="869"/>
      <c r="E818" s="869"/>
      <c r="F818" s="869"/>
      <c r="G818" s="869"/>
      <c r="H818" s="869"/>
      <c r="I818" s="869"/>
      <c r="J818" s="869"/>
      <c r="K818" s="869"/>
      <c r="L818" s="869"/>
      <c r="M818" s="869"/>
      <c r="N818" s="869"/>
      <c r="O818" s="869"/>
      <c r="P818" s="869"/>
      <c r="Q818" s="869"/>
      <c r="R818" s="869"/>
      <c r="S818" s="869"/>
      <c r="T818" s="869"/>
      <c r="U818" s="869"/>
      <c r="V818" s="869"/>
      <c r="W818" s="869"/>
      <c r="X818" s="869"/>
      <c r="Y818" s="869"/>
      <c r="Z818" s="869"/>
    </row>
    <row r="819">
      <c r="A819" s="869"/>
      <c r="B819" s="869"/>
      <c r="C819" s="869"/>
      <c r="D819" s="869"/>
      <c r="E819" s="869"/>
      <c r="F819" s="869"/>
      <c r="G819" s="869"/>
      <c r="H819" s="869"/>
      <c r="I819" s="869"/>
      <c r="J819" s="869"/>
      <c r="K819" s="869"/>
      <c r="L819" s="869"/>
      <c r="M819" s="869"/>
      <c r="N819" s="869"/>
      <c r="O819" s="869"/>
      <c r="P819" s="869"/>
      <c r="Q819" s="869"/>
      <c r="R819" s="869"/>
      <c r="S819" s="869"/>
      <c r="T819" s="869"/>
      <c r="U819" s="869"/>
      <c r="V819" s="869"/>
      <c r="W819" s="869"/>
      <c r="X819" s="869"/>
      <c r="Y819" s="869"/>
      <c r="Z819" s="869"/>
    </row>
    <row r="820">
      <c r="A820" s="869"/>
      <c r="B820" s="869"/>
      <c r="C820" s="869"/>
      <c r="D820" s="869"/>
      <c r="E820" s="869"/>
      <c r="F820" s="869"/>
      <c r="G820" s="869"/>
      <c r="H820" s="869"/>
      <c r="I820" s="869"/>
      <c r="J820" s="869"/>
      <c r="K820" s="869"/>
      <c r="L820" s="869"/>
      <c r="M820" s="869"/>
      <c r="N820" s="869"/>
      <c r="O820" s="869"/>
      <c r="P820" s="869"/>
      <c r="Q820" s="869"/>
      <c r="R820" s="869"/>
      <c r="S820" s="869"/>
      <c r="T820" s="869"/>
      <c r="U820" s="869"/>
      <c r="V820" s="869"/>
      <c r="W820" s="869"/>
      <c r="X820" s="869"/>
      <c r="Y820" s="869"/>
      <c r="Z820" s="869"/>
    </row>
    <row r="821">
      <c r="A821" s="869"/>
      <c r="B821" s="869"/>
      <c r="C821" s="869"/>
      <c r="D821" s="869"/>
      <c r="E821" s="869"/>
      <c r="F821" s="869"/>
      <c r="G821" s="869"/>
      <c r="H821" s="869"/>
      <c r="I821" s="869"/>
      <c r="J821" s="869"/>
      <c r="K821" s="869"/>
      <c r="L821" s="869"/>
      <c r="M821" s="869"/>
      <c r="N821" s="869"/>
      <c r="O821" s="869"/>
      <c r="P821" s="869"/>
      <c r="Q821" s="869"/>
      <c r="R821" s="869"/>
      <c r="S821" s="869"/>
      <c r="T821" s="869"/>
      <c r="U821" s="869"/>
      <c r="V821" s="869"/>
      <c r="W821" s="869"/>
      <c r="X821" s="869"/>
      <c r="Y821" s="869"/>
      <c r="Z821" s="869"/>
    </row>
    <row r="822">
      <c r="A822" s="869"/>
      <c r="B822" s="869"/>
      <c r="C822" s="869"/>
      <c r="D822" s="869"/>
      <c r="E822" s="869"/>
      <c r="F822" s="869"/>
      <c r="G822" s="869"/>
      <c r="H822" s="869"/>
      <c r="I822" s="869"/>
      <c r="J822" s="869"/>
      <c r="K822" s="869"/>
      <c r="L822" s="869"/>
      <c r="M822" s="869"/>
      <c r="N822" s="869"/>
      <c r="O822" s="869"/>
      <c r="P822" s="869"/>
      <c r="Q822" s="869"/>
      <c r="R822" s="869"/>
      <c r="S822" s="869"/>
      <c r="T822" s="869"/>
      <c r="U822" s="869"/>
      <c r="V822" s="869"/>
      <c r="W822" s="869"/>
      <c r="X822" s="869"/>
      <c r="Y822" s="869"/>
      <c r="Z822" s="869"/>
    </row>
    <row r="823">
      <c r="A823" s="869"/>
      <c r="B823" s="869"/>
      <c r="C823" s="869"/>
      <c r="D823" s="869"/>
      <c r="E823" s="869"/>
      <c r="F823" s="869"/>
      <c r="G823" s="869"/>
      <c r="H823" s="869"/>
      <c r="I823" s="869"/>
      <c r="J823" s="869"/>
      <c r="K823" s="869"/>
      <c r="L823" s="869"/>
      <c r="M823" s="869"/>
      <c r="N823" s="869"/>
      <c r="O823" s="869"/>
      <c r="P823" s="869"/>
      <c r="Q823" s="869"/>
      <c r="R823" s="869"/>
      <c r="S823" s="869"/>
      <c r="T823" s="869"/>
      <c r="U823" s="869"/>
      <c r="V823" s="869"/>
      <c r="W823" s="869"/>
      <c r="X823" s="869"/>
      <c r="Y823" s="869"/>
      <c r="Z823" s="869"/>
    </row>
    <row r="824">
      <c r="A824" s="869"/>
      <c r="B824" s="869"/>
      <c r="C824" s="869"/>
      <c r="D824" s="869"/>
      <c r="E824" s="869"/>
      <c r="F824" s="869"/>
      <c r="G824" s="869"/>
      <c r="H824" s="869"/>
      <c r="I824" s="869"/>
      <c r="J824" s="869"/>
      <c r="K824" s="869"/>
      <c r="L824" s="869"/>
      <c r="M824" s="869"/>
      <c r="N824" s="869"/>
      <c r="O824" s="869"/>
      <c r="P824" s="869"/>
      <c r="Q824" s="869"/>
      <c r="R824" s="869"/>
      <c r="S824" s="869"/>
      <c r="T824" s="869"/>
      <c r="U824" s="869"/>
      <c r="V824" s="869"/>
      <c r="W824" s="869"/>
      <c r="X824" s="869"/>
      <c r="Y824" s="869"/>
      <c r="Z824" s="869"/>
    </row>
    <row r="825">
      <c r="A825" s="869"/>
      <c r="B825" s="869"/>
      <c r="C825" s="869"/>
      <c r="D825" s="869"/>
      <c r="E825" s="869"/>
      <c r="F825" s="869"/>
      <c r="G825" s="869"/>
      <c r="H825" s="869"/>
      <c r="I825" s="869"/>
      <c r="J825" s="869"/>
      <c r="K825" s="869"/>
      <c r="L825" s="869"/>
      <c r="M825" s="869"/>
      <c r="N825" s="869"/>
      <c r="O825" s="869"/>
      <c r="P825" s="869"/>
      <c r="Q825" s="869"/>
      <c r="R825" s="869"/>
      <c r="S825" s="869"/>
      <c r="T825" s="869"/>
      <c r="U825" s="869"/>
      <c r="V825" s="869"/>
      <c r="W825" s="869"/>
      <c r="X825" s="869"/>
      <c r="Y825" s="869"/>
      <c r="Z825" s="869"/>
    </row>
    <row r="826">
      <c r="A826" s="869"/>
      <c r="B826" s="869"/>
      <c r="C826" s="869"/>
      <c r="D826" s="869"/>
      <c r="E826" s="869"/>
      <c r="F826" s="869"/>
      <c r="G826" s="869"/>
      <c r="H826" s="869"/>
      <c r="I826" s="869"/>
      <c r="J826" s="869"/>
      <c r="K826" s="869"/>
      <c r="L826" s="869"/>
      <c r="M826" s="869"/>
      <c r="N826" s="869"/>
      <c r="O826" s="869"/>
      <c r="P826" s="869"/>
      <c r="Q826" s="869"/>
      <c r="R826" s="869"/>
      <c r="S826" s="869"/>
      <c r="T826" s="869"/>
      <c r="U826" s="869"/>
      <c r="V826" s="869"/>
      <c r="W826" s="869"/>
      <c r="X826" s="869"/>
      <c r="Y826" s="869"/>
      <c r="Z826" s="869"/>
    </row>
    <row r="827">
      <c r="A827" s="869"/>
      <c r="B827" s="869"/>
      <c r="C827" s="869"/>
      <c r="D827" s="869"/>
      <c r="E827" s="869"/>
      <c r="F827" s="869"/>
      <c r="G827" s="869"/>
      <c r="H827" s="869"/>
      <c r="I827" s="869"/>
      <c r="J827" s="869"/>
      <c r="K827" s="869"/>
      <c r="L827" s="869"/>
      <c r="M827" s="869"/>
      <c r="N827" s="869"/>
      <c r="O827" s="869"/>
      <c r="P827" s="869"/>
      <c r="Q827" s="869"/>
      <c r="R827" s="869"/>
      <c r="S827" s="869"/>
      <c r="T827" s="869"/>
      <c r="U827" s="869"/>
      <c r="V827" s="869"/>
      <c r="W827" s="869"/>
      <c r="X827" s="869"/>
      <c r="Y827" s="869"/>
      <c r="Z827" s="869"/>
    </row>
    <row r="828">
      <c r="A828" s="869"/>
      <c r="B828" s="869"/>
      <c r="C828" s="869"/>
      <c r="D828" s="869"/>
      <c r="E828" s="869"/>
      <c r="F828" s="869"/>
      <c r="G828" s="869"/>
      <c r="H828" s="869"/>
      <c r="I828" s="869"/>
      <c r="J828" s="869"/>
      <c r="K828" s="869"/>
      <c r="L828" s="869"/>
      <c r="M828" s="869"/>
      <c r="N828" s="869"/>
      <c r="O828" s="869"/>
      <c r="P828" s="869"/>
      <c r="Q828" s="869"/>
      <c r="R828" s="869"/>
      <c r="S828" s="869"/>
      <c r="T828" s="869"/>
      <c r="U828" s="869"/>
      <c r="V828" s="869"/>
      <c r="W828" s="869"/>
      <c r="X828" s="869"/>
      <c r="Y828" s="869"/>
      <c r="Z828" s="869"/>
    </row>
    <row r="829">
      <c r="A829" s="869"/>
      <c r="B829" s="869"/>
      <c r="C829" s="869"/>
      <c r="D829" s="869"/>
      <c r="E829" s="869"/>
      <c r="F829" s="869"/>
      <c r="G829" s="869"/>
      <c r="H829" s="869"/>
      <c r="I829" s="869"/>
      <c r="J829" s="869"/>
      <c r="K829" s="869"/>
      <c r="L829" s="869"/>
      <c r="M829" s="869"/>
      <c r="N829" s="869"/>
      <c r="O829" s="869"/>
      <c r="P829" s="869"/>
      <c r="Q829" s="869"/>
      <c r="R829" s="869"/>
      <c r="S829" s="869"/>
      <c r="T829" s="869"/>
      <c r="U829" s="869"/>
      <c r="V829" s="869"/>
      <c r="W829" s="869"/>
      <c r="X829" s="869"/>
      <c r="Y829" s="869"/>
      <c r="Z829" s="869"/>
    </row>
    <row r="830">
      <c r="A830" s="869"/>
      <c r="B830" s="869"/>
      <c r="C830" s="869"/>
      <c r="D830" s="869"/>
      <c r="E830" s="869"/>
      <c r="F830" s="869"/>
      <c r="G830" s="869"/>
      <c r="H830" s="869"/>
      <c r="I830" s="869"/>
      <c r="J830" s="869"/>
      <c r="K830" s="869"/>
      <c r="L830" s="869"/>
      <c r="M830" s="869"/>
      <c r="N830" s="869"/>
      <c r="O830" s="869"/>
      <c r="P830" s="869"/>
      <c r="Q830" s="869"/>
      <c r="R830" s="869"/>
      <c r="S830" s="869"/>
      <c r="T830" s="869"/>
      <c r="U830" s="869"/>
      <c r="V830" s="869"/>
      <c r="W830" s="869"/>
      <c r="X830" s="869"/>
      <c r="Y830" s="869"/>
      <c r="Z830" s="869"/>
    </row>
    <row r="831">
      <c r="A831" s="869"/>
      <c r="B831" s="869"/>
      <c r="C831" s="869"/>
      <c r="D831" s="869"/>
      <c r="E831" s="869"/>
      <c r="F831" s="869"/>
      <c r="G831" s="869"/>
      <c r="H831" s="869"/>
      <c r="I831" s="869"/>
      <c r="J831" s="869"/>
      <c r="K831" s="869"/>
      <c r="L831" s="869"/>
      <c r="M831" s="869"/>
      <c r="N831" s="869"/>
      <c r="O831" s="869"/>
      <c r="P831" s="869"/>
      <c r="Q831" s="869"/>
      <c r="R831" s="869"/>
      <c r="S831" s="869"/>
      <c r="T831" s="869"/>
      <c r="U831" s="869"/>
      <c r="V831" s="869"/>
      <c r="W831" s="869"/>
      <c r="X831" s="869"/>
      <c r="Y831" s="869"/>
      <c r="Z831" s="869"/>
    </row>
    <row r="832">
      <c r="A832" s="869"/>
      <c r="B832" s="869"/>
      <c r="C832" s="869"/>
      <c r="D832" s="869"/>
      <c r="E832" s="869"/>
      <c r="F832" s="869"/>
      <c r="G832" s="869"/>
      <c r="H832" s="869"/>
      <c r="I832" s="869"/>
      <c r="J832" s="869"/>
      <c r="K832" s="869"/>
      <c r="L832" s="869"/>
      <c r="M832" s="869"/>
      <c r="N832" s="869"/>
      <c r="O832" s="869"/>
      <c r="P832" s="869"/>
      <c r="Q832" s="869"/>
      <c r="R832" s="869"/>
      <c r="S832" s="869"/>
      <c r="T832" s="869"/>
      <c r="U832" s="869"/>
      <c r="V832" s="869"/>
      <c r="W832" s="869"/>
      <c r="X832" s="869"/>
      <c r="Y832" s="869"/>
      <c r="Z832" s="869"/>
    </row>
    <row r="833">
      <c r="A833" s="869"/>
      <c r="B833" s="869"/>
      <c r="C833" s="869"/>
      <c r="D833" s="869"/>
      <c r="E833" s="869"/>
      <c r="F833" s="869"/>
      <c r="G833" s="869"/>
      <c r="H833" s="869"/>
      <c r="I833" s="869"/>
      <c r="J833" s="869"/>
      <c r="K833" s="869"/>
      <c r="L833" s="869"/>
      <c r="M833" s="869"/>
      <c r="N833" s="869"/>
      <c r="O833" s="869"/>
      <c r="P833" s="869"/>
      <c r="Q833" s="869"/>
      <c r="R833" s="869"/>
      <c r="S833" s="869"/>
      <c r="T833" s="869"/>
      <c r="U833" s="869"/>
      <c r="V833" s="869"/>
      <c r="W833" s="869"/>
      <c r="X833" s="869"/>
      <c r="Y833" s="869"/>
      <c r="Z833" s="869"/>
    </row>
    <row r="834">
      <c r="A834" s="869"/>
      <c r="B834" s="869"/>
      <c r="C834" s="869"/>
      <c r="D834" s="869"/>
      <c r="E834" s="869"/>
      <c r="F834" s="869"/>
      <c r="G834" s="869"/>
      <c r="H834" s="869"/>
      <c r="I834" s="869"/>
      <c r="J834" s="869"/>
      <c r="K834" s="869"/>
      <c r="L834" s="869"/>
      <c r="M834" s="869"/>
      <c r="N834" s="869"/>
      <c r="O834" s="869"/>
      <c r="P834" s="869"/>
      <c r="Q834" s="869"/>
      <c r="R834" s="869"/>
      <c r="S834" s="869"/>
      <c r="T834" s="869"/>
      <c r="U834" s="869"/>
      <c r="V834" s="869"/>
      <c r="W834" s="869"/>
      <c r="X834" s="869"/>
      <c r="Y834" s="869"/>
      <c r="Z834" s="869"/>
    </row>
    <row r="835">
      <c r="A835" s="869"/>
      <c r="B835" s="869"/>
      <c r="C835" s="869"/>
      <c r="D835" s="869"/>
      <c r="E835" s="869"/>
      <c r="F835" s="869"/>
      <c r="G835" s="869"/>
      <c r="H835" s="869"/>
      <c r="I835" s="869"/>
      <c r="J835" s="869"/>
      <c r="K835" s="869"/>
      <c r="L835" s="869"/>
      <c r="M835" s="869"/>
      <c r="N835" s="869"/>
      <c r="O835" s="869"/>
      <c r="P835" s="869"/>
      <c r="Q835" s="869"/>
      <c r="R835" s="869"/>
      <c r="S835" s="869"/>
      <c r="T835" s="869"/>
      <c r="U835" s="869"/>
      <c r="V835" s="869"/>
      <c r="W835" s="869"/>
      <c r="X835" s="869"/>
      <c r="Y835" s="869"/>
      <c r="Z835" s="869"/>
    </row>
    <row r="836">
      <c r="A836" s="869"/>
      <c r="B836" s="869"/>
      <c r="C836" s="869"/>
      <c r="D836" s="869"/>
      <c r="E836" s="869"/>
      <c r="F836" s="869"/>
      <c r="G836" s="869"/>
      <c r="H836" s="869"/>
      <c r="I836" s="869"/>
      <c r="J836" s="869"/>
      <c r="K836" s="869"/>
      <c r="L836" s="869"/>
      <c r="M836" s="869"/>
      <c r="N836" s="869"/>
      <c r="O836" s="869"/>
      <c r="P836" s="869"/>
      <c r="Q836" s="869"/>
      <c r="R836" s="869"/>
      <c r="S836" s="869"/>
      <c r="T836" s="869"/>
      <c r="U836" s="869"/>
      <c r="V836" s="869"/>
      <c r="W836" s="869"/>
      <c r="X836" s="869"/>
      <c r="Y836" s="869"/>
      <c r="Z836" s="869"/>
    </row>
    <row r="837">
      <c r="A837" s="869"/>
      <c r="B837" s="869"/>
      <c r="C837" s="869"/>
      <c r="D837" s="869"/>
      <c r="E837" s="869"/>
      <c r="F837" s="869"/>
      <c r="G837" s="869"/>
      <c r="H837" s="869"/>
      <c r="I837" s="869"/>
      <c r="J837" s="869"/>
      <c r="K837" s="869"/>
      <c r="L837" s="869"/>
      <c r="M837" s="869"/>
      <c r="N837" s="869"/>
      <c r="O837" s="869"/>
      <c r="P837" s="869"/>
      <c r="Q837" s="869"/>
      <c r="R837" s="869"/>
      <c r="S837" s="869"/>
      <c r="T837" s="869"/>
      <c r="U837" s="869"/>
      <c r="V837" s="869"/>
      <c r="W837" s="869"/>
      <c r="X837" s="869"/>
      <c r="Y837" s="869"/>
      <c r="Z837" s="869"/>
    </row>
    <row r="838">
      <c r="A838" s="869"/>
      <c r="B838" s="869"/>
      <c r="C838" s="869"/>
      <c r="D838" s="869"/>
      <c r="E838" s="869"/>
      <c r="F838" s="869"/>
      <c r="G838" s="869"/>
      <c r="H838" s="869"/>
      <c r="I838" s="869"/>
      <c r="J838" s="869"/>
      <c r="K838" s="869"/>
      <c r="L838" s="869"/>
      <c r="M838" s="869"/>
      <c r="N838" s="869"/>
      <c r="O838" s="869"/>
      <c r="P838" s="869"/>
      <c r="Q838" s="869"/>
      <c r="R838" s="869"/>
      <c r="S838" s="869"/>
      <c r="T838" s="869"/>
      <c r="U838" s="869"/>
      <c r="V838" s="869"/>
      <c r="W838" s="869"/>
      <c r="X838" s="869"/>
      <c r="Y838" s="869"/>
      <c r="Z838" s="869"/>
    </row>
    <row r="839">
      <c r="A839" s="869"/>
      <c r="B839" s="869"/>
      <c r="C839" s="869"/>
      <c r="D839" s="869"/>
      <c r="E839" s="869"/>
      <c r="F839" s="869"/>
      <c r="G839" s="869"/>
      <c r="H839" s="869"/>
      <c r="I839" s="869"/>
      <c r="J839" s="869"/>
      <c r="K839" s="869"/>
      <c r="L839" s="869"/>
      <c r="M839" s="869"/>
      <c r="N839" s="869"/>
      <c r="O839" s="869"/>
      <c r="P839" s="869"/>
      <c r="Q839" s="869"/>
      <c r="R839" s="869"/>
      <c r="S839" s="869"/>
      <c r="T839" s="869"/>
      <c r="U839" s="869"/>
      <c r="V839" s="869"/>
      <c r="W839" s="869"/>
      <c r="X839" s="869"/>
      <c r="Y839" s="869"/>
      <c r="Z839" s="869"/>
    </row>
    <row r="840">
      <c r="A840" s="869"/>
      <c r="B840" s="869"/>
      <c r="C840" s="869"/>
      <c r="D840" s="869"/>
      <c r="E840" s="869"/>
      <c r="F840" s="869"/>
      <c r="G840" s="869"/>
      <c r="H840" s="869"/>
      <c r="I840" s="869"/>
      <c r="J840" s="869"/>
      <c r="K840" s="869"/>
      <c r="L840" s="869"/>
      <c r="M840" s="869"/>
      <c r="N840" s="869"/>
      <c r="O840" s="869"/>
      <c r="P840" s="869"/>
      <c r="Q840" s="869"/>
      <c r="R840" s="869"/>
      <c r="S840" s="869"/>
      <c r="T840" s="869"/>
      <c r="U840" s="869"/>
      <c r="V840" s="869"/>
      <c r="W840" s="869"/>
      <c r="X840" s="869"/>
      <c r="Y840" s="869"/>
      <c r="Z840" s="869"/>
    </row>
    <row r="841">
      <c r="A841" s="869"/>
      <c r="B841" s="869"/>
      <c r="C841" s="869"/>
      <c r="D841" s="869"/>
      <c r="E841" s="869"/>
      <c r="F841" s="869"/>
      <c r="G841" s="869"/>
      <c r="H841" s="869"/>
      <c r="I841" s="869"/>
      <c r="J841" s="869"/>
      <c r="K841" s="869"/>
      <c r="L841" s="869"/>
      <c r="M841" s="869"/>
      <c r="N841" s="869"/>
      <c r="O841" s="869"/>
      <c r="P841" s="869"/>
      <c r="Q841" s="869"/>
      <c r="R841" s="869"/>
      <c r="S841" s="869"/>
      <c r="T841" s="869"/>
      <c r="U841" s="869"/>
      <c r="V841" s="869"/>
      <c r="W841" s="869"/>
      <c r="X841" s="869"/>
      <c r="Y841" s="869"/>
      <c r="Z841" s="869"/>
    </row>
    <row r="842">
      <c r="A842" s="869"/>
      <c r="B842" s="869"/>
      <c r="C842" s="869"/>
      <c r="D842" s="869"/>
      <c r="E842" s="869"/>
      <c r="F842" s="869"/>
      <c r="G842" s="869"/>
      <c r="H842" s="869"/>
      <c r="I842" s="869"/>
      <c r="J842" s="869"/>
      <c r="K842" s="869"/>
      <c r="L842" s="869"/>
      <c r="M842" s="869"/>
      <c r="N842" s="869"/>
      <c r="O842" s="869"/>
      <c r="P842" s="869"/>
      <c r="Q842" s="869"/>
      <c r="R842" s="869"/>
      <c r="S842" s="869"/>
      <c r="T842" s="869"/>
      <c r="U842" s="869"/>
      <c r="V842" s="869"/>
      <c r="W842" s="869"/>
      <c r="X842" s="869"/>
      <c r="Y842" s="869"/>
      <c r="Z842" s="869"/>
    </row>
    <row r="843">
      <c r="A843" s="869"/>
      <c r="B843" s="869"/>
      <c r="C843" s="869"/>
      <c r="D843" s="869"/>
      <c r="E843" s="869"/>
      <c r="F843" s="869"/>
      <c r="G843" s="869"/>
      <c r="H843" s="869"/>
      <c r="I843" s="869"/>
      <c r="J843" s="869"/>
      <c r="K843" s="869"/>
      <c r="L843" s="869"/>
      <c r="M843" s="869"/>
      <c r="N843" s="869"/>
      <c r="O843" s="869"/>
      <c r="P843" s="869"/>
      <c r="Q843" s="869"/>
      <c r="R843" s="869"/>
      <c r="S843" s="869"/>
      <c r="T843" s="869"/>
      <c r="U843" s="869"/>
      <c r="V843" s="869"/>
      <c r="W843" s="869"/>
      <c r="X843" s="869"/>
      <c r="Y843" s="869"/>
      <c r="Z843" s="869"/>
    </row>
    <row r="844">
      <c r="A844" s="869"/>
      <c r="B844" s="869"/>
      <c r="C844" s="869"/>
      <c r="D844" s="869"/>
      <c r="E844" s="869"/>
      <c r="F844" s="869"/>
      <c r="G844" s="869"/>
      <c r="H844" s="869"/>
      <c r="I844" s="869"/>
      <c r="J844" s="869"/>
      <c r="K844" s="869"/>
      <c r="L844" s="869"/>
      <c r="M844" s="869"/>
      <c r="N844" s="869"/>
      <c r="O844" s="869"/>
      <c r="P844" s="869"/>
      <c r="Q844" s="869"/>
      <c r="R844" s="869"/>
      <c r="S844" s="869"/>
      <c r="T844" s="869"/>
      <c r="U844" s="869"/>
      <c r="V844" s="869"/>
      <c r="W844" s="869"/>
      <c r="X844" s="869"/>
      <c r="Y844" s="869"/>
      <c r="Z844" s="869"/>
    </row>
    <row r="845">
      <c r="A845" s="869"/>
      <c r="B845" s="869"/>
      <c r="C845" s="869"/>
      <c r="D845" s="869"/>
      <c r="E845" s="869"/>
      <c r="F845" s="869"/>
      <c r="G845" s="869"/>
      <c r="H845" s="869"/>
      <c r="I845" s="869"/>
      <c r="J845" s="869"/>
      <c r="K845" s="869"/>
      <c r="L845" s="869"/>
      <c r="M845" s="869"/>
      <c r="N845" s="869"/>
      <c r="O845" s="869"/>
      <c r="P845" s="869"/>
      <c r="Q845" s="869"/>
      <c r="R845" s="869"/>
      <c r="S845" s="869"/>
      <c r="T845" s="869"/>
      <c r="U845" s="869"/>
      <c r="V845" s="869"/>
      <c r="W845" s="869"/>
      <c r="X845" s="869"/>
      <c r="Y845" s="869"/>
      <c r="Z845" s="869"/>
    </row>
    <row r="846">
      <c r="A846" s="869"/>
      <c r="B846" s="869"/>
      <c r="C846" s="869"/>
      <c r="D846" s="869"/>
      <c r="E846" s="869"/>
      <c r="F846" s="869"/>
      <c r="G846" s="869"/>
      <c r="H846" s="869"/>
      <c r="I846" s="869"/>
      <c r="J846" s="869"/>
      <c r="K846" s="869"/>
      <c r="L846" s="869"/>
      <c r="M846" s="869"/>
      <c r="N846" s="869"/>
      <c r="O846" s="869"/>
      <c r="P846" s="869"/>
      <c r="Q846" s="869"/>
      <c r="R846" s="869"/>
      <c r="S846" s="869"/>
      <c r="T846" s="869"/>
      <c r="U846" s="869"/>
      <c r="V846" s="869"/>
      <c r="W846" s="869"/>
      <c r="X846" s="869"/>
      <c r="Y846" s="869"/>
      <c r="Z846" s="869"/>
    </row>
    <row r="847">
      <c r="A847" s="869"/>
      <c r="B847" s="869"/>
      <c r="C847" s="869"/>
      <c r="D847" s="869"/>
      <c r="E847" s="869"/>
      <c r="F847" s="869"/>
      <c r="G847" s="869"/>
      <c r="H847" s="869"/>
      <c r="I847" s="869"/>
      <c r="J847" s="869"/>
      <c r="K847" s="869"/>
      <c r="L847" s="869"/>
      <c r="M847" s="869"/>
      <c r="N847" s="869"/>
      <c r="O847" s="869"/>
      <c r="P847" s="869"/>
      <c r="Q847" s="869"/>
      <c r="R847" s="869"/>
      <c r="S847" s="869"/>
      <c r="T847" s="869"/>
      <c r="U847" s="869"/>
      <c r="V847" s="869"/>
      <c r="W847" s="869"/>
      <c r="X847" s="869"/>
      <c r="Y847" s="869"/>
      <c r="Z847" s="869"/>
    </row>
    <row r="848">
      <c r="A848" s="869"/>
      <c r="B848" s="869"/>
      <c r="C848" s="869"/>
      <c r="D848" s="869"/>
      <c r="E848" s="869"/>
      <c r="F848" s="869"/>
      <c r="G848" s="869"/>
      <c r="H848" s="869"/>
      <c r="I848" s="869"/>
      <c r="J848" s="869"/>
      <c r="K848" s="869"/>
      <c r="L848" s="869"/>
      <c r="M848" s="869"/>
      <c r="N848" s="869"/>
      <c r="O848" s="869"/>
      <c r="P848" s="869"/>
      <c r="Q848" s="869"/>
      <c r="R848" s="869"/>
      <c r="S848" s="869"/>
      <c r="T848" s="869"/>
      <c r="U848" s="869"/>
      <c r="V848" s="869"/>
      <c r="W848" s="869"/>
      <c r="X848" s="869"/>
      <c r="Y848" s="869"/>
      <c r="Z848" s="869"/>
    </row>
    <row r="849">
      <c r="A849" s="869"/>
      <c r="B849" s="869"/>
      <c r="C849" s="869"/>
      <c r="D849" s="869"/>
      <c r="E849" s="869"/>
      <c r="F849" s="869"/>
      <c r="G849" s="869"/>
      <c r="H849" s="869"/>
      <c r="I849" s="869"/>
      <c r="J849" s="869"/>
      <c r="K849" s="869"/>
      <c r="L849" s="869"/>
      <c r="M849" s="869"/>
      <c r="N849" s="869"/>
      <c r="O849" s="869"/>
      <c r="P849" s="869"/>
      <c r="Q849" s="869"/>
      <c r="R849" s="869"/>
      <c r="S849" s="869"/>
      <c r="T849" s="869"/>
      <c r="U849" s="869"/>
      <c r="V849" s="869"/>
      <c r="W849" s="869"/>
      <c r="X849" s="869"/>
      <c r="Y849" s="869"/>
      <c r="Z849" s="869"/>
    </row>
    <row r="850">
      <c r="A850" s="869"/>
      <c r="B850" s="869"/>
      <c r="C850" s="869"/>
      <c r="D850" s="869"/>
      <c r="E850" s="869"/>
      <c r="F850" s="869"/>
      <c r="G850" s="869"/>
      <c r="H850" s="869"/>
      <c r="I850" s="869"/>
      <c r="J850" s="869"/>
      <c r="K850" s="869"/>
      <c r="L850" s="869"/>
      <c r="M850" s="869"/>
      <c r="N850" s="869"/>
      <c r="O850" s="869"/>
      <c r="P850" s="869"/>
      <c r="Q850" s="869"/>
      <c r="R850" s="869"/>
      <c r="S850" s="869"/>
      <c r="T850" s="869"/>
      <c r="U850" s="869"/>
      <c r="V850" s="869"/>
      <c r="W850" s="869"/>
      <c r="X850" s="869"/>
      <c r="Y850" s="869"/>
      <c r="Z850" s="869"/>
    </row>
    <row r="851">
      <c r="A851" s="869"/>
      <c r="B851" s="869"/>
      <c r="C851" s="869"/>
      <c r="D851" s="869"/>
      <c r="E851" s="869"/>
      <c r="F851" s="869"/>
      <c r="G851" s="869"/>
      <c r="H851" s="869"/>
      <c r="I851" s="869"/>
      <c r="J851" s="869"/>
      <c r="K851" s="869"/>
      <c r="L851" s="869"/>
      <c r="M851" s="869"/>
      <c r="N851" s="869"/>
      <c r="O851" s="869"/>
      <c r="P851" s="869"/>
      <c r="Q851" s="869"/>
      <c r="R851" s="869"/>
      <c r="S851" s="869"/>
      <c r="T851" s="869"/>
      <c r="U851" s="869"/>
      <c r="V851" s="869"/>
      <c r="W851" s="869"/>
      <c r="X851" s="869"/>
      <c r="Y851" s="869"/>
      <c r="Z851" s="869"/>
    </row>
    <row r="852">
      <c r="A852" s="869"/>
      <c r="B852" s="869"/>
      <c r="C852" s="869"/>
      <c r="D852" s="869"/>
      <c r="E852" s="869"/>
      <c r="F852" s="869"/>
      <c r="G852" s="869"/>
      <c r="H852" s="869"/>
      <c r="I852" s="869"/>
      <c r="J852" s="869"/>
      <c r="K852" s="869"/>
      <c r="L852" s="869"/>
      <c r="M852" s="869"/>
      <c r="N852" s="869"/>
      <c r="O852" s="869"/>
      <c r="P852" s="869"/>
      <c r="Q852" s="869"/>
      <c r="R852" s="869"/>
      <c r="S852" s="869"/>
      <c r="T852" s="869"/>
      <c r="U852" s="869"/>
      <c r="V852" s="869"/>
      <c r="W852" s="869"/>
      <c r="X852" s="869"/>
      <c r="Y852" s="869"/>
      <c r="Z852" s="869"/>
    </row>
    <row r="853">
      <c r="A853" s="869"/>
      <c r="B853" s="869"/>
      <c r="C853" s="869"/>
      <c r="D853" s="869"/>
      <c r="E853" s="869"/>
      <c r="F853" s="869"/>
      <c r="G853" s="869"/>
      <c r="H853" s="869"/>
      <c r="I853" s="869"/>
      <c r="J853" s="869"/>
      <c r="K853" s="869"/>
      <c r="L853" s="869"/>
      <c r="M853" s="869"/>
      <c r="N853" s="869"/>
      <c r="O853" s="869"/>
      <c r="P853" s="869"/>
      <c r="Q853" s="869"/>
      <c r="R853" s="869"/>
      <c r="S853" s="869"/>
      <c r="T853" s="869"/>
      <c r="U853" s="869"/>
      <c r="V853" s="869"/>
      <c r="W853" s="869"/>
      <c r="X853" s="869"/>
      <c r="Y853" s="869"/>
      <c r="Z853" s="869"/>
    </row>
    <row r="854">
      <c r="A854" s="869"/>
      <c r="B854" s="869"/>
      <c r="C854" s="869"/>
      <c r="D854" s="869"/>
      <c r="E854" s="869"/>
      <c r="F854" s="869"/>
      <c r="G854" s="869"/>
      <c r="H854" s="869"/>
      <c r="I854" s="869"/>
      <c r="J854" s="869"/>
      <c r="K854" s="869"/>
      <c r="L854" s="869"/>
      <c r="M854" s="869"/>
      <c r="N854" s="869"/>
      <c r="O854" s="869"/>
      <c r="P854" s="869"/>
      <c r="Q854" s="869"/>
      <c r="R854" s="869"/>
      <c r="S854" s="869"/>
      <c r="T854" s="869"/>
      <c r="U854" s="869"/>
      <c r="V854" s="869"/>
      <c r="W854" s="869"/>
      <c r="X854" s="869"/>
      <c r="Y854" s="869"/>
      <c r="Z854" s="869"/>
    </row>
    <row r="855">
      <c r="A855" s="869"/>
      <c r="B855" s="869"/>
      <c r="C855" s="869"/>
      <c r="D855" s="869"/>
      <c r="E855" s="869"/>
      <c r="F855" s="869"/>
      <c r="G855" s="869"/>
      <c r="H855" s="869"/>
      <c r="I855" s="869"/>
      <c r="J855" s="869"/>
      <c r="K855" s="869"/>
      <c r="L855" s="869"/>
      <c r="M855" s="869"/>
      <c r="N855" s="869"/>
      <c r="O855" s="869"/>
      <c r="P855" s="869"/>
      <c r="Q855" s="869"/>
      <c r="R855" s="869"/>
      <c r="S855" s="869"/>
      <c r="T855" s="869"/>
      <c r="U855" s="869"/>
      <c r="V855" s="869"/>
      <c r="W855" s="869"/>
      <c r="X855" s="869"/>
      <c r="Y855" s="869"/>
      <c r="Z855" s="869"/>
    </row>
    <row r="856">
      <c r="A856" s="869"/>
      <c r="B856" s="869"/>
      <c r="C856" s="869"/>
      <c r="D856" s="869"/>
      <c r="E856" s="869"/>
      <c r="F856" s="869"/>
      <c r="G856" s="869"/>
      <c r="H856" s="869"/>
      <c r="I856" s="869"/>
      <c r="J856" s="869"/>
      <c r="K856" s="869"/>
      <c r="L856" s="869"/>
      <c r="M856" s="869"/>
      <c r="N856" s="869"/>
      <c r="O856" s="869"/>
      <c r="P856" s="869"/>
      <c r="Q856" s="869"/>
      <c r="R856" s="869"/>
      <c r="S856" s="869"/>
      <c r="T856" s="869"/>
      <c r="U856" s="869"/>
      <c r="V856" s="869"/>
      <c r="W856" s="869"/>
      <c r="X856" s="869"/>
      <c r="Y856" s="869"/>
      <c r="Z856" s="869"/>
    </row>
    <row r="857">
      <c r="A857" s="869"/>
      <c r="B857" s="869"/>
      <c r="C857" s="869"/>
      <c r="D857" s="869"/>
      <c r="E857" s="869"/>
      <c r="F857" s="869"/>
      <c r="G857" s="869"/>
      <c r="H857" s="869"/>
      <c r="I857" s="869"/>
      <c r="J857" s="869"/>
      <c r="K857" s="869"/>
      <c r="L857" s="869"/>
      <c r="M857" s="869"/>
      <c r="N857" s="869"/>
      <c r="O857" s="869"/>
      <c r="P857" s="869"/>
      <c r="Q857" s="869"/>
      <c r="R857" s="869"/>
      <c r="S857" s="869"/>
      <c r="T857" s="869"/>
      <c r="U857" s="869"/>
      <c r="V857" s="869"/>
      <c r="W857" s="869"/>
      <c r="X857" s="869"/>
      <c r="Y857" s="869"/>
      <c r="Z857" s="869"/>
    </row>
    <row r="858">
      <c r="A858" s="869"/>
      <c r="B858" s="869"/>
      <c r="C858" s="869"/>
      <c r="D858" s="869"/>
      <c r="E858" s="869"/>
      <c r="F858" s="869"/>
      <c r="G858" s="869"/>
      <c r="H858" s="869"/>
      <c r="I858" s="869"/>
      <c r="J858" s="869"/>
      <c r="K858" s="869"/>
      <c r="L858" s="869"/>
      <c r="M858" s="869"/>
      <c r="N858" s="869"/>
      <c r="O858" s="869"/>
      <c r="P858" s="869"/>
      <c r="Q858" s="869"/>
      <c r="R858" s="869"/>
      <c r="S858" s="869"/>
      <c r="T858" s="869"/>
      <c r="U858" s="869"/>
      <c r="V858" s="869"/>
      <c r="W858" s="869"/>
      <c r="X858" s="869"/>
      <c r="Y858" s="869"/>
      <c r="Z858" s="869"/>
    </row>
    <row r="859">
      <c r="A859" s="869"/>
      <c r="B859" s="869"/>
      <c r="C859" s="869"/>
      <c r="D859" s="869"/>
      <c r="E859" s="869"/>
      <c r="F859" s="869"/>
      <c r="G859" s="869"/>
      <c r="H859" s="869"/>
      <c r="I859" s="869"/>
      <c r="J859" s="869"/>
      <c r="K859" s="869"/>
      <c r="L859" s="869"/>
      <c r="M859" s="869"/>
      <c r="N859" s="869"/>
      <c r="O859" s="869"/>
      <c r="P859" s="869"/>
      <c r="Q859" s="869"/>
      <c r="R859" s="869"/>
      <c r="S859" s="869"/>
      <c r="T859" s="869"/>
      <c r="U859" s="869"/>
      <c r="V859" s="869"/>
      <c r="W859" s="869"/>
      <c r="X859" s="869"/>
      <c r="Y859" s="869"/>
      <c r="Z859" s="869"/>
    </row>
    <row r="860">
      <c r="A860" s="869"/>
      <c r="B860" s="869"/>
      <c r="C860" s="869"/>
      <c r="D860" s="869"/>
      <c r="E860" s="869"/>
      <c r="F860" s="869"/>
      <c r="G860" s="869"/>
      <c r="H860" s="869"/>
      <c r="I860" s="869"/>
      <c r="J860" s="869"/>
      <c r="K860" s="869"/>
      <c r="L860" s="869"/>
      <c r="M860" s="869"/>
      <c r="N860" s="869"/>
      <c r="O860" s="869"/>
      <c r="P860" s="869"/>
      <c r="Q860" s="869"/>
      <c r="R860" s="869"/>
      <c r="S860" s="869"/>
      <c r="T860" s="869"/>
      <c r="U860" s="869"/>
      <c r="V860" s="869"/>
      <c r="W860" s="869"/>
      <c r="X860" s="869"/>
      <c r="Y860" s="869"/>
      <c r="Z860" s="869"/>
    </row>
    <row r="861">
      <c r="A861" s="869"/>
      <c r="B861" s="869"/>
      <c r="C861" s="869"/>
      <c r="D861" s="869"/>
      <c r="E861" s="869"/>
      <c r="F861" s="869"/>
      <c r="G861" s="869"/>
      <c r="H861" s="869"/>
      <c r="I861" s="869"/>
      <c r="J861" s="869"/>
      <c r="K861" s="869"/>
      <c r="L861" s="869"/>
      <c r="M861" s="869"/>
      <c r="N861" s="869"/>
      <c r="O861" s="869"/>
      <c r="P861" s="869"/>
      <c r="Q861" s="869"/>
      <c r="R861" s="869"/>
      <c r="S861" s="869"/>
      <c r="T861" s="869"/>
      <c r="U861" s="869"/>
      <c r="V861" s="869"/>
      <c r="W861" s="869"/>
      <c r="X861" s="869"/>
      <c r="Y861" s="869"/>
      <c r="Z861" s="869"/>
    </row>
    <row r="862">
      <c r="A862" s="869"/>
      <c r="B862" s="869"/>
      <c r="C862" s="869"/>
      <c r="D862" s="869"/>
      <c r="E862" s="869"/>
      <c r="F862" s="869"/>
      <c r="G862" s="869"/>
      <c r="H862" s="869"/>
      <c r="I862" s="869"/>
      <c r="J862" s="869"/>
      <c r="K862" s="869"/>
      <c r="L862" s="869"/>
      <c r="M862" s="869"/>
      <c r="N862" s="869"/>
      <c r="O862" s="869"/>
      <c r="P862" s="869"/>
      <c r="Q862" s="869"/>
      <c r="R862" s="869"/>
      <c r="S862" s="869"/>
      <c r="T862" s="869"/>
      <c r="U862" s="869"/>
      <c r="V862" s="869"/>
      <c r="W862" s="869"/>
      <c r="X862" s="869"/>
      <c r="Y862" s="869"/>
      <c r="Z862" s="869"/>
    </row>
    <row r="863">
      <c r="A863" s="869"/>
      <c r="B863" s="869"/>
      <c r="C863" s="869"/>
      <c r="D863" s="869"/>
      <c r="E863" s="869"/>
      <c r="F863" s="869"/>
      <c r="G863" s="869"/>
      <c r="H863" s="869"/>
      <c r="I863" s="869"/>
      <c r="J863" s="869"/>
      <c r="K863" s="869"/>
      <c r="L863" s="869"/>
      <c r="M863" s="869"/>
      <c r="N863" s="869"/>
      <c r="O863" s="869"/>
      <c r="P863" s="869"/>
      <c r="Q863" s="869"/>
      <c r="R863" s="869"/>
      <c r="S863" s="869"/>
      <c r="T863" s="869"/>
      <c r="U863" s="869"/>
      <c r="V863" s="869"/>
      <c r="W863" s="869"/>
      <c r="X863" s="869"/>
      <c r="Y863" s="869"/>
      <c r="Z863" s="869"/>
    </row>
    <row r="864">
      <c r="A864" s="869"/>
      <c r="B864" s="869"/>
      <c r="C864" s="869"/>
      <c r="D864" s="869"/>
      <c r="E864" s="869"/>
      <c r="F864" s="869"/>
      <c r="G864" s="869"/>
      <c r="H864" s="869"/>
      <c r="I864" s="869"/>
      <c r="J864" s="869"/>
      <c r="K864" s="869"/>
      <c r="L864" s="869"/>
      <c r="M864" s="869"/>
      <c r="N864" s="869"/>
      <c r="O864" s="869"/>
      <c r="P864" s="869"/>
      <c r="Q864" s="869"/>
      <c r="R864" s="869"/>
      <c r="S864" s="869"/>
      <c r="T864" s="869"/>
      <c r="U864" s="869"/>
      <c r="V864" s="869"/>
      <c r="W864" s="869"/>
      <c r="X864" s="869"/>
      <c r="Y864" s="869"/>
      <c r="Z864" s="869"/>
    </row>
    <row r="865">
      <c r="A865" s="869"/>
      <c r="B865" s="869"/>
      <c r="C865" s="869"/>
      <c r="D865" s="869"/>
      <c r="E865" s="869"/>
      <c r="F865" s="869"/>
      <c r="G865" s="869"/>
      <c r="H865" s="869"/>
      <c r="I865" s="869"/>
      <c r="J865" s="869"/>
      <c r="K865" s="869"/>
      <c r="L865" s="869"/>
      <c r="M865" s="869"/>
      <c r="N865" s="869"/>
      <c r="O865" s="869"/>
      <c r="P865" s="869"/>
      <c r="Q865" s="869"/>
      <c r="R865" s="869"/>
      <c r="S865" s="869"/>
      <c r="T865" s="869"/>
      <c r="U865" s="869"/>
      <c r="V865" s="869"/>
      <c r="W865" s="869"/>
      <c r="X865" s="869"/>
      <c r="Y865" s="869"/>
      <c r="Z865" s="869"/>
    </row>
    <row r="866">
      <c r="A866" s="869"/>
      <c r="B866" s="869"/>
      <c r="C866" s="869"/>
      <c r="D866" s="869"/>
      <c r="E866" s="869"/>
      <c r="F866" s="869"/>
      <c r="G866" s="869"/>
      <c r="H866" s="869"/>
      <c r="I866" s="869"/>
      <c r="J866" s="869"/>
      <c r="K866" s="869"/>
      <c r="L866" s="869"/>
      <c r="M866" s="869"/>
      <c r="N866" s="869"/>
      <c r="O866" s="869"/>
      <c r="P866" s="869"/>
      <c r="Q866" s="869"/>
      <c r="R866" s="869"/>
      <c r="S866" s="869"/>
      <c r="T866" s="869"/>
      <c r="U866" s="869"/>
      <c r="V866" s="869"/>
      <c r="W866" s="869"/>
      <c r="X866" s="869"/>
      <c r="Y866" s="869"/>
      <c r="Z866" s="869"/>
    </row>
    <row r="867">
      <c r="A867" s="869"/>
      <c r="B867" s="869"/>
      <c r="C867" s="869"/>
      <c r="D867" s="869"/>
      <c r="E867" s="869"/>
      <c r="F867" s="869"/>
      <c r="G867" s="869"/>
      <c r="H867" s="869"/>
      <c r="I867" s="869"/>
      <c r="J867" s="869"/>
      <c r="K867" s="869"/>
      <c r="L867" s="869"/>
      <c r="M867" s="869"/>
      <c r="N867" s="869"/>
      <c r="O867" s="869"/>
      <c r="P867" s="869"/>
      <c r="Q867" s="869"/>
      <c r="R867" s="869"/>
      <c r="S867" s="869"/>
      <c r="T867" s="869"/>
      <c r="U867" s="869"/>
      <c r="V867" s="869"/>
      <c r="W867" s="869"/>
      <c r="X867" s="869"/>
      <c r="Y867" s="869"/>
      <c r="Z867" s="869"/>
    </row>
    <row r="868">
      <c r="A868" s="869"/>
      <c r="B868" s="869"/>
      <c r="C868" s="869"/>
      <c r="D868" s="869"/>
      <c r="E868" s="869"/>
      <c r="F868" s="869"/>
      <c r="G868" s="869"/>
      <c r="H868" s="869"/>
      <c r="I868" s="869"/>
      <c r="J868" s="869"/>
      <c r="K868" s="869"/>
      <c r="L868" s="869"/>
      <c r="M868" s="869"/>
      <c r="N868" s="869"/>
      <c r="O868" s="869"/>
      <c r="P868" s="869"/>
      <c r="Q868" s="869"/>
      <c r="R868" s="869"/>
      <c r="S868" s="869"/>
      <c r="T868" s="869"/>
      <c r="U868" s="869"/>
      <c r="V868" s="869"/>
      <c r="W868" s="869"/>
      <c r="X868" s="869"/>
      <c r="Y868" s="869"/>
      <c r="Z868" s="869"/>
    </row>
    <row r="869">
      <c r="A869" s="869"/>
      <c r="B869" s="869"/>
      <c r="C869" s="869"/>
      <c r="D869" s="869"/>
      <c r="E869" s="869"/>
      <c r="F869" s="869"/>
      <c r="G869" s="869"/>
      <c r="H869" s="869"/>
      <c r="I869" s="869"/>
      <c r="J869" s="869"/>
      <c r="K869" s="869"/>
      <c r="L869" s="869"/>
      <c r="M869" s="869"/>
      <c r="N869" s="869"/>
      <c r="O869" s="869"/>
      <c r="P869" s="869"/>
      <c r="Q869" s="869"/>
      <c r="R869" s="869"/>
      <c r="S869" s="869"/>
      <c r="T869" s="869"/>
      <c r="U869" s="869"/>
      <c r="V869" s="869"/>
      <c r="W869" s="869"/>
      <c r="X869" s="869"/>
      <c r="Y869" s="869"/>
      <c r="Z869" s="869"/>
    </row>
    <row r="870">
      <c r="A870" s="869"/>
      <c r="B870" s="869"/>
      <c r="C870" s="869"/>
      <c r="D870" s="869"/>
      <c r="E870" s="869"/>
      <c r="F870" s="869"/>
      <c r="G870" s="869"/>
      <c r="H870" s="869"/>
      <c r="I870" s="869"/>
      <c r="J870" s="869"/>
      <c r="K870" s="869"/>
      <c r="L870" s="869"/>
      <c r="M870" s="869"/>
      <c r="N870" s="869"/>
      <c r="O870" s="869"/>
      <c r="P870" s="869"/>
      <c r="Q870" s="869"/>
      <c r="R870" s="869"/>
      <c r="S870" s="869"/>
      <c r="T870" s="869"/>
      <c r="U870" s="869"/>
      <c r="V870" s="869"/>
      <c r="W870" s="869"/>
      <c r="X870" s="869"/>
      <c r="Y870" s="869"/>
      <c r="Z870" s="869"/>
    </row>
    <row r="871">
      <c r="A871" s="869"/>
      <c r="B871" s="869"/>
      <c r="C871" s="869"/>
      <c r="D871" s="869"/>
      <c r="E871" s="869"/>
      <c r="F871" s="869"/>
      <c r="G871" s="869"/>
      <c r="H871" s="869"/>
      <c r="I871" s="869"/>
      <c r="J871" s="869"/>
      <c r="K871" s="869"/>
      <c r="L871" s="869"/>
      <c r="M871" s="869"/>
      <c r="N871" s="869"/>
      <c r="O871" s="869"/>
      <c r="P871" s="869"/>
      <c r="Q871" s="869"/>
      <c r="R871" s="869"/>
      <c r="S871" s="869"/>
      <c r="T871" s="869"/>
      <c r="U871" s="869"/>
      <c r="V871" s="869"/>
      <c r="W871" s="869"/>
      <c r="X871" s="869"/>
      <c r="Y871" s="869"/>
      <c r="Z871" s="869"/>
    </row>
    <row r="872">
      <c r="A872" s="869"/>
      <c r="B872" s="869"/>
      <c r="C872" s="869"/>
      <c r="D872" s="869"/>
      <c r="E872" s="869"/>
      <c r="F872" s="869"/>
      <c r="G872" s="869"/>
      <c r="H872" s="869"/>
      <c r="I872" s="869"/>
      <c r="J872" s="869"/>
      <c r="K872" s="869"/>
      <c r="L872" s="869"/>
      <c r="M872" s="869"/>
      <c r="N872" s="869"/>
      <c r="O872" s="869"/>
      <c r="P872" s="869"/>
      <c r="Q872" s="869"/>
      <c r="R872" s="869"/>
      <c r="S872" s="869"/>
      <c r="T872" s="869"/>
      <c r="U872" s="869"/>
      <c r="V872" s="869"/>
      <c r="W872" s="869"/>
      <c r="X872" s="869"/>
      <c r="Y872" s="869"/>
      <c r="Z872" s="869"/>
    </row>
    <row r="873">
      <c r="A873" s="869"/>
      <c r="B873" s="869"/>
      <c r="C873" s="869"/>
      <c r="D873" s="869"/>
      <c r="E873" s="869"/>
      <c r="F873" s="869"/>
      <c r="G873" s="869"/>
      <c r="H873" s="869"/>
      <c r="I873" s="869"/>
      <c r="J873" s="869"/>
      <c r="K873" s="869"/>
      <c r="L873" s="869"/>
      <c r="M873" s="869"/>
      <c r="N873" s="869"/>
      <c r="O873" s="869"/>
      <c r="P873" s="869"/>
      <c r="Q873" s="869"/>
      <c r="R873" s="869"/>
      <c r="S873" s="869"/>
      <c r="T873" s="869"/>
      <c r="U873" s="869"/>
      <c r="V873" s="869"/>
      <c r="W873" s="869"/>
      <c r="X873" s="869"/>
      <c r="Y873" s="869"/>
      <c r="Z873" s="869"/>
    </row>
    <row r="874">
      <c r="A874" s="869"/>
      <c r="B874" s="869"/>
      <c r="C874" s="869"/>
      <c r="D874" s="869"/>
      <c r="E874" s="869"/>
      <c r="F874" s="869"/>
      <c r="G874" s="869"/>
      <c r="H874" s="869"/>
      <c r="I874" s="869"/>
      <c r="J874" s="869"/>
      <c r="K874" s="869"/>
      <c r="L874" s="869"/>
      <c r="M874" s="869"/>
      <c r="N874" s="869"/>
      <c r="O874" s="869"/>
      <c r="P874" s="869"/>
      <c r="Q874" s="869"/>
      <c r="R874" s="869"/>
      <c r="S874" s="869"/>
      <c r="T874" s="869"/>
      <c r="U874" s="869"/>
      <c r="V874" s="869"/>
      <c r="W874" s="869"/>
      <c r="X874" s="869"/>
      <c r="Y874" s="869"/>
      <c r="Z874" s="869"/>
    </row>
    <row r="875">
      <c r="A875" s="869"/>
      <c r="B875" s="869"/>
      <c r="C875" s="869"/>
      <c r="D875" s="869"/>
      <c r="E875" s="869"/>
      <c r="F875" s="869"/>
      <c r="G875" s="869"/>
      <c r="H875" s="869"/>
      <c r="I875" s="869"/>
      <c r="J875" s="869"/>
      <c r="K875" s="869"/>
      <c r="L875" s="869"/>
      <c r="M875" s="869"/>
      <c r="N875" s="869"/>
      <c r="O875" s="869"/>
      <c r="P875" s="869"/>
      <c r="Q875" s="869"/>
      <c r="R875" s="869"/>
      <c r="S875" s="869"/>
      <c r="T875" s="869"/>
      <c r="U875" s="869"/>
      <c r="V875" s="869"/>
      <c r="W875" s="869"/>
      <c r="X875" s="869"/>
      <c r="Y875" s="869"/>
      <c r="Z875" s="869"/>
    </row>
    <row r="876">
      <c r="A876" s="869"/>
      <c r="B876" s="869"/>
      <c r="C876" s="869"/>
      <c r="D876" s="869"/>
      <c r="E876" s="869"/>
      <c r="F876" s="869"/>
      <c r="G876" s="869"/>
      <c r="H876" s="869"/>
      <c r="I876" s="869"/>
      <c r="J876" s="869"/>
      <c r="K876" s="869"/>
      <c r="L876" s="869"/>
      <c r="M876" s="869"/>
      <c r="N876" s="869"/>
      <c r="O876" s="869"/>
      <c r="P876" s="869"/>
      <c r="Q876" s="869"/>
      <c r="R876" s="869"/>
      <c r="S876" s="869"/>
      <c r="T876" s="869"/>
      <c r="U876" s="869"/>
      <c r="V876" s="869"/>
      <c r="W876" s="869"/>
      <c r="X876" s="869"/>
      <c r="Y876" s="869"/>
      <c r="Z876" s="869"/>
    </row>
    <row r="877">
      <c r="A877" s="869"/>
      <c r="B877" s="869"/>
      <c r="C877" s="869"/>
      <c r="D877" s="869"/>
      <c r="E877" s="869"/>
      <c r="F877" s="869"/>
      <c r="G877" s="869"/>
      <c r="H877" s="869"/>
      <c r="I877" s="869"/>
      <c r="J877" s="869"/>
      <c r="K877" s="869"/>
      <c r="L877" s="869"/>
      <c r="M877" s="869"/>
      <c r="N877" s="869"/>
      <c r="O877" s="869"/>
      <c r="P877" s="869"/>
      <c r="Q877" s="869"/>
      <c r="R877" s="869"/>
      <c r="S877" s="869"/>
      <c r="T877" s="869"/>
      <c r="U877" s="869"/>
      <c r="V877" s="869"/>
      <c r="W877" s="869"/>
      <c r="X877" s="869"/>
      <c r="Y877" s="869"/>
      <c r="Z877" s="869"/>
    </row>
    <row r="878">
      <c r="A878" s="869"/>
      <c r="B878" s="869"/>
      <c r="C878" s="869"/>
      <c r="D878" s="869"/>
      <c r="E878" s="869"/>
      <c r="F878" s="869"/>
      <c r="G878" s="869"/>
      <c r="H878" s="869"/>
      <c r="I878" s="869"/>
      <c r="J878" s="869"/>
      <c r="K878" s="869"/>
      <c r="L878" s="869"/>
      <c r="M878" s="869"/>
      <c r="N878" s="869"/>
      <c r="O878" s="869"/>
      <c r="P878" s="869"/>
      <c r="Q878" s="869"/>
      <c r="R878" s="869"/>
      <c r="S878" s="869"/>
      <c r="T878" s="869"/>
      <c r="U878" s="869"/>
      <c r="V878" s="869"/>
      <c r="W878" s="869"/>
      <c r="X878" s="869"/>
      <c r="Y878" s="869"/>
      <c r="Z878" s="869"/>
    </row>
    <row r="879">
      <c r="A879" s="869"/>
      <c r="B879" s="869"/>
      <c r="C879" s="869"/>
      <c r="D879" s="869"/>
      <c r="E879" s="869"/>
      <c r="F879" s="869"/>
      <c r="G879" s="869"/>
      <c r="H879" s="869"/>
      <c r="I879" s="869"/>
      <c r="J879" s="869"/>
      <c r="K879" s="869"/>
      <c r="L879" s="869"/>
      <c r="M879" s="869"/>
      <c r="N879" s="869"/>
      <c r="O879" s="869"/>
      <c r="P879" s="869"/>
      <c r="Q879" s="869"/>
      <c r="R879" s="869"/>
      <c r="S879" s="869"/>
      <c r="T879" s="869"/>
      <c r="U879" s="869"/>
      <c r="V879" s="869"/>
      <c r="W879" s="869"/>
      <c r="X879" s="869"/>
      <c r="Y879" s="869"/>
      <c r="Z879" s="869"/>
    </row>
    <row r="880">
      <c r="A880" s="869"/>
      <c r="B880" s="869"/>
      <c r="C880" s="869"/>
      <c r="D880" s="869"/>
      <c r="E880" s="869"/>
      <c r="F880" s="869"/>
      <c r="G880" s="869"/>
      <c r="H880" s="869"/>
      <c r="I880" s="869"/>
      <c r="J880" s="869"/>
      <c r="K880" s="869"/>
      <c r="L880" s="869"/>
      <c r="M880" s="869"/>
      <c r="N880" s="869"/>
      <c r="O880" s="869"/>
      <c r="P880" s="869"/>
      <c r="Q880" s="869"/>
      <c r="R880" s="869"/>
      <c r="S880" s="869"/>
      <c r="T880" s="869"/>
      <c r="U880" s="869"/>
      <c r="V880" s="869"/>
      <c r="W880" s="869"/>
      <c r="X880" s="869"/>
      <c r="Y880" s="869"/>
      <c r="Z880" s="869"/>
    </row>
    <row r="881">
      <c r="A881" s="869"/>
      <c r="B881" s="869"/>
      <c r="C881" s="869"/>
      <c r="D881" s="869"/>
      <c r="E881" s="869"/>
      <c r="F881" s="869"/>
      <c r="G881" s="869"/>
      <c r="H881" s="869"/>
      <c r="I881" s="869"/>
      <c r="J881" s="869"/>
      <c r="K881" s="869"/>
      <c r="L881" s="869"/>
      <c r="M881" s="869"/>
      <c r="N881" s="869"/>
      <c r="O881" s="869"/>
      <c r="P881" s="869"/>
      <c r="Q881" s="869"/>
      <c r="R881" s="869"/>
      <c r="S881" s="869"/>
      <c r="T881" s="869"/>
      <c r="U881" s="869"/>
      <c r="V881" s="869"/>
      <c r="W881" s="869"/>
      <c r="X881" s="869"/>
      <c r="Y881" s="869"/>
      <c r="Z881" s="869"/>
    </row>
    <row r="882">
      <c r="A882" s="869"/>
      <c r="B882" s="869"/>
      <c r="C882" s="869"/>
      <c r="D882" s="869"/>
      <c r="E882" s="869"/>
      <c r="F882" s="869"/>
      <c r="G882" s="869"/>
      <c r="H882" s="869"/>
      <c r="I882" s="869"/>
      <c r="J882" s="869"/>
      <c r="K882" s="869"/>
      <c r="L882" s="869"/>
      <c r="M882" s="869"/>
      <c r="N882" s="869"/>
      <c r="O882" s="869"/>
      <c r="P882" s="869"/>
      <c r="Q882" s="869"/>
      <c r="R882" s="869"/>
      <c r="S882" s="869"/>
      <c r="T882" s="869"/>
      <c r="U882" s="869"/>
      <c r="V882" s="869"/>
      <c r="W882" s="869"/>
      <c r="X882" s="869"/>
      <c r="Y882" s="869"/>
      <c r="Z882" s="869"/>
    </row>
    <row r="883">
      <c r="A883" s="869"/>
      <c r="B883" s="869"/>
      <c r="C883" s="869"/>
      <c r="D883" s="869"/>
      <c r="E883" s="869"/>
      <c r="F883" s="869"/>
      <c r="G883" s="869"/>
      <c r="H883" s="869"/>
      <c r="I883" s="869"/>
      <c r="J883" s="869"/>
      <c r="K883" s="869"/>
      <c r="L883" s="869"/>
      <c r="M883" s="869"/>
      <c r="N883" s="869"/>
      <c r="O883" s="869"/>
      <c r="P883" s="869"/>
      <c r="Q883" s="869"/>
      <c r="R883" s="869"/>
      <c r="S883" s="869"/>
      <c r="T883" s="869"/>
      <c r="U883" s="869"/>
      <c r="V883" s="869"/>
      <c r="W883" s="869"/>
      <c r="X883" s="869"/>
      <c r="Y883" s="869"/>
      <c r="Z883" s="869"/>
    </row>
    <row r="884">
      <c r="A884" s="869"/>
      <c r="B884" s="869"/>
      <c r="C884" s="869"/>
      <c r="D884" s="869"/>
      <c r="E884" s="869"/>
      <c r="F884" s="869"/>
      <c r="G884" s="869"/>
      <c r="H884" s="869"/>
      <c r="I884" s="869"/>
      <c r="J884" s="869"/>
      <c r="K884" s="869"/>
      <c r="L884" s="869"/>
      <c r="M884" s="869"/>
      <c r="N884" s="869"/>
      <c r="O884" s="869"/>
      <c r="P884" s="869"/>
      <c r="Q884" s="869"/>
      <c r="R884" s="869"/>
      <c r="S884" s="869"/>
      <c r="T884" s="869"/>
      <c r="U884" s="869"/>
      <c r="V884" s="869"/>
      <c r="W884" s="869"/>
      <c r="X884" s="869"/>
      <c r="Y884" s="869"/>
      <c r="Z884" s="869"/>
    </row>
    <row r="885">
      <c r="A885" s="869"/>
      <c r="B885" s="869"/>
      <c r="C885" s="869"/>
      <c r="D885" s="869"/>
      <c r="E885" s="869"/>
      <c r="F885" s="869"/>
      <c r="G885" s="869"/>
      <c r="H885" s="869"/>
      <c r="I885" s="869"/>
      <c r="J885" s="869"/>
      <c r="K885" s="869"/>
      <c r="L885" s="869"/>
      <c r="M885" s="869"/>
      <c r="N885" s="869"/>
      <c r="O885" s="869"/>
      <c r="P885" s="869"/>
      <c r="Q885" s="869"/>
      <c r="R885" s="869"/>
      <c r="S885" s="869"/>
      <c r="T885" s="869"/>
      <c r="U885" s="869"/>
      <c r="V885" s="869"/>
      <c r="W885" s="869"/>
      <c r="X885" s="869"/>
      <c r="Y885" s="869"/>
      <c r="Z885" s="869"/>
    </row>
    <row r="886">
      <c r="A886" s="869"/>
      <c r="B886" s="869"/>
      <c r="C886" s="869"/>
      <c r="D886" s="869"/>
      <c r="E886" s="869"/>
      <c r="F886" s="869"/>
      <c r="G886" s="869"/>
      <c r="H886" s="869"/>
      <c r="I886" s="869"/>
      <c r="J886" s="869"/>
      <c r="K886" s="869"/>
      <c r="L886" s="869"/>
      <c r="M886" s="869"/>
      <c r="N886" s="869"/>
      <c r="O886" s="869"/>
      <c r="P886" s="869"/>
      <c r="Q886" s="869"/>
      <c r="R886" s="869"/>
      <c r="S886" s="869"/>
      <c r="T886" s="869"/>
      <c r="U886" s="869"/>
      <c r="V886" s="869"/>
      <c r="W886" s="869"/>
      <c r="X886" s="869"/>
      <c r="Y886" s="869"/>
      <c r="Z886" s="869"/>
    </row>
    <row r="887">
      <c r="A887" s="869"/>
      <c r="B887" s="869"/>
      <c r="C887" s="869"/>
      <c r="D887" s="869"/>
      <c r="E887" s="869"/>
      <c r="F887" s="869"/>
      <c r="G887" s="869"/>
      <c r="H887" s="869"/>
      <c r="I887" s="869"/>
      <c r="J887" s="869"/>
      <c r="K887" s="869"/>
      <c r="L887" s="869"/>
      <c r="M887" s="869"/>
      <c r="N887" s="869"/>
      <c r="O887" s="869"/>
      <c r="P887" s="869"/>
      <c r="Q887" s="869"/>
      <c r="R887" s="869"/>
      <c r="S887" s="869"/>
      <c r="T887" s="869"/>
      <c r="U887" s="869"/>
      <c r="V887" s="869"/>
      <c r="W887" s="869"/>
      <c r="X887" s="869"/>
      <c r="Y887" s="869"/>
      <c r="Z887" s="869"/>
    </row>
    <row r="888">
      <c r="A888" s="869"/>
      <c r="B888" s="869"/>
      <c r="C888" s="869"/>
      <c r="D888" s="869"/>
      <c r="E888" s="869"/>
      <c r="F888" s="869"/>
      <c r="G888" s="869"/>
      <c r="H888" s="869"/>
      <c r="I888" s="869"/>
      <c r="J888" s="869"/>
      <c r="K888" s="869"/>
      <c r="L888" s="869"/>
      <c r="M888" s="869"/>
      <c r="N888" s="869"/>
      <c r="O888" s="869"/>
      <c r="P888" s="869"/>
      <c r="Q888" s="869"/>
      <c r="R888" s="869"/>
      <c r="S888" s="869"/>
      <c r="T888" s="869"/>
      <c r="U888" s="869"/>
      <c r="V888" s="869"/>
      <c r="W888" s="869"/>
      <c r="X888" s="869"/>
      <c r="Y888" s="869"/>
      <c r="Z888" s="869"/>
    </row>
    <row r="889">
      <c r="A889" s="869"/>
      <c r="B889" s="869"/>
      <c r="C889" s="869"/>
      <c r="D889" s="869"/>
      <c r="E889" s="869"/>
      <c r="F889" s="869"/>
      <c r="G889" s="869"/>
      <c r="H889" s="869"/>
      <c r="I889" s="869"/>
      <c r="J889" s="869"/>
      <c r="K889" s="869"/>
      <c r="L889" s="869"/>
      <c r="M889" s="869"/>
      <c r="N889" s="869"/>
      <c r="O889" s="869"/>
      <c r="P889" s="869"/>
      <c r="Q889" s="869"/>
      <c r="R889" s="869"/>
      <c r="S889" s="869"/>
      <c r="T889" s="869"/>
      <c r="U889" s="869"/>
      <c r="V889" s="869"/>
      <c r="W889" s="869"/>
      <c r="X889" s="869"/>
      <c r="Y889" s="869"/>
      <c r="Z889" s="869"/>
    </row>
    <row r="890">
      <c r="A890" s="869"/>
      <c r="B890" s="869"/>
      <c r="C890" s="869"/>
      <c r="D890" s="869"/>
      <c r="E890" s="869"/>
      <c r="F890" s="869"/>
      <c r="G890" s="869"/>
      <c r="H890" s="869"/>
      <c r="I890" s="869"/>
      <c r="J890" s="869"/>
      <c r="K890" s="869"/>
      <c r="L890" s="869"/>
      <c r="M890" s="869"/>
      <c r="N890" s="869"/>
      <c r="O890" s="869"/>
      <c r="P890" s="869"/>
      <c r="Q890" s="869"/>
      <c r="R890" s="869"/>
      <c r="S890" s="869"/>
      <c r="T890" s="869"/>
      <c r="U890" s="869"/>
      <c r="V890" s="869"/>
      <c r="W890" s="869"/>
      <c r="X890" s="869"/>
      <c r="Y890" s="869"/>
      <c r="Z890" s="869"/>
    </row>
    <row r="891">
      <c r="A891" s="869"/>
      <c r="B891" s="869"/>
      <c r="C891" s="869"/>
      <c r="D891" s="869"/>
      <c r="E891" s="869"/>
      <c r="F891" s="869"/>
      <c r="G891" s="869"/>
      <c r="H891" s="869"/>
      <c r="I891" s="869"/>
      <c r="J891" s="869"/>
      <c r="K891" s="869"/>
      <c r="L891" s="869"/>
      <c r="M891" s="869"/>
      <c r="N891" s="869"/>
      <c r="O891" s="869"/>
      <c r="P891" s="869"/>
      <c r="Q891" s="869"/>
      <c r="R891" s="869"/>
      <c r="S891" s="869"/>
      <c r="T891" s="869"/>
      <c r="U891" s="869"/>
      <c r="V891" s="869"/>
      <c r="W891" s="869"/>
      <c r="X891" s="869"/>
      <c r="Y891" s="869"/>
      <c r="Z891" s="869"/>
    </row>
    <row r="892">
      <c r="A892" s="869"/>
      <c r="B892" s="869"/>
      <c r="C892" s="869"/>
      <c r="D892" s="869"/>
      <c r="E892" s="869"/>
      <c r="F892" s="869"/>
      <c r="G892" s="869"/>
      <c r="H892" s="869"/>
      <c r="I892" s="869"/>
      <c r="J892" s="869"/>
      <c r="K892" s="869"/>
      <c r="L892" s="869"/>
      <c r="M892" s="869"/>
      <c r="N892" s="869"/>
      <c r="O892" s="869"/>
      <c r="P892" s="869"/>
      <c r="Q892" s="869"/>
      <c r="R892" s="869"/>
      <c r="S892" s="869"/>
      <c r="T892" s="869"/>
      <c r="U892" s="869"/>
      <c r="V892" s="869"/>
      <c r="W892" s="869"/>
      <c r="X892" s="869"/>
      <c r="Y892" s="869"/>
      <c r="Z892" s="869"/>
    </row>
    <row r="893">
      <c r="A893" s="869"/>
      <c r="B893" s="869"/>
      <c r="C893" s="869"/>
      <c r="D893" s="869"/>
      <c r="E893" s="869"/>
      <c r="F893" s="869"/>
      <c r="G893" s="869"/>
      <c r="H893" s="869"/>
      <c r="I893" s="869"/>
      <c r="J893" s="869"/>
      <c r="K893" s="869"/>
      <c r="L893" s="869"/>
      <c r="M893" s="869"/>
      <c r="N893" s="869"/>
      <c r="O893" s="869"/>
      <c r="P893" s="869"/>
      <c r="Q893" s="869"/>
      <c r="R893" s="869"/>
      <c r="S893" s="869"/>
      <c r="T893" s="869"/>
      <c r="U893" s="869"/>
      <c r="V893" s="869"/>
      <c r="W893" s="869"/>
      <c r="X893" s="869"/>
      <c r="Y893" s="869"/>
      <c r="Z893" s="869"/>
    </row>
    <row r="894">
      <c r="A894" s="869"/>
      <c r="B894" s="869"/>
      <c r="C894" s="869"/>
      <c r="D894" s="869"/>
      <c r="E894" s="869"/>
      <c r="F894" s="869"/>
      <c r="G894" s="869"/>
      <c r="H894" s="869"/>
      <c r="I894" s="869"/>
      <c r="J894" s="869"/>
      <c r="K894" s="869"/>
      <c r="L894" s="869"/>
      <c r="M894" s="869"/>
      <c r="N894" s="869"/>
      <c r="O894" s="869"/>
      <c r="P894" s="869"/>
      <c r="Q894" s="869"/>
      <c r="R894" s="869"/>
      <c r="S894" s="869"/>
      <c r="T894" s="869"/>
      <c r="U894" s="869"/>
      <c r="V894" s="869"/>
      <c r="W894" s="869"/>
      <c r="X894" s="869"/>
      <c r="Y894" s="869"/>
      <c r="Z894" s="869"/>
    </row>
    <row r="895">
      <c r="A895" s="869"/>
      <c r="B895" s="869"/>
      <c r="C895" s="869"/>
      <c r="D895" s="869"/>
      <c r="E895" s="869"/>
      <c r="F895" s="869"/>
      <c r="G895" s="869"/>
      <c r="H895" s="869"/>
      <c r="I895" s="869"/>
      <c r="J895" s="869"/>
      <c r="K895" s="869"/>
      <c r="L895" s="869"/>
      <c r="M895" s="869"/>
      <c r="N895" s="869"/>
      <c r="O895" s="869"/>
      <c r="P895" s="869"/>
      <c r="Q895" s="869"/>
      <c r="R895" s="869"/>
      <c r="S895" s="869"/>
      <c r="T895" s="869"/>
      <c r="U895" s="869"/>
      <c r="V895" s="869"/>
      <c r="W895" s="869"/>
      <c r="X895" s="869"/>
      <c r="Y895" s="869"/>
      <c r="Z895" s="869"/>
    </row>
    <row r="896">
      <c r="A896" s="869"/>
      <c r="B896" s="869"/>
      <c r="C896" s="869"/>
      <c r="D896" s="869"/>
      <c r="E896" s="869"/>
      <c r="F896" s="869"/>
      <c r="G896" s="869"/>
      <c r="H896" s="869"/>
      <c r="I896" s="869"/>
      <c r="J896" s="869"/>
      <c r="K896" s="869"/>
      <c r="L896" s="869"/>
      <c r="M896" s="869"/>
      <c r="N896" s="869"/>
      <c r="O896" s="869"/>
      <c r="P896" s="869"/>
      <c r="Q896" s="869"/>
      <c r="R896" s="869"/>
      <c r="S896" s="869"/>
      <c r="T896" s="869"/>
      <c r="U896" s="869"/>
      <c r="V896" s="869"/>
      <c r="W896" s="869"/>
      <c r="X896" s="869"/>
      <c r="Y896" s="869"/>
      <c r="Z896" s="869"/>
    </row>
    <row r="897">
      <c r="A897" s="869"/>
      <c r="B897" s="869"/>
      <c r="C897" s="869"/>
      <c r="D897" s="869"/>
      <c r="E897" s="869"/>
      <c r="F897" s="869"/>
      <c r="G897" s="869"/>
      <c r="H897" s="869"/>
      <c r="I897" s="869"/>
      <c r="J897" s="869"/>
      <c r="K897" s="869"/>
      <c r="L897" s="869"/>
      <c r="M897" s="869"/>
      <c r="N897" s="869"/>
      <c r="O897" s="869"/>
      <c r="P897" s="869"/>
      <c r="Q897" s="869"/>
      <c r="R897" s="869"/>
      <c r="S897" s="869"/>
      <c r="T897" s="869"/>
      <c r="U897" s="869"/>
      <c r="V897" s="869"/>
      <c r="W897" s="869"/>
      <c r="X897" s="869"/>
      <c r="Y897" s="869"/>
      <c r="Z897" s="869"/>
    </row>
    <row r="898">
      <c r="A898" s="869"/>
      <c r="B898" s="869"/>
      <c r="C898" s="869"/>
      <c r="D898" s="869"/>
      <c r="E898" s="869"/>
      <c r="F898" s="869"/>
      <c r="G898" s="869"/>
      <c r="H898" s="869"/>
      <c r="I898" s="869"/>
      <c r="J898" s="869"/>
      <c r="K898" s="869"/>
      <c r="L898" s="869"/>
      <c r="M898" s="869"/>
      <c r="N898" s="869"/>
      <c r="O898" s="869"/>
      <c r="P898" s="869"/>
      <c r="Q898" s="869"/>
      <c r="R898" s="869"/>
      <c r="S898" s="869"/>
      <c r="T898" s="869"/>
      <c r="U898" s="869"/>
      <c r="V898" s="869"/>
      <c r="W898" s="869"/>
      <c r="X898" s="869"/>
      <c r="Y898" s="869"/>
      <c r="Z898" s="869"/>
    </row>
    <row r="899">
      <c r="A899" s="869"/>
      <c r="B899" s="869"/>
      <c r="C899" s="869"/>
      <c r="D899" s="869"/>
      <c r="E899" s="869"/>
      <c r="F899" s="869"/>
      <c r="G899" s="869"/>
      <c r="H899" s="869"/>
      <c r="I899" s="869"/>
      <c r="J899" s="869"/>
      <c r="K899" s="869"/>
      <c r="L899" s="869"/>
      <c r="M899" s="869"/>
      <c r="N899" s="869"/>
      <c r="O899" s="869"/>
      <c r="P899" s="869"/>
      <c r="Q899" s="869"/>
      <c r="R899" s="869"/>
      <c r="S899" s="869"/>
      <c r="T899" s="869"/>
      <c r="U899" s="869"/>
      <c r="V899" s="869"/>
      <c r="W899" s="869"/>
      <c r="X899" s="869"/>
      <c r="Y899" s="869"/>
      <c r="Z899" s="869"/>
    </row>
    <row r="900">
      <c r="A900" s="869"/>
      <c r="B900" s="869"/>
      <c r="C900" s="869"/>
      <c r="D900" s="869"/>
      <c r="E900" s="869"/>
      <c r="F900" s="869"/>
      <c r="G900" s="869"/>
      <c r="H900" s="869"/>
      <c r="I900" s="869"/>
      <c r="J900" s="869"/>
      <c r="K900" s="869"/>
      <c r="L900" s="869"/>
      <c r="M900" s="869"/>
      <c r="N900" s="869"/>
      <c r="O900" s="869"/>
      <c r="P900" s="869"/>
      <c r="Q900" s="869"/>
      <c r="R900" s="869"/>
      <c r="S900" s="869"/>
      <c r="T900" s="869"/>
      <c r="U900" s="869"/>
      <c r="V900" s="869"/>
      <c r="W900" s="869"/>
      <c r="X900" s="869"/>
      <c r="Y900" s="869"/>
      <c r="Z900" s="869"/>
    </row>
    <row r="901">
      <c r="A901" s="869"/>
      <c r="B901" s="869"/>
      <c r="C901" s="869"/>
      <c r="D901" s="869"/>
      <c r="E901" s="869"/>
      <c r="F901" s="869"/>
      <c r="G901" s="869"/>
      <c r="H901" s="869"/>
      <c r="I901" s="869"/>
      <c r="J901" s="869"/>
      <c r="K901" s="869"/>
      <c r="L901" s="869"/>
      <c r="M901" s="869"/>
      <c r="N901" s="869"/>
      <c r="O901" s="869"/>
      <c r="P901" s="869"/>
      <c r="Q901" s="869"/>
      <c r="R901" s="869"/>
      <c r="S901" s="869"/>
      <c r="T901" s="869"/>
      <c r="U901" s="869"/>
      <c r="V901" s="869"/>
      <c r="W901" s="869"/>
      <c r="X901" s="869"/>
      <c r="Y901" s="869"/>
      <c r="Z901" s="869"/>
    </row>
    <row r="902">
      <c r="A902" s="869"/>
      <c r="B902" s="869"/>
      <c r="C902" s="869"/>
      <c r="D902" s="869"/>
      <c r="E902" s="869"/>
      <c r="F902" s="869"/>
      <c r="G902" s="869"/>
      <c r="H902" s="869"/>
      <c r="I902" s="869"/>
      <c r="J902" s="869"/>
      <c r="K902" s="869"/>
      <c r="L902" s="869"/>
      <c r="M902" s="869"/>
      <c r="N902" s="869"/>
      <c r="O902" s="869"/>
      <c r="P902" s="869"/>
      <c r="Q902" s="869"/>
      <c r="R902" s="869"/>
      <c r="S902" s="869"/>
      <c r="T902" s="869"/>
      <c r="U902" s="869"/>
      <c r="V902" s="869"/>
      <c r="W902" s="869"/>
      <c r="X902" s="869"/>
      <c r="Y902" s="869"/>
      <c r="Z902" s="869"/>
    </row>
    <row r="903">
      <c r="A903" s="869"/>
      <c r="B903" s="869"/>
      <c r="C903" s="869"/>
      <c r="D903" s="869"/>
      <c r="E903" s="869"/>
      <c r="F903" s="869"/>
      <c r="G903" s="869"/>
      <c r="H903" s="869"/>
      <c r="I903" s="869"/>
      <c r="J903" s="869"/>
      <c r="K903" s="869"/>
      <c r="L903" s="869"/>
      <c r="M903" s="869"/>
      <c r="N903" s="869"/>
      <c r="O903" s="869"/>
      <c r="P903" s="869"/>
      <c r="Q903" s="869"/>
      <c r="R903" s="869"/>
      <c r="S903" s="869"/>
      <c r="T903" s="869"/>
      <c r="U903" s="869"/>
      <c r="V903" s="869"/>
      <c r="W903" s="869"/>
      <c r="X903" s="869"/>
      <c r="Y903" s="869"/>
      <c r="Z903" s="869"/>
    </row>
    <row r="904">
      <c r="A904" s="869"/>
      <c r="B904" s="869"/>
      <c r="C904" s="869"/>
      <c r="D904" s="869"/>
      <c r="E904" s="869"/>
      <c r="F904" s="869"/>
      <c r="G904" s="869"/>
      <c r="H904" s="869"/>
      <c r="I904" s="869"/>
      <c r="J904" s="869"/>
      <c r="K904" s="869"/>
      <c r="L904" s="869"/>
      <c r="M904" s="869"/>
      <c r="N904" s="869"/>
      <c r="O904" s="869"/>
      <c r="P904" s="869"/>
      <c r="Q904" s="869"/>
      <c r="R904" s="869"/>
      <c r="S904" s="869"/>
      <c r="T904" s="869"/>
      <c r="U904" s="869"/>
      <c r="V904" s="869"/>
      <c r="W904" s="869"/>
      <c r="X904" s="869"/>
      <c r="Y904" s="869"/>
      <c r="Z904" s="869"/>
    </row>
    <row r="905">
      <c r="A905" s="869"/>
      <c r="B905" s="869"/>
      <c r="C905" s="869"/>
      <c r="D905" s="869"/>
      <c r="E905" s="869"/>
      <c r="F905" s="869"/>
      <c r="G905" s="869"/>
      <c r="H905" s="869"/>
      <c r="I905" s="869"/>
      <c r="J905" s="869"/>
      <c r="K905" s="869"/>
      <c r="L905" s="869"/>
      <c r="M905" s="869"/>
      <c r="N905" s="869"/>
      <c r="O905" s="869"/>
      <c r="P905" s="869"/>
      <c r="Q905" s="869"/>
      <c r="R905" s="869"/>
      <c r="S905" s="869"/>
      <c r="T905" s="869"/>
      <c r="U905" s="869"/>
      <c r="V905" s="869"/>
      <c r="W905" s="869"/>
      <c r="X905" s="869"/>
      <c r="Y905" s="869"/>
      <c r="Z905" s="869"/>
    </row>
    <row r="906">
      <c r="A906" s="869"/>
      <c r="B906" s="869"/>
      <c r="C906" s="869"/>
      <c r="D906" s="869"/>
      <c r="E906" s="869"/>
      <c r="F906" s="869"/>
      <c r="G906" s="869"/>
      <c r="H906" s="869"/>
      <c r="I906" s="869"/>
      <c r="J906" s="869"/>
      <c r="K906" s="869"/>
      <c r="L906" s="869"/>
      <c r="M906" s="869"/>
      <c r="N906" s="869"/>
      <c r="O906" s="869"/>
      <c r="P906" s="869"/>
      <c r="Q906" s="869"/>
      <c r="R906" s="869"/>
      <c r="S906" s="869"/>
      <c r="T906" s="869"/>
      <c r="U906" s="869"/>
      <c r="V906" s="869"/>
      <c r="W906" s="869"/>
      <c r="X906" s="869"/>
      <c r="Y906" s="869"/>
      <c r="Z906" s="869"/>
    </row>
    <row r="907">
      <c r="A907" s="869"/>
      <c r="B907" s="869"/>
      <c r="C907" s="869"/>
      <c r="D907" s="869"/>
      <c r="E907" s="869"/>
      <c r="F907" s="869"/>
      <c r="G907" s="869"/>
      <c r="H907" s="869"/>
      <c r="I907" s="869"/>
      <c r="J907" s="869"/>
      <c r="K907" s="869"/>
      <c r="L907" s="869"/>
      <c r="M907" s="869"/>
      <c r="N907" s="869"/>
      <c r="O907" s="869"/>
      <c r="P907" s="869"/>
      <c r="Q907" s="869"/>
      <c r="R907" s="869"/>
      <c r="S907" s="869"/>
      <c r="T907" s="869"/>
      <c r="U907" s="869"/>
      <c r="V907" s="869"/>
      <c r="W907" s="869"/>
      <c r="X907" s="869"/>
      <c r="Y907" s="869"/>
      <c r="Z907" s="869"/>
    </row>
    <row r="908">
      <c r="A908" s="869"/>
      <c r="B908" s="869"/>
      <c r="C908" s="869"/>
      <c r="D908" s="869"/>
      <c r="E908" s="869"/>
      <c r="F908" s="869"/>
      <c r="G908" s="869"/>
      <c r="H908" s="869"/>
      <c r="I908" s="869"/>
      <c r="J908" s="869"/>
      <c r="K908" s="869"/>
      <c r="L908" s="869"/>
      <c r="M908" s="869"/>
      <c r="N908" s="869"/>
      <c r="O908" s="869"/>
      <c r="P908" s="869"/>
      <c r="Q908" s="869"/>
      <c r="R908" s="869"/>
      <c r="S908" s="869"/>
      <c r="T908" s="869"/>
      <c r="U908" s="869"/>
      <c r="V908" s="869"/>
      <c r="W908" s="869"/>
      <c r="X908" s="869"/>
      <c r="Y908" s="869"/>
      <c r="Z908" s="869"/>
    </row>
    <row r="909">
      <c r="A909" s="869"/>
      <c r="B909" s="869"/>
      <c r="C909" s="869"/>
      <c r="D909" s="869"/>
      <c r="E909" s="869"/>
      <c r="F909" s="869"/>
      <c r="G909" s="869"/>
      <c r="H909" s="869"/>
      <c r="I909" s="869"/>
      <c r="J909" s="869"/>
      <c r="K909" s="869"/>
      <c r="L909" s="869"/>
      <c r="M909" s="869"/>
      <c r="N909" s="869"/>
      <c r="O909" s="869"/>
      <c r="P909" s="869"/>
      <c r="Q909" s="869"/>
      <c r="R909" s="869"/>
      <c r="S909" s="869"/>
      <c r="T909" s="869"/>
      <c r="U909" s="869"/>
      <c r="V909" s="869"/>
      <c r="W909" s="869"/>
      <c r="X909" s="869"/>
      <c r="Y909" s="869"/>
      <c r="Z909" s="869"/>
    </row>
    <row r="910">
      <c r="A910" s="869"/>
      <c r="B910" s="869"/>
      <c r="C910" s="869"/>
      <c r="D910" s="869"/>
      <c r="E910" s="869"/>
      <c r="F910" s="869"/>
      <c r="G910" s="869"/>
      <c r="H910" s="869"/>
      <c r="I910" s="869"/>
      <c r="J910" s="869"/>
      <c r="K910" s="869"/>
      <c r="L910" s="869"/>
      <c r="M910" s="869"/>
      <c r="N910" s="869"/>
      <c r="O910" s="869"/>
      <c r="P910" s="869"/>
      <c r="Q910" s="869"/>
      <c r="R910" s="869"/>
      <c r="S910" s="869"/>
      <c r="T910" s="869"/>
      <c r="U910" s="869"/>
      <c r="V910" s="869"/>
      <c r="W910" s="869"/>
      <c r="X910" s="869"/>
      <c r="Y910" s="869"/>
      <c r="Z910" s="869"/>
    </row>
    <row r="911">
      <c r="A911" s="869"/>
      <c r="B911" s="869"/>
      <c r="C911" s="869"/>
      <c r="D911" s="869"/>
      <c r="E911" s="869"/>
      <c r="F911" s="869"/>
      <c r="G911" s="869"/>
      <c r="H911" s="869"/>
      <c r="I911" s="869"/>
      <c r="J911" s="869"/>
      <c r="K911" s="869"/>
      <c r="L911" s="869"/>
      <c r="M911" s="869"/>
      <c r="N911" s="869"/>
      <c r="O911" s="869"/>
      <c r="P911" s="869"/>
      <c r="Q911" s="869"/>
      <c r="R911" s="869"/>
      <c r="S911" s="869"/>
      <c r="T911" s="869"/>
      <c r="U911" s="869"/>
      <c r="V911" s="869"/>
      <c r="W911" s="869"/>
      <c r="X911" s="869"/>
      <c r="Y911" s="869"/>
      <c r="Z911" s="869"/>
    </row>
    <row r="912">
      <c r="A912" s="869"/>
      <c r="B912" s="869"/>
      <c r="C912" s="869"/>
      <c r="D912" s="869"/>
      <c r="E912" s="869"/>
      <c r="F912" s="869"/>
      <c r="G912" s="869"/>
      <c r="H912" s="869"/>
      <c r="I912" s="869"/>
      <c r="J912" s="869"/>
      <c r="K912" s="869"/>
      <c r="L912" s="869"/>
      <c r="M912" s="869"/>
      <c r="N912" s="869"/>
      <c r="O912" s="869"/>
      <c r="P912" s="869"/>
      <c r="Q912" s="869"/>
      <c r="R912" s="869"/>
      <c r="S912" s="869"/>
      <c r="T912" s="869"/>
      <c r="U912" s="869"/>
      <c r="V912" s="869"/>
      <c r="W912" s="869"/>
      <c r="X912" s="869"/>
      <c r="Y912" s="869"/>
      <c r="Z912" s="869"/>
    </row>
    <row r="913">
      <c r="A913" s="869"/>
      <c r="B913" s="869"/>
      <c r="C913" s="869"/>
      <c r="D913" s="869"/>
      <c r="E913" s="869"/>
      <c r="F913" s="869"/>
      <c r="G913" s="869"/>
      <c r="H913" s="869"/>
      <c r="I913" s="869"/>
      <c r="J913" s="869"/>
      <c r="K913" s="869"/>
      <c r="L913" s="869"/>
      <c r="M913" s="869"/>
      <c r="N913" s="869"/>
      <c r="O913" s="869"/>
      <c r="P913" s="869"/>
      <c r="Q913" s="869"/>
      <c r="R913" s="869"/>
      <c r="S913" s="869"/>
      <c r="T913" s="869"/>
      <c r="U913" s="869"/>
      <c r="V913" s="869"/>
      <c r="W913" s="869"/>
      <c r="X913" s="869"/>
      <c r="Y913" s="869"/>
      <c r="Z913" s="869"/>
    </row>
    <row r="914">
      <c r="A914" s="869"/>
      <c r="B914" s="869"/>
      <c r="C914" s="869"/>
      <c r="D914" s="869"/>
      <c r="E914" s="869"/>
      <c r="F914" s="869"/>
      <c r="G914" s="869"/>
      <c r="H914" s="869"/>
      <c r="I914" s="869"/>
      <c r="J914" s="869"/>
      <c r="K914" s="869"/>
      <c r="L914" s="869"/>
      <c r="M914" s="869"/>
      <c r="N914" s="869"/>
      <c r="O914" s="869"/>
      <c r="P914" s="869"/>
      <c r="Q914" s="869"/>
      <c r="R914" s="869"/>
      <c r="S914" s="869"/>
      <c r="T914" s="869"/>
      <c r="U914" s="869"/>
      <c r="V914" s="869"/>
      <c r="W914" s="869"/>
      <c r="X914" s="869"/>
      <c r="Y914" s="869"/>
      <c r="Z914" s="869"/>
    </row>
    <row r="915">
      <c r="A915" s="869"/>
      <c r="B915" s="869"/>
      <c r="C915" s="869"/>
      <c r="D915" s="869"/>
      <c r="E915" s="869"/>
      <c r="F915" s="869"/>
      <c r="G915" s="869"/>
      <c r="H915" s="869"/>
      <c r="I915" s="869"/>
      <c r="J915" s="869"/>
      <c r="K915" s="869"/>
      <c r="L915" s="869"/>
      <c r="M915" s="869"/>
      <c r="N915" s="869"/>
      <c r="O915" s="869"/>
      <c r="P915" s="869"/>
      <c r="Q915" s="869"/>
      <c r="R915" s="869"/>
      <c r="S915" s="869"/>
      <c r="T915" s="869"/>
      <c r="U915" s="869"/>
      <c r="V915" s="869"/>
      <c r="W915" s="869"/>
      <c r="X915" s="869"/>
      <c r="Y915" s="869"/>
      <c r="Z915" s="869"/>
    </row>
    <row r="916">
      <c r="A916" s="869"/>
      <c r="B916" s="869"/>
      <c r="C916" s="869"/>
      <c r="D916" s="869"/>
      <c r="E916" s="869"/>
      <c r="F916" s="869"/>
      <c r="G916" s="869"/>
      <c r="H916" s="869"/>
      <c r="I916" s="869"/>
      <c r="J916" s="869"/>
      <c r="K916" s="869"/>
      <c r="L916" s="869"/>
      <c r="M916" s="869"/>
      <c r="N916" s="869"/>
      <c r="O916" s="869"/>
      <c r="P916" s="869"/>
      <c r="Q916" s="869"/>
      <c r="R916" s="869"/>
      <c r="S916" s="869"/>
      <c r="T916" s="869"/>
      <c r="U916" s="869"/>
      <c r="V916" s="869"/>
      <c r="W916" s="869"/>
      <c r="X916" s="869"/>
      <c r="Y916" s="869"/>
      <c r="Z916" s="869"/>
    </row>
    <row r="917">
      <c r="A917" s="869"/>
      <c r="B917" s="869"/>
      <c r="C917" s="869"/>
      <c r="D917" s="869"/>
      <c r="E917" s="869"/>
      <c r="F917" s="869"/>
      <c r="G917" s="869"/>
      <c r="H917" s="869"/>
      <c r="I917" s="869"/>
      <c r="J917" s="869"/>
      <c r="K917" s="869"/>
      <c r="L917" s="869"/>
      <c r="M917" s="869"/>
      <c r="N917" s="869"/>
      <c r="O917" s="869"/>
      <c r="P917" s="869"/>
      <c r="Q917" s="869"/>
      <c r="R917" s="869"/>
      <c r="S917" s="869"/>
      <c r="T917" s="869"/>
      <c r="U917" s="869"/>
      <c r="V917" s="869"/>
      <c r="W917" s="869"/>
      <c r="X917" s="869"/>
      <c r="Y917" s="869"/>
      <c r="Z917" s="869"/>
    </row>
    <row r="918">
      <c r="A918" s="869"/>
      <c r="B918" s="869"/>
      <c r="C918" s="869"/>
      <c r="D918" s="869"/>
      <c r="E918" s="869"/>
      <c r="F918" s="869"/>
      <c r="G918" s="869"/>
      <c r="H918" s="869"/>
      <c r="I918" s="869"/>
      <c r="J918" s="869"/>
      <c r="K918" s="869"/>
      <c r="L918" s="869"/>
      <c r="M918" s="869"/>
      <c r="N918" s="869"/>
      <c r="O918" s="869"/>
      <c r="P918" s="869"/>
      <c r="Q918" s="869"/>
      <c r="R918" s="869"/>
      <c r="S918" s="869"/>
      <c r="T918" s="869"/>
      <c r="U918" s="869"/>
      <c r="V918" s="869"/>
      <c r="W918" s="869"/>
      <c r="X918" s="869"/>
      <c r="Y918" s="869"/>
      <c r="Z918" s="869"/>
    </row>
    <row r="919">
      <c r="A919" s="869"/>
      <c r="B919" s="869"/>
      <c r="C919" s="869"/>
      <c r="D919" s="869"/>
      <c r="E919" s="869"/>
      <c r="F919" s="869"/>
      <c r="G919" s="869"/>
      <c r="H919" s="869"/>
      <c r="I919" s="869"/>
      <c r="J919" s="869"/>
      <c r="K919" s="869"/>
      <c r="L919" s="869"/>
      <c r="M919" s="869"/>
      <c r="N919" s="869"/>
      <c r="O919" s="869"/>
      <c r="P919" s="869"/>
      <c r="Q919" s="869"/>
      <c r="R919" s="869"/>
      <c r="S919" s="869"/>
      <c r="T919" s="869"/>
      <c r="U919" s="869"/>
      <c r="V919" s="869"/>
      <c r="W919" s="869"/>
      <c r="X919" s="869"/>
      <c r="Y919" s="869"/>
      <c r="Z919" s="869"/>
    </row>
    <row r="920">
      <c r="A920" s="869"/>
      <c r="B920" s="869"/>
      <c r="C920" s="869"/>
      <c r="D920" s="869"/>
      <c r="E920" s="869"/>
      <c r="F920" s="869"/>
      <c r="G920" s="869"/>
      <c r="H920" s="869"/>
      <c r="I920" s="869"/>
      <c r="J920" s="869"/>
      <c r="K920" s="869"/>
      <c r="L920" s="869"/>
      <c r="M920" s="869"/>
      <c r="N920" s="869"/>
      <c r="O920" s="869"/>
      <c r="P920" s="869"/>
      <c r="Q920" s="869"/>
      <c r="R920" s="869"/>
      <c r="S920" s="869"/>
      <c r="T920" s="869"/>
      <c r="U920" s="869"/>
      <c r="V920" s="869"/>
      <c r="W920" s="869"/>
      <c r="X920" s="869"/>
      <c r="Y920" s="869"/>
      <c r="Z920" s="869"/>
    </row>
    <row r="921">
      <c r="A921" s="869"/>
      <c r="B921" s="869"/>
      <c r="C921" s="869"/>
      <c r="D921" s="869"/>
      <c r="E921" s="869"/>
      <c r="F921" s="869"/>
      <c r="G921" s="869"/>
      <c r="H921" s="869"/>
      <c r="I921" s="869"/>
      <c r="J921" s="869"/>
      <c r="K921" s="869"/>
      <c r="L921" s="869"/>
      <c r="M921" s="869"/>
      <c r="N921" s="869"/>
      <c r="O921" s="869"/>
      <c r="P921" s="869"/>
      <c r="Q921" s="869"/>
      <c r="R921" s="869"/>
      <c r="S921" s="869"/>
      <c r="T921" s="869"/>
      <c r="U921" s="869"/>
      <c r="V921" s="869"/>
      <c r="W921" s="869"/>
      <c r="X921" s="869"/>
      <c r="Y921" s="869"/>
      <c r="Z921" s="869"/>
    </row>
    <row r="922">
      <c r="A922" s="869"/>
      <c r="B922" s="869"/>
      <c r="C922" s="869"/>
      <c r="D922" s="869"/>
      <c r="E922" s="869"/>
      <c r="F922" s="869"/>
      <c r="G922" s="869"/>
      <c r="H922" s="869"/>
      <c r="I922" s="869"/>
      <c r="J922" s="869"/>
      <c r="K922" s="869"/>
      <c r="L922" s="869"/>
      <c r="M922" s="869"/>
      <c r="N922" s="869"/>
      <c r="O922" s="869"/>
      <c r="P922" s="869"/>
      <c r="Q922" s="869"/>
      <c r="R922" s="869"/>
      <c r="S922" s="869"/>
      <c r="T922" s="869"/>
      <c r="U922" s="869"/>
      <c r="V922" s="869"/>
      <c r="W922" s="869"/>
      <c r="X922" s="869"/>
      <c r="Y922" s="869"/>
      <c r="Z922" s="869"/>
    </row>
    <row r="923">
      <c r="A923" s="869"/>
      <c r="B923" s="869"/>
      <c r="C923" s="869"/>
      <c r="D923" s="869"/>
      <c r="E923" s="869"/>
      <c r="F923" s="869"/>
      <c r="G923" s="869"/>
      <c r="H923" s="869"/>
      <c r="I923" s="869"/>
      <c r="J923" s="869"/>
      <c r="K923" s="869"/>
      <c r="L923" s="869"/>
      <c r="M923" s="869"/>
      <c r="N923" s="869"/>
      <c r="O923" s="869"/>
      <c r="P923" s="869"/>
      <c r="Q923" s="869"/>
      <c r="R923" s="869"/>
      <c r="S923" s="869"/>
      <c r="T923" s="869"/>
      <c r="U923" s="869"/>
      <c r="V923" s="869"/>
      <c r="W923" s="869"/>
      <c r="X923" s="869"/>
      <c r="Y923" s="869"/>
      <c r="Z923" s="869"/>
    </row>
    <row r="924">
      <c r="A924" s="869"/>
      <c r="B924" s="869"/>
      <c r="C924" s="869"/>
      <c r="D924" s="869"/>
      <c r="E924" s="869"/>
      <c r="F924" s="869"/>
      <c r="G924" s="869"/>
      <c r="H924" s="869"/>
      <c r="I924" s="869"/>
      <c r="J924" s="869"/>
      <c r="K924" s="869"/>
      <c r="L924" s="869"/>
      <c r="M924" s="869"/>
      <c r="N924" s="869"/>
      <c r="O924" s="869"/>
      <c r="P924" s="869"/>
      <c r="Q924" s="869"/>
      <c r="R924" s="869"/>
      <c r="S924" s="869"/>
      <c r="T924" s="869"/>
      <c r="U924" s="869"/>
      <c r="V924" s="869"/>
      <c r="W924" s="869"/>
      <c r="X924" s="869"/>
      <c r="Y924" s="869"/>
      <c r="Z924" s="869"/>
    </row>
    <row r="925">
      <c r="A925" s="869"/>
      <c r="B925" s="869"/>
      <c r="C925" s="869"/>
      <c r="D925" s="869"/>
      <c r="E925" s="869"/>
      <c r="F925" s="869"/>
      <c r="G925" s="869"/>
      <c r="H925" s="869"/>
      <c r="I925" s="869"/>
      <c r="J925" s="869"/>
      <c r="K925" s="869"/>
      <c r="L925" s="869"/>
      <c r="M925" s="869"/>
      <c r="N925" s="869"/>
      <c r="O925" s="869"/>
      <c r="P925" s="869"/>
      <c r="Q925" s="869"/>
      <c r="R925" s="869"/>
      <c r="S925" s="869"/>
      <c r="T925" s="869"/>
      <c r="U925" s="869"/>
      <c r="V925" s="869"/>
      <c r="W925" s="869"/>
      <c r="X925" s="869"/>
      <c r="Y925" s="869"/>
      <c r="Z925" s="869"/>
    </row>
    <row r="926">
      <c r="A926" s="869"/>
      <c r="B926" s="869"/>
      <c r="C926" s="869"/>
      <c r="D926" s="869"/>
      <c r="E926" s="869"/>
      <c r="F926" s="869"/>
      <c r="G926" s="869"/>
      <c r="H926" s="869"/>
      <c r="I926" s="869"/>
      <c r="J926" s="869"/>
      <c r="K926" s="869"/>
      <c r="L926" s="869"/>
      <c r="M926" s="869"/>
      <c r="N926" s="869"/>
      <c r="O926" s="869"/>
      <c r="P926" s="869"/>
      <c r="Q926" s="869"/>
      <c r="R926" s="869"/>
      <c r="S926" s="869"/>
      <c r="T926" s="869"/>
      <c r="U926" s="869"/>
      <c r="V926" s="869"/>
      <c r="W926" s="869"/>
      <c r="X926" s="869"/>
      <c r="Y926" s="869"/>
      <c r="Z926" s="869"/>
    </row>
    <row r="927">
      <c r="A927" s="869"/>
      <c r="B927" s="869"/>
      <c r="C927" s="869"/>
      <c r="D927" s="869"/>
      <c r="E927" s="869"/>
      <c r="F927" s="869"/>
      <c r="G927" s="869"/>
      <c r="H927" s="869"/>
      <c r="I927" s="869"/>
      <c r="J927" s="869"/>
      <c r="K927" s="869"/>
      <c r="L927" s="869"/>
      <c r="M927" s="869"/>
      <c r="N927" s="869"/>
      <c r="O927" s="869"/>
      <c r="P927" s="869"/>
      <c r="Q927" s="869"/>
      <c r="R927" s="869"/>
      <c r="S927" s="869"/>
      <c r="T927" s="869"/>
      <c r="U927" s="869"/>
      <c r="V927" s="869"/>
      <c r="W927" s="869"/>
      <c r="X927" s="869"/>
      <c r="Y927" s="869"/>
      <c r="Z927" s="869"/>
    </row>
    <row r="928">
      <c r="A928" s="869"/>
      <c r="B928" s="869"/>
      <c r="C928" s="869"/>
      <c r="D928" s="869"/>
      <c r="E928" s="869"/>
      <c r="F928" s="869"/>
      <c r="G928" s="869"/>
      <c r="H928" s="869"/>
      <c r="I928" s="869"/>
      <c r="J928" s="869"/>
      <c r="K928" s="869"/>
      <c r="L928" s="869"/>
      <c r="M928" s="869"/>
      <c r="N928" s="869"/>
      <c r="O928" s="869"/>
      <c r="P928" s="869"/>
      <c r="Q928" s="869"/>
      <c r="R928" s="869"/>
      <c r="S928" s="869"/>
      <c r="T928" s="869"/>
      <c r="U928" s="869"/>
      <c r="V928" s="869"/>
      <c r="W928" s="869"/>
      <c r="X928" s="869"/>
      <c r="Y928" s="869"/>
      <c r="Z928" s="869"/>
    </row>
    <row r="929">
      <c r="A929" s="869"/>
      <c r="B929" s="869"/>
      <c r="C929" s="869"/>
      <c r="D929" s="869"/>
      <c r="E929" s="869"/>
      <c r="F929" s="869"/>
      <c r="G929" s="869"/>
      <c r="H929" s="869"/>
      <c r="I929" s="869"/>
      <c r="J929" s="869"/>
      <c r="K929" s="869"/>
      <c r="L929" s="869"/>
      <c r="M929" s="869"/>
      <c r="N929" s="869"/>
      <c r="O929" s="869"/>
      <c r="P929" s="869"/>
      <c r="Q929" s="869"/>
      <c r="R929" s="869"/>
      <c r="S929" s="869"/>
      <c r="T929" s="869"/>
      <c r="U929" s="869"/>
      <c r="V929" s="869"/>
      <c r="W929" s="869"/>
      <c r="X929" s="869"/>
      <c r="Y929" s="869"/>
      <c r="Z929" s="869"/>
    </row>
    <row r="930">
      <c r="A930" s="869"/>
      <c r="B930" s="869"/>
      <c r="C930" s="869"/>
      <c r="D930" s="869"/>
      <c r="E930" s="869"/>
      <c r="F930" s="869"/>
      <c r="G930" s="869"/>
      <c r="H930" s="869"/>
      <c r="I930" s="869"/>
      <c r="J930" s="869"/>
      <c r="K930" s="869"/>
      <c r="L930" s="869"/>
      <c r="M930" s="869"/>
      <c r="N930" s="869"/>
      <c r="O930" s="869"/>
      <c r="P930" s="869"/>
      <c r="Q930" s="869"/>
      <c r="R930" s="869"/>
      <c r="S930" s="869"/>
      <c r="T930" s="869"/>
      <c r="U930" s="869"/>
      <c r="V930" s="869"/>
      <c r="W930" s="869"/>
      <c r="X930" s="869"/>
      <c r="Y930" s="869"/>
      <c r="Z930" s="869"/>
    </row>
    <row r="931">
      <c r="A931" s="869"/>
      <c r="B931" s="869"/>
      <c r="C931" s="869"/>
      <c r="D931" s="869"/>
      <c r="E931" s="869"/>
      <c r="F931" s="869"/>
      <c r="G931" s="869"/>
      <c r="H931" s="869"/>
      <c r="I931" s="869"/>
      <c r="J931" s="869"/>
      <c r="K931" s="869"/>
      <c r="L931" s="869"/>
      <c r="M931" s="869"/>
      <c r="N931" s="869"/>
      <c r="O931" s="869"/>
      <c r="P931" s="869"/>
      <c r="Q931" s="869"/>
      <c r="R931" s="869"/>
      <c r="S931" s="869"/>
      <c r="T931" s="869"/>
      <c r="U931" s="869"/>
      <c r="V931" s="869"/>
      <c r="W931" s="869"/>
      <c r="X931" s="869"/>
      <c r="Y931" s="869"/>
      <c r="Z931" s="869"/>
    </row>
    <row r="932">
      <c r="A932" s="869"/>
      <c r="B932" s="869"/>
      <c r="C932" s="869"/>
      <c r="D932" s="869"/>
      <c r="E932" s="869"/>
      <c r="F932" s="869"/>
      <c r="G932" s="869"/>
      <c r="H932" s="869"/>
      <c r="I932" s="869"/>
      <c r="J932" s="869"/>
      <c r="K932" s="869"/>
      <c r="L932" s="869"/>
      <c r="M932" s="869"/>
      <c r="N932" s="869"/>
      <c r="O932" s="869"/>
      <c r="P932" s="869"/>
      <c r="Q932" s="869"/>
      <c r="R932" s="869"/>
      <c r="S932" s="869"/>
      <c r="T932" s="869"/>
      <c r="U932" s="869"/>
      <c r="V932" s="869"/>
      <c r="W932" s="869"/>
      <c r="X932" s="869"/>
      <c r="Y932" s="869"/>
      <c r="Z932" s="869"/>
    </row>
    <row r="933">
      <c r="A933" s="869"/>
      <c r="B933" s="869"/>
      <c r="C933" s="869"/>
      <c r="D933" s="869"/>
      <c r="E933" s="869"/>
      <c r="F933" s="869"/>
      <c r="G933" s="869"/>
      <c r="H933" s="869"/>
      <c r="I933" s="869"/>
      <c r="J933" s="869"/>
      <c r="K933" s="869"/>
      <c r="L933" s="869"/>
      <c r="M933" s="869"/>
      <c r="N933" s="869"/>
      <c r="O933" s="869"/>
      <c r="P933" s="869"/>
      <c r="Q933" s="869"/>
      <c r="R933" s="869"/>
      <c r="S933" s="869"/>
      <c r="T933" s="869"/>
      <c r="U933" s="869"/>
      <c r="V933" s="869"/>
      <c r="W933" s="869"/>
      <c r="X933" s="869"/>
      <c r="Y933" s="869"/>
      <c r="Z933" s="869"/>
    </row>
    <row r="934">
      <c r="A934" s="869"/>
      <c r="B934" s="869"/>
      <c r="C934" s="869"/>
      <c r="D934" s="869"/>
      <c r="E934" s="869"/>
      <c r="F934" s="869"/>
      <c r="G934" s="869"/>
      <c r="H934" s="869"/>
      <c r="I934" s="869"/>
      <c r="J934" s="869"/>
      <c r="K934" s="869"/>
      <c r="L934" s="869"/>
      <c r="M934" s="869"/>
      <c r="N934" s="869"/>
      <c r="O934" s="869"/>
      <c r="P934" s="869"/>
      <c r="Q934" s="869"/>
      <c r="R934" s="869"/>
      <c r="S934" s="869"/>
      <c r="T934" s="869"/>
      <c r="U934" s="869"/>
      <c r="V934" s="869"/>
      <c r="W934" s="869"/>
      <c r="X934" s="869"/>
      <c r="Y934" s="869"/>
      <c r="Z934" s="869"/>
    </row>
    <row r="935">
      <c r="A935" s="869"/>
      <c r="B935" s="869"/>
      <c r="C935" s="869"/>
      <c r="D935" s="869"/>
      <c r="E935" s="869"/>
      <c r="F935" s="869"/>
      <c r="G935" s="869"/>
      <c r="H935" s="869"/>
      <c r="I935" s="869"/>
      <c r="J935" s="869"/>
      <c r="K935" s="869"/>
      <c r="L935" s="869"/>
      <c r="M935" s="869"/>
      <c r="N935" s="869"/>
      <c r="O935" s="869"/>
      <c r="P935" s="869"/>
      <c r="Q935" s="869"/>
      <c r="R935" s="869"/>
      <c r="S935" s="869"/>
      <c r="T935" s="869"/>
      <c r="U935" s="869"/>
      <c r="V935" s="869"/>
      <c r="W935" s="869"/>
      <c r="X935" s="869"/>
      <c r="Y935" s="869"/>
      <c r="Z935" s="869"/>
    </row>
    <row r="936">
      <c r="A936" s="869"/>
      <c r="B936" s="869"/>
      <c r="C936" s="869"/>
      <c r="D936" s="869"/>
      <c r="E936" s="869"/>
      <c r="F936" s="869"/>
      <c r="G936" s="869"/>
      <c r="H936" s="869"/>
      <c r="I936" s="869"/>
      <c r="J936" s="869"/>
      <c r="K936" s="869"/>
      <c r="L936" s="869"/>
      <c r="M936" s="869"/>
      <c r="N936" s="869"/>
      <c r="O936" s="869"/>
      <c r="P936" s="869"/>
      <c r="Q936" s="869"/>
      <c r="R936" s="869"/>
      <c r="S936" s="869"/>
      <c r="T936" s="869"/>
      <c r="U936" s="869"/>
      <c r="V936" s="869"/>
      <c r="W936" s="869"/>
      <c r="X936" s="869"/>
      <c r="Y936" s="869"/>
      <c r="Z936" s="869"/>
    </row>
    <row r="937">
      <c r="A937" s="869"/>
      <c r="B937" s="869"/>
      <c r="C937" s="869"/>
      <c r="D937" s="869"/>
      <c r="E937" s="869"/>
      <c r="F937" s="869"/>
      <c r="G937" s="869"/>
      <c r="H937" s="869"/>
      <c r="I937" s="869"/>
      <c r="J937" s="869"/>
      <c r="K937" s="869"/>
      <c r="L937" s="869"/>
      <c r="M937" s="869"/>
      <c r="N937" s="869"/>
      <c r="O937" s="869"/>
      <c r="P937" s="869"/>
      <c r="Q937" s="869"/>
      <c r="R937" s="869"/>
      <c r="S937" s="869"/>
      <c r="T937" s="869"/>
      <c r="U937" s="869"/>
      <c r="V937" s="869"/>
      <c r="W937" s="869"/>
      <c r="X937" s="869"/>
      <c r="Y937" s="869"/>
      <c r="Z937" s="869"/>
    </row>
    <row r="938">
      <c r="A938" s="869"/>
      <c r="B938" s="869"/>
      <c r="C938" s="869"/>
      <c r="D938" s="869"/>
      <c r="E938" s="869"/>
      <c r="F938" s="869"/>
      <c r="G938" s="869"/>
      <c r="H938" s="869"/>
      <c r="I938" s="869"/>
      <c r="J938" s="869"/>
      <c r="K938" s="869"/>
      <c r="L938" s="869"/>
      <c r="M938" s="869"/>
      <c r="N938" s="869"/>
      <c r="O938" s="869"/>
      <c r="P938" s="869"/>
      <c r="Q938" s="869"/>
      <c r="R938" s="869"/>
      <c r="S938" s="869"/>
      <c r="T938" s="869"/>
      <c r="U938" s="869"/>
      <c r="V938" s="869"/>
      <c r="W938" s="869"/>
      <c r="X938" s="869"/>
      <c r="Y938" s="869"/>
      <c r="Z938" s="869"/>
    </row>
    <row r="939">
      <c r="A939" s="869"/>
      <c r="B939" s="869"/>
      <c r="C939" s="869"/>
      <c r="D939" s="869"/>
      <c r="E939" s="869"/>
      <c r="F939" s="869"/>
      <c r="G939" s="869"/>
      <c r="H939" s="869"/>
      <c r="I939" s="869"/>
      <c r="J939" s="869"/>
      <c r="K939" s="869"/>
      <c r="L939" s="869"/>
      <c r="M939" s="869"/>
      <c r="N939" s="869"/>
      <c r="O939" s="869"/>
      <c r="P939" s="869"/>
      <c r="Q939" s="869"/>
      <c r="R939" s="869"/>
      <c r="S939" s="869"/>
      <c r="T939" s="869"/>
      <c r="U939" s="869"/>
      <c r="V939" s="869"/>
      <c r="W939" s="869"/>
      <c r="X939" s="869"/>
      <c r="Y939" s="869"/>
      <c r="Z939" s="869"/>
    </row>
    <row r="940">
      <c r="A940" s="869"/>
      <c r="B940" s="869"/>
      <c r="C940" s="869"/>
      <c r="D940" s="869"/>
      <c r="E940" s="869"/>
      <c r="F940" s="869"/>
      <c r="G940" s="869"/>
      <c r="H940" s="869"/>
      <c r="I940" s="869"/>
      <c r="J940" s="869"/>
      <c r="K940" s="869"/>
      <c r="L940" s="869"/>
      <c r="M940" s="869"/>
      <c r="N940" s="869"/>
      <c r="O940" s="869"/>
      <c r="P940" s="869"/>
      <c r="Q940" s="869"/>
      <c r="R940" s="869"/>
      <c r="S940" s="869"/>
      <c r="T940" s="869"/>
      <c r="U940" s="869"/>
      <c r="V940" s="869"/>
      <c r="W940" s="869"/>
      <c r="X940" s="869"/>
      <c r="Y940" s="869"/>
      <c r="Z940" s="869"/>
    </row>
    <row r="941">
      <c r="A941" s="869"/>
      <c r="B941" s="869"/>
      <c r="C941" s="869"/>
      <c r="D941" s="869"/>
      <c r="E941" s="869"/>
      <c r="F941" s="869"/>
      <c r="G941" s="869"/>
      <c r="H941" s="869"/>
      <c r="I941" s="869"/>
      <c r="J941" s="869"/>
      <c r="K941" s="869"/>
      <c r="L941" s="869"/>
      <c r="M941" s="869"/>
      <c r="N941" s="869"/>
      <c r="O941" s="869"/>
      <c r="P941" s="869"/>
      <c r="Q941" s="869"/>
      <c r="R941" s="869"/>
      <c r="S941" s="869"/>
      <c r="T941" s="869"/>
      <c r="U941" s="869"/>
      <c r="V941" s="869"/>
      <c r="W941" s="869"/>
      <c r="X941" s="869"/>
      <c r="Y941" s="869"/>
      <c r="Z941" s="869"/>
    </row>
    <row r="942">
      <c r="A942" s="869"/>
      <c r="B942" s="869"/>
      <c r="C942" s="869"/>
      <c r="D942" s="869"/>
      <c r="E942" s="869"/>
      <c r="F942" s="869"/>
      <c r="G942" s="869"/>
      <c r="H942" s="869"/>
      <c r="I942" s="869"/>
      <c r="J942" s="869"/>
      <c r="K942" s="869"/>
      <c r="L942" s="869"/>
      <c r="M942" s="869"/>
      <c r="N942" s="869"/>
      <c r="O942" s="869"/>
      <c r="P942" s="869"/>
      <c r="Q942" s="869"/>
      <c r="R942" s="869"/>
      <c r="S942" s="869"/>
      <c r="T942" s="869"/>
      <c r="U942" s="869"/>
      <c r="V942" s="869"/>
      <c r="W942" s="869"/>
      <c r="X942" s="869"/>
      <c r="Y942" s="869"/>
      <c r="Z942" s="869"/>
    </row>
    <row r="943">
      <c r="A943" s="869"/>
      <c r="B943" s="869"/>
      <c r="C943" s="869"/>
      <c r="D943" s="869"/>
      <c r="E943" s="869"/>
      <c r="F943" s="869"/>
      <c r="G943" s="869"/>
      <c r="H943" s="869"/>
      <c r="I943" s="869"/>
      <c r="J943" s="869"/>
      <c r="K943" s="869"/>
      <c r="L943" s="869"/>
      <c r="M943" s="869"/>
      <c r="N943" s="869"/>
      <c r="O943" s="869"/>
      <c r="P943" s="869"/>
      <c r="Q943" s="869"/>
      <c r="R943" s="869"/>
      <c r="S943" s="869"/>
      <c r="T943" s="869"/>
      <c r="U943" s="869"/>
      <c r="V943" s="869"/>
      <c r="W943" s="869"/>
      <c r="X943" s="869"/>
      <c r="Y943" s="869"/>
      <c r="Z943" s="869"/>
    </row>
    <row r="944">
      <c r="A944" s="869"/>
      <c r="B944" s="869"/>
      <c r="C944" s="869"/>
      <c r="D944" s="869"/>
      <c r="E944" s="869"/>
      <c r="F944" s="869"/>
      <c r="G944" s="869"/>
      <c r="H944" s="869"/>
      <c r="I944" s="869"/>
      <c r="J944" s="869"/>
      <c r="K944" s="869"/>
      <c r="L944" s="869"/>
      <c r="M944" s="869"/>
      <c r="N944" s="869"/>
      <c r="O944" s="869"/>
      <c r="P944" s="869"/>
      <c r="Q944" s="869"/>
      <c r="R944" s="869"/>
      <c r="S944" s="869"/>
      <c r="T944" s="869"/>
      <c r="U944" s="869"/>
      <c r="V944" s="869"/>
      <c r="W944" s="869"/>
      <c r="X944" s="869"/>
      <c r="Y944" s="869"/>
      <c r="Z944" s="869"/>
    </row>
    <row r="945">
      <c r="A945" s="869"/>
      <c r="B945" s="869"/>
      <c r="C945" s="869"/>
      <c r="D945" s="869"/>
      <c r="E945" s="869"/>
      <c r="F945" s="869"/>
      <c r="G945" s="869"/>
      <c r="H945" s="869"/>
      <c r="I945" s="869"/>
      <c r="J945" s="869"/>
      <c r="K945" s="869"/>
      <c r="L945" s="869"/>
      <c r="M945" s="869"/>
      <c r="N945" s="869"/>
      <c r="O945" s="869"/>
      <c r="P945" s="869"/>
      <c r="Q945" s="869"/>
      <c r="R945" s="869"/>
      <c r="S945" s="869"/>
      <c r="T945" s="869"/>
      <c r="U945" s="869"/>
      <c r="V945" s="869"/>
      <c r="W945" s="869"/>
      <c r="X945" s="869"/>
      <c r="Y945" s="869"/>
      <c r="Z945" s="869"/>
    </row>
    <row r="946">
      <c r="A946" s="869"/>
      <c r="B946" s="869"/>
      <c r="C946" s="869"/>
      <c r="D946" s="869"/>
      <c r="E946" s="869"/>
      <c r="F946" s="869"/>
      <c r="G946" s="869"/>
      <c r="H946" s="869"/>
      <c r="I946" s="869"/>
      <c r="J946" s="869"/>
      <c r="K946" s="869"/>
      <c r="L946" s="869"/>
      <c r="M946" s="869"/>
      <c r="N946" s="869"/>
      <c r="O946" s="869"/>
      <c r="P946" s="869"/>
      <c r="Q946" s="869"/>
      <c r="R946" s="869"/>
      <c r="S946" s="869"/>
      <c r="T946" s="869"/>
      <c r="U946" s="869"/>
      <c r="V946" s="869"/>
      <c r="W946" s="869"/>
      <c r="X946" s="869"/>
      <c r="Y946" s="869"/>
      <c r="Z946" s="869"/>
    </row>
    <row r="947">
      <c r="A947" s="869"/>
      <c r="B947" s="869"/>
      <c r="C947" s="869"/>
      <c r="D947" s="869"/>
      <c r="E947" s="869"/>
      <c r="F947" s="869"/>
      <c r="G947" s="869"/>
      <c r="H947" s="869"/>
      <c r="I947" s="869"/>
      <c r="J947" s="869"/>
      <c r="K947" s="869"/>
      <c r="L947" s="869"/>
      <c r="M947" s="869"/>
      <c r="N947" s="869"/>
      <c r="O947" s="869"/>
      <c r="P947" s="869"/>
      <c r="Q947" s="869"/>
      <c r="R947" s="869"/>
      <c r="S947" s="869"/>
      <c r="T947" s="869"/>
      <c r="U947" s="869"/>
      <c r="V947" s="869"/>
      <c r="W947" s="869"/>
      <c r="X947" s="869"/>
      <c r="Y947" s="869"/>
      <c r="Z947" s="869"/>
    </row>
    <row r="948">
      <c r="A948" s="869"/>
      <c r="B948" s="869"/>
      <c r="C948" s="869"/>
      <c r="D948" s="869"/>
      <c r="E948" s="869"/>
      <c r="F948" s="869"/>
      <c r="G948" s="869"/>
      <c r="H948" s="869"/>
      <c r="I948" s="869"/>
      <c r="J948" s="869"/>
      <c r="K948" s="869"/>
      <c r="L948" s="869"/>
      <c r="M948" s="869"/>
      <c r="N948" s="869"/>
      <c r="O948" s="869"/>
      <c r="P948" s="869"/>
      <c r="Q948" s="869"/>
      <c r="R948" s="869"/>
      <c r="S948" s="869"/>
      <c r="T948" s="869"/>
      <c r="U948" s="869"/>
      <c r="V948" s="869"/>
      <c r="W948" s="869"/>
      <c r="X948" s="869"/>
      <c r="Y948" s="869"/>
      <c r="Z948" s="869"/>
    </row>
    <row r="949">
      <c r="A949" s="869"/>
      <c r="B949" s="869"/>
      <c r="C949" s="869"/>
      <c r="D949" s="869"/>
      <c r="E949" s="869"/>
      <c r="F949" s="869"/>
      <c r="G949" s="869"/>
      <c r="H949" s="869"/>
      <c r="I949" s="869"/>
      <c r="J949" s="869"/>
      <c r="K949" s="869"/>
      <c r="L949" s="869"/>
      <c r="M949" s="869"/>
      <c r="N949" s="869"/>
      <c r="O949" s="869"/>
      <c r="P949" s="869"/>
      <c r="Q949" s="869"/>
      <c r="R949" s="869"/>
      <c r="S949" s="869"/>
      <c r="T949" s="869"/>
      <c r="U949" s="869"/>
      <c r="V949" s="869"/>
      <c r="W949" s="869"/>
      <c r="X949" s="869"/>
      <c r="Y949" s="869"/>
      <c r="Z949" s="869"/>
    </row>
    <row r="950">
      <c r="A950" s="869"/>
      <c r="B950" s="869"/>
      <c r="C950" s="869"/>
      <c r="D950" s="869"/>
      <c r="E950" s="869"/>
      <c r="F950" s="869"/>
      <c r="G950" s="869"/>
      <c r="H950" s="869"/>
      <c r="I950" s="869"/>
      <c r="J950" s="869"/>
      <c r="K950" s="869"/>
      <c r="L950" s="869"/>
      <c r="M950" s="869"/>
      <c r="N950" s="869"/>
      <c r="O950" s="869"/>
      <c r="P950" s="869"/>
      <c r="Q950" s="869"/>
      <c r="R950" s="869"/>
      <c r="S950" s="869"/>
      <c r="T950" s="869"/>
      <c r="U950" s="869"/>
      <c r="V950" s="869"/>
      <c r="W950" s="869"/>
      <c r="X950" s="869"/>
      <c r="Y950" s="869"/>
      <c r="Z950" s="869"/>
    </row>
    <row r="951">
      <c r="A951" s="869"/>
      <c r="B951" s="869"/>
      <c r="C951" s="869"/>
      <c r="D951" s="869"/>
      <c r="E951" s="869"/>
      <c r="F951" s="869"/>
      <c r="G951" s="869"/>
      <c r="H951" s="869"/>
      <c r="I951" s="869"/>
      <c r="J951" s="869"/>
      <c r="K951" s="869"/>
      <c r="L951" s="869"/>
      <c r="M951" s="869"/>
      <c r="N951" s="869"/>
      <c r="O951" s="869"/>
      <c r="P951" s="869"/>
      <c r="Q951" s="869"/>
      <c r="R951" s="869"/>
      <c r="S951" s="869"/>
      <c r="T951" s="869"/>
      <c r="U951" s="869"/>
      <c r="V951" s="869"/>
      <c r="W951" s="869"/>
      <c r="X951" s="869"/>
      <c r="Y951" s="869"/>
      <c r="Z951" s="869"/>
    </row>
    <row r="952">
      <c r="A952" s="869"/>
      <c r="B952" s="869"/>
      <c r="C952" s="869"/>
      <c r="D952" s="869"/>
      <c r="E952" s="869"/>
      <c r="F952" s="869"/>
      <c r="G952" s="869"/>
      <c r="H952" s="869"/>
      <c r="I952" s="869"/>
      <c r="J952" s="869"/>
      <c r="K952" s="869"/>
      <c r="L952" s="869"/>
      <c r="M952" s="869"/>
      <c r="N952" s="869"/>
      <c r="O952" s="869"/>
      <c r="P952" s="869"/>
      <c r="Q952" s="869"/>
      <c r="R952" s="869"/>
      <c r="S952" s="869"/>
      <c r="T952" s="869"/>
      <c r="U952" s="869"/>
      <c r="V952" s="869"/>
      <c r="W952" s="869"/>
      <c r="X952" s="869"/>
      <c r="Y952" s="869"/>
      <c r="Z952" s="869"/>
    </row>
    <row r="953">
      <c r="A953" s="869"/>
      <c r="B953" s="869"/>
      <c r="C953" s="869"/>
      <c r="D953" s="869"/>
      <c r="E953" s="869"/>
      <c r="F953" s="869"/>
      <c r="G953" s="869"/>
      <c r="H953" s="869"/>
      <c r="I953" s="869"/>
      <c r="J953" s="869"/>
      <c r="K953" s="869"/>
      <c r="L953" s="869"/>
      <c r="M953" s="869"/>
      <c r="N953" s="869"/>
      <c r="O953" s="869"/>
      <c r="P953" s="869"/>
      <c r="Q953" s="869"/>
      <c r="R953" s="869"/>
      <c r="S953" s="869"/>
      <c r="T953" s="869"/>
      <c r="U953" s="869"/>
      <c r="V953" s="869"/>
      <c r="W953" s="869"/>
      <c r="X953" s="869"/>
      <c r="Y953" s="869"/>
      <c r="Z953" s="869"/>
    </row>
    <row r="954">
      <c r="A954" s="869"/>
      <c r="B954" s="869"/>
      <c r="C954" s="869"/>
      <c r="D954" s="869"/>
      <c r="E954" s="869"/>
      <c r="F954" s="869"/>
      <c r="G954" s="869"/>
      <c r="H954" s="869"/>
      <c r="I954" s="869"/>
      <c r="J954" s="869"/>
      <c r="K954" s="869"/>
      <c r="L954" s="869"/>
      <c r="M954" s="869"/>
      <c r="N954" s="869"/>
      <c r="O954" s="869"/>
      <c r="P954" s="869"/>
      <c r="Q954" s="869"/>
      <c r="R954" s="869"/>
      <c r="S954" s="869"/>
      <c r="T954" s="869"/>
      <c r="U954" s="869"/>
      <c r="V954" s="869"/>
      <c r="W954" s="869"/>
      <c r="X954" s="869"/>
      <c r="Y954" s="869"/>
      <c r="Z954" s="869"/>
    </row>
    <row r="955">
      <c r="A955" s="869"/>
      <c r="B955" s="869"/>
      <c r="C955" s="869"/>
      <c r="D955" s="869"/>
      <c r="E955" s="869"/>
      <c r="F955" s="869"/>
      <c r="G955" s="869"/>
      <c r="H955" s="869"/>
      <c r="I955" s="869"/>
      <c r="J955" s="869"/>
      <c r="K955" s="869"/>
      <c r="L955" s="869"/>
      <c r="M955" s="869"/>
      <c r="N955" s="869"/>
      <c r="O955" s="869"/>
      <c r="P955" s="869"/>
      <c r="Q955" s="869"/>
      <c r="R955" s="869"/>
      <c r="S955" s="869"/>
      <c r="T955" s="869"/>
      <c r="U955" s="869"/>
      <c r="V955" s="869"/>
      <c r="W955" s="869"/>
      <c r="X955" s="869"/>
      <c r="Y955" s="869"/>
      <c r="Z955" s="869"/>
    </row>
    <row r="956">
      <c r="A956" s="869"/>
      <c r="B956" s="869"/>
      <c r="C956" s="869"/>
      <c r="D956" s="869"/>
      <c r="E956" s="869"/>
      <c r="F956" s="869"/>
      <c r="G956" s="869"/>
      <c r="H956" s="869"/>
      <c r="I956" s="869"/>
      <c r="J956" s="869"/>
      <c r="K956" s="869"/>
      <c r="L956" s="869"/>
      <c r="M956" s="869"/>
      <c r="N956" s="869"/>
      <c r="O956" s="869"/>
      <c r="P956" s="869"/>
      <c r="Q956" s="869"/>
      <c r="R956" s="869"/>
      <c r="S956" s="869"/>
      <c r="T956" s="869"/>
      <c r="U956" s="869"/>
      <c r="V956" s="869"/>
      <c r="W956" s="869"/>
      <c r="X956" s="869"/>
      <c r="Y956" s="869"/>
      <c r="Z956" s="869"/>
    </row>
    <row r="957">
      <c r="A957" s="869"/>
      <c r="B957" s="869"/>
      <c r="C957" s="869"/>
      <c r="D957" s="869"/>
      <c r="E957" s="869"/>
      <c r="F957" s="869"/>
      <c r="G957" s="869"/>
      <c r="H957" s="869"/>
      <c r="I957" s="869"/>
      <c r="J957" s="869"/>
      <c r="K957" s="869"/>
      <c r="L957" s="869"/>
      <c r="M957" s="869"/>
      <c r="N957" s="869"/>
      <c r="O957" s="869"/>
      <c r="P957" s="869"/>
      <c r="Q957" s="869"/>
      <c r="R957" s="869"/>
      <c r="S957" s="869"/>
      <c r="T957" s="869"/>
      <c r="U957" s="869"/>
      <c r="V957" s="869"/>
      <c r="W957" s="869"/>
      <c r="X957" s="869"/>
      <c r="Y957" s="869"/>
      <c r="Z957" s="869"/>
    </row>
    <row r="958">
      <c r="A958" s="869"/>
      <c r="B958" s="869"/>
      <c r="C958" s="869"/>
      <c r="D958" s="869"/>
      <c r="E958" s="869"/>
      <c r="F958" s="869"/>
      <c r="G958" s="869"/>
      <c r="H958" s="869"/>
      <c r="I958" s="869"/>
      <c r="J958" s="869"/>
      <c r="K958" s="869"/>
      <c r="L958" s="869"/>
      <c r="M958" s="869"/>
      <c r="N958" s="869"/>
      <c r="O958" s="869"/>
      <c r="P958" s="869"/>
      <c r="Q958" s="869"/>
      <c r="R958" s="869"/>
      <c r="S958" s="869"/>
      <c r="T958" s="869"/>
      <c r="U958" s="869"/>
      <c r="V958" s="869"/>
      <c r="W958" s="869"/>
      <c r="X958" s="869"/>
      <c r="Y958" s="869"/>
      <c r="Z958" s="869"/>
    </row>
    <row r="959">
      <c r="A959" s="869"/>
      <c r="B959" s="869"/>
      <c r="C959" s="869"/>
      <c r="D959" s="869"/>
      <c r="E959" s="869"/>
      <c r="F959" s="869"/>
      <c r="G959" s="869"/>
      <c r="H959" s="869"/>
      <c r="I959" s="869"/>
      <c r="J959" s="869"/>
      <c r="K959" s="869"/>
      <c r="L959" s="869"/>
      <c r="M959" s="869"/>
      <c r="N959" s="869"/>
      <c r="O959" s="869"/>
      <c r="P959" s="869"/>
      <c r="Q959" s="869"/>
      <c r="R959" s="869"/>
      <c r="S959" s="869"/>
      <c r="T959" s="869"/>
      <c r="U959" s="869"/>
      <c r="V959" s="869"/>
      <c r="W959" s="869"/>
      <c r="X959" s="869"/>
      <c r="Y959" s="869"/>
      <c r="Z959" s="869"/>
    </row>
    <row r="960">
      <c r="A960" s="869"/>
      <c r="B960" s="869"/>
      <c r="C960" s="869"/>
      <c r="D960" s="869"/>
      <c r="E960" s="869"/>
      <c r="F960" s="869"/>
      <c r="G960" s="869"/>
      <c r="H960" s="869"/>
      <c r="I960" s="869"/>
      <c r="J960" s="869"/>
      <c r="K960" s="869"/>
      <c r="L960" s="869"/>
      <c r="M960" s="869"/>
      <c r="N960" s="869"/>
      <c r="O960" s="869"/>
      <c r="P960" s="869"/>
      <c r="Q960" s="869"/>
      <c r="R960" s="869"/>
      <c r="S960" s="869"/>
      <c r="T960" s="869"/>
      <c r="U960" s="869"/>
      <c r="V960" s="869"/>
      <c r="W960" s="869"/>
      <c r="X960" s="869"/>
      <c r="Y960" s="869"/>
      <c r="Z960" s="869"/>
    </row>
    <row r="961">
      <c r="A961" s="869"/>
      <c r="B961" s="869"/>
      <c r="C961" s="869"/>
      <c r="D961" s="869"/>
      <c r="E961" s="869"/>
      <c r="F961" s="869"/>
      <c r="G961" s="869"/>
      <c r="H961" s="869"/>
      <c r="I961" s="869"/>
      <c r="J961" s="869"/>
      <c r="K961" s="869"/>
      <c r="L961" s="869"/>
      <c r="M961" s="869"/>
      <c r="N961" s="869"/>
      <c r="O961" s="869"/>
      <c r="P961" s="869"/>
      <c r="Q961" s="869"/>
      <c r="R961" s="869"/>
      <c r="S961" s="869"/>
      <c r="T961" s="869"/>
      <c r="U961" s="869"/>
      <c r="V961" s="869"/>
      <c r="W961" s="869"/>
      <c r="X961" s="869"/>
      <c r="Y961" s="869"/>
      <c r="Z961" s="869"/>
    </row>
    <row r="962">
      <c r="A962" s="869"/>
      <c r="B962" s="869"/>
      <c r="C962" s="869"/>
      <c r="D962" s="869"/>
      <c r="E962" s="869"/>
      <c r="F962" s="869"/>
      <c r="G962" s="869"/>
      <c r="H962" s="869"/>
      <c r="I962" s="869"/>
      <c r="J962" s="869"/>
      <c r="K962" s="869"/>
      <c r="L962" s="869"/>
      <c r="M962" s="869"/>
      <c r="N962" s="869"/>
      <c r="O962" s="869"/>
      <c r="P962" s="869"/>
      <c r="Q962" s="869"/>
      <c r="R962" s="869"/>
      <c r="S962" s="869"/>
      <c r="T962" s="869"/>
      <c r="U962" s="869"/>
      <c r="V962" s="869"/>
      <c r="W962" s="869"/>
      <c r="X962" s="869"/>
      <c r="Y962" s="869"/>
      <c r="Z962" s="869"/>
    </row>
    <row r="963">
      <c r="A963" s="869"/>
      <c r="B963" s="869"/>
      <c r="C963" s="869"/>
      <c r="D963" s="869"/>
      <c r="E963" s="869"/>
      <c r="F963" s="869"/>
      <c r="G963" s="869"/>
      <c r="H963" s="869"/>
      <c r="I963" s="869"/>
      <c r="J963" s="869"/>
      <c r="K963" s="869"/>
      <c r="L963" s="869"/>
      <c r="M963" s="869"/>
      <c r="N963" s="869"/>
      <c r="O963" s="869"/>
      <c r="P963" s="869"/>
      <c r="Q963" s="869"/>
      <c r="R963" s="869"/>
      <c r="S963" s="869"/>
      <c r="T963" s="869"/>
      <c r="U963" s="869"/>
      <c r="V963" s="869"/>
      <c r="W963" s="869"/>
      <c r="X963" s="869"/>
      <c r="Y963" s="869"/>
      <c r="Z963" s="869"/>
    </row>
    <row r="964">
      <c r="A964" s="869"/>
      <c r="B964" s="869"/>
      <c r="C964" s="869"/>
      <c r="D964" s="869"/>
      <c r="E964" s="869"/>
      <c r="F964" s="869"/>
      <c r="G964" s="869"/>
      <c r="H964" s="869"/>
      <c r="I964" s="869"/>
      <c r="J964" s="869"/>
      <c r="K964" s="869"/>
      <c r="L964" s="869"/>
      <c r="M964" s="869"/>
      <c r="N964" s="869"/>
      <c r="O964" s="869"/>
      <c r="P964" s="869"/>
      <c r="Q964" s="869"/>
      <c r="R964" s="869"/>
      <c r="S964" s="869"/>
      <c r="T964" s="869"/>
      <c r="U964" s="869"/>
      <c r="V964" s="869"/>
      <c r="W964" s="869"/>
      <c r="X964" s="869"/>
      <c r="Y964" s="869"/>
      <c r="Z964" s="869"/>
    </row>
    <row r="965">
      <c r="A965" s="869"/>
      <c r="B965" s="869"/>
      <c r="C965" s="869"/>
      <c r="D965" s="869"/>
      <c r="E965" s="869"/>
      <c r="F965" s="869"/>
      <c r="G965" s="869"/>
      <c r="H965" s="869"/>
      <c r="I965" s="869"/>
      <c r="J965" s="869"/>
      <c r="K965" s="869"/>
      <c r="L965" s="869"/>
      <c r="M965" s="869"/>
      <c r="N965" s="869"/>
      <c r="O965" s="869"/>
      <c r="P965" s="869"/>
      <c r="Q965" s="869"/>
      <c r="R965" s="869"/>
      <c r="S965" s="869"/>
      <c r="T965" s="869"/>
      <c r="U965" s="869"/>
      <c r="V965" s="869"/>
      <c r="W965" s="869"/>
      <c r="X965" s="869"/>
      <c r="Y965" s="869"/>
      <c r="Z965" s="869"/>
    </row>
    <row r="966">
      <c r="A966" s="869"/>
      <c r="B966" s="869"/>
      <c r="C966" s="869"/>
      <c r="D966" s="869"/>
      <c r="E966" s="869"/>
      <c r="F966" s="869"/>
      <c r="G966" s="869"/>
      <c r="H966" s="869"/>
      <c r="I966" s="869"/>
      <c r="J966" s="869"/>
      <c r="K966" s="869"/>
      <c r="L966" s="869"/>
      <c r="M966" s="869"/>
      <c r="N966" s="869"/>
      <c r="O966" s="869"/>
      <c r="P966" s="869"/>
      <c r="Q966" s="869"/>
      <c r="R966" s="869"/>
      <c r="S966" s="869"/>
      <c r="T966" s="869"/>
      <c r="U966" s="869"/>
      <c r="V966" s="869"/>
      <c r="W966" s="869"/>
      <c r="X966" s="869"/>
      <c r="Y966" s="869"/>
      <c r="Z966" s="869"/>
    </row>
    <row r="967">
      <c r="A967" s="869"/>
      <c r="B967" s="869"/>
      <c r="C967" s="869"/>
      <c r="D967" s="869"/>
      <c r="E967" s="869"/>
      <c r="F967" s="869"/>
      <c r="G967" s="869"/>
      <c r="H967" s="869"/>
      <c r="I967" s="869"/>
      <c r="J967" s="869"/>
      <c r="K967" s="869"/>
      <c r="L967" s="869"/>
      <c r="M967" s="869"/>
      <c r="N967" s="869"/>
      <c r="O967" s="869"/>
      <c r="P967" s="869"/>
      <c r="Q967" s="869"/>
      <c r="R967" s="869"/>
      <c r="S967" s="869"/>
      <c r="T967" s="869"/>
      <c r="U967" s="869"/>
      <c r="V967" s="869"/>
      <c r="W967" s="869"/>
      <c r="X967" s="869"/>
      <c r="Y967" s="869"/>
      <c r="Z967" s="869"/>
    </row>
    <row r="968">
      <c r="A968" s="869"/>
      <c r="B968" s="869"/>
      <c r="C968" s="869"/>
      <c r="D968" s="869"/>
      <c r="E968" s="869"/>
      <c r="F968" s="869"/>
      <c r="G968" s="869"/>
      <c r="H968" s="869"/>
      <c r="I968" s="869"/>
      <c r="J968" s="869"/>
      <c r="K968" s="869"/>
      <c r="L968" s="869"/>
      <c r="M968" s="869"/>
      <c r="N968" s="869"/>
      <c r="O968" s="869"/>
      <c r="P968" s="869"/>
      <c r="Q968" s="869"/>
      <c r="R968" s="869"/>
      <c r="S968" s="869"/>
      <c r="T968" s="869"/>
      <c r="U968" s="869"/>
      <c r="V968" s="869"/>
      <c r="W968" s="869"/>
      <c r="X968" s="869"/>
      <c r="Y968" s="869"/>
      <c r="Z968" s="869"/>
    </row>
    <row r="969">
      <c r="A969" s="869"/>
      <c r="B969" s="869"/>
      <c r="C969" s="869"/>
      <c r="D969" s="869"/>
      <c r="E969" s="869"/>
      <c r="F969" s="869"/>
      <c r="G969" s="869"/>
      <c r="H969" s="869"/>
      <c r="I969" s="869"/>
      <c r="J969" s="869"/>
      <c r="K969" s="869"/>
      <c r="L969" s="869"/>
      <c r="M969" s="869"/>
      <c r="N969" s="869"/>
      <c r="O969" s="869"/>
      <c r="P969" s="869"/>
      <c r="Q969" s="869"/>
      <c r="R969" s="869"/>
      <c r="S969" s="869"/>
      <c r="T969" s="869"/>
      <c r="U969" s="869"/>
      <c r="V969" s="869"/>
      <c r="W969" s="869"/>
      <c r="X969" s="869"/>
      <c r="Y969" s="869"/>
      <c r="Z969" s="869"/>
    </row>
    <row r="970">
      <c r="A970" s="869"/>
      <c r="B970" s="869"/>
      <c r="C970" s="869"/>
      <c r="D970" s="869"/>
      <c r="E970" s="869"/>
      <c r="F970" s="869"/>
      <c r="G970" s="869"/>
      <c r="H970" s="869"/>
      <c r="I970" s="869"/>
      <c r="J970" s="869"/>
      <c r="K970" s="869"/>
      <c r="L970" s="869"/>
      <c r="M970" s="869"/>
      <c r="N970" s="869"/>
      <c r="O970" s="869"/>
      <c r="P970" s="869"/>
      <c r="Q970" s="869"/>
      <c r="R970" s="869"/>
      <c r="S970" s="869"/>
      <c r="T970" s="869"/>
      <c r="U970" s="869"/>
      <c r="V970" s="869"/>
      <c r="W970" s="869"/>
      <c r="X970" s="869"/>
      <c r="Y970" s="869"/>
      <c r="Z970" s="869"/>
    </row>
    <row r="971">
      <c r="A971" s="869"/>
      <c r="B971" s="869"/>
      <c r="C971" s="869"/>
      <c r="D971" s="869"/>
      <c r="E971" s="869"/>
      <c r="F971" s="869"/>
      <c r="G971" s="869"/>
      <c r="H971" s="869"/>
      <c r="I971" s="869"/>
      <c r="J971" s="869"/>
      <c r="K971" s="869"/>
      <c r="L971" s="869"/>
      <c r="M971" s="869"/>
      <c r="N971" s="869"/>
      <c r="O971" s="869"/>
      <c r="P971" s="869"/>
      <c r="Q971" s="869"/>
      <c r="R971" s="869"/>
      <c r="S971" s="869"/>
      <c r="T971" s="869"/>
      <c r="U971" s="869"/>
      <c r="V971" s="869"/>
      <c r="W971" s="869"/>
      <c r="X971" s="869"/>
      <c r="Y971" s="869"/>
      <c r="Z971" s="869"/>
    </row>
    <row r="972">
      <c r="A972" s="869"/>
      <c r="B972" s="869"/>
      <c r="C972" s="869"/>
      <c r="D972" s="869"/>
      <c r="E972" s="869"/>
      <c r="F972" s="869"/>
      <c r="G972" s="869"/>
      <c r="H972" s="869"/>
      <c r="I972" s="869"/>
      <c r="J972" s="869"/>
      <c r="K972" s="869"/>
      <c r="L972" s="869"/>
      <c r="M972" s="869"/>
      <c r="N972" s="869"/>
      <c r="O972" s="869"/>
      <c r="P972" s="869"/>
      <c r="Q972" s="869"/>
      <c r="R972" s="869"/>
      <c r="S972" s="869"/>
      <c r="T972" s="869"/>
      <c r="U972" s="869"/>
      <c r="V972" s="869"/>
      <c r="W972" s="869"/>
      <c r="X972" s="869"/>
      <c r="Y972" s="869"/>
      <c r="Z972" s="869"/>
    </row>
    <row r="973">
      <c r="A973" s="869"/>
      <c r="B973" s="869"/>
      <c r="C973" s="869"/>
      <c r="D973" s="869"/>
      <c r="E973" s="869"/>
      <c r="F973" s="869"/>
      <c r="G973" s="869"/>
      <c r="H973" s="869"/>
      <c r="I973" s="869"/>
      <c r="J973" s="869"/>
      <c r="K973" s="869"/>
      <c r="L973" s="869"/>
      <c r="M973" s="869"/>
      <c r="N973" s="869"/>
      <c r="O973" s="869"/>
      <c r="P973" s="869"/>
      <c r="Q973" s="869"/>
      <c r="R973" s="869"/>
      <c r="S973" s="869"/>
      <c r="T973" s="869"/>
      <c r="U973" s="869"/>
      <c r="V973" s="869"/>
      <c r="W973" s="869"/>
      <c r="X973" s="869"/>
      <c r="Y973" s="869"/>
      <c r="Z973" s="869"/>
    </row>
    <row r="974">
      <c r="A974" s="869"/>
      <c r="B974" s="869"/>
      <c r="C974" s="869"/>
      <c r="D974" s="869"/>
      <c r="E974" s="869"/>
      <c r="F974" s="869"/>
      <c r="G974" s="869"/>
      <c r="H974" s="869"/>
      <c r="I974" s="869"/>
      <c r="J974" s="869"/>
      <c r="K974" s="869"/>
      <c r="L974" s="869"/>
      <c r="M974" s="869"/>
      <c r="N974" s="869"/>
      <c r="O974" s="869"/>
      <c r="P974" s="869"/>
      <c r="Q974" s="869"/>
      <c r="R974" s="869"/>
      <c r="S974" s="869"/>
      <c r="T974" s="869"/>
      <c r="U974" s="869"/>
      <c r="V974" s="869"/>
      <c r="W974" s="869"/>
      <c r="X974" s="869"/>
      <c r="Y974" s="869"/>
      <c r="Z974" s="869"/>
    </row>
    <row r="975">
      <c r="A975" s="869"/>
      <c r="B975" s="869"/>
      <c r="C975" s="869"/>
      <c r="D975" s="869"/>
      <c r="E975" s="869"/>
      <c r="F975" s="869"/>
      <c r="G975" s="869"/>
      <c r="H975" s="869"/>
      <c r="I975" s="869"/>
      <c r="J975" s="869"/>
      <c r="K975" s="869"/>
      <c r="L975" s="869"/>
      <c r="M975" s="869"/>
      <c r="N975" s="869"/>
      <c r="O975" s="869"/>
      <c r="P975" s="869"/>
      <c r="Q975" s="869"/>
      <c r="R975" s="869"/>
      <c r="S975" s="869"/>
      <c r="T975" s="869"/>
      <c r="U975" s="869"/>
      <c r="V975" s="869"/>
      <c r="W975" s="869"/>
      <c r="X975" s="869"/>
      <c r="Y975" s="869"/>
      <c r="Z975" s="869"/>
    </row>
    <row r="976">
      <c r="A976" s="869"/>
      <c r="B976" s="869"/>
      <c r="C976" s="869"/>
      <c r="D976" s="869"/>
      <c r="E976" s="869"/>
      <c r="F976" s="869"/>
      <c r="G976" s="869"/>
      <c r="H976" s="869"/>
      <c r="I976" s="869"/>
      <c r="J976" s="869"/>
      <c r="K976" s="869"/>
      <c r="L976" s="869"/>
      <c r="M976" s="869"/>
      <c r="N976" s="869"/>
      <c r="O976" s="869"/>
      <c r="P976" s="869"/>
      <c r="Q976" s="869"/>
      <c r="R976" s="869"/>
      <c r="S976" s="869"/>
      <c r="T976" s="869"/>
      <c r="U976" s="869"/>
      <c r="V976" s="869"/>
      <c r="W976" s="869"/>
      <c r="X976" s="869"/>
      <c r="Y976" s="869"/>
      <c r="Z976" s="869"/>
    </row>
    <row r="977">
      <c r="A977" s="869"/>
      <c r="B977" s="869"/>
      <c r="C977" s="869"/>
      <c r="D977" s="869"/>
      <c r="E977" s="869"/>
      <c r="F977" s="869"/>
      <c r="G977" s="869"/>
      <c r="H977" s="869"/>
      <c r="I977" s="869"/>
      <c r="J977" s="869"/>
      <c r="K977" s="869"/>
      <c r="L977" s="869"/>
      <c r="M977" s="869"/>
      <c r="N977" s="869"/>
      <c r="O977" s="869"/>
      <c r="P977" s="869"/>
      <c r="Q977" s="869"/>
      <c r="R977" s="869"/>
      <c r="S977" s="869"/>
      <c r="T977" s="869"/>
      <c r="U977" s="869"/>
      <c r="V977" s="869"/>
      <c r="W977" s="869"/>
      <c r="X977" s="869"/>
      <c r="Y977" s="869"/>
      <c r="Z977" s="869"/>
    </row>
    <row r="978">
      <c r="A978" s="869"/>
      <c r="B978" s="869"/>
      <c r="C978" s="869"/>
      <c r="D978" s="869"/>
      <c r="E978" s="869"/>
      <c r="F978" s="869"/>
      <c r="G978" s="869"/>
      <c r="H978" s="869"/>
      <c r="I978" s="869"/>
      <c r="J978" s="869"/>
      <c r="K978" s="869"/>
      <c r="L978" s="869"/>
      <c r="M978" s="869"/>
      <c r="N978" s="869"/>
      <c r="O978" s="869"/>
      <c r="P978" s="869"/>
      <c r="Q978" s="869"/>
      <c r="R978" s="869"/>
      <c r="S978" s="869"/>
      <c r="T978" s="869"/>
      <c r="U978" s="869"/>
      <c r="V978" s="869"/>
      <c r="W978" s="869"/>
      <c r="X978" s="869"/>
      <c r="Y978" s="869"/>
      <c r="Z978" s="869"/>
    </row>
    <row r="979">
      <c r="A979" s="869"/>
      <c r="B979" s="869"/>
      <c r="C979" s="869"/>
      <c r="D979" s="869"/>
      <c r="E979" s="869"/>
      <c r="F979" s="869"/>
      <c r="G979" s="869"/>
      <c r="H979" s="869"/>
      <c r="I979" s="869"/>
      <c r="J979" s="869"/>
      <c r="K979" s="869"/>
      <c r="L979" s="869"/>
      <c r="M979" s="869"/>
      <c r="N979" s="869"/>
      <c r="O979" s="869"/>
      <c r="P979" s="869"/>
      <c r="Q979" s="869"/>
      <c r="R979" s="869"/>
      <c r="S979" s="869"/>
      <c r="T979" s="869"/>
      <c r="U979" s="869"/>
      <c r="V979" s="869"/>
      <c r="W979" s="869"/>
      <c r="X979" s="869"/>
      <c r="Y979" s="869"/>
      <c r="Z979" s="869"/>
    </row>
    <row r="980">
      <c r="A980" s="869"/>
      <c r="B980" s="869"/>
      <c r="C980" s="869"/>
      <c r="D980" s="869"/>
      <c r="E980" s="869"/>
      <c r="F980" s="869"/>
      <c r="G980" s="869"/>
      <c r="H980" s="869"/>
      <c r="I980" s="869"/>
      <c r="J980" s="869"/>
      <c r="K980" s="869"/>
      <c r="L980" s="869"/>
      <c r="M980" s="869"/>
      <c r="N980" s="869"/>
      <c r="O980" s="869"/>
      <c r="P980" s="869"/>
      <c r="Q980" s="869"/>
      <c r="R980" s="869"/>
      <c r="S980" s="869"/>
      <c r="T980" s="869"/>
      <c r="U980" s="869"/>
      <c r="V980" s="869"/>
      <c r="W980" s="869"/>
      <c r="X980" s="869"/>
      <c r="Y980" s="869"/>
      <c r="Z980" s="869"/>
    </row>
    <row r="981">
      <c r="A981" s="869"/>
      <c r="B981" s="869"/>
      <c r="C981" s="869"/>
      <c r="D981" s="869"/>
      <c r="E981" s="869"/>
      <c r="F981" s="869"/>
      <c r="G981" s="869"/>
      <c r="H981" s="869"/>
      <c r="I981" s="869"/>
      <c r="J981" s="869"/>
      <c r="K981" s="869"/>
      <c r="L981" s="869"/>
      <c r="M981" s="869"/>
      <c r="N981" s="869"/>
      <c r="O981" s="869"/>
      <c r="P981" s="869"/>
      <c r="Q981" s="869"/>
      <c r="R981" s="869"/>
      <c r="S981" s="869"/>
      <c r="T981" s="869"/>
      <c r="U981" s="869"/>
      <c r="V981" s="869"/>
      <c r="W981" s="869"/>
      <c r="X981" s="869"/>
      <c r="Y981" s="869"/>
      <c r="Z981" s="869"/>
    </row>
    <row r="982">
      <c r="A982" s="869"/>
      <c r="B982" s="869"/>
      <c r="C982" s="869"/>
      <c r="D982" s="869"/>
      <c r="E982" s="869"/>
      <c r="F982" s="869"/>
      <c r="G982" s="869"/>
      <c r="H982" s="869"/>
      <c r="I982" s="869"/>
      <c r="J982" s="869"/>
      <c r="K982" s="869"/>
      <c r="L982" s="869"/>
      <c r="M982" s="869"/>
      <c r="N982" s="869"/>
      <c r="O982" s="869"/>
      <c r="P982" s="869"/>
      <c r="Q982" s="869"/>
      <c r="R982" s="869"/>
      <c r="S982" s="869"/>
      <c r="T982" s="869"/>
      <c r="U982" s="869"/>
      <c r="V982" s="869"/>
      <c r="W982" s="869"/>
      <c r="X982" s="869"/>
      <c r="Y982" s="869"/>
      <c r="Z982" s="869"/>
    </row>
    <row r="983">
      <c r="A983" s="869"/>
      <c r="B983" s="869"/>
      <c r="C983" s="869"/>
      <c r="D983" s="869"/>
      <c r="E983" s="869"/>
      <c r="F983" s="869"/>
      <c r="G983" s="869"/>
      <c r="H983" s="869"/>
      <c r="I983" s="869"/>
      <c r="J983" s="869"/>
      <c r="K983" s="869"/>
      <c r="L983" s="869"/>
      <c r="M983" s="869"/>
      <c r="N983" s="869"/>
      <c r="O983" s="869"/>
      <c r="P983" s="869"/>
      <c r="Q983" s="869"/>
      <c r="R983" s="869"/>
      <c r="S983" s="869"/>
      <c r="T983" s="869"/>
      <c r="U983" s="869"/>
      <c r="V983" s="869"/>
      <c r="W983" s="869"/>
      <c r="X983" s="869"/>
      <c r="Y983" s="869"/>
      <c r="Z983" s="869"/>
    </row>
    <row r="984">
      <c r="A984" s="869"/>
      <c r="B984" s="869"/>
      <c r="C984" s="869"/>
      <c r="D984" s="869"/>
      <c r="E984" s="869"/>
      <c r="F984" s="869"/>
      <c r="G984" s="869"/>
      <c r="H984" s="869"/>
      <c r="I984" s="869"/>
      <c r="J984" s="869"/>
      <c r="K984" s="869"/>
      <c r="L984" s="869"/>
      <c r="M984" s="869"/>
      <c r="N984" s="869"/>
      <c r="O984" s="869"/>
      <c r="P984" s="869"/>
      <c r="Q984" s="869"/>
      <c r="R984" s="869"/>
      <c r="S984" s="869"/>
      <c r="T984" s="869"/>
      <c r="U984" s="869"/>
      <c r="V984" s="869"/>
      <c r="W984" s="869"/>
      <c r="X984" s="869"/>
      <c r="Y984" s="869"/>
      <c r="Z984" s="869"/>
    </row>
    <row r="985">
      <c r="A985" s="869"/>
      <c r="B985" s="869"/>
      <c r="C985" s="869"/>
      <c r="D985" s="869"/>
      <c r="E985" s="869"/>
      <c r="F985" s="869"/>
      <c r="G985" s="869"/>
      <c r="H985" s="869"/>
      <c r="I985" s="869"/>
      <c r="J985" s="869"/>
      <c r="K985" s="869"/>
      <c r="L985" s="869"/>
      <c r="M985" s="869"/>
      <c r="N985" s="869"/>
      <c r="O985" s="869"/>
      <c r="P985" s="869"/>
      <c r="Q985" s="869"/>
      <c r="R985" s="869"/>
      <c r="S985" s="869"/>
      <c r="T985" s="869"/>
      <c r="U985" s="869"/>
      <c r="V985" s="869"/>
      <c r="W985" s="869"/>
      <c r="X985" s="869"/>
      <c r="Y985" s="869"/>
      <c r="Z985" s="869"/>
    </row>
    <row r="986">
      <c r="A986" s="869"/>
      <c r="B986" s="869"/>
      <c r="C986" s="869"/>
      <c r="D986" s="869"/>
      <c r="E986" s="869"/>
      <c r="F986" s="869"/>
      <c r="G986" s="869"/>
      <c r="H986" s="869"/>
      <c r="I986" s="869"/>
      <c r="J986" s="869"/>
      <c r="K986" s="869"/>
      <c r="L986" s="869"/>
      <c r="M986" s="869"/>
      <c r="N986" s="869"/>
      <c r="O986" s="869"/>
      <c r="P986" s="869"/>
      <c r="Q986" s="869"/>
      <c r="R986" s="869"/>
      <c r="S986" s="869"/>
      <c r="T986" s="869"/>
      <c r="U986" s="869"/>
      <c r="V986" s="869"/>
      <c r="W986" s="869"/>
      <c r="X986" s="869"/>
      <c r="Y986" s="869"/>
      <c r="Z986" s="869"/>
    </row>
    <row r="987">
      <c r="A987" s="869"/>
      <c r="B987" s="869"/>
      <c r="C987" s="869"/>
      <c r="D987" s="869"/>
      <c r="E987" s="869"/>
      <c r="F987" s="869"/>
      <c r="G987" s="869"/>
      <c r="H987" s="869"/>
      <c r="I987" s="869"/>
      <c r="J987" s="869"/>
      <c r="K987" s="869"/>
      <c r="L987" s="869"/>
      <c r="M987" s="869"/>
      <c r="N987" s="869"/>
      <c r="O987" s="869"/>
      <c r="P987" s="869"/>
      <c r="Q987" s="869"/>
      <c r="R987" s="869"/>
      <c r="S987" s="869"/>
      <c r="T987" s="869"/>
      <c r="U987" s="869"/>
      <c r="V987" s="869"/>
      <c r="W987" s="869"/>
      <c r="X987" s="869"/>
      <c r="Y987" s="869"/>
      <c r="Z987" s="869"/>
    </row>
    <row r="988">
      <c r="A988" s="869"/>
      <c r="B988" s="869"/>
      <c r="C988" s="869"/>
      <c r="D988" s="869"/>
      <c r="E988" s="869"/>
      <c r="F988" s="869"/>
      <c r="G988" s="869"/>
      <c r="H988" s="869"/>
      <c r="I988" s="869"/>
      <c r="J988" s="869"/>
      <c r="K988" s="869"/>
      <c r="L988" s="869"/>
      <c r="M988" s="869"/>
      <c r="N988" s="869"/>
      <c r="O988" s="869"/>
      <c r="P988" s="869"/>
      <c r="Q988" s="869"/>
      <c r="R988" s="869"/>
      <c r="S988" s="869"/>
      <c r="T988" s="869"/>
      <c r="U988" s="869"/>
      <c r="V988" s="869"/>
      <c r="W988" s="869"/>
      <c r="X988" s="869"/>
      <c r="Y988" s="869"/>
      <c r="Z988" s="869"/>
    </row>
    <row r="989">
      <c r="A989" s="869"/>
      <c r="B989" s="869"/>
      <c r="C989" s="869"/>
      <c r="D989" s="869"/>
      <c r="E989" s="869"/>
      <c r="F989" s="869"/>
      <c r="G989" s="869"/>
      <c r="H989" s="869"/>
      <c r="I989" s="869"/>
      <c r="J989" s="869"/>
      <c r="K989" s="869"/>
      <c r="L989" s="869"/>
      <c r="M989" s="869"/>
      <c r="N989" s="869"/>
      <c r="O989" s="869"/>
      <c r="P989" s="869"/>
      <c r="Q989" s="869"/>
      <c r="R989" s="869"/>
      <c r="S989" s="869"/>
      <c r="T989" s="869"/>
      <c r="U989" s="869"/>
      <c r="V989" s="869"/>
      <c r="W989" s="869"/>
      <c r="X989" s="869"/>
      <c r="Y989" s="869"/>
      <c r="Z989" s="869"/>
    </row>
    <row r="990">
      <c r="A990" s="869"/>
      <c r="B990" s="869"/>
      <c r="C990" s="869"/>
      <c r="D990" s="869"/>
      <c r="E990" s="869"/>
      <c r="F990" s="869"/>
      <c r="G990" s="869"/>
      <c r="H990" s="869"/>
      <c r="I990" s="869"/>
      <c r="J990" s="869"/>
      <c r="K990" s="869"/>
      <c r="L990" s="869"/>
      <c r="M990" s="869"/>
      <c r="N990" s="869"/>
      <c r="O990" s="869"/>
      <c r="P990" s="869"/>
      <c r="Q990" s="869"/>
      <c r="R990" s="869"/>
      <c r="S990" s="869"/>
      <c r="T990" s="869"/>
      <c r="U990" s="869"/>
      <c r="V990" s="869"/>
      <c r="W990" s="869"/>
      <c r="X990" s="869"/>
      <c r="Y990" s="869"/>
      <c r="Z990" s="869"/>
    </row>
    <row r="991">
      <c r="A991" s="869"/>
      <c r="B991" s="869"/>
      <c r="C991" s="869"/>
      <c r="D991" s="869"/>
      <c r="E991" s="869"/>
      <c r="F991" s="869"/>
      <c r="G991" s="869"/>
      <c r="H991" s="869"/>
      <c r="I991" s="869"/>
      <c r="J991" s="869"/>
      <c r="K991" s="869"/>
      <c r="L991" s="869"/>
      <c r="M991" s="869"/>
      <c r="N991" s="869"/>
      <c r="O991" s="869"/>
      <c r="P991" s="869"/>
      <c r="Q991" s="869"/>
      <c r="R991" s="869"/>
      <c r="S991" s="869"/>
      <c r="T991" s="869"/>
      <c r="U991" s="869"/>
      <c r="V991" s="869"/>
      <c r="W991" s="869"/>
      <c r="X991" s="869"/>
      <c r="Y991" s="869"/>
      <c r="Z991" s="869"/>
    </row>
    <row r="992">
      <c r="A992" s="869"/>
      <c r="B992" s="869"/>
      <c r="C992" s="869"/>
      <c r="D992" s="869"/>
      <c r="E992" s="869"/>
      <c r="F992" s="869"/>
      <c r="G992" s="869"/>
      <c r="H992" s="869"/>
      <c r="I992" s="869"/>
      <c r="J992" s="869"/>
      <c r="K992" s="869"/>
      <c r="L992" s="869"/>
      <c r="M992" s="869"/>
      <c r="N992" s="869"/>
      <c r="O992" s="869"/>
      <c r="P992" s="869"/>
      <c r="Q992" s="869"/>
      <c r="R992" s="869"/>
      <c r="S992" s="869"/>
      <c r="T992" s="869"/>
      <c r="U992" s="869"/>
      <c r="V992" s="869"/>
      <c r="W992" s="869"/>
      <c r="X992" s="869"/>
      <c r="Y992" s="869"/>
      <c r="Z992" s="869"/>
    </row>
    <row r="993">
      <c r="A993" s="869"/>
      <c r="B993" s="869"/>
      <c r="C993" s="869"/>
      <c r="D993" s="869"/>
      <c r="E993" s="869"/>
      <c r="F993" s="869"/>
      <c r="G993" s="869"/>
      <c r="H993" s="869"/>
      <c r="I993" s="869"/>
      <c r="J993" s="869"/>
      <c r="K993" s="869"/>
      <c r="L993" s="869"/>
      <c r="M993" s="869"/>
      <c r="N993" s="869"/>
      <c r="O993" s="869"/>
      <c r="P993" s="869"/>
      <c r="Q993" s="869"/>
      <c r="R993" s="869"/>
      <c r="S993" s="869"/>
      <c r="T993" s="869"/>
      <c r="U993" s="869"/>
      <c r="V993" s="869"/>
      <c r="W993" s="869"/>
      <c r="X993" s="869"/>
      <c r="Y993" s="869"/>
      <c r="Z993" s="869"/>
    </row>
    <row r="994">
      <c r="A994" s="869"/>
      <c r="B994" s="869"/>
      <c r="C994" s="869"/>
      <c r="D994" s="869"/>
      <c r="E994" s="869"/>
      <c r="F994" s="869"/>
      <c r="G994" s="869"/>
      <c r="H994" s="869"/>
      <c r="I994" s="869"/>
      <c r="J994" s="869"/>
      <c r="K994" s="869"/>
      <c r="L994" s="869"/>
      <c r="M994" s="869"/>
      <c r="N994" s="869"/>
      <c r="O994" s="869"/>
      <c r="P994" s="869"/>
      <c r="Q994" s="869"/>
      <c r="R994" s="869"/>
      <c r="S994" s="869"/>
      <c r="T994" s="869"/>
      <c r="U994" s="869"/>
      <c r="V994" s="869"/>
      <c r="W994" s="869"/>
      <c r="X994" s="869"/>
      <c r="Y994" s="869"/>
      <c r="Z994" s="869"/>
    </row>
    <row r="995">
      <c r="A995" s="869"/>
      <c r="B995" s="869"/>
      <c r="C995" s="869"/>
      <c r="D995" s="869"/>
      <c r="E995" s="869"/>
      <c r="F995" s="869"/>
      <c r="G995" s="869"/>
      <c r="H995" s="869"/>
      <c r="I995" s="869"/>
      <c r="J995" s="869"/>
      <c r="K995" s="869"/>
      <c r="L995" s="869"/>
      <c r="M995" s="869"/>
      <c r="N995" s="869"/>
      <c r="O995" s="869"/>
      <c r="P995" s="869"/>
      <c r="Q995" s="869"/>
      <c r="R995" s="869"/>
      <c r="S995" s="869"/>
      <c r="T995" s="869"/>
      <c r="U995" s="869"/>
      <c r="V995" s="869"/>
      <c r="W995" s="869"/>
      <c r="X995" s="869"/>
      <c r="Y995" s="869"/>
      <c r="Z995" s="869"/>
    </row>
    <row r="996">
      <c r="A996" s="869"/>
      <c r="B996" s="869"/>
      <c r="C996" s="869"/>
      <c r="D996" s="869"/>
      <c r="E996" s="869"/>
      <c r="F996" s="869"/>
      <c r="G996" s="869"/>
      <c r="H996" s="869"/>
      <c r="I996" s="869"/>
      <c r="J996" s="869"/>
      <c r="K996" s="869"/>
      <c r="L996" s="869"/>
      <c r="M996" s="869"/>
      <c r="N996" s="869"/>
      <c r="O996" s="869"/>
      <c r="P996" s="869"/>
      <c r="Q996" s="869"/>
      <c r="R996" s="869"/>
      <c r="S996" s="869"/>
      <c r="T996" s="869"/>
      <c r="U996" s="869"/>
      <c r="V996" s="869"/>
      <c r="W996" s="869"/>
      <c r="X996" s="869"/>
      <c r="Y996" s="869"/>
      <c r="Z996" s="869"/>
    </row>
    <row r="997">
      <c r="A997" s="869"/>
      <c r="B997" s="869"/>
      <c r="C997" s="869"/>
      <c r="D997" s="869"/>
      <c r="E997" s="869"/>
      <c r="F997" s="869"/>
      <c r="G997" s="869"/>
      <c r="H997" s="869"/>
      <c r="I997" s="869"/>
      <c r="J997" s="869"/>
      <c r="K997" s="869"/>
      <c r="L997" s="869"/>
      <c r="M997" s="869"/>
      <c r="N997" s="869"/>
      <c r="O997" s="869"/>
      <c r="P997" s="869"/>
      <c r="Q997" s="869"/>
      <c r="R997" s="869"/>
      <c r="S997" s="869"/>
      <c r="T997" s="869"/>
      <c r="U997" s="869"/>
      <c r="V997" s="869"/>
      <c r="W997" s="869"/>
      <c r="X997" s="869"/>
      <c r="Y997" s="869"/>
      <c r="Z997" s="869"/>
    </row>
    <row r="998">
      <c r="A998" s="869"/>
      <c r="B998" s="869"/>
      <c r="C998" s="869"/>
      <c r="D998" s="869"/>
      <c r="E998" s="869"/>
      <c r="F998" s="869"/>
      <c r="G998" s="869"/>
      <c r="H998" s="869"/>
      <c r="I998" s="869"/>
      <c r="J998" s="869"/>
      <c r="K998" s="869"/>
      <c r="L998" s="869"/>
      <c r="M998" s="869"/>
      <c r="N998" s="869"/>
      <c r="O998" s="869"/>
      <c r="P998" s="869"/>
      <c r="Q998" s="869"/>
      <c r="R998" s="869"/>
      <c r="S998" s="869"/>
      <c r="T998" s="869"/>
      <c r="U998" s="869"/>
      <c r="V998" s="869"/>
      <c r="W998" s="869"/>
      <c r="X998" s="869"/>
      <c r="Y998" s="869"/>
      <c r="Z998" s="869"/>
    </row>
    <row r="999">
      <c r="A999" s="869"/>
      <c r="B999" s="869"/>
      <c r="C999" s="869"/>
      <c r="D999" s="869"/>
      <c r="E999" s="869"/>
      <c r="F999" s="869"/>
      <c r="G999" s="869"/>
      <c r="H999" s="869"/>
      <c r="I999" s="869"/>
      <c r="J999" s="869"/>
      <c r="K999" s="869"/>
      <c r="L999" s="869"/>
      <c r="M999" s="869"/>
      <c r="N999" s="869"/>
      <c r="O999" s="869"/>
      <c r="P999" s="869"/>
      <c r="Q999" s="869"/>
      <c r="R999" s="869"/>
      <c r="S999" s="869"/>
      <c r="T999" s="869"/>
      <c r="U999" s="869"/>
      <c r="V999" s="869"/>
      <c r="W999" s="869"/>
      <c r="X999" s="869"/>
      <c r="Y999" s="869"/>
      <c r="Z999" s="869"/>
    </row>
    <row r="1000">
      <c r="A1000" s="869"/>
      <c r="B1000" s="869"/>
      <c r="C1000" s="869"/>
      <c r="D1000" s="869"/>
      <c r="E1000" s="869"/>
      <c r="F1000" s="869"/>
      <c r="G1000" s="869"/>
      <c r="H1000" s="869"/>
      <c r="I1000" s="869"/>
      <c r="J1000" s="869"/>
      <c r="K1000" s="869"/>
      <c r="L1000" s="869"/>
      <c r="M1000" s="869"/>
      <c r="N1000" s="869"/>
      <c r="O1000" s="869"/>
      <c r="P1000" s="869"/>
      <c r="Q1000" s="869"/>
      <c r="R1000" s="869"/>
      <c r="S1000" s="869"/>
      <c r="T1000" s="869"/>
      <c r="U1000" s="869"/>
      <c r="V1000" s="869"/>
      <c r="W1000" s="869"/>
      <c r="X1000" s="869"/>
      <c r="Y1000" s="869"/>
      <c r="Z1000" s="869"/>
    </row>
    <row r="1001">
      <c r="A1001" s="869"/>
      <c r="B1001" s="869"/>
      <c r="C1001" s="869"/>
      <c r="D1001" s="869"/>
      <c r="E1001" s="869"/>
      <c r="F1001" s="869"/>
      <c r="G1001" s="869"/>
      <c r="H1001" s="869"/>
      <c r="I1001" s="869"/>
      <c r="J1001" s="869"/>
      <c r="K1001" s="869"/>
      <c r="L1001" s="869"/>
      <c r="M1001" s="869"/>
      <c r="N1001" s="869"/>
      <c r="O1001" s="869"/>
      <c r="P1001" s="869"/>
      <c r="Q1001" s="869"/>
      <c r="R1001" s="869"/>
      <c r="S1001" s="869"/>
      <c r="T1001" s="869"/>
      <c r="U1001" s="869"/>
      <c r="V1001" s="869"/>
      <c r="W1001" s="869"/>
      <c r="X1001" s="869"/>
      <c r="Y1001" s="869"/>
      <c r="Z1001" s="869"/>
    </row>
    <row r="1002">
      <c r="A1002" s="869"/>
      <c r="B1002" s="869"/>
      <c r="C1002" s="869"/>
      <c r="D1002" s="869"/>
      <c r="E1002" s="869"/>
      <c r="F1002" s="869"/>
      <c r="G1002" s="869"/>
      <c r="H1002" s="869"/>
      <c r="I1002" s="869"/>
      <c r="J1002" s="869"/>
      <c r="K1002" s="869"/>
      <c r="L1002" s="869"/>
      <c r="M1002" s="869"/>
      <c r="N1002" s="869"/>
      <c r="O1002" s="869"/>
      <c r="P1002" s="869"/>
      <c r="Q1002" s="869"/>
      <c r="R1002" s="869"/>
      <c r="S1002" s="869"/>
      <c r="T1002" s="869"/>
      <c r="U1002" s="869"/>
      <c r="V1002" s="869"/>
      <c r="W1002" s="869"/>
      <c r="X1002" s="869"/>
      <c r="Y1002" s="869"/>
      <c r="Z1002" s="869"/>
    </row>
    <row r="1003">
      <c r="A1003" s="869"/>
      <c r="B1003" s="869"/>
      <c r="C1003" s="869"/>
      <c r="D1003" s="869"/>
      <c r="E1003" s="869"/>
      <c r="F1003" s="869"/>
      <c r="G1003" s="869"/>
      <c r="H1003" s="869"/>
      <c r="I1003" s="869"/>
      <c r="J1003" s="869"/>
      <c r="K1003" s="869"/>
      <c r="L1003" s="869"/>
      <c r="M1003" s="869"/>
      <c r="N1003" s="869"/>
      <c r="O1003" s="869"/>
      <c r="P1003" s="869"/>
      <c r="Q1003" s="869"/>
      <c r="R1003" s="869"/>
      <c r="S1003" s="869"/>
      <c r="T1003" s="869"/>
      <c r="U1003" s="869"/>
      <c r="V1003" s="869"/>
      <c r="W1003" s="869"/>
      <c r="X1003" s="869"/>
      <c r="Y1003" s="869"/>
      <c r="Z1003" s="869"/>
    </row>
    <row r="1004">
      <c r="A1004" s="869"/>
      <c r="B1004" s="869"/>
      <c r="C1004" s="869"/>
      <c r="D1004" s="869"/>
      <c r="E1004" s="869"/>
      <c r="F1004" s="869"/>
      <c r="G1004" s="869"/>
      <c r="H1004" s="869"/>
      <c r="I1004" s="869"/>
      <c r="J1004" s="869"/>
      <c r="K1004" s="869"/>
      <c r="L1004" s="869"/>
      <c r="M1004" s="869"/>
      <c r="N1004" s="869"/>
      <c r="O1004" s="869"/>
      <c r="P1004" s="869"/>
      <c r="Q1004" s="869"/>
      <c r="R1004" s="869"/>
      <c r="S1004" s="869"/>
      <c r="T1004" s="869"/>
      <c r="U1004" s="869"/>
      <c r="V1004" s="869"/>
      <c r="W1004" s="869"/>
      <c r="X1004" s="869"/>
      <c r="Y1004" s="869"/>
      <c r="Z1004" s="869"/>
    </row>
    <row r="1005">
      <c r="A1005" s="869"/>
      <c r="B1005" s="869"/>
      <c r="C1005" s="869"/>
      <c r="D1005" s="869"/>
      <c r="E1005" s="869"/>
      <c r="F1005" s="869"/>
      <c r="G1005" s="869"/>
      <c r="H1005" s="869"/>
      <c r="I1005" s="869"/>
      <c r="J1005" s="869"/>
      <c r="K1005" s="869"/>
      <c r="L1005" s="869"/>
      <c r="M1005" s="869"/>
      <c r="N1005" s="869"/>
      <c r="O1005" s="869"/>
      <c r="P1005" s="869"/>
      <c r="Q1005" s="869"/>
      <c r="R1005" s="869"/>
      <c r="S1005" s="869"/>
      <c r="T1005" s="869"/>
      <c r="U1005" s="869"/>
      <c r="V1005" s="869"/>
      <c r="W1005" s="869"/>
      <c r="X1005" s="869"/>
      <c r="Y1005" s="869"/>
      <c r="Z1005" s="869"/>
    </row>
    <row r="1006">
      <c r="A1006" s="869"/>
      <c r="B1006" s="869"/>
      <c r="C1006" s="869"/>
      <c r="D1006" s="869"/>
      <c r="E1006" s="869"/>
      <c r="F1006" s="869"/>
      <c r="G1006" s="869"/>
      <c r="H1006" s="869"/>
      <c r="I1006" s="869"/>
      <c r="J1006" s="869"/>
      <c r="K1006" s="869"/>
      <c r="L1006" s="869"/>
      <c r="M1006" s="869"/>
      <c r="N1006" s="869"/>
      <c r="O1006" s="869"/>
      <c r="P1006" s="869"/>
      <c r="Q1006" s="869"/>
      <c r="R1006" s="869"/>
      <c r="S1006" s="869"/>
      <c r="T1006" s="869"/>
      <c r="U1006" s="869"/>
      <c r="V1006" s="869"/>
      <c r="W1006" s="869"/>
      <c r="X1006" s="869"/>
      <c r="Y1006" s="869"/>
      <c r="Z1006" s="869"/>
    </row>
  </sheetData>
  <mergeCells count="2">
    <mergeCell ref="B1:I1"/>
    <mergeCell ref="B35:F3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40.0"/>
    <col customWidth="1" min="3" max="3" width="29.29"/>
    <col customWidth="1" min="4" max="4" width="33.29"/>
    <col customWidth="1" min="5" max="5" width="38.71"/>
    <col customWidth="1" min="6" max="7" width="8.71"/>
    <col customWidth="1" min="8" max="8" width="56.0"/>
    <col customWidth="1" min="9" max="9" width="23.86"/>
    <col customWidth="1" min="10" max="14" width="8.71"/>
  </cols>
  <sheetData>
    <row r="1" ht="35.25" customHeight="1">
      <c r="A1" s="506" t="s">
        <v>50</v>
      </c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</row>
    <row r="2" ht="35.25" customHeight="1">
      <c r="A2" s="509" t="s">
        <v>217</v>
      </c>
      <c r="B2" s="4"/>
      <c r="C2" s="4"/>
      <c r="D2" s="5"/>
      <c r="E2" s="507"/>
      <c r="F2" s="507"/>
      <c r="G2" s="507"/>
      <c r="H2" s="507"/>
      <c r="I2" s="507"/>
      <c r="J2" s="507"/>
      <c r="K2" s="507"/>
      <c r="L2" s="507"/>
      <c r="M2" s="507"/>
      <c r="N2" s="507"/>
    </row>
    <row r="3" ht="35.25" customHeight="1">
      <c r="A3" s="891" t="s">
        <v>1</v>
      </c>
      <c r="B3" s="891"/>
      <c r="C3" s="891" t="s">
        <v>2</v>
      </c>
      <c r="D3" s="891" t="s">
        <v>4</v>
      </c>
      <c r="E3" s="507"/>
      <c r="F3" s="507"/>
      <c r="G3" s="507"/>
      <c r="H3" s="507"/>
      <c r="I3" s="507"/>
      <c r="J3" s="507"/>
      <c r="K3" s="507"/>
      <c r="L3" s="507"/>
      <c r="M3" s="507"/>
      <c r="N3" s="507"/>
    </row>
    <row r="4" ht="35.25" hidden="1" customHeight="1">
      <c r="A4" s="731" t="s">
        <v>975</v>
      </c>
      <c r="B4" s="514" t="s">
        <v>699</v>
      </c>
      <c r="C4" s="544" t="s">
        <v>691</v>
      </c>
      <c r="D4" s="653">
        <f>sum(C4:C8)</f>
        <v>42991000</v>
      </c>
      <c r="E4" s="557"/>
      <c r="F4" s="507"/>
      <c r="G4" s="507"/>
      <c r="H4" s="507"/>
      <c r="I4" s="507"/>
      <c r="J4" s="507"/>
      <c r="K4" s="507"/>
      <c r="L4" s="507"/>
      <c r="M4" s="507"/>
      <c r="N4" s="507"/>
    </row>
    <row r="5" ht="35.25" hidden="1" customHeight="1">
      <c r="A5" s="18"/>
      <c r="B5" s="514" t="s">
        <v>738</v>
      </c>
      <c r="C5" s="515" t="s">
        <v>691</v>
      </c>
      <c r="D5" s="18"/>
      <c r="E5" s="557"/>
      <c r="F5" s="507"/>
      <c r="G5" s="507"/>
      <c r="H5" s="507"/>
      <c r="I5" s="507"/>
      <c r="J5" s="507"/>
      <c r="K5" s="507"/>
      <c r="L5" s="507"/>
      <c r="M5" s="507"/>
      <c r="N5" s="507"/>
    </row>
    <row r="6" ht="35.25" hidden="1" customHeight="1">
      <c r="A6" s="18"/>
      <c r="B6" s="514" t="s">
        <v>89</v>
      </c>
      <c r="C6" s="515" t="s">
        <v>691</v>
      </c>
      <c r="D6" s="18"/>
      <c r="E6" s="557"/>
      <c r="F6" s="507"/>
      <c r="G6" s="507"/>
      <c r="H6" s="507"/>
      <c r="I6" s="507"/>
      <c r="J6" s="507"/>
      <c r="K6" s="507"/>
      <c r="L6" s="507"/>
      <c r="M6" s="507"/>
      <c r="N6" s="507"/>
    </row>
    <row r="7" ht="35.25" hidden="1" customHeight="1">
      <c r="A7" s="18"/>
      <c r="B7" s="514" t="s">
        <v>220</v>
      </c>
      <c r="C7" s="546" t="s">
        <v>691</v>
      </c>
      <c r="D7" s="18"/>
      <c r="E7" s="556"/>
      <c r="F7" s="507"/>
      <c r="G7" s="507"/>
      <c r="H7" s="507"/>
      <c r="I7" s="507"/>
      <c r="J7" s="507"/>
      <c r="K7" s="507"/>
      <c r="L7" s="507"/>
      <c r="M7" s="507"/>
      <c r="N7" s="507"/>
    </row>
    <row r="8" ht="35.25" hidden="1" customHeight="1">
      <c r="A8" s="22"/>
      <c r="B8" s="514" t="s">
        <v>697</v>
      </c>
      <c r="C8" s="546">
        <v>4.2991E7</v>
      </c>
      <c r="D8" s="22"/>
      <c r="E8" s="556"/>
      <c r="F8" s="507"/>
      <c r="G8" s="507"/>
      <c r="H8" s="507"/>
      <c r="I8" s="507"/>
      <c r="J8" s="507"/>
      <c r="K8" s="507"/>
      <c r="L8" s="507"/>
      <c r="M8" s="507"/>
      <c r="N8" s="507"/>
    </row>
    <row r="9" ht="35.25" hidden="1" customHeight="1">
      <c r="A9" s="731" t="s">
        <v>976</v>
      </c>
      <c r="B9" s="514" t="s">
        <v>699</v>
      </c>
      <c r="C9" s="157"/>
      <c r="D9" s="736">
        <f>sum(C9:C12)</f>
        <v>29481000</v>
      </c>
      <c r="E9" s="570" t="s">
        <v>863</v>
      </c>
      <c r="F9" s="507"/>
      <c r="G9" s="507"/>
      <c r="H9" s="507"/>
      <c r="I9" s="507"/>
      <c r="J9" s="507"/>
      <c r="K9" s="507"/>
      <c r="L9" s="507"/>
      <c r="M9" s="507"/>
      <c r="N9" s="507"/>
    </row>
    <row r="10" ht="35.25" hidden="1" customHeight="1">
      <c r="A10" s="18"/>
      <c r="B10" s="514" t="s">
        <v>738</v>
      </c>
      <c r="C10" s="564">
        <f>SUM(33946000-7165000)</f>
        <v>26781000</v>
      </c>
      <c r="D10" s="86"/>
      <c r="E10" s="556"/>
      <c r="F10" s="507"/>
      <c r="G10" s="507"/>
      <c r="H10" s="507"/>
      <c r="I10" s="507"/>
      <c r="J10" s="507"/>
      <c r="K10" s="507"/>
      <c r="L10" s="507"/>
      <c r="M10" s="507"/>
      <c r="N10" s="507"/>
    </row>
    <row r="11" ht="35.25" hidden="1" customHeight="1">
      <c r="A11" s="18"/>
      <c r="B11" s="514" t="s">
        <v>89</v>
      </c>
      <c r="C11" s="564"/>
      <c r="D11" s="86"/>
      <c r="E11" s="556"/>
      <c r="F11" s="507"/>
      <c r="G11" s="507"/>
      <c r="H11" s="507"/>
      <c r="I11" s="507"/>
      <c r="J11" s="507"/>
      <c r="K11" s="507"/>
      <c r="L11" s="507"/>
      <c r="M11" s="507"/>
      <c r="N11" s="507"/>
    </row>
    <row r="12" ht="35.25" hidden="1" customHeight="1">
      <c r="A12" s="22"/>
      <c r="B12" s="514" t="s">
        <v>220</v>
      </c>
      <c r="C12" s="564">
        <v>2700000.0</v>
      </c>
      <c r="D12" s="89"/>
      <c r="E12" s="556"/>
      <c r="F12" s="507"/>
      <c r="G12" s="507"/>
      <c r="H12" s="507"/>
      <c r="I12" s="507"/>
      <c r="J12" s="507"/>
      <c r="K12" s="507"/>
      <c r="L12" s="507"/>
      <c r="M12" s="507"/>
      <c r="N12" s="507"/>
    </row>
    <row r="13" ht="35.25" hidden="1" customHeight="1">
      <c r="A13" s="731" t="s">
        <v>977</v>
      </c>
      <c r="B13" s="514" t="s">
        <v>699</v>
      </c>
      <c r="C13" s="529" t="s">
        <v>684</v>
      </c>
      <c r="D13" s="653">
        <f>sum(C13:C16)</f>
        <v>83320000</v>
      </c>
      <c r="E13" s="570" t="s">
        <v>864</v>
      </c>
      <c r="F13" s="507"/>
      <c r="G13" s="507"/>
      <c r="H13" s="507"/>
      <c r="I13" s="507"/>
      <c r="J13" s="507"/>
      <c r="K13" s="507"/>
      <c r="L13" s="507"/>
      <c r="M13" s="507"/>
      <c r="N13" s="507"/>
    </row>
    <row r="14" ht="35.25" hidden="1" customHeight="1">
      <c r="A14" s="18"/>
      <c r="B14" s="514" t="s">
        <v>738</v>
      </c>
      <c r="C14" s="529" t="s">
        <v>684</v>
      </c>
      <c r="D14" s="18"/>
      <c r="E14" s="582"/>
      <c r="F14" s="507"/>
      <c r="G14" s="507"/>
      <c r="H14" s="507"/>
      <c r="I14" s="507"/>
      <c r="J14" s="507"/>
      <c r="K14" s="507"/>
      <c r="L14" s="507"/>
      <c r="M14" s="507"/>
      <c r="N14" s="507"/>
    </row>
    <row r="15" ht="35.25" hidden="1" customHeight="1">
      <c r="A15" s="18"/>
      <c r="B15" s="514" t="s">
        <v>89</v>
      </c>
      <c r="C15" s="529" t="s">
        <v>684</v>
      </c>
      <c r="D15" s="18"/>
      <c r="E15" s="584"/>
      <c r="F15" s="507"/>
      <c r="G15" s="507"/>
      <c r="H15" s="507"/>
      <c r="I15" s="507"/>
      <c r="J15" s="507"/>
      <c r="K15" s="507"/>
      <c r="L15" s="507"/>
      <c r="M15" s="507"/>
      <c r="N15" s="507"/>
    </row>
    <row r="16" ht="35.25" hidden="1" customHeight="1">
      <c r="A16" s="22"/>
      <c r="B16" s="514" t="s">
        <v>220</v>
      </c>
      <c r="C16" s="529">
        <v>8.332E7</v>
      </c>
      <c r="D16" s="22"/>
      <c r="E16" s="584"/>
      <c r="F16" s="507"/>
      <c r="G16" s="507"/>
      <c r="H16" s="507"/>
      <c r="I16" s="507"/>
      <c r="J16" s="507"/>
      <c r="K16" s="507"/>
      <c r="L16" s="507"/>
      <c r="M16" s="507"/>
      <c r="N16" s="507"/>
    </row>
    <row r="17" ht="35.25" hidden="1" customHeight="1">
      <c r="A17" s="731" t="s">
        <v>978</v>
      </c>
      <c r="B17" s="514" t="s">
        <v>1075</v>
      </c>
      <c r="C17" s="587" t="s">
        <v>684</v>
      </c>
      <c r="D17" s="653">
        <f>sum(C17:C22)</f>
        <v>9194000</v>
      </c>
      <c r="E17" s="507"/>
      <c r="F17" s="507"/>
      <c r="G17" s="507"/>
      <c r="H17" s="507"/>
      <c r="I17" s="507"/>
      <c r="J17" s="507"/>
      <c r="K17" s="507"/>
      <c r="L17" s="507"/>
      <c r="M17" s="507"/>
      <c r="N17" s="507"/>
    </row>
    <row r="18" ht="35.25" hidden="1" customHeight="1">
      <c r="A18" s="18"/>
      <c r="B18" s="514" t="s">
        <v>699</v>
      </c>
      <c r="D18" s="18"/>
      <c r="E18" s="507"/>
      <c r="F18" s="507"/>
      <c r="G18" s="507"/>
      <c r="H18" s="507"/>
      <c r="I18" s="507"/>
      <c r="J18" s="507"/>
      <c r="K18" s="507"/>
      <c r="L18" s="507"/>
      <c r="M18" s="507"/>
      <c r="N18" s="507"/>
    </row>
    <row r="19" ht="35.25" hidden="1" customHeight="1">
      <c r="A19" s="18"/>
      <c r="B19" s="514" t="s">
        <v>738</v>
      </c>
      <c r="C19" s="529" t="s">
        <v>684</v>
      </c>
      <c r="D19" s="18"/>
      <c r="E19" s="507"/>
      <c r="F19" s="507"/>
      <c r="G19" s="507"/>
      <c r="H19" s="507"/>
      <c r="I19" s="507"/>
      <c r="J19" s="507"/>
      <c r="K19" s="507"/>
      <c r="L19" s="507"/>
      <c r="M19" s="507"/>
      <c r="N19" s="507"/>
    </row>
    <row r="20" ht="35.25" hidden="1" customHeight="1">
      <c r="A20" s="18"/>
      <c r="B20" s="514" t="s">
        <v>89</v>
      </c>
      <c r="C20" s="529" t="s">
        <v>684</v>
      </c>
      <c r="D20" s="18"/>
      <c r="E20" s="556"/>
      <c r="F20" s="507"/>
      <c r="G20" s="507"/>
      <c r="H20" s="507"/>
      <c r="I20" s="507"/>
      <c r="J20" s="507"/>
      <c r="K20" s="507"/>
      <c r="L20" s="507"/>
      <c r="M20" s="507"/>
      <c r="N20" s="507"/>
    </row>
    <row r="21" ht="35.25" hidden="1" customHeight="1">
      <c r="A21" s="18"/>
      <c r="B21" s="514" t="s">
        <v>220</v>
      </c>
      <c r="C21" s="529" t="s">
        <v>684</v>
      </c>
      <c r="D21" s="18"/>
      <c r="E21" s="556"/>
      <c r="F21" s="507"/>
      <c r="G21" s="507"/>
      <c r="H21" s="507"/>
      <c r="I21" s="507"/>
      <c r="J21" s="507"/>
      <c r="K21" s="507"/>
      <c r="L21" s="507"/>
      <c r="M21" s="507"/>
      <c r="N21" s="507"/>
    </row>
    <row r="22" ht="35.25" hidden="1" customHeight="1">
      <c r="A22" s="22"/>
      <c r="B22" s="514" t="s">
        <v>1076</v>
      </c>
      <c r="C22" s="529">
        <v>9194000.0</v>
      </c>
      <c r="D22" s="22"/>
      <c r="E22" s="556" t="s">
        <v>865</v>
      </c>
      <c r="F22" s="507"/>
      <c r="G22" s="507"/>
      <c r="H22" s="507"/>
      <c r="I22" s="507"/>
      <c r="J22" s="507"/>
      <c r="K22" s="507"/>
      <c r="L22" s="507"/>
      <c r="M22" s="507"/>
      <c r="N22" s="507"/>
    </row>
    <row r="23" ht="35.25" hidden="1" customHeight="1">
      <c r="A23" s="731" t="s">
        <v>979</v>
      </c>
      <c r="B23" s="892" t="s">
        <v>1077</v>
      </c>
      <c r="C23" s="893">
        <v>2.97E7</v>
      </c>
      <c r="D23" s="653">
        <f>sum(C23:C29)</f>
        <v>113025000</v>
      </c>
      <c r="E23" s="507"/>
      <c r="F23" s="507"/>
      <c r="G23" s="507"/>
      <c r="H23" s="507"/>
      <c r="I23" s="507"/>
      <c r="J23" s="507"/>
      <c r="K23" s="507"/>
      <c r="L23" s="507"/>
      <c r="M23" s="507"/>
      <c r="N23" s="507"/>
    </row>
    <row r="24" ht="35.25" hidden="1" customHeight="1">
      <c r="A24" s="18"/>
      <c r="B24" s="892" t="s">
        <v>1078</v>
      </c>
      <c r="C24" s="893"/>
      <c r="D24" s="18"/>
      <c r="E24" s="507"/>
      <c r="F24" s="507"/>
      <c r="G24" s="507"/>
      <c r="H24" s="507"/>
      <c r="I24" s="507"/>
      <c r="J24" s="507"/>
      <c r="K24" s="507"/>
      <c r="L24" s="507"/>
      <c r="M24" s="507"/>
      <c r="N24" s="507"/>
    </row>
    <row r="25" ht="35.25" hidden="1" customHeight="1">
      <c r="A25" s="18"/>
      <c r="B25" s="514" t="s">
        <v>1075</v>
      </c>
      <c r="C25" s="514">
        <v>6.0E7</v>
      </c>
      <c r="D25" s="18"/>
      <c r="E25" s="507"/>
      <c r="F25" s="507"/>
      <c r="G25" s="507"/>
      <c r="H25" s="507"/>
      <c r="I25" s="507"/>
      <c r="J25" s="507"/>
      <c r="K25" s="507"/>
      <c r="L25" s="507"/>
      <c r="M25" s="507"/>
      <c r="N25" s="507"/>
    </row>
    <row r="26" ht="35.25" hidden="1" customHeight="1">
      <c r="A26" s="18"/>
      <c r="B26" s="514" t="s">
        <v>699</v>
      </c>
      <c r="C26" s="514">
        <v>0.0</v>
      </c>
      <c r="D26" s="18"/>
      <c r="E26" s="507"/>
      <c r="F26" s="507"/>
      <c r="G26" s="507"/>
      <c r="H26" s="507"/>
      <c r="I26" s="507"/>
      <c r="J26" s="507"/>
      <c r="K26" s="507"/>
      <c r="L26" s="507"/>
      <c r="M26" s="507"/>
      <c r="N26" s="507"/>
    </row>
    <row r="27" ht="35.25" hidden="1" customHeight="1">
      <c r="A27" s="18"/>
      <c r="B27" s="514" t="s">
        <v>738</v>
      </c>
      <c r="C27" s="514">
        <v>0.0</v>
      </c>
      <c r="D27" s="18"/>
      <c r="E27" s="507"/>
      <c r="F27" s="507"/>
      <c r="G27" s="507"/>
      <c r="H27" s="507"/>
      <c r="I27" s="507"/>
      <c r="J27" s="507"/>
      <c r="K27" s="507"/>
      <c r="L27" s="507"/>
      <c r="M27" s="507"/>
      <c r="N27" s="507"/>
    </row>
    <row r="28" ht="35.25" hidden="1" customHeight="1">
      <c r="A28" s="18"/>
      <c r="B28" s="514" t="s">
        <v>89</v>
      </c>
      <c r="C28" s="514">
        <v>0.0</v>
      </c>
      <c r="D28" s="18"/>
      <c r="E28" s="507"/>
      <c r="F28" s="507"/>
      <c r="G28" s="507"/>
      <c r="H28" s="507"/>
      <c r="I28" s="507"/>
      <c r="J28" s="507"/>
      <c r="K28" s="507"/>
      <c r="L28" s="507"/>
      <c r="M28" s="507"/>
      <c r="N28" s="507"/>
    </row>
    <row r="29" ht="35.25" hidden="1" customHeight="1">
      <c r="A29" s="22"/>
      <c r="B29" s="514" t="s">
        <v>220</v>
      </c>
      <c r="C29" s="514">
        <v>2.3325E7</v>
      </c>
      <c r="D29" s="22"/>
      <c r="E29" s="507"/>
      <c r="F29" s="507"/>
      <c r="G29" s="507"/>
      <c r="H29" s="507"/>
      <c r="I29" s="507"/>
      <c r="J29" s="507"/>
      <c r="K29" s="507"/>
      <c r="L29" s="507"/>
      <c r="M29" s="507"/>
      <c r="N29" s="507"/>
    </row>
    <row r="30" ht="35.25" hidden="1" customHeight="1">
      <c r="A30" s="731" t="s">
        <v>980</v>
      </c>
      <c r="B30" s="514" t="s">
        <v>92</v>
      </c>
      <c r="C30" s="515">
        <v>4.0E7</v>
      </c>
      <c r="D30" s="653">
        <f>sum(C30:C34)</f>
        <v>110225000</v>
      </c>
      <c r="E30" s="556" t="s">
        <v>868</v>
      </c>
      <c r="F30" s="507"/>
      <c r="G30" s="507"/>
      <c r="H30" s="507"/>
      <c r="I30" s="507"/>
      <c r="J30" s="507"/>
      <c r="K30" s="507"/>
      <c r="L30" s="507"/>
      <c r="M30" s="507"/>
      <c r="N30" s="507"/>
    </row>
    <row r="31" ht="35.25" hidden="1" customHeight="1">
      <c r="A31" s="18"/>
      <c r="B31" s="524" t="s">
        <v>1079</v>
      </c>
      <c r="C31" s="515">
        <v>2.062E7</v>
      </c>
      <c r="D31" s="18"/>
      <c r="F31" s="507"/>
      <c r="G31" s="507"/>
      <c r="I31" s="507"/>
      <c r="J31" s="507"/>
      <c r="K31" s="507"/>
      <c r="L31" s="507"/>
      <c r="M31" s="507"/>
      <c r="N31" s="507"/>
    </row>
    <row r="32" ht="35.25" hidden="1" customHeight="1">
      <c r="A32" s="18"/>
      <c r="B32" s="524" t="s">
        <v>1080</v>
      </c>
      <c r="C32" s="515">
        <v>1.6351E7</v>
      </c>
      <c r="D32" s="18"/>
      <c r="F32" s="507"/>
      <c r="G32" s="507"/>
      <c r="I32" s="507"/>
      <c r="J32" s="507"/>
      <c r="K32" s="507"/>
      <c r="L32" s="507"/>
      <c r="M32" s="507"/>
      <c r="N32" s="507"/>
    </row>
    <row r="33" ht="35.25" hidden="1" customHeight="1">
      <c r="A33" s="18"/>
      <c r="B33" s="524" t="s">
        <v>1081</v>
      </c>
      <c r="C33" s="515">
        <f>SUM(16140000- 66000)</f>
        <v>16074000</v>
      </c>
      <c r="D33" s="18"/>
      <c r="F33" s="507"/>
      <c r="G33" s="507"/>
      <c r="I33" s="507"/>
      <c r="J33" s="507"/>
      <c r="K33" s="507"/>
      <c r="L33" s="507"/>
      <c r="M33" s="507"/>
      <c r="N33" s="507"/>
    </row>
    <row r="34" ht="35.25" hidden="1" customHeight="1">
      <c r="A34" s="22"/>
      <c r="B34" s="524" t="s">
        <v>1082</v>
      </c>
      <c r="C34" s="515">
        <v>1.718E7</v>
      </c>
      <c r="D34" s="22"/>
      <c r="F34" s="507"/>
      <c r="G34" s="507"/>
      <c r="I34" s="507"/>
      <c r="J34" s="507"/>
      <c r="K34" s="507"/>
      <c r="L34" s="507"/>
      <c r="M34" s="507"/>
      <c r="N34" s="507"/>
    </row>
    <row r="35" ht="35.25" hidden="1" customHeight="1">
      <c r="A35" s="731" t="s">
        <v>983</v>
      </c>
      <c r="B35" s="892" t="s">
        <v>1077</v>
      </c>
      <c r="C35" s="893">
        <v>1.5133E8</v>
      </c>
      <c r="D35" s="653">
        <f>sum(C35:C41)</f>
        <v>371766500</v>
      </c>
      <c r="E35" s="590"/>
      <c r="F35" s="507"/>
      <c r="G35" s="507"/>
      <c r="H35" s="507"/>
      <c r="I35" s="507"/>
      <c r="J35" s="507"/>
      <c r="K35" s="507"/>
      <c r="L35" s="507"/>
      <c r="M35" s="507"/>
      <c r="N35" s="507"/>
    </row>
    <row r="36" ht="35.25" hidden="1" customHeight="1">
      <c r="A36" s="18"/>
      <c r="B36" s="892" t="s">
        <v>1078</v>
      </c>
      <c r="C36" s="893"/>
      <c r="D36" s="18"/>
      <c r="E36" s="590"/>
      <c r="F36" s="507"/>
      <c r="G36" s="507"/>
      <c r="H36" s="507"/>
      <c r="I36" s="507"/>
      <c r="J36" s="507"/>
      <c r="K36" s="507"/>
      <c r="L36" s="507"/>
      <c r="M36" s="507"/>
      <c r="N36" s="507"/>
    </row>
    <row r="37" ht="35.25" hidden="1" customHeight="1">
      <c r="A37" s="18"/>
      <c r="B37" s="514" t="s">
        <v>699</v>
      </c>
      <c r="C37" s="515"/>
      <c r="D37" s="18"/>
      <c r="E37" s="590"/>
      <c r="F37" s="507"/>
      <c r="G37" s="507"/>
      <c r="H37" s="507"/>
      <c r="I37" s="507"/>
      <c r="J37" s="507"/>
      <c r="K37" s="507"/>
      <c r="L37" s="507"/>
      <c r="M37" s="507"/>
      <c r="N37" s="507"/>
    </row>
    <row r="38" ht="35.25" hidden="1" customHeight="1">
      <c r="A38" s="18"/>
      <c r="B38" s="514" t="s">
        <v>738</v>
      </c>
      <c r="C38" s="514">
        <v>9.2528E7</v>
      </c>
      <c r="D38" s="18"/>
      <c r="E38" s="556" t="s">
        <v>870</v>
      </c>
      <c r="F38" s="507"/>
      <c r="G38" s="507"/>
      <c r="H38" s="507"/>
      <c r="I38" s="507"/>
      <c r="J38" s="507"/>
      <c r="K38" s="507"/>
      <c r="L38" s="507"/>
      <c r="M38" s="507"/>
      <c r="N38" s="507"/>
    </row>
    <row r="39" ht="35.25" hidden="1" customHeight="1">
      <c r="A39" s="18"/>
      <c r="B39" s="514" t="s">
        <v>89</v>
      </c>
      <c r="C39" s="514">
        <v>4.44065E7</v>
      </c>
      <c r="D39" s="18"/>
      <c r="E39" s="507"/>
      <c r="F39" s="507"/>
      <c r="G39" s="507"/>
      <c r="H39" s="507"/>
      <c r="I39" s="507"/>
      <c r="J39" s="507"/>
      <c r="K39" s="507"/>
      <c r="L39" s="507"/>
      <c r="M39" s="507"/>
      <c r="N39" s="507"/>
    </row>
    <row r="40" ht="35.25" hidden="1" customHeight="1">
      <c r="A40" s="18"/>
      <c r="B40" s="514" t="s">
        <v>220</v>
      </c>
      <c r="C40" s="514">
        <v>4.2541E7</v>
      </c>
      <c r="D40" s="18"/>
      <c r="E40" s="894"/>
      <c r="F40" s="507"/>
      <c r="G40" s="507"/>
      <c r="H40" s="507"/>
      <c r="I40" s="507"/>
      <c r="J40" s="507"/>
      <c r="K40" s="507"/>
      <c r="L40" s="507"/>
      <c r="M40" s="507"/>
      <c r="N40" s="507"/>
    </row>
    <row r="41" ht="35.25" hidden="1" customHeight="1">
      <c r="A41" s="22"/>
      <c r="B41" s="514" t="s">
        <v>1076</v>
      </c>
      <c r="C41" s="515">
        <v>4.0961E7</v>
      </c>
      <c r="D41" s="22"/>
      <c r="E41" s="894"/>
      <c r="F41" s="507"/>
      <c r="G41" s="507"/>
      <c r="H41" s="507"/>
      <c r="I41" s="507"/>
      <c r="J41" s="507"/>
      <c r="K41" s="507"/>
      <c r="L41" s="507"/>
      <c r="M41" s="507"/>
      <c r="N41" s="507"/>
    </row>
    <row r="42" ht="35.25" hidden="1" customHeight="1">
      <c r="A42" s="733" t="s">
        <v>989</v>
      </c>
      <c r="B42" s="514" t="s">
        <v>699</v>
      </c>
      <c r="C42" s="514" t="s">
        <v>684</v>
      </c>
      <c r="D42" s="653">
        <f>SUM(C42:C46)</f>
        <v>32454000</v>
      </c>
      <c r="E42" s="556" t="s">
        <v>873</v>
      </c>
      <c r="F42" s="507"/>
      <c r="G42" s="507"/>
      <c r="H42" s="507"/>
      <c r="I42" s="507"/>
      <c r="J42" s="507"/>
      <c r="K42" s="507"/>
      <c r="L42" s="507"/>
      <c r="M42" s="507"/>
      <c r="N42" s="507"/>
    </row>
    <row r="43" ht="35.25" hidden="1" customHeight="1">
      <c r="A43" s="18"/>
      <c r="B43" s="514" t="s">
        <v>738</v>
      </c>
      <c r="C43" s="514" t="s">
        <v>684</v>
      </c>
      <c r="D43" s="18"/>
      <c r="E43" s="507"/>
      <c r="F43" s="507"/>
      <c r="G43" s="507"/>
      <c r="H43" s="507"/>
      <c r="I43" s="507"/>
      <c r="J43" s="507"/>
      <c r="K43" s="507"/>
      <c r="L43" s="507"/>
      <c r="M43" s="507"/>
      <c r="N43" s="507"/>
    </row>
    <row r="44" ht="35.25" hidden="1" customHeight="1">
      <c r="A44" s="18"/>
      <c r="B44" s="514" t="s">
        <v>89</v>
      </c>
      <c r="C44" s="514" t="s">
        <v>684</v>
      </c>
      <c r="D44" s="18"/>
      <c r="E44" s="507"/>
      <c r="F44" s="507"/>
      <c r="G44" s="507"/>
      <c r="H44" s="507"/>
      <c r="I44" s="507"/>
      <c r="J44" s="507"/>
      <c r="K44" s="507"/>
      <c r="L44" s="507"/>
      <c r="M44" s="507"/>
      <c r="N44" s="507"/>
    </row>
    <row r="45" ht="35.25" hidden="1" customHeight="1">
      <c r="A45" s="18"/>
      <c r="B45" s="514" t="s">
        <v>220</v>
      </c>
      <c r="C45" s="514" t="s">
        <v>684</v>
      </c>
      <c r="D45" s="18"/>
      <c r="E45" s="507"/>
      <c r="F45" s="507"/>
      <c r="G45" s="507"/>
      <c r="H45" s="507"/>
      <c r="I45" s="507"/>
      <c r="J45" s="507"/>
      <c r="K45" s="507"/>
      <c r="L45" s="507"/>
      <c r="M45" s="507"/>
      <c r="N45" s="507"/>
    </row>
    <row r="46" ht="35.25" hidden="1" customHeight="1">
      <c r="A46" s="22"/>
      <c r="B46" s="514" t="s">
        <v>697</v>
      </c>
      <c r="C46" s="514">
        <v>3.2454E7</v>
      </c>
      <c r="D46" s="22"/>
      <c r="E46" s="507"/>
      <c r="F46" s="507"/>
      <c r="G46" s="507"/>
      <c r="H46" s="507"/>
      <c r="I46" s="507"/>
      <c r="J46" s="507"/>
      <c r="K46" s="507"/>
      <c r="L46" s="507"/>
      <c r="M46" s="507"/>
      <c r="N46" s="507"/>
    </row>
    <row r="47" ht="35.25" hidden="1" customHeight="1">
      <c r="A47" s="733" t="s">
        <v>990</v>
      </c>
      <c r="B47" s="892" t="s">
        <v>1077</v>
      </c>
      <c r="C47" s="893">
        <v>2.41225E8</v>
      </c>
      <c r="D47" s="653">
        <f>SUM(C47:C53)</f>
        <v>307686000</v>
      </c>
      <c r="E47" s="556"/>
      <c r="F47" s="507"/>
      <c r="G47" s="507"/>
      <c r="H47" s="507"/>
      <c r="I47" s="507"/>
      <c r="J47" s="507"/>
      <c r="K47" s="507"/>
      <c r="L47" s="507"/>
      <c r="M47" s="507"/>
      <c r="N47" s="507"/>
    </row>
    <row r="48" ht="35.25" hidden="1" customHeight="1">
      <c r="A48" s="18"/>
      <c r="B48" s="892" t="s">
        <v>1078</v>
      </c>
      <c r="C48" s="893"/>
      <c r="D48" s="18"/>
      <c r="E48" s="556"/>
      <c r="F48" s="507"/>
      <c r="G48" s="507"/>
      <c r="H48" s="507"/>
      <c r="I48" s="507"/>
      <c r="J48" s="507"/>
      <c r="K48" s="507"/>
      <c r="L48" s="507"/>
      <c r="M48" s="507"/>
      <c r="N48" s="507"/>
    </row>
    <row r="49" ht="35.25" hidden="1" customHeight="1">
      <c r="A49" s="18"/>
      <c r="B49" s="514" t="s">
        <v>699</v>
      </c>
      <c r="C49" s="596" t="s">
        <v>684</v>
      </c>
      <c r="D49" s="18"/>
      <c r="E49" s="556" t="s">
        <v>874</v>
      </c>
      <c r="F49" s="507"/>
      <c r="G49" s="507"/>
      <c r="H49" s="507"/>
      <c r="I49" s="507"/>
      <c r="J49" s="507"/>
      <c r="K49" s="507"/>
      <c r="L49" s="507"/>
      <c r="M49" s="507"/>
      <c r="N49" s="507"/>
    </row>
    <row r="50" ht="35.25" hidden="1" customHeight="1">
      <c r="A50" s="18"/>
      <c r="B50" s="514" t="s">
        <v>738</v>
      </c>
      <c r="C50" s="596" t="s">
        <v>684</v>
      </c>
      <c r="D50" s="18"/>
      <c r="F50" s="507"/>
      <c r="G50" s="507"/>
      <c r="H50" s="507"/>
      <c r="I50" s="507"/>
      <c r="J50" s="507"/>
      <c r="K50" s="507"/>
      <c r="L50" s="507"/>
      <c r="M50" s="507"/>
      <c r="N50" s="507"/>
    </row>
    <row r="51" ht="35.25" hidden="1" customHeight="1">
      <c r="A51" s="18"/>
      <c r="B51" s="514" t="s">
        <v>89</v>
      </c>
      <c r="C51" s="596" t="s">
        <v>684</v>
      </c>
      <c r="D51" s="18"/>
      <c r="E51" s="556"/>
      <c r="F51" s="507"/>
      <c r="G51" s="507"/>
      <c r="H51" s="507"/>
      <c r="I51" s="507"/>
      <c r="J51" s="507"/>
      <c r="K51" s="507"/>
      <c r="L51" s="507"/>
      <c r="M51" s="507"/>
      <c r="N51" s="507"/>
    </row>
    <row r="52" ht="35.25" hidden="1" customHeight="1">
      <c r="A52" s="18"/>
      <c r="B52" s="514" t="s">
        <v>220</v>
      </c>
      <c r="C52" s="514" t="s">
        <v>684</v>
      </c>
      <c r="D52" s="18"/>
      <c r="E52" s="556"/>
      <c r="F52" s="507"/>
      <c r="G52" s="507"/>
      <c r="H52" s="507"/>
      <c r="I52" s="507"/>
      <c r="J52" s="507"/>
      <c r="K52" s="507"/>
      <c r="L52" s="507"/>
      <c r="M52" s="507"/>
      <c r="N52" s="507"/>
    </row>
    <row r="53" ht="35.25" hidden="1" customHeight="1">
      <c r="A53" s="22"/>
      <c r="B53" s="514" t="s">
        <v>697</v>
      </c>
      <c r="C53" s="514">
        <v>6.6461E7</v>
      </c>
      <c r="D53" s="22"/>
      <c r="E53" s="556"/>
      <c r="F53" s="507"/>
      <c r="G53" s="507"/>
      <c r="H53" s="507"/>
      <c r="I53" s="507"/>
      <c r="J53" s="507"/>
      <c r="K53" s="507"/>
      <c r="L53" s="507"/>
      <c r="M53" s="507"/>
      <c r="N53" s="507"/>
    </row>
    <row r="54" ht="35.25" customHeight="1">
      <c r="A54" s="609" t="s">
        <v>875</v>
      </c>
      <c r="B54" s="895" t="s">
        <v>72</v>
      </c>
      <c r="C54" s="896" t="s">
        <v>691</v>
      </c>
      <c r="D54" s="618">
        <f>sum(C54:C58)</f>
        <v>65688000</v>
      </c>
      <c r="E54" s="507"/>
      <c r="F54" s="507"/>
      <c r="G54" s="507"/>
      <c r="H54" s="507"/>
      <c r="I54" s="507"/>
      <c r="J54" s="507"/>
      <c r="K54" s="507"/>
      <c r="L54" s="507"/>
      <c r="M54" s="507"/>
      <c r="N54" s="507"/>
    </row>
    <row r="55" ht="35.25" customHeight="1">
      <c r="A55" s="18"/>
      <c r="B55" s="629" t="s">
        <v>699</v>
      </c>
      <c r="C55" s="896">
        <f>40946000-30000</f>
        <v>40916000</v>
      </c>
      <c r="D55" s="18"/>
      <c r="E55" s="556"/>
      <c r="F55" s="507"/>
      <c r="G55" s="507"/>
      <c r="H55" s="507"/>
      <c r="I55" s="507"/>
      <c r="J55" s="507"/>
      <c r="K55" s="507"/>
      <c r="L55" s="507"/>
      <c r="M55" s="507"/>
      <c r="N55" s="507"/>
    </row>
    <row r="56" ht="35.25" customHeight="1">
      <c r="A56" s="18"/>
      <c r="B56" s="636" t="s">
        <v>738</v>
      </c>
      <c r="C56" s="896">
        <v>2.4772E7</v>
      </c>
      <c r="D56" s="18"/>
      <c r="E56" s="556"/>
      <c r="F56" s="507"/>
      <c r="G56" s="507"/>
      <c r="H56" s="507"/>
      <c r="I56" s="507"/>
      <c r="J56" s="507"/>
      <c r="K56" s="507"/>
      <c r="L56" s="507"/>
      <c r="M56" s="507"/>
      <c r="N56" s="507"/>
    </row>
    <row r="57" ht="35.25" customHeight="1">
      <c r="A57" s="18"/>
      <c r="B57" s="636" t="s">
        <v>89</v>
      </c>
      <c r="C57" s="896"/>
      <c r="D57" s="18"/>
      <c r="E57" s="556" t="s">
        <v>877</v>
      </c>
      <c r="F57" s="507"/>
      <c r="G57" s="507"/>
      <c r="H57" s="507"/>
      <c r="I57" s="507"/>
      <c r="J57" s="507"/>
      <c r="K57" s="507"/>
      <c r="L57" s="507"/>
      <c r="M57" s="507"/>
      <c r="N57" s="507"/>
    </row>
    <row r="58" ht="35.25" customHeight="1">
      <c r="A58" s="18"/>
      <c r="B58" s="710" t="s">
        <v>220</v>
      </c>
      <c r="C58" s="896"/>
      <c r="D58" s="18"/>
      <c r="E58" s="556"/>
      <c r="F58" s="507"/>
      <c r="G58" s="507"/>
      <c r="H58" s="507"/>
      <c r="I58" s="507"/>
      <c r="J58" s="507"/>
      <c r="K58" s="507"/>
      <c r="L58" s="507"/>
      <c r="M58" s="507"/>
      <c r="N58" s="507"/>
    </row>
    <row r="59" ht="35.25" customHeight="1">
      <c r="A59" s="18"/>
      <c r="B59" s="157"/>
      <c r="C59" s="169"/>
      <c r="D59" s="18"/>
      <c r="E59" s="897" t="s">
        <v>856</v>
      </c>
      <c r="F59" s="507"/>
      <c r="G59" s="507"/>
      <c r="H59" s="507"/>
      <c r="I59" s="507"/>
      <c r="J59" s="507"/>
      <c r="K59" s="507"/>
      <c r="L59" s="507"/>
      <c r="M59" s="507"/>
      <c r="N59" s="507"/>
    </row>
    <row r="60" ht="35.25" customHeight="1">
      <c r="A60" s="18"/>
      <c r="B60" s="157"/>
      <c r="C60" s="157"/>
      <c r="D60" s="18"/>
      <c r="E60" s="556"/>
      <c r="F60" s="507"/>
      <c r="G60" s="507"/>
      <c r="H60" s="507"/>
      <c r="I60" s="507"/>
      <c r="J60" s="507"/>
      <c r="K60" s="507"/>
      <c r="L60" s="507"/>
      <c r="M60" s="507"/>
      <c r="N60" s="507"/>
    </row>
    <row r="61" ht="35.25" customHeight="1">
      <c r="A61" s="18"/>
      <c r="B61" s="636"/>
      <c r="C61" s="898"/>
      <c r="D61" s="18"/>
      <c r="E61" s="556"/>
      <c r="F61" s="507"/>
      <c r="G61" s="507"/>
      <c r="H61" s="507"/>
      <c r="I61" s="507"/>
      <c r="J61" s="507"/>
      <c r="K61" s="507"/>
      <c r="L61" s="507"/>
      <c r="M61" s="507"/>
      <c r="N61" s="507"/>
    </row>
    <row r="62" ht="35.25" customHeight="1">
      <c r="A62" s="18"/>
      <c r="B62" s="898"/>
      <c r="C62" s="898"/>
      <c r="D62" s="18"/>
      <c r="E62" s="507"/>
      <c r="F62" s="507"/>
      <c r="G62" s="507"/>
      <c r="H62" s="507"/>
      <c r="I62" s="507"/>
      <c r="J62" s="507"/>
      <c r="K62" s="507"/>
      <c r="L62" s="507"/>
      <c r="M62" s="507"/>
      <c r="N62" s="507"/>
    </row>
    <row r="63" ht="35.25" customHeight="1">
      <c r="A63" s="22"/>
      <c r="B63" s="636"/>
      <c r="C63" s="896"/>
      <c r="D63" s="22"/>
      <c r="E63" s="507"/>
      <c r="F63" s="507"/>
      <c r="G63" s="507"/>
      <c r="H63" s="507"/>
      <c r="I63" s="507"/>
      <c r="J63" s="507"/>
      <c r="K63" s="507"/>
      <c r="L63" s="507"/>
      <c r="M63" s="507"/>
      <c r="N63" s="507"/>
    </row>
    <row r="64" ht="35.25" customHeight="1">
      <c r="A64" s="599" t="s">
        <v>68</v>
      </c>
      <c r="B64" s="636" t="s">
        <v>72</v>
      </c>
      <c r="C64" s="598">
        <f>54607800-34607000</f>
        <v>20000800</v>
      </c>
      <c r="D64" s="618">
        <f>sum(C64:C68)</f>
        <v>94256300</v>
      </c>
      <c r="E64" s="897" t="s">
        <v>856</v>
      </c>
      <c r="F64" s="507"/>
      <c r="G64" s="507"/>
      <c r="H64" s="507"/>
      <c r="I64" s="507"/>
      <c r="J64" s="507"/>
      <c r="K64" s="507"/>
      <c r="L64" s="507"/>
      <c r="M64" s="507"/>
      <c r="N64" s="507"/>
    </row>
    <row r="65" ht="35.25" customHeight="1">
      <c r="A65" s="18"/>
      <c r="B65" s="639" t="s">
        <v>88</v>
      </c>
      <c r="C65" s="899">
        <v>3.1726E7</v>
      </c>
      <c r="D65" s="18"/>
      <c r="E65" s="556"/>
      <c r="F65" s="507"/>
      <c r="G65" s="507"/>
      <c r="H65" s="507"/>
      <c r="I65" s="507"/>
      <c r="J65" s="507"/>
      <c r="K65" s="507"/>
      <c r="L65" s="507"/>
      <c r="M65" s="507"/>
      <c r="N65" s="507"/>
    </row>
    <row r="66" ht="35.25" customHeight="1">
      <c r="A66" s="18"/>
      <c r="B66" s="639" t="s">
        <v>219</v>
      </c>
      <c r="C66" s="899">
        <v>4.25295E7</v>
      </c>
      <c r="D66" s="18"/>
      <c r="E66" s="556" t="s">
        <v>879</v>
      </c>
      <c r="F66" s="507"/>
      <c r="G66" s="507"/>
      <c r="H66" s="507"/>
      <c r="I66" s="507"/>
      <c r="J66" s="507"/>
      <c r="K66" s="507"/>
      <c r="L66" s="507"/>
      <c r="M66" s="507"/>
      <c r="N66" s="507"/>
    </row>
    <row r="67" ht="35.25" customHeight="1">
      <c r="A67" s="18"/>
      <c r="B67" s="639" t="s">
        <v>89</v>
      </c>
      <c r="C67" s="598"/>
      <c r="D67" s="18"/>
      <c r="E67" s="556">
        <v>1.689605E8</v>
      </c>
      <c r="F67" s="507"/>
      <c r="G67" s="507"/>
      <c r="H67" s="507"/>
      <c r="I67" s="507"/>
      <c r="J67" s="507"/>
      <c r="K67" s="507"/>
      <c r="L67" s="507"/>
      <c r="M67" s="507"/>
      <c r="N67" s="507"/>
    </row>
    <row r="68" ht="35.25" customHeight="1">
      <c r="A68" s="22"/>
      <c r="B68" s="639" t="s">
        <v>220</v>
      </c>
      <c r="C68" s="598"/>
      <c r="D68" s="22"/>
      <c r="E68" s="556"/>
      <c r="F68" s="507"/>
      <c r="G68" s="507"/>
      <c r="H68" s="507"/>
      <c r="I68" s="507"/>
      <c r="J68" s="507"/>
      <c r="K68" s="507"/>
      <c r="L68" s="507"/>
      <c r="M68" s="507"/>
      <c r="N68" s="507"/>
    </row>
    <row r="69" ht="35.25" customHeight="1">
      <c r="A69" s="599" t="s">
        <v>75</v>
      </c>
      <c r="B69" s="639" t="s">
        <v>88</v>
      </c>
      <c r="C69" s="598" t="s">
        <v>684</v>
      </c>
      <c r="D69" s="618">
        <f>SUM(C69:C72)</f>
        <v>36746500</v>
      </c>
      <c r="E69" s="897" t="s">
        <v>856</v>
      </c>
      <c r="F69" s="507"/>
      <c r="G69" s="507"/>
      <c r="H69" s="507"/>
      <c r="I69" s="507"/>
      <c r="J69" s="507"/>
      <c r="K69" s="507"/>
      <c r="L69" s="507"/>
      <c r="M69" s="507"/>
      <c r="N69" s="507"/>
    </row>
    <row r="70" ht="35.25" customHeight="1">
      <c r="A70" s="18"/>
      <c r="B70" s="639" t="s">
        <v>219</v>
      </c>
      <c r="C70" s="598">
        <v>3.67465E7</v>
      </c>
      <c r="D70" s="18"/>
      <c r="E70" s="556" t="s">
        <v>880</v>
      </c>
      <c r="F70" s="507"/>
      <c r="G70" s="507"/>
      <c r="H70" s="507"/>
      <c r="I70" s="507"/>
      <c r="J70" s="507"/>
      <c r="K70" s="507"/>
      <c r="L70" s="507"/>
      <c r="M70" s="507"/>
      <c r="N70" s="507"/>
    </row>
    <row r="71" ht="35.25" customHeight="1">
      <c r="A71" s="18"/>
      <c r="B71" s="636" t="s">
        <v>89</v>
      </c>
      <c r="C71" s="598"/>
      <c r="D71" s="18"/>
      <c r="E71" s="507"/>
      <c r="F71" s="507"/>
      <c r="G71" s="900"/>
      <c r="H71" s="507"/>
      <c r="I71" s="507"/>
      <c r="J71" s="507"/>
      <c r="K71" s="507"/>
      <c r="L71" s="507"/>
      <c r="M71" s="507"/>
      <c r="N71" s="507"/>
    </row>
    <row r="72" ht="35.25" customHeight="1">
      <c r="A72" s="22"/>
      <c r="B72" s="710" t="s">
        <v>220</v>
      </c>
      <c r="C72" s="157"/>
      <c r="D72" s="22"/>
      <c r="E72" s="507"/>
      <c r="F72" s="507"/>
      <c r="G72" s="507"/>
      <c r="H72" s="507"/>
      <c r="I72" s="507"/>
      <c r="J72" s="507"/>
      <c r="K72" s="507"/>
      <c r="L72" s="507"/>
      <c r="M72" s="507"/>
      <c r="N72" s="507"/>
    </row>
    <row r="73" ht="35.25" customHeight="1">
      <c r="A73" s="599" t="s">
        <v>79</v>
      </c>
      <c r="B73" s="639" t="s">
        <v>88</v>
      </c>
      <c r="C73" s="612">
        <v>5.86995E7</v>
      </c>
      <c r="D73" s="618">
        <f>sum(C73:C76)</f>
        <v>122372500</v>
      </c>
      <c r="E73" s="897" t="s">
        <v>856</v>
      </c>
      <c r="F73" s="507"/>
      <c r="G73" s="507"/>
      <c r="H73" s="507"/>
      <c r="I73" s="507"/>
      <c r="J73" s="507"/>
      <c r="K73" s="507"/>
      <c r="L73" s="507"/>
      <c r="M73" s="507"/>
      <c r="N73" s="507"/>
    </row>
    <row r="74" ht="35.25" customHeight="1">
      <c r="A74" s="18"/>
      <c r="B74" s="639" t="s">
        <v>219</v>
      </c>
      <c r="C74" s="612">
        <v>6.3673E7</v>
      </c>
      <c r="D74" s="18"/>
      <c r="E74" s="556" t="s">
        <v>881</v>
      </c>
      <c r="F74" s="507"/>
      <c r="G74" s="507"/>
      <c r="H74" s="507"/>
      <c r="I74" s="507"/>
      <c r="J74" s="507"/>
      <c r="K74" s="507"/>
      <c r="L74" s="507"/>
      <c r="M74" s="507"/>
      <c r="N74" s="507"/>
    </row>
    <row r="75" ht="35.25" customHeight="1">
      <c r="A75" s="18"/>
      <c r="B75" s="639" t="s">
        <v>89</v>
      </c>
      <c r="C75" s="612"/>
      <c r="D75" s="18"/>
      <c r="E75" s="507">
        <f>59765000+69945500</f>
        <v>129710500</v>
      </c>
      <c r="F75" s="507"/>
      <c r="G75" s="507"/>
      <c r="H75" s="507"/>
      <c r="I75" s="507"/>
      <c r="J75" s="507"/>
      <c r="K75" s="507"/>
      <c r="L75" s="507"/>
      <c r="M75" s="507"/>
      <c r="N75" s="507"/>
    </row>
    <row r="76" ht="35.25" customHeight="1">
      <c r="A76" s="18"/>
      <c r="B76" s="639" t="s">
        <v>220</v>
      </c>
      <c r="C76" s="612"/>
      <c r="D76" s="18"/>
      <c r="E76" s="556"/>
      <c r="F76" s="507"/>
      <c r="G76" s="507"/>
      <c r="H76" s="507"/>
      <c r="I76" s="507"/>
      <c r="J76" s="507"/>
      <c r="K76" s="507"/>
      <c r="L76" s="507"/>
      <c r="M76" s="507"/>
      <c r="N76" s="507"/>
    </row>
    <row r="77" ht="35.25" customHeight="1">
      <c r="A77" s="22"/>
      <c r="D77" s="22"/>
      <c r="E77" s="507"/>
      <c r="F77" s="507"/>
      <c r="G77" s="507"/>
      <c r="H77" s="507"/>
      <c r="I77" s="507"/>
      <c r="J77" s="507"/>
      <c r="K77" s="507"/>
      <c r="L77" s="507"/>
      <c r="M77" s="507"/>
      <c r="N77" s="507"/>
    </row>
    <row r="78" ht="35.25" customHeight="1">
      <c r="A78" s="609" t="s">
        <v>80</v>
      </c>
      <c r="B78" s="636" t="s">
        <v>72</v>
      </c>
      <c r="C78" s="637">
        <v>1.205136E8</v>
      </c>
      <c r="D78" s="618">
        <f>sum(C78:C82)</f>
        <v>208094000</v>
      </c>
      <c r="E78" s="507"/>
      <c r="F78" s="507"/>
      <c r="G78" s="507"/>
      <c r="H78" s="507"/>
      <c r="I78" s="507"/>
      <c r="J78" s="507"/>
      <c r="K78" s="507"/>
      <c r="L78" s="507"/>
      <c r="M78" s="507"/>
      <c r="N78" s="507"/>
    </row>
    <row r="79" ht="35.25" customHeight="1">
      <c r="A79" s="18"/>
      <c r="B79" s="636" t="s">
        <v>88</v>
      </c>
      <c r="C79" s="637">
        <v>4.49814E7</v>
      </c>
      <c r="D79" s="18"/>
      <c r="E79" s="556" t="s">
        <v>1083</v>
      </c>
      <c r="F79" s="507"/>
      <c r="G79" s="507"/>
      <c r="H79" s="507"/>
      <c r="I79" s="507"/>
      <c r="J79" s="507"/>
      <c r="K79" s="507"/>
      <c r="L79" s="507"/>
      <c r="M79" s="507"/>
      <c r="N79" s="507"/>
    </row>
    <row r="80" ht="35.25" customHeight="1">
      <c r="A80" s="18"/>
      <c r="B80" s="636" t="s">
        <v>219</v>
      </c>
      <c r="C80" s="637">
        <v>4.2599E7</v>
      </c>
      <c r="D80" s="18"/>
      <c r="E80" s="556"/>
      <c r="F80" s="507"/>
      <c r="G80" s="507"/>
      <c r="H80" s="507"/>
      <c r="I80" s="507"/>
      <c r="J80" s="507"/>
      <c r="K80" s="507"/>
      <c r="L80" s="507"/>
      <c r="M80" s="507"/>
      <c r="N80" s="507"/>
    </row>
    <row r="81" ht="35.25" customHeight="1">
      <c r="A81" s="18"/>
      <c r="B81" s="636" t="s">
        <v>89</v>
      </c>
      <c r="C81" s="637"/>
      <c r="D81" s="18"/>
      <c r="E81" s="556">
        <v>2.130435E8</v>
      </c>
      <c r="F81" s="507"/>
      <c r="G81" s="507"/>
      <c r="H81" s="507"/>
      <c r="I81" s="507"/>
      <c r="J81" s="507"/>
      <c r="K81" s="507"/>
      <c r="L81" s="507"/>
      <c r="M81" s="507"/>
      <c r="N81" s="507"/>
    </row>
    <row r="82" ht="35.25" customHeight="1">
      <c r="A82" s="18"/>
      <c r="B82" s="636" t="s">
        <v>220</v>
      </c>
      <c r="C82" s="637"/>
      <c r="D82" s="18"/>
      <c r="E82" s="507"/>
      <c r="F82" s="507"/>
      <c r="G82" s="507"/>
      <c r="H82" s="507"/>
      <c r="I82" s="507"/>
      <c r="J82" s="507"/>
      <c r="K82" s="507"/>
      <c r="L82" s="507"/>
      <c r="M82" s="507"/>
      <c r="N82" s="507"/>
    </row>
    <row r="83" ht="35.25" customHeight="1">
      <c r="A83" s="18"/>
      <c r="B83" s="636"/>
      <c r="C83" s="637"/>
      <c r="D83" s="18"/>
      <c r="E83" s="897" t="s">
        <v>856</v>
      </c>
      <c r="F83" s="507"/>
      <c r="G83" s="507"/>
      <c r="H83" s="507"/>
      <c r="I83" s="507"/>
      <c r="J83" s="507"/>
      <c r="K83" s="507"/>
      <c r="L83" s="507"/>
      <c r="M83" s="507"/>
      <c r="N83" s="507"/>
    </row>
    <row r="84" ht="35.25" customHeight="1">
      <c r="A84" s="22"/>
      <c r="B84" s="895"/>
      <c r="C84" s="901"/>
      <c r="D84" s="22"/>
      <c r="E84" s="507"/>
      <c r="F84" s="507"/>
      <c r="G84" s="507"/>
      <c r="H84" s="507"/>
      <c r="I84" s="507"/>
      <c r="J84" s="507"/>
      <c r="K84" s="507"/>
      <c r="L84" s="507"/>
      <c r="M84" s="507"/>
      <c r="N84" s="507"/>
    </row>
    <row r="85" ht="35.25" customHeight="1">
      <c r="A85" s="609" t="s">
        <v>86</v>
      </c>
      <c r="B85" s="697" t="s">
        <v>72</v>
      </c>
      <c r="C85" s="637" t="s">
        <v>691</v>
      </c>
      <c r="D85" s="618">
        <f>sum(C85:C89)</f>
        <v>43385500</v>
      </c>
      <c r="E85" s="507"/>
      <c r="F85" s="507"/>
      <c r="G85" s="507"/>
      <c r="H85" s="507"/>
      <c r="I85" s="507"/>
      <c r="J85" s="507"/>
      <c r="K85" s="507"/>
      <c r="L85" s="507"/>
      <c r="M85" s="507"/>
      <c r="N85" s="507"/>
    </row>
    <row r="86" ht="35.25" customHeight="1">
      <c r="A86" s="18"/>
      <c r="B86" s="636" t="s">
        <v>88</v>
      </c>
      <c r="C86" s="637" t="s">
        <v>691</v>
      </c>
      <c r="D86" s="18"/>
      <c r="E86" s="556" t="s">
        <v>884</v>
      </c>
      <c r="F86" s="507"/>
      <c r="G86" s="507"/>
      <c r="H86" s="507"/>
      <c r="I86" s="507"/>
      <c r="J86" s="507"/>
      <c r="K86" s="507"/>
      <c r="L86" s="507"/>
      <c r="M86" s="507"/>
      <c r="N86" s="507"/>
    </row>
    <row r="87" ht="35.25" customHeight="1">
      <c r="A87" s="18"/>
      <c r="B87" s="639" t="s">
        <v>219</v>
      </c>
      <c r="C87" s="637">
        <v>4.33855E7</v>
      </c>
      <c r="D87" s="18"/>
      <c r="E87" s="635">
        <v>2.14362E7</v>
      </c>
      <c r="F87" s="507"/>
      <c r="G87" s="507"/>
      <c r="H87" s="507"/>
      <c r="I87" s="507"/>
      <c r="J87" s="507"/>
      <c r="K87" s="507"/>
      <c r="L87" s="507"/>
      <c r="M87" s="507"/>
      <c r="N87" s="507"/>
    </row>
    <row r="88" ht="35.25" customHeight="1">
      <c r="A88" s="18"/>
      <c r="B88" s="639" t="s">
        <v>89</v>
      </c>
      <c r="C88" s="637"/>
      <c r="D88" s="18"/>
      <c r="E88" s="635"/>
      <c r="F88" s="507"/>
      <c r="G88" s="507"/>
      <c r="H88" s="507"/>
      <c r="I88" s="507"/>
      <c r="J88" s="507"/>
      <c r="K88" s="507"/>
      <c r="L88" s="507"/>
      <c r="M88" s="507"/>
      <c r="N88" s="507"/>
    </row>
    <row r="89" ht="35.25" customHeight="1">
      <c r="A89" s="18"/>
      <c r="B89" s="636" t="s">
        <v>220</v>
      </c>
      <c r="C89" s="637"/>
      <c r="D89" s="18"/>
      <c r="E89" s="897" t="s">
        <v>856</v>
      </c>
      <c r="F89" s="507"/>
      <c r="G89" s="507"/>
      <c r="H89" s="507"/>
      <c r="I89" s="507"/>
      <c r="J89" s="507"/>
      <c r="K89" s="507"/>
      <c r="L89" s="507"/>
      <c r="M89" s="507"/>
      <c r="N89" s="507"/>
    </row>
    <row r="90" ht="35.25" customHeight="1">
      <c r="A90" s="22"/>
      <c r="B90" s="700"/>
      <c r="C90" s="637"/>
      <c r="D90" s="22"/>
      <c r="E90" s="556"/>
      <c r="F90" s="507"/>
      <c r="G90" s="507"/>
      <c r="H90" s="507"/>
      <c r="I90" s="507"/>
      <c r="J90" s="507"/>
      <c r="K90" s="507"/>
      <c r="L90" s="507"/>
      <c r="M90" s="507"/>
      <c r="N90" s="507"/>
    </row>
    <row r="91" ht="35.25" customHeight="1">
      <c r="A91" s="599" t="s">
        <v>90</v>
      </c>
      <c r="B91" s="636" t="s">
        <v>72</v>
      </c>
      <c r="C91" s="637" t="s">
        <v>691</v>
      </c>
      <c r="D91" s="618">
        <f>sum(C91:C95)</f>
        <v>103793500</v>
      </c>
      <c r="E91" s="556"/>
      <c r="F91" s="507"/>
      <c r="G91" s="507"/>
      <c r="H91" s="507"/>
      <c r="I91" s="507"/>
      <c r="J91" s="507"/>
      <c r="K91" s="507"/>
      <c r="L91" s="507"/>
      <c r="M91" s="507"/>
      <c r="N91" s="507"/>
    </row>
    <row r="92" ht="35.25" customHeight="1">
      <c r="A92" s="18"/>
      <c r="B92" s="639" t="s">
        <v>88</v>
      </c>
      <c r="C92" s="627">
        <v>5.87625E7</v>
      </c>
      <c r="D92" s="18"/>
      <c r="E92" s="556" t="s">
        <v>885</v>
      </c>
      <c r="F92" s="507"/>
      <c r="G92" s="507"/>
      <c r="H92" s="507"/>
      <c r="I92" s="507"/>
      <c r="J92" s="507"/>
      <c r="K92" s="507"/>
      <c r="L92" s="507"/>
      <c r="M92" s="507"/>
      <c r="N92" s="507"/>
    </row>
    <row r="93" ht="35.25" customHeight="1">
      <c r="A93" s="18"/>
      <c r="B93" s="636" t="s">
        <v>219</v>
      </c>
      <c r="C93" s="627">
        <v>4.5031E7</v>
      </c>
      <c r="D93" s="18"/>
      <c r="E93" s="902"/>
      <c r="F93" s="507"/>
      <c r="G93" s="507"/>
      <c r="H93" s="507"/>
      <c r="I93" s="507"/>
      <c r="J93" s="507"/>
      <c r="K93" s="507"/>
      <c r="L93" s="507"/>
      <c r="M93" s="507"/>
      <c r="N93" s="507"/>
    </row>
    <row r="94" ht="35.25" customHeight="1">
      <c r="A94" s="18"/>
      <c r="B94" s="636" t="s">
        <v>89</v>
      </c>
      <c r="C94" s="898"/>
      <c r="D94" s="18"/>
      <c r="E94" s="897" t="s">
        <v>856</v>
      </c>
      <c r="F94" s="507"/>
      <c r="G94" s="507"/>
      <c r="H94" s="507"/>
      <c r="I94" s="507"/>
      <c r="J94" s="507"/>
      <c r="K94" s="507"/>
      <c r="L94" s="507"/>
      <c r="M94" s="507"/>
      <c r="N94" s="507"/>
    </row>
    <row r="95" ht="35.25" customHeight="1">
      <c r="A95" s="22"/>
      <c r="B95" s="697" t="s">
        <v>220</v>
      </c>
      <c r="C95" s="903"/>
      <c r="D95" s="22"/>
      <c r="E95" s="556"/>
      <c r="F95" s="507"/>
      <c r="G95" s="507"/>
      <c r="H95" s="507"/>
      <c r="I95" s="507"/>
      <c r="J95" s="507"/>
      <c r="K95" s="507"/>
      <c r="L95" s="507"/>
      <c r="M95" s="507"/>
      <c r="N95" s="507"/>
    </row>
    <row r="96" ht="35.25" customHeight="1">
      <c r="A96" s="609" t="s">
        <v>610</v>
      </c>
      <c r="B96" s="639" t="s">
        <v>88</v>
      </c>
      <c r="C96" s="696">
        <v>3.9409E7</v>
      </c>
      <c r="D96" s="618">
        <f>sum(C96:C98)</f>
        <v>80672000</v>
      </c>
      <c r="E96" s="507"/>
      <c r="F96" s="507"/>
      <c r="G96" s="507"/>
      <c r="H96" s="507"/>
      <c r="I96" s="507"/>
      <c r="J96" s="507"/>
      <c r="K96" s="507"/>
      <c r="L96" s="507"/>
      <c r="M96" s="507"/>
      <c r="N96" s="507"/>
    </row>
    <row r="97" ht="35.25" customHeight="1">
      <c r="A97" s="18"/>
      <c r="B97" s="639" t="s">
        <v>219</v>
      </c>
      <c r="C97" s="696">
        <v>4.1263E7</v>
      </c>
      <c r="D97" s="18"/>
      <c r="E97" s="556" t="s">
        <v>886</v>
      </c>
      <c r="F97" s="507"/>
      <c r="G97" s="507"/>
      <c r="H97" s="507"/>
      <c r="I97" s="507"/>
      <c r="J97" s="507"/>
      <c r="K97" s="507"/>
      <c r="L97" s="507"/>
      <c r="M97" s="507"/>
      <c r="N97" s="507"/>
    </row>
    <row r="98" ht="35.25" customHeight="1">
      <c r="A98" s="18"/>
      <c r="B98" s="639" t="s">
        <v>89</v>
      </c>
      <c r="C98" s="696"/>
      <c r="D98" s="18"/>
      <c r="E98" s="897" t="s">
        <v>856</v>
      </c>
      <c r="F98" s="507"/>
      <c r="G98" s="507"/>
      <c r="H98" s="507"/>
      <c r="I98" s="507"/>
      <c r="J98" s="507"/>
      <c r="K98" s="507"/>
      <c r="L98" s="507"/>
      <c r="M98" s="507"/>
      <c r="N98" s="507"/>
    </row>
    <row r="99" ht="35.25" customHeight="1">
      <c r="A99" s="18"/>
      <c r="B99" s="639" t="s">
        <v>220</v>
      </c>
      <c r="C99" s="157"/>
      <c r="D99" s="18"/>
      <c r="E99" s="633"/>
      <c r="F99" s="507"/>
      <c r="G99" s="507"/>
      <c r="H99" s="507"/>
      <c r="I99" s="507"/>
      <c r="J99" s="507"/>
      <c r="K99" s="507"/>
      <c r="L99" s="507"/>
      <c r="M99" s="507"/>
      <c r="N99" s="507"/>
    </row>
    <row r="100" ht="35.25" customHeight="1">
      <c r="A100" s="22"/>
      <c r="B100" s="157"/>
      <c r="C100" s="157"/>
      <c r="D100" s="22"/>
      <c r="E100" s="556"/>
      <c r="F100" s="507"/>
      <c r="G100" s="507"/>
      <c r="H100" s="507"/>
      <c r="I100" s="507"/>
      <c r="J100" s="507"/>
      <c r="K100" s="507"/>
      <c r="L100" s="507"/>
      <c r="M100" s="507"/>
      <c r="N100" s="507"/>
    </row>
    <row r="101" ht="35.25" customHeight="1">
      <c r="A101" s="618" t="s">
        <v>96</v>
      </c>
      <c r="B101" s="524" t="s">
        <v>88</v>
      </c>
      <c r="C101" s="637">
        <v>4.2025E7</v>
      </c>
      <c r="D101" s="618">
        <f>sum(C101:C106)</f>
        <v>81995000</v>
      </c>
      <c r="E101" s="556"/>
      <c r="F101" s="507"/>
      <c r="G101" s="507"/>
      <c r="H101" s="507"/>
      <c r="I101" s="507"/>
      <c r="J101" s="507"/>
      <c r="K101" s="507"/>
      <c r="L101" s="507"/>
      <c r="M101" s="507"/>
      <c r="N101" s="507"/>
    </row>
    <row r="102" ht="35.25" customHeight="1">
      <c r="A102" s="18"/>
      <c r="B102" s="639" t="s">
        <v>219</v>
      </c>
      <c r="C102" s="598">
        <v>3.997E7</v>
      </c>
      <c r="D102" s="18"/>
      <c r="E102" s="556"/>
      <c r="F102" s="507"/>
      <c r="G102" s="507"/>
      <c r="H102" s="507"/>
      <c r="I102" s="507"/>
      <c r="J102" s="507"/>
      <c r="K102" s="507"/>
      <c r="L102" s="507"/>
      <c r="M102" s="507"/>
      <c r="N102" s="507"/>
    </row>
    <row r="103" ht="35.25" customHeight="1">
      <c r="A103" s="18"/>
      <c r="B103" s="639" t="s">
        <v>89</v>
      </c>
      <c r="C103" s="637"/>
      <c r="D103" s="18"/>
      <c r="E103" s="897" t="s">
        <v>856</v>
      </c>
      <c r="F103" s="507"/>
      <c r="G103" s="507"/>
      <c r="H103" s="507"/>
      <c r="I103" s="507"/>
      <c r="J103" s="507"/>
      <c r="K103" s="507"/>
      <c r="L103" s="507"/>
      <c r="M103" s="507"/>
      <c r="N103" s="507"/>
    </row>
    <row r="104" ht="35.25" customHeight="1">
      <c r="A104" s="18"/>
      <c r="B104" s="639" t="s">
        <v>220</v>
      </c>
      <c r="C104" s="637"/>
      <c r="D104" s="18"/>
      <c r="E104" s="556" t="s">
        <v>887</v>
      </c>
      <c r="F104" s="507"/>
      <c r="G104" s="507"/>
      <c r="H104" s="507"/>
      <c r="I104" s="507"/>
      <c r="J104" s="507"/>
      <c r="K104" s="507"/>
      <c r="L104" s="507"/>
      <c r="M104" s="507"/>
      <c r="N104" s="507"/>
    </row>
    <row r="105" ht="35.25" customHeight="1">
      <c r="A105" s="18"/>
      <c r="B105" s="636" t="s">
        <v>697</v>
      </c>
      <c r="C105" s="620"/>
      <c r="D105" s="18"/>
      <c r="E105" s="556"/>
      <c r="F105" s="507"/>
      <c r="G105" s="507"/>
      <c r="H105" s="507"/>
      <c r="I105" s="507"/>
      <c r="J105" s="507"/>
      <c r="K105" s="507"/>
      <c r="L105" s="507"/>
      <c r="M105" s="507"/>
      <c r="N105" s="507"/>
    </row>
    <row r="106" ht="35.25" customHeight="1">
      <c r="A106" s="18"/>
      <c r="B106" s="157"/>
      <c r="C106" s="637"/>
      <c r="D106" s="18"/>
      <c r="E106" s="556"/>
      <c r="F106" s="507"/>
      <c r="G106" s="507"/>
      <c r="H106" s="507">
        <f>400805000+1000000</f>
        <v>401805000</v>
      </c>
      <c r="I106" s="507"/>
      <c r="J106" s="507"/>
      <c r="K106" s="507"/>
      <c r="L106" s="507"/>
      <c r="M106" s="507"/>
      <c r="N106" s="507"/>
    </row>
    <row r="107" ht="35.25" customHeight="1">
      <c r="A107" s="618" t="s">
        <v>100</v>
      </c>
      <c r="B107" s="639" t="s">
        <v>1084</v>
      </c>
      <c r="C107" s="596" t="s">
        <v>691</v>
      </c>
      <c r="D107" s="618"/>
      <c r="E107" s="556" t="s">
        <v>890</v>
      </c>
      <c r="F107" s="507"/>
      <c r="G107" s="507"/>
      <c r="H107" s="507"/>
      <c r="I107" s="507"/>
      <c r="J107" s="507"/>
      <c r="K107" s="507"/>
      <c r="L107" s="507"/>
      <c r="M107" s="507"/>
      <c r="N107" s="507"/>
    </row>
    <row r="108" ht="35.25" customHeight="1">
      <c r="A108" s="18"/>
      <c r="B108" s="700" t="s">
        <v>1085</v>
      </c>
      <c r="C108" s="596">
        <v>1.819065E8</v>
      </c>
      <c r="D108" s="18"/>
      <c r="E108" s="507"/>
      <c r="F108" s="507"/>
      <c r="G108" s="507"/>
      <c r="H108" s="507"/>
      <c r="I108" s="507"/>
      <c r="J108" s="507"/>
      <c r="K108" s="507"/>
      <c r="L108" s="507"/>
      <c r="M108" s="507"/>
      <c r="N108" s="507"/>
    </row>
    <row r="109" ht="35.25" customHeight="1">
      <c r="A109" s="18"/>
      <c r="B109" s="596" t="s">
        <v>1086</v>
      </c>
      <c r="C109" s="596">
        <v>1.788004E8</v>
      </c>
      <c r="D109" s="18"/>
      <c r="E109" s="629"/>
      <c r="F109" s="740"/>
      <c r="G109" s="507"/>
      <c r="H109" s="507"/>
      <c r="I109" s="507"/>
      <c r="J109" s="507"/>
      <c r="K109" s="507"/>
      <c r="L109" s="507"/>
      <c r="M109" s="507"/>
      <c r="N109" s="507"/>
    </row>
    <row r="110" ht="35.25" customHeight="1">
      <c r="A110" s="18"/>
      <c r="B110" s="636" t="s">
        <v>1087</v>
      </c>
      <c r="C110" s="596">
        <v>2.02539E8</v>
      </c>
      <c r="D110" s="18"/>
      <c r="E110" s="507"/>
      <c r="F110" s="507"/>
      <c r="G110" s="507"/>
      <c r="H110" s="507"/>
      <c r="I110" s="507"/>
      <c r="J110" s="507"/>
      <c r="K110" s="507"/>
      <c r="L110" s="507"/>
      <c r="M110" s="507"/>
      <c r="N110" s="507"/>
    </row>
    <row r="111" ht="35.25" customHeight="1">
      <c r="A111" s="18"/>
      <c r="B111" s="596" t="s">
        <v>1088</v>
      </c>
      <c r="C111" s="596">
        <v>2.36563E8</v>
      </c>
      <c r="D111" s="18"/>
      <c r="E111" s="556"/>
      <c r="F111" s="507"/>
      <c r="G111" s="507"/>
      <c r="H111" s="507"/>
      <c r="I111" s="507"/>
      <c r="J111" s="507"/>
      <c r="K111" s="507"/>
      <c r="L111" s="507"/>
      <c r="M111" s="507"/>
      <c r="N111" s="507"/>
    </row>
    <row r="112" ht="35.25" customHeight="1">
      <c r="A112" s="18"/>
      <c r="B112" s="596" t="s">
        <v>1089</v>
      </c>
      <c r="C112" s="596">
        <v>2.311896E8</v>
      </c>
      <c r="D112" s="18"/>
      <c r="E112" s="556" t="s">
        <v>1090</v>
      </c>
      <c r="F112" s="507"/>
      <c r="G112" s="507"/>
      <c r="H112" s="507"/>
      <c r="I112" s="507"/>
      <c r="J112" s="507"/>
      <c r="K112" s="507"/>
      <c r="L112" s="507"/>
      <c r="M112" s="507"/>
      <c r="N112" s="507"/>
    </row>
    <row r="113" ht="35.25" customHeight="1">
      <c r="A113" s="18"/>
      <c r="B113" s="638" t="s">
        <v>99</v>
      </c>
      <c r="C113" s="638">
        <f>sum(C107:C112)</f>
        <v>1030998500</v>
      </c>
      <c r="D113" s="18"/>
      <c r="E113" s="556"/>
      <c r="F113" s="507"/>
      <c r="G113" s="507"/>
      <c r="H113" s="507"/>
      <c r="I113" s="507"/>
      <c r="J113" s="507"/>
      <c r="K113" s="507"/>
      <c r="L113" s="507"/>
      <c r="M113" s="507"/>
      <c r="N113" s="507"/>
    </row>
    <row r="114" ht="35.25" customHeight="1">
      <c r="A114" s="18"/>
      <c r="B114" s="596"/>
      <c r="C114" s="596"/>
      <c r="D114" s="18"/>
      <c r="E114" s="556"/>
      <c r="F114" s="507"/>
      <c r="G114" s="507"/>
      <c r="H114" s="507"/>
      <c r="I114" s="507"/>
      <c r="J114" s="507"/>
      <c r="K114" s="507"/>
      <c r="L114" s="507"/>
      <c r="M114" s="507"/>
      <c r="N114" s="507"/>
    </row>
    <row r="115" ht="35.25" customHeight="1">
      <c r="A115" s="18"/>
      <c r="B115" s="157"/>
      <c r="C115" s="157"/>
      <c r="D115" s="18"/>
      <c r="E115" s="897" t="s">
        <v>856</v>
      </c>
      <c r="F115" s="507"/>
      <c r="G115" s="507"/>
      <c r="H115" s="507"/>
      <c r="I115" s="507"/>
      <c r="J115" s="507"/>
      <c r="K115" s="507"/>
      <c r="L115" s="507"/>
      <c r="M115" s="507"/>
      <c r="N115" s="507"/>
    </row>
    <row r="116" ht="35.25" customHeight="1">
      <c r="A116" s="18"/>
      <c r="B116" s="157"/>
      <c r="C116" s="157"/>
      <c r="D116" s="18"/>
      <c r="E116" s="897"/>
      <c r="F116" s="507"/>
      <c r="G116" s="507"/>
      <c r="H116" s="507"/>
      <c r="I116" s="507"/>
      <c r="J116" s="507"/>
      <c r="K116" s="507"/>
      <c r="L116" s="507"/>
      <c r="M116" s="507"/>
      <c r="N116" s="507"/>
    </row>
    <row r="117" ht="35.25" customHeight="1">
      <c r="A117" s="618" t="s">
        <v>101</v>
      </c>
      <c r="B117" s="636" t="s">
        <v>72</v>
      </c>
      <c r="C117" s="637" t="s">
        <v>691</v>
      </c>
      <c r="D117" s="618">
        <f>sum(C117:C120)</f>
        <v>138404500</v>
      </c>
      <c r="E117" s="556"/>
      <c r="F117" s="507"/>
      <c r="G117" s="507"/>
      <c r="H117" s="507"/>
      <c r="I117" s="507"/>
      <c r="J117" s="507"/>
      <c r="K117" s="507"/>
      <c r="L117" s="507"/>
      <c r="M117" s="507"/>
      <c r="N117" s="507"/>
    </row>
    <row r="118" ht="35.25" customHeight="1">
      <c r="A118" s="18"/>
      <c r="B118" s="636" t="s">
        <v>88</v>
      </c>
      <c r="C118" s="637">
        <v>7.2385E7</v>
      </c>
      <c r="D118" s="18"/>
      <c r="E118" s="556"/>
      <c r="F118" s="507"/>
      <c r="G118" s="507"/>
      <c r="H118" s="507"/>
      <c r="I118" s="507"/>
      <c r="J118" s="507"/>
      <c r="K118" s="507"/>
      <c r="L118" s="507"/>
      <c r="M118" s="507"/>
      <c r="N118" s="507"/>
    </row>
    <row r="119" ht="35.25" customHeight="1">
      <c r="A119" s="18"/>
      <c r="B119" s="636" t="s">
        <v>219</v>
      </c>
      <c r="C119" s="637">
        <v>6.60195E7</v>
      </c>
      <c r="D119" s="18"/>
      <c r="E119" s="556" t="s">
        <v>894</v>
      </c>
      <c r="F119" s="507"/>
      <c r="G119" s="507"/>
      <c r="H119" s="904">
        <f>297419500-100000000-67792000</f>
        <v>129627500</v>
      </c>
      <c r="I119" s="507"/>
      <c r="J119" s="507"/>
      <c r="K119" s="507"/>
      <c r="L119" s="507"/>
      <c r="M119" s="507"/>
      <c r="N119" s="507"/>
    </row>
    <row r="120" ht="35.25" customHeight="1">
      <c r="A120" s="18"/>
      <c r="B120" s="639" t="s">
        <v>89</v>
      </c>
      <c r="C120" s="637"/>
      <c r="D120" s="18"/>
      <c r="F120" s="507"/>
      <c r="G120" s="507"/>
      <c r="H120" s="507"/>
      <c r="I120" s="507"/>
      <c r="J120" s="507"/>
      <c r="K120" s="507"/>
      <c r="L120" s="507"/>
      <c r="M120" s="507"/>
      <c r="N120" s="507"/>
    </row>
    <row r="121" ht="35.25" customHeight="1">
      <c r="A121" s="618" t="s">
        <v>107</v>
      </c>
      <c r="B121" s="698" t="s">
        <v>72</v>
      </c>
      <c r="C121" s="637">
        <f>69272100-42000000</f>
        <v>27272100</v>
      </c>
      <c r="D121" s="618">
        <f>SUM(C121:C125)</f>
        <v>115794700</v>
      </c>
      <c r="E121" s="507"/>
      <c r="F121" s="507"/>
      <c r="G121" s="507"/>
      <c r="H121" s="507"/>
      <c r="I121" s="507"/>
      <c r="J121" s="507"/>
      <c r="K121" s="507"/>
      <c r="L121" s="507"/>
      <c r="M121" s="507"/>
      <c r="N121" s="507"/>
    </row>
    <row r="122" ht="35.25" customHeight="1">
      <c r="A122" s="18"/>
      <c r="B122" s="593" t="s">
        <v>88</v>
      </c>
      <c r="C122" s="593">
        <v>4.1343E7</v>
      </c>
      <c r="D122" s="18"/>
      <c r="E122" s="556" t="s">
        <v>895</v>
      </c>
      <c r="F122" s="507"/>
      <c r="G122" s="507"/>
      <c r="H122" s="507"/>
      <c r="I122" s="507"/>
      <c r="J122" s="507"/>
      <c r="K122" s="507"/>
      <c r="L122" s="507"/>
      <c r="M122" s="507"/>
      <c r="N122" s="507"/>
    </row>
    <row r="123" ht="35.25" customHeight="1">
      <c r="A123" s="18"/>
      <c r="B123" s="639" t="s">
        <v>219</v>
      </c>
      <c r="C123" s="593">
        <v>4.71796E7</v>
      </c>
      <c r="D123" s="18"/>
      <c r="E123" s="556"/>
      <c r="F123" s="507"/>
      <c r="G123" s="507"/>
      <c r="H123" s="507"/>
      <c r="I123" s="507"/>
      <c r="J123" s="507"/>
      <c r="K123" s="507"/>
      <c r="L123" s="507"/>
      <c r="M123" s="507"/>
      <c r="N123" s="507"/>
    </row>
    <row r="124" ht="35.25" customHeight="1">
      <c r="A124" s="18"/>
      <c r="B124" s="698" t="s">
        <v>89</v>
      </c>
      <c r="C124" s="593"/>
      <c r="D124" s="18"/>
      <c r="E124" s="556"/>
      <c r="F124" s="507"/>
      <c r="G124" s="507"/>
      <c r="H124" s="507"/>
      <c r="I124" s="507"/>
      <c r="J124" s="507"/>
      <c r="K124" s="507"/>
      <c r="L124" s="507"/>
      <c r="M124" s="507"/>
      <c r="N124" s="507"/>
    </row>
    <row r="125" ht="35.25" customHeight="1">
      <c r="A125" s="18"/>
      <c r="B125" s="639" t="s">
        <v>220</v>
      </c>
      <c r="C125" s="738"/>
      <c r="D125" s="18"/>
      <c r="E125" s="897" t="s">
        <v>856</v>
      </c>
      <c r="F125" s="507"/>
      <c r="G125" s="507"/>
      <c r="H125" s="507"/>
      <c r="I125" s="507"/>
      <c r="J125" s="507"/>
      <c r="K125" s="507"/>
      <c r="L125" s="507"/>
      <c r="M125" s="507"/>
      <c r="N125" s="507"/>
    </row>
    <row r="126" ht="35.25" customHeight="1">
      <c r="A126" s="618" t="s">
        <v>108</v>
      </c>
      <c r="B126" s="639" t="s">
        <v>71</v>
      </c>
      <c r="C126" s="593" t="s">
        <v>691</v>
      </c>
      <c r="D126" s="618">
        <f>sum(C126:C131)</f>
        <v>226451800</v>
      </c>
      <c r="E126" s="556"/>
      <c r="F126" s="507"/>
      <c r="G126" s="507"/>
      <c r="H126" s="507"/>
      <c r="I126" s="507"/>
      <c r="J126" s="507"/>
      <c r="K126" s="507"/>
      <c r="L126" s="507"/>
      <c r="M126" s="507"/>
      <c r="N126" s="507"/>
    </row>
    <row r="127" ht="35.25" customHeight="1">
      <c r="A127" s="18"/>
      <c r="B127" s="639" t="s">
        <v>72</v>
      </c>
      <c r="C127" s="593">
        <v>1.437918E8</v>
      </c>
      <c r="D127" s="18"/>
      <c r="E127" s="556" t="s">
        <v>1091</v>
      </c>
      <c r="F127" s="507"/>
      <c r="G127" s="507"/>
      <c r="H127" s="507"/>
      <c r="I127" s="507"/>
      <c r="J127" s="507"/>
      <c r="K127" s="507"/>
      <c r="L127" s="507"/>
      <c r="M127" s="507"/>
      <c r="N127" s="507"/>
    </row>
    <row r="128" ht="35.25" customHeight="1">
      <c r="A128" s="18"/>
      <c r="B128" s="636" t="s">
        <v>88</v>
      </c>
      <c r="C128" s="593">
        <v>4.5255E7</v>
      </c>
      <c r="D128" s="18"/>
      <c r="E128" s="556"/>
      <c r="F128" s="507"/>
      <c r="G128" s="507"/>
      <c r="H128" s="556"/>
      <c r="I128" s="507"/>
      <c r="J128" s="507"/>
      <c r="K128" s="507"/>
      <c r="L128" s="507"/>
      <c r="M128" s="507"/>
      <c r="N128" s="507"/>
    </row>
    <row r="129" ht="35.25" customHeight="1">
      <c r="A129" s="18"/>
      <c r="B129" s="636" t="s">
        <v>219</v>
      </c>
      <c r="C129" s="593">
        <v>3.7405E7</v>
      </c>
      <c r="D129" s="18"/>
      <c r="E129" s="556"/>
      <c r="F129" s="507"/>
      <c r="G129" s="507"/>
      <c r="H129" s="507"/>
      <c r="I129" s="507"/>
      <c r="J129" s="507"/>
      <c r="K129" s="507"/>
      <c r="L129" s="507"/>
      <c r="M129" s="507"/>
      <c r="N129" s="507"/>
    </row>
    <row r="130" ht="35.25" customHeight="1">
      <c r="A130" s="18"/>
      <c r="B130" s="636" t="s">
        <v>89</v>
      </c>
      <c r="C130" s="593"/>
      <c r="D130" s="18"/>
      <c r="E130" s="897" t="s">
        <v>856</v>
      </c>
      <c r="F130" s="507"/>
      <c r="G130" s="507"/>
      <c r="H130" s="507"/>
      <c r="I130" s="507"/>
      <c r="J130" s="507"/>
      <c r="K130" s="507"/>
      <c r="L130" s="507"/>
      <c r="M130" s="507"/>
      <c r="N130" s="507"/>
    </row>
    <row r="131" ht="35.25" customHeight="1">
      <c r="A131" s="18"/>
      <c r="B131" s="636" t="s">
        <v>220</v>
      </c>
      <c r="C131" s="593"/>
      <c r="D131" s="18"/>
      <c r="E131" s="897"/>
      <c r="F131" s="507"/>
      <c r="G131" s="507"/>
      <c r="H131" s="507"/>
      <c r="I131" s="507"/>
      <c r="J131" s="507"/>
      <c r="K131" s="507"/>
      <c r="L131" s="507"/>
      <c r="M131" s="507"/>
      <c r="N131" s="507"/>
    </row>
    <row r="132" ht="35.25" customHeight="1">
      <c r="A132" s="618" t="s">
        <v>112</v>
      </c>
      <c r="B132" s="636" t="s">
        <v>72</v>
      </c>
      <c r="C132" s="593" t="s">
        <v>691</v>
      </c>
      <c r="D132" s="618">
        <f>SUM(C132:C136)</f>
        <v>130450000</v>
      </c>
      <c r="E132" s="556"/>
      <c r="F132" s="507"/>
      <c r="G132" s="507"/>
      <c r="H132" s="507"/>
      <c r="I132" s="507"/>
      <c r="J132" s="507"/>
      <c r="K132" s="507"/>
      <c r="L132" s="507"/>
      <c r="M132" s="507"/>
      <c r="N132" s="507"/>
    </row>
    <row r="133" ht="35.25" customHeight="1">
      <c r="A133" s="18"/>
      <c r="B133" s="636" t="s">
        <v>88</v>
      </c>
      <c r="C133" s="593">
        <v>6.58175E7</v>
      </c>
      <c r="D133" s="18"/>
      <c r="E133" s="556"/>
      <c r="F133" s="507"/>
      <c r="G133" s="507"/>
      <c r="H133" s="593"/>
      <c r="I133" s="507"/>
      <c r="J133" s="507"/>
      <c r="K133" s="507"/>
      <c r="L133" s="507"/>
      <c r="M133" s="507"/>
      <c r="N133" s="507"/>
    </row>
    <row r="134" ht="35.25" customHeight="1">
      <c r="A134" s="18"/>
      <c r="B134" s="636" t="s">
        <v>219</v>
      </c>
      <c r="C134" s="593">
        <v>6.46325E7</v>
      </c>
      <c r="D134" s="18"/>
      <c r="E134" s="556" t="s">
        <v>1092</v>
      </c>
      <c r="F134" s="507"/>
      <c r="G134" s="507"/>
      <c r="H134" s="507"/>
      <c r="I134" s="507"/>
      <c r="J134" s="507"/>
      <c r="K134" s="507"/>
      <c r="L134" s="507"/>
      <c r="M134" s="507"/>
      <c r="N134" s="507"/>
    </row>
    <row r="135" ht="35.25" customHeight="1">
      <c r="A135" s="18"/>
      <c r="B135" s="636" t="s">
        <v>89</v>
      </c>
      <c r="C135" s="593"/>
      <c r="D135" s="18"/>
      <c r="E135" s="556"/>
      <c r="F135" s="507"/>
      <c r="G135" s="507"/>
      <c r="H135" s="507"/>
      <c r="I135" s="507"/>
      <c r="J135" s="507"/>
      <c r="K135" s="507"/>
      <c r="L135" s="507"/>
      <c r="M135" s="507"/>
      <c r="N135" s="507"/>
    </row>
    <row r="136" ht="35.25" customHeight="1">
      <c r="A136" s="18"/>
      <c r="B136" s="636" t="s">
        <v>220</v>
      </c>
      <c r="C136" s="593"/>
      <c r="D136" s="18"/>
      <c r="E136" s="905" t="s">
        <v>1093</v>
      </c>
      <c r="F136" s="507"/>
      <c r="G136" s="507"/>
      <c r="H136" s="507"/>
      <c r="I136" s="507"/>
      <c r="J136" s="507"/>
      <c r="K136" s="507"/>
      <c r="L136" s="507"/>
      <c r="M136" s="507"/>
      <c r="N136" s="507"/>
    </row>
    <row r="137" ht="35.25" customHeight="1">
      <c r="A137" s="18"/>
      <c r="B137" s="157"/>
      <c r="C137" s="157"/>
      <c r="D137" s="18"/>
      <c r="E137" s="905"/>
      <c r="F137" s="507"/>
      <c r="G137" s="507"/>
      <c r="H137" s="507"/>
      <c r="I137" s="507"/>
      <c r="J137" s="507"/>
      <c r="K137" s="507"/>
      <c r="L137" s="507"/>
      <c r="M137" s="507"/>
      <c r="N137" s="507"/>
    </row>
    <row r="138" ht="35.25" customHeight="1">
      <c r="A138" s="18"/>
      <c r="B138" s="157"/>
      <c r="C138" s="157"/>
      <c r="D138" s="18"/>
      <c r="E138" s="905"/>
      <c r="F138" s="507"/>
      <c r="G138" s="507"/>
      <c r="H138" s="507"/>
      <c r="I138" s="507"/>
      <c r="J138" s="507"/>
      <c r="K138" s="507"/>
      <c r="L138" s="507"/>
      <c r="M138" s="507"/>
      <c r="N138" s="507"/>
    </row>
    <row r="139" ht="35.25" customHeight="1">
      <c r="A139" s="618" t="s">
        <v>115</v>
      </c>
      <c r="B139" s="639" t="s">
        <v>72</v>
      </c>
      <c r="C139" s="598" t="s">
        <v>691</v>
      </c>
      <c r="D139" s="618">
        <f>SUM(C139:C143)</f>
        <v>36014000</v>
      </c>
      <c r="E139" s="556"/>
      <c r="F139" s="507"/>
      <c r="G139" s="507"/>
      <c r="H139" s="507"/>
      <c r="I139" s="507"/>
      <c r="J139" s="507"/>
      <c r="K139" s="507"/>
      <c r="L139" s="507"/>
      <c r="M139" s="507"/>
      <c r="N139" s="507"/>
    </row>
    <row r="140" ht="35.25" customHeight="1">
      <c r="A140" s="18"/>
      <c r="B140" s="639" t="s">
        <v>88</v>
      </c>
      <c r="C140" s="598" t="s">
        <v>691</v>
      </c>
      <c r="D140" s="18"/>
      <c r="E140" s="556"/>
      <c r="F140" s="507"/>
      <c r="G140" s="507"/>
      <c r="H140" s="507"/>
      <c r="I140" s="507"/>
      <c r="J140" s="507"/>
      <c r="K140" s="507"/>
      <c r="L140" s="507"/>
      <c r="M140" s="507"/>
      <c r="N140" s="507"/>
    </row>
    <row r="141" ht="35.25" customHeight="1">
      <c r="A141" s="18"/>
      <c r="B141" s="698" t="s">
        <v>219</v>
      </c>
      <c r="C141" s="598">
        <v>3.6014E7</v>
      </c>
      <c r="D141" s="18"/>
      <c r="E141" s="556" t="s">
        <v>898</v>
      </c>
      <c r="F141" s="507"/>
      <c r="G141" s="507"/>
      <c r="H141" s="507"/>
      <c r="I141" s="507"/>
      <c r="J141" s="507"/>
      <c r="K141" s="507"/>
      <c r="L141" s="507"/>
      <c r="M141" s="507"/>
      <c r="N141" s="507"/>
    </row>
    <row r="142" ht="35.25" customHeight="1">
      <c r="A142" s="18"/>
      <c r="B142" s="639" t="s">
        <v>89</v>
      </c>
      <c r="C142" s="598"/>
      <c r="D142" s="18"/>
      <c r="E142" s="905"/>
      <c r="F142" s="507"/>
      <c r="G142" s="507"/>
      <c r="H142" s="507"/>
      <c r="I142" s="507"/>
      <c r="J142" s="507"/>
      <c r="K142" s="507"/>
      <c r="L142" s="507"/>
      <c r="M142" s="507"/>
      <c r="N142" s="507"/>
    </row>
    <row r="143" ht="35.25" customHeight="1">
      <c r="A143" s="18"/>
      <c r="B143" s="639" t="s">
        <v>220</v>
      </c>
      <c r="C143" s="738"/>
      <c r="D143" s="18"/>
      <c r="E143" s="905" t="s">
        <v>1093</v>
      </c>
      <c r="F143" s="507"/>
      <c r="G143" s="507"/>
      <c r="H143" s="507"/>
      <c r="I143" s="507"/>
      <c r="J143" s="507"/>
      <c r="K143" s="507"/>
      <c r="L143" s="507"/>
      <c r="M143" s="507"/>
      <c r="N143" s="507"/>
    </row>
    <row r="144" ht="35.25" customHeight="1">
      <c r="A144" s="18"/>
      <c r="B144" s="639"/>
      <c r="C144" s="598"/>
      <c r="D144" s="18"/>
      <c r="E144" s="905"/>
      <c r="F144" s="507"/>
      <c r="G144" s="507"/>
      <c r="H144" s="507"/>
      <c r="I144" s="507"/>
      <c r="J144" s="507"/>
      <c r="K144" s="507"/>
      <c r="L144" s="507"/>
      <c r="M144" s="507"/>
      <c r="N144" s="507"/>
    </row>
    <row r="145" ht="35.25" customHeight="1">
      <c r="A145" s="18"/>
      <c r="B145" s="639"/>
      <c r="C145" s="598"/>
      <c r="D145" s="18"/>
      <c r="E145" s="905"/>
      <c r="F145" s="507"/>
      <c r="G145" s="507"/>
      <c r="H145" s="507"/>
      <c r="I145" s="507"/>
      <c r="J145" s="507"/>
      <c r="K145" s="507"/>
      <c r="L145" s="507"/>
      <c r="M145" s="507"/>
      <c r="N145" s="507"/>
    </row>
    <row r="146" ht="35.25" customHeight="1">
      <c r="A146" s="18"/>
      <c r="B146" s="639"/>
      <c r="C146" s="598"/>
      <c r="D146" s="18"/>
      <c r="E146" s="905"/>
      <c r="F146" s="507"/>
      <c r="G146" s="507"/>
      <c r="H146" s="507"/>
      <c r="I146" s="507"/>
      <c r="J146" s="507"/>
      <c r="K146" s="507"/>
      <c r="L146" s="507"/>
      <c r="M146" s="507"/>
      <c r="N146" s="507"/>
    </row>
    <row r="147" ht="35.25" customHeight="1">
      <c r="A147" s="618" t="s">
        <v>116</v>
      </c>
      <c r="B147" s="636" t="s">
        <v>88</v>
      </c>
      <c r="C147" s="617" t="s">
        <v>691</v>
      </c>
      <c r="D147" s="618">
        <f>SUM(C147:C150)</f>
        <v>66226000</v>
      </c>
      <c r="E147" s="507"/>
      <c r="F147" s="507"/>
      <c r="G147" s="507"/>
      <c r="H147" s="507"/>
      <c r="I147" s="507"/>
      <c r="J147" s="507"/>
      <c r="K147" s="507"/>
      <c r="L147" s="507"/>
      <c r="M147" s="507"/>
      <c r="N147" s="507"/>
    </row>
    <row r="148" ht="35.25" customHeight="1">
      <c r="A148" s="18"/>
      <c r="B148" s="636" t="s">
        <v>219</v>
      </c>
      <c r="C148" s="617">
        <v>6.6226E7</v>
      </c>
      <c r="D148" s="18"/>
      <c r="E148" s="556"/>
      <c r="F148" s="507"/>
      <c r="G148" s="507"/>
      <c r="H148" s="507"/>
      <c r="I148" s="507"/>
      <c r="J148" s="507"/>
      <c r="K148" s="507"/>
      <c r="L148" s="507"/>
      <c r="M148" s="507"/>
      <c r="N148" s="507"/>
    </row>
    <row r="149" ht="35.25" customHeight="1">
      <c r="A149" s="18"/>
      <c r="B149" s="636" t="s">
        <v>89</v>
      </c>
      <c r="C149" s="617"/>
      <c r="D149" s="18"/>
      <c r="E149" s="556" t="s">
        <v>1094</v>
      </c>
      <c r="F149" s="507"/>
      <c r="G149" s="507"/>
      <c r="H149" s="507"/>
      <c r="I149" s="507"/>
      <c r="J149" s="507"/>
      <c r="K149" s="507"/>
      <c r="L149" s="507"/>
      <c r="M149" s="507"/>
      <c r="N149" s="507"/>
    </row>
    <row r="150" ht="35.25" customHeight="1">
      <c r="A150" s="18"/>
      <c r="B150" s="636" t="s">
        <v>220</v>
      </c>
      <c r="C150" s="169"/>
      <c r="D150" s="18"/>
      <c r="E150" s="507"/>
      <c r="F150" s="507"/>
      <c r="G150" s="507"/>
      <c r="H150" s="507"/>
      <c r="I150" s="507"/>
      <c r="J150" s="507"/>
      <c r="K150" s="507"/>
      <c r="L150" s="507"/>
      <c r="M150" s="507"/>
      <c r="N150" s="507"/>
    </row>
    <row r="151" ht="35.25" customHeight="1">
      <c r="A151" s="18"/>
      <c r="B151" s="636"/>
      <c r="C151" s="169"/>
      <c r="D151" s="18"/>
      <c r="E151" s="905" t="s">
        <v>1093</v>
      </c>
      <c r="F151" s="507"/>
      <c r="G151" s="507"/>
      <c r="H151" s="507"/>
      <c r="I151" s="507"/>
      <c r="J151" s="507"/>
      <c r="K151" s="507"/>
      <c r="L151" s="507"/>
      <c r="M151" s="507"/>
      <c r="N151" s="507"/>
    </row>
    <row r="152" ht="35.25" customHeight="1">
      <c r="A152" s="618" t="s">
        <v>117</v>
      </c>
      <c r="B152" s="639" t="s">
        <v>72</v>
      </c>
      <c r="C152" s="696">
        <v>3.02515E7</v>
      </c>
      <c r="D152" s="618">
        <f>SUM(C152:C155)</f>
        <v>69402000</v>
      </c>
      <c r="E152" s="507"/>
      <c r="F152" s="507"/>
      <c r="G152" s="507"/>
      <c r="H152" s="507"/>
      <c r="I152" s="507"/>
      <c r="J152" s="507"/>
      <c r="K152" s="507"/>
      <c r="L152" s="507"/>
      <c r="M152" s="507"/>
      <c r="N152" s="507"/>
    </row>
    <row r="153" ht="35.25" customHeight="1">
      <c r="A153" s="18"/>
      <c r="B153" s="636" t="s">
        <v>88</v>
      </c>
      <c r="C153" s="696">
        <v>2.2718E7</v>
      </c>
      <c r="D153" s="18"/>
      <c r="E153" s="669"/>
      <c r="F153" s="507"/>
      <c r="G153" s="507"/>
      <c r="H153" s="507"/>
      <c r="I153" s="507"/>
      <c r="J153" s="507"/>
      <c r="K153" s="507"/>
      <c r="L153" s="507"/>
      <c r="M153" s="507"/>
      <c r="N153" s="507"/>
    </row>
    <row r="154" ht="35.25" customHeight="1">
      <c r="A154" s="18"/>
      <c r="B154" s="639" t="s">
        <v>219</v>
      </c>
      <c r="C154" s="627">
        <v>1.64325E7</v>
      </c>
      <c r="D154" s="18"/>
      <c r="E154" s="556" t="s">
        <v>1095</v>
      </c>
      <c r="F154" s="507"/>
      <c r="G154" s="507"/>
      <c r="H154" s="507"/>
      <c r="I154" s="507"/>
      <c r="J154" s="507"/>
      <c r="K154" s="507"/>
      <c r="L154" s="507"/>
      <c r="M154" s="507"/>
      <c r="N154" s="507"/>
    </row>
    <row r="155" ht="35.25" customHeight="1">
      <c r="A155" s="18"/>
      <c r="B155" s="639" t="s">
        <v>89</v>
      </c>
      <c r="C155" s="598"/>
      <c r="D155" s="18"/>
      <c r="E155" s="556"/>
      <c r="F155" s="507"/>
      <c r="G155" s="507"/>
      <c r="H155" s="507"/>
      <c r="I155" s="507"/>
      <c r="J155" s="507"/>
      <c r="K155" s="507"/>
      <c r="L155" s="507"/>
      <c r="M155" s="507"/>
      <c r="N155" s="507"/>
    </row>
    <row r="156" ht="35.25" customHeight="1">
      <c r="A156" s="18"/>
      <c r="B156" s="700" t="s">
        <v>220</v>
      </c>
      <c r="C156" s="739"/>
      <c r="D156" s="18"/>
      <c r="E156" s="905" t="s">
        <v>1093</v>
      </c>
      <c r="F156" s="507"/>
      <c r="G156" s="507"/>
      <c r="H156" s="507"/>
      <c r="I156" s="507"/>
      <c r="J156" s="507"/>
      <c r="K156" s="507"/>
      <c r="L156" s="507"/>
      <c r="M156" s="507"/>
      <c r="N156" s="507"/>
    </row>
    <row r="157" ht="35.25" customHeight="1">
      <c r="A157" s="618" t="s">
        <v>118</v>
      </c>
      <c r="B157" s="639" t="s">
        <v>88</v>
      </c>
      <c r="C157" s="627">
        <v>8.84325E7</v>
      </c>
      <c r="D157" s="618">
        <f>sum(C157:C162)</f>
        <v>162994500</v>
      </c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</row>
    <row r="158" ht="35.25" customHeight="1">
      <c r="A158" s="18"/>
      <c r="B158" s="639" t="s">
        <v>219</v>
      </c>
      <c r="C158" s="627">
        <v>7.4562E7</v>
      </c>
      <c r="D158" s="18"/>
      <c r="E158" s="894">
        <v>7.96666346E8</v>
      </c>
      <c r="F158" s="507"/>
      <c r="G158" s="507"/>
      <c r="H158" s="507"/>
      <c r="I158" s="507"/>
      <c r="J158" s="507"/>
      <c r="K158" s="507"/>
      <c r="L158" s="507"/>
      <c r="M158" s="507"/>
      <c r="N158" s="507"/>
    </row>
    <row r="159" ht="35.25" customHeight="1">
      <c r="A159" s="18"/>
      <c r="B159" s="639" t="s">
        <v>89</v>
      </c>
      <c r="C159" s="627"/>
      <c r="D159" s="18"/>
      <c r="E159" s="556" t="s">
        <v>1096</v>
      </c>
      <c r="F159" s="507"/>
      <c r="G159" s="507"/>
      <c r="H159" s="507"/>
      <c r="I159" s="507"/>
      <c r="J159" s="507"/>
      <c r="K159" s="507"/>
      <c r="L159" s="507"/>
      <c r="M159" s="507"/>
      <c r="N159" s="507"/>
    </row>
    <row r="160" ht="35.25" customHeight="1">
      <c r="A160" s="18"/>
      <c r="B160" s="636" t="s">
        <v>220</v>
      </c>
      <c r="C160" s="627"/>
      <c r="D160" s="18"/>
      <c r="E160" s="556"/>
      <c r="F160" s="507"/>
      <c r="G160" s="507"/>
      <c r="H160" s="507"/>
      <c r="I160" s="507"/>
      <c r="J160" s="507"/>
      <c r="K160" s="507"/>
      <c r="L160" s="507"/>
      <c r="M160" s="507"/>
      <c r="N160" s="507"/>
    </row>
    <row r="161" ht="35.25" customHeight="1">
      <c r="A161" s="18"/>
      <c r="B161" s="157"/>
      <c r="C161" s="157"/>
      <c r="D161" s="18"/>
      <c r="E161" s="905" t="s">
        <v>1093</v>
      </c>
      <c r="F161" s="507"/>
      <c r="G161" s="507"/>
      <c r="H161" s="507"/>
      <c r="I161" s="507"/>
      <c r="J161" s="507"/>
      <c r="K161" s="507"/>
      <c r="L161" s="507"/>
      <c r="M161" s="507"/>
      <c r="N161" s="507"/>
    </row>
    <row r="162" ht="35.25" customHeight="1">
      <c r="A162" s="18"/>
      <c r="B162" s="738"/>
      <c r="C162" s="738"/>
      <c r="D162" s="18"/>
      <c r="E162" s="507"/>
      <c r="F162" s="507"/>
      <c r="G162" s="507"/>
      <c r="H162" s="507"/>
      <c r="I162" s="507"/>
      <c r="J162" s="507"/>
      <c r="K162" s="507"/>
      <c r="L162" s="507"/>
      <c r="M162" s="507"/>
      <c r="N162" s="507"/>
    </row>
    <row r="163" ht="35.25" customHeight="1">
      <c r="A163" s="618" t="s">
        <v>119</v>
      </c>
      <c r="B163" s="639" t="s">
        <v>88</v>
      </c>
      <c r="C163" s="627"/>
      <c r="D163" s="618">
        <f>SUM(C163:C165)</f>
        <v>0</v>
      </c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</row>
    <row r="164" ht="35.25" customHeight="1">
      <c r="A164" s="18"/>
      <c r="B164" s="636" t="s">
        <v>219</v>
      </c>
      <c r="C164" s="627"/>
      <c r="D164" s="18"/>
      <c r="E164" s="556"/>
      <c r="F164" s="507"/>
      <c r="G164" s="507"/>
      <c r="H164" s="507"/>
      <c r="I164" s="507"/>
      <c r="J164" s="507"/>
      <c r="K164" s="507"/>
      <c r="L164" s="507"/>
      <c r="M164" s="507"/>
      <c r="N164" s="507"/>
    </row>
    <row r="165" ht="35.25" customHeight="1">
      <c r="A165" s="18"/>
      <c r="B165" s="636" t="s">
        <v>89</v>
      </c>
      <c r="C165" s="627"/>
      <c r="D165" s="18"/>
      <c r="E165" s="556" t="s">
        <v>899</v>
      </c>
      <c r="F165" s="507"/>
      <c r="G165" s="507"/>
      <c r="H165" s="507"/>
      <c r="I165" s="507"/>
      <c r="J165" s="507"/>
      <c r="K165" s="507"/>
      <c r="L165" s="507"/>
      <c r="M165" s="507"/>
      <c r="N165" s="507"/>
    </row>
    <row r="166" ht="35.25" customHeight="1">
      <c r="A166" s="18"/>
      <c r="B166" s="639" t="s">
        <v>220</v>
      </c>
      <c r="C166" s="738"/>
      <c r="D166" s="18"/>
      <c r="E166" s="906" t="s">
        <v>837</v>
      </c>
      <c r="F166" s="507"/>
      <c r="G166" s="507"/>
      <c r="H166" s="507"/>
      <c r="I166" s="507"/>
      <c r="J166" s="507"/>
      <c r="K166" s="507"/>
      <c r="L166" s="507"/>
      <c r="M166" s="507"/>
      <c r="N166" s="507"/>
    </row>
    <row r="167" ht="35.25" customHeight="1">
      <c r="A167" s="18"/>
      <c r="B167" s="157"/>
      <c r="C167" s="157"/>
      <c r="D167" s="18"/>
      <c r="E167" s="556"/>
      <c r="F167" s="507"/>
      <c r="G167" s="507"/>
      <c r="H167" s="507"/>
      <c r="I167" s="507"/>
      <c r="J167" s="507"/>
      <c r="K167" s="507"/>
      <c r="L167" s="507"/>
      <c r="M167" s="507"/>
      <c r="N167" s="507"/>
    </row>
    <row r="168" ht="35.25" customHeight="1">
      <c r="A168" s="618" t="s">
        <v>120</v>
      </c>
      <c r="B168" s="636" t="s">
        <v>88</v>
      </c>
      <c r="C168" s="627" t="s">
        <v>691</v>
      </c>
      <c r="D168" s="618">
        <f>SUM(C168:C173)</f>
        <v>95865000</v>
      </c>
      <c r="E168" s="556"/>
      <c r="F168" s="507"/>
      <c r="G168" s="507"/>
      <c r="H168" s="507"/>
      <c r="I168" s="507"/>
      <c r="J168" s="507"/>
      <c r="K168" s="507"/>
      <c r="L168" s="507"/>
      <c r="M168" s="507"/>
      <c r="N168" s="507"/>
    </row>
    <row r="169" ht="35.25" customHeight="1">
      <c r="A169" s="18"/>
      <c r="B169" s="639" t="s">
        <v>219</v>
      </c>
      <c r="C169" s="627">
        <v>9.5865E7</v>
      </c>
      <c r="D169" s="18"/>
      <c r="E169" s="556"/>
      <c r="F169" s="507"/>
      <c r="G169" s="507"/>
      <c r="H169" s="507"/>
      <c r="I169" s="507"/>
      <c r="J169" s="507"/>
      <c r="K169" s="507"/>
      <c r="L169" s="507"/>
      <c r="M169" s="507"/>
      <c r="N169" s="507"/>
    </row>
    <row r="170" ht="35.25" customHeight="1">
      <c r="A170" s="18"/>
      <c r="B170" s="639" t="s">
        <v>89</v>
      </c>
      <c r="C170" s="627"/>
      <c r="D170" s="18"/>
      <c r="E170" s="906" t="s">
        <v>837</v>
      </c>
      <c r="F170" s="507"/>
      <c r="G170" s="507"/>
      <c r="H170" s="507"/>
      <c r="I170" s="507"/>
      <c r="J170" s="507"/>
      <c r="K170" s="507"/>
      <c r="L170" s="507"/>
      <c r="M170" s="507"/>
      <c r="N170" s="507"/>
    </row>
    <row r="171" ht="35.25" customHeight="1">
      <c r="A171" s="18"/>
      <c r="B171" s="636" t="s">
        <v>220</v>
      </c>
      <c r="C171" s="627"/>
      <c r="D171" s="18"/>
      <c r="E171" s="556" t="s">
        <v>1097</v>
      </c>
      <c r="F171" s="507"/>
      <c r="G171" s="507"/>
      <c r="H171" s="507"/>
      <c r="I171" s="507"/>
      <c r="J171" s="507"/>
      <c r="K171" s="507"/>
      <c r="L171" s="507"/>
      <c r="M171" s="507"/>
      <c r="N171" s="507"/>
    </row>
    <row r="172" ht="35.25" customHeight="1">
      <c r="A172" s="18"/>
      <c r="B172" s="157"/>
      <c r="C172" s="157"/>
      <c r="D172" s="18"/>
      <c r="E172" s="556"/>
      <c r="F172" s="507"/>
      <c r="G172" s="507"/>
      <c r="H172" s="507"/>
      <c r="I172" s="507"/>
      <c r="J172" s="507"/>
      <c r="K172" s="507"/>
      <c r="L172" s="507"/>
      <c r="M172" s="507"/>
      <c r="N172" s="507"/>
    </row>
    <row r="173" ht="35.25" customHeight="1">
      <c r="A173" s="18"/>
      <c r="B173" s="639"/>
      <c r="C173" s="627"/>
      <c r="D173" s="18"/>
      <c r="E173" s="556"/>
      <c r="F173" s="507"/>
      <c r="G173" s="507"/>
      <c r="H173" s="507"/>
      <c r="I173" s="507"/>
      <c r="J173" s="507"/>
      <c r="K173" s="507"/>
      <c r="L173" s="507"/>
      <c r="M173" s="507"/>
      <c r="N173" s="507"/>
    </row>
    <row r="174" ht="35.25" customHeight="1">
      <c r="A174" s="618" t="s">
        <v>121</v>
      </c>
      <c r="B174" s="639" t="s">
        <v>88</v>
      </c>
      <c r="C174" s="591">
        <v>6.158E7</v>
      </c>
      <c r="D174" s="618">
        <f>SUM(C174:C178)</f>
        <v>95987000</v>
      </c>
      <c r="E174" s="556">
        <v>1.35049E8</v>
      </c>
      <c r="F174" s="507"/>
      <c r="G174" s="507"/>
      <c r="H174" s="507"/>
      <c r="I174" s="507"/>
      <c r="J174" s="507"/>
      <c r="K174" s="507"/>
      <c r="L174" s="507"/>
      <c r="M174" s="507"/>
      <c r="N174" s="507"/>
    </row>
    <row r="175" ht="35.25" customHeight="1">
      <c r="A175" s="18"/>
      <c r="B175" s="639" t="s">
        <v>219</v>
      </c>
      <c r="C175" s="593">
        <v>3.4407E7</v>
      </c>
      <c r="D175" s="18"/>
      <c r="E175" s="556" t="s">
        <v>1098</v>
      </c>
      <c r="F175" s="507"/>
      <c r="G175" s="507"/>
      <c r="H175" s="507"/>
      <c r="I175" s="507"/>
      <c r="J175" s="507"/>
      <c r="K175" s="507"/>
      <c r="L175" s="507"/>
      <c r="M175" s="507"/>
      <c r="N175" s="507"/>
    </row>
    <row r="176" ht="35.25" customHeight="1">
      <c r="A176" s="18"/>
      <c r="B176" s="547" t="s">
        <v>89</v>
      </c>
      <c r="C176" s="593"/>
      <c r="D176" s="18"/>
      <c r="E176" s="556"/>
      <c r="F176" s="507"/>
      <c r="G176" s="507"/>
      <c r="H176" s="507"/>
      <c r="I176" s="507"/>
      <c r="J176" s="507"/>
      <c r="K176" s="507"/>
      <c r="L176" s="507"/>
      <c r="M176" s="507"/>
      <c r="N176" s="507"/>
    </row>
    <row r="177" ht="35.25" customHeight="1">
      <c r="A177" s="18"/>
      <c r="B177" s="636" t="s">
        <v>220</v>
      </c>
      <c r="C177" s="593"/>
      <c r="D177" s="18"/>
      <c r="E177" s="906" t="s">
        <v>837</v>
      </c>
      <c r="F177" s="507"/>
      <c r="G177" s="507"/>
      <c r="H177" s="507"/>
      <c r="I177" s="507"/>
      <c r="J177" s="507"/>
      <c r="K177" s="507"/>
      <c r="L177" s="507"/>
      <c r="M177" s="507"/>
      <c r="N177" s="507"/>
    </row>
    <row r="178" ht="35.25" customHeight="1">
      <c r="A178" s="18"/>
      <c r="B178" s="639" t="s">
        <v>697</v>
      </c>
      <c r="C178" s="593"/>
      <c r="D178" s="18"/>
      <c r="E178" s="507"/>
      <c r="F178" s="507"/>
      <c r="G178" s="507"/>
      <c r="H178" s="507"/>
      <c r="I178" s="507"/>
      <c r="J178" s="507"/>
      <c r="K178" s="507"/>
      <c r="L178" s="507"/>
      <c r="M178" s="507"/>
      <c r="N178" s="507"/>
    </row>
    <row r="179" ht="35.25" customHeight="1">
      <c r="A179" s="618" t="s">
        <v>122</v>
      </c>
      <c r="B179" s="636" t="s">
        <v>88</v>
      </c>
      <c r="C179" s="741">
        <v>8.6701E7</v>
      </c>
      <c r="D179" s="618">
        <f>SUM(C179:C184)</f>
        <v>133097500</v>
      </c>
      <c r="E179" s="556" t="s">
        <v>1099</v>
      </c>
      <c r="F179" s="507"/>
      <c r="G179" s="507"/>
      <c r="H179" s="507"/>
      <c r="I179" s="507"/>
      <c r="J179" s="507"/>
      <c r="K179" s="507"/>
      <c r="L179" s="507"/>
      <c r="M179" s="507"/>
      <c r="N179" s="507"/>
    </row>
    <row r="180" ht="42.0" customHeight="1">
      <c r="A180" s="18"/>
      <c r="B180" s="636" t="s">
        <v>219</v>
      </c>
      <c r="C180" s="627">
        <v>4.63965E7</v>
      </c>
      <c r="D180" s="18"/>
      <c r="E180" s="629" t="s">
        <v>901</v>
      </c>
      <c r="F180" s="507"/>
      <c r="G180" s="507"/>
      <c r="H180" s="556"/>
      <c r="I180" s="507"/>
      <c r="J180" s="507"/>
      <c r="K180" s="507"/>
      <c r="L180" s="507"/>
      <c r="M180" s="507"/>
      <c r="N180" s="507"/>
    </row>
    <row r="181" ht="45.75" customHeight="1">
      <c r="A181" s="18"/>
      <c r="B181" s="639" t="s">
        <v>89</v>
      </c>
      <c r="C181" s="645"/>
      <c r="D181" s="18"/>
      <c r="E181" s="906" t="s">
        <v>837</v>
      </c>
      <c r="F181" s="507"/>
      <c r="G181" s="507"/>
      <c r="H181" s="556"/>
      <c r="I181" s="507"/>
      <c r="J181" s="507"/>
      <c r="K181" s="507"/>
      <c r="L181" s="507"/>
      <c r="M181" s="507"/>
      <c r="N181" s="507"/>
    </row>
    <row r="182" ht="39.0" customHeight="1">
      <c r="A182" s="18"/>
      <c r="B182" s="639" t="s">
        <v>220</v>
      </c>
      <c r="C182" s="645"/>
      <c r="D182" s="18"/>
      <c r="E182" s="556" t="s">
        <v>690</v>
      </c>
      <c r="F182" s="507"/>
      <c r="G182" s="507"/>
      <c r="H182" s="556"/>
      <c r="I182" s="507"/>
      <c r="J182" s="507"/>
      <c r="K182" s="507"/>
      <c r="L182" s="507"/>
      <c r="M182" s="507"/>
      <c r="N182" s="507"/>
    </row>
    <row r="183" ht="35.25" customHeight="1">
      <c r="A183" s="18"/>
      <c r="B183" s="639" t="s">
        <v>697</v>
      </c>
      <c r="C183" s="645"/>
      <c r="D183" s="18"/>
      <c r="E183" s="556">
        <v>2.57522501E8</v>
      </c>
      <c r="F183" s="507"/>
      <c r="G183" s="507"/>
      <c r="H183" s="507"/>
      <c r="I183" s="507"/>
      <c r="J183" s="507"/>
      <c r="K183" s="507"/>
      <c r="L183" s="507"/>
      <c r="M183" s="507"/>
      <c r="N183" s="507"/>
    </row>
    <row r="184" ht="35.25" customHeight="1">
      <c r="A184" s="18"/>
      <c r="C184" s="645"/>
      <c r="D184" s="18"/>
      <c r="E184" s="556"/>
      <c r="F184" s="507"/>
      <c r="G184" s="507"/>
      <c r="H184" s="507"/>
      <c r="I184" s="507"/>
      <c r="J184" s="507"/>
      <c r="K184" s="507"/>
      <c r="L184" s="507"/>
      <c r="M184" s="507"/>
      <c r="N184" s="507"/>
    </row>
    <row r="185" ht="35.25" customHeight="1">
      <c r="A185" s="618" t="s">
        <v>123</v>
      </c>
      <c r="B185" s="639" t="s">
        <v>72</v>
      </c>
      <c r="C185" s="620">
        <f>62859000-17896000</f>
        <v>44963000</v>
      </c>
      <c r="D185" s="618">
        <f>SUM(C185:C189)</f>
        <v>98226000</v>
      </c>
      <c r="E185" s="701" t="s">
        <v>779</v>
      </c>
      <c r="F185" s="507"/>
      <c r="G185" s="507"/>
      <c r="H185" s="507"/>
      <c r="I185" s="507"/>
      <c r="J185" s="507"/>
      <c r="K185" s="507"/>
      <c r="L185" s="507"/>
      <c r="M185" s="507"/>
      <c r="N185" s="507"/>
    </row>
    <row r="186" ht="35.25" customHeight="1">
      <c r="A186" s="18"/>
      <c r="B186" s="639" t="s">
        <v>88</v>
      </c>
      <c r="C186" s="620">
        <v>2.426E7</v>
      </c>
      <c r="D186" s="18"/>
      <c r="E186" s="701"/>
      <c r="F186" s="507"/>
      <c r="G186" s="507"/>
      <c r="H186" s="507"/>
      <c r="I186" s="507"/>
      <c r="J186" s="507"/>
      <c r="K186" s="507"/>
      <c r="L186" s="507"/>
      <c r="M186" s="507"/>
      <c r="N186" s="507"/>
    </row>
    <row r="187" ht="35.25" customHeight="1">
      <c r="A187" s="18"/>
      <c r="B187" s="639" t="s">
        <v>219</v>
      </c>
      <c r="C187" s="620">
        <v>2.9003E7</v>
      </c>
      <c r="D187" s="18"/>
      <c r="E187" s="906" t="s">
        <v>837</v>
      </c>
      <c r="F187" s="507"/>
      <c r="G187" s="507"/>
      <c r="H187" s="507"/>
      <c r="I187" s="507"/>
      <c r="J187" s="507"/>
      <c r="K187" s="507"/>
      <c r="L187" s="507"/>
      <c r="M187" s="507"/>
      <c r="N187" s="507"/>
    </row>
    <row r="188" ht="35.25" customHeight="1">
      <c r="A188" s="18"/>
      <c r="B188" s="636" t="s">
        <v>89</v>
      </c>
      <c r="C188" s="620"/>
      <c r="D188" s="18"/>
      <c r="E188" s="629">
        <v>7.01085E7</v>
      </c>
      <c r="F188" s="507"/>
      <c r="G188" s="507"/>
      <c r="H188" s="556">
        <v>4.5822E7</v>
      </c>
      <c r="I188" s="507"/>
      <c r="J188" s="507"/>
      <c r="K188" s="507"/>
      <c r="L188" s="507"/>
      <c r="M188" s="507"/>
      <c r="N188" s="507"/>
    </row>
    <row r="189" ht="35.25" customHeight="1">
      <c r="A189" s="18"/>
      <c r="B189" s="636" t="s">
        <v>220</v>
      </c>
      <c r="C189" s="620"/>
      <c r="D189" s="18"/>
      <c r="E189" s="701" t="s">
        <v>995</v>
      </c>
      <c r="F189" s="507"/>
      <c r="G189" s="507"/>
      <c r="H189" s="507"/>
      <c r="I189" s="507"/>
      <c r="J189" s="507"/>
      <c r="K189" s="507"/>
      <c r="L189" s="507"/>
      <c r="M189" s="507"/>
      <c r="N189" s="507"/>
    </row>
    <row r="190" ht="35.25" customHeight="1">
      <c r="A190" s="618" t="s">
        <v>124</v>
      </c>
      <c r="B190" s="639" t="s">
        <v>71</v>
      </c>
      <c r="C190" s="622">
        <v>3.233203E8</v>
      </c>
      <c r="D190" s="618">
        <f>SUM(C190:C194)</f>
        <v>449814800</v>
      </c>
      <c r="E190" s="701" t="s">
        <v>1100</v>
      </c>
      <c r="F190" s="507"/>
      <c r="G190" s="507"/>
      <c r="H190" s="507"/>
      <c r="I190" s="507"/>
      <c r="J190" s="507"/>
      <c r="K190" s="507"/>
      <c r="L190" s="507"/>
      <c r="M190" s="507"/>
      <c r="N190" s="507"/>
    </row>
    <row r="191" ht="35.25" customHeight="1">
      <c r="A191" s="18"/>
      <c r="B191" s="636" t="s">
        <v>88</v>
      </c>
      <c r="C191" s="622">
        <v>6.763E7</v>
      </c>
      <c r="D191" s="18"/>
      <c r="E191" s="701" t="s">
        <v>1101</v>
      </c>
      <c r="F191" s="507"/>
      <c r="G191" s="507"/>
      <c r="H191" s="556"/>
      <c r="I191" s="507"/>
      <c r="J191" s="507"/>
      <c r="K191" s="507"/>
      <c r="L191" s="507"/>
      <c r="M191" s="507"/>
      <c r="N191" s="507"/>
    </row>
    <row r="192" ht="35.25" customHeight="1">
      <c r="A192" s="18"/>
      <c r="B192" s="636" t="s">
        <v>219</v>
      </c>
      <c r="C192" s="622">
        <v>5.88645E7</v>
      </c>
      <c r="D192" s="18"/>
      <c r="E192" s="701" t="s">
        <v>996</v>
      </c>
      <c r="F192" s="507"/>
      <c r="G192" s="507"/>
      <c r="H192" s="507"/>
      <c r="I192" s="507"/>
      <c r="J192" s="507"/>
      <c r="K192" s="507"/>
      <c r="L192" s="507"/>
      <c r="M192" s="507"/>
      <c r="N192" s="507"/>
    </row>
    <row r="193" ht="35.25" customHeight="1">
      <c r="A193" s="18"/>
      <c r="B193" s="639" t="s">
        <v>89</v>
      </c>
      <c r="C193" s="622"/>
      <c r="D193" s="18"/>
      <c r="E193" s="906" t="s">
        <v>837</v>
      </c>
      <c r="F193" s="507"/>
      <c r="G193" s="507"/>
      <c r="H193" s="507"/>
      <c r="I193" s="507"/>
      <c r="J193" s="507"/>
      <c r="K193" s="507"/>
      <c r="L193" s="507"/>
      <c r="M193" s="507"/>
      <c r="N193" s="507"/>
    </row>
    <row r="194" ht="35.25" customHeight="1">
      <c r="A194" s="18"/>
      <c r="B194" s="639" t="s">
        <v>220</v>
      </c>
      <c r="C194" s="622"/>
      <c r="D194" s="18"/>
      <c r="E194" s="701" t="s">
        <v>780</v>
      </c>
      <c r="F194" s="507"/>
      <c r="G194" s="507"/>
      <c r="H194" s="507"/>
      <c r="I194" s="507"/>
      <c r="J194" s="507"/>
      <c r="K194" s="507"/>
      <c r="L194" s="507"/>
      <c r="M194" s="507"/>
      <c r="N194" s="507"/>
    </row>
    <row r="195" ht="35.25" customHeight="1">
      <c r="A195" s="18"/>
      <c r="B195" s="157"/>
      <c r="C195" s="157"/>
      <c r="D195" s="18"/>
      <c r="E195" s="701"/>
      <c r="F195" s="507"/>
      <c r="G195" s="507"/>
      <c r="H195" s="556"/>
      <c r="I195" s="507"/>
      <c r="J195" s="507"/>
      <c r="K195" s="507"/>
      <c r="L195" s="507"/>
      <c r="M195" s="507"/>
      <c r="N195" s="507"/>
    </row>
    <row r="196" ht="35.25" customHeight="1">
      <c r="A196" s="18"/>
      <c r="B196" s="157"/>
      <c r="C196" s="157"/>
      <c r="D196" s="18"/>
      <c r="E196" s="701">
        <f>sum(C190:C193)</f>
        <v>449814800</v>
      </c>
      <c r="F196" s="507"/>
      <c r="G196" s="507"/>
      <c r="H196" s="507"/>
      <c r="I196" s="507"/>
      <c r="J196" s="507"/>
      <c r="K196" s="507"/>
      <c r="L196" s="507"/>
      <c r="M196" s="507"/>
      <c r="N196" s="507"/>
    </row>
    <row r="197" ht="35.25" hidden="1" customHeight="1">
      <c r="A197" s="907" t="s">
        <v>126</v>
      </c>
      <c r="B197" s="639"/>
      <c r="C197" s="598"/>
      <c r="D197" s="908">
        <f>SUM(C197:C200)</f>
        <v>0</v>
      </c>
      <c r="E197" s="701"/>
      <c r="F197" s="507"/>
      <c r="G197" s="507"/>
      <c r="H197" s="507"/>
      <c r="I197" s="507"/>
      <c r="J197" s="507"/>
      <c r="K197" s="507"/>
      <c r="L197" s="507"/>
      <c r="M197" s="507"/>
      <c r="N197" s="507"/>
    </row>
    <row r="198" ht="35.25" hidden="1" customHeight="1">
      <c r="A198" s="18"/>
      <c r="B198" s="547"/>
      <c r="C198" s="598"/>
      <c r="D198" s="18"/>
      <c r="E198" s="701"/>
      <c r="F198" s="507"/>
      <c r="G198" s="507"/>
      <c r="H198" s="507"/>
      <c r="I198" s="507"/>
      <c r="J198" s="507"/>
      <c r="K198" s="507"/>
      <c r="L198" s="507"/>
      <c r="M198" s="507"/>
      <c r="N198" s="507"/>
    </row>
    <row r="199" ht="35.25" hidden="1" customHeight="1">
      <c r="A199" s="18"/>
      <c r="B199" s="547"/>
      <c r="C199" s="598"/>
      <c r="D199" s="18"/>
      <c r="E199" s="906" t="s">
        <v>837</v>
      </c>
      <c r="F199" s="507"/>
      <c r="G199" s="507"/>
      <c r="H199" s="507"/>
      <c r="I199" s="507"/>
      <c r="J199" s="507"/>
      <c r="K199" s="507"/>
      <c r="L199" s="507"/>
      <c r="M199" s="507"/>
      <c r="N199" s="507"/>
    </row>
    <row r="200" ht="35.25" hidden="1" customHeight="1">
      <c r="A200" s="18"/>
      <c r="B200" s="547"/>
      <c r="C200" s="598"/>
      <c r="D200" s="18"/>
      <c r="E200" s="701" t="s">
        <v>902</v>
      </c>
      <c r="F200" s="507"/>
      <c r="G200" s="507"/>
      <c r="H200" s="507"/>
      <c r="I200" s="507"/>
      <c r="J200" s="507"/>
      <c r="K200" s="507"/>
      <c r="L200" s="507"/>
      <c r="M200" s="507"/>
      <c r="N200" s="507"/>
    </row>
    <row r="201" ht="35.25" hidden="1" customHeight="1">
      <c r="A201" s="908" t="s">
        <v>128</v>
      </c>
      <c r="B201" s="547" t="s">
        <v>222</v>
      </c>
      <c r="C201" s="622">
        <v>1.049155E8</v>
      </c>
      <c r="D201" s="908">
        <f>SUM(C201:C206)</f>
        <v>289170000</v>
      </c>
      <c r="E201" s="701"/>
      <c r="F201" s="507"/>
      <c r="G201" s="507"/>
      <c r="H201" s="507"/>
      <c r="I201" s="507"/>
      <c r="J201" s="507"/>
      <c r="K201" s="507"/>
      <c r="L201" s="507"/>
      <c r="M201" s="507"/>
      <c r="N201" s="507"/>
    </row>
    <row r="202" ht="35.25" hidden="1" customHeight="1">
      <c r="A202" s="18"/>
      <c r="B202" s="547" t="s">
        <v>88</v>
      </c>
      <c r="C202" s="622">
        <v>1.67215E7</v>
      </c>
      <c r="D202" s="18"/>
      <c r="E202" s="701"/>
      <c r="F202" s="507"/>
      <c r="G202" s="507"/>
      <c r="H202" s="507"/>
      <c r="I202" s="507"/>
      <c r="J202" s="507"/>
      <c r="K202" s="507"/>
      <c r="L202" s="507"/>
      <c r="M202" s="507"/>
      <c r="N202" s="507"/>
    </row>
    <row r="203" ht="35.25" hidden="1" customHeight="1">
      <c r="A203" s="18"/>
      <c r="B203" s="547" t="s">
        <v>244</v>
      </c>
      <c r="C203" s="598">
        <v>6.7398E7</v>
      </c>
      <c r="D203" s="18"/>
      <c r="E203" s="701"/>
      <c r="F203" s="507"/>
      <c r="G203" s="507"/>
      <c r="H203" s="507"/>
      <c r="I203" s="507"/>
      <c r="J203" s="507"/>
      <c r="K203" s="507"/>
      <c r="L203" s="507"/>
      <c r="M203" s="507"/>
      <c r="N203" s="507"/>
    </row>
    <row r="204" ht="35.25" hidden="1" customHeight="1">
      <c r="A204" s="18"/>
      <c r="B204" s="547" t="s">
        <v>239</v>
      </c>
      <c r="C204" s="622">
        <v>7.437E7</v>
      </c>
      <c r="D204" s="18"/>
      <c r="E204" s="701"/>
      <c r="F204" s="507"/>
      <c r="G204" s="507"/>
      <c r="H204" s="507"/>
      <c r="I204" s="507"/>
      <c r="J204" s="507"/>
      <c r="K204" s="507"/>
      <c r="L204" s="507"/>
      <c r="M204" s="507"/>
      <c r="N204" s="507"/>
    </row>
    <row r="205" ht="35.25" hidden="1" customHeight="1">
      <c r="A205" s="18"/>
      <c r="B205" s="547" t="s">
        <v>89</v>
      </c>
      <c r="C205" s="622">
        <v>2.5765E7</v>
      </c>
      <c r="D205" s="18"/>
      <c r="E205" s="909" t="s">
        <v>1040</v>
      </c>
      <c r="F205" s="507"/>
      <c r="G205" s="507"/>
      <c r="I205" s="507"/>
      <c r="J205" s="507"/>
      <c r="K205" s="507"/>
      <c r="L205" s="507"/>
      <c r="M205" s="507"/>
      <c r="N205" s="507"/>
    </row>
    <row r="206" ht="35.25" hidden="1" customHeight="1">
      <c r="A206" s="18"/>
      <c r="B206" s="547"/>
      <c r="C206" s="622"/>
      <c r="D206" s="18"/>
      <c r="E206" s="909"/>
      <c r="F206" s="507"/>
      <c r="G206" s="507"/>
      <c r="I206" s="507"/>
      <c r="J206" s="507"/>
      <c r="K206" s="507"/>
      <c r="L206" s="507"/>
      <c r="M206" s="507"/>
      <c r="N206" s="507"/>
    </row>
    <row r="207" ht="35.25" hidden="1" customHeight="1">
      <c r="A207" s="908" t="s">
        <v>129</v>
      </c>
      <c r="B207" s="639" t="s">
        <v>88</v>
      </c>
      <c r="C207" s="598">
        <v>7.0008E7</v>
      </c>
      <c r="D207" s="908">
        <f>SUM(C207:C211)</f>
        <v>277124000</v>
      </c>
      <c r="E207" s="701"/>
      <c r="F207" s="507"/>
      <c r="G207" s="507"/>
      <c r="H207" s="507"/>
      <c r="I207" s="507"/>
      <c r="J207" s="507"/>
      <c r="K207" s="507"/>
      <c r="L207" s="507"/>
      <c r="M207" s="507"/>
      <c r="N207" s="507"/>
    </row>
    <row r="208" ht="35.25" hidden="1" customHeight="1">
      <c r="A208" s="18"/>
      <c r="B208" s="639" t="s">
        <v>238</v>
      </c>
      <c r="C208" s="598">
        <v>1.11341E8</v>
      </c>
      <c r="D208" s="18"/>
      <c r="E208" s="701"/>
      <c r="F208" s="507"/>
      <c r="G208" s="507"/>
      <c r="H208" s="507"/>
      <c r="I208" s="507"/>
      <c r="J208" s="507"/>
      <c r="K208" s="507"/>
      <c r="L208" s="507"/>
      <c r="M208" s="507"/>
      <c r="N208" s="507"/>
    </row>
    <row r="209" ht="35.25" hidden="1" customHeight="1">
      <c r="A209" s="18"/>
      <c r="B209" s="639" t="s">
        <v>239</v>
      </c>
      <c r="C209" s="598">
        <v>8.5385E7</v>
      </c>
      <c r="D209" s="18"/>
      <c r="E209" s="909" t="s">
        <v>1040</v>
      </c>
      <c r="F209" s="507"/>
      <c r="G209" s="507"/>
      <c r="H209" s="507"/>
      <c r="I209" s="507"/>
      <c r="J209" s="507"/>
      <c r="K209" s="507"/>
      <c r="L209" s="507"/>
      <c r="M209" s="507"/>
      <c r="N209" s="507"/>
    </row>
    <row r="210" ht="35.25" hidden="1" customHeight="1">
      <c r="A210" s="18"/>
      <c r="B210" s="639" t="s">
        <v>219</v>
      </c>
      <c r="C210" s="598">
        <f>8710000+1680000</f>
        <v>10390000</v>
      </c>
      <c r="D210" s="18"/>
      <c r="E210" s="701"/>
      <c r="F210" s="507"/>
      <c r="G210" s="507"/>
      <c r="H210" s="507"/>
      <c r="I210" s="507"/>
      <c r="J210" s="507"/>
      <c r="K210" s="507"/>
      <c r="L210" s="507"/>
      <c r="M210" s="507"/>
      <c r="N210" s="507"/>
    </row>
    <row r="211" ht="35.25" hidden="1" customHeight="1">
      <c r="A211" s="18"/>
      <c r="B211" s="738"/>
      <c r="C211" s="598"/>
      <c r="D211" s="18"/>
      <c r="E211" s="701"/>
      <c r="F211" s="507"/>
      <c r="G211" s="507"/>
      <c r="H211" s="507"/>
      <c r="I211" s="507"/>
      <c r="J211" s="507"/>
      <c r="K211" s="507"/>
      <c r="L211" s="507"/>
      <c r="M211" s="507"/>
      <c r="N211" s="507"/>
    </row>
    <row r="212" ht="35.25" hidden="1" customHeight="1">
      <c r="A212" s="910" t="s">
        <v>131</v>
      </c>
      <c r="B212" s="698" t="s">
        <v>238</v>
      </c>
      <c r="C212" s="659">
        <v>8.57E7</v>
      </c>
      <c r="D212" s="911">
        <f>SUM(C212:C216)</f>
        <v>172880000</v>
      </c>
      <c r="E212" s="701"/>
      <c r="F212" s="507"/>
      <c r="G212" s="507"/>
      <c r="H212" s="507"/>
      <c r="I212" s="507"/>
      <c r="J212" s="507"/>
      <c r="K212" s="507"/>
      <c r="L212" s="507"/>
      <c r="M212" s="507"/>
      <c r="N212" s="507"/>
    </row>
    <row r="213" ht="35.25" hidden="1" customHeight="1">
      <c r="A213" s="18"/>
      <c r="B213" s="698" t="s">
        <v>88</v>
      </c>
      <c r="C213" s="659" t="s">
        <v>684</v>
      </c>
      <c r="D213" s="18"/>
      <c r="E213" s="701" t="s">
        <v>1102</v>
      </c>
      <c r="F213" s="507"/>
      <c r="G213" s="507"/>
      <c r="H213" s="507"/>
      <c r="I213" s="507"/>
      <c r="J213" s="507"/>
      <c r="K213" s="507"/>
      <c r="L213" s="507"/>
      <c r="M213" s="507"/>
      <c r="N213" s="507"/>
    </row>
    <row r="214" ht="35.25" hidden="1" customHeight="1">
      <c r="A214" s="18"/>
      <c r="B214" s="547" t="s">
        <v>239</v>
      </c>
      <c r="C214" s="659">
        <v>8.212E7</v>
      </c>
      <c r="D214" s="18"/>
      <c r="E214" s="701"/>
      <c r="F214" s="507"/>
      <c r="G214" s="507"/>
      <c r="H214" s="507"/>
      <c r="I214" s="507"/>
      <c r="J214" s="507"/>
      <c r="K214" s="507"/>
      <c r="L214" s="507"/>
      <c r="M214" s="507"/>
      <c r="N214" s="507"/>
    </row>
    <row r="215" ht="35.25" hidden="1" customHeight="1">
      <c r="A215" s="18"/>
      <c r="B215" s="636" t="s">
        <v>219</v>
      </c>
      <c r="C215" s="659">
        <v>5060000.0</v>
      </c>
      <c r="D215" s="18"/>
      <c r="E215" s="909" t="s">
        <v>1040</v>
      </c>
      <c r="F215" s="507"/>
      <c r="G215" s="507"/>
      <c r="H215" s="507"/>
      <c r="I215" s="507"/>
      <c r="J215" s="507"/>
      <c r="K215" s="507"/>
      <c r="L215" s="507"/>
      <c r="M215" s="507"/>
      <c r="N215" s="507"/>
    </row>
    <row r="216" ht="35.25" hidden="1" customHeight="1">
      <c r="A216" s="22"/>
      <c r="B216" s="898"/>
      <c r="C216" s="898"/>
      <c r="D216" s="18"/>
      <c r="E216" s="701" t="s">
        <v>782</v>
      </c>
      <c r="F216" s="507"/>
      <c r="G216" s="507"/>
      <c r="H216" s="507"/>
      <c r="I216" s="507"/>
      <c r="J216" s="507"/>
      <c r="K216" s="507"/>
      <c r="L216" s="507"/>
      <c r="M216" s="507"/>
      <c r="N216" s="507"/>
    </row>
    <row r="217" ht="35.25" hidden="1" customHeight="1">
      <c r="A217" s="910" t="s">
        <v>130</v>
      </c>
      <c r="B217" s="743" t="s">
        <v>238</v>
      </c>
      <c r="C217" s="659">
        <f>62950000-32500000</f>
        <v>30450000</v>
      </c>
      <c r="D217" s="908">
        <f>SUM(C217:C221)</f>
        <v>176485500</v>
      </c>
      <c r="E217" s="701"/>
      <c r="F217" s="507"/>
      <c r="G217" s="507"/>
      <c r="H217" s="507"/>
      <c r="I217" s="507"/>
      <c r="J217" s="507"/>
      <c r="K217" s="507"/>
      <c r="L217" s="507"/>
      <c r="M217" s="507"/>
      <c r="N217" s="507"/>
    </row>
    <row r="218" ht="35.25" hidden="1" customHeight="1">
      <c r="A218" s="18"/>
      <c r="B218" s="547" t="s">
        <v>88</v>
      </c>
      <c r="C218" s="659">
        <v>4.4012E7</v>
      </c>
      <c r="D218" s="18"/>
      <c r="E218" s="701"/>
      <c r="F218" s="507"/>
      <c r="G218" s="507"/>
      <c r="H218" s="507"/>
      <c r="I218" s="507"/>
      <c r="J218" s="507"/>
      <c r="K218" s="507"/>
      <c r="L218" s="507"/>
      <c r="M218" s="507"/>
      <c r="N218" s="507"/>
    </row>
    <row r="219" ht="35.25" hidden="1" customHeight="1">
      <c r="A219" s="18"/>
      <c r="B219" s="639" t="s">
        <v>219</v>
      </c>
      <c r="C219" s="659">
        <v>4746000.0</v>
      </c>
      <c r="D219" s="18"/>
      <c r="E219" s="701" t="s">
        <v>997</v>
      </c>
      <c r="F219" s="507"/>
      <c r="G219" s="507"/>
      <c r="H219" s="507"/>
      <c r="I219" s="507"/>
      <c r="J219" s="507"/>
      <c r="K219" s="507"/>
      <c r="L219" s="507"/>
      <c r="M219" s="507"/>
      <c r="N219" s="507"/>
    </row>
    <row r="220" ht="35.25" hidden="1" customHeight="1">
      <c r="A220" s="18"/>
      <c r="B220" s="639" t="s">
        <v>239</v>
      </c>
      <c r="C220" s="659">
        <v>7.81375E7</v>
      </c>
      <c r="D220" s="18"/>
      <c r="E220" s="909" t="s">
        <v>1040</v>
      </c>
      <c r="F220" s="507"/>
      <c r="G220" s="507"/>
      <c r="H220" s="507"/>
      <c r="I220" s="507"/>
      <c r="J220" s="507"/>
      <c r="K220" s="507"/>
      <c r="L220" s="507"/>
      <c r="M220" s="507"/>
      <c r="N220" s="507"/>
    </row>
    <row r="221" ht="35.25" hidden="1" customHeight="1">
      <c r="A221" s="22"/>
      <c r="B221" s="639" t="s">
        <v>89</v>
      </c>
      <c r="C221" s="659">
        <v>1.914E7</v>
      </c>
      <c r="D221" s="18"/>
      <c r="E221" s="701" t="s">
        <v>783</v>
      </c>
      <c r="F221" s="507"/>
      <c r="G221" s="507"/>
      <c r="H221" s="507"/>
      <c r="I221" s="507"/>
      <c r="J221" s="507"/>
      <c r="K221" s="507"/>
      <c r="L221" s="507"/>
      <c r="M221" s="507"/>
      <c r="N221" s="507"/>
    </row>
    <row r="222" ht="35.25" hidden="1" customHeight="1">
      <c r="A222" s="910" t="s">
        <v>138</v>
      </c>
      <c r="B222" s="547" t="s">
        <v>228</v>
      </c>
      <c r="C222" s="656">
        <f>161855500-100000000-27529000</f>
        <v>34326500</v>
      </c>
      <c r="D222" s="911">
        <f>sum(C222:C227)</f>
        <v>215240000</v>
      </c>
      <c r="E222" s="701"/>
      <c r="F222" s="507"/>
      <c r="G222" s="507"/>
      <c r="H222" s="507"/>
      <c r="I222" s="507"/>
      <c r="J222" s="507"/>
      <c r="K222" s="507"/>
      <c r="L222" s="507"/>
      <c r="M222" s="507"/>
      <c r="N222" s="507"/>
    </row>
    <row r="223" ht="35.25" hidden="1" customHeight="1">
      <c r="A223" s="18"/>
      <c r="B223" s="547" t="s">
        <v>222</v>
      </c>
      <c r="C223" s="656">
        <v>6.66965E7</v>
      </c>
      <c r="D223" s="18"/>
      <c r="E223" s="701">
        <f>211855500-50000000</f>
        <v>161855500</v>
      </c>
      <c r="F223" s="507"/>
      <c r="G223" s="507"/>
      <c r="H223" s="507"/>
      <c r="I223" s="507"/>
      <c r="J223" s="507"/>
      <c r="K223" s="507"/>
      <c r="L223" s="507"/>
      <c r="M223" s="507"/>
      <c r="N223" s="507"/>
    </row>
    <row r="224" ht="35.25" hidden="1" customHeight="1">
      <c r="A224" s="18"/>
      <c r="B224" s="547" t="s">
        <v>88</v>
      </c>
      <c r="C224" s="656">
        <v>2.12365E7</v>
      </c>
      <c r="D224" s="18"/>
      <c r="E224" s="701"/>
      <c r="F224" s="507"/>
      <c r="G224" s="507"/>
      <c r="H224" s="507"/>
      <c r="I224" s="507"/>
      <c r="J224" s="507"/>
      <c r="K224" s="507"/>
      <c r="L224" s="507"/>
      <c r="M224" s="507"/>
      <c r="N224" s="507"/>
    </row>
    <row r="225" ht="35.25" hidden="1" customHeight="1">
      <c r="A225" s="18"/>
      <c r="B225" s="547" t="s">
        <v>238</v>
      </c>
      <c r="C225" s="656">
        <v>5.943E7</v>
      </c>
      <c r="D225" s="18"/>
      <c r="E225" s="701"/>
      <c r="F225" s="507"/>
      <c r="G225" s="507"/>
      <c r="H225" s="507"/>
      <c r="I225" s="507"/>
      <c r="J225" s="507"/>
      <c r="K225" s="507"/>
      <c r="L225" s="507"/>
      <c r="M225" s="507"/>
      <c r="N225" s="507"/>
    </row>
    <row r="226" ht="35.25" hidden="1" customHeight="1">
      <c r="A226" s="18"/>
      <c r="B226" s="639" t="s">
        <v>239</v>
      </c>
      <c r="C226" s="659">
        <v>3.35505E7</v>
      </c>
      <c r="D226" s="18"/>
      <c r="E226" s="701"/>
      <c r="F226" s="507"/>
      <c r="G226" s="507"/>
      <c r="H226" s="507"/>
      <c r="I226" s="507"/>
      <c r="J226" s="507"/>
      <c r="K226" s="507"/>
      <c r="L226" s="507"/>
      <c r="M226" s="507"/>
      <c r="N226" s="507"/>
    </row>
    <row r="227" ht="35.25" hidden="1" customHeight="1">
      <c r="A227" s="22"/>
      <c r="B227" s="639"/>
      <c r="C227" s="659"/>
      <c r="D227" s="18"/>
      <c r="E227" s="909" t="s">
        <v>1040</v>
      </c>
      <c r="F227" s="507"/>
      <c r="G227" s="507"/>
      <c r="H227" s="507"/>
      <c r="I227" s="507"/>
      <c r="J227" s="507"/>
      <c r="K227" s="507"/>
      <c r="L227" s="507"/>
      <c r="M227" s="507"/>
      <c r="N227" s="507"/>
    </row>
    <row r="228" ht="35.25" hidden="1" customHeight="1">
      <c r="A228" s="910" t="s">
        <v>139</v>
      </c>
      <c r="B228" s="912"/>
      <c r="C228" s="598"/>
      <c r="D228" s="908">
        <f>SUM(C228:C233)</f>
        <v>0</v>
      </c>
      <c r="E228" s="701"/>
      <c r="F228" s="507"/>
      <c r="G228" s="507"/>
      <c r="H228" s="507"/>
      <c r="I228" s="507"/>
      <c r="J228" s="507"/>
      <c r="K228" s="507"/>
      <c r="L228" s="507"/>
      <c r="M228" s="507"/>
      <c r="N228" s="507"/>
    </row>
    <row r="229" ht="35.25" hidden="1" customHeight="1">
      <c r="A229" s="18"/>
      <c r="B229" s="674"/>
      <c r="C229" s="598"/>
      <c r="D229" s="18"/>
      <c r="E229" s="701" t="s">
        <v>342</v>
      </c>
      <c r="F229" s="507"/>
      <c r="G229" s="507"/>
      <c r="H229" s="507"/>
      <c r="I229" s="507"/>
      <c r="J229" s="507"/>
      <c r="K229" s="507"/>
      <c r="L229" s="507"/>
      <c r="M229" s="507"/>
      <c r="N229" s="507"/>
    </row>
    <row r="230" ht="35.25" hidden="1" customHeight="1">
      <c r="A230" s="18"/>
      <c r="B230" s="912"/>
      <c r="C230" s="598"/>
      <c r="D230" s="18"/>
      <c r="E230" s="701"/>
      <c r="F230" s="507"/>
      <c r="G230" s="507"/>
      <c r="H230" s="507"/>
      <c r="I230" s="507"/>
      <c r="J230" s="507"/>
      <c r="K230" s="507"/>
      <c r="L230" s="507"/>
      <c r="M230" s="507"/>
      <c r="N230" s="507"/>
    </row>
    <row r="231" ht="35.25" hidden="1" customHeight="1">
      <c r="A231" s="18"/>
      <c r="B231" s="913"/>
      <c r="C231" s="598"/>
      <c r="D231" s="18"/>
      <c r="E231" s="701"/>
      <c r="F231" s="507"/>
      <c r="G231" s="507"/>
      <c r="H231" s="507"/>
      <c r="I231" s="507"/>
      <c r="J231" s="507"/>
      <c r="K231" s="507"/>
      <c r="L231" s="507"/>
      <c r="M231" s="507"/>
      <c r="N231" s="507"/>
    </row>
    <row r="232" ht="35.25" hidden="1" customHeight="1">
      <c r="A232" s="18"/>
      <c r="B232" s="674"/>
      <c r="C232" s="598"/>
      <c r="D232" s="18"/>
      <c r="E232" s="701" t="s">
        <v>786</v>
      </c>
      <c r="F232" s="507"/>
      <c r="G232" s="507"/>
      <c r="H232" s="507"/>
      <c r="I232" s="507"/>
      <c r="J232" s="507"/>
      <c r="K232" s="507"/>
      <c r="L232" s="507"/>
      <c r="M232" s="507"/>
      <c r="N232" s="507"/>
    </row>
    <row r="233" ht="35.25" hidden="1" customHeight="1">
      <c r="A233" s="22"/>
      <c r="B233" s="710"/>
      <c r="C233" s="598"/>
      <c r="D233" s="22"/>
      <c r="E233" s="909" t="s">
        <v>1040</v>
      </c>
      <c r="F233" s="507"/>
      <c r="G233" s="507"/>
      <c r="H233" s="507"/>
      <c r="I233" s="507"/>
      <c r="J233" s="507"/>
      <c r="K233" s="507"/>
      <c r="L233" s="507"/>
      <c r="M233" s="507"/>
      <c r="N233" s="507"/>
    </row>
    <row r="234" ht="35.25" hidden="1" customHeight="1">
      <c r="A234" s="914" t="s">
        <v>140</v>
      </c>
      <c r="B234" s="547" t="s">
        <v>1103</v>
      </c>
      <c r="C234" s="656" t="s">
        <v>684</v>
      </c>
      <c r="D234" s="911">
        <f>sum(C234:C239)</f>
        <v>88242500</v>
      </c>
      <c r="E234" s="701"/>
      <c r="F234" s="507"/>
      <c r="G234" s="507"/>
      <c r="H234" s="507"/>
      <c r="I234" s="507"/>
      <c r="J234" s="507"/>
      <c r="K234" s="507"/>
      <c r="L234" s="507"/>
      <c r="M234" s="507"/>
      <c r="N234" s="507"/>
    </row>
    <row r="235" ht="35.25" hidden="1" customHeight="1">
      <c r="A235" s="18"/>
      <c r="B235" s="547" t="s">
        <v>88</v>
      </c>
      <c r="C235" s="656">
        <v>4.2805E7</v>
      </c>
      <c r="D235" s="18"/>
      <c r="E235" s="701"/>
      <c r="F235" s="507"/>
      <c r="G235" s="507"/>
      <c r="H235" s="507"/>
      <c r="I235" s="507"/>
      <c r="J235" s="507"/>
      <c r="K235" s="507"/>
      <c r="L235" s="507"/>
      <c r="M235" s="507"/>
      <c r="N235" s="507"/>
    </row>
    <row r="236" ht="35.25" hidden="1" customHeight="1">
      <c r="A236" s="18"/>
      <c r="B236" s="547" t="s">
        <v>238</v>
      </c>
      <c r="C236" s="656">
        <v>1.1644E7</v>
      </c>
      <c r="D236" s="18"/>
      <c r="E236" s="701"/>
      <c r="F236" s="507"/>
      <c r="G236" s="507"/>
      <c r="H236" s="507"/>
      <c r="I236" s="507"/>
      <c r="J236" s="507"/>
      <c r="K236" s="507"/>
      <c r="L236" s="507"/>
      <c r="M236" s="507"/>
      <c r="N236" s="507"/>
    </row>
    <row r="237" ht="35.25" hidden="1" customHeight="1">
      <c r="A237" s="18"/>
      <c r="B237" s="547" t="s">
        <v>239</v>
      </c>
      <c r="C237" s="656">
        <v>3.37935E7</v>
      </c>
      <c r="D237" s="18"/>
      <c r="E237" s="701"/>
      <c r="F237" s="507"/>
      <c r="G237" s="507"/>
      <c r="H237" s="507"/>
      <c r="I237" s="507"/>
      <c r="J237" s="507"/>
      <c r="K237" s="507"/>
      <c r="L237" s="507"/>
      <c r="M237" s="507"/>
      <c r="N237" s="507"/>
    </row>
    <row r="238" ht="35.25" hidden="1" customHeight="1">
      <c r="A238" s="18"/>
      <c r="B238" s="547"/>
      <c r="C238" s="656"/>
      <c r="D238" s="18"/>
      <c r="E238" s="701"/>
      <c r="F238" s="507"/>
      <c r="G238" s="507"/>
      <c r="H238" s="507"/>
      <c r="I238" s="507"/>
      <c r="J238" s="507"/>
      <c r="K238" s="507"/>
      <c r="L238" s="507"/>
      <c r="M238" s="507"/>
      <c r="N238" s="507"/>
    </row>
    <row r="239" ht="35.25" hidden="1" customHeight="1">
      <c r="A239" s="22"/>
      <c r="B239" s="547"/>
      <c r="C239" s="656"/>
      <c r="D239" s="22"/>
      <c r="E239" s="909" t="s">
        <v>1040</v>
      </c>
      <c r="F239" s="507"/>
      <c r="G239" s="507"/>
      <c r="H239" s="507"/>
      <c r="I239" s="507"/>
      <c r="J239" s="507"/>
      <c r="K239" s="507"/>
      <c r="L239" s="507"/>
      <c r="M239" s="507"/>
      <c r="N239" s="507"/>
    </row>
    <row r="240" ht="35.25" hidden="1" customHeight="1">
      <c r="A240" s="723" t="s">
        <v>141</v>
      </c>
      <c r="B240" s="547" t="s">
        <v>10</v>
      </c>
      <c r="C240" s="622" t="s">
        <v>684</v>
      </c>
      <c r="D240" s="722">
        <f>SUM(C240:C244)</f>
        <v>94694000</v>
      </c>
      <c r="E240" s="701"/>
      <c r="F240" s="507"/>
      <c r="G240" s="507"/>
      <c r="H240" s="507"/>
      <c r="I240" s="507"/>
      <c r="J240" s="507"/>
      <c r="K240" s="507"/>
      <c r="L240" s="507"/>
      <c r="M240" s="507"/>
      <c r="N240" s="507"/>
    </row>
    <row r="241" ht="35.25" hidden="1" customHeight="1">
      <c r="A241" s="18"/>
      <c r="B241" s="547" t="s">
        <v>1104</v>
      </c>
      <c r="C241" s="622" t="s">
        <v>684</v>
      </c>
      <c r="D241" s="18"/>
      <c r="E241" s="701"/>
      <c r="F241" s="507"/>
      <c r="G241" s="507"/>
      <c r="H241" s="507"/>
      <c r="I241" s="507"/>
      <c r="J241" s="507"/>
      <c r="K241" s="507"/>
      <c r="L241" s="507"/>
      <c r="M241" s="507"/>
      <c r="N241" s="507"/>
    </row>
    <row r="242" ht="35.25" hidden="1" customHeight="1">
      <c r="A242" s="18"/>
      <c r="B242" s="547" t="s">
        <v>89</v>
      </c>
      <c r="C242" s="622" t="s">
        <v>684</v>
      </c>
      <c r="D242" s="18"/>
      <c r="E242" s="701"/>
      <c r="F242" s="507"/>
      <c r="G242" s="507"/>
      <c r="H242" s="556" t="s">
        <v>1105</v>
      </c>
      <c r="I242" s="507">
        <f>35*30000</f>
        <v>1050000</v>
      </c>
      <c r="J242" s="507"/>
      <c r="K242" s="507"/>
      <c r="L242" s="507"/>
      <c r="M242" s="507"/>
      <c r="N242" s="507"/>
    </row>
    <row r="243" ht="35.25" hidden="1" customHeight="1">
      <c r="A243" s="18"/>
      <c r="B243" s="547" t="s">
        <v>220</v>
      </c>
      <c r="C243" s="622">
        <v>4.7176E7</v>
      </c>
      <c r="D243" s="18"/>
      <c r="E243" s="556"/>
      <c r="F243" s="507"/>
      <c r="G243" s="507"/>
      <c r="H243" s="507"/>
      <c r="I243" s="507"/>
      <c r="J243" s="507"/>
      <c r="K243" s="507"/>
      <c r="L243" s="507"/>
      <c r="M243" s="507"/>
      <c r="N243" s="507"/>
    </row>
    <row r="244" ht="35.25" hidden="1" customHeight="1">
      <c r="A244" s="18"/>
      <c r="B244" s="547" t="s">
        <v>697</v>
      </c>
      <c r="C244" s="622">
        <v>4.7518E7</v>
      </c>
      <c r="D244" s="18"/>
      <c r="E244" s="556"/>
      <c r="F244" s="507"/>
      <c r="G244" s="507"/>
      <c r="H244" s="507"/>
      <c r="I244" s="507"/>
      <c r="J244" s="507"/>
      <c r="K244" s="507"/>
      <c r="L244" s="507"/>
      <c r="M244" s="507"/>
      <c r="N244" s="507"/>
    </row>
    <row r="245" ht="35.25" hidden="1" customHeight="1">
      <c r="A245" s="723" t="s">
        <v>253</v>
      </c>
      <c r="B245" s="547" t="s">
        <v>81</v>
      </c>
      <c r="C245" s="622" t="s">
        <v>684</v>
      </c>
      <c r="D245" s="722">
        <f>SUM(C245:C252)</f>
        <v>814664000</v>
      </c>
      <c r="E245" s="701"/>
      <c r="F245" s="507"/>
      <c r="G245" s="507"/>
      <c r="H245" s="507"/>
      <c r="I245" s="507"/>
      <c r="J245" s="507"/>
      <c r="K245" s="507"/>
      <c r="L245" s="507"/>
      <c r="M245" s="507"/>
      <c r="N245" s="507"/>
    </row>
    <row r="246" ht="35.25" hidden="1" customHeight="1">
      <c r="A246" s="18"/>
      <c r="B246" s="547" t="s">
        <v>228</v>
      </c>
      <c r="C246" s="622">
        <v>3.27876E8</v>
      </c>
      <c r="D246" s="18"/>
      <c r="E246" s="701"/>
      <c r="F246" s="507"/>
      <c r="G246" s="507"/>
      <c r="H246" s="507"/>
      <c r="I246" s="507"/>
      <c r="J246" s="507"/>
      <c r="K246" s="507"/>
      <c r="L246" s="507"/>
      <c r="M246" s="507"/>
      <c r="N246" s="507"/>
    </row>
    <row r="247" ht="35.25" hidden="1" customHeight="1">
      <c r="A247" s="18"/>
      <c r="B247" s="547" t="s">
        <v>88</v>
      </c>
      <c r="C247" s="622">
        <v>8.6563E7</v>
      </c>
      <c r="D247" s="18"/>
      <c r="E247" s="904"/>
      <c r="F247" s="507"/>
      <c r="G247" s="507"/>
      <c r="H247" s="507"/>
      <c r="I247" s="507"/>
      <c r="J247" s="507"/>
      <c r="K247" s="507"/>
      <c r="L247" s="507"/>
      <c r="M247" s="507"/>
      <c r="N247" s="507"/>
    </row>
    <row r="248" ht="35.25" hidden="1" customHeight="1">
      <c r="A248" s="18"/>
      <c r="B248" s="547" t="s">
        <v>219</v>
      </c>
      <c r="C248" s="622">
        <v>7.10275E7</v>
      </c>
      <c r="D248" s="18"/>
      <c r="E248" s="904"/>
      <c r="F248" s="507"/>
      <c r="G248" s="507"/>
      <c r="H248" s="507"/>
      <c r="I248" s="507"/>
      <c r="J248" s="507"/>
      <c r="K248" s="507"/>
      <c r="L248" s="507"/>
      <c r="M248" s="507"/>
      <c r="N248" s="507"/>
    </row>
    <row r="249" ht="35.25" hidden="1" customHeight="1">
      <c r="A249" s="18"/>
      <c r="B249" s="547" t="s">
        <v>89</v>
      </c>
      <c r="C249" s="622">
        <v>6.24675E7</v>
      </c>
      <c r="D249" s="18"/>
      <c r="E249" s="701"/>
      <c r="F249" s="507"/>
      <c r="G249" s="507"/>
      <c r="H249" s="507"/>
      <c r="I249" s="507"/>
      <c r="J249" s="507"/>
      <c r="K249" s="507"/>
      <c r="L249" s="507"/>
      <c r="M249" s="507"/>
      <c r="N249" s="507"/>
    </row>
    <row r="250" ht="35.25" hidden="1" customHeight="1">
      <c r="A250" s="18"/>
      <c r="B250" s="547" t="s">
        <v>220</v>
      </c>
      <c r="C250" s="622">
        <v>7.6655E7</v>
      </c>
      <c r="D250" s="18"/>
      <c r="E250" s="701"/>
      <c r="F250" s="507"/>
      <c r="G250" s="507"/>
      <c r="H250" s="507"/>
      <c r="I250" s="507"/>
      <c r="J250" s="507"/>
      <c r="K250" s="507"/>
      <c r="L250" s="507"/>
      <c r="M250" s="507"/>
      <c r="N250" s="507"/>
    </row>
    <row r="251" ht="35.25" hidden="1" customHeight="1">
      <c r="A251" s="18"/>
      <c r="B251" s="547" t="s">
        <v>697</v>
      </c>
      <c r="C251" s="622">
        <v>4.7345E7</v>
      </c>
      <c r="D251" s="18"/>
      <c r="E251" s="701"/>
      <c r="F251" s="507"/>
      <c r="G251" s="507"/>
      <c r="H251" s="507"/>
      <c r="I251" s="507"/>
      <c r="J251" s="507"/>
      <c r="K251" s="507"/>
      <c r="L251" s="507"/>
      <c r="M251" s="507"/>
      <c r="N251" s="507"/>
    </row>
    <row r="252" ht="35.25" hidden="1" customHeight="1">
      <c r="A252" s="18"/>
      <c r="B252" s="915" t="s">
        <v>238</v>
      </c>
      <c r="C252" s="916">
        <v>1.4273E8</v>
      </c>
      <c r="D252" s="18"/>
      <c r="E252" s="701"/>
      <c r="F252" s="507"/>
      <c r="G252" s="507"/>
      <c r="H252" s="507"/>
      <c r="I252" s="507"/>
      <c r="J252" s="507"/>
      <c r="K252" s="507"/>
      <c r="L252" s="507"/>
      <c r="M252" s="507"/>
      <c r="N252" s="507"/>
    </row>
    <row r="253" ht="35.25" hidden="1" customHeight="1">
      <c r="A253" s="720" t="s">
        <v>143</v>
      </c>
      <c r="B253" s="547" t="s">
        <v>1106</v>
      </c>
      <c r="C253" s="659" t="s">
        <v>684</v>
      </c>
      <c r="D253" s="722">
        <f>SUM(C253:C258)</f>
        <v>81898000</v>
      </c>
      <c r="E253" s="701"/>
      <c r="F253" s="507"/>
      <c r="G253" s="507"/>
      <c r="H253" s="507"/>
      <c r="I253" s="507"/>
      <c r="J253" s="507"/>
      <c r="K253" s="507"/>
      <c r="L253" s="507"/>
      <c r="M253" s="507"/>
      <c r="N253" s="507"/>
    </row>
    <row r="254" ht="35.25" hidden="1" customHeight="1">
      <c r="A254" s="18"/>
      <c r="B254" s="547" t="s">
        <v>219</v>
      </c>
      <c r="C254" s="659" t="s">
        <v>684</v>
      </c>
      <c r="D254" s="18"/>
      <c r="E254" s="701"/>
      <c r="F254" s="507"/>
      <c r="G254" s="507"/>
      <c r="H254" s="556"/>
      <c r="I254" s="556"/>
      <c r="J254" s="507"/>
      <c r="K254" s="507"/>
      <c r="L254" s="507"/>
      <c r="M254" s="507"/>
      <c r="N254" s="507"/>
    </row>
    <row r="255" ht="35.25" hidden="1" customHeight="1">
      <c r="A255" s="18"/>
      <c r="B255" s="547" t="s">
        <v>89</v>
      </c>
      <c r="C255" s="659" t="s">
        <v>684</v>
      </c>
      <c r="D255" s="18"/>
      <c r="E255" s="701" t="s">
        <v>788</v>
      </c>
      <c r="F255" s="507"/>
      <c r="G255" s="507"/>
      <c r="H255" s="556"/>
      <c r="I255" s="507"/>
      <c r="J255" s="507"/>
      <c r="K255" s="507"/>
      <c r="L255" s="507"/>
      <c r="M255" s="507"/>
      <c r="N255" s="507"/>
    </row>
    <row r="256" ht="35.25" hidden="1" customHeight="1">
      <c r="A256" s="18"/>
      <c r="B256" s="547" t="s">
        <v>220</v>
      </c>
      <c r="C256" s="659" t="s">
        <v>684</v>
      </c>
      <c r="D256" s="18"/>
      <c r="E256" s="701"/>
      <c r="F256" s="507"/>
      <c r="G256" s="507"/>
      <c r="H256" s="556" t="s">
        <v>1107</v>
      </c>
      <c r="I256" s="507">
        <f>7*3000</f>
        <v>21000</v>
      </c>
      <c r="J256" s="507"/>
      <c r="K256" s="507"/>
      <c r="L256" s="507"/>
      <c r="M256" s="507"/>
      <c r="N256" s="507"/>
    </row>
    <row r="257" ht="35.25" hidden="1" customHeight="1">
      <c r="A257" s="18"/>
      <c r="B257" s="547" t="s">
        <v>697</v>
      </c>
      <c r="C257" s="659" t="s">
        <v>684</v>
      </c>
      <c r="D257" s="18"/>
      <c r="E257" s="701"/>
      <c r="F257" s="507"/>
      <c r="G257" s="507"/>
      <c r="H257" s="556"/>
      <c r="I257" s="507"/>
      <c r="J257" s="507"/>
      <c r="K257" s="507"/>
      <c r="L257" s="507"/>
      <c r="M257" s="507"/>
      <c r="N257" s="507"/>
    </row>
    <row r="258" ht="35.25" hidden="1" customHeight="1">
      <c r="A258" s="18"/>
      <c r="B258" s="915" t="s">
        <v>238</v>
      </c>
      <c r="C258" s="916">
        <v>8.1898E7</v>
      </c>
      <c r="D258" s="18"/>
      <c r="E258" s="701"/>
      <c r="F258" s="507"/>
      <c r="G258" s="507"/>
      <c r="H258" s="556"/>
      <c r="I258" s="507"/>
      <c r="J258" s="507"/>
      <c r="K258" s="507"/>
      <c r="L258" s="507"/>
      <c r="M258" s="507"/>
      <c r="N258" s="507"/>
    </row>
    <row r="259" ht="35.25" hidden="1" customHeight="1">
      <c r="A259" s="720" t="s">
        <v>145</v>
      </c>
      <c r="B259" s="547" t="s">
        <v>1106</v>
      </c>
      <c r="C259" s="656" t="s">
        <v>684</v>
      </c>
      <c r="D259" s="721">
        <f>SUM(C259:C264)</f>
        <v>78068000</v>
      </c>
      <c r="E259" s="556" t="s">
        <v>739</v>
      </c>
      <c r="F259" s="507"/>
      <c r="G259" s="507"/>
      <c r="H259" s="507"/>
      <c r="I259" s="507"/>
      <c r="J259" s="507"/>
      <c r="K259" s="507"/>
      <c r="L259" s="507"/>
      <c r="M259" s="507"/>
      <c r="N259" s="507"/>
    </row>
    <row r="260" ht="35.25" hidden="1" customHeight="1">
      <c r="A260" s="18"/>
      <c r="B260" s="547" t="s">
        <v>219</v>
      </c>
      <c r="C260" s="656" t="s">
        <v>684</v>
      </c>
      <c r="D260" s="18"/>
      <c r="E260" s="701"/>
      <c r="F260" s="507"/>
      <c r="G260" s="507"/>
      <c r="H260" s="507"/>
      <c r="I260" s="507"/>
      <c r="J260" s="507"/>
      <c r="K260" s="507"/>
      <c r="L260" s="507"/>
      <c r="M260" s="507"/>
      <c r="N260" s="507"/>
    </row>
    <row r="261" ht="35.25" hidden="1" customHeight="1">
      <c r="A261" s="18"/>
      <c r="B261" s="547" t="s">
        <v>89</v>
      </c>
      <c r="C261" s="656" t="s">
        <v>684</v>
      </c>
      <c r="D261" s="18"/>
      <c r="E261" s="701" t="s">
        <v>905</v>
      </c>
      <c r="F261" s="507"/>
      <c r="G261" s="507"/>
      <c r="H261" s="507"/>
      <c r="I261" s="507"/>
      <c r="J261" s="507"/>
      <c r="K261" s="507"/>
      <c r="L261" s="507"/>
      <c r="M261" s="507"/>
      <c r="N261" s="507"/>
    </row>
    <row r="262" ht="35.25" hidden="1" customHeight="1">
      <c r="A262" s="18"/>
      <c r="B262" s="547" t="s">
        <v>220</v>
      </c>
      <c r="C262" s="656">
        <v>4.2566E7</v>
      </c>
      <c r="D262" s="18"/>
      <c r="E262" s="718"/>
      <c r="F262" s="507"/>
      <c r="G262" s="507"/>
      <c r="H262" s="507"/>
      <c r="I262" s="507"/>
      <c r="J262" s="507"/>
      <c r="K262" s="507"/>
      <c r="L262" s="507"/>
      <c r="M262" s="507"/>
      <c r="N262" s="507"/>
    </row>
    <row r="263" ht="35.25" hidden="1" customHeight="1">
      <c r="A263" s="18"/>
      <c r="B263" s="547" t="s">
        <v>1108</v>
      </c>
      <c r="C263" s="656">
        <f>35327000+175000</f>
        <v>35502000</v>
      </c>
      <c r="D263" s="18"/>
      <c r="F263" s="507"/>
      <c r="G263" s="507"/>
      <c r="H263" s="556"/>
      <c r="I263" s="507"/>
      <c r="J263" s="507"/>
      <c r="K263" s="507"/>
      <c r="L263" s="507"/>
      <c r="M263" s="507"/>
      <c r="N263" s="507"/>
    </row>
    <row r="264" ht="35.25" hidden="1" customHeight="1">
      <c r="A264" s="18"/>
      <c r="B264" s="915" t="s">
        <v>238</v>
      </c>
      <c r="C264" s="916"/>
      <c r="D264" s="18"/>
      <c r="F264" s="507"/>
      <c r="G264" s="507"/>
      <c r="H264" s="507"/>
      <c r="I264" s="507"/>
      <c r="J264" s="507"/>
      <c r="K264" s="507"/>
      <c r="L264" s="507"/>
      <c r="M264" s="507"/>
      <c r="N264" s="507"/>
    </row>
    <row r="265" ht="35.25" hidden="1" customHeight="1">
      <c r="A265" s="720" t="s">
        <v>148</v>
      </c>
      <c r="B265" s="547" t="s">
        <v>1106</v>
      </c>
      <c r="C265" s="666" t="s">
        <v>684</v>
      </c>
      <c r="D265" s="721">
        <f>SUM(C265:C268)</f>
        <v>197651000</v>
      </c>
      <c r="E265" s="701"/>
      <c r="F265" s="507"/>
      <c r="G265" s="507"/>
      <c r="H265" s="507"/>
      <c r="I265" s="507"/>
      <c r="J265" s="507"/>
      <c r="K265" s="507"/>
      <c r="L265" s="507"/>
      <c r="M265" s="507"/>
      <c r="N265" s="507"/>
    </row>
    <row r="266" ht="35.25" hidden="1" customHeight="1">
      <c r="A266" s="18"/>
      <c r="B266" s="547" t="s">
        <v>219</v>
      </c>
      <c r="C266" s="659">
        <v>1.97651E8</v>
      </c>
      <c r="D266" s="18"/>
      <c r="E266" s="701"/>
      <c r="F266" s="507"/>
      <c r="G266" s="507"/>
      <c r="H266" s="507"/>
      <c r="I266" s="507"/>
      <c r="J266" s="507"/>
      <c r="K266" s="507"/>
      <c r="L266" s="507"/>
      <c r="M266" s="507"/>
      <c r="N266" s="507"/>
    </row>
    <row r="267" ht="35.25" hidden="1" customHeight="1">
      <c r="A267" s="18"/>
      <c r="B267" s="547" t="s">
        <v>89</v>
      </c>
      <c r="C267" s="659"/>
      <c r="D267" s="18"/>
      <c r="E267" s="701"/>
      <c r="F267" s="507"/>
      <c r="G267" s="507"/>
      <c r="H267" s="507"/>
      <c r="I267" s="507"/>
      <c r="J267" s="507"/>
      <c r="K267" s="507"/>
      <c r="L267" s="507"/>
      <c r="M267" s="507"/>
      <c r="N267" s="507"/>
    </row>
    <row r="268" ht="35.25" hidden="1" customHeight="1">
      <c r="A268" s="18"/>
      <c r="B268" s="547" t="s">
        <v>220</v>
      </c>
      <c r="C268" s="666"/>
      <c r="D268" s="18"/>
      <c r="E268" s="701"/>
      <c r="F268" s="507"/>
      <c r="G268" s="507"/>
      <c r="H268" s="507"/>
      <c r="I268" s="507"/>
      <c r="J268" s="507"/>
      <c r="K268" s="507"/>
      <c r="L268" s="507"/>
      <c r="M268" s="507"/>
      <c r="N268" s="507"/>
    </row>
    <row r="269" ht="35.25" hidden="1" customHeight="1">
      <c r="A269" s="723" t="s">
        <v>149</v>
      </c>
      <c r="B269" s="547" t="s">
        <v>770</v>
      </c>
      <c r="C269" s="659">
        <f>47774100-15000000-20000000</f>
        <v>12774100</v>
      </c>
      <c r="D269" s="722">
        <f>SUM(C269:C277)</f>
        <v>257445900</v>
      </c>
      <c r="E269" s="701"/>
      <c r="F269" s="507"/>
      <c r="G269" s="507"/>
      <c r="H269" s="556"/>
      <c r="I269" s="507"/>
      <c r="J269" s="507"/>
      <c r="K269" s="507"/>
      <c r="L269" s="507"/>
      <c r="M269" s="507"/>
      <c r="N269" s="507"/>
    </row>
    <row r="270" ht="35.25" hidden="1" customHeight="1">
      <c r="A270" s="18"/>
      <c r="B270" s="547" t="s">
        <v>92</v>
      </c>
      <c r="C270" s="659">
        <v>5.60462E7</v>
      </c>
      <c r="D270" s="18"/>
      <c r="E270" s="701"/>
      <c r="F270" s="507"/>
      <c r="G270" s="507"/>
      <c r="H270" s="507"/>
      <c r="I270" s="507"/>
      <c r="J270" s="507"/>
      <c r="K270" s="507"/>
      <c r="L270" s="507"/>
      <c r="M270" s="507"/>
      <c r="N270" s="507"/>
    </row>
    <row r="271" ht="35.25" hidden="1" customHeight="1">
      <c r="A271" s="18"/>
      <c r="B271" s="547" t="s">
        <v>81</v>
      </c>
      <c r="C271" s="659">
        <v>6.0006E7</v>
      </c>
      <c r="D271" s="18"/>
      <c r="E271" s="701"/>
      <c r="F271" s="507"/>
      <c r="G271" s="507"/>
      <c r="H271" s="507"/>
      <c r="I271" s="507"/>
      <c r="J271" s="507"/>
      <c r="K271" s="507"/>
      <c r="L271" s="507"/>
      <c r="M271" s="507"/>
      <c r="N271" s="507"/>
    </row>
    <row r="272" ht="35.25" hidden="1" customHeight="1">
      <c r="A272" s="18"/>
      <c r="B272" s="547" t="s">
        <v>228</v>
      </c>
      <c r="C272" s="659">
        <v>7.16012E7</v>
      </c>
      <c r="D272" s="18"/>
      <c r="E272" s="701"/>
      <c r="F272" s="507"/>
      <c r="G272" s="507"/>
      <c r="H272" s="507"/>
      <c r="I272" s="507"/>
      <c r="J272" s="507"/>
      <c r="K272" s="507"/>
      <c r="L272" s="507"/>
      <c r="M272" s="507"/>
      <c r="N272" s="507"/>
    </row>
    <row r="273" ht="35.25" hidden="1" customHeight="1">
      <c r="A273" s="18"/>
      <c r="B273" s="547" t="s">
        <v>1106</v>
      </c>
      <c r="C273" s="659">
        <v>9155000.0</v>
      </c>
      <c r="D273" s="18"/>
      <c r="E273" s="701"/>
      <c r="F273" s="507"/>
      <c r="G273" s="507"/>
      <c r="H273" s="507"/>
      <c r="I273" s="507"/>
      <c r="J273" s="507"/>
      <c r="K273" s="507"/>
      <c r="L273" s="507"/>
      <c r="M273" s="507"/>
      <c r="N273" s="507"/>
    </row>
    <row r="274" ht="35.25" hidden="1" customHeight="1">
      <c r="A274" s="18"/>
      <c r="B274" s="547" t="s">
        <v>219</v>
      </c>
      <c r="C274" s="659">
        <v>1.256E7</v>
      </c>
      <c r="D274" s="18"/>
      <c r="E274" s="701"/>
      <c r="F274" s="507"/>
      <c r="G274" s="507"/>
      <c r="H274" s="507"/>
      <c r="I274" s="507"/>
      <c r="J274" s="507"/>
      <c r="K274" s="507"/>
      <c r="L274" s="507"/>
      <c r="M274" s="507"/>
      <c r="N274" s="507"/>
    </row>
    <row r="275" ht="35.25" hidden="1" customHeight="1">
      <c r="A275" s="18"/>
      <c r="B275" s="547" t="s">
        <v>89</v>
      </c>
      <c r="C275" s="659">
        <v>1.35382E7</v>
      </c>
      <c r="D275" s="18"/>
      <c r="E275" s="701"/>
      <c r="F275" s="507"/>
      <c r="G275" s="507"/>
      <c r="H275" s="507"/>
      <c r="I275" s="507"/>
      <c r="J275" s="507"/>
      <c r="K275" s="507"/>
      <c r="L275" s="507"/>
      <c r="M275" s="507"/>
      <c r="N275" s="507"/>
    </row>
    <row r="276" ht="35.25" hidden="1" customHeight="1">
      <c r="A276" s="18"/>
      <c r="B276" s="547" t="s">
        <v>220</v>
      </c>
      <c r="C276" s="659">
        <v>1.0843E7</v>
      </c>
      <c r="D276" s="18"/>
      <c r="E276" s="701"/>
      <c r="F276" s="507"/>
      <c r="G276" s="507"/>
      <c r="H276" s="507"/>
      <c r="I276" s="507"/>
      <c r="J276" s="507"/>
      <c r="K276" s="507"/>
      <c r="L276" s="507"/>
      <c r="M276" s="507"/>
      <c r="N276" s="507"/>
    </row>
    <row r="277" ht="35.25" hidden="1" customHeight="1">
      <c r="A277" s="22"/>
      <c r="B277" s="547" t="s">
        <v>697</v>
      </c>
      <c r="C277" s="659">
        <v>1.09222E7</v>
      </c>
      <c r="D277" s="18"/>
      <c r="E277" s="701"/>
      <c r="F277" s="507"/>
      <c r="G277" s="507"/>
      <c r="H277" s="507"/>
      <c r="I277" s="507"/>
      <c r="J277" s="507"/>
      <c r="K277" s="507"/>
      <c r="L277" s="507"/>
      <c r="M277" s="507"/>
      <c r="N277" s="507"/>
    </row>
    <row r="278" ht="35.25" hidden="1" customHeight="1">
      <c r="A278" s="720" t="s">
        <v>150</v>
      </c>
      <c r="B278" s="547" t="s">
        <v>10</v>
      </c>
      <c r="C278" s="659">
        <v>385000.0</v>
      </c>
      <c r="D278" s="721">
        <f>SUM(C278:C284)</f>
        <v>180946500</v>
      </c>
      <c r="E278" s="169"/>
      <c r="F278" s="507"/>
      <c r="G278" s="507"/>
      <c r="H278" s="507"/>
      <c r="I278" s="507"/>
      <c r="J278" s="507"/>
      <c r="K278" s="507"/>
      <c r="L278" s="507"/>
      <c r="M278" s="507"/>
      <c r="N278" s="507"/>
    </row>
    <row r="279" ht="35.25" hidden="1" customHeight="1">
      <c r="A279" s="18"/>
      <c r="B279" s="547" t="s">
        <v>1106</v>
      </c>
      <c r="C279" s="659" t="s">
        <v>684</v>
      </c>
      <c r="D279" s="18"/>
      <c r="E279" s="701"/>
      <c r="F279" s="507"/>
      <c r="G279" s="507"/>
      <c r="H279" s="507"/>
      <c r="I279" s="507"/>
      <c r="J279" s="507"/>
      <c r="K279" s="507"/>
      <c r="L279" s="507"/>
      <c r="M279" s="507"/>
      <c r="N279" s="507"/>
    </row>
    <row r="280" ht="35.25" hidden="1" customHeight="1">
      <c r="A280" s="18"/>
      <c r="B280" s="547" t="s">
        <v>1109</v>
      </c>
      <c r="C280" s="659" t="s">
        <v>684</v>
      </c>
      <c r="D280" s="18"/>
      <c r="E280" s="701"/>
      <c r="F280" s="507"/>
      <c r="G280" s="507"/>
      <c r="H280" s="556" t="s">
        <v>1110</v>
      </c>
      <c r="I280" s="507">
        <f>28*3000</f>
        <v>84000</v>
      </c>
      <c r="J280" s="507"/>
      <c r="K280" s="507"/>
      <c r="L280" s="507"/>
      <c r="M280" s="507"/>
      <c r="N280" s="507"/>
    </row>
    <row r="281" ht="35.25" hidden="1" customHeight="1">
      <c r="A281" s="18"/>
      <c r="B281" s="547" t="s">
        <v>1111</v>
      </c>
      <c r="C281" s="659" t="s">
        <v>684</v>
      </c>
      <c r="D281" s="18"/>
      <c r="E281" s="701"/>
      <c r="F281" s="507"/>
      <c r="G281" s="507"/>
      <c r="H281" s="556"/>
      <c r="I281" s="507"/>
      <c r="J281" s="507"/>
      <c r="K281" s="507"/>
      <c r="L281" s="507"/>
      <c r="M281" s="507"/>
      <c r="N281" s="507"/>
    </row>
    <row r="282" ht="35.25" hidden="1" customHeight="1">
      <c r="A282" s="18"/>
      <c r="B282" s="547" t="s">
        <v>323</v>
      </c>
      <c r="C282" s="659" t="s">
        <v>684</v>
      </c>
      <c r="D282" s="18"/>
      <c r="E282" s="701"/>
      <c r="F282" s="507"/>
      <c r="G282" s="507"/>
      <c r="H282" s="134" t="s">
        <v>1112</v>
      </c>
      <c r="I282" s="127">
        <f>28*3000</f>
        <v>84000</v>
      </c>
      <c r="J282" s="507"/>
      <c r="K282" s="507"/>
      <c r="L282" s="507"/>
      <c r="M282" s="507"/>
      <c r="N282" s="507"/>
    </row>
    <row r="283" ht="35.25" hidden="1" customHeight="1">
      <c r="A283" s="18"/>
      <c r="B283" s="547" t="s">
        <v>1113</v>
      </c>
      <c r="C283" s="659">
        <v>4.72785E7</v>
      </c>
      <c r="D283" s="18"/>
      <c r="E283" s="701"/>
      <c r="F283" s="507"/>
      <c r="G283" s="507"/>
      <c r="H283" s="917"/>
      <c r="I283" s="918"/>
      <c r="J283" s="507"/>
      <c r="K283" s="507"/>
      <c r="L283" s="507"/>
      <c r="M283" s="507"/>
      <c r="N283" s="507"/>
    </row>
    <row r="284" ht="35.25" hidden="1" customHeight="1">
      <c r="A284" s="18"/>
      <c r="B284" s="915" t="s">
        <v>238</v>
      </c>
      <c r="C284" s="919">
        <v>1.33283E8</v>
      </c>
      <c r="D284" s="18"/>
      <c r="E284" s="701"/>
      <c r="F284" s="507"/>
      <c r="G284" s="507"/>
      <c r="H284" s="917"/>
      <c r="I284" s="918"/>
      <c r="J284" s="507"/>
      <c r="K284" s="507"/>
      <c r="L284" s="507"/>
      <c r="M284" s="507"/>
      <c r="N284" s="507"/>
    </row>
    <row r="285" ht="35.25" hidden="1" customHeight="1">
      <c r="A285" s="720" t="s">
        <v>153</v>
      </c>
      <c r="B285" s="547" t="s">
        <v>323</v>
      </c>
      <c r="C285" s="656" t="s">
        <v>684</v>
      </c>
      <c r="D285" s="722">
        <f>SUM(C285:C287)</f>
        <v>109144500</v>
      </c>
      <c r="E285" s="701"/>
      <c r="F285" s="507"/>
      <c r="G285" s="507"/>
      <c r="H285" s="507"/>
      <c r="I285" s="507"/>
      <c r="J285" s="507"/>
      <c r="K285" s="507"/>
      <c r="L285" s="507"/>
      <c r="M285" s="507"/>
      <c r="N285" s="507"/>
    </row>
    <row r="286" ht="35.25" hidden="1" customHeight="1">
      <c r="A286" s="18"/>
      <c r="B286" s="547" t="s">
        <v>697</v>
      </c>
      <c r="C286" s="656">
        <v>1.091445E8</v>
      </c>
      <c r="D286" s="18"/>
      <c r="E286" s="701"/>
      <c r="F286" s="507"/>
      <c r="G286" s="507"/>
      <c r="H286" s="507"/>
      <c r="I286" s="507"/>
      <c r="J286" s="507"/>
      <c r="K286" s="507"/>
      <c r="L286" s="507"/>
      <c r="M286" s="507"/>
      <c r="N286" s="507"/>
    </row>
    <row r="287" ht="35.25" hidden="1" customHeight="1">
      <c r="A287" s="18"/>
      <c r="B287" s="547"/>
      <c r="C287" s="659"/>
      <c r="D287" s="18"/>
      <c r="E287" s="701"/>
      <c r="F287" s="507"/>
      <c r="G287" s="507"/>
      <c r="H287" s="556"/>
      <c r="I287" s="507"/>
      <c r="J287" s="507"/>
      <c r="K287" s="507"/>
      <c r="L287" s="507"/>
      <c r="M287" s="507"/>
      <c r="N287" s="507"/>
    </row>
    <row r="288" ht="35.25" hidden="1" customHeight="1">
      <c r="A288" s="18"/>
      <c r="B288" s="157"/>
      <c r="C288" s="157"/>
      <c r="D288" s="18"/>
      <c r="E288" s="701" t="s">
        <v>792</v>
      </c>
      <c r="F288" s="507"/>
      <c r="G288" s="507"/>
      <c r="I288" s="507"/>
      <c r="J288" s="507"/>
      <c r="K288" s="507"/>
      <c r="L288" s="507"/>
      <c r="M288" s="507"/>
      <c r="N288" s="507"/>
    </row>
    <row r="289" ht="35.25" hidden="1" customHeight="1">
      <c r="A289" s="723" t="s">
        <v>154</v>
      </c>
      <c r="B289" s="547" t="s">
        <v>228</v>
      </c>
      <c r="C289" s="724" t="s">
        <v>684</v>
      </c>
      <c r="D289" s="722">
        <f>SUM(C289:C294)</f>
        <v>273736000</v>
      </c>
      <c r="E289" s="701">
        <f>94223500+67205800</f>
        <v>161429300</v>
      </c>
      <c r="F289" s="507"/>
      <c r="G289" s="507"/>
      <c r="H289" s="507"/>
      <c r="I289" s="507"/>
      <c r="J289" s="507"/>
      <c r="K289" s="507"/>
      <c r="L289" s="507"/>
      <c r="M289" s="507"/>
      <c r="N289" s="507"/>
    </row>
    <row r="290" ht="35.25" hidden="1" customHeight="1">
      <c r="A290" s="18"/>
      <c r="B290" s="547" t="s">
        <v>1114</v>
      </c>
      <c r="C290" s="724" t="s">
        <v>684</v>
      </c>
      <c r="D290" s="18"/>
      <c r="E290" s="701"/>
      <c r="F290" s="507"/>
      <c r="G290" s="507"/>
      <c r="H290" s="507"/>
      <c r="I290" s="507"/>
      <c r="J290" s="507"/>
      <c r="K290" s="507"/>
      <c r="L290" s="507"/>
      <c r="M290" s="507"/>
      <c r="N290" s="507"/>
    </row>
    <row r="291" ht="35.25" hidden="1" customHeight="1">
      <c r="A291" s="18"/>
      <c r="B291" s="547" t="s">
        <v>89</v>
      </c>
      <c r="C291" s="724" t="s">
        <v>684</v>
      </c>
      <c r="D291" s="18"/>
      <c r="E291" s="701"/>
      <c r="F291" s="507"/>
      <c r="G291" s="507"/>
      <c r="H291" s="507"/>
      <c r="I291" s="507"/>
      <c r="J291" s="507"/>
      <c r="K291" s="507"/>
      <c r="L291" s="507"/>
      <c r="M291" s="507"/>
      <c r="N291" s="507"/>
    </row>
    <row r="292" ht="35.25" hidden="1" customHeight="1">
      <c r="A292" s="18"/>
      <c r="B292" s="547" t="s">
        <v>220</v>
      </c>
      <c r="C292" s="724">
        <v>6.7593E7</v>
      </c>
      <c r="D292" s="18"/>
      <c r="E292" s="701"/>
      <c r="F292" s="507"/>
      <c r="G292" s="507"/>
      <c r="H292" s="507"/>
      <c r="I292" s="507"/>
      <c r="J292" s="507"/>
      <c r="K292" s="507"/>
      <c r="L292" s="507"/>
      <c r="M292" s="507"/>
      <c r="N292" s="507"/>
    </row>
    <row r="293" ht="35.25" hidden="1" customHeight="1">
      <c r="A293" s="18"/>
      <c r="B293" s="547" t="s">
        <v>697</v>
      </c>
      <c r="C293" s="724">
        <v>6.3833E7</v>
      </c>
      <c r="D293" s="18"/>
      <c r="E293" s="701"/>
      <c r="F293" s="507"/>
      <c r="G293" s="507"/>
      <c r="H293" s="556"/>
      <c r="I293" s="507"/>
      <c r="J293" s="507"/>
      <c r="K293" s="507"/>
      <c r="L293" s="507"/>
      <c r="M293" s="507"/>
      <c r="N293" s="507"/>
    </row>
    <row r="294" ht="35.25" hidden="1" customHeight="1">
      <c r="A294" s="18"/>
      <c r="B294" s="915" t="s">
        <v>238</v>
      </c>
      <c r="C294" s="916">
        <v>1.4231E8</v>
      </c>
      <c r="D294" s="18"/>
      <c r="E294" s="701"/>
      <c r="F294" s="507"/>
      <c r="G294" s="507"/>
      <c r="H294" s="507"/>
      <c r="I294" s="507"/>
      <c r="J294" s="507"/>
      <c r="K294" s="507"/>
      <c r="L294" s="507"/>
      <c r="M294" s="507"/>
      <c r="N294" s="507"/>
    </row>
    <row r="295" ht="35.25" hidden="1" customHeight="1">
      <c r="A295" s="723" t="s">
        <v>156</v>
      </c>
      <c r="B295" s="547" t="s">
        <v>228</v>
      </c>
      <c r="C295" s="656">
        <f>98802000-19019000-29055000</f>
        <v>50728000</v>
      </c>
      <c r="D295" s="722">
        <f>SUM(C295:C302)</f>
        <v>285475500</v>
      </c>
      <c r="E295" s="701"/>
      <c r="F295" s="507"/>
      <c r="G295" s="507"/>
      <c r="H295" s="507"/>
      <c r="I295" s="507"/>
      <c r="J295" s="507"/>
      <c r="K295" s="507"/>
      <c r="L295" s="507"/>
      <c r="M295" s="507"/>
      <c r="N295" s="507"/>
    </row>
    <row r="296" ht="35.25" hidden="1" customHeight="1">
      <c r="A296" s="18"/>
      <c r="B296" s="547" t="s">
        <v>1106</v>
      </c>
      <c r="C296" s="656">
        <v>3.84095E7</v>
      </c>
      <c r="D296" s="18"/>
      <c r="E296" s="701"/>
      <c r="F296" s="507"/>
      <c r="G296" s="507"/>
      <c r="H296" s="507"/>
      <c r="I296" s="507"/>
      <c r="J296" s="507"/>
      <c r="K296" s="507"/>
      <c r="L296" s="507"/>
      <c r="M296" s="507"/>
      <c r="N296" s="507"/>
    </row>
    <row r="297" ht="35.25" hidden="1" customHeight="1">
      <c r="A297" s="18"/>
      <c r="B297" s="547" t="s">
        <v>1109</v>
      </c>
      <c r="C297" s="659">
        <v>2.0697E7</v>
      </c>
      <c r="D297" s="18"/>
      <c r="E297" s="701"/>
      <c r="F297" s="507"/>
      <c r="G297" s="507"/>
      <c r="H297" s="556" t="s">
        <v>1115</v>
      </c>
      <c r="I297" s="507">
        <f>46*3000</f>
        <v>138000</v>
      </c>
      <c r="J297" s="507"/>
      <c r="K297" s="507"/>
      <c r="L297" s="507"/>
      <c r="M297" s="507"/>
      <c r="N297" s="507"/>
    </row>
    <row r="298" ht="35.25" hidden="1" customHeight="1">
      <c r="A298" s="18"/>
      <c r="B298" s="547" t="s">
        <v>1111</v>
      </c>
      <c r="C298" s="659">
        <v>2.2805E7</v>
      </c>
      <c r="D298" s="18"/>
      <c r="E298" s="904"/>
      <c r="F298" s="507"/>
      <c r="G298" s="507"/>
      <c r="H298" s="507"/>
      <c r="I298" s="507"/>
      <c r="J298" s="507"/>
      <c r="K298" s="507"/>
      <c r="L298" s="507"/>
      <c r="M298" s="507"/>
      <c r="N298" s="507"/>
    </row>
    <row r="299" ht="35.25" hidden="1" customHeight="1">
      <c r="A299" s="18"/>
      <c r="B299" s="547" t="s">
        <v>323</v>
      </c>
      <c r="C299" s="659">
        <v>2.127E7</v>
      </c>
      <c r="D299" s="18"/>
      <c r="E299" s="701"/>
      <c r="F299" s="507"/>
      <c r="G299" s="507"/>
      <c r="H299" s="507"/>
      <c r="I299" s="507"/>
      <c r="J299" s="507"/>
      <c r="K299" s="507"/>
      <c r="L299" s="507"/>
      <c r="M299" s="507"/>
      <c r="N299" s="507"/>
    </row>
    <row r="300" ht="35.25" hidden="1" customHeight="1">
      <c r="A300" s="18"/>
      <c r="B300" s="547" t="s">
        <v>1113</v>
      </c>
      <c r="C300" s="656">
        <v>1.7721E7</v>
      </c>
      <c r="D300" s="18"/>
      <c r="E300" s="701" t="s">
        <v>794</v>
      </c>
      <c r="F300" s="507"/>
      <c r="G300" s="507"/>
      <c r="H300" s="556" t="s">
        <v>1116</v>
      </c>
      <c r="I300" s="507">
        <f>33*3000</f>
        <v>99000</v>
      </c>
      <c r="J300" s="507"/>
      <c r="K300" s="507"/>
      <c r="L300" s="507"/>
      <c r="M300" s="507"/>
      <c r="N300" s="507"/>
    </row>
    <row r="301" ht="35.25" hidden="1" customHeight="1">
      <c r="A301" s="18"/>
      <c r="B301" s="915" t="s">
        <v>238</v>
      </c>
      <c r="C301" s="916">
        <v>1.13845E8</v>
      </c>
      <c r="D301" s="18"/>
      <c r="E301" s="701"/>
      <c r="F301" s="507"/>
      <c r="G301" s="507"/>
      <c r="H301" s="556"/>
      <c r="I301" s="507"/>
      <c r="J301" s="507"/>
      <c r="K301" s="507"/>
      <c r="L301" s="507"/>
      <c r="M301" s="507"/>
      <c r="N301" s="507"/>
    </row>
    <row r="302" ht="35.25" hidden="1" customHeight="1">
      <c r="A302" s="18"/>
      <c r="B302" s="547"/>
      <c r="C302" s="656"/>
      <c r="D302" s="18"/>
      <c r="E302" s="701"/>
      <c r="F302" s="507"/>
      <c r="G302" s="507"/>
      <c r="J302" s="507"/>
      <c r="K302" s="507"/>
      <c r="L302" s="507"/>
      <c r="M302" s="507"/>
      <c r="N302" s="507"/>
    </row>
    <row r="303" ht="35.25" hidden="1" customHeight="1">
      <c r="A303" s="720" t="s">
        <v>158</v>
      </c>
      <c r="B303" s="547" t="s">
        <v>1106</v>
      </c>
      <c r="C303" s="749">
        <v>2.7412E7</v>
      </c>
      <c r="D303" s="722">
        <f>SUM(C303:C308)</f>
        <v>212566000</v>
      </c>
      <c r="E303" s="701"/>
      <c r="F303" s="507"/>
      <c r="G303" s="507"/>
      <c r="H303" s="556"/>
      <c r="I303" s="507"/>
      <c r="J303" s="507"/>
      <c r="K303" s="507"/>
      <c r="L303" s="507"/>
      <c r="M303" s="507"/>
      <c r="N303" s="507"/>
    </row>
    <row r="304" ht="35.25" hidden="1" customHeight="1">
      <c r="A304" s="18"/>
      <c r="B304" s="547" t="s">
        <v>1109</v>
      </c>
      <c r="C304" s="593">
        <v>2.3083E7</v>
      </c>
      <c r="D304" s="18"/>
      <c r="E304" s="701"/>
      <c r="F304" s="507"/>
      <c r="G304" s="507"/>
      <c r="H304" s="556" t="s">
        <v>1117</v>
      </c>
      <c r="I304" s="507">
        <f>25*3000</f>
        <v>75000</v>
      </c>
      <c r="J304" s="507"/>
      <c r="K304" s="507"/>
      <c r="L304" s="507"/>
      <c r="M304" s="507"/>
      <c r="N304" s="507"/>
    </row>
    <row r="305" ht="35.25" hidden="1" customHeight="1">
      <c r="A305" s="18"/>
      <c r="B305" s="547" t="s">
        <v>1111</v>
      </c>
      <c r="C305" s="593">
        <v>1.9305E7</v>
      </c>
      <c r="D305" s="18"/>
      <c r="E305" s="701"/>
      <c r="F305" s="507"/>
      <c r="G305" s="507"/>
      <c r="H305" s="507"/>
      <c r="I305" s="507"/>
      <c r="J305" s="507"/>
      <c r="K305" s="507"/>
      <c r="L305" s="507"/>
      <c r="M305" s="507"/>
      <c r="N305" s="507"/>
    </row>
    <row r="306" ht="35.25" hidden="1" customHeight="1">
      <c r="A306" s="18"/>
      <c r="B306" s="547" t="s">
        <v>323</v>
      </c>
      <c r="C306" s="749">
        <v>2.0279E7</v>
      </c>
      <c r="D306" s="18"/>
      <c r="E306" s="701"/>
      <c r="F306" s="507"/>
      <c r="G306" s="507"/>
      <c r="H306" s="556" t="s">
        <v>1118</v>
      </c>
      <c r="I306" s="507">
        <f>19*3000</f>
        <v>57000</v>
      </c>
      <c r="J306" s="507"/>
      <c r="K306" s="507"/>
      <c r="L306" s="507"/>
      <c r="M306" s="507"/>
      <c r="N306" s="507"/>
    </row>
    <row r="307" ht="35.25" hidden="1" customHeight="1">
      <c r="A307" s="18"/>
      <c r="B307" s="547" t="s">
        <v>1113</v>
      </c>
      <c r="C307" s="749">
        <f>20867000+420000</f>
        <v>21287000</v>
      </c>
      <c r="D307" s="18"/>
      <c r="E307" s="701"/>
      <c r="F307" s="507"/>
      <c r="G307" s="507"/>
      <c r="H307" s="556" t="s">
        <v>1119</v>
      </c>
      <c r="I307" s="507">
        <f>18*54000</f>
        <v>972000</v>
      </c>
      <c r="J307" s="507"/>
      <c r="K307" s="507"/>
      <c r="L307" s="507"/>
      <c r="M307" s="507"/>
      <c r="N307" s="507"/>
    </row>
    <row r="308" ht="35.25" hidden="1" customHeight="1">
      <c r="A308" s="22"/>
      <c r="B308" s="915" t="s">
        <v>238</v>
      </c>
      <c r="C308" s="920">
        <v>1.012E8</v>
      </c>
      <c r="D308" s="22"/>
      <c r="E308" s="701"/>
      <c r="F308" s="507"/>
      <c r="G308" s="507"/>
      <c r="H308" s="556"/>
      <c r="I308" s="507"/>
      <c r="J308" s="507"/>
      <c r="K308" s="507"/>
      <c r="L308" s="507"/>
      <c r="M308" s="507"/>
      <c r="N308" s="507"/>
    </row>
    <row r="309" ht="35.25" hidden="1" customHeight="1">
      <c r="A309" s="750" t="s">
        <v>167</v>
      </c>
      <c r="B309" s="751" t="s">
        <v>10</v>
      </c>
      <c r="C309" s="921">
        <v>2.714E7</v>
      </c>
      <c r="D309" s="753">
        <f>SUM(C309:C310)</f>
        <v>63160000</v>
      </c>
      <c r="E309" s="701"/>
      <c r="F309" s="507"/>
      <c r="G309" s="507"/>
      <c r="H309" s="507"/>
      <c r="I309" s="507"/>
      <c r="J309" s="507"/>
      <c r="K309" s="507"/>
      <c r="L309" s="507"/>
      <c r="M309" s="507"/>
      <c r="N309" s="507"/>
    </row>
    <row r="310" ht="35.25" hidden="1" customHeight="1">
      <c r="A310" s="754"/>
      <c r="B310" s="751" t="s">
        <v>1120</v>
      </c>
      <c r="C310" s="752">
        <v>3.602E7</v>
      </c>
      <c r="D310" s="755"/>
      <c r="E310" s="701"/>
      <c r="F310" s="507"/>
      <c r="G310" s="507"/>
      <c r="H310" s="507"/>
      <c r="I310" s="507"/>
      <c r="J310" s="507"/>
      <c r="K310" s="507"/>
      <c r="L310" s="507"/>
      <c r="M310" s="507"/>
      <c r="N310" s="507"/>
    </row>
    <row r="311" ht="35.25" hidden="1" customHeight="1">
      <c r="A311" s="754"/>
      <c r="B311" s="751"/>
      <c r="C311" s="752"/>
      <c r="D311" s="755"/>
      <c r="E311" s="701"/>
      <c r="F311" s="507"/>
      <c r="G311" s="507"/>
      <c r="H311" s="507"/>
      <c r="I311" s="507"/>
      <c r="J311" s="507"/>
      <c r="K311" s="507"/>
      <c r="L311" s="507"/>
      <c r="M311" s="507"/>
      <c r="N311" s="507"/>
    </row>
    <row r="312" ht="35.25" hidden="1" customHeight="1">
      <c r="A312" s="754"/>
      <c r="B312" s="751"/>
      <c r="C312" s="752"/>
      <c r="D312" s="755"/>
      <c r="E312" s="701" t="s">
        <v>797</v>
      </c>
      <c r="F312" s="507"/>
      <c r="G312" s="507"/>
      <c r="H312" s="507"/>
      <c r="I312" s="507"/>
      <c r="J312" s="507"/>
      <c r="K312" s="507"/>
      <c r="L312" s="507"/>
      <c r="M312" s="507"/>
      <c r="N312" s="507"/>
    </row>
    <row r="313" ht="35.25" hidden="1" customHeight="1">
      <c r="A313" s="754"/>
      <c r="B313" s="751"/>
      <c r="C313" s="752"/>
      <c r="D313" s="755"/>
      <c r="E313" s="701"/>
      <c r="F313" s="507"/>
      <c r="G313" s="507"/>
      <c r="H313" s="507"/>
      <c r="I313" s="507"/>
      <c r="J313" s="507"/>
      <c r="K313" s="507"/>
      <c r="L313" s="507"/>
      <c r="M313" s="507"/>
      <c r="N313" s="507"/>
    </row>
    <row r="314" ht="35.25" hidden="1" customHeight="1">
      <c r="A314" s="757"/>
      <c r="B314" s="756"/>
      <c r="C314" s="756"/>
      <c r="D314" s="758"/>
      <c r="E314" s="701"/>
      <c r="F314" s="507"/>
      <c r="G314" s="507"/>
      <c r="H314" s="507"/>
      <c r="I314" s="507"/>
      <c r="J314" s="507"/>
      <c r="K314" s="507"/>
      <c r="L314" s="507"/>
      <c r="M314" s="507"/>
      <c r="N314" s="507"/>
    </row>
    <row r="315" ht="35.25" hidden="1" customHeight="1">
      <c r="A315" s="922" t="s">
        <v>178</v>
      </c>
      <c r="B315" s="760" t="s">
        <v>913</v>
      </c>
      <c r="C315" s="923" t="s">
        <v>684</v>
      </c>
      <c r="D315" s="924">
        <f>SUM(C315:C323)</f>
        <v>277216000</v>
      </c>
      <c r="E315" s="701"/>
      <c r="F315" s="507"/>
      <c r="G315" s="507"/>
      <c r="H315" s="507"/>
      <c r="I315" s="507"/>
      <c r="J315" s="507"/>
      <c r="K315" s="507"/>
      <c r="L315" s="507"/>
      <c r="M315" s="507"/>
      <c r="N315" s="507"/>
    </row>
    <row r="316" ht="35.25" hidden="1" customHeight="1">
      <c r="A316" s="775"/>
      <c r="B316" s="760" t="s">
        <v>914</v>
      </c>
      <c r="C316" s="923" t="s">
        <v>684</v>
      </c>
      <c r="D316" s="776"/>
      <c r="E316" s="701"/>
      <c r="F316" s="507"/>
      <c r="G316" s="507"/>
      <c r="H316" s="507"/>
      <c r="I316" s="507"/>
      <c r="J316" s="507"/>
      <c r="K316" s="507"/>
      <c r="L316" s="507"/>
      <c r="M316" s="507"/>
      <c r="N316" s="507"/>
    </row>
    <row r="317" ht="35.25" hidden="1" customHeight="1">
      <c r="A317" s="775"/>
      <c r="B317" s="760" t="s">
        <v>915</v>
      </c>
      <c r="C317" s="923" t="s">
        <v>684</v>
      </c>
      <c r="D317" s="776"/>
      <c r="E317" s="701"/>
      <c r="F317" s="507"/>
      <c r="G317" s="507"/>
      <c r="H317" s="507"/>
      <c r="I317" s="507"/>
      <c r="J317" s="507"/>
      <c r="K317" s="507"/>
      <c r="L317" s="507"/>
      <c r="M317" s="507"/>
      <c r="N317" s="507"/>
    </row>
    <row r="318" ht="35.25" hidden="1" customHeight="1">
      <c r="A318" s="775"/>
      <c r="B318" s="760" t="s">
        <v>916</v>
      </c>
      <c r="C318" s="923" t="s">
        <v>684</v>
      </c>
      <c r="D318" s="776"/>
      <c r="E318" s="701"/>
      <c r="F318" s="507"/>
      <c r="G318" s="507"/>
      <c r="H318" s="507"/>
      <c r="I318" s="507"/>
      <c r="J318" s="507"/>
      <c r="K318" s="507"/>
      <c r="L318" s="507"/>
      <c r="M318" s="507"/>
      <c r="N318" s="507"/>
    </row>
    <row r="319" ht="35.25" hidden="1" customHeight="1">
      <c r="A319" s="775"/>
      <c r="B319" s="784" t="s">
        <v>6</v>
      </c>
      <c r="C319" s="925">
        <v>4.1324E7</v>
      </c>
      <c r="D319" s="776"/>
      <c r="E319" s="701" t="s">
        <v>800</v>
      </c>
      <c r="F319" s="507"/>
      <c r="G319" s="507"/>
      <c r="H319" s="507"/>
      <c r="I319" s="507"/>
      <c r="J319" s="507"/>
      <c r="K319" s="507"/>
      <c r="L319" s="507"/>
      <c r="M319" s="507"/>
      <c r="N319" s="507"/>
    </row>
    <row r="320" ht="35.25" hidden="1" customHeight="1">
      <c r="A320" s="775"/>
      <c r="B320" s="760" t="s">
        <v>8</v>
      </c>
      <c r="C320" s="923">
        <v>4.684E7</v>
      </c>
      <c r="D320" s="776"/>
      <c r="E320" s="701"/>
      <c r="F320" s="507"/>
      <c r="G320" s="507"/>
      <c r="H320" s="507"/>
      <c r="I320" s="507"/>
      <c r="J320" s="507"/>
      <c r="K320" s="507"/>
      <c r="L320" s="507"/>
      <c r="M320" s="507"/>
      <c r="N320" s="507"/>
    </row>
    <row r="321" ht="35.25" hidden="1" customHeight="1">
      <c r="A321" s="775"/>
      <c r="B321" s="760" t="s">
        <v>9</v>
      </c>
      <c r="C321" s="923">
        <v>6.8104E7</v>
      </c>
      <c r="D321" s="776"/>
      <c r="E321" s="701"/>
      <c r="F321" s="507"/>
      <c r="G321" s="507"/>
      <c r="H321" s="507"/>
      <c r="I321" s="507"/>
      <c r="J321" s="507"/>
      <c r="K321" s="507"/>
      <c r="L321" s="507"/>
      <c r="M321" s="507"/>
      <c r="N321" s="507"/>
    </row>
    <row r="322" ht="35.25" hidden="1" customHeight="1">
      <c r="A322" s="775"/>
      <c r="B322" s="760" t="s">
        <v>10</v>
      </c>
      <c r="C322" s="923">
        <v>4.813E7</v>
      </c>
      <c r="D322" s="776"/>
      <c r="E322" s="701"/>
      <c r="F322" s="507"/>
      <c r="G322" s="507"/>
      <c r="H322" s="507"/>
      <c r="I322" s="507"/>
      <c r="J322" s="507"/>
      <c r="K322" s="507"/>
      <c r="L322" s="507"/>
      <c r="M322" s="507"/>
      <c r="N322" s="507"/>
    </row>
    <row r="323" ht="35.25" hidden="1" customHeight="1">
      <c r="A323" s="775"/>
      <c r="B323" s="751" t="s">
        <v>1120</v>
      </c>
      <c r="C323" s="923">
        <v>7.2818E7</v>
      </c>
      <c r="D323" s="776"/>
      <c r="E323" s="701"/>
      <c r="F323" s="507"/>
      <c r="G323" s="507"/>
      <c r="H323" s="507"/>
      <c r="I323" s="507"/>
      <c r="J323" s="507"/>
      <c r="K323" s="507"/>
      <c r="L323" s="507"/>
      <c r="M323" s="507"/>
      <c r="N323" s="507"/>
    </row>
    <row r="324" ht="35.25" hidden="1" customHeight="1">
      <c r="A324" s="775"/>
      <c r="B324" s="926"/>
      <c r="C324" s="926"/>
      <c r="D324" s="776"/>
      <c r="E324" s="701"/>
      <c r="F324" s="507"/>
      <c r="G324" s="507"/>
      <c r="H324" s="507"/>
      <c r="I324" s="507"/>
      <c r="J324" s="507"/>
      <c r="K324" s="507"/>
      <c r="L324" s="507"/>
      <c r="M324" s="507"/>
      <c r="N324" s="507"/>
    </row>
    <row r="325" ht="35.25" hidden="1" customHeight="1">
      <c r="A325" s="927"/>
      <c r="B325" s="926"/>
      <c r="C325" s="926"/>
      <c r="D325" s="928"/>
      <c r="E325" s="701"/>
      <c r="F325" s="507"/>
      <c r="G325" s="507"/>
      <c r="H325" s="507"/>
      <c r="I325" s="507"/>
      <c r="J325" s="507"/>
      <c r="K325" s="507"/>
      <c r="L325" s="507"/>
      <c r="M325" s="507"/>
      <c r="N325" s="507"/>
    </row>
    <row r="326" ht="35.25" hidden="1" customHeight="1">
      <c r="A326" s="771" t="s">
        <v>182</v>
      </c>
      <c r="B326" s="760" t="s">
        <v>914</v>
      </c>
      <c r="C326" s="761" t="s">
        <v>684</v>
      </c>
      <c r="D326" s="774">
        <f>SUM(C327:C333)</f>
        <v>218796100</v>
      </c>
      <c r="E326" s="701"/>
      <c r="F326" s="507"/>
      <c r="G326" s="507"/>
      <c r="H326" s="507"/>
      <c r="I326" s="507"/>
      <c r="J326" s="507"/>
      <c r="K326" s="507"/>
      <c r="L326" s="507"/>
      <c r="M326" s="507"/>
      <c r="N326" s="507"/>
    </row>
    <row r="327" ht="35.25" hidden="1" customHeight="1">
      <c r="A327" s="775"/>
      <c r="B327" s="760" t="s">
        <v>915</v>
      </c>
      <c r="C327" s="761">
        <v>1.90293E7</v>
      </c>
      <c r="D327" s="776"/>
      <c r="E327" s="701"/>
      <c r="F327" s="507"/>
      <c r="G327" s="507"/>
      <c r="H327" s="507"/>
      <c r="I327" s="507"/>
      <c r="J327" s="507"/>
      <c r="K327" s="507"/>
      <c r="L327" s="507"/>
      <c r="M327" s="507"/>
      <c r="N327" s="507"/>
    </row>
    <row r="328" ht="35.25" hidden="1" customHeight="1">
      <c r="A328" s="775"/>
      <c r="B328" s="760" t="s">
        <v>916</v>
      </c>
      <c r="C328" s="761">
        <v>2.96348E7</v>
      </c>
      <c r="D328" s="776"/>
      <c r="E328" s="701"/>
      <c r="F328" s="507"/>
      <c r="G328" s="507"/>
      <c r="H328" s="507"/>
      <c r="I328" s="507"/>
      <c r="J328" s="507"/>
      <c r="K328" s="507"/>
      <c r="L328" s="507"/>
      <c r="M328" s="507"/>
      <c r="N328" s="507"/>
    </row>
    <row r="329" ht="35.25" hidden="1" customHeight="1">
      <c r="A329" s="775"/>
      <c r="B329" s="760" t="s">
        <v>6</v>
      </c>
      <c r="C329" s="761">
        <v>2.33702E7</v>
      </c>
      <c r="D329" s="776"/>
      <c r="E329" s="701"/>
      <c r="F329" s="507"/>
      <c r="G329" s="507"/>
      <c r="H329" s="507"/>
      <c r="I329" s="507"/>
      <c r="J329" s="507"/>
      <c r="K329" s="507"/>
      <c r="L329" s="507"/>
      <c r="M329" s="507"/>
      <c r="N329" s="507"/>
    </row>
    <row r="330" ht="35.25" hidden="1" customHeight="1">
      <c r="A330" s="775"/>
      <c r="B330" s="760" t="s">
        <v>8</v>
      </c>
      <c r="C330" s="761">
        <v>2.7115E7</v>
      </c>
      <c r="D330" s="776"/>
      <c r="E330" s="701" t="s">
        <v>801</v>
      </c>
      <c r="F330" s="507"/>
      <c r="G330" s="507"/>
      <c r="H330" s="507"/>
      <c r="I330" s="507"/>
      <c r="J330" s="507"/>
      <c r="K330" s="507"/>
      <c r="L330" s="507"/>
      <c r="M330" s="507"/>
      <c r="N330" s="507"/>
    </row>
    <row r="331" ht="35.25" hidden="1" customHeight="1">
      <c r="A331" s="775"/>
      <c r="B331" s="760" t="s">
        <v>9</v>
      </c>
      <c r="C331" s="761">
        <v>4.51226E7</v>
      </c>
      <c r="D331" s="776"/>
      <c r="E331" s="701"/>
      <c r="F331" s="507"/>
      <c r="G331" s="507"/>
      <c r="H331" s="507"/>
      <c r="I331" s="507"/>
      <c r="J331" s="507"/>
      <c r="K331" s="507"/>
      <c r="L331" s="507"/>
      <c r="M331" s="507"/>
      <c r="N331" s="507"/>
    </row>
    <row r="332" ht="35.25" hidden="1" customHeight="1">
      <c r="A332" s="775"/>
      <c r="B332" s="760" t="s">
        <v>10</v>
      </c>
      <c r="C332" s="761">
        <v>2.65832E7</v>
      </c>
      <c r="D332" s="776"/>
      <c r="E332" s="701"/>
      <c r="F332" s="507"/>
      <c r="G332" s="507"/>
      <c r="H332" s="507"/>
      <c r="I332" s="507"/>
      <c r="J332" s="507"/>
      <c r="K332" s="507"/>
      <c r="L332" s="507"/>
      <c r="M332" s="507"/>
      <c r="N332" s="507"/>
    </row>
    <row r="333" ht="35.25" hidden="1" customHeight="1">
      <c r="A333" s="775"/>
      <c r="B333" s="751" t="s">
        <v>1120</v>
      </c>
      <c r="C333" s="761">
        <v>4.7941E7</v>
      </c>
      <c r="D333" s="776"/>
      <c r="E333" s="701" t="s">
        <v>1121</v>
      </c>
      <c r="F333" s="507"/>
      <c r="G333" s="507"/>
      <c r="H333" s="507"/>
      <c r="I333" s="507"/>
      <c r="J333" s="507"/>
      <c r="K333" s="507"/>
      <c r="L333" s="507"/>
      <c r="M333" s="507"/>
      <c r="N333" s="507"/>
    </row>
    <row r="334" ht="35.25" hidden="1" customHeight="1">
      <c r="A334" s="775"/>
      <c r="B334" s="756"/>
      <c r="C334" s="756"/>
      <c r="D334" s="776"/>
      <c r="E334" s="701"/>
      <c r="F334" s="507"/>
      <c r="G334" s="507"/>
      <c r="H334" s="507"/>
      <c r="I334" s="507"/>
      <c r="J334" s="507"/>
      <c r="K334" s="507"/>
      <c r="L334" s="507"/>
      <c r="M334" s="507"/>
      <c r="N334" s="507"/>
    </row>
    <row r="335" ht="35.25" hidden="1" customHeight="1">
      <c r="A335" s="775"/>
      <c r="B335" s="756"/>
      <c r="C335" s="756"/>
      <c r="D335" s="776"/>
      <c r="E335" s="701"/>
      <c r="F335" s="507"/>
      <c r="G335" s="507"/>
      <c r="H335" s="507"/>
      <c r="I335" s="507"/>
      <c r="J335" s="507"/>
      <c r="K335" s="507"/>
      <c r="L335" s="507"/>
      <c r="M335" s="507"/>
      <c r="N335" s="507"/>
    </row>
    <row r="336" ht="35.25" hidden="1" customHeight="1">
      <c r="A336" s="779"/>
      <c r="B336" s="926"/>
      <c r="C336" s="926"/>
      <c r="D336" s="781"/>
      <c r="E336" s="701"/>
      <c r="F336" s="507"/>
      <c r="G336" s="507"/>
      <c r="H336" s="507"/>
      <c r="I336" s="507"/>
      <c r="J336" s="507"/>
      <c r="K336" s="507"/>
      <c r="L336" s="507"/>
      <c r="M336" s="507"/>
      <c r="N336" s="507"/>
    </row>
    <row r="337" ht="35.25" hidden="1" customHeight="1">
      <c r="A337" s="782" t="s">
        <v>184</v>
      </c>
      <c r="B337" s="929" t="s">
        <v>904</v>
      </c>
      <c r="C337" s="930" t="s">
        <v>684</v>
      </c>
      <c r="D337" s="774">
        <f>SUM(C337:C346)</f>
        <v>188468000</v>
      </c>
      <c r="E337" s="701"/>
      <c r="F337" s="507"/>
      <c r="G337" s="507"/>
      <c r="H337" s="507"/>
      <c r="I337" s="507"/>
      <c r="J337" s="507"/>
      <c r="K337" s="507"/>
      <c r="L337" s="507"/>
      <c r="M337" s="507"/>
      <c r="N337" s="507"/>
    </row>
    <row r="338" ht="35.25" hidden="1" customHeight="1">
      <c r="A338" s="775"/>
      <c r="B338" s="760" t="s">
        <v>219</v>
      </c>
      <c r="C338" s="761" t="s">
        <v>684</v>
      </c>
      <c r="D338" s="776"/>
      <c r="E338" s="701"/>
      <c r="F338" s="507"/>
      <c r="G338" s="507"/>
      <c r="H338" s="507"/>
      <c r="I338" s="507"/>
      <c r="J338" s="507"/>
      <c r="K338" s="507"/>
      <c r="L338" s="507"/>
      <c r="M338" s="507"/>
      <c r="N338" s="507"/>
    </row>
    <row r="339" ht="35.25" hidden="1" customHeight="1">
      <c r="A339" s="775"/>
      <c r="B339" s="760" t="s">
        <v>220</v>
      </c>
      <c r="C339" s="761">
        <v>2.7336E7</v>
      </c>
      <c r="D339" s="776"/>
      <c r="E339" s="701"/>
      <c r="F339" s="507"/>
      <c r="G339" s="507"/>
      <c r="H339" s="507"/>
      <c r="I339" s="507"/>
      <c r="J339" s="507"/>
      <c r="K339" s="507"/>
      <c r="L339" s="507"/>
      <c r="M339" s="507"/>
      <c r="N339" s="507"/>
    </row>
    <row r="340" ht="35.25" hidden="1" customHeight="1">
      <c r="A340" s="775"/>
      <c r="B340" s="760" t="s">
        <v>913</v>
      </c>
      <c r="C340" s="761">
        <v>4.24085E7</v>
      </c>
      <c r="D340" s="776"/>
      <c r="E340" s="701"/>
      <c r="F340" s="507"/>
      <c r="G340" s="507"/>
      <c r="H340" s="507"/>
      <c r="I340" s="507"/>
      <c r="J340" s="507"/>
      <c r="K340" s="507"/>
      <c r="L340" s="507"/>
      <c r="M340" s="507"/>
      <c r="N340" s="507"/>
    </row>
    <row r="341" ht="35.25" hidden="1" customHeight="1">
      <c r="A341" s="775"/>
      <c r="B341" s="784" t="s">
        <v>915</v>
      </c>
      <c r="C341" s="785">
        <v>3.5785E7</v>
      </c>
      <c r="D341" s="776"/>
      <c r="E341" s="701"/>
      <c r="F341" s="507"/>
      <c r="G341" s="507"/>
      <c r="H341" s="507"/>
      <c r="I341" s="507"/>
      <c r="J341" s="507"/>
      <c r="K341" s="507"/>
      <c r="L341" s="507"/>
      <c r="M341" s="507"/>
      <c r="N341" s="507"/>
    </row>
    <row r="342" ht="35.25" hidden="1" customHeight="1">
      <c r="A342" s="775"/>
      <c r="B342" s="751" t="s">
        <v>916</v>
      </c>
      <c r="C342" s="785">
        <v>1.9509E7</v>
      </c>
      <c r="D342" s="776"/>
      <c r="E342" s="701"/>
      <c r="F342" s="507"/>
      <c r="G342" s="507"/>
      <c r="H342" s="507"/>
      <c r="I342" s="507"/>
      <c r="J342" s="507"/>
      <c r="K342" s="507"/>
      <c r="L342" s="507"/>
      <c r="M342" s="507"/>
      <c r="N342" s="507"/>
    </row>
    <row r="343" ht="35.25" hidden="1" customHeight="1">
      <c r="A343" s="775"/>
      <c r="B343" s="760" t="s">
        <v>6</v>
      </c>
      <c r="C343" s="785">
        <v>0.0</v>
      </c>
      <c r="D343" s="776"/>
      <c r="E343" s="701"/>
      <c r="F343" s="507"/>
      <c r="G343" s="507"/>
      <c r="H343" s="507"/>
      <c r="I343" s="507"/>
      <c r="J343" s="507"/>
      <c r="K343" s="507"/>
      <c r="L343" s="507"/>
      <c r="M343" s="507"/>
      <c r="N343" s="507"/>
    </row>
    <row r="344" ht="35.25" hidden="1" customHeight="1">
      <c r="A344" s="775"/>
      <c r="B344" s="760" t="s">
        <v>8</v>
      </c>
      <c r="C344" s="785">
        <v>2.70725E7</v>
      </c>
      <c r="D344" s="776"/>
      <c r="E344" s="701"/>
      <c r="F344" s="507"/>
      <c r="G344" s="507"/>
      <c r="H344" s="507"/>
      <c r="I344" s="507"/>
      <c r="J344" s="507"/>
      <c r="K344" s="507"/>
      <c r="L344" s="507"/>
      <c r="M344" s="507"/>
      <c r="N344" s="507"/>
    </row>
    <row r="345" ht="35.25" hidden="1" customHeight="1">
      <c r="A345" s="775"/>
      <c r="B345" s="760" t="s">
        <v>9</v>
      </c>
      <c r="C345" s="785">
        <v>0.0</v>
      </c>
      <c r="D345" s="776"/>
      <c r="E345" s="701"/>
      <c r="F345" s="507"/>
      <c r="G345" s="507"/>
      <c r="H345" s="507"/>
      <c r="I345" s="507"/>
      <c r="J345" s="507"/>
      <c r="K345" s="507"/>
      <c r="L345" s="507"/>
      <c r="M345" s="507"/>
      <c r="N345" s="507"/>
    </row>
    <row r="346" ht="35.25" hidden="1" customHeight="1">
      <c r="A346" s="775"/>
      <c r="B346" s="760" t="s">
        <v>10</v>
      </c>
      <c r="C346" s="785">
        <v>3.6357E7</v>
      </c>
      <c r="D346" s="776"/>
      <c r="E346" s="701"/>
      <c r="F346" s="507"/>
      <c r="G346" s="507"/>
      <c r="H346" s="507"/>
      <c r="I346" s="507"/>
      <c r="J346" s="507"/>
      <c r="K346" s="507"/>
      <c r="L346" s="507"/>
      <c r="M346" s="507"/>
      <c r="N346" s="507"/>
    </row>
    <row r="347" ht="35.25" hidden="1" customHeight="1">
      <c r="A347" s="779"/>
      <c r="B347" s="751" t="s">
        <v>1120</v>
      </c>
      <c r="C347" s="785">
        <v>0.0</v>
      </c>
      <c r="D347" s="781"/>
      <c r="E347" s="701"/>
      <c r="F347" s="507"/>
      <c r="G347" s="507"/>
      <c r="H347" s="507"/>
      <c r="I347" s="507"/>
      <c r="J347" s="507"/>
      <c r="K347" s="507"/>
      <c r="L347" s="507"/>
      <c r="M347" s="507"/>
      <c r="N347" s="507"/>
    </row>
    <row r="348" ht="35.25" hidden="1" customHeight="1">
      <c r="A348" s="771" t="s">
        <v>367</v>
      </c>
      <c r="B348" s="760" t="s">
        <v>6</v>
      </c>
      <c r="C348" s="787">
        <v>9.36097E7</v>
      </c>
      <c r="D348" s="774">
        <f>SUM(C348:C357)</f>
        <v>662307500</v>
      </c>
      <c r="E348" s="701"/>
      <c r="F348" s="507"/>
      <c r="G348" s="507"/>
      <c r="H348" s="507"/>
      <c r="I348" s="507"/>
      <c r="J348" s="507"/>
      <c r="K348" s="507"/>
      <c r="L348" s="507"/>
      <c r="M348" s="507"/>
      <c r="N348" s="507"/>
    </row>
    <row r="349" ht="35.25" hidden="1" customHeight="1">
      <c r="A349" s="775"/>
      <c r="B349" s="760" t="s">
        <v>8</v>
      </c>
      <c r="C349" s="786">
        <v>7.73087E7</v>
      </c>
      <c r="D349" s="776"/>
      <c r="E349" s="701">
        <f>SUM(C348:C352)</f>
        <v>393184200</v>
      </c>
      <c r="F349" s="507"/>
      <c r="G349" s="507"/>
      <c r="H349" s="507"/>
      <c r="I349" s="507"/>
      <c r="J349" s="507"/>
      <c r="K349" s="507"/>
      <c r="L349" s="507"/>
      <c r="M349" s="507"/>
      <c r="N349" s="507"/>
    </row>
    <row r="350" ht="35.25" hidden="1" customHeight="1">
      <c r="A350" s="775"/>
      <c r="B350" s="760" t="s">
        <v>9</v>
      </c>
      <c r="C350" s="786">
        <v>7.54675E7</v>
      </c>
      <c r="D350" s="776"/>
      <c r="E350" s="701"/>
      <c r="F350" s="507"/>
      <c r="G350" s="507"/>
      <c r="H350" s="507"/>
      <c r="I350" s="507"/>
      <c r="J350" s="507"/>
      <c r="K350" s="507"/>
      <c r="L350" s="507"/>
      <c r="M350" s="507"/>
      <c r="N350" s="507"/>
    </row>
    <row r="351" ht="35.25" hidden="1" customHeight="1">
      <c r="A351" s="775"/>
      <c r="B351" s="760" t="s">
        <v>10</v>
      </c>
      <c r="C351" s="786">
        <v>8.66958E7</v>
      </c>
      <c r="D351" s="776"/>
      <c r="E351" s="701"/>
      <c r="F351" s="507"/>
      <c r="G351" s="507"/>
      <c r="H351" s="507"/>
      <c r="I351" s="507"/>
      <c r="J351" s="507"/>
      <c r="K351" s="507"/>
      <c r="L351" s="507"/>
      <c r="M351" s="507"/>
      <c r="N351" s="507"/>
    </row>
    <row r="352" ht="35.25" hidden="1" customHeight="1">
      <c r="A352" s="775"/>
      <c r="B352" s="751" t="s">
        <v>1120</v>
      </c>
      <c r="C352" s="786">
        <v>6.01025E7</v>
      </c>
      <c r="D352" s="776"/>
      <c r="E352" s="701"/>
      <c r="F352" s="507"/>
      <c r="G352" s="507"/>
      <c r="H352" s="507"/>
      <c r="I352" s="507"/>
      <c r="J352" s="507"/>
      <c r="K352" s="507"/>
      <c r="L352" s="507"/>
      <c r="M352" s="507"/>
      <c r="N352" s="507"/>
    </row>
    <row r="353" ht="35.25" hidden="1" customHeight="1">
      <c r="A353" s="775"/>
      <c r="B353" s="751" t="s">
        <v>1106</v>
      </c>
      <c r="C353" s="786">
        <f>3769000+2975000</f>
        <v>6744000</v>
      </c>
      <c r="D353" s="776"/>
      <c r="E353" s="701"/>
      <c r="F353" s="507"/>
      <c r="G353" s="507"/>
      <c r="H353" s="507"/>
      <c r="I353" s="507"/>
      <c r="J353" s="507"/>
      <c r="K353" s="507"/>
      <c r="L353" s="507"/>
      <c r="M353" s="507"/>
      <c r="N353" s="507"/>
    </row>
    <row r="354" ht="35.25" hidden="1" customHeight="1">
      <c r="A354" s="775"/>
      <c r="B354" s="751" t="s">
        <v>1109</v>
      </c>
      <c r="C354" s="786">
        <v>9.48463E7</v>
      </c>
      <c r="D354" s="776"/>
      <c r="E354" s="701"/>
      <c r="F354" s="507"/>
      <c r="G354" s="507"/>
      <c r="H354" s="507"/>
      <c r="I354" s="507"/>
      <c r="J354" s="507"/>
      <c r="K354" s="507"/>
      <c r="L354" s="507"/>
      <c r="M354" s="507"/>
      <c r="N354" s="507"/>
    </row>
    <row r="355" ht="35.25" hidden="1" customHeight="1">
      <c r="A355" s="775"/>
      <c r="B355" s="751" t="s">
        <v>1111</v>
      </c>
      <c r="C355" s="786">
        <v>8.40035E7</v>
      </c>
      <c r="D355" s="776"/>
      <c r="E355" s="701"/>
      <c r="F355" s="507"/>
      <c r="G355" s="507"/>
      <c r="H355" s="507"/>
      <c r="I355" s="507"/>
      <c r="J355" s="507"/>
      <c r="K355" s="507"/>
      <c r="L355" s="507"/>
      <c r="M355" s="507"/>
      <c r="N355" s="507"/>
    </row>
    <row r="356" ht="35.25" hidden="1" customHeight="1">
      <c r="A356" s="775"/>
      <c r="B356" s="751" t="s">
        <v>323</v>
      </c>
      <c r="C356" s="786">
        <v>8.35295E7</v>
      </c>
      <c r="D356" s="776"/>
      <c r="E356" s="701"/>
      <c r="F356" s="507"/>
      <c r="G356" s="507"/>
      <c r="H356" s="507"/>
      <c r="I356" s="507"/>
      <c r="J356" s="507"/>
      <c r="K356" s="507"/>
      <c r="L356" s="507"/>
      <c r="M356" s="507"/>
      <c r="N356" s="507"/>
    </row>
    <row r="357" ht="35.25" hidden="1" customHeight="1">
      <c r="A357" s="779"/>
      <c r="B357" s="926"/>
      <c r="C357" s="926"/>
      <c r="D357" s="781"/>
      <c r="E357" s="701"/>
      <c r="F357" s="507"/>
      <c r="G357" s="507"/>
      <c r="H357" s="507"/>
      <c r="I357" s="507"/>
      <c r="J357" s="507"/>
      <c r="K357" s="507"/>
      <c r="L357" s="507"/>
      <c r="M357" s="507"/>
      <c r="N357" s="507"/>
    </row>
    <row r="358" ht="35.25" hidden="1" customHeight="1">
      <c r="A358" s="782" t="s">
        <v>205</v>
      </c>
      <c r="B358" s="760" t="s">
        <v>8</v>
      </c>
      <c r="C358" s="931" t="s">
        <v>684</v>
      </c>
      <c r="D358" s="774">
        <f>sum(C360)</f>
        <v>0</v>
      </c>
      <c r="E358" s="701"/>
      <c r="F358" s="507"/>
      <c r="G358" s="507"/>
      <c r="H358" s="507"/>
      <c r="I358" s="507"/>
      <c r="J358" s="507"/>
      <c r="K358" s="507"/>
      <c r="L358" s="507"/>
      <c r="M358" s="507"/>
      <c r="N358" s="507"/>
    </row>
    <row r="359" ht="35.25" hidden="1" customHeight="1">
      <c r="A359" s="775"/>
      <c r="B359" s="760" t="s">
        <v>9</v>
      </c>
      <c r="C359" s="931" t="s">
        <v>684</v>
      </c>
      <c r="D359" s="776"/>
      <c r="E359" s="701"/>
      <c r="F359" s="648"/>
      <c r="G359" s="648"/>
      <c r="H359" s="648"/>
      <c r="I359" s="648"/>
      <c r="J359" s="648"/>
      <c r="K359" s="648"/>
      <c r="L359" s="648"/>
      <c r="M359" s="648"/>
      <c r="N359" s="648"/>
    </row>
    <row r="360" ht="35.25" hidden="1" customHeight="1">
      <c r="A360" s="775"/>
      <c r="B360" s="760" t="s">
        <v>10</v>
      </c>
      <c r="C360" s="932" t="s">
        <v>684</v>
      </c>
      <c r="D360" s="776"/>
      <c r="E360" s="701" t="s">
        <v>813</v>
      </c>
      <c r="F360" s="648"/>
      <c r="G360" s="648"/>
      <c r="H360" s="648"/>
      <c r="I360" s="648"/>
      <c r="J360" s="648"/>
      <c r="K360" s="648"/>
      <c r="L360" s="648"/>
      <c r="M360" s="648"/>
      <c r="N360" s="648"/>
    </row>
    <row r="361" ht="35.25" hidden="1" customHeight="1">
      <c r="A361" s="775"/>
      <c r="B361" s="751" t="s">
        <v>1120</v>
      </c>
      <c r="C361" s="932">
        <v>3.44463E7</v>
      </c>
      <c r="D361" s="776"/>
      <c r="E361" s="701"/>
      <c r="F361" s="648"/>
      <c r="G361" s="648"/>
      <c r="H361" s="648"/>
      <c r="I361" s="648"/>
      <c r="J361" s="648"/>
      <c r="K361" s="648"/>
      <c r="L361" s="648"/>
      <c r="M361" s="648"/>
      <c r="N361" s="648"/>
    </row>
    <row r="362" ht="35.25" hidden="1" customHeight="1">
      <c r="A362" s="775"/>
      <c r="B362" s="760"/>
      <c r="C362" s="786"/>
      <c r="D362" s="776"/>
      <c r="E362" s="701"/>
      <c r="F362" s="648"/>
      <c r="G362" s="648"/>
      <c r="H362" s="648"/>
      <c r="I362" s="648"/>
      <c r="J362" s="648"/>
      <c r="K362" s="648"/>
      <c r="L362" s="648"/>
      <c r="M362" s="648"/>
      <c r="N362" s="648"/>
    </row>
    <row r="363" ht="35.25" hidden="1" customHeight="1">
      <c r="A363" s="779"/>
      <c r="B363" s="926"/>
      <c r="C363" s="926"/>
      <c r="D363" s="781"/>
      <c r="E363" s="701"/>
      <c r="F363" s="648"/>
      <c r="G363" s="648"/>
      <c r="H363" s="648"/>
      <c r="I363" s="648"/>
      <c r="J363" s="648"/>
      <c r="K363" s="648"/>
      <c r="L363" s="648"/>
      <c r="M363" s="648"/>
      <c r="N363" s="648"/>
    </row>
    <row r="364" ht="35.25" hidden="1" customHeight="1">
      <c r="A364" s="771" t="s">
        <v>292</v>
      </c>
      <c r="B364" s="760" t="s">
        <v>6</v>
      </c>
      <c r="C364" s="932" t="s">
        <v>684</v>
      </c>
      <c r="D364" s="774">
        <f>sum(C365:C367)</f>
        <v>224975500</v>
      </c>
      <c r="E364" s="701"/>
      <c r="F364" s="507"/>
      <c r="G364" s="507"/>
      <c r="H364" s="507"/>
      <c r="I364" s="507"/>
      <c r="J364" s="507"/>
      <c r="K364" s="507"/>
      <c r="L364" s="507"/>
      <c r="M364" s="507"/>
      <c r="N364" s="507"/>
    </row>
    <row r="365" ht="35.25" hidden="1" customHeight="1">
      <c r="A365" s="775"/>
      <c r="B365" s="760" t="s">
        <v>8</v>
      </c>
      <c r="C365" s="932">
        <v>5.5977E7</v>
      </c>
      <c r="D365" s="776"/>
      <c r="E365" s="701"/>
      <c r="F365" s="507"/>
      <c r="G365" s="507"/>
      <c r="H365" s="507"/>
      <c r="I365" s="507"/>
      <c r="J365" s="507"/>
      <c r="K365" s="507"/>
      <c r="L365" s="507"/>
      <c r="M365" s="507"/>
      <c r="N365" s="507"/>
    </row>
    <row r="366" ht="35.25" hidden="1" customHeight="1">
      <c r="A366" s="775"/>
      <c r="B366" s="760" t="s">
        <v>9</v>
      </c>
      <c r="C366" s="932">
        <v>6.4635E7</v>
      </c>
      <c r="D366" s="776"/>
      <c r="E366" s="701" t="s">
        <v>815</v>
      </c>
      <c r="F366" s="507"/>
      <c r="G366" s="507"/>
      <c r="H366" s="507"/>
      <c r="I366" s="507"/>
      <c r="J366" s="507"/>
      <c r="K366" s="507"/>
      <c r="L366" s="507"/>
      <c r="M366" s="507"/>
      <c r="N366" s="507"/>
    </row>
    <row r="367" ht="35.25" hidden="1" customHeight="1">
      <c r="A367" s="775"/>
      <c r="B367" s="760" t="s">
        <v>10</v>
      </c>
      <c r="C367" s="932">
        <f>104408500-45000</f>
        <v>104363500</v>
      </c>
      <c r="D367" s="776"/>
      <c r="E367" s="701"/>
      <c r="F367" s="507"/>
      <c r="G367" s="507"/>
      <c r="H367" s="507"/>
      <c r="I367" s="507"/>
      <c r="J367" s="507"/>
      <c r="K367" s="507"/>
      <c r="L367" s="507"/>
      <c r="M367" s="507"/>
      <c r="N367" s="507"/>
    </row>
    <row r="368" ht="35.25" hidden="1" customHeight="1">
      <c r="A368" s="775"/>
      <c r="B368" s="751" t="s">
        <v>1122</v>
      </c>
      <c r="C368" s="926"/>
      <c r="D368" s="776"/>
      <c r="E368" s="701"/>
      <c r="F368" s="507"/>
      <c r="G368" s="507"/>
      <c r="H368" s="507"/>
      <c r="I368" s="507"/>
      <c r="J368" s="507"/>
      <c r="K368" s="507"/>
      <c r="L368" s="507"/>
      <c r="M368" s="507"/>
      <c r="N368" s="507"/>
    </row>
    <row r="369" ht="35.25" hidden="1" customHeight="1">
      <c r="A369" s="779"/>
      <c r="B369" s="926"/>
      <c r="C369" s="926"/>
      <c r="D369" s="781"/>
      <c r="E369" s="701"/>
      <c r="F369" s="507"/>
      <c r="G369" s="507"/>
      <c r="H369" s="507"/>
      <c r="I369" s="507"/>
      <c r="J369" s="507"/>
      <c r="K369" s="507"/>
      <c r="L369" s="507"/>
      <c r="M369" s="507"/>
      <c r="N369" s="507"/>
    </row>
    <row r="370" ht="35.25" hidden="1" customHeight="1">
      <c r="A370" s="771" t="s">
        <v>296</v>
      </c>
      <c r="B370" s="760" t="s">
        <v>8</v>
      </c>
      <c r="C370" s="932" t="s">
        <v>684</v>
      </c>
      <c r="D370" s="774">
        <f>sum(C373)</f>
        <v>57119000</v>
      </c>
      <c r="E370" s="701"/>
      <c r="F370" s="507"/>
      <c r="G370" s="507"/>
      <c r="H370" s="507"/>
      <c r="I370" s="507"/>
      <c r="J370" s="507"/>
      <c r="K370" s="507"/>
      <c r="L370" s="507"/>
      <c r="M370" s="507"/>
      <c r="N370" s="507"/>
    </row>
    <row r="371" ht="35.25" hidden="1" customHeight="1">
      <c r="A371" s="775"/>
      <c r="B371" s="760" t="s">
        <v>9</v>
      </c>
      <c r="C371" s="932" t="s">
        <v>684</v>
      </c>
      <c r="D371" s="776"/>
      <c r="E371" s="701"/>
      <c r="F371" s="507"/>
      <c r="G371" s="507"/>
      <c r="H371" s="507"/>
      <c r="I371" s="507"/>
      <c r="J371" s="507"/>
      <c r="K371" s="507"/>
      <c r="L371" s="507"/>
      <c r="M371" s="507"/>
      <c r="N371" s="507"/>
    </row>
    <row r="372" ht="35.25" hidden="1" customHeight="1">
      <c r="A372" s="775"/>
      <c r="B372" s="760" t="s">
        <v>10</v>
      </c>
      <c r="C372" s="932" t="s">
        <v>684</v>
      </c>
      <c r="D372" s="776"/>
      <c r="E372" s="701" t="s">
        <v>816</v>
      </c>
      <c r="F372" s="507"/>
      <c r="G372" s="507"/>
      <c r="H372" s="507"/>
      <c r="I372" s="507"/>
      <c r="J372" s="507"/>
      <c r="K372" s="507"/>
      <c r="L372" s="507"/>
      <c r="M372" s="507"/>
      <c r="N372" s="507"/>
    </row>
    <row r="373" ht="35.25" hidden="1" customHeight="1">
      <c r="A373" s="775"/>
      <c r="B373" s="751" t="s">
        <v>1120</v>
      </c>
      <c r="C373" s="932">
        <v>5.7119E7</v>
      </c>
      <c r="D373" s="776"/>
      <c r="E373" s="701"/>
      <c r="F373" s="507"/>
      <c r="G373" s="507"/>
      <c r="H373" s="507"/>
      <c r="I373" s="507"/>
      <c r="J373" s="507"/>
      <c r="K373" s="507"/>
      <c r="L373" s="507"/>
      <c r="M373" s="507"/>
      <c r="N373" s="507"/>
    </row>
    <row r="374" ht="35.25" hidden="1" customHeight="1">
      <c r="A374" s="775"/>
      <c r="B374" s="760"/>
      <c r="C374" s="932"/>
      <c r="D374" s="776"/>
      <c r="E374" s="701"/>
      <c r="F374" s="507"/>
      <c r="G374" s="507"/>
      <c r="H374" s="507"/>
      <c r="I374" s="507"/>
      <c r="J374" s="507"/>
      <c r="K374" s="507"/>
      <c r="L374" s="507"/>
      <c r="M374" s="507"/>
      <c r="N374" s="507"/>
    </row>
    <row r="375" ht="35.25" hidden="1" customHeight="1">
      <c r="A375" s="779"/>
      <c r="B375" s="926"/>
      <c r="C375" s="926"/>
      <c r="D375" s="781"/>
      <c r="E375" s="701"/>
      <c r="F375" s="507"/>
      <c r="G375" s="507"/>
      <c r="H375" s="507"/>
      <c r="I375" s="507"/>
      <c r="J375" s="507"/>
      <c r="K375" s="507"/>
      <c r="L375" s="507"/>
      <c r="M375" s="507"/>
      <c r="N375" s="507"/>
    </row>
    <row r="376" ht="35.25" hidden="1" customHeight="1">
      <c r="A376" s="853" t="s">
        <v>207</v>
      </c>
      <c r="B376" s="760"/>
      <c r="C376" s="932"/>
      <c r="D376" s="933">
        <f>sum(C377:C379)</f>
        <v>56479000</v>
      </c>
      <c r="E376" s="701"/>
      <c r="F376" s="507"/>
      <c r="G376" s="507"/>
      <c r="H376" s="507"/>
      <c r="I376" s="507"/>
      <c r="J376" s="507"/>
      <c r="K376" s="507"/>
      <c r="L376" s="507"/>
      <c r="M376" s="507"/>
      <c r="N376" s="507"/>
    </row>
    <row r="377" ht="35.25" hidden="1" customHeight="1">
      <c r="A377" s="817"/>
      <c r="B377" s="760" t="s">
        <v>9</v>
      </c>
      <c r="C377" s="932">
        <v>2.0014E7</v>
      </c>
      <c r="D377" s="817"/>
      <c r="E377" s="701" t="s">
        <v>819</v>
      </c>
      <c r="F377" s="507"/>
      <c r="G377" s="507"/>
      <c r="H377" s="507"/>
      <c r="I377" s="507"/>
      <c r="J377" s="507"/>
      <c r="K377" s="507"/>
      <c r="L377" s="507"/>
      <c r="M377" s="507"/>
      <c r="N377" s="507"/>
    </row>
    <row r="378" ht="35.25" hidden="1" customHeight="1">
      <c r="A378" s="817"/>
      <c r="B378" s="760" t="s">
        <v>10</v>
      </c>
      <c r="C378" s="932">
        <v>1.776E7</v>
      </c>
      <c r="D378" s="817"/>
      <c r="E378" s="701"/>
      <c r="F378" s="507"/>
      <c r="G378" s="507"/>
      <c r="H378" s="507"/>
      <c r="I378" s="507"/>
      <c r="J378" s="507"/>
      <c r="K378" s="507"/>
      <c r="L378" s="507"/>
      <c r="M378" s="507"/>
      <c r="N378" s="507"/>
    </row>
    <row r="379" ht="35.25" hidden="1" customHeight="1">
      <c r="A379" s="817"/>
      <c r="B379" s="751" t="s">
        <v>1120</v>
      </c>
      <c r="C379" s="932">
        <v>1.8705E7</v>
      </c>
      <c r="D379" s="817"/>
      <c r="E379" s="701"/>
      <c r="F379" s="507"/>
      <c r="G379" s="507"/>
      <c r="H379" s="507"/>
      <c r="I379" s="507"/>
      <c r="J379" s="507"/>
      <c r="K379" s="507"/>
      <c r="L379" s="507"/>
      <c r="M379" s="507"/>
      <c r="N379" s="507"/>
    </row>
    <row r="380" ht="35.25" hidden="1" customHeight="1">
      <c r="A380" s="817"/>
      <c r="B380" s="756"/>
      <c r="C380" s="756"/>
      <c r="D380" s="817"/>
      <c r="E380" s="701"/>
      <c r="F380" s="507"/>
      <c r="G380" s="507"/>
      <c r="H380" s="507"/>
      <c r="I380" s="507"/>
      <c r="J380" s="507"/>
      <c r="K380" s="507"/>
      <c r="L380" s="507"/>
      <c r="M380" s="507"/>
      <c r="N380" s="507"/>
    </row>
    <row r="381" ht="35.25" hidden="1" customHeight="1">
      <c r="A381" s="817"/>
      <c r="B381" s="756"/>
      <c r="C381" s="756"/>
      <c r="D381" s="817"/>
      <c r="E381" s="701"/>
      <c r="F381" s="507"/>
      <c r="G381" s="507"/>
      <c r="H381" s="507"/>
      <c r="I381" s="507"/>
      <c r="J381" s="507"/>
      <c r="K381" s="507"/>
      <c r="L381" s="507"/>
      <c r="M381" s="507"/>
      <c r="N381" s="507"/>
    </row>
    <row r="382" ht="35.25" hidden="1" customHeight="1">
      <c r="A382" s="818"/>
      <c r="B382" s="926"/>
      <c r="C382" s="926"/>
      <c r="D382" s="818"/>
      <c r="E382" s="701"/>
      <c r="F382" s="507"/>
      <c r="G382" s="507"/>
      <c r="H382" s="507"/>
      <c r="I382" s="507"/>
      <c r="J382" s="507"/>
      <c r="K382" s="507"/>
      <c r="L382" s="507"/>
      <c r="M382" s="507"/>
      <c r="N382" s="507"/>
    </row>
    <row r="383" ht="35.25" hidden="1" customHeight="1">
      <c r="A383" s="934" t="s">
        <v>302</v>
      </c>
      <c r="B383" s="760" t="s">
        <v>6</v>
      </c>
      <c r="C383" s="787">
        <v>3.3085E7</v>
      </c>
      <c r="D383" s="935">
        <f>sum(C383:C387)</f>
        <v>191555000</v>
      </c>
      <c r="E383" s="701"/>
      <c r="F383" s="507"/>
      <c r="G383" s="507"/>
      <c r="H383" s="507"/>
      <c r="I383" s="507"/>
      <c r="J383" s="507"/>
      <c r="K383" s="507"/>
      <c r="L383" s="507"/>
      <c r="M383" s="507"/>
      <c r="N383" s="507"/>
    </row>
    <row r="384" ht="35.25" hidden="1" customHeight="1">
      <c r="A384" s="775"/>
      <c r="B384" s="760" t="s">
        <v>8</v>
      </c>
      <c r="C384" s="787">
        <v>4.806E7</v>
      </c>
      <c r="D384" s="776"/>
      <c r="E384" s="701" t="s">
        <v>917</v>
      </c>
      <c r="F384" s="507"/>
      <c r="G384" s="507"/>
      <c r="H384" s="507"/>
      <c r="I384" s="507"/>
      <c r="J384" s="507"/>
      <c r="K384" s="507"/>
      <c r="L384" s="507"/>
      <c r="M384" s="507"/>
      <c r="N384" s="507"/>
    </row>
    <row r="385" ht="35.25" hidden="1" customHeight="1">
      <c r="A385" s="775"/>
      <c r="B385" s="760" t="s">
        <v>9</v>
      </c>
      <c r="C385" s="787">
        <v>2.7453E7</v>
      </c>
      <c r="D385" s="776"/>
      <c r="E385" s="701"/>
      <c r="F385" s="507"/>
      <c r="G385" s="507"/>
      <c r="H385" s="507"/>
      <c r="I385" s="507"/>
      <c r="J385" s="507"/>
      <c r="K385" s="507"/>
      <c r="L385" s="507"/>
      <c r="M385" s="507"/>
      <c r="N385" s="507"/>
    </row>
    <row r="386" ht="35.25" hidden="1" customHeight="1">
      <c r="A386" s="775"/>
      <c r="B386" s="760" t="s">
        <v>10</v>
      </c>
      <c r="C386" s="787">
        <v>4.355E7</v>
      </c>
      <c r="D386" s="776"/>
      <c r="E386" s="525"/>
      <c r="F386" s="507"/>
      <c r="G386" s="507"/>
      <c r="H386" s="507"/>
      <c r="I386" s="507"/>
      <c r="J386" s="507"/>
      <c r="K386" s="507"/>
      <c r="L386" s="507"/>
      <c r="M386" s="507"/>
      <c r="N386" s="507"/>
    </row>
    <row r="387" ht="35.25" hidden="1" customHeight="1">
      <c r="A387" s="775"/>
      <c r="B387" s="751" t="s">
        <v>1120</v>
      </c>
      <c r="C387" s="787">
        <v>3.9407E7</v>
      </c>
      <c r="D387" s="776"/>
      <c r="E387" s="525"/>
      <c r="F387" s="507"/>
      <c r="G387" s="507"/>
      <c r="H387" s="507"/>
      <c r="I387" s="507"/>
      <c r="J387" s="507"/>
      <c r="K387" s="507"/>
      <c r="L387" s="507"/>
      <c r="M387" s="507"/>
      <c r="N387" s="507"/>
    </row>
    <row r="388" ht="35.25" hidden="1" customHeight="1">
      <c r="A388" s="775"/>
      <c r="B388" s="756"/>
      <c r="C388" s="756"/>
      <c r="D388" s="776"/>
      <c r="E388" s="525"/>
      <c r="F388" s="507"/>
      <c r="G388" s="507"/>
      <c r="H388" s="507"/>
      <c r="I388" s="507"/>
      <c r="J388" s="507"/>
      <c r="K388" s="507"/>
      <c r="L388" s="507"/>
      <c r="M388" s="507"/>
      <c r="N388" s="507"/>
    </row>
    <row r="389" ht="35.25" hidden="1" customHeight="1">
      <c r="A389" s="775"/>
      <c r="B389" s="756"/>
      <c r="C389" s="756"/>
      <c r="D389" s="776"/>
      <c r="E389" s="525"/>
      <c r="F389" s="507"/>
      <c r="G389" s="507"/>
      <c r="H389" s="507"/>
      <c r="I389" s="507"/>
      <c r="J389" s="507"/>
      <c r="K389" s="507"/>
      <c r="L389" s="507"/>
      <c r="M389" s="507"/>
      <c r="N389" s="507"/>
    </row>
    <row r="390" ht="35.25" hidden="1" customHeight="1">
      <c r="A390" s="779"/>
      <c r="B390" s="756"/>
      <c r="C390" s="756"/>
      <c r="D390" s="781"/>
      <c r="E390" s="525"/>
      <c r="F390" s="507"/>
      <c r="G390" s="507"/>
      <c r="H390" s="507"/>
      <c r="I390" s="507"/>
      <c r="J390" s="507"/>
      <c r="K390" s="507"/>
      <c r="L390" s="507"/>
      <c r="M390" s="507"/>
      <c r="N390" s="507"/>
    </row>
    <row r="391" ht="35.25" hidden="1" customHeight="1">
      <c r="A391" s="782" t="s">
        <v>215</v>
      </c>
      <c r="B391" s="760" t="s">
        <v>6</v>
      </c>
      <c r="C391" s="936">
        <v>1.55875E7</v>
      </c>
      <c r="D391" s="774">
        <f>sum(C391:C395)</f>
        <v>56322500</v>
      </c>
      <c r="E391" s="556" t="s">
        <v>918</v>
      </c>
      <c r="F391" s="507"/>
      <c r="G391" s="507"/>
      <c r="H391" s="507"/>
      <c r="I391" s="507"/>
      <c r="J391" s="507"/>
      <c r="K391" s="507"/>
      <c r="L391" s="507"/>
      <c r="M391" s="507"/>
      <c r="N391" s="507"/>
    </row>
    <row r="392" ht="35.25" hidden="1" customHeight="1">
      <c r="A392" s="775"/>
      <c r="B392" s="760" t="s">
        <v>8</v>
      </c>
      <c r="C392" s="936">
        <v>5559000.0</v>
      </c>
      <c r="D392" s="776"/>
      <c r="E392" s="507"/>
      <c r="F392" s="507"/>
      <c r="G392" s="507"/>
      <c r="H392" s="507"/>
      <c r="I392" s="507"/>
      <c r="J392" s="507"/>
      <c r="K392" s="507"/>
      <c r="L392" s="507"/>
      <c r="M392" s="507"/>
      <c r="N392" s="507"/>
    </row>
    <row r="393" ht="35.25" hidden="1" customHeight="1">
      <c r="A393" s="775"/>
      <c r="B393" s="760" t="s">
        <v>9</v>
      </c>
      <c r="C393" s="932">
        <v>5319000.0</v>
      </c>
      <c r="D393" s="776"/>
      <c r="E393" s="644" t="s">
        <v>820</v>
      </c>
      <c r="F393" s="507"/>
      <c r="G393" s="507"/>
      <c r="H393" s="507"/>
      <c r="I393" s="507"/>
      <c r="J393" s="507"/>
      <c r="K393" s="507"/>
      <c r="L393" s="507"/>
      <c r="M393" s="507"/>
      <c r="N393" s="507"/>
    </row>
    <row r="394" ht="35.25" hidden="1" customHeight="1">
      <c r="A394" s="775"/>
      <c r="B394" s="760" t="s">
        <v>10</v>
      </c>
      <c r="C394" s="932">
        <v>2250000.0</v>
      </c>
      <c r="D394" s="776"/>
      <c r="E394" s="556"/>
      <c r="F394" s="507"/>
      <c r="G394" s="507"/>
      <c r="H394" s="507"/>
      <c r="I394" s="507"/>
      <c r="J394" s="507"/>
      <c r="K394" s="507"/>
      <c r="L394" s="507"/>
      <c r="M394" s="507"/>
      <c r="N394" s="507"/>
    </row>
    <row r="395" ht="35.25" hidden="1" customHeight="1">
      <c r="A395" s="775"/>
      <c r="B395" s="751" t="s">
        <v>1120</v>
      </c>
      <c r="C395" s="932">
        <v>2.7607E7</v>
      </c>
      <c r="D395" s="776"/>
      <c r="E395" s="556"/>
      <c r="F395" s="507"/>
      <c r="G395" s="507"/>
      <c r="H395" s="507"/>
      <c r="I395" s="507"/>
      <c r="J395" s="507"/>
      <c r="K395" s="507"/>
      <c r="L395" s="507"/>
      <c r="M395" s="507"/>
      <c r="N395" s="507"/>
    </row>
    <row r="396" ht="35.25" hidden="1" customHeight="1">
      <c r="A396" s="775"/>
      <c r="B396" s="784"/>
      <c r="C396" s="936"/>
      <c r="D396" s="776"/>
      <c r="E396" s="556"/>
      <c r="F396" s="507"/>
      <c r="G396" s="507"/>
      <c r="H396" s="507"/>
      <c r="I396" s="507"/>
      <c r="J396" s="507"/>
      <c r="K396" s="507"/>
      <c r="L396" s="507"/>
      <c r="M396" s="507"/>
      <c r="N396" s="507"/>
    </row>
    <row r="397" ht="35.25" hidden="1" customHeight="1">
      <c r="A397" s="779"/>
      <c r="B397" s="784"/>
      <c r="C397" s="936"/>
      <c r="D397" s="781"/>
      <c r="E397" s="556"/>
      <c r="F397" s="507"/>
      <c r="G397" s="507"/>
      <c r="H397" s="507"/>
      <c r="I397" s="507"/>
      <c r="J397" s="507"/>
      <c r="K397" s="507"/>
      <c r="L397" s="507"/>
      <c r="M397" s="507"/>
      <c r="N397" s="507"/>
    </row>
    <row r="398" ht="35.25" hidden="1" customHeight="1">
      <c r="A398" s="771" t="s">
        <v>216</v>
      </c>
      <c r="B398" s="760" t="s">
        <v>8</v>
      </c>
      <c r="C398" s="932" t="s">
        <v>684</v>
      </c>
      <c r="D398" s="774">
        <f>sum(C398:C402)</f>
        <v>164373000</v>
      </c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</row>
    <row r="399" ht="35.25" hidden="1" customHeight="1">
      <c r="A399" s="775"/>
      <c r="B399" s="760" t="s">
        <v>9</v>
      </c>
      <c r="C399" s="932">
        <v>5.78405E7</v>
      </c>
      <c r="D399" s="776"/>
      <c r="E399" s="507"/>
      <c r="F399" s="507"/>
      <c r="G399" s="507"/>
      <c r="H399" s="507"/>
      <c r="I399" s="507"/>
      <c r="J399" s="507"/>
      <c r="K399" s="507"/>
      <c r="L399" s="507"/>
      <c r="M399" s="507"/>
      <c r="N399" s="507"/>
    </row>
    <row r="400" ht="35.25" hidden="1" customHeight="1">
      <c r="A400" s="775"/>
      <c r="B400" s="760" t="s">
        <v>10</v>
      </c>
      <c r="C400" s="932">
        <v>6.2665E7</v>
      </c>
      <c r="D400" s="776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</row>
    <row r="401" ht="35.25" hidden="1" customHeight="1">
      <c r="A401" s="775"/>
      <c r="B401" s="751" t="s">
        <v>1120</v>
      </c>
      <c r="C401" s="932">
        <v>4.38675E7</v>
      </c>
      <c r="D401" s="776"/>
      <c r="E401" s="507"/>
      <c r="F401" s="507"/>
      <c r="G401" s="507"/>
      <c r="H401" s="507"/>
      <c r="I401" s="507"/>
      <c r="J401" s="507"/>
      <c r="K401" s="507"/>
      <c r="L401" s="507"/>
      <c r="M401" s="507"/>
      <c r="N401" s="507"/>
    </row>
    <row r="402" ht="35.25" hidden="1" customHeight="1">
      <c r="A402" s="775"/>
      <c r="B402" s="760"/>
      <c r="C402" s="932"/>
      <c r="D402" s="776"/>
      <c r="E402" s="507"/>
      <c r="F402" s="507"/>
      <c r="G402" s="507"/>
      <c r="H402" s="507"/>
      <c r="I402" s="507"/>
      <c r="J402" s="507"/>
      <c r="K402" s="507"/>
      <c r="L402" s="507"/>
      <c r="M402" s="507"/>
      <c r="N402" s="507"/>
    </row>
    <row r="403" ht="35.25" hidden="1" customHeight="1">
      <c r="A403" s="779"/>
      <c r="B403" s="756"/>
      <c r="C403" s="756"/>
      <c r="D403" s="781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</row>
    <row r="404" ht="35.25" hidden="1" customHeight="1">
      <c r="A404" s="804" t="s">
        <v>510</v>
      </c>
      <c r="B404" s="760" t="s">
        <v>6</v>
      </c>
      <c r="C404" s="932">
        <v>3.09935E7</v>
      </c>
      <c r="D404" s="774">
        <f>sum(C404:C407)</f>
        <v>77164800</v>
      </c>
      <c r="E404" s="662"/>
      <c r="F404" s="507"/>
      <c r="G404" s="507"/>
      <c r="H404" s="507"/>
      <c r="I404" s="507"/>
      <c r="J404" s="507"/>
      <c r="K404" s="507"/>
      <c r="L404" s="507"/>
      <c r="M404" s="507"/>
      <c r="N404" s="507"/>
    </row>
    <row r="405" ht="35.25" hidden="1" customHeight="1">
      <c r="A405" s="775"/>
      <c r="B405" s="760" t="s">
        <v>8</v>
      </c>
      <c r="C405" s="932">
        <v>2505000.0</v>
      </c>
      <c r="D405" s="776"/>
      <c r="E405" s="662"/>
      <c r="F405" s="507"/>
      <c r="G405" s="507"/>
      <c r="H405" s="507"/>
      <c r="I405" s="507"/>
      <c r="J405" s="507"/>
      <c r="K405" s="507"/>
      <c r="L405" s="507"/>
      <c r="M405" s="507"/>
      <c r="N405" s="507"/>
    </row>
    <row r="406" ht="35.25" hidden="1" customHeight="1">
      <c r="A406" s="775"/>
      <c r="B406" s="760" t="s">
        <v>9</v>
      </c>
      <c r="C406" s="932">
        <v>2.65983E7</v>
      </c>
      <c r="D406" s="776"/>
      <c r="E406" s="556" t="s">
        <v>919</v>
      </c>
      <c r="F406" s="507"/>
      <c r="G406" s="507"/>
      <c r="H406" s="507"/>
      <c r="I406" s="507"/>
      <c r="J406" s="507"/>
      <c r="K406" s="507"/>
      <c r="L406" s="507"/>
      <c r="M406" s="507"/>
      <c r="N406" s="507"/>
    </row>
    <row r="407" ht="35.25" hidden="1" customHeight="1">
      <c r="A407" s="775"/>
      <c r="B407" s="760" t="s">
        <v>10</v>
      </c>
      <c r="C407" s="932">
        <f>17098000-30000</f>
        <v>17068000</v>
      </c>
      <c r="D407" s="776"/>
      <c r="E407" s="556"/>
      <c r="F407" s="507"/>
      <c r="G407" s="507"/>
      <c r="H407" s="507"/>
      <c r="I407" s="507"/>
      <c r="J407" s="507"/>
      <c r="K407" s="507"/>
      <c r="L407" s="507"/>
      <c r="M407" s="507"/>
      <c r="N407" s="507"/>
    </row>
    <row r="408" ht="35.25" hidden="1" customHeight="1">
      <c r="A408" s="779"/>
      <c r="B408" s="751" t="s">
        <v>1120</v>
      </c>
      <c r="C408" s="932" t="s">
        <v>1123</v>
      </c>
      <c r="D408" s="781"/>
      <c r="E408" s="507"/>
      <c r="F408" s="507"/>
      <c r="G408" s="507"/>
      <c r="H408" s="507"/>
      <c r="I408" s="507"/>
      <c r="J408" s="507"/>
      <c r="K408" s="507"/>
      <c r="L408" s="507"/>
      <c r="M408" s="507"/>
      <c r="N408" s="507"/>
    </row>
    <row r="409" ht="35.25" hidden="1" customHeight="1">
      <c r="A409" s="771" t="s">
        <v>513</v>
      </c>
      <c r="B409" s="760" t="s">
        <v>6</v>
      </c>
      <c r="C409" s="932">
        <v>4.6131E7</v>
      </c>
      <c r="D409" s="774">
        <f>sum(C409:C412)</f>
        <v>220662600</v>
      </c>
      <c r="E409" s="507"/>
      <c r="F409" s="507"/>
      <c r="G409" s="507"/>
      <c r="H409" s="507"/>
      <c r="I409" s="507"/>
      <c r="J409" s="507"/>
      <c r="K409" s="507"/>
      <c r="L409" s="507"/>
      <c r="M409" s="507"/>
      <c r="N409" s="507"/>
    </row>
    <row r="410" ht="35.25" hidden="1" customHeight="1">
      <c r="A410" s="775"/>
      <c r="B410" s="760" t="s">
        <v>8</v>
      </c>
      <c r="C410" s="932">
        <v>6.02815E7</v>
      </c>
      <c r="D410" s="776"/>
      <c r="E410" s="635">
        <f>SUM(C409:C412)</f>
        <v>220662600</v>
      </c>
      <c r="F410" s="507"/>
      <c r="G410" s="507"/>
      <c r="H410" s="507"/>
      <c r="I410" s="507"/>
      <c r="J410" s="507"/>
      <c r="K410" s="507"/>
      <c r="L410" s="507"/>
      <c r="M410" s="507"/>
      <c r="N410" s="507"/>
    </row>
    <row r="411" ht="35.25" hidden="1" customHeight="1">
      <c r="A411" s="775"/>
      <c r="B411" s="760" t="s">
        <v>9</v>
      </c>
      <c r="C411" s="936">
        <v>4.26165E7</v>
      </c>
      <c r="D411" s="776"/>
      <c r="E411" s="662"/>
      <c r="F411" s="507"/>
      <c r="G411" s="507"/>
      <c r="H411" s="507"/>
      <c r="I411" s="507"/>
      <c r="J411" s="507"/>
      <c r="K411" s="507"/>
      <c r="L411" s="507"/>
      <c r="M411" s="507"/>
      <c r="N411" s="507"/>
    </row>
    <row r="412" ht="35.25" hidden="1" customHeight="1">
      <c r="A412" s="775"/>
      <c r="B412" s="760" t="s">
        <v>10</v>
      </c>
      <c r="C412" s="932">
        <v>7.16336E7</v>
      </c>
      <c r="D412" s="776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</row>
    <row r="413" ht="35.25" hidden="1" customHeight="1">
      <c r="A413" s="779"/>
      <c r="B413" s="751" t="s">
        <v>1120</v>
      </c>
      <c r="C413" s="937" t="s">
        <v>1123</v>
      </c>
      <c r="D413" s="781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</row>
    <row r="414" ht="35.25" hidden="1" customHeight="1">
      <c r="A414" s="805" t="s">
        <v>634</v>
      </c>
      <c r="B414" s="806" t="s">
        <v>88</v>
      </c>
      <c r="C414" s="593">
        <v>2.7793E7</v>
      </c>
      <c r="D414" s="808">
        <f>SUM(C414:C418)</f>
        <v>113799500</v>
      </c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</row>
    <row r="415" ht="35.25" hidden="1" customHeight="1">
      <c r="A415" s="18"/>
      <c r="B415" s="547" t="s">
        <v>219</v>
      </c>
      <c r="C415" s="593">
        <v>2.99965E7</v>
      </c>
      <c r="D415" s="18"/>
      <c r="E415" s="556" t="s">
        <v>920</v>
      </c>
      <c r="F415" s="507"/>
      <c r="G415" s="507"/>
      <c r="H415" s="507"/>
      <c r="I415" s="507"/>
      <c r="J415" s="507"/>
      <c r="K415" s="507"/>
      <c r="L415" s="507"/>
      <c r="M415" s="507"/>
      <c r="N415" s="507"/>
    </row>
    <row r="416" ht="35.25" hidden="1" customHeight="1">
      <c r="A416" s="18"/>
      <c r="B416" s="547" t="s">
        <v>89</v>
      </c>
      <c r="C416" s="593">
        <v>1.6204E7</v>
      </c>
      <c r="D416" s="18"/>
      <c r="E416" s="507"/>
      <c r="F416" s="507"/>
      <c r="G416" s="507"/>
      <c r="H416" s="507"/>
      <c r="I416" s="507"/>
      <c r="J416" s="507"/>
      <c r="K416" s="507"/>
      <c r="L416" s="507"/>
      <c r="M416" s="507"/>
      <c r="N416" s="507"/>
    </row>
    <row r="417" ht="35.25" hidden="1" customHeight="1">
      <c r="A417" s="18"/>
      <c r="B417" s="547" t="s">
        <v>220</v>
      </c>
      <c r="C417" s="593">
        <v>2.4671E7</v>
      </c>
      <c r="D417" s="18"/>
      <c r="E417" s="507"/>
      <c r="F417" s="507"/>
      <c r="G417" s="507"/>
      <c r="H417" s="507"/>
      <c r="I417" s="507"/>
      <c r="J417" s="507"/>
      <c r="K417" s="507"/>
      <c r="L417" s="507"/>
      <c r="M417" s="507"/>
      <c r="N417" s="507"/>
    </row>
    <row r="418" ht="35.25" hidden="1" customHeight="1">
      <c r="A418" s="22"/>
      <c r="B418" s="547" t="s">
        <v>697</v>
      </c>
      <c r="C418" s="593">
        <v>1.5135E7</v>
      </c>
      <c r="D418" s="22"/>
      <c r="E418" s="507"/>
      <c r="F418" s="507"/>
      <c r="G418" s="507"/>
      <c r="H418" s="507"/>
      <c r="I418" s="507"/>
      <c r="J418" s="507"/>
      <c r="K418" s="507"/>
      <c r="L418" s="507"/>
      <c r="M418" s="507"/>
      <c r="N418" s="507"/>
    </row>
    <row r="419" ht="35.25" hidden="1" customHeight="1">
      <c r="A419" s="679" t="s">
        <v>635</v>
      </c>
      <c r="B419" s="547" t="s">
        <v>88</v>
      </c>
      <c r="C419" s="593">
        <v>0.0</v>
      </c>
      <c r="D419" s="680">
        <f>SUM(C419:C422)</f>
        <v>69599000</v>
      </c>
      <c r="E419" s="507"/>
      <c r="F419" s="507"/>
      <c r="G419" s="507"/>
      <c r="H419" s="507"/>
      <c r="I419" s="507"/>
      <c r="J419" s="507"/>
      <c r="K419" s="507"/>
      <c r="L419" s="507"/>
      <c r="M419" s="507"/>
      <c r="N419" s="507"/>
    </row>
    <row r="420" ht="35.25" hidden="1" customHeight="1">
      <c r="A420" s="18"/>
      <c r="B420" s="547" t="s">
        <v>219</v>
      </c>
      <c r="C420" s="593">
        <v>3.8769E7</v>
      </c>
      <c r="D420" s="18"/>
      <c r="E420" s="507"/>
      <c r="F420" s="507"/>
      <c r="G420" s="507"/>
      <c r="H420" s="507"/>
      <c r="I420" s="507"/>
      <c r="J420" s="507"/>
      <c r="K420" s="507"/>
      <c r="L420" s="507"/>
      <c r="M420" s="507"/>
      <c r="N420" s="507"/>
    </row>
    <row r="421" ht="35.25" hidden="1" customHeight="1">
      <c r="A421" s="18"/>
      <c r="B421" s="547" t="s">
        <v>89</v>
      </c>
      <c r="C421" s="593">
        <v>0.0</v>
      </c>
      <c r="D421" s="18"/>
      <c r="E421" s="556" t="s">
        <v>921</v>
      </c>
      <c r="F421" s="507"/>
      <c r="G421" s="507"/>
      <c r="H421" s="507"/>
      <c r="I421" s="507"/>
      <c r="J421" s="507"/>
      <c r="K421" s="507"/>
      <c r="L421" s="507"/>
      <c r="M421" s="507"/>
      <c r="N421" s="507"/>
    </row>
    <row r="422" ht="35.25" hidden="1" customHeight="1">
      <c r="A422" s="22"/>
      <c r="B422" s="547" t="s">
        <v>220</v>
      </c>
      <c r="C422" s="593">
        <v>3.083E7</v>
      </c>
      <c r="D422" s="22"/>
      <c r="E422" s="507"/>
      <c r="F422" s="507"/>
      <c r="G422" s="507"/>
      <c r="H422" s="507"/>
      <c r="I422" s="507"/>
      <c r="J422" s="507"/>
      <c r="K422" s="507"/>
      <c r="L422" s="507"/>
      <c r="M422" s="507"/>
      <c r="N422" s="507"/>
    </row>
    <row r="423" ht="35.25" hidden="1" customHeight="1">
      <c r="A423" s="679" t="s">
        <v>636</v>
      </c>
      <c r="B423" s="706" t="s">
        <v>1124</v>
      </c>
      <c r="C423" s="638">
        <v>1.38425E8</v>
      </c>
      <c r="D423" s="680">
        <f>SUM(C423:C425)</f>
        <v>138425000</v>
      </c>
      <c r="E423" s="507"/>
      <c r="F423" s="507"/>
      <c r="G423" s="507"/>
      <c r="H423" s="507"/>
      <c r="I423" s="507"/>
      <c r="J423" s="507"/>
      <c r="K423" s="507"/>
      <c r="L423" s="507"/>
      <c r="M423" s="507"/>
      <c r="N423" s="507"/>
    </row>
    <row r="424" ht="35.25" hidden="1" customHeight="1">
      <c r="A424" s="18"/>
      <c r="B424" s="547"/>
      <c r="C424" s="593"/>
      <c r="D424" s="18"/>
      <c r="E424" s="556" t="s">
        <v>924</v>
      </c>
      <c r="F424" s="507"/>
      <c r="G424" s="507"/>
      <c r="H424" s="507"/>
      <c r="I424" s="507"/>
      <c r="J424" s="507"/>
      <c r="K424" s="507"/>
      <c r="L424" s="507"/>
      <c r="M424" s="507"/>
      <c r="N424" s="507"/>
    </row>
    <row r="425" ht="35.25" hidden="1" customHeight="1">
      <c r="A425" s="22"/>
      <c r="B425" s="547"/>
      <c r="C425" s="593"/>
      <c r="D425" s="22"/>
      <c r="E425" s="507"/>
      <c r="F425" s="507"/>
      <c r="G425" s="507"/>
      <c r="H425" s="507"/>
      <c r="I425" s="507"/>
      <c r="J425" s="507"/>
      <c r="K425" s="507"/>
      <c r="L425" s="507"/>
      <c r="M425" s="507"/>
      <c r="N425" s="507"/>
    </row>
    <row r="426" ht="35.25" hidden="1" customHeight="1">
      <c r="A426" s="679" t="s">
        <v>643</v>
      </c>
      <c r="B426" s="806" t="s">
        <v>88</v>
      </c>
      <c r="C426" s="598">
        <f>34871000-66000</f>
        <v>34805000</v>
      </c>
      <c r="D426" s="680">
        <f>SUM(C426:C430)</f>
        <v>157142500</v>
      </c>
      <c r="E426" s="556"/>
      <c r="F426" s="507"/>
      <c r="G426" s="507"/>
      <c r="H426" s="507"/>
      <c r="I426" s="507"/>
      <c r="J426" s="507"/>
      <c r="K426" s="507"/>
      <c r="L426" s="507"/>
      <c r="M426" s="507"/>
      <c r="N426" s="507"/>
    </row>
    <row r="427" ht="35.25" hidden="1" customHeight="1">
      <c r="A427" s="18"/>
      <c r="B427" s="547" t="s">
        <v>219</v>
      </c>
      <c r="C427" s="598">
        <f>31477000-60000</f>
        <v>31417000</v>
      </c>
      <c r="D427" s="18"/>
      <c r="E427" s="556" t="s">
        <v>926</v>
      </c>
      <c r="F427" s="507"/>
      <c r="G427" s="507"/>
      <c r="H427" s="507"/>
      <c r="I427" s="507"/>
      <c r="J427" s="507"/>
      <c r="K427" s="507"/>
      <c r="L427" s="507"/>
      <c r="M427" s="507"/>
      <c r="N427" s="507"/>
    </row>
    <row r="428" ht="35.25" hidden="1" customHeight="1">
      <c r="A428" s="18"/>
      <c r="B428" s="547" t="s">
        <v>89</v>
      </c>
      <c r="C428" s="598">
        <f>22808000-45000</f>
        <v>22763000</v>
      </c>
      <c r="D428" s="18"/>
      <c r="E428" s="556"/>
      <c r="F428" s="507"/>
      <c r="G428" s="507"/>
      <c r="H428" s="507"/>
      <c r="I428" s="507"/>
      <c r="J428" s="507"/>
      <c r="K428" s="507"/>
      <c r="L428" s="507"/>
      <c r="M428" s="507"/>
      <c r="N428" s="507"/>
    </row>
    <row r="429" ht="35.25" hidden="1" customHeight="1">
      <c r="A429" s="18"/>
      <c r="B429" s="547" t="s">
        <v>220</v>
      </c>
      <c r="C429" s="598">
        <f>37049500-16*3000-70000</f>
        <v>36931500</v>
      </c>
      <c r="D429" s="18"/>
      <c r="E429" s="556"/>
      <c r="F429" s="507"/>
      <c r="G429" s="507"/>
      <c r="H429" s="507"/>
      <c r="I429" s="507"/>
      <c r="J429" s="507"/>
      <c r="K429" s="507"/>
      <c r="L429" s="507"/>
      <c r="M429" s="507"/>
      <c r="N429" s="507"/>
    </row>
    <row r="430" ht="35.25" hidden="1" customHeight="1">
      <c r="A430" s="22"/>
      <c r="B430" s="547" t="s">
        <v>697</v>
      </c>
      <c r="C430" s="598">
        <f>32443000-1217000</f>
        <v>31226000</v>
      </c>
      <c r="D430" s="22"/>
      <c r="E430" s="556">
        <f>1080+95+42</f>
        <v>1217</v>
      </c>
      <c r="F430" s="507"/>
      <c r="G430" s="507"/>
      <c r="H430" s="507"/>
      <c r="I430" s="507"/>
      <c r="J430" s="507"/>
      <c r="K430" s="507"/>
      <c r="L430" s="507"/>
      <c r="M430" s="507"/>
      <c r="N430" s="507"/>
    </row>
    <row r="431" ht="35.25" hidden="1" customHeight="1">
      <c r="A431" s="679" t="s">
        <v>60</v>
      </c>
      <c r="B431" s="806" t="s">
        <v>1125</v>
      </c>
      <c r="C431" s="593" t="s">
        <v>7</v>
      </c>
      <c r="D431" s="680">
        <f>sum(C431:C435)</f>
        <v>157097500</v>
      </c>
      <c r="E431" s="556"/>
      <c r="F431" s="507"/>
      <c r="G431" s="507"/>
      <c r="H431" s="507"/>
      <c r="I431" s="507"/>
      <c r="J431" s="507"/>
      <c r="K431" s="507"/>
      <c r="L431" s="507"/>
      <c r="M431" s="507"/>
      <c r="N431" s="507"/>
    </row>
    <row r="432" ht="35.25" hidden="1" customHeight="1">
      <c r="A432" s="18"/>
      <c r="B432" s="547" t="s">
        <v>219</v>
      </c>
      <c r="C432" s="593" t="s">
        <v>7</v>
      </c>
      <c r="D432" s="18"/>
      <c r="E432" s="556"/>
      <c r="F432" s="507"/>
      <c r="G432" s="507"/>
      <c r="H432" s="507"/>
      <c r="I432" s="507"/>
      <c r="J432" s="507"/>
      <c r="K432" s="507"/>
      <c r="L432" s="507"/>
      <c r="M432" s="507"/>
      <c r="N432" s="507"/>
    </row>
    <row r="433" ht="35.25" hidden="1" customHeight="1">
      <c r="A433" s="18"/>
      <c r="B433" s="547" t="s">
        <v>89</v>
      </c>
      <c r="C433" s="593" t="s">
        <v>7</v>
      </c>
      <c r="D433" s="18"/>
      <c r="E433" s="556" t="s">
        <v>927</v>
      </c>
      <c r="F433" s="507"/>
      <c r="G433" s="507"/>
      <c r="H433" s="507"/>
      <c r="I433" s="507"/>
      <c r="J433" s="507"/>
      <c r="K433" s="507"/>
      <c r="L433" s="507"/>
      <c r="M433" s="507"/>
      <c r="N433" s="507"/>
    </row>
    <row r="434" ht="35.25" hidden="1" customHeight="1">
      <c r="A434" s="18"/>
      <c r="B434" s="547" t="s">
        <v>220</v>
      </c>
      <c r="C434" s="593">
        <f>57052500-180000</f>
        <v>56872500</v>
      </c>
      <c r="D434" s="18"/>
      <c r="E434" s="556"/>
      <c r="F434" s="507"/>
      <c r="G434" s="507"/>
      <c r="H434" s="507"/>
      <c r="I434" s="507"/>
      <c r="J434" s="507"/>
      <c r="K434" s="507"/>
      <c r="L434" s="507"/>
      <c r="M434" s="507"/>
      <c r="N434" s="507"/>
    </row>
    <row r="435" ht="35.25" hidden="1" customHeight="1">
      <c r="A435" s="22"/>
      <c r="B435" s="706" t="s">
        <v>1124</v>
      </c>
      <c r="C435" s="638">
        <v>1.00225E8</v>
      </c>
      <c r="D435" s="22"/>
      <c r="E435" s="556"/>
      <c r="F435" s="507"/>
      <c r="G435" s="507"/>
      <c r="H435" s="507"/>
      <c r="I435" s="507"/>
      <c r="J435" s="507"/>
      <c r="K435" s="507"/>
      <c r="L435" s="507"/>
      <c r="M435" s="507"/>
      <c r="N435" s="507"/>
    </row>
    <row r="436" ht="35.25" hidden="1" customHeight="1">
      <c r="A436" s="679" t="s">
        <v>714</v>
      </c>
      <c r="B436" s="547" t="s">
        <v>220</v>
      </c>
      <c r="C436" s="593">
        <f>17968000-102000</f>
        <v>17866000</v>
      </c>
      <c r="D436" s="680">
        <f>SUM(C436:C439)</f>
        <v>82641000</v>
      </c>
      <c r="E436" s="556"/>
      <c r="F436" s="507"/>
      <c r="G436" s="507"/>
      <c r="H436" s="507"/>
      <c r="I436" s="507"/>
      <c r="J436" s="507"/>
      <c r="K436" s="507"/>
      <c r="L436" s="507"/>
      <c r="M436" s="507"/>
      <c r="N436" s="507"/>
    </row>
    <row r="437" ht="35.25" hidden="1" customHeight="1">
      <c r="A437" s="18"/>
      <c r="B437" s="706" t="s">
        <v>1124</v>
      </c>
      <c r="C437" s="638">
        <v>6.4775E7</v>
      </c>
      <c r="D437" s="18"/>
      <c r="E437" s="556" t="s">
        <v>928</v>
      </c>
      <c r="F437" s="507"/>
      <c r="G437" s="507"/>
      <c r="H437" s="507"/>
      <c r="I437" s="507"/>
      <c r="J437" s="507"/>
      <c r="K437" s="507"/>
      <c r="L437" s="507"/>
      <c r="M437" s="507"/>
      <c r="N437" s="507"/>
    </row>
    <row r="438" ht="35.25" hidden="1" customHeight="1">
      <c r="A438" s="18"/>
      <c r="B438" s="547"/>
      <c r="C438" s="593"/>
      <c r="D438" s="18"/>
      <c r="E438" s="556">
        <f>14*3+50</f>
        <v>92</v>
      </c>
      <c r="F438" s="507"/>
      <c r="G438" s="507"/>
      <c r="H438" s="507"/>
      <c r="I438" s="507"/>
      <c r="J438" s="507"/>
      <c r="K438" s="507"/>
      <c r="L438" s="507"/>
      <c r="M438" s="507"/>
      <c r="N438" s="507"/>
    </row>
    <row r="439" ht="35.25" hidden="1" customHeight="1">
      <c r="A439" s="18"/>
      <c r="B439" s="547"/>
      <c r="C439" s="593"/>
      <c r="D439" s="18"/>
      <c r="E439" s="556"/>
      <c r="F439" s="507"/>
      <c r="G439" s="507"/>
      <c r="H439" s="507"/>
      <c r="I439" s="507"/>
      <c r="J439" s="507"/>
      <c r="K439" s="507"/>
      <c r="L439" s="507"/>
      <c r="M439" s="507"/>
      <c r="N439" s="507"/>
    </row>
    <row r="440" ht="35.25" hidden="1" customHeight="1">
      <c r="A440" s="679" t="s">
        <v>716</v>
      </c>
      <c r="B440" s="547" t="s">
        <v>88</v>
      </c>
      <c r="C440" s="593">
        <v>7.76445E7</v>
      </c>
      <c r="D440" s="680">
        <f>SUM(C440:C443)</f>
        <v>279906000</v>
      </c>
      <c r="E440" s="556"/>
      <c r="F440" s="507"/>
      <c r="G440" s="507"/>
      <c r="H440" s="507"/>
      <c r="I440" s="507"/>
      <c r="J440" s="507"/>
      <c r="K440" s="507"/>
      <c r="L440" s="507"/>
      <c r="M440" s="507"/>
      <c r="N440" s="507"/>
    </row>
    <row r="441" ht="35.25" hidden="1" customHeight="1">
      <c r="A441" s="18"/>
      <c r="B441" s="547" t="s">
        <v>219</v>
      </c>
      <c r="C441" s="593">
        <v>1.02754E8</v>
      </c>
      <c r="D441" s="18"/>
      <c r="E441" s="556"/>
      <c r="F441" s="507"/>
      <c r="G441" s="507"/>
      <c r="H441" s="507"/>
      <c r="I441" s="507"/>
      <c r="J441" s="507"/>
      <c r="K441" s="507"/>
      <c r="L441" s="507"/>
      <c r="M441" s="507"/>
      <c r="N441" s="507"/>
    </row>
    <row r="442" ht="35.25" hidden="1" customHeight="1">
      <c r="A442" s="18"/>
      <c r="B442" s="547" t="s">
        <v>89</v>
      </c>
      <c r="C442" s="593">
        <f>62087500-90000</f>
        <v>61997500</v>
      </c>
      <c r="D442" s="18"/>
      <c r="E442" s="556" t="s">
        <v>929</v>
      </c>
      <c r="F442" s="507"/>
      <c r="G442" s="507"/>
      <c r="H442" s="507"/>
      <c r="I442" s="507"/>
      <c r="J442" s="507"/>
      <c r="K442" s="507"/>
      <c r="L442" s="507"/>
      <c r="M442" s="507"/>
      <c r="N442" s="507"/>
    </row>
    <row r="443" ht="35.25" hidden="1" customHeight="1">
      <c r="A443" s="22"/>
      <c r="B443" s="547" t="s">
        <v>220</v>
      </c>
      <c r="C443" s="593">
        <v>3.751E7</v>
      </c>
      <c r="D443" s="22"/>
      <c r="E443" s="556"/>
      <c r="F443" s="507"/>
      <c r="G443" s="507"/>
      <c r="H443" s="507"/>
      <c r="I443" s="507"/>
      <c r="J443" s="507"/>
      <c r="K443" s="507"/>
      <c r="L443" s="507"/>
      <c r="M443" s="507"/>
      <c r="N443" s="507"/>
    </row>
    <row r="444" ht="35.25" hidden="1" customHeight="1">
      <c r="A444" s="679" t="s">
        <v>718</v>
      </c>
      <c r="B444" s="806" t="s">
        <v>88</v>
      </c>
      <c r="C444" s="593">
        <v>3.272E7</v>
      </c>
      <c r="D444" s="680">
        <f>SUM(C444:C448)</f>
        <v>101676000</v>
      </c>
      <c r="E444" s="556"/>
      <c r="F444" s="507"/>
      <c r="G444" s="507"/>
      <c r="H444" s="507"/>
      <c r="I444" s="507"/>
      <c r="J444" s="507"/>
      <c r="K444" s="507"/>
      <c r="L444" s="507"/>
      <c r="M444" s="507"/>
      <c r="N444" s="507"/>
    </row>
    <row r="445" ht="35.25" hidden="1" customHeight="1">
      <c r="A445" s="18"/>
      <c r="B445" s="547" t="s">
        <v>219</v>
      </c>
      <c r="C445" s="598">
        <v>1.7585E7</v>
      </c>
      <c r="D445" s="18"/>
      <c r="E445" s="556" t="s">
        <v>930</v>
      </c>
      <c r="F445" s="507"/>
      <c r="G445" s="507"/>
      <c r="H445" s="507"/>
      <c r="I445" s="507"/>
      <c r="J445" s="507"/>
      <c r="K445" s="507"/>
      <c r="L445" s="507"/>
      <c r="M445" s="507"/>
      <c r="N445" s="507"/>
    </row>
    <row r="446" ht="35.25" hidden="1" customHeight="1">
      <c r="A446" s="18"/>
      <c r="B446" s="547" t="s">
        <v>89</v>
      </c>
      <c r="C446" s="598">
        <f>13845000-120000</f>
        <v>13725000</v>
      </c>
      <c r="D446" s="18"/>
      <c r="E446" s="556"/>
      <c r="F446" s="507"/>
      <c r="G446" s="507"/>
      <c r="H446" s="507"/>
      <c r="I446" s="507"/>
      <c r="J446" s="507"/>
      <c r="K446" s="507"/>
      <c r="L446" s="507"/>
      <c r="M446" s="507"/>
      <c r="N446" s="507"/>
    </row>
    <row r="447" ht="35.25" hidden="1" customHeight="1">
      <c r="A447" s="18"/>
      <c r="B447" s="547" t="s">
        <v>220</v>
      </c>
      <c r="C447" s="593">
        <v>1.8891E7</v>
      </c>
      <c r="D447" s="18"/>
      <c r="E447" s="556"/>
      <c r="F447" s="507"/>
      <c r="G447" s="507"/>
      <c r="H447" s="507"/>
      <c r="I447" s="507"/>
      <c r="J447" s="507"/>
      <c r="K447" s="507"/>
      <c r="L447" s="507"/>
      <c r="M447" s="507"/>
      <c r="N447" s="507"/>
    </row>
    <row r="448" ht="35.25" hidden="1" customHeight="1">
      <c r="A448" s="22"/>
      <c r="B448" s="547" t="s">
        <v>697</v>
      </c>
      <c r="C448" s="593">
        <v>1.8755E7</v>
      </c>
      <c r="D448" s="22"/>
      <c r="E448" s="556"/>
      <c r="F448" s="507"/>
      <c r="G448" s="507"/>
      <c r="H448" s="507"/>
      <c r="I448" s="507"/>
      <c r="J448" s="507"/>
      <c r="K448" s="507"/>
      <c r="L448" s="507"/>
      <c r="M448" s="507"/>
      <c r="N448" s="507"/>
    </row>
    <row r="449" ht="35.25" hidden="1" customHeight="1">
      <c r="A449" s="679" t="s">
        <v>719</v>
      </c>
      <c r="B449" s="547" t="s">
        <v>228</v>
      </c>
      <c r="C449" s="593">
        <v>2200000.0</v>
      </c>
      <c r="D449" s="680">
        <f>SUM(C449:C452)</f>
        <v>43158000</v>
      </c>
      <c r="E449" s="556"/>
      <c r="F449" s="507"/>
      <c r="G449" s="507"/>
      <c r="H449" s="507"/>
      <c r="I449" s="507"/>
      <c r="J449" s="507"/>
      <c r="K449" s="507"/>
      <c r="L449" s="507"/>
      <c r="M449" s="507"/>
      <c r="N449" s="507"/>
    </row>
    <row r="450" ht="35.25" hidden="1" customHeight="1">
      <c r="A450" s="18"/>
      <c r="B450" s="547" t="s">
        <v>697</v>
      </c>
      <c r="C450" s="593">
        <v>4.0958E7</v>
      </c>
      <c r="D450" s="18"/>
      <c r="E450" s="556" t="s">
        <v>931</v>
      </c>
      <c r="F450" s="507"/>
      <c r="G450" s="507"/>
      <c r="H450" s="507"/>
      <c r="I450" s="507"/>
      <c r="J450" s="507"/>
      <c r="K450" s="507"/>
      <c r="L450" s="507"/>
      <c r="M450" s="507"/>
      <c r="N450" s="507"/>
    </row>
    <row r="451" ht="35.25" hidden="1" customHeight="1">
      <c r="A451" s="18"/>
      <c r="B451" s="547"/>
      <c r="C451" s="593"/>
      <c r="D451" s="18"/>
      <c r="E451" s="556"/>
      <c r="F451" s="507"/>
      <c r="G451" s="507"/>
      <c r="H451" s="507"/>
      <c r="I451" s="507"/>
      <c r="J451" s="507"/>
      <c r="K451" s="507"/>
      <c r="L451" s="507"/>
      <c r="M451" s="507"/>
      <c r="N451" s="507"/>
    </row>
    <row r="452" ht="35.25" hidden="1" customHeight="1">
      <c r="A452" s="22"/>
      <c r="B452" s="547"/>
      <c r="C452" s="593"/>
      <c r="D452" s="22"/>
      <c r="E452" s="556"/>
      <c r="F452" s="507"/>
      <c r="G452" s="507"/>
      <c r="H452" s="507"/>
      <c r="I452" s="507"/>
      <c r="J452" s="507"/>
      <c r="K452" s="507"/>
      <c r="L452" s="507"/>
      <c r="M452" s="507"/>
      <c r="N452" s="507"/>
    </row>
    <row r="453" ht="37.5" hidden="1" customHeight="1">
      <c r="A453" s="679" t="s">
        <v>743</v>
      </c>
      <c r="B453" s="547" t="s">
        <v>697</v>
      </c>
      <c r="C453" s="593">
        <v>3.78885E7</v>
      </c>
      <c r="D453" s="680">
        <f>SUM(C453:C456)</f>
        <v>37888500</v>
      </c>
      <c r="E453" s="556"/>
      <c r="F453" s="507"/>
      <c r="G453" s="507"/>
      <c r="H453" s="507"/>
      <c r="I453" s="507"/>
      <c r="J453" s="507"/>
      <c r="K453" s="507"/>
      <c r="L453" s="507"/>
      <c r="M453" s="507"/>
      <c r="N453" s="507"/>
    </row>
    <row r="454" ht="37.5" hidden="1" customHeight="1">
      <c r="A454" s="18"/>
      <c r="B454" s="547"/>
      <c r="C454" s="593"/>
      <c r="D454" s="18"/>
      <c r="E454" s="556" t="s">
        <v>932</v>
      </c>
      <c r="F454" s="507"/>
      <c r="G454" s="507"/>
      <c r="H454" s="507"/>
      <c r="I454" s="507"/>
      <c r="J454" s="507"/>
      <c r="K454" s="507"/>
      <c r="L454" s="507"/>
      <c r="M454" s="507"/>
      <c r="N454" s="507"/>
    </row>
    <row r="455" ht="37.5" hidden="1" customHeight="1">
      <c r="A455" s="18"/>
      <c r="B455" s="547"/>
      <c r="C455" s="598"/>
      <c r="D455" s="18"/>
      <c r="E455" s="556"/>
      <c r="F455" s="507"/>
      <c r="G455" s="507"/>
      <c r="H455" s="507"/>
      <c r="I455" s="507"/>
      <c r="J455" s="507"/>
      <c r="K455" s="507"/>
      <c r="L455" s="507"/>
      <c r="M455" s="507"/>
      <c r="N455" s="507"/>
    </row>
    <row r="456" ht="37.5" hidden="1" customHeight="1">
      <c r="A456" s="18"/>
      <c r="B456" s="547"/>
      <c r="C456" s="593"/>
      <c r="D456" s="18"/>
      <c r="E456" s="556"/>
      <c r="F456" s="507"/>
      <c r="G456" s="507"/>
      <c r="H456" s="507"/>
      <c r="I456" s="507"/>
      <c r="J456" s="507"/>
      <c r="K456" s="507"/>
      <c r="L456" s="507"/>
      <c r="M456" s="507"/>
      <c r="N456" s="507"/>
    </row>
    <row r="457" ht="35.25" hidden="1" customHeight="1">
      <c r="A457" s="679" t="s">
        <v>744</v>
      </c>
      <c r="B457" s="547" t="s">
        <v>1126</v>
      </c>
      <c r="C457" s="593" t="s">
        <v>7</v>
      </c>
      <c r="D457" s="680">
        <f>SUM(C457:C461)</f>
        <v>94774000</v>
      </c>
      <c r="E457" s="556"/>
      <c r="F457" s="507"/>
      <c r="G457" s="507"/>
      <c r="H457" s="507"/>
      <c r="I457" s="507"/>
      <c r="J457" s="507"/>
      <c r="K457" s="507"/>
      <c r="L457" s="507"/>
      <c r="M457" s="507"/>
      <c r="N457" s="507"/>
    </row>
    <row r="458" ht="35.25" hidden="1" customHeight="1">
      <c r="A458" s="18"/>
      <c r="B458" s="547" t="s">
        <v>219</v>
      </c>
      <c r="C458" s="593" t="s">
        <v>7</v>
      </c>
      <c r="D458" s="18"/>
      <c r="E458" s="556"/>
      <c r="F458" s="507"/>
      <c r="G458" s="507"/>
      <c r="H458" s="507"/>
      <c r="I458" s="507"/>
      <c r="J458" s="507"/>
      <c r="K458" s="507"/>
      <c r="L458" s="507"/>
      <c r="M458" s="507"/>
      <c r="N458" s="507"/>
    </row>
    <row r="459" ht="35.25" hidden="1" customHeight="1">
      <c r="A459" s="18"/>
      <c r="B459" s="547" t="s">
        <v>89</v>
      </c>
      <c r="C459" s="593" t="s">
        <v>7</v>
      </c>
      <c r="D459" s="18"/>
      <c r="E459" s="556"/>
      <c r="F459" s="507"/>
      <c r="G459" s="507"/>
      <c r="H459" s="507"/>
      <c r="I459" s="507"/>
      <c r="J459" s="507"/>
      <c r="K459" s="507"/>
      <c r="L459" s="507"/>
      <c r="M459" s="507"/>
      <c r="N459" s="507"/>
    </row>
    <row r="460" ht="35.25" hidden="1" customHeight="1">
      <c r="A460" s="18"/>
      <c r="B460" s="547" t="s">
        <v>220</v>
      </c>
      <c r="C460" s="593">
        <v>2.1722E7</v>
      </c>
      <c r="D460" s="18"/>
      <c r="E460" s="556"/>
      <c r="F460" s="507"/>
      <c r="G460" s="507"/>
      <c r="H460" s="507"/>
      <c r="I460" s="507"/>
      <c r="J460" s="507"/>
      <c r="K460" s="507"/>
      <c r="L460" s="507"/>
      <c r="M460" s="507"/>
      <c r="N460" s="507"/>
    </row>
    <row r="461" ht="35.25" hidden="1" customHeight="1">
      <c r="A461" s="22"/>
      <c r="B461" s="706" t="s">
        <v>1124</v>
      </c>
      <c r="C461" s="638">
        <v>7.3052E7</v>
      </c>
      <c r="D461" s="22"/>
      <c r="E461" s="556"/>
      <c r="F461" s="507"/>
      <c r="G461" s="507"/>
      <c r="H461" s="507"/>
      <c r="I461" s="507"/>
      <c r="J461" s="507"/>
      <c r="K461" s="507"/>
      <c r="L461" s="507"/>
      <c r="M461" s="507"/>
      <c r="N461" s="507"/>
    </row>
    <row r="462" ht="36.75" hidden="1" customHeight="1">
      <c r="A462" s="679" t="s">
        <v>750</v>
      </c>
      <c r="B462" s="547" t="s">
        <v>88</v>
      </c>
      <c r="C462" s="593">
        <v>7.72863E7</v>
      </c>
      <c r="D462" s="680">
        <f>SUM(C462:C466)</f>
        <v>321620700</v>
      </c>
      <c r="E462" s="556" t="s">
        <v>933</v>
      </c>
      <c r="F462" s="507"/>
      <c r="G462" s="507"/>
      <c r="H462" s="507"/>
      <c r="I462" s="507"/>
      <c r="J462" s="507"/>
      <c r="K462" s="507"/>
      <c r="L462" s="507"/>
      <c r="M462" s="507"/>
      <c r="N462" s="507"/>
    </row>
    <row r="463" ht="33.75" hidden="1" customHeight="1">
      <c r="A463" s="18"/>
      <c r="B463" s="547" t="s">
        <v>219</v>
      </c>
      <c r="C463" s="593">
        <v>7.47056E7</v>
      </c>
      <c r="D463" s="18"/>
      <c r="E463" s="556"/>
      <c r="F463" s="507"/>
      <c r="G463" s="507"/>
      <c r="H463" s="507"/>
      <c r="I463" s="507"/>
      <c r="J463" s="507"/>
      <c r="K463" s="507"/>
      <c r="L463" s="507"/>
      <c r="M463" s="507"/>
      <c r="N463" s="507"/>
    </row>
    <row r="464" ht="33.75" hidden="1" customHeight="1">
      <c r="A464" s="18"/>
      <c r="B464" s="547" t="s">
        <v>89</v>
      </c>
      <c r="C464" s="593">
        <v>6.40501E7</v>
      </c>
      <c r="D464" s="18"/>
      <c r="E464" s="556"/>
      <c r="F464" s="507"/>
      <c r="G464" s="507"/>
      <c r="H464" s="507"/>
      <c r="I464" s="507"/>
      <c r="J464" s="507"/>
      <c r="K464" s="507"/>
      <c r="L464" s="507"/>
      <c r="M464" s="507"/>
      <c r="N464" s="507"/>
    </row>
    <row r="465" ht="33.75" hidden="1" customHeight="1">
      <c r="A465" s="18"/>
      <c r="B465" s="547" t="s">
        <v>220</v>
      </c>
      <c r="C465" s="593">
        <v>6.22025E7</v>
      </c>
      <c r="D465" s="18"/>
      <c r="E465" s="556"/>
      <c r="F465" s="507"/>
      <c r="G465" s="507"/>
      <c r="H465" s="507"/>
      <c r="I465" s="507"/>
      <c r="J465" s="507"/>
      <c r="K465" s="507"/>
      <c r="L465" s="507"/>
      <c r="M465" s="507"/>
      <c r="N465" s="507"/>
    </row>
    <row r="466" ht="33.75" hidden="1" customHeight="1">
      <c r="A466" s="22"/>
      <c r="B466" s="547" t="s">
        <v>697</v>
      </c>
      <c r="C466" s="593">
        <v>4.33762E7</v>
      </c>
      <c r="D466" s="22"/>
      <c r="E466" s="556"/>
      <c r="F466" s="507"/>
      <c r="G466" s="507"/>
      <c r="H466" s="507"/>
      <c r="I466" s="507"/>
      <c r="J466" s="507"/>
      <c r="K466" s="507"/>
      <c r="L466" s="507"/>
      <c r="M466" s="507"/>
      <c r="N466" s="507"/>
    </row>
    <row r="467" ht="35.25" hidden="1" customHeight="1">
      <c r="A467" s="679" t="s">
        <v>752</v>
      </c>
      <c r="B467" s="806" t="s">
        <v>88</v>
      </c>
      <c r="C467" s="593" t="s">
        <v>7</v>
      </c>
      <c r="D467" s="680">
        <f>SUM(C467:C472)</f>
        <v>191610500</v>
      </c>
      <c r="E467" s="556"/>
      <c r="F467" s="507"/>
      <c r="G467" s="507"/>
      <c r="H467" s="507"/>
      <c r="I467" s="507"/>
      <c r="J467" s="507"/>
      <c r="K467" s="507"/>
      <c r="L467" s="507"/>
      <c r="M467" s="507"/>
      <c r="N467" s="507"/>
    </row>
    <row r="468" ht="32.25" hidden="1" customHeight="1">
      <c r="A468" s="18"/>
      <c r="B468" s="547" t="s">
        <v>219</v>
      </c>
      <c r="C468" s="593" t="s">
        <v>7</v>
      </c>
      <c r="D468" s="18"/>
      <c r="E468" s="556" t="s">
        <v>934</v>
      </c>
      <c r="F468" s="507"/>
      <c r="G468" s="507"/>
      <c r="H468" s="507"/>
      <c r="I468" s="507"/>
      <c r="J468" s="507"/>
      <c r="K468" s="507"/>
      <c r="L468" s="507"/>
      <c r="M468" s="507"/>
      <c r="N468" s="507"/>
    </row>
    <row r="469" ht="35.25" hidden="1" customHeight="1">
      <c r="A469" s="18"/>
      <c r="B469" s="547" t="s">
        <v>89</v>
      </c>
      <c r="C469" s="593">
        <v>4.87495E7</v>
      </c>
      <c r="D469" s="18"/>
      <c r="E469" s="556"/>
      <c r="F469" s="507"/>
      <c r="G469" s="507"/>
      <c r="H469" s="507"/>
      <c r="I469" s="507"/>
      <c r="J469" s="507"/>
      <c r="K469" s="507"/>
      <c r="L469" s="507"/>
      <c r="M469" s="507"/>
      <c r="N469" s="507"/>
    </row>
    <row r="470" ht="35.25" hidden="1" customHeight="1">
      <c r="A470" s="18"/>
      <c r="B470" s="547" t="s">
        <v>220</v>
      </c>
      <c r="C470" s="593">
        <v>3.3986E7</v>
      </c>
      <c r="D470" s="18"/>
      <c r="E470" s="556"/>
      <c r="F470" s="507"/>
      <c r="G470" s="507"/>
      <c r="H470" s="507"/>
      <c r="I470" s="507"/>
      <c r="J470" s="507"/>
      <c r="K470" s="507"/>
      <c r="L470" s="507"/>
      <c r="M470" s="507"/>
      <c r="N470" s="507"/>
    </row>
    <row r="471" ht="35.25" hidden="1" customHeight="1">
      <c r="A471" s="18"/>
      <c r="B471" s="547" t="s">
        <v>697</v>
      </c>
      <c r="C471" s="593">
        <v>3.8625E7</v>
      </c>
      <c r="D471" s="18"/>
      <c r="E471" s="556"/>
      <c r="F471" s="507"/>
      <c r="G471" s="507"/>
      <c r="H471" s="507"/>
      <c r="I471" s="507"/>
      <c r="J471" s="507"/>
      <c r="K471" s="507"/>
      <c r="L471" s="507"/>
      <c r="M471" s="507"/>
      <c r="N471" s="507"/>
    </row>
    <row r="472" ht="35.25" hidden="1" customHeight="1">
      <c r="A472" s="22"/>
      <c r="B472" s="706" t="s">
        <v>1124</v>
      </c>
      <c r="C472" s="638">
        <v>7.025E7</v>
      </c>
      <c r="D472" s="22"/>
      <c r="E472" s="556"/>
      <c r="F472" s="507"/>
      <c r="G472" s="507"/>
      <c r="H472" s="507"/>
      <c r="I472" s="507"/>
      <c r="J472" s="507"/>
      <c r="K472" s="507"/>
      <c r="L472" s="507"/>
      <c r="M472" s="507"/>
      <c r="N472" s="507"/>
    </row>
    <row r="473" ht="38.25" hidden="1" customHeight="1">
      <c r="A473" s="679" t="s">
        <v>753</v>
      </c>
      <c r="B473" s="547" t="s">
        <v>697</v>
      </c>
      <c r="C473" s="593">
        <f>51670000-380000</f>
        <v>51290000</v>
      </c>
      <c r="D473" s="680">
        <f>SUM(C473:C476)</f>
        <v>51290000</v>
      </c>
      <c r="E473" s="556" t="s">
        <v>935</v>
      </c>
      <c r="F473" s="507"/>
      <c r="G473" s="507"/>
      <c r="H473" s="507"/>
      <c r="I473" s="507"/>
      <c r="J473" s="507"/>
      <c r="K473" s="507"/>
      <c r="L473" s="507"/>
      <c r="M473" s="507"/>
      <c r="N473" s="507"/>
    </row>
    <row r="474" ht="38.25" hidden="1" customHeight="1">
      <c r="A474" s="18"/>
      <c r="B474" s="547"/>
      <c r="C474" s="593"/>
      <c r="D474" s="18"/>
      <c r="E474" s="556"/>
      <c r="F474" s="507"/>
      <c r="G474" s="507"/>
      <c r="H474" s="507"/>
      <c r="I474" s="507"/>
      <c r="J474" s="507"/>
      <c r="K474" s="507"/>
      <c r="L474" s="507"/>
      <c r="M474" s="507"/>
      <c r="N474" s="507"/>
    </row>
    <row r="475" ht="38.25" hidden="1" customHeight="1">
      <c r="A475" s="18"/>
      <c r="B475" s="547"/>
      <c r="C475" s="593"/>
      <c r="D475" s="18"/>
      <c r="E475" s="556"/>
      <c r="F475" s="507"/>
      <c r="G475" s="507"/>
      <c r="H475" s="507"/>
      <c r="I475" s="507"/>
      <c r="J475" s="507"/>
      <c r="K475" s="507"/>
      <c r="L475" s="507"/>
      <c r="M475" s="507"/>
      <c r="N475" s="507"/>
    </row>
    <row r="476" ht="38.25" hidden="1" customHeight="1">
      <c r="A476" s="22"/>
      <c r="B476" s="547"/>
      <c r="C476" s="593"/>
      <c r="D476" s="22"/>
      <c r="E476" s="556"/>
      <c r="F476" s="507"/>
      <c r="G476" s="507"/>
      <c r="H476" s="507"/>
      <c r="I476" s="507"/>
      <c r="J476" s="507"/>
      <c r="K476" s="507"/>
      <c r="L476" s="507"/>
      <c r="M476" s="507"/>
      <c r="N476" s="507"/>
    </row>
    <row r="477" ht="35.25" hidden="1" customHeight="1">
      <c r="A477" s="679" t="s">
        <v>936</v>
      </c>
      <c r="B477" s="547" t="s">
        <v>89</v>
      </c>
      <c r="C477" s="598">
        <v>6.9028E7</v>
      </c>
      <c r="D477" s="680">
        <f>SUM(C477:C480)</f>
        <v>300650000</v>
      </c>
      <c r="E477" s="507">
        <f>27*3000+40000</f>
        <v>121000</v>
      </c>
      <c r="F477" s="507"/>
      <c r="G477" s="507"/>
      <c r="H477" s="507"/>
      <c r="I477" s="507"/>
      <c r="J477" s="507"/>
      <c r="K477" s="507"/>
      <c r="L477" s="507"/>
      <c r="M477" s="507"/>
      <c r="N477" s="507"/>
    </row>
    <row r="478" ht="35.25" hidden="1" customHeight="1">
      <c r="A478" s="18"/>
      <c r="B478" s="547" t="s">
        <v>220</v>
      </c>
      <c r="C478" s="593">
        <f>64831200-651000</f>
        <v>64180200</v>
      </c>
      <c r="D478" s="18"/>
      <c r="E478" s="507">
        <f>50+480+121</f>
        <v>651</v>
      </c>
      <c r="F478" s="507"/>
      <c r="G478" s="507"/>
      <c r="H478" s="507"/>
      <c r="I478" s="507"/>
      <c r="J478" s="507"/>
      <c r="K478" s="507"/>
      <c r="L478" s="507"/>
      <c r="M478" s="507"/>
      <c r="N478" s="507"/>
    </row>
    <row r="479" ht="35.25" hidden="1" customHeight="1">
      <c r="A479" s="18"/>
      <c r="B479" s="547" t="s">
        <v>697</v>
      </c>
      <c r="C479" s="598">
        <f>37581800-78000-60000</f>
        <v>37443800</v>
      </c>
      <c r="D479" s="18"/>
      <c r="E479" s="556" t="s">
        <v>937</v>
      </c>
      <c r="F479" s="507"/>
      <c r="G479" s="507"/>
      <c r="H479" s="507"/>
      <c r="I479" s="507"/>
      <c r="J479" s="507"/>
      <c r="K479" s="507"/>
      <c r="L479" s="507"/>
      <c r="M479" s="507"/>
      <c r="N479" s="507"/>
    </row>
    <row r="480" ht="35.25" hidden="1" customHeight="1">
      <c r="A480" s="22"/>
      <c r="B480" s="706" t="s">
        <v>1124</v>
      </c>
      <c r="C480" s="638">
        <v>1.29998E8</v>
      </c>
      <c r="D480" s="22"/>
      <c r="E480" s="556"/>
      <c r="F480" s="507"/>
      <c r="G480" s="507"/>
      <c r="H480" s="507"/>
      <c r="I480" s="507"/>
      <c r="J480" s="507"/>
      <c r="K480" s="507"/>
      <c r="L480" s="507"/>
      <c r="M480" s="507"/>
      <c r="N480" s="507"/>
    </row>
    <row r="481" ht="35.25" hidden="1" customHeight="1">
      <c r="A481" s="679" t="s">
        <v>944</v>
      </c>
      <c r="B481" s="547" t="s">
        <v>228</v>
      </c>
      <c r="C481" s="593">
        <v>1.88149E8</v>
      </c>
      <c r="D481" s="680">
        <f>SUM(C481:C486)</f>
        <v>341508500</v>
      </c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</row>
    <row r="482" ht="35.25" hidden="1" customHeight="1">
      <c r="A482" s="18"/>
      <c r="B482" s="547" t="s">
        <v>88</v>
      </c>
      <c r="C482" s="593">
        <v>2.6726E7</v>
      </c>
      <c r="D482" s="18"/>
      <c r="E482" s="507"/>
      <c r="F482" s="507"/>
      <c r="G482" s="507"/>
      <c r="H482" s="556">
        <v>-190000.0</v>
      </c>
      <c r="I482" s="507"/>
      <c r="J482" s="507"/>
      <c r="K482" s="507"/>
      <c r="L482" s="507"/>
      <c r="M482" s="507"/>
      <c r="N482" s="507"/>
    </row>
    <row r="483" ht="35.25" hidden="1" customHeight="1">
      <c r="A483" s="18"/>
      <c r="B483" s="547" t="s">
        <v>219</v>
      </c>
      <c r="C483" s="598">
        <v>3.17565E7</v>
      </c>
      <c r="D483" s="18"/>
      <c r="E483" s="507"/>
      <c r="F483" s="507"/>
      <c r="G483" s="507"/>
      <c r="H483" s="556">
        <v>28858.0</v>
      </c>
      <c r="I483" s="507"/>
      <c r="J483" s="507"/>
      <c r="K483" s="507"/>
      <c r="L483" s="507"/>
      <c r="M483" s="507"/>
      <c r="N483" s="507"/>
    </row>
    <row r="484" ht="35.25" hidden="1" customHeight="1">
      <c r="A484" s="18"/>
      <c r="B484" s="547" t="s">
        <v>89</v>
      </c>
      <c r="C484" s="593">
        <v>3.45985E7</v>
      </c>
      <c r="D484" s="18"/>
      <c r="E484" s="507"/>
      <c r="F484" s="507"/>
      <c r="G484" s="507"/>
      <c r="H484" s="556">
        <v>42176.0</v>
      </c>
      <c r="I484" s="507"/>
      <c r="J484" s="507"/>
      <c r="K484" s="507"/>
      <c r="L484" s="507"/>
      <c r="M484" s="507"/>
      <c r="N484" s="507"/>
    </row>
    <row r="485" ht="35.25" hidden="1" customHeight="1">
      <c r="A485" s="18"/>
      <c r="B485" s="547" t="s">
        <v>220</v>
      </c>
      <c r="C485" s="593">
        <v>3.2687E7</v>
      </c>
      <c r="D485" s="18"/>
      <c r="E485" s="507"/>
      <c r="F485" s="507"/>
      <c r="G485" s="507"/>
      <c r="H485" s="556"/>
      <c r="I485" s="507"/>
      <c r="J485" s="507"/>
      <c r="K485" s="507"/>
      <c r="L485" s="507"/>
      <c r="M485" s="507"/>
      <c r="N485" s="507"/>
    </row>
    <row r="486" ht="35.25" hidden="1" customHeight="1">
      <c r="A486" s="22"/>
      <c r="B486" s="547" t="s">
        <v>697</v>
      </c>
      <c r="C486" s="593">
        <v>2.75915E7</v>
      </c>
      <c r="D486" s="22"/>
      <c r="E486" s="507"/>
      <c r="F486" s="507"/>
      <c r="G486" s="507"/>
      <c r="H486" s="556">
        <v>43441.0</v>
      </c>
      <c r="I486" s="507"/>
      <c r="J486" s="507"/>
      <c r="K486" s="507"/>
      <c r="L486" s="507"/>
      <c r="M486" s="507"/>
      <c r="N486" s="507"/>
    </row>
    <row r="487" ht="35.25" hidden="1" customHeight="1">
      <c r="A487" s="679" t="s">
        <v>938</v>
      </c>
      <c r="B487" s="547" t="s">
        <v>89</v>
      </c>
      <c r="C487" s="593">
        <v>3.0955E7</v>
      </c>
      <c r="D487" s="680">
        <f>SUM(C487:C490)</f>
        <v>296666400</v>
      </c>
      <c r="E487" s="507"/>
      <c r="F487" s="507"/>
      <c r="G487" s="507"/>
      <c r="H487" s="556">
        <v>46764.0</v>
      </c>
      <c r="I487" s="507"/>
      <c r="J487" s="507"/>
      <c r="K487" s="507"/>
      <c r="L487" s="507"/>
      <c r="M487" s="507"/>
      <c r="N487" s="507"/>
    </row>
    <row r="488" ht="35.25" hidden="1" customHeight="1">
      <c r="A488" s="18"/>
      <c r="B488" s="547" t="s">
        <v>220</v>
      </c>
      <c r="C488" s="593">
        <v>3.5001E7</v>
      </c>
      <c r="D488" s="18"/>
      <c r="E488" s="730" t="s">
        <v>939</v>
      </c>
      <c r="F488" s="507"/>
      <c r="G488" s="507"/>
      <c r="H488" s="556">
        <v>55365.0</v>
      </c>
      <c r="I488" s="507"/>
      <c r="J488" s="507"/>
      <c r="K488" s="507"/>
      <c r="L488" s="507"/>
      <c r="M488" s="507"/>
      <c r="N488" s="507"/>
    </row>
    <row r="489" ht="35.25" hidden="1" customHeight="1">
      <c r="A489" s="18"/>
      <c r="B489" s="547" t="s">
        <v>697</v>
      </c>
      <c r="C489" s="593">
        <v>3.71344E7</v>
      </c>
      <c r="D489" s="18"/>
      <c r="E489" s="507"/>
      <c r="F489" s="507"/>
      <c r="G489" s="507"/>
      <c r="H489" s="507">
        <f>SUM(H482:H488)</f>
        <v>26604</v>
      </c>
      <c r="I489" s="507"/>
      <c r="J489" s="507"/>
      <c r="K489" s="507"/>
      <c r="L489" s="507"/>
      <c r="M489" s="507"/>
      <c r="N489" s="507"/>
    </row>
    <row r="490" ht="35.25" hidden="1" customHeight="1">
      <c r="A490" s="22"/>
      <c r="B490" s="706" t="s">
        <v>1124</v>
      </c>
      <c r="C490" s="638">
        <v>1.93576E8</v>
      </c>
      <c r="D490" s="22"/>
      <c r="E490" s="507"/>
      <c r="F490" s="507"/>
      <c r="G490" s="507"/>
      <c r="H490" s="507"/>
      <c r="I490" s="507"/>
      <c r="J490" s="507"/>
      <c r="K490" s="507"/>
      <c r="L490" s="507"/>
      <c r="M490" s="507"/>
      <c r="N490" s="507"/>
    </row>
    <row r="491" ht="35.25" hidden="1" customHeight="1">
      <c r="A491" s="679" t="s">
        <v>940</v>
      </c>
      <c r="B491" s="547" t="s">
        <v>220</v>
      </c>
      <c r="C491" s="598">
        <v>2.81995E7</v>
      </c>
      <c r="D491" s="680">
        <f>SUM(C491:C494)</f>
        <v>28199500</v>
      </c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</row>
    <row r="492" ht="35.25" hidden="1" customHeight="1">
      <c r="A492" s="18"/>
      <c r="B492" s="547"/>
      <c r="C492" s="598"/>
      <c r="D492" s="18"/>
      <c r="E492" s="556" t="s">
        <v>941</v>
      </c>
      <c r="F492" s="507"/>
      <c r="G492" s="507"/>
      <c r="H492" s="507"/>
      <c r="I492" s="507"/>
      <c r="J492" s="507"/>
      <c r="K492" s="507"/>
      <c r="L492" s="507"/>
      <c r="M492" s="507"/>
      <c r="N492" s="507"/>
    </row>
    <row r="493" ht="35.25" hidden="1" customHeight="1">
      <c r="A493" s="18"/>
      <c r="B493" s="547"/>
      <c r="C493" s="598"/>
      <c r="D493" s="18"/>
      <c r="E493" s="507"/>
      <c r="F493" s="507"/>
      <c r="G493" s="507"/>
      <c r="H493" s="507"/>
      <c r="I493" s="507"/>
      <c r="J493" s="507"/>
      <c r="K493" s="507"/>
      <c r="L493" s="507"/>
      <c r="M493" s="507"/>
      <c r="N493" s="507"/>
    </row>
    <row r="494" ht="35.25" hidden="1" customHeight="1">
      <c r="A494" s="22"/>
      <c r="B494" s="547"/>
      <c r="C494" s="598"/>
      <c r="D494" s="22"/>
      <c r="E494" s="507"/>
      <c r="F494" s="507"/>
      <c r="G494" s="507"/>
      <c r="H494" s="507"/>
      <c r="I494" s="507"/>
      <c r="J494" s="507"/>
      <c r="K494" s="507"/>
      <c r="L494" s="507"/>
      <c r="M494" s="507"/>
      <c r="N494" s="507"/>
    </row>
    <row r="495" ht="35.25" hidden="1" customHeight="1">
      <c r="A495" s="679" t="s">
        <v>942</v>
      </c>
      <c r="B495" s="547" t="s">
        <v>228</v>
      </c>
      <c r="C495" s="593">
        <v>2.738625E8</v>
      </c>
      <c r="D495" s="680">
        <f>SUM(C495:C501)</f>
        <v>586480500</v>
      </c>
      <c r="E495" s="507"/>
      <c r="F495" s="507"/>
      <c r="G495" s="507"/>
      <c r="H495" s="507"/>
      <c r="I495" s="507"/>
      <c r="J495" s="507"/>
      <c r="K495" s="507"/>
      <c r="L495" s="507"/>
      <c r="M495" s="507"/>
      <c r="N495" s="507"/>
    </row>
    <row r="496" ht="35.25" hidden="1" customHeight="1">
      <c r="A496" s="18"/>
      <c r="B496" s="806" t="s">
        <v>88</v>
      </c>
      <c r="C496" s="598">
        <v>3500000.0</v>
      </c>
      <c r="D496" s="18"/>
      <c r="E496" s="507"/>
      <c r="F496" s="507"/>
      <c r="G496" s="507"/>
      <c r="H496" s="507"/>
      <c r="I496" s="507"/>
      <c r="J496" s="507"/>
      <c r="K496" s="507"/>
      <c r="L496" s="507"/>
      <c r="M496" s="507"/>
      <c r="N496" s="507"/>
    </row>
    <row r="497" ht="35.25" hidden="1" customHeight="1">
      <c r="A497" s="18"/>
      <c r="B497" s="547" t="s">
        <v>219</v>
      </c>
      <c r="C497" s="593">
        <v>5.6065E7</v>
      </c>
      <c r="D497" s="18"/>
      <c r="E497" s="507"/>
      <c r="F497" s="507"/>
      <c r="G497" s="507"/>
      <c r="H497" s="507"/>
      <c r="I497" s="507"/>
      <c r="J497" s="507"/>
      <c r="K497" s="507"/>
      <c r="L497" s="507"/>
      <c r="M497" s="507"/>
      <c r="N497" s="507"/>
    </row>
    <row r="498" ht="35.25" hidden="1" customHeight="1">
      <c r="A498" s="18"/>
      <c r="B498" s="547" t="s">
        <v>89</v>
      </c>
      <c r="C498" s="593">
        <v>5.4915E7</v>
      </c>
      <c r="D498" s="18"/>
      <c r="E498" s="507"/>
      <c r="F498" s="507"/>
      <c r="G498" s="507"/>
      <c r="H498" s="507"/>
      <c r="I498" s="507"/>
      <c r="J498" s="507"/>
      <c r="K498" s="507"/>
      <c r="L498" s="507"/>
      <c r="M498" s="507"/>
      <c r="N498" s="507"/>
    </row>
    <row r="499" ht="35.25" hidden="1" customHeight="1">
      <c r="A499" s="18"/>
      <c r="B499" s="547" t="s">
        <v>220</v>
      </c>
      <c r="C499" s="593">
        <v>5.22745E7</v>
      </c>
      <c r="D499" s="18"/>
      <c r="E499" s="507"/>
      <c r="F499" s="507"/>
      <c r="G499" s="507"/>
      <c r="H499" s="507"/>
      <c r="I499" s="507"/>
      <c r="J499" s="507"/>
      <c r="K499" s="507"/>
      <c r="L499" s="507"/>
      <c r="M499" s="507"/>
      <c r="N499" s="507"/>
    </row>
    <row r="500" ht="35.25" hidden="1" customHeight="1">
      <c r="A500" s="18"/>
      <c r="B500" s="547" t="s">
        <v>697</v>
      </c>
      <c r="C500" s="593">
        <v>4.86635E7</v>
      </c>
      <c r="D500" s="18"/>
      <c r="E500" s="507"/>
      <c r="F500" s="507"/>
      <c r="G500" s="507"/>
      <c r="H500" s="507"/>
      <c r="I500" s="507"/>
      <c r="J500" s="507"/>
      <c r="K500" s="507"/>
      <c r="L500" s="507"/>
      <c r="M500" s="507"/>
      <c r="N500" s="507"/>
    </row>
    <row r="501" ht="35.25" hidden="1" customHeight="1">
      <c r="A501" s="22"/>
      <c r="B501" s="706" t="s">
        <v>1124</v>
      </c>
      <c r="C501" s="638">
        <v>9.72E7</v>
      </c>
      <c r="D501" s="22"/>
      <c r="E501" s="507"/>
      <c r="F501" s="507"/>
      <c r="G501" s="507"/>
      <c r="H501" s="507"/>
      <c r="I501" s="507"/>
      <c r="J501" s="507"/>
      <c r="K501" s="507"/>
      <c r="L501" s="507"/>
      <c r="M501" s="507"/>
      <c r="N501" s="507"/>
    </row>
    <row r="502" ht="35.25" hidden="1" customHeight="1">
      <c r="A502" s="679" t="s">
        <v>946</v>
      </c>
      <c r="B502" s="547" t="s">
        <v>1127</v>
      </c>
      <c r="C502" s="593">
        <v>3.6396E7</v>
      </c>
      <c r="D502" s="680">
        <f>SUM(C502:C508)</f>
        <v>175969000</v>
      </c>
      <c r="E502" s="507"/>
      <c r="F502" s="507"/>
      <c r="G502" s="507"/>
      <c r="H502" s="507"/>
      <c r="I502" s="507"/>
      <c r="J502" s="507"/>
      <c r="K502" s="507"/>
      <c r="L502" s="507"/>
      <c r="M502" s="507"/>
      <c r="N502" s="507"/>
    </row>
    <row r="503" ht="35.25" hidden="1" customHeight="1">
      <c r="A503" s="18"/>
      <c r="B503" s="547" t="s">
        <v>1128</v>
      </c>
      <c r="C503" s="598">
        <v>3.8753E7</v>
      </c>
      <c r="D503" s="18"/>
      <c r="E503" s="507"/>
      <c r="F503" s="507"/>
      <c r="G503" s="507"/>
      <c r="H503" s="507"/>
      <c r="I503" s="507"/>
      <c r="J503" s="507"/>
      <c r="K503" s="507"/>
      <c r="L503" s="507"/>
      <c r="M503" s="507"/>
      <c r="N503" s="507"/>
    </row>
    <row r="504" ht="35.25" hidden="1" customHeight="1">
      <c r="A504" s="18"/>
      <c r="B504" s="547" t="s">
        <v>1129</v>
      </c>
      <c r="C504" s="809">
        <v>2200000.0</v>
      </c>
      <c r="D504" s="18"/>
      <c r="E504" s="507"/>
      <c r="F504" s="507"/>
      <c r="G504" s="507"/>
      <c r="H504" s="507"/>
      <c r="I504" s="507"/>
      <c r="J504" s="507"/>
      <c r="K504" s="507"/>
      <c r="L504" s="507"/>
      <c r="M504" s="507"/>
      <c r="N504" s="507"/>
    </row>
    <row r="505" ht="35.25" hidden="1" customHeight="1">
      <c r="A505" s="18"/>
      <c r="B505" s="547" t="s">
        <v>1130</v>
      </c>
      <c r="C505" s="809">
        <v>4.062E7</v>
      </c>
      <c r="D505" s="18"/>
      <c r="E505" s="507"/>
      <c r="F505" s="507"/>
      <c r="G505" s="507"/>
      <c r="H505" s="507"/>
      <c r="I505" s="507"/>
      <c r="J505" s="507"/>
      <c r="K505" s="507"/>
      <c r="L505" s="507"/>
      <c r="M505" s="507"/>
      <c r="N505" s="507"/>
    </row>
    <row r="506" ht="35.25" hidden="1" customHeight="1">
      <c r="A506" s="18"/>
      <c r="B506" s="547" t="s">
        <v>1131</v>
      </c>
      <c r="C506" s="809">
        <v>5.2E7</v>
      </c>
      <c r="D506" s="18"/>
      <c r="E506" s="507"/>
      <c r="F506" s="507"/>
      <c r="G506" s="507"/>
      <c r="H506" s="507"/>
      <c r="I506" s="507"/>
      <c r="J506" s="507"/>
      <c r="K506" s="507"/>
      <c r="L506" s="507"/>
      <c r="M506" s="507"/>
      <c r="N506" s="507"/>
    </row>
    <row r="507" ht="35.25" hidden="1" customHeight="1">
      <c r="A507" s="18"/>
      <c r="B507" s="547" t="s">
        <v>1132</v>
      </c>
      <c r="C507" s="809">
        <v>6000000.0</v>
      </c>
      <c r="D507" s="18"/>
      <c r="E507" s="507"/>
      <c r="F507" s="507"/>
      <c r="G507" s="507"/>
      <c r="H507" s="507"/>
      <c r="I507" s="507"/>
      <c r="J507" s="507"/>
      <c r="K507" s="507"/>
      <c r="L507" s="507"/>
      <c r="M507" s="507"/>
      <c r="N507" s="507"/>
    </row>
    <row r="508" ht="35.25" hidden="1" customHeight="1">
      <c r="A508" s="22"/>
      <c r="B508" s="547"/>
      <c r="C508" s="809"/>
      <c r="D508" s="22"/>
      <c r="E508" s="507"/>
      <c r="F508" s="507"/>
      <c r="G508" s="507"/>
      <c r="H508" s="507"/>
      <c r="I508" s="507"/>
      <c r="J508" s="507"/>
      <c r="K508" s="507"/>
      <c r="L508" s="507"/>
      <c r="M508" s="507"/>
      <c r="N508" s="507"/>
    </row>
    <row r="509" ht="35.25" hidden="1" customHeight="1">
      <c r="A509" s="679" t="s">
        <v>947</v>
      </c>
      <c r="B509" s="547" t="s">
        <v>89</v>
      </c>
      <c r="C509" s="593">
        <v>4.4878E7</v>
      </c>
      <c r="D509" s="680">
        <f>SUM(C509:C512)</f>
        <v>264893000</v>
      </c>
      <c r="E509" s="507"/>
      <c r="F509" s="507"/>
      <c r="G509" s="507"/>
      <c r="H509" s="507"/>
      <c r="I509" s="507"/>
      <c r="J509" s="507"/>
      <c r="K509" s="507"/>
      <c r="L509" s="507"/>
      <c r="M509" s="507"/>
      <c r="N509" s="507"/>
    </row>
    <row r="510" ht="35.25" hidden="1" customHeight="1">
      <c r="A510" s="18"/>
      <c r="B510" s="547" t="s">
        <v>220</v>
      </c>
      <c r="C510" s="593">
        <v>5.459E7</v>
      </c>
      <c r="D510" s="18"/>
      <c r="E510" s="507"/>
      <c r="F510" s="507"/>
      <c r="G510" s="507"/>
      <c r="H510" s="507"/>
      <c r="I510" s="507"/>
      <c r="J510" s="507"/>
      <c r="K510" s="507"/>
      <c r="L510" s="507"/>
      <c r="M510" s="507"/>
      <c r="N510" s="507"/>
    </row>
    <row r="511" ht="35.25" hidden="1" customHeight="1">
      <c r="A511" s="18"/>
      <c r="B511" s="547" t="s">
        <v>697</v>
      </c>
      <c r="C511" s="593">
        <v>4.1725E7</v>
      </c>
      <c r="D511" s="18"/>
      <c r="E511" s="507"/>
      <c r="F511" s="507"/>
      <c r="G511" s="507"/>
      <c r="H511" s="507"/>
      <c r="I511" s="507"/>
      <c r="J511" s="507"/>
      <c r="K511" s="507"/>
      <c r="L511" s="507"/>
      <c r="M511" s="507"/>
      <c r="N511" s="507"/>
    </row>
    <row r="512" ht="35.25" hidden="1" customHeight="1">
      <c r="A512" s="22"/>
      <c r="B512" s="706" t="s">
        <v>1124</v>
      </c>
      <c r="C512" s="638">
        <v>1.237E8</v>
      </c>
      <c r="D512" s="22"/>
      <c r="E512" s="507"/>
      <c r="F512" s="507"/>
      <c r="G512" s="507"/>
      <c r="H512" s="507"/>
      <c r="I512" s="507"/>
      <c r="J512" s="507"/>
      <c r="K512" s="507"/>
      <c r="L512" s="507"/>
      <c r="M512" s="507"/>
      <c r="N512" s="507"/>
    </row>
    <row r="513" ht="35.25" hidden="1" customHeight="1">
      <c r="A513" s="679" t="s">
        <v>1000</v>
      </c>
      <c r="B513" s="547" t="s">
        <v>88</v>
      </c>
      <c r="C513" s="598">
        <v>2.78125E7</v>
      </c>
      <c r="D513" s="680">
        <f>SUM(C513:C517)</f>
        <v>88383500</v>
      </c>
      <c r="E513" s="507"/>
      <c r="F513" s="507"/>
      <c r="G513" s="507"/>
      <c r="H513" s="507"/>
      <c r="I513" s="507"/>
      <c r="J513" s="507"/>
      <c r="K513" s="507"/>
      <c r="L513" s="507"/>
      <c r="M513" s="507"/>
      <c r="N513" s="507"/>
    </row>
    <row r="514" ht="35.25" hidden="1" customHeight="1">
      <c r="A514" s="18"/>
      <c r="B514" s="547" t="s">
        <v>219</v>
      </c>
      <c r="C514" s="593">
        <v>2.4536E7</v>
      </c>
      <c r="D514" s="18"/>
      <c r="E514" s="507"/>
      <c r="F514" s="507"/>
      <c r="G514" s="507"/>
      <c r="H514" s="507"/>
      <c r="I514" s="507"/>
      <c r="J514" s="507"/>
      <c r="K514" s="507"/>
      <c r="L514" s="507"/>
      <c r="M514" s="507"/>
      <c r="N514" s="507"/>
    </row>
    <row r="515" ht="35.25" hidden="1" customHeight="1">
      <c r="A515" s="18"/>
      <c r="B515" s="547" t="s">
        <v>89</v>
      </c>
      <c r="C515" s="598">
        <f>18389000-48*3000</f>
        <v>18245000</v>
      </c>
      <c r="D515" s="18"/>
      <c r="E515" s="507">
        <f>48*3</f>
        <v>144</v>
      </c>
      <c r="F515" s="507"/>
      <c r="G515" s="507"/>
      <c r="H515" s="507"/>
      <c r="I515" s="507"/>
      <c r="J515" s="507"/>
      <c r="K515" s="507"/>
      <c r="L515" s="507"/>
      <c r="M515" s="507"/>
      <c r="N515" s="507"/>
    </row>
    <row r="516" ht="35.25" hidden="1" customHeight="1">
      <c r="A516" s="18"/>
      <c r="B516" s="547" t="s">
        <v>220</v>
      </c>
      <c r="C516" s="593">
        <f>16604000-339000</f>
        <v>16265000</v>
      </c>
      <c r="D516" s="18"/>
      <c r="E516" s="507"/>
      <c r="F516" s="507"/>
      <c r="G516" s="507"/>
      <c r="H516" s="507"/>
      <c r="I516" s="507"/>
      <c r="J516" s="507"/>
      <c r="K516" s="507"/>
      <c r="L516" s="507"/>
      <c r="M516" s="507"/>
      <c r="N516" s="507"/>
    </row>
    <row r="517" ht="35.25" hidden="1" customHeight="1">
      <c r="A517" s="22"/>
      <c r="B517" s="547" t="s">
        <v>697</v>
      </c>
      <c r="C517" s="593">
        <v>1525000.0</v>
      </c>
      <c r="D517" s="22"/>
      <c r="E517" s="507">
        <f>300+13*3</f>
        <v>339</v>
      </c>
      <c r="F517" s="507"/>
      <c r="G517" s="507"/>
      <c r="H517" s="507"/>
      <c r="I517" s="507"/>
      <c r="J517" s="507"/>
      <c r="K517" s="507"/>
      <c r="L517" s="507"/>
      <c r="M517" s="507"/>
      <c r="N517" s="507"/>
    </row>
    <row r="518" ht="35.25" hidden="1" customHeight="1">
      <c r="A518" s="679" t="s">
        <v>943</v>
      </c>
      <c r="B518" s="547" t="s">
        <v>88</v>
      </c>
      <c r="C518" s="598">
        <v>5710000.0</v>
      </c>
      <c r="D518" s="680">
        <f>SUM(C518:C521)</f>
        <v>23467500</v>
      </c>
      <c r="E518" s="507"/>
      <c r="F518" s="507"/>
      <c r="G518" s="507"/>
      <c r="H518" s="507"/>
      <c r="I518" s="507"/>
      <c r="J518" s="507"/>
      <c r="K518" s="507"/>
      <c r="L518" s="507"/>
      <c r="M518" s="507"/>
      <c r="N518" s="507"/>
    </row>
    <row r="519" ht="35.25" hidden="1" customHeight="1">
      <c r="A519" s="18"/>
      <c r="B519" s="547" t="s">
        <v>219</v>
      </c>
      <c r="C519" s="593">
        <v>1.07575E7</v>
      </c>
      <c r="D519" s="18"/>
      <c r="E519" s="507"/>
      <c r="F519" s="507"/>
      <c r="G519" s="507"/>
      <c r="H519" s="507"/>
      <c r="I519" s="507"/>
      <c r="J519" s="507"/>
      <c r="K519" s="507"/>
      <c r="L519" s="507"/>
      <c r="M519" s="507"/>
      <c r="N519" s="507"/>
    </row>
    <row r="520" ht="35.25" hidden="1" customHeight="1">
      <c r="A520" s="18"/>
      <c r="B520" s="547" t="s">
        <v>89</v>
      </c>
      <c r="C520" s="598">
        <v>7000000.0</v>
      </c>
      <c r="D520" s="18"/>
      <c r="E520" s="507"/>
      <c r="F520" s="507"/>
      <c r="G520" s="507"/>
      <c r="H520" s="507"/>
      <c r="I520" s="507"/>
      <c r="J520" s="507"/>
      <c r="K520" s="507"/>
      <c r="L520" s="507"/>
      <c r="M520" s="507"/>
      <c r="N520" s="507"/>
    </row>
    <row r="521" ht="35.25" hidden="1" customHeight="1">
      <c r="A521" s="22"/>
      <c r="B521" s="547" t="s">
        <v>220</v>
      </c>
      <c r="C521" s="593"/>
      <c r="D521" s="22"/>
      <c r="E521" s="507"/>
      <c r="F521" s="507"/>
      <c r="G521" s="507"/>
      <c r="H521" s="507"/>
      <c r="I521" s="507"/>
      <c r="J521" s="507"/>
      <c r="K521" s="507"/>
      <c r="L521" s="507"/>
      <c r="M521" s="507"/>
      <c r="N521" s="507"/>
    </row>
    <row r="522" ht="35.25" hidden="1" customHeight="1">
      <c r="A522" s="679" t="s">
        <v>1001</v>
      </c>
      <c r="B522" s="806" t="s">
        <v>88</v>
      </c>
      <c r="C522" s="598">
        <v>5.34335E7</v>
      </c>
      <c r="D522" s="680">
        <f>SUM(C522:C525)</f>
        <v>124789500</v>
      </c>
      <c r="E522" s="507"/>
      <c r="F522" s="507"/>
      <c r="G522" s="507"/>
      <c r="H522" s="507"/>
      <c r="I522" s="507"/>
      <c r="J522" s="507"/>
      <c r="K522" s="507"/>
      <c r="L522" s="507"/>
      <c r="M522" s="507"/>
      <c r="N522" s="507"/>
    </row>
    <row r="523" ht="35.25" hidden="1" customHeight="1">
      <c r="A523" s="18"/>
      <c r="B523" s="547" t="s">
        <v>219</v>
      </c>
      <c r="C523" s="593">
        <v>1.9002E7</v>
      </c>
      <c r="D523" s="18"/>
      <c r="E523" s="507"/>
      <c r="F523" s="507"/>
      <c r="G523" s="507"/>
      <c r="H523" s="507"/>
      <c r="I523" s="507"/>
      <c r="J523" s="507"/>
      <c r="K523" s="507"/>
      <c r="L523" s="507"/>
      <c r="M523" s="507"/>
      <c r="N523" s="507"/>
    </row>
    <row r="524" ht="35.25" hidden="1" customHeight="1">
      <c r="A524" s="18"/>
      <c r="B524" s="547" t="s">
        <v>89</v>
      </c>
      <c r="C524" s="593">
        <v>2.54525E7</v>
      </c>
      <c r="D524" s="18"/>
      <c r="E524" s="556" t="s">
        <v>307</v>
      </c>
      <c r="F524" s="507"/>
      <c r="G524" s="507"/>
      <c r="H524" s="507"/>
      <c r="I524" s="507"/>
      <c r="J524" s="507"/>
      <c r="K524" s="507"/>
      <c r="L524" s="507"/>
      <c r="M524" s="507"/>
      <c r="N524" s="507"/>
    </row>
    <row r="525" ht="35.25" hidden="1" customHeight="1">
      <c r="A525" s="22"/>
      <c r="B525" s="547" t="s">
        <v>220</v>
      </c>
      <c r="C525" s="593">
        <v>2.69015E7</v>
      </c>
      <c r="D525" s="22"/>
      <c r="E525" s="507"/>
      <c r="F525" s="507"/>
      <c r="G525" s="507"/>
      <c r="H525" s="507"/>
      <c r="I525" s="507"/>
      <c r="J525" s="507"/>
      <c r="K525" s="507"/>
      <c r="L525" s="507"/>
      <c r="M525" s="507"/>
      <c r="N525" s="507"/>
    </row>
    <row r="526" ht="35.25" hidden="1" customHeight="1">
      <c r="A526" s="679" t="s">
        <v>1002</v>
      </c>
      <c r="B526" s="547" t="s">
        <v>228</v>
      </c>
      <c r="C526" s="598">
        <f>190657500-41555000-37758000-64355000</f>
        <v>46989500</v>
      </c>
      <c r="D526" s="680">
        <f>SUM(C526:C531)</f>
        <v>272488500</v>
      </c>
      <c r="E526" s="507"/>
      <c r="F526" s="507"/>
      <c r="G526" s="507"/>
      <c r="H526" s="507"/>
      <c r="I526" s="507"/>
      <c r="J526" s="507"/>
      <c r="K526" s="507"/>
      <c r="L526" s="507"/>
      <c r="M526" s="507"/>
      <c r="N526" s="507"/>
    </row>
    <row r="527" ht="35.25" hidden="1" customHeight="1">
      <c r="A527" s="18"/>
      <c r="B527" s="806" t="s">
        <v>88</v>
      </c>
      <c r="C527" s="593">
        <v>3.3115E7</v>
      </c>
      <c r="D527" s="18"/>
      <c r="E527" s="507"/>
      <c r="F527" s="507"/>
      <c r="G527" s="507"/>
      <c r="H527" s="507"/>
      <c r="I527" s="507"/>
      <c r="J527" s="507"/>
      <c r="K527" s="507"/>
      <c r="L527" s="507"/>
      <c r="M527" s="507"/>
      <c r="N527" s="507"/>
    </row>
    <row r="528" ht="35.25" hidden="1" customHeight="1">
      <c r="A528" s="18"/>
      <c r="B528" s="547" t="s">
        <v>219</v>
      </c>
      <c r="C528" s="598">
        <f>51807500-153000</f>
        <v>51654500</v>
      </c>
      <c r="D528" s="18"/>
      <c r="E528" s="507"/>
      <c r="F528" s="507"/>
      <c r="G528" s="507"/>
      <c r="H528" s="507"/>
      <c r="I528" s="507"/>
      <c r="J528" s="507"/>
      <c r="K528" s="507"/>
      <c r="L528" s="507"/>
      <c r="M528" s="507"/>
      <c r="N528" s="507"/>
    </row>
    <row r="529" ht="35.25" hidden="1" customHeight="1">
      <c r="A529" s="18"/>
      <c r="B529" s="547" t="s">
        <v>89</v>
      </c>
      <c r="C529" s="593">
        <v>4.803E7</v>
      </c>
      <c r="D529" s="18"/>
      <c r="E529" s="507"/>
      <c r="F529" s="507"/>
      <c r="G529" s="507"/>
      <c r="H529" s="507"/>
      <c r="I529" s="507"/>
      <c r="J529" s="507"/>
      <c r="K529" s="507"/>
      <c r="L529" s="507"/>
      <c r="M529" s="507"/>
      <c r="N529" s="507"/>
    </row>
    <row r="530" ht="35.25" hidden="1" customHeight="1">
      <c r="A530" s="18"/>
      <c r="B530" s="547" t="s">
        <v>220</v>
      </c>
      <c r="C530" s="593">
        <f>44630000-153000</f>
        <v>44477000</v>
      </c>
      <c r="D530" s="18"/>
      <c r="E530" s="507"/>
      <c r="F530" s="507"/>
      <c r="G530" s="507"/>
      <c r="H530" s="507"/>
      <c r="I530" s="507"/>
      <c r="J530" s="507"/>
      <c r="K530" s="507"/>
      <c r="L530" s="507"/>
      <c r="M530" s="507"/>
      <c r="N530" s="507"/>
    </row>
    <row r="531" ht="35.25" hidden="1" customHeight="1">
      <c r="A531" s="22"/>
      <c r="B531" s="547" t="s">
        <v>697</v>
      </c>
      <c r="C531" s="593">
        <v>4.82225E7</v>
      </c>
      <c r="D531" s="22"/>
      <c r="E531" s="507">
        <f>51*3000</f>
        <v>153000</v>
      </c>
      <c r="F531" s="507"/>
      <c r="G531" s="507"/>
      <c r="H531" s="507"/>
      <c r="I531" s="507"/>
      <c r="J531" s="507"/>
      <c r="K531" s="507"/>
      <c r="L531" s="507"/>
      <c r="M531" s="507"/>
      <c r="N531" s="507"/>
    </row>
    <row r="532" ht="35.25" hidden="1" customHeight="1">
      <c r="A532" s="679" t="s">
        <v>1003</v>
      </c>
      <c r="B532" s="806" t="s">
        <v>88</v>
      </c>
      <c r="C532" s="598" t="s">
        <v>7</v>
      </c>
      <c r="D532" s="680">
        <f>SUM(C532:C536)</f>
        <v>55305000</v>
      </c>
      <c r="E532" s="507"/>
      <c r="F532" s="507"/>
      <c r="G532" s="507"/>
      <c r="H532" s="507"/>
      <c r="I532" s="507"/>
      <c r="J532" s="507"/>
      <c r="K532" s="507"/>
      <c r="L532" s="507"/>
      <c r="M532" s="507"/>
      <c r="N532" s="507"/>
    </row>
    <row r="533" ht="35.25" hidden="1" customHeight="1">
      <c r="A533" s="18"/>
      <c r="B533" s="547" t="s">
        <v>219</v>
      </c>
      <c r="C533" s="593" t="s">
        <v>7</v>
      </c>
      <c r="D533" s="18"/>
      <c r="E533" s="507"/>
      <c r="F533" s="507"/>
      <c r="G533" s="507"/>
      <c r="H533" s="507"/>
      <c r="I533" s="507"/>
      <c r="J533" s="507"/>
      <c r="K533" s="507"/>
      <c r="L533" s="507"/>
      <c r="M533" s="507"/>
      <c r="N533" s="507"/>
    </row>
    <row r="534" ht="35.25" hidden="1" customHeight="1">
      <c r="A534" s="18"/>
      <c r="B534" s="547" t="s">
        <v>89</v>
      </c>
      <c r="C534" s="593" t="s">
        <v>7</v>
      </c>
      <c r="D534" s="18"/>
      <c r="E534" s="507"/>
      <c r="F534" s="507"/>
      <c r="G534" s="507"/>
      <c r="H534" s="507"/>
      <c r="I534" s="507"/>
      <c r="J534" s="507"/>
      <c r="K534" s="507"/>
      <c r="L534" s="507"/>
      <c r="M534" s="507"/>
      <c r="N534" s="507"/>
    </row>
    <row r="535" ht="35.25" hidden="1" customHeight="1">
      <c r="A535" s="18"/>
      <c r="B535" s="547" t="s">
        <v>220</v>
      </c>
      <c r="C535" s="593">
        <f>27227500-490000</f>
        <v>26737500</v>
      </c>
      <c r="D535" s="18"/>
      <c r="E535" s="507"/>
      <c r="F535" s="507"/>
      <c r="G535" s="507"/>
      <c r="H535" s="507"/>
      <c r="I535" s="507"/>
      <c r="J535" s="507"/>
      <c r="K535" s="507"/>
      <c r="L535" s="507"/>
      <c r="M535" s="507"/>
      <c r="N535" s="507"/>
    </row>
    <row r="536" ht="35.25" hidden="1" customHeight="1">
      <c r="A536" s="22"/>
      <c r="B536" s="547" t="s">
        <v>697</v>
      </c>
      <c r="C536" s="593">
        <v>2.85675E7</v>
      </c>
      <c r="D536" s="22"/>
      <c r="E536" s="507"/>
      <c r="F536" s="507"/>
      <c r="G536" s="507"/>
      <c r="H536" s="507"/>
      <c r="I536" s="507"/>
      <c r="J536" s="507"/>
      <c r="K536" s="507"/>
      <c r="L536" s="507"/>
      <c r="M536" s="507"/>
      <c r="N536" s="507"/>
    </row>
    <row r="537" ht="35.25" hidden="1" customHeight="1">
      <c r="A537" s="679" t="s">
        <v>1024</v>
      </c>
      <c r="B537" s="547" t="s">
        <v>228</v>
      </c>
      <c r="C537" s="598">
        <f>210975000-140950000</f>
        <v>70025000</v>
      </c>
      <c r="D537" s="680">
        <f>SUM(C537:C542)</f>
        <v>283575500</v>
      </c>
      <c r="E537" s="507"/>
      <c r="F537" s="507"/>
      <c r="G537" s="507"/>
      <c r="H537" s="507"/>
      <c r="I537" s="507"/>
      <c r="J537" s="507"/>
      <c r="K537" s="507"/>
      <c r="L537" s="507"/>
      <c r="M537" s="507"/>
      <c r="N537" s="507"/>
    </row>
    <row r="538" ht="35.25" hidden="1" customHeight="1">
      <c r="A538" s="18"/>
      <c r="B538" s="547" t="s">
        <v>88</v>
      </c>
      <c r="C538" s="598">
        <f>24032000-52000</f>
        <v>23980000</v>
      </c>
      <c r="D538" s="18"/>
      <c r="E538" s="507"/>
      <c r="F538" s="507"/>
      <c r="G538" s="507"/>
      <c r="H538" s="507"/>
      <c r="I538" s="507"/>
      <c r="J538" s="507"/>
      <c r="K538" s="507"/>
      <c r="L538" s="507"/>
      <c r="M538" s="507"/>
      <c r="N538" s="507"/>
    </row>
    <row r="539" ht="35.25" hidden="1" customHeight="1">
      <c r="A539" s="18"/>
      <c r="B539" s="547" t="s">
        <v>219</v>
      </c>
      <c r="C539" s="598">
        <v>2.7197E7</v>
      </c>
      <c r="D539" s="18"/>
      <c r="E539" s="507"/>
      <c r="F539" s="507"/>
      <c r="G539" s="507"/>
      <c r="H539" s="507"/>
      <c r="I539" s="507"/>
      <c r="J539" s="507"/>
      <c r="K539" s="507"/>
      <c r="L539" s="507"/>
      <c r="M539" s="507"/>
      <c r="N539" s="507"/>
    </row>
    <row r="540" ht="35.25" hidden="1" customHeight="1">
      <c r="A540" s="18"/>
      <c r="B540" s="547" t="s">
        <v>89</v>
      </c>
      <c r="C540" s="593">
        <v>2.46325E7</v>
      </c>
      <c r="D540" s="18"/>
      <c r="E540" s="507"/>
      <c r="F540" s="507"/>
      <c r="G540" s="507"/>
      <c r="H540" s="507"/>
      <c r="I540" s="507"/>
      <c r="J540" s="507"/>
      <c r="K540" s="507"/>
      <c r="L540" s="507"/>
      <c r="M540" s="507"/>
      <c r="N540" s="507"/>
    </row>
    <row r="541" ht="35.25" hidden="1" customHeight="1">
      <c r="A541" s="18"/>
      <c r="B541" s="547" t="s">
        <v>220</v>
      </c>
      <c r="C541" s="593">
        <v>1.7703E7</v>
      </c>
      <c r="D541" s="18"/>
      <c r="E541" s="507"/>
      <c r="F541" s="507"/>
      <c r="G541" s="507"/>
      <c r="H541" s="507"/>
      <c r="I541" s="507"/>
      <c r="J541" s="507"/>
      <c r="K541" s="507"/>
      <c r="L541" s="507"/>
      <c r="M541" s="507"/>
      <c r="N541" s="507"/>
    </row>
    <row r="542" ht="35.25" hidden="1" customHeight="1">
      <c r="A542" s="22"/>
      <c r="B542" s="706" t="s">
        <v>1124</v>
      </c>
      <c r="C542" s="638">
        <v>1.20038E8</v>
      </c>
      <c r="D542" s="22"/>
      <c r="E542" s="507"/>
      <c r="F542" s="507"/>
      <c r="G542" s="507"/>
      <c r="H542" s="507"/>
      <c r="I542" s="507"/>
      <c r="J542" s="507"/>
      <c r="K542" s="507"/>
      <c r="L542" s="507"/>
      <c r="M542" s="507"/>
      <c r="N542" s="507"/>
    </row>
    <row r="543" ht="35.25" hidden="1" customHeight="1">
      <c r="A543" s="679" t="s">
        <v>1133</v>
      </c>
      <c r="B543" s="547" t="s">
        <v>88</v>
      </c>
      <c r="C543" s="598">
        <v>1.47487E8</v>
      </c>
      <c r="D543" s="680">
        <f>SUM(C543:C547)</f>
        <v>686812700</v>
      </c>
      <c r="E543" s="507"/>
      <c r="F543" s="507"/>
      <c r="G543" s="507"/>
      <c r="H543" s="507"/>
      <c r="I543" s="507"/>
      <c r="J543" s="507"/>
      <c r="K543" s="507"/>
      <c r="L543" s="507"/>
      <c r="M543" s="507"/>
      <c r="N543" s="507"/>
    </row>
    <row r="544" ht="35.25" hidden="1" customHeight="1">
      <c r="A544" s="18"/>
      <c r="B544" s="547" t="s">
        <v>219</v>
      </c>
      <c r="C544" s="598">
        <v>1.548065E8</v>
      </c>
      <c r="D544" s="18"/>
      <c r="E544" s="507"/>
      <c r="F544" s="507"/>
      <c r="G544" s="507"/>
      <c r="H544" s="507"/>
      <c r="I544" s="507"/>
      <c r="J544" s="507"/>
      <c r="K544" s="507"/>
      <c r="L544" s="507"/>
      <c r="M544" s="507"/>
      <c r="N544" s="507"/>
    </row>
    <row r="545" ht="35.25" hidden="1" customHeight="1">
      <c r="A545" s="18"/>
      <c r="B545" s="547" t="s">
        <v>89</v>
      </c>
      <c r="C545" s="598">
        <v>1.46394E8</v>
      </c>
      <c r="D545" s="18"/>
      <c r="E545" s="507"/>
      <c r="F545" s="507"/>
      <c r="G545" s="507"/>
      <c r="H545" s="507"/>
      <c r="I545" s="507"/>
      <c r="J545" s="507"/>
      <c r="K545" s="507"/>
      <c r="L545" s="507"/>
      <c r="M545" s="507"/>
      <c r="N545" s="507"/>
    </row>
    <row r="546" ht="35.25" hidden="1" customHeight="1">
      <c r="A546" s="18"/>
      <c r="B546" s="547" t="s">
        <v>220</v>
      </c>
      <c r="C546" s="593">
        <v>1.333661E8</v>
      </c>
      <c r="D546" s="18"/>
      <c r="E546" s="507"/>
      <c r="F546" s="507"/>
      <c r="G546" s="507"/>
      <c r="H546" s="507"/>
      <c r="I546" s="507"/>
      <c r="J546" s="507"/>
      <c r="K546" s="507"/>
      <c r="L546" s="507"/>
      <c r="M546" s="507"/>
      <c r="N546" s="507"/>
    </row>
    <row r="547" ht="35.25" hidden="1" customHeight="1">
      <c r="A547" s="22"/>
      <c r="B547" s="547" t="s">
        <v>697</v>
      </c>
      <c r="C547" s="593">
        <v>1.047591E8</v>
      </c>
      <c r="D547" s="22"/>
      <c r="E547" s="507"/>
      <c r="F547" s="507"/>
      <c r="G547" s="507"/>
      <c r="H547" s="507"/>
      <c r="I547" s="507"/>
      <c r="J547" s="507"/>
      <c r="K547" s="507"/>
      <c r="L547" s="507"/>
      <c r="M547" s="507"/>
      <c r="N547" s="507"/>
    </row>
    <row r="548" ht="35.25" hidden="1" customHeight="1">
      <c r="A548" s="679" t="s">
        <v>1134</v>
      </c>
      <c r="B548" s="547" t="s">
        <v>88</v>
      </c>
      <c r="C548" s="598">
        <v>0.0</v>
      </c>
      <c r="D548" s="680">
        <f>SUM(C548:C552)</f>
        <v>73764500</v>
      </c>
      <c r="E548" s="507"/>
      <c r="F548" s="507"/>
      <c r="G548" s="507"/>
      <c r="H548" s="507"/>
      <c r="I548" s="507"/>
      <c r="J548" s="507"/>
      <c r="K548" s="507"/>
      <c r="L548" s="507"/>
      <c r="M548" s="507"/>
      <c r="N548" s="507"/>
    </row>
    <row r="549" ht="35.25" hidden="1" customHeight="1">
      <c r="A549" s="18"/>
      <c r="B549" s="547" t="s">
        <v>219</v>
      </c>
      <c r="C549" s="598">
        <v>0.0</v>
      </c>
      <c r="D549" s="18"/>
      <c r="E549" s="507"/>
      <c r="F549" s="507"/>
      <c r="G549" s="507"/>
      <c r="H549" s="507"/>
      <c r="I549" s="507"/>
      <c r="J549" s="507"/>
      <c r="K549" s="507"/>
      <c r="L549" s="507"/>
      <c r="M549" s="507"/>
      <c r="N549" s="507"/>
    </row>
    <row r="550" ht="35.25" hidden="1" customHeight="1">
      <c r="A550" s="18"/>
      <c r="B550" s="547" t="s">
        <v>89</v>
      </c>
      <c r="C550" s="598">
        <v>1.5609E7</v>
      </c>
      <c r="D550" s="18"/>
      <c r="E550" s="507"/>
      <c r="F550" s="507"/>
      <c r="G550" s="507"/>
      <c r="H550" s="507"/>
      <c r="I550" s="507"/>
      <c r="J550" s="507"/>
      <c r="K550" s="507"/>
      <c r="L550" s="507"/>
      <c r="M550" s="507"/>
      <c r="N550" s="507"/>
    </row>
    <row r="551" ht="35.25" hidden="1" customHeight="1">
      <c r="A551" s="18"/>
      <c r="B551" s="547" t="s">
        <v>220</v>
      </c>
      <c r="C551" s="593">
        <f>33850000-1830000</f>
        <v>32020000</v>
      </c>
      <c r="D551" s="18"/>
      <c r="E551" s="507"/>
      <c r="F551" s="507"/>
      <c r="G551" s="507"/>
      <c r="H551" s="507"/>
      <c r="I551" s="507"/>
      <c r="J551" s="507"/>
      <c r="K551" s="507"/>
      <c r="L551" s="507"/>
      <c r="M551" s="507"/>
      <c r="N551" s="507"/>
    </row>
    <row r="552" ht="35.25" hidden="1" customHeight="1">
      <c r="A552" s="22"/>
      <c r="B552" s="547" t="s">
        <v>697</v>
      </c>
      <c r="C552" s="593">
        <f>26195500-60000</f>
        <v>26135500</v>
      </c>
      <c r="D552" s="22"/>
      <c r="E552" s="507"/>
      <c r="F552" s="507"/>
      <c r="G552" s="507"/>
      <c r="H552" s="507"/>
      <c r="I552" s="507"/>
      <c r="J552" s="507"/>
      <c r="K552" s="507"/>
      <c r="L552" s="507"/>
      <c r="M552" s="507"/>
      <c r="N552" s="507"/>
    </row>
    <row r="553" ht="35.25" hidden="1" customHeight="1">
      <c r="A553" s="679" t="s">
        <v>1050</v>
      </c>
      <c r="B553" s="547" t="s">
        <v>88</v>
      </c>
      <c r="C553" s="598"/>
      <c r="D553" s="680">
        <f>SUM(C553:C556)</f>
        <v>0</v>
      </c>
      <c r="E553" s="507"/>
      <c r="F553" s="507"/>
      <c r="G553" s="507"/>
      <c r="H553" s="507"/>
      <c r="I553" s="507"/>
      <c r="J553" s="507"/>
      <c r="K553" s="507"/>
      <c r="L553" s="507"/>
      <c r="M553" s="507"/>
      <c r="N553" s="507"/>
    </row>
    <row r="554" ht="35.25" hidden="1" customHeight="1">
      <c r="A554" s="18"/>
      <c r="B554" s="547" t="s">
        <v>219</v>
      </c>
      <c r="C554" s="598"/>
      <c r="D554" s="18"/>
      <c r="E554" s="507"/>
      <c r="F554" s="507"/>
      <c r="G554" s="507"/>
      <c r="H554" s="507"/>
      <c r="I554" s="507"/>
      <c r="J554" s="507"/>
      <c r="K554" s="507"/>
      <c r="L554" s="507"/>
      <c r="M554" s="507"/>
      <c r="N554" s="507"/>
    </row>
    <row r="555" ht="35.25" hidden="1" customHeight="1">
      <c r="A555" s="18"/>
      <c r="B555" s="547" t="s">
        <v>89</v>
      </c>
      <c r="C555" s="598"/>
      <c r="D555" s="18"/>
      <c r="E555" s="507"/>
      <c r="F555" s="507"/>
      <c r="G555" s="507"/>
      <c r="H555" s="507"/>
      <c r="I555" s="507"/>
      <c r="J555" s="507"/>
      <c r="K555" s="507"/>
      <c r="L555" s="507"/>
      <c r="M555" s="507"/>
      <c r="N555" s="507"/>
    </row>
    <row r="556" ht="35.25" hidden="1" customHeight="1">
      <c r="A556" s="22"/>
      <c r="B556" s="547" t="s">
        <v>220</v>
      </c>
      <c r="C556" s="593"/>
      <c r="D556" s="22"/>
      <c r="E556" s="507"/>
      <c r="F556" s="507"/>
      <c r="G556" s="507"/>
      <c r="H556" s="507"/>
      <c r="I556" s="507"/>
      <c r="J556" s="507"/>
      <c r="K556" s="507"/>
      <c r="L556" s="507"/>
      <c r="M556" s="507"/>
      <c r="N556" s="507"/>
    </row>
    <row r="557" ht="35.25" hidden="1" customHeight="1">
      <c r="A557" s="679" t="s">
        <v>1057</v>
      </c>
      <c r="B557" s="547" t="s">
        <v>88</v>
      </c>
      <c r="C557" s="598"/>
      <c r="D557" s="680">
        <f>SUM(C557:C560)</f>
        <v>0</v>
      </c>
      <c r="E557" s="507"/>
      <c r="F557" s="507"/>
      <c r="G557" s="507"/>
      <c r="H557" s="507"/>
      <c r="I557" s="507"/>
      <c r="J557" s="507"/>
      <c r="K557" s="507"/>
      <c r="L557" s="507"/>
      <c r="M557" s="507"/>
      <c r="N557" s="507"/>
    </row>
    <row r="558" ht="35.25" hidden="1" customHeight="1">
      <c r="A558" s="18"/>
      <c r="B558" s="547" t="s">
        <v>219</v>
      </c>
      <c r="C558" s="598"/>
      <c r="D558" s="18"/>
      <c r="E558" s="507"/>
      <c r="F558" s="507"/>
      <c r="G558" s="507"/>
      <c r="H558" s="507"/>
      <c r="I558" s="507"/>
      <c r="J558" s="507"/>
      <c r="K558" s="507"/>
      <c r="L558" s="507"/>
      <c r="M558" s="507"/>
      <c r="N558" s="507"/>
    </row>
    <row r="559" ht="35.25" hidden="1" customHeight="1">
      <c r="A559" s="18"/>
      <c r="B559" s="547" t="s">
        <v>89</v>
      </c>
      <c r="C559" s="598"/>
      <c r="D559" s="18"/>
      <c r="E559" s="507"/>
      <c r="F559" s="507"/>
      <c r="G559" s="507"/>
      <c r="H559" s="507"/>
      <c r="I559" s="507"/>
      <c r="J559" s="507"/>
      <c r="K559" s="507"/>
      <c r="L559" s="507"/>
      <c r="M559" s="507"/>
      <c r="N559" s="507"/>
    </row>
    <row r="560" ht="35.25" hidden="1" customHeight="1">
      <c r="A560" s="22"/>
      <c r="B560" s="547" t="s">
        <v>220</v>
      </c>
      <c r="C560" s="593"/>
      <c r="D560" s="22"/>
      <c r="E560" s="507"/>
      <c r="F560" s="507"/>
      <c r="G560" s="507"/>
      <c r="H560" s="507"/>
      <c r="I560" s="507"/>
      <c r="J560" s="507"/>
      <c r="K560" s="507"/>
      <c r="L560" s="507"/>
      <c r="M560" s="507"/>
      <c r="N560" s="507"/>
    </row>
    <row r="561" ht="35.25" hidden="1" customHeight="1">
      <c r="A561" s="679" t="s">
        <v>1058</v>
      </c>
      <c r="B561" s="547" t="s">
        <v>88</v>
      </c>
      <c r="C561" s="598"/>
      <c r="D561" s="680">
        <f>SUM(C561:C564)</f>
        <v>0</v>
      </c>
      <c r="E561" s="507"/>
      <c r="F561" s="507"/>
      <c r="G561" s="507"/>
      <c r="H561" s="507"/>
      <c r="I561" s="507"/>
      <c r="J561" s="507"/>
      <c r="K561" s="507"/>
      <c r="L561" s="507"/>
      <c r="M561" s="507"/>
      <c r="N561" s="507"/>
    </row>
    <row r="562" ht="35.25" hidden="1" customHeight="1">
      <c r="A562" s="18"/>
      <c r="B562" s="547" t="s">
        <v>219</v>
      </c>
      <c r="C562" s="598"/>
      <c r="D562" s="18"/>
      <c r="E562" s="507"/>
      <c r="F562" s="507"/>
      <c r="G562" s="507"/>
      <c r="H562" s="507"/>
      <c r="I562" s="507"/>
      <c r="J562" s="507"/>
      <c r="K562" s="507"/>
      <c r="L562" s="507"/>
      <c r="M562" s="507"/>
      <c r="N562" s="507"/>
    </row>
    <row r="563" ht="35.25" hidden="1" customHeight="1">
      <c r="A563" s="18"/>
      <c r="B563" s="547" t="s">
        <v>89</v>
      </c>
      <c r="C563" s="598"/>
      <c r="D563" s="18"/>
      <c r="E563" s="507"/>
      <c r="F563" s="507"/>
      <c r="G563" s="507"/>
      <c r="H563" s="507"/>
      <c r="I563" s="507"/>
      <c r="J563" s="507"/>
      <c r="K563" s="507"/>
      <c r="L563" s="507"/>
      <c r="M563" s="507"/>
      <c r="N563" s="507"/>
    </row>
    <row r="564" ht="35.25" hidden="1" customHeight="1">
      <c r="A564" s="22"/>
      <c r="B564" s="547" t="s">
        <v>220</v>
      </c>
      <c r="C564" s="593"/>
      <c r="D564" s="22"/>
      <c r="E564" s="507"/>
      <c r="F564" s="507"/>
      <c r="G564" s="507"/>
      <c r="H564" s="507"/>
      <c r="I564" s="507"/>
      <c r="J564" s="507"/>
      <c r="K564" s="507"/>
      <c r="L564" s="507"/>
      <c r="M564" s="507"/>
      <c r="N564" s="507"/>
    </row>
    <row r="565" ht="35.25" hidden="1" customHeight="1">
      <c r="A565" s="679" t="s">
        <v>1049</v>
      </c>
      <c r="B565" s="547" t="s">
        <v>88</v>
      </c>
      <c r="C565" s="598"/>
      <c r="D565" s="680">
        <f>SUM(C565:C568)</f>
        <v>0</v>
      </c>
      <c r="E565" s="507"/>
      <c r="F565" s="507"/>
      <c r="G565" s="507"/>
      <c r="H565" s="507"/>
      <c r="I565" s="507"/>
      <c r="J565" s="507"/>
      <c r="K565" s="507"/>
      <c r="L565" s="507"/>
      <c r="M565" s="507"/>
      <c r="N565" s="507"/>
    </row>
    <row r="566" ht="35.25" hidden="1" customHeight="1">
      <c r="A566" s="18"/>
      <c r="B566" s="547" t="s">
        <v>219</v>
      </c>
      <c r="C566" s="598"/>
      <c r="D566" s="18"/>
      <c r="E566" s="507"/>
      <c r="F566" s="507"/>
      <c r="G566" s="507"/>
      <c r="H566" s="507"/>
      <c r="I566" s="507"/>
      <c r="J566" s="507"/>
      <c r="K566" s="507"/>
      <c r="L566" s="507"/>
      <c r="M566" s="507"/>
      <c r="N566" s="507"/>
    </row>
    <row r="567" ht="35.25" hidden="1" customHeight="1">
      <c r="A567" s="18"/>
      <c r="B567" s="547" t="s">
        <v>89</v>
      </c>
      <c r="C567" s="598"/>
      <c r="D567" s="18"/>
      <c r="E567" s="507"/>
      <c r="F567" s="507"/>
      <c r="G567" s="507"/>
      <c r="H567" s="507"/>
      <c r="I567" s="507"/>
      <c r="J567" s="507"/>
      <c r="K567" s="507"/>
      <c r="L567" s="507"/>
      <c r="M567" s="507"/>
      <c r="N567" s="507"/>
    </row>
    <row r="568" ht="35.25" hidden="1" customHeight="1">
      <c r="A568" s="22"/>
      <c r="B568" s="547" t="s">
        <v>220</v>
      </c>
      <c r="C568" s="593"/>
      <c r="D568" s="22"/>
      <c r="E568" s="507"/>
      <c r="F568" s="507"/>
      <c r="G568" s="507"/>
      <c r="H568" s="507"/>
      <c r="I568" s="507"/>
      <c r="J568" s="507"/>
      <c r="K568" s="507"/>
      <c r="L568" s="507"/>
      <c r="M568" s="507"/>
      <c r="N568" s="507"/>
    </row>
    <row r="569" ht="35.25" hidden="1" customHeight="1">
      <c r="A569" s="507"/>
      <c r="B569" s="507"/>
      <c r="C569" s="507"/>
      <c r="D569" s="508"/>
      <c r="E569" s="507"/>
      <c r="F569" s="507"/>
      <c r="G569" s="507"/>
      <c r="H569" s="507"/>
      <c r="I569" s="507"/>
      <c r="J569" s="507"/>
      <c r="K569" s="507"/>
      <c r="L569" s="507"/>
      <c r="M569" s="507"/>
      <c r="N569" s="507"/>
    </row>
    <row r="570" ht="35.25" hidden="1" customHeight="1">
      <c r="A570" s="507"/>
      <c r="B570" s="507"/>
      <c r="C570" s="507"/>
      <c r="D570" s="508"/>
      <c r="E570" s="507"/>
      <c r="F570" s="507"/>
      <c r="G570" s="507"/>
      <c r="H570" s="507"/>
      <c r="I570" s="507"/>
      <c r="J570" s="507"/>
      <c r="K570" s="507"/>
      <c r="L570" s="507"/>
      <c r="M570" s="507"/>
      <c r="N570" s="507"/>
    </row>
    <row r="571" ht="35.25" hidden="1" customHeight="1">
      <c r="A571" s="507"/>
      <c r="B571" s="507"/>
      <c r="C571" s="507"/>
      <c r="D571" s="508"/>
      <c r="E571" s="507"/>
      <c r="F571" s="507"/>
      <c r="G571" s="507"/>
      <c r="H571" s="507"/>
      <c r="I571" s="507"/>
      <c r="J571" s="507"/>
      <c r="K571" s="507"/>
      <c r="L571" s="507"/>
      <c r="M571" s="507"/>
      <c r="N571" s="507"/>
    </row>
    <row r="572" ht="35.25" hidden="1" customHeight="1">
      <c r="A572" s="507"/>
      <c r="B572" s="507"/>
      <c r="C572" s="507"/>
      <c r="D572" s="508"/>
      <c r="E572" s="507"/>
      <c r="F572" s="507"/>
      <c r="G572" s="507"/>
      <c r="H572" s="507"/>
      <c r="I572" s="507"/>
      <c r="J572" s="507"/>
      <c r="K572" s="507"/>
      <c r="L572" s="507"/>
      <c r="M572" s="507"/>
      <c r="N572" s="507"/>
    </row>
    <row r="573" ht="35.25" hidden="1" customHeight="1">
      <c r="A573" s="507"/>
      <c r="B573" s="507"/>
      <c r="C573" s="507"/>
      <c r="D573" s="508"/>
      <c r="E573" s="507"/>
      <c r="F573" s="507"/>
      <c r="G573" s="507"/>
      <c r="H573" s="507"/>
      <c r="I573" s="507"/>
      <c r="J573" s="507"/>
      <c r="K573" s="507"/>
      <c r="L573" s="507"/>
      <c r="M573" s="507"/>
      <c r="N573" s="507"/>
    </row>
    <row r="574" ht="35.25" hidden="1" customHeight="1">
      <c r="A574" s="507"/>
      <c r="B574" s="507"/>
      <c r="C574" s="507"/>
      <c r="D574" s="508"/>
      <c r="E574" s="507"/>
      <c r="F574" s="507"/>
      <c r="G574" s="507"/>
      <c r="H574" s="507"/>
      <c r="I574" s="507"/>
      <c r="J574" s="507"/>
      <c r="K574" s="507"/>
      <c r="L574" s="507"/>
      <c r="M574" s="507"/>
      <c r="N574" s="507"/>
    </row>
    <row r="575" ht="35.25" hidden="1" customHeight="1">
      <c r="A575" s="507"/>
      <c r="B575" s="507"/>
      <c r="C575" s="507"/>
      <c r="D575" s="508"/>
      <c r="E575" s="507"/>
      <c r="F575" s="507"/>
      <c r="G575" s="507"/>
      <c r="H575" s="507"/>
      <c r="I575" s="507"/>
      <c r="J575" s="507"/>
      <c r="K575" s="507"/>
      <c r="L575" s="507"/>
      <c r="M575" s="507"/>
      <c r="N575" s="507"/>
    </row>
    <row r="576" ht="35.25" hidden="1" customHeight="1">
      <c r="A576" s="507"/>
      <c r="B576" s="507"/>
      <c r="C576" s="507"/>
      <c r="D576" s="508"/>
      <c r="E576" s="507"/>
      <c r="F576" s="507"/>
      <c r="G576" s="507"/>
      <c r="H576" s="507"/>
      <c r="I576" s="507"/>
      <c r="J576" s="507"/>
      <c r="K576" s="507"/>
      <c r="L576" s="507"/>
      <c r="M576" s="507"/>
      <c r="N576" s="507"/>
    </row>
    <row r="577" ht="35.25" hidden="1" customHeight="1">
      <c r="A577" s="507"/>
      <c r="B577" s="507"/>
      <c r="C577" s="507"/>
      <c r="D577" s="508"/>
      <c r="E577" s="507"/>
      <c r="F577" s="507"/>
      <c r="G577" s="507"/>
      <c r="H577" s="507"/>
      <c r="I577" s="507"/>
      <c r="J577" s="507"/>
      <c r="K577" s="507"/>
      <c r="L577" s="507"/>
      <c r="M577" s="507"/>
      <c r="N577" s="507"/>
    </row>
    <row r="578" ht="35.25" hidden="1" customHeight="1">
      <c r="A578" s="507"/>
      <c r="B578" s="507"/>
      <c r="C578" s="507"/>
      <c r="D578" s="508"/>
      <c r="E578" s="507"/>
      <c r="F578" s="507"/>
      <c r="G578" s="507"/>
      <c r="H578" s="507"/>
      <c r="I578" s="507"/>
      <c r="J578" s="507"/>
      <c r="K578" s="507"/>
      <c r="L578" s="507"/>
      <c r="M578" s="507"/>
      <c r="N578" s="507"/>
    </row>
    <row r="579" ht="35.25" hidden="1" customHeight="1">
      <c r="A579" s="507"/>
      <c r="B579" s="507"/>
      <c r="C579" s="507"/>
      <c r="D579" s="508"/>
      <c r="E579" s="507"/>
      <c r="F579" s="507"/>
      <c r="G579" s="507"/>
      <c r="H579" s="507"/>
      <c r="I579" s="507"/>
      <c r="J579" s="507"/>
      <c r="K579" s="507"/>
      <c r="L579" s="507"/>
      <c r="M579" s="507"/>
      <c r="N579" s="507"/>
    </row>
    <row r="580" ht="35.25" hidden="1" customHeight="1">
      <c r="A580" s="507"/>
      <c r="B580" s="507"/>
      <c r="C580" s="507"/>
      <c r="D580" s="508"/>
      <c r="E580" s="507"/>
      <c r="F580" s="507"/>
      <c r="G580" s="507"/>
      <c r="H580" s="507"/>
      <c r="I580" s="507"/>
      <c r="J580" s="507"/>
      <c r="K580" s="507"/>
      <c r="L580" s="507"/>
      <c r="M580" s="507"/>
      <c r="N580" s="507"/>
    </row>
    <row r="581" ht="35.25" hidden="1" customHeight="1">
      <c r="A581" s="507"/>
      <c r="B581" s="507"/>
      <c r="C581" s="507"/>
      <c r="D581" s="508"/>
      <c r="E581" s="507"/>
      <c r="F581" s="507"/>
      <c r="G581" s="507"/>
      <c r="H581" s="507"/>
      <c r="I581" s="507"/>
      <c r="J581" s="507"/>
      <c r="K581" s="507"/>
      <c r="L581" s="507"/>
      <c r="M581" s="507"/>
      <c r="N581" s="507"/>
    </row>
    <row r="582" ht="35.25" hidden="1" customHeight="1">
      <c r="A582" s="507"/>
      <c r="B582" s="507"/>
      <c r="C582" s="507"/>
      <c r="D582" s="508"/>
      <c r="E582" s="507"/>
      <c r="F582" s="507"/>
      <c r="G582" s="507"/>
      <c r="H582" s="507"/>
      <c r="I582" s="507"/>
      <c r="J582" s="507"/>
      <c r="K582" s="507"/>
      <c r="L582" s="507"/>
      <c r="M582" s="507"/>
      <c r="N582" s="507"/>
    </row>
    <row r="583" ht="35.25" hidden="1" customHeight="1">
      <c r="A583" s="507"/>
      <c r="B583" s="507"/>
      <c r="C583" s="507"/>
      <c r="D583" s="508"/>
      <c r="E583" s="507"/>
      <c r="F583" s="507"/>
      <c r="G583" s="507"/>
      <c r="H583" s="507"/>
      <c r="I583" s="507"/>
      <c r="J583" s="507"/>
      <c r="K583" s="507"/>
      <c r="L583" s="507"/>
      <c r="M583" s="507"/>
      <c r="N583" s="507"/>
    </row>
    <row r="584" ht="35.25" hidden="1" customHeight="1">
      <c r="A584" s="507"/>
      <c r="B584" s="507"/>
      <c r="C584" s="507"/>
      <c r="D584" s="508"/>
      <c r="E584" s="507"/>
      <c r="F584" s="507"/>
      <c r="G584" s="507"/>
      <c r="H584" s="507"/>
      <c r="I584" s="507"/>
      <c r="J584" s="507"/>
      <c r="K584" s="507"/>
      <c r="L584" s="507"/>
      <c r="M584" s="507"/>
      <c r="N584" s="507"/>
    </row>
    <row r="585" ht="35.25" hidden="1" customHeight="1">
      <c r="A585" s="507"/>
      <c r="B585" s="507"/>
      <c r="C585" s="507"/>
      <c r="D585" s="508"/>
      <c r="E585" s="507"/>
      <c r="F585" s="507"/>
      <c r="G585" s="507"/>
      <c r="H585" s="507"/>
      <c r="I585" s="507"/>
      <c r="J585" s="507"/>
      <c r="K585" s="507"/>
      <c r="L585" s="507"/>
      <c r="M585" s="507"/>
      <c r="N585" s="507"/>
    </row>
    <row r="586" ht="35.25" hidden="1" customHeight="1">
      <c r="A586" s="507"/>
      <c r="B586" s="507"/>
      <c r="C586" s="507"/>
      <c r="D586" s="508"/>
      <c r="E586" s="507"/>
      <c r="F586" s="507"/>
      <c r="G586" s="507"/>
      <c r="H586" s="507"/>
      <c r="I586" s="507"/>
      <c r="J586" s="507"/>
      <c r="K586" s="507"/>
      <c r="L586" s="507"/>
      <c r="M586" s="507"/>
      <c r="N586" s="507"/>
    </row>
    <row r="587" ht="35.25" hidden="1" customHeight="1">
      <c r="A587" s="507"/>
      <c r="B587" s="507"/>
      <c r="C587" s="507"/>
      <c r="D587" s="508"/>
      <c r="E587" s="507"/>
      <c r="F587" s="507"/>
      <c r="G587" s="507"/>
      <c r="H587" s="507"/>
      <c r="I587" s="507"/>
      <c r="J587" s="507"/>
      <c r="K587" s="507"/>
      <c r="L587" s="507"/>
      <c r="M587" s="507"/>
      <c r="N587" s="507"/>
    </row>
    <row r="588" ht="35.25" hidden="1" customHeight="1">
      <c r="A588" s="507"/>
      <c r="B588" s="507"/>
      <c r="C588" s="507"/>
      <c r="D588" s="508"/>
      <c r="E588" s="507"/>
      <c r="F588" s="507"/>
      <c r="G588" s="507"/>
      <c r="H588" s="507"/>
      <c r="I588" s="507"/>
      <c r="J588" s="507"/>
      <c r="K588" s="507"/>
      <c r="L588" s="507"/>
      <c r="M588" s="507"/>
      <c r="N588" s="507"/>
    </row>
    <row r="589" ht="35.25" hidden="1" customHeight="1">
      <c r="A589" s="507"/>
      <c r="B589" s="507"/>
      <c r="C589" s="507"/>
      <c r="D589" s="508"/>
      <c r="E589" s="507"/>
      <c r="F589" s="507"/>
      <c r="G589" s="507"/>
      <c r="H589" s="507"/>
      <c r="I589" s="507"/>
      <c r="J589" s="507"/>
      <c r="K589" s="507"/>
      <c r="L589" s="507"/>
      <c r="M589" s="507"/>
      <c r="N589" s="507"/>
    </row>
    <row r="590" ht="35.25" hidden="1" customHeight="1">
      <c r="A590" s="507"/>
      <c r="B590" s="507"/>
      <c r="C590" s="507"/>
      <c r="D590" s="508"/>
      <c r="E590" s="507"/>
      <c r="F590" s="507"/>
      <c r="G590" s="507"/>
      <c r="H590" s="507"/>
      <c r="I590" s="507"/>
      <c r="J590" s="507"/>
      <c r="K590" s="507"/>
      <c r="L590" s="507"/>
      <c r="M590" s="507"/>
      <c r="N590" s="507"/>
    </row>
    <row r="591" ht="35.25" hidden="1" customHeight="1">
      <c r="A591" s="507"/>
      <c r="B591" s="507"/>
      <c r="C591" s="507"/>
      <c r="D591" s="508"/>
      <c r="E591" s="507"/>
      <c r="F591" s="507"/>
      <c r="G591" s="507"/>
      <c r="H591" s="507"/>
      <c r="I591" s="507"/>
      <c r="J591" s="507"/>
      <c r="K591" s="507"/>
      <c r="L591" s="507"/>
      <c r="M591" s="507"/>
      <c r="N591" s="507"/>
    </row>
    <row r="592" ht="35.25" hidden="1" customHeight="1">
      <c r="A592" s="507"/>
      <c r="B592" s="507"/>
      <c r="C592" s="507"/>
      <c r="D592" s="508"/>
      <c r="E592" s="507"/>
      <c r="F592" s="507"/>
      <c r="G592" s="507"/>
      <c r="H592" s="507"/>
      <c r="I592" s="507"/>
      <c r="J592" s="507"/>
      <c r="K592" s="507"/>
      <c r="L592" s="507"/>
      <c r="M592" s="507"/>
      <c r="N592" s="507"/>
    </row>
    <row r="593" ht="35.25" hidden="1" customHeight="1">
      <c r="A593" s="507"/>
      <c r="B593" s="507"/>
      <c r="C593" s="507"/>
      <c r="D593" s="508"/>
      <c r="E593" s="507"/>
      <c r="F593" s="507"/>
      <c r="G593" s="507"/>
      <c r="H593" s="507"/>
      <c r="I593" s="507"/>
      <c r="J593" s="507"/>
      <c r="K593" s="507"/>
      <c r="L593" s="507"/>
      <c r="M593" s="507"/>
      <c r="N593" s="507"/>
    </row>
    <row r="594" ht="35.25" hidden="1" customHeight="1">
      <c r="A594" s="507"/>
      <c r="B594" s="507"/>
      <c r="C594" s="507"/>
      <c r="D594" s="508"/>
      <c r="E594" s="507"/>
      <c r="F594" s="507"/>
      <c r="G594" s="507"/>
      <c r="H594" s="507"/>
      <c r="I594" s="507"/>
      <c r="J594" s="507"/>
      <c r="K594" s="507"/>
      <c r="L594" s="507"/>
      <c r="M594" s="507"/>
      <c r="N594" s="507"/>
    </row>
    <row r="595" ht="35.25" hidden="1" customHeight="1">
      <c r="A595" s="507"/>
      <c r="B595" s="507"/>
      <c r="C595" s="507"/>
      <c r="D595" s="508"/>
      <c r="E595" s="507"/>
      <c r="F595" s="507"/>
      <c r="G595" s="507"/>
      <c r="H595" s="507"/>
      <c r="I595" s="507"/>
      <c r="J595" s="507"/>
      <c r="K595" s="507"/>
      <c r="L595" s="507"/>
      <c r="M595" s="507"/>
      <c r="N595" s="507"/>
    </row>
    <row r="596" ht="35.25" hidden="1" customHeight="1">
      <c r="A596" s="507"/>
      <c r="B596" s="507"/>
      <c r="C596" s="507"/>
      <c r="D596" s="508"/>
      <c r="E596" s="507"/>
      <c r="F596" s="507"/>
      <c r="G596" s="507"/>
      <c r="H596" s="507"/>
      <c r="I596" s="507"/>
      <c r="J596" s="507"/>
      <c r="K596" s="507"/>
      <c r="L596" s="507"/>
      <c r="M596" s="507"/>
      <c r="N596" s="507"/>
    </row>
    <row r="597" ht="35.25" customHeight="1">
      <c r="A597" s="507"/>
      <c r="B597" s="507"/>
      <c r="C597" s="507"/>
      <c r="D597" s="508"/>
      <c r="E597" s="507"/>
      <c r="F597" s="507"/>
      <c r="G597" s="507"/>
      <c r="H597" s="507"/>
      <c r="I597" s="507"/>
      <c r="J597" s="507"/>
      <c r="K597" s="507"/>
      <c r="L597" s="507"/>
      <c r="M597" s="507"/>
      <c r="N597" s="507"/>
    </row>
    <row r="598" ht="35.25" customHeight="1">
      <c r="A598" s="507"/>
      <c r="B598" s="507"/>
      <c r="C598" s="507"/>
      <c r="D598" s="508"/>
      <c r="E598" s="507"/>
      <c r="F598" s="507"/>
      <c r="G598" s="507"/>
      <c r="H598" s="507"/>
      <c r="I598" s="507"/>
      <c r="J598" s="507"/>
      <c r="K598" s="507"/>
      <c r="L598" s="507"/>
      <c r="M598" s="507"/>
      <c r="N598" s="507"/>
    </row>
    <row r="599" ht="35.25" customHeight="1">
      <c r="A599" s="507"/>
      <c r="B599" s="507"/>
      <c r="C599" s="507"/>
      <c r="D599" s="508"/>
      <c r="E599" s="507"/>
      <c r="F599" s="507"/>
      <c r="G599" s="507"/>
      <c r="H599" s="507"/>
      <c r="I599" s="507"/>
      <c r="J599" s="507"/>
      <c r="K599" s="507"/>
      <c r="L599" s="507"/>
      <c r="M599" s="507"/>
      <c r="N599" s="507"/>
    </row>
    <row r="600" ht="35.25" customHeight="1">
      <c r="A600" s="507"/>
      <c r="B600" s="507"/>
      <c r="C600" s="507"/>
      <c r="D600" s="508"/>
      <c r="E600" s="507"/>
      <c r="F600" s="507"/>
      <c r="G600" s="507"/>
      <c r="H600" s="507"/>
      <c r="I600" s="507"/>
      <c r="J600" s="507"/>
      <c r="K600" s="507"/>
      <c r="L600" s="507"/>
      <c r="M600" s="507"/>
      <c r="N600" s="507"/>
    </row>
    <row r="601" ht="35.25" customHeight="1">
      <c r="A601" s="507"/>
      <c r="B601" s="507"/>
      <c r="C601" s="507"/>
      <c r="D601" s="508"/>
      <c r="E601" s="507"/>
      <c r="F601" s="507"/>
      <c r="G601" s="507"/>
      <c r="H601" s="507"/>
      <c r="I601" s="507"/>
      <c r="J601" s="507"/>
      <c r="K601" s="507"/>
      <c r="L601" s="507"/>
      <c r="M601" s="507"/>
      <c r="N601" s="507"/>
    </row>
    <row r="602" ht="35.25" customHeight="1">
      <c r="A602" s="507"/>
      <c r="B602" s="507"/>
      <c r="C602" s="507"/>
      <c r="D602" s="508"/>
      <c r="E602" s="507"/>
      <c r="F602" s="507"/>
      <c r="G602" s="507"/>
      <c r="H602" s="507"/>
      <c r="I602" s="507"/>
      <c r="J602" s="507"/>
      <c r="K602" s="507"/>
      <c r="L602" s="507"/>
      <c r="M602" s="507"/>
      <c r="N602" s="507"/>
    </row>
    <row r="603" ht="35.25" customHeight="1">
      <c r="A603" s="507"/>
      <c r="B603" s="507"/>
      <c r="C603" s="507"/>
      <c r="D603" s="508"/>
      <c r="E603" s="507"/>
      <c r="F603" s="507"/>
      <c r="G603" s="507"/>
      <c r="H603" s="507"/>
      <c r="I603" s="507"/>
      <c r="J603" s="507"/>
      <c r="K603" s="507"/>
      <c r="L603" s="507"/>
      <c r="M603" s="507"/>
      <c r="N603" s="507"/>
    </row>
    <row r="604" ht="35.25" customHeight="1">
      <c r="A604" s="507"/>
      <c r="B604" s="507"/>
      <c r="C604" s="507"/>
      <c r="D604" s="508"/>
      <c r="E604" s="507"/>
      <c r="F604" s="507"/>
      <c r="G604" s="507"/>
      <c r="H604" s="507"/>
      <c r="I604" s="507"/>
      <c r="J604" s="507"/>
      <c r="K604" s="507"/>
      <c r="L604" s="507"/>
      <c r="M604" s="507"/>
      <c r="N604" s="507"/>
    </row>
    <row r="605" ht="35.25" customHeight="1">
      <c r="A605" s="507"/>
      <c r="B605" s="507"/>
      <c r="C605" s="507"/>
      <c r="D605" s="508"/>
      <c r="E605" s="507"/>
      <c r="F605" s="507"/>
      <c r="G605" s="507"/>
      <c r="H605" s="507"/>
      <c r="I605" s="507"/>
      <c r="J605" s="507"/>
      <c r="K605" s="507"/>
      <c r="L605" s="507"/>
      <c r="M605" s="507"/>
      <c r="N605" s="507"/>
    </row>
    <row r="606" ht="35.25" customHeight="1">
      <c r="A606" s="507"/>
      <c r="B606" s="507"/>
      <c r="C606" s="507"/>
      <c r="D606" s="508"/>
      <c r="E606" s="507"/>
      <c r="F606" s="507"/>
      <c r="G606" s="507"/>
      <c r="H606" s="507"/>
      <c r="I606" s="507"/>
      <c r="J606" s="507"/>
      <c r="K606" s="507"/>
      <c r="L606" s="507"/>
      <c r="M606" s="507"/>
      <c r="N606" s="507"/>
    </row>
    <row r="607" ht="35.25" customHeight="1">
      <c r="A607" s="507"/>
      <c r="B607" s="507"/>
      <c r="C607" s="507"/>
      <c r="D607" s="508"/>
      <c r="E607" s="507"/>
      <c r="F607" s="507"/>
      <c r="G607" s="507"/>
      <c r="H607" s="507"/>
      <c r="I607" s="507"/>
      <c r="J607" s="507"/>
      <c r="K607" s="507"/>
      <c r="L607" s="507"/>
      <c r="M607" s="507"/>
      <c r="N607" s="507"/>
    </row>
    <row r="608" ht="35.25" customHeight="1">
      <c r="A608" s="507"/>
      <c r="B608" s="507"/>
      <c r="C608" s="507"/>
      <c r="D608" s="508"/>
      <c r="E608" s="507"/>
      <c r="F608" s="507"/>
      <c r="G608" s="507"/>
      <c r="H608" s="507"/>
      <c r="I608" s="507"/>
      <c r="J608" s="507"/>
      <c r="K608" s="507"/>
      <c r="L608" s="507"/>
      <c r="M608" s="507"/>
      <c r="N608" s="507"/>
    </row>
    <row r="609" ht="35.25" customHeight="1">
      <c r="A609" s="507"/>
      <c r="B609" s="507"/>
      <c r="C609" s="507"/>
      <c r="D609" s="508"/>
      <c r="E609" s="507"/>
      <c r="F609" s="507"/>
      <c r="G609" s="507"/>
      <c r="H609" s="507"/>
      <c r="I609" s="507"/>
      <c r="J609" s="507"/>
      <c r="K609" s="507"/>
      <c r="L609" s="507"/>
      <c r="M609" s="507"/>
      <c r="N609" s="507"/>
    </row>
    <row r="610" ht="35.25" customHeight="1">
      <c r="A610" s="507"/>
      <c r="B610" s="507"/>
      <c r="C610" s="507"/>
      <c r="D610" s="508"/>
      <c r="E610" s="507"/>
      <c r="F610" s="507"/>
      <c r="G610" s="507"/>
      <c r="H610" s="507"/>
      <c r="I610" s="507"/>
      <c r="J610" s="507"/>
      <c r="K610" s="507"/>
      <c r="L610" s="507"/>
      <c r="M610" s="507"/>
      <c r="N610" s="507"/>
    </row>
    <row r="611" ht="35.25" customHeight="1">
      <c r="A611" s="507"/>
      <c r="B611" s="507"/>
      <c r="C611" s="507"/>
      <c r="D611" s="508"/>
      <c r="E611" s="507"/>
      <c r="F611" s="507"/>
      <c r="G611" s="507"/>
      <c r="H611" s="507"/>
      <c r="I611" s="507"/>
      <c r="J611" s="507"/>
      <c r="K611" s="507"/>
      <c r="L611" s="507"/>
      <c r="M611" s="507"/>
      <c r="N611" s="507"/>
    </row>
    <row r="612" ht="35.25" customHeight="1">
      <c r="A612" s="507"/>
      <c r="B612" s="507"/>
      <c r="C612" s="507"/>
      <c r="D612" s="508"/>
      <c r="E612" s="507"/>
      <c r="F612" s="507"/>
      <c r="G612" s="507"/>
      <c r="H612" s="507"/>
      <c r="I612" s="507"/>
      <c r="J612" s="507"/>
      <c r="K612" s="507"/>
      <c r="L612" s="507"/>
      <c r="M612" s="507"/>
      <c r="N612" s="507"/>
    </row>
    <row r="613" ht="35.25" customHeight="1">
      <c r="A613" s="507"/>
      <c r="B613" s="507"/>
      <c r="C613" s="507"/>
      <c r="D613" s="508"/>
      <c r="E613" s="507"/>
      <c r="F613" s="507"/>
      <c r="G613" s="507"/>
      <c r="H613" s="507"/>
      <c r="I613" s="507"/>
      <c r="J613" s="507"/>
      <c r="K613" s="507"/>
      <c r="L613" s="507"/>
      <c r="M613" s="507"/>
      <c r="N613" s="507"/>
    </row>
    <row r="614" ht="35.25" customHeight="1">
      <c r="A614" s="507"/>
      <c r="B614" s="507"/>
      <c r="C614" s="507"/>
      <c r="D614" s="508"/>
      <c r="E614" s="507"/>
      <c r="F614" s="507"/>
      <c r="G614" s="507"/>
      <c r="H614" s="507"/>
      <c r="I614" s="507"/>
      <c r="J614" s="507"/>
      <c r="K614" s="507"/>
      <c r="L614" s="507"/>
      <c r="M614" s="507"/>
      <c r="N614" s="507"/>
    </row>
    <row r="615" ht="35.25" customHeight="1">
      <c r="A615" s="507"/>
      <c r="B615" s="507"/>
      <c r="C615" s="507"/>
      <c r="D615" s="508"/>
      <c r="E615" s="507"/>
      <c r="F615" s="507"/>
      <c r="G615" s="507"/>
      <c r="H615" s="507"/>
      <c r="I615" s="507"/>
      <c r="J615" s="507"/>
      <c r="K615" s="507"/>
      <c r="L615" s="507"/>
      <c r="M615" s="507"/>
      <c r="N615" s="507"/>
    </row>
    <row r="616" ht="35.25" customHeight="1">
      <c r="A616" s="507"/>
      <c r="B616" s="507"/>
      <c r="C616" s="507"/>
      <c r="D616" s="508"/>
      <c r="E616" s="507"/>
      <c r="F616" s="507"/>
      <c r="G616" s="507"/>
      <c r="H616" s="507"/>
      <c r="I616" s="507"/>
      <c r="J616" s="507"/>
      <c r="K616" s="507"/>
      <c r="L616" s="507"/>
      <c r="M616" s="507"/>
      <c r="N616" s="507"/>
    </row>
    <row r="617" ht="35.25" customHeight="1">
      <c r="A617" s="507"/>
      <c r="B617" s="507"/>
      <c r="C617" s="507"/>
      <c r="D617" s="508"/>
      <c r="E617" s="507"/>
      <c r="F617" s="507"/>
      <c r="G617" s="507"/>
      <c r="H617" s="507"/>
      <c r="I617" s="507"/>
      <c r="J617" s="507"/>
      <c r="K617" s="507"/>
      <c r="L617" s="507"/>
      <c r="M617" s="507"/>
      <c r="N617" s="507"/>
    </row>
    <row r="618" ht="35.25" customHeight="1">
      <c r="A618" s="507"/>
      <c r="B618" s="507"/>
      <c r="C618" s="507"/>
      <c r="D618" s="508"/>
      <c r="E618" s="507"/>
      <c r="F618" s="507"/>
      <c r="G618" s="507"/>
      <c r="H618" s="507"/>
      <c r="I618" s="507"/>
      <c r="J618" s="507"/>
      <c r="K618" s="507"/>
      <c r="L618" s="507"/>
      <c r="M618" s="507"/>
      <c r="N618" s="507"/>
    </row>
    <row r="619" ht="35.25" customHeight="1">
      <c r="A619" s="507"/>
      <c r="B619" s="507"/>
      <c r="C619" s="507"/>
      <c r="D619" s="508"/>
      <c r="E619" s="507"/>
      <c r="F619" s="507"/>
      <c r="G619" s="507"/>
      <c r="H619" s="507"/>
      <c r="I619" s="507"/>
      <c r="J619" s="507"/>
      <c r="K619" s="507"/>
      <c r="L619" s="507"/>
      <c r="M619" s="507"/>
      <c r="N619" s="507"/>
    </row>
    <row r="620" ht="35.25" customHeight="1">
      <c r="A620" s="507"/>
      <c r="B620" s="507"/>
      <c r="C620" s="507"/>
      <c r="D620" s="508"/>
      <c r="E620" s="507"/>
      <c r="F620" s="507"/>
      <c r="G620" s="507"/>
      <c r="H620" s="507"/>
      <c r="I620" s="507"/>
      <c r="J620" s="507"/>
      <c r="K620" s="507"/>
      <c r="L620" s="507"/>
      <c r="M620" s="507"/>
      <c r="N620" s="507"/>
    </row>
    <row r="621" ht="35.25" customHeight="1">
      <c r="A621" s="507"/>
      <c r="B621" s="507"/>
      <c r="C621" s="507"/>
      <c r="D621" s="508"/>
      <c r="E621" s="507"/>
      <c r="F621" s="507"/>
      <c r="G621" s="507"/>
      <c r="H621" s="507"/>
      <c r="I621" s="507"/>
      <c r="J621" s="507"/>
      <c r="K621" s="507"/>
      <c r="L621" s="507"/>
      <c r="M621" s="507"/>
      <c r="N621" s="507"/>
    </row>
    <row r="622" ht="35.25" customHeight="1">
      <c r="A622" s="507"/>
      <c r="B622" s="507"/>
      <c r="C622" s="507"/>
      <c r="D622" s="508"/>
      <c r="E622" s="507"/>
      <c r="F622" s="507"/>
      <c r="G622" s="507"/>
      <c r="H622" s="507"/>
      <c r="I622" s="507"/>
      <c r="J622" s="507"/>
      <c r="K622" s="507"/>
      <c r="L622" s="507"/>
      <c r="M622" s="507"/>
      <c r="N622" s="507"/>
    </row>
    <row r="623" ht="35.25" customHeight="1">
      <c r="A623" s="507"/>
      <c r="B623" s="507"/>
      <c r="C623" s="507"/>
      <c r="D623" s="508"/>
      <c r="E623" s="507"/>
      <c r="F623" s="507"/>
      <c r="G623" s="507"/>
      <c r="H623" s="507"/>
      <c r="I623" s="507"/>
      <c r="J623" s="507"/>
      <c r="K623" s="507"/>
      <c r="L623" s="507"/>
      <c r="M623" s="507"/>
      <c r="N623" s="507"/>
    </row>
    <row r="624" ht="35.25" customHeight="1">
      <c r="A624" s="507"/>
      <c r="B624" s="507"/>
      <c r="C624" s="507"/>
      <c r="D624" s="508"/>
      <c r="E624" s="507"/>
      <c r="F624" s="507"/>
      <c r="G624" s="507"/>
      <c r="H624" s="507"/>
      <c r="I624" s="507"/>
      <c r="J624" s="507"/>
      <c r="K624" s="507"/>
      <c r="L624" s="507"/>
      <c r="M624" s="507"/>
      <c r="N624" s="507"/>
    </row>
    <row r="625" ht="35.25" customHeight="1">
      <c r="A625" s="507"/>
      <c r="B625" s="507"/>
      <c r="C625" s="507"/>
      <c r="D625" s="508"/>
      <c r="E625" s="507"/>
      <c r="F625" s="507"/>
      <c r="G625" s="507"/>
      <c r="H625" s="507"/>
      <c r="I625" s="507"/>
      <c r="J625" s="507"/>
      <c r="K625" s="507"/>
      <c r="L625" s="507"/>
      <c r="M625" s="507"/>
      <c r="N625" s="507"/>
    </row>
    <row r="626" ht="35.25" customHeight="1">
      <c r="A626" s="507"/>
      <c r="B626" s="507"/>
      <c r="C626" s="507"/>
      <c r="D626" s="508"/>
      <c r="E626" s="507"/>
      <c r="F626" s="507"/>
      <c r="G626" s="507"/>
      <c r="H626" s="507"/>
      <c r="I626" s="507"/>
      <c r="J626" s="507"/>
      <c r="K626" s="507"/>
      <c r="L626" s="507"/>
      <c r="M626" s="507"/>
      <c r="N626" s="507"/>
    </row>
    <row r="627" ht="35.25" customHeight="1">
      <c r="A627" s="507"/>
      <c r="B627" s="507"/>
      <c r="C627" s="507"/>
      <c r="D627" s="508"/>
      <c r="E627" s="507"/>
      <c r="F627" s="507"/>
      <c r="G627" s="507"/>
      <c r="H627" s="507"/>
      <c r="I627" s="507"/>
      <c r="J627" s="507"/>
      <c r="K627" s="507"/>
      <c r="L627" s="507"/>
      <c r="M627" s="507"/>
      <c r="N627" s="507"/>
    </row>
    <row r="628" ht="35.25" customHeight="1">
      <c r="A628" s="507"/>
      <c r="B628" s="507"/>
      <c r="C628" s="507"/>
      <c r="D628" s="508"/>
      <c r="E628" s="507"/>
      <c r="F628" s="507"/>
      <c r="G628" s="507"/>
      <c r="H628" s="507"/>
      <c r="I628" s="507"/>
      <c r="J628" s="507"/>
      <c r="K628" s="507"/>
      <c r="L628" s="507"/>
      <c r="M628" s="507"/>
      <c r="N628" s="507"/>
    </row>
    <row r="629" ht="35.25" customHeight="1">
      <c r="A629" s="507"/>
      <c r="B629" s="507"/>
      <c r="C629" s="507"/>
      <c r="D629" s="508"/>
      <c r="E629" s="507"/>
      <c r="F629" s="507"/>
      <c r="G629" s="507"/>
      <c r="H629" s="507"/>
      <c r="I629" s="507"/>
      <c r="J629" s="507"/>
      <c r="K629" s="507"/>
      <c r="L629" s="507"/>
      <c r="M629" s="507"/>
      <c r="N629" s="507"/>
    </row>
    <row r="630" ht="35.25" customHeight="1">
      <c r="A630" s="507"/>
      <c r="B630" s="507"/>
      <c r="C630" s="507"/>
      <c r="D630" s="508"/>
      <c r="E630" s="507"/>
      <c r="F630" s="507"/>
      <c r="G630" s="507"/>
      <c r="H630" s="507"/>
      <c r="I630" s="507"/>
      <c r="J630" s="507"/>
      <c r="K630" s="507"/>
      <c r="L630" s="507"/>
      <c r="M630" s="507"/>
      <c r="N630" s="507"/>
    </row>
    <row r="631" ht="35.25" customHeight="1">
      <c r="A631" s="507"/>
      <c r="B631" s="507"/>
      <c r="C631" s="507"/>
      <c r="D631" s="508"/>
      <c r="E631" s="507"/>
      <c r="F631" s="507"/>
      <c r="G631" s="507"/>
      <c r="H631" s="507"/>
      <c r="I631" s="507"/>
      <c r="J631" s="507"/>
      <c r="K631" s="507"/>
      <c r="L631" s="507"/>
      <c r="M631" s="507"/>
      <c r="N631" s="507"/>
    </row>
    <row r="632" ht="35.25" customHeight="1">
      <c r="A632" s="507"/>
      <c r="B632" s="507"/>
      <c r="C632" s="507"/>
      <c r="D632" s="508"/>
      <c r="E632" s="507"/>
      <c r="F632" s="507"/>
      <c r="G632" s="507"/>
      <c r="H632" s="507"/>
      <c r="I632" s="507"/>
      <c r="J632" s="507"/>
      <c r="K632" s="507"/>
      <c r="L632" s="507"/>
      <c r="M632" s="507"/>
      <c r="N632" s="507"/>
    </row>
    <row r="633" ht="35.25" customHeight="1">
      <c r="A633" s="507"/>
      <c r="B633" s="507"/>
      <c r="C633" s="507"/>
      <c r="D633" s="508"/>
      <c r="E633" s="507"/>
      <c r="F633" s="507"/>
      <c r="G633" s="507"/>
      <c r="H633" s="507"/>
      <c r="I633" s="507"/>
      <c r="J633" s="507"/>
      <c r="K633" s="507"/>
      <c r="L633" s="507"/>
      <c r="M633" s="507"/>
      <c r="N633" s="507"/>
    </row>
    <row r="634" ht="35.25" customHeight="1">
      <c r="A634" s="507"/>
      <c r="B634" s="507"/>
      <c r="C634" s="507"/>
      <c r="D634" s="508"/>
      <c r="E634" s="507"/>
      <c r="F634" s="507"/>
      <c r="G634" s="507"/>
      <c r="H634" s="507"/>
      <c r="I634" s="507"/>
      <c r="J634" s="507"/>
      <c r="K634" s="507"/>
      <c r="L634" s="507"/>
      <c r="M634" s="507"/>
      <c r="N634" s="507"/>
    </row>
    <row r="635" ht="35.25" customHeight="1">
      <c r="A635" s="507"/>
      <c r="B635" s="507"/>
      <c r="C635" s="507"/>
      <c r="D635" s="508"/>
      <c r="E635" s="507"/>
      <c r="F635" s="507"/>
      <c r="G635" s="507"/>
      <c r="H635" s="507"/>
      <c r="I635" s="507"/>
      <c r="J635" s="507"/>
      <c r="K635" s="507"/>
      <c r="L635" s="507"/>
      <c r="M635" s="507"/>
      <c r="N635" s="507"/>
    </row>
    <row r="636" ht="35.25" customHeight="1">
      <c r="A636" s="507"/>
      <c r="B636" s="507"/>
      <c r="C636" s="507"/>
      <c r="D636" s="508"/>
      <c r="E636" s="507"/>
      <c r="F636" s="507"/>
      <c r="G636" s="507"/>
      <c r="H636" s="507"/>
      <c r="I636" s="507"/>
      <c r="J636" s="507"/>
      <c r="K636" s="507"/>
      <c r="L636" s="507"/>
      <c r="M636" s="507"/>
      <c r="N636" s="507"/>
    </row>
    <row r="637" ht="35.25" customHeight="1">
      <c r="A637" s="507"/>
      <c r="B637" s="507"/>
      <c r="C637" s="507"/>
      <c r="D637" s="508"/>
      <c r="E637" s="507"/>
      <c r="F637" s="507"/>
      <c r="G637" s="507"/>
      <c r="H637" s="507"/>
      <c r="I637" s="507"/>
      <c r="J637" s="507"/>
      <c r="K637" s="507"/>
      <c r="L637" s="507"/>
      <c r="M637" s="507"/>
      <c r="N637" s="507"/>
    </row>
    <row r="638" ht="35.25" customHeight="1">
      <c r="A638" s="507"/>
      <c r="B638" s="507"/>
      <c r="C638" s="507"/>
      <c r="D638" s="508"/>
      <c r="E638" s="507"/>
      <c r="F638" s="507"/>
      <c r="G638" s="507"/>
      <c r="H638" s="507"/>
      <c r="I638" s="507"/>
      <c r="J638" s="507"/>
      <c r="K638" s="507"/>
      <c r="L638" s="507"/>
      <c r="M638" s="507"/>
      <c r="N638" s="507"/>
    </row>
    <row r="639" ht="35.25" customHeight="1">
      <c r="A639" s="507"/>
      <c r="B639" s="507"/>
      <c r="C639" s="507"/>
      <c r="D639" s="508"/>
      <c r="E639" s="507"/>
      <c r="F639" s="507"/>
      <c r="G639" s="507"/>
      <c r="H639" s="507"/>
      <c r="I639" s="507"/>
      <c r="J639" s="507"/>
      <c r="K639" s="507"/>
      <c r="L639" s="507"/>
      <c r="M639" s="507"/>
      <c r="N639" s="507"/>
    </row>
    <row r="640" ht="35.25" customHeight="1">
      <c r="A640" s="507"/>
      <c r="B640" s="507"/>
      <c r="C640" s="507"/>
      <c r="D640" s="508"/>
      <c r="E640" s="507"/>
      <c r="F640" s="507"/>
      <c r="G640" s="507"/>
      <c r="H640" s="507"/>
      <c r="I640" s="507"/>
      <c r="J640" s="507"/>
      <c r="K640" s="507"/>
      <c r="L640" s="507"/>
      <c r="M640" s="507"/>
      <c r="N640" s="507"/>
    </row>
    <row r="641" ht="35.25" customHeight="1">
      <c r="A641" s="507"/>
      <c r="B641" s="507"/>
      <c r="C641" s="507"/>
      <c r="D641" s="508"/>
      <c r="E641" s="507"/>
      <c r="F641" s="507"/>
      <c r="G641" s="507"/>
      <c r="H641" s="507"/>
      <c r="I641" s="507"/>
      <c r="J641" s="507"/>
      <c r="K641" s="507"/>
      <c r="L641" s="507"/>
      <c r="M641" s="507"/>
      <c r="N641" s="507"/>
    </row>
    <row r="642" ht="35.25" customHeight="1">
      <c r="A642" s="507"/>
      <c r="B642" s="507"/>
      <c r="C642" s="507"/>
      <c r="D642" s="508"/>
      <c r="E642" s="507"/>
      <c r="F642" s="507"/>
      <c r="G642" s="507"/>
      <c r="H642" s="507"/>
      <c r="I642" s="507"/>
      <c r="J642" s="507"/>
      <c r="K642" s="507"/>
      <c r="L642" s="507"/>
      <c r="M642" s="507"/>
      <c r="N642" s="507"/>
    </row>
    <row r="643" ht="35.25" customHeight="1">
      <c r="A643" s="507"/>
      <c r="B643" s="507"/>
      <c r="C643" s="507"/>
      <c r="D643" s="508"/>
      <c r="E643" s="507"/>
      <c r="F643" s="507"/>
      <c r="G643" s="507"/>
      <c r="H643" s="507"/>
      <c r="I643" s="507"/>
      <c r="J643" s="507"/>
      <c r="K643" s="507"/>
      <c r="L643" s="507"/>
      <c r="M643" s="507"/>
      <c r="N643" s="507"/>
    </row>
    <row r="644" ht="35.25" customHeight="1">
      <c r="A644" s="507"/>
      <c r="B644" s="507"/>
      <c r="C644" s="507"/>
      <c r="D644" s="508"/>
      <c r="E644" s="507"/>
      <c r="F644" s="507"/>
      <c r="G644" s="507"/>
      <c r="H644" s="507"/>
      <c r="I644" s="507"/>
      <c r="J644" s="507"/>
      <c r="K644" s="507"/>
      <c r="L644" s="507"/>
      <c r="M644" s="507"/>
      <c r="N644" s="507"/>
    </row>
    <row r="645" ht="35.25" customHeight="1">
      <c r="A645" s="507"/>
      <c r="B645" s="507"/>
      <c r="C645" s="507"/>
      <c r="D645" s="508"/>
      <c r="E645" s="507"/>
      <c r="F645" s="507"/>
      <c r="G645" s="507"/>
      <c r="H645" s="507"/>
      <c r="I645" s="507"/>
      <c r="J645" s="507"/>
      <c r="K645" s="507"/>
      <c r="L645" s="507"/>
      <c r="M645" s="507"/>
      <c r="N645" s="507"/>
    </row>
    <row r="646" ht="35.25" customHeight="1">
      <c r="A646" s="507"/>
      <c r="B646" s="507"/>
      <c r="C646" s="507"/>
      <c r="D646" s="508"/>
      <c r="E646" s="507"/>
      <c r="F646" s="507"/>
      <c r="G646" s="507"/>
      <c r="H646" s="507"/>
      <c r="I646" s="507"/>
      <c r="J646" s="507"/>
      <c r="K646" s="507"/>
      <c r="L646" s="507"/>
      <c r="M646" s="507"/>
      <c r="N646" s="507"/>
    </row>
    <row r="647" ht="35.25" customHeight="1">
      <c r="A647" s="507"/>
      <c r="B647" s="507"/>
      <c r="C647" s="507"/>
      <c r="D647" s="508"/>
      <c r="E647" s="507"/>
      <c r="F647" s="507"/>
      <c r="G647" s="507"/>
      <c r="H647" s="507"/>
      <c r="I647" s="507"/>
      <c r="J647" s="507"/>
      <c r="K647" s="507"/>
      <c r="L647" s="507"/>
      <c r="M647" s="507"/>
      <c r="N647" s="507"/>
    </row>
    <row r="648" ht="35.25" customHeight="1">
      <c r="A648" s="507"/>
      <c r="B648" s="507"/>
      <c r="C648" s="507"/>
      <c r="D648" s="508"/>
      <c r="E648" s="507"/>
      <c r="F648" s="507"/>
      <c r="G648" s="507"/>
      <c r="H648" s="507"/>
      <c r="I648" s="507"/>
      <c r="J648" s="507"/>
      <c r="K648" s="507"/>
      <c r="L648" s="507"/>
      <c r="M648" s="507"/>
      <c r="N648" s="507"/>
    </row>
    <row r="649" ht="35.25" customHeight="1">
      <c r="A649" s="507"/>
      <c r="B649" s="507"/>
      <c r="C649" s="507"/>
      <c r="D649" s="508"/>
      <c r="E649" s="507"/>
      <c r="F649" s="507"/>
      <c r="G649" s="507"/>
      <c r="H649" s="507"/>
      <c r="I649" s="507"/>
      <c r="J649" s="507"/>
      <c r="K649" s="507"/>
      <c r="L649" s="507"/>
      <c r="M649" s="507"/>
      <c r="N649" s="507"/>
    </row>
    <row r="650" ht="35.25" customHeight="1">
      <c r="A650" s="507"/>
      <c r="B650" s="507"/>
      <c r="C650" s="507"/>
      <c r="D650" s="508"/>
      <c r="E650" s="507"/>
      <c r="F650" s="507"/>
      <c r="G650" s="507"/>
      <c r="H650" s="507"/>
      <c r="I650" s="507"/>
      <c r="J650" s="507"/>
      <c r="K650" s="507"/>
      <c r="L650" s="507"/>
      <c r="M650" s="507"/>
      <c r="N650" s="507"/>
    </row>
    <row r="651" ht="35.25" customHeight="1">
      <c r="A651" s="507"/>
      <c r="B651" s="507"/>
      <c r="C651" s="507"/>
      <c r="D651" s="508"/>
      <c r="E651" s="507"/>
      <c r="F651" s="507"/>
      <c r="G651" s="507"/>
      <c r="H651" s="507"/>
      <c r="I651" s="507"/>
      <c r="J651" s="507"/>
      <c r="K651" s="507"/>
      <c r="L651" s="507"/>
      <c r="M651" s="507"/>
      <c r="N651" s="507"/>
    </row>
    <row r="652" ht="35.25" customHeight="1">
      <c r="A652" s="507"/>
      <c r="B652" s="507"/>
      <c r="C652" s="507"/>
      <c r="D652" s="508"/>
      <c r="E652" s="507"/>
      <c r="F652" s="507"/>
      <c r="G652" s="507"/>
      <c r="H652" s="507"/>
      <c r="I652" s="507"/>
      <c r="J652" s="507"/>
      <c r="K652" s="507"/>
      <c r="L652" s="507"/>
      <c r="M652" s="507"/>
      <c r="N652" s="507"/>
    </row>
    <row r="653" ht="35.25" customHeight="1">
      <c r="A653" s="507"/>
      <c r="B653" s="507"/>
      <c r="C653" s="507"/>
      <c r="D653" s="508"/>
      <c r="E653" s="507"/>
      <c r="F653" s="507"/>
      <c r="G653" s="507"/>
      <c r="H653" s="507"/>
      <c r="I653" s="507"/>
      <c r="J653" s="507"/>
      <c r="K653" s="507"/>
      <c r="L653" s="507"/>
      <c r="M653" s="507"/>
      <c r="N653" s="507"/>
    </row>
    <row r="654" ht="35.25" customHeight="1">
      <c r="A654" s="507"/>
      <c r="B654" s="507"/>
      <c r="C654" s="507"/>
      <c r="D654" s="508"/>
      <c r="E654" s="507"/>
      <c r="F654" s="507"/>
      <c r="G654" s="507"/>
      <c r="H654" s="507"/>
      <c r="I654" s="507"/>
      <c r="J654" s="507"/>
      <c r="K654" s="507"/>
      <c r="L654" s="507"/>
      <c r="M654" s="507"/>
      <c r="N654" s="507"/>
    </row>
    <row r="655" ht="35.25" customHeight="1">
      <c r="A655" s="507"/>
      <c r="B655" s="507"/>
      <c r="C655" s="507"/>
      <c r="D655" s="508"/>
      <c r="E655" s="507"/>
      <c r="F655" s="507"/>
      <c r="G655" s="507"/>
      <c r="H655" s="507"/>
      <c r="I655" s="507"/>
      <c r="J655" s="507"/>
      <c r="K655" s="507"/>
      <c r="L655" s="507"/>
      <c r="M655" s="507"/>
      <c r="N655" s="507"/>
    </row>
    <row r="656" ht="35.25" customHeight="1">
      <c r="A656" s="507"/>
      <c r="B656" s="507"/>
      <c r="C656" s="507"/>
      <c r="D656" s="508"/>
      <c r="E656" s="507"/>
      <c r="F656" s="507"/>
      <c r="G656" s="507"/>
      <c r="H656" s="507"/>
      <c r="I656" s="507"/>
      <c r="J656" s="507"/>
      <c r="K656" s="507"/>
      <c r="L656" s="507"/>
      <c r="M656" s="507"/>
      <c r="N656" s="507"/>
    </row>
    <row r="657" ht="35.25" customHeight="1">
      <c r="A657" s="507"/>
      <c r="B657" s="507"/>
      <c r="C657" s="507"/>
      <c r="D657" s="508"/>
      <c r="E657" s="507"/>
      <c r="F657" s="507"/>
      <c r="G657" s="507"/>
      <c r="H657" s="507"/>
      <c r="I657" s="507"/>
      <c r="J657" s="507"/>
      <c r="K657" s="507"/>
      <c r="L657" s="507"/>
      <c r="M657" s="507"/>
      <c r="N657" s="507"/>
    </row>
    <row r="658" ht="35.25" customHeight="1">
      <c r="A658" s="507"/>
      <c r="B658" s="507"/>
      <c r="C658" s="507"/>
      <c r="D658" s="508"/>
      <c r="E658" s="507"/>
      <c r="F658" s="507"/>
      <c r="G658" s="507"/>
      <c r="H658" s="507"/>
      <c r="I658" s="507"/>
      <c r="J658" s="507"/>
      <c r="K658" s="507"/>
      <c r="L658" s="507"/>
      <c r="M658" s="507"/>
      <c r="N658" s="507"/>
    </row>
    <row r="659" ht="35.25" customHeight="1">
      <c r="A659" s="507"/>
      <c r="B659" s="507"/>
      <c r="C659" s="507"/>
      <c r="D659" s="508"/>
      <c r="E659" s="507"/>
      <c r="F659" s="507"/>
      <c r="G659" s="507"/>
      <c r="H659" s="507"/>
      <c r="I659" s="507"/>
      <c r="J659" s="507"/>
      <c r="K659" s="507"/>
      <c r="L659" s="507"/>
      <c r="M659" s="507"/>
      <c r="N659" s="507"/>
    </row>
    <row r="660" ht="35.25" customHeight="1">
      <c r="A660" s="507"/>
      <c r="B660" s="507"/>
      <c r="C660" s="507"/>
      <c r="D660" s="508"/>
      <c r="E660" s="507"/>
      <c r="F660" s="507"/>
      <c r="G660" s="507"/>
      <c r="H660" s="507"/>
      <c r="I660" s="507"/>
      <c r="J660" s="507"/>
      <c r="K660" s="507"/>
      <c r="L660" s="507"/>
      <c r="M660" s="507"/>
      <c r="N660" s="507"/>
    </row>
    <row r="661" ht="35.25" customHeight="1">
      <c r="A661" s="507"/>
      <c r="B661" s="507"/>
      <c r="C661" s="507"/>
      <c r="D661" s="508"/>
      <c r="E661" s="507"/>
      <c r="F661" s="507"/>
      <c r="G661" s="507"/>
      <c r="H661" s="507"/>
      <c r="I661" s="507"/>
      <c r="J661" s="507"/>
      <c r="K661" s="507"/>
      <c r="L661" s="507"/>
      <c r="M661" s="507"/>
      <c r="N661" s="507"/>
    </row>
    <row r="662" ht="35.25" customHeight="1">
      <c r="A662" s="507"/>
      <c r="B662" s="507"/>
      <c r="C662" s="507"/>
      <c r="D662" s="508"/>
      <c r="E662" s="507"/>
      <c r="F662" s="507"/>
      <c r="G662" s="507"/>
      <c r="H662" s="507"/>
      <c r="I662" s="507"/>
      <c r="J662" s="507"/>
      <c r="K662" s="507"/>
      <c r="L662" s="507"/>
      <c r="M662" s="507"/>
      <c r="N662" s="507"/>
    </row>
    <row r="663" ht="35.25" customHeight="1">
      <c r="A663" s="507"/>
      <c r="B663" s="507"/>
      <c r="C663" s="507"/>
      <c r="D663" s="508"/>
      <c r="E663" s="507"/>
      <c r="F663" s="507"/>
      <c r="G663" s="507"/>
      <c r="H663" s="507"/>
      <c r="I663" s="507"/>
      <c r="J663" s="507"/>
      <c r="K663" s="507"/>
      <c r="L663" s="507"/>
      <c r="M663" s="507"/>
      <c r="N663" s="507"/>
    </row>
    <row r="664" ht="35.25" customHeight="1">
      <c r="A664" s="507"/>
      <c r="B664" s="507"/>
      <c r="C664" s="507"/>
      <c r="D664" s="508"/>
      <c r="E664" s="507"/>
      <c r="F664" s="507"/>
      <c r="G664" s="507"/>
      <c r="H664" s="507"/>
      <c r="I664" s="507"/>
      <c r="J664" s="507"/>
      <c r="K664" s="507"/>
      <c r="L664" s="507"/>
      <c r="M664" s="507"/>
      <c r="N664" s="507"/>
    </row>
    <row r="665" ht="35.25" customHeight="1">
      <c r="A665" s="507"/>
      <c r="B665" s="507"/>
      <c r="C665" s="507"/>
      <c r="D665" s="508"/>
      <c r="E665" s="507"/>
      <c r="F665" s="507"/>
      <c r="G665" s="507"/>
      <c r="H665" s="507"/>
      <c r="I665" s="507"/>
      <c r="J665" s="507"/>
      <c r="K665" s="507"/>
      <c r="L665" s="507"/>
      <c r="M665" s="507"/>
      <c r="N665" s="507"/>
    </row>
    <row r="666" ht="35.25" customHeight="1">
      <c r="A666" s="507"/>
      <c r="B666" s="507"/>
      <c r="C666" s="507"/>
      <c r="D666" s="508"/>
      <c r="E666" s="507"/>
      <c r="F666" s="507"/>
      <c r="G666" s="507"/>
      <c r="H666" s="507"/>
      <c r="I666" s="507"/>
      <c r="J666" s="507"/>
      <c r="K666" s="507"/>
      <c r="L666" s="507"/>
      <c r="M666" s="507"/>
      <c r="N666" s="507"/>
    </row>
    <row r="667" ht="35.25" customHeight="1">
      <c r="A667" s="507"/>
      <c r="B667" s="507"/>
      <c r="C667" s="507"/>
      <c r="D667" s="508"/>
      <c r="E667" s="507"/>
      <c r="F667" s="507"/>
      <c r="G667" s="507"/>
      <c r="H667" s="507"/>
      <c r="I667" s="507"/>
      <c r="J667" s="507"/>
      <c r="K667" s="507"/>
      <c r="L667" s="507"/>
      <c r="M667" s="507"/>
      <c r="N667" s="507"/>
    </row>
    <row r="668" ht="35.25" customHeight="1">
      <c r="A668" s="507"/>
      <c r="B668" s="507"/>
      <c r="C668" s="507"/>
      <c r="D668" s="508"/>
      <c r="E668" s="507"/>
      <c r="F668" s="507"/>
      <c r="G668" s="507"/>
      <c r="H668" s="507"/>
      <c r="I668" s="507"/>
      <c r="J668" s="507"/>
      <c r="K668" s="507"/>
      <c r="L668" s="507"/>
      <c r="M668" s="507"/>
      <c r="N668" s="507"/>
    </row>
    <row r="669" ht="35.25" customHeight="1">
      <c r="A669" s="507"/>
      <c r="B669" s="507"/>
      <c r="C669" s="507"/>
      <c r="D669" s="508"/>
      <c r="E669" s="507"/>
      <c r="F669" s="507"/>
      <c r="G669" s="507"/>
      <c r="H669" s="507"/>
      <c r="I669" s="507"/>
      <c r="J669" s="507"/>
      <c r="K669" s="507"/>
      <c r="L669" s="507"/>
      <c r="M669" s="507"/>
      <c r="N669" s="507"/>
    </row>
    <row r="670" ht="35.25" customHeight="1">
      <c r="A670" s="507"/>
      <c r="B670" s="507"/>
      <c r="C670" s="507"/>
      <c r="D670" s="508"/>
      <c r="E670" s="507"/>
      <c r="F670" s="507"/>
      <c r="G670" s="507"/>
      <c r="H670" s="507"/>
      <c r="I670" s="507"/>
      <c r="J670" s="507"/>
      <c r="K670" s="507"/>
      <c r="L670" s="507"/>
      <c r="M670" s="507"/>
      <c r="N670" s="507"/>
    </row>
    <row r="671" ht="35.25" customHeight="1">
      <c r="A671" s="507"/>
      <c r="B671" s="507"/>
      <c r="C671" s="507"/>
      <c r="D671" s="508"/>
      <c r="E671" s="507"/>
      <c r="F671" s="507"/>
      <c r="G671" s="507"/>
      <c r="H671" s="507"/>
      <c r="I671" s="507"/>
      <c r="J671" s="507"/>
      <c r="K671" s="507"/>
      <c r="L671" s="507"/>
      <c r="M671" s="507"/>
      <c r="N671" s="507"/>
    </row>
    <row r="672" ht="35.25" customHeight="1">
      <c r="A672" s="507"/>
      <c r="B672" s="507"/>
      <c r="C672" s="507"/>
      <c r="D672" s="508"/>
      <c r="E672" s="507"/>
      <c r="F672" s="507"/>
      <c r="G672" s="507"/>
      <c r="H672" s="507"/>
      <c r="I672" s="507"/>
      <c r="J672" s="507"/>
      <c r="K672" s="507"/>
      <c r="L672" s="507"/>
      <c r="M672" s="507"/>
      <c r="N672" s="507"/>
    </row>
    <row r="673" ht="35.25" customHeight="1">
      <c r="A673" s="507"/>
      <c r="B673" s="507"/>
      <c r="C673" s="507"/>
      <c r="D673" s="508"/>
      <c r="E673" s="507"/>
      <c r="F673" s="507"/>
      <c r="G673" s="507"/>
      <c r="H673" s="507"/>
      <c r="I673" s="507"/>
      <c r="J673" s="507"/>
      <c r="K673" s="507"/>
      <c r="L673" s="507"/>
      <c r="M673" s="507"/>
      <c r="N673" s="507"/>
    </row>
    <row r="674" ht="35.25" customHeight="1">
      <c r="A674" s="507"/>
      <c r="B674" s="507"/>
      <c r="C674" s="507"/>
      <c r="D674" s="508"/>
      <c r="E674" s="507"/>
      <c r="F674" s="507"/>
      <c r="G674" s="507"/>
      <c r="H674" s="507"/>
      <c r="I674" s="507"/>
      <c r="J674" s="507"/>
      <c r="K674" s="507"/>
      <c r="L674" s="507"/>
      <c r="M674" s="507"/>
      <c r="N674" s="507"/>
    </row>
    <row r="675" ht="35.25" customHeight="1">
      <c r="A675" s="507"/>
      <c r="B675" s="507"/>
      <c r="C675" s="507"/>
      <c r="D675" s="508"/>
      <c r="E675" s="507"/>
      <c r="F675" s="507"/>
      <c r="G675" s="507"/>
      <c r="H675" s="507"/>
      <c r="I675" s="507"/>
      <c r="J675" s="507"/>
      <c r="K675" s="507"/>
      <c r="L675" s="507"/>
      <c r="M675" s="507"/>
      <c r="N675" s="507"/>
    </row>
    <row r="676" ht="35.25" customHeight="1">
      <c r="A676" s="507"/>
      <c r="B676" s="507"/>
      <c r="C676" s="507"/>
      <c r="D676" s="508"/>
      <c r="E676" s="507"/>
      <c r="F676" s="507"/>
      <c r="G676" s="507"/>
      <c r="H676" s="507"/>
      <c r="I676" s="507"/>
      <c r="J676" s="507"/>
      <c r="K676" s="507"/>
      <c r="L676" s="507"/>
      <c r="M676" s="507"/>
      <c r="N676" s="507"/>
    </row>
    <row r="677" ht="35.25" customHeight="1">
      <c r="A677" s="507"/>
      <c r="B677" s="507"/>
      <c r="C677" s="507"/>
      <c r="D677" s="508"/>
      <c r="E677" s="507"/>
      <c r="F677" s="507"/>
      <c r="G677" s="507"/>
      <c r="H677" s="507"/>
      <c r="I677" s="507"/>
      <c r="J677" s="507"/>
      <c r="K677" s="507"/>
      <c r="L677" s="507"/>
      <c r="M677" s="507"/>
      <c r="N677" s="507"/>
    </row>
    <row r="678" ht="35.25" customHeight="1">
      <c r="A678" s="507"/>
      <c r="B678" s="507"/>
      <c r="C678" s="507"/>
      <c r="D678" s="508"/>
      <c r="E678" s="507"/>
      <c r="F678" s="507"/>
      <c r="G678" s="507"/>
      <c r="H678" s="507"/>
      <c r="I678" s="507"/>
      <c r="J678" s="507"/>
      <c r="K678" s="507"/>
      <c r="L678" s="507"/>
      <c r="M678" s="507"/>
      <c r="N678" s="507"/>
    </row>
    <row r="679" ht="35.25" customHeight="1">
      <c r="A679" s="507"/>
      <c r="B679" s="507"/>
      <c r="C679" s="507"/>
      <c r="D679" s="508"/>
      <c r="E679" s="507"/>
      <c r="F679" s="507"/>
      <c r="G679" s="507"/>
      <c r="H679" s="507"/>
      <c r="I679" s="507"/>
      <c r="J679" s="507"/>
      <c r="K679" s="507"/>
      <c r="L679" s="507"/>
      <c r="M679" s="507"/>
      <c r="N679" s="507"/>
    </row>
    <row r="680" ht="35.25" customHeight="1">
      <c r="A680" s="507"/>
      <c r="B680" s="507"/>
      <c r="C680" s="507"/>
      <c r="D680" s="508"/>
      <c r="E680" s="507"/>
      <c r="F680" s="507"/>
      <c r="G680" s="507"/>
      <c r="H680" s="507"/>
      <c r="I680" s="507"/>
      <c r="J680" s="507"/>
      <c r="K680" s="507"/>
      <c r="L680" s="507"/>
      <c r="M680" s="507"/>
      <c r="N680" s="507"/>
    </row>
    <row r="681" ht="35.25" customHeight="1">
      <c r="A681" s="507"/>
      <c r="B681" s="507"/>
      <c r="C681" s="507"/>
      <c r="D681" s="508"/>
      <c r="E681" s="507"/>
      <c r="F681" s="507"/>
      <c r="G681" s="507"/>
      <c r="H681" s="507"/>
      <c r="I681" s="507"/>
      <c r="J681" s="507"/>
      <c r="K681" s="507"/>
      <c r="L681" s="507"/>
      <c r="M681" s="507"/>
      <c r="N681" s="507"/>
    </row>
    <row r="682" ht="35.25" customHeight="1">
      <c r="A682" s="507"/>
      <c r="B682" s="507"/>
      <c r="C682" s="507"/>
      <c r="D682" s="508"/>
      <c r="E682" s="507"/>
      <c r="F682" s="507"/>
      <c r="G682" s="507"/>
      <c r="H682" s="507"/>
      <c r="I682" s="507"/>
      <c r="J682" s="507"/>
      <c r="K682" s="507"/>
      <c r="L682" s="507"/>
      <c r="M682" s="507"/>
      <c r="N682" s="507"/>
    </row>
    <row r="683" ht="35.25" customHeight="1">
      <c r="A683" s="507"/>
      <c r="B683" s="507"/>
      <c r="C683" s="507"/>
      <c r="D683" s="508"/>
      <c r="E683" s="507"/>
      <c r="F683" s="507"/>
      <c r="G683" s="507"/>
      <c r="H683" s="507"/>
      <c r="I683" s="507"/>
      <c r="J683" s="507"/>
      <c r="K683" s="507"/>
      <c r="L683" s="507"/>
      <c r="M683" s="507"/>
      <c r="N683" s="507"/>
    </row>
    <row r="684" ht="35.25" customHeight="1">
      <c r="A684" s="507"/>
      <c r="B684" s="507"/>
      <c r="C684" s="507"/>
      <c r="D684" s="508"/>
      <c r="E684" s="507"/>
      <c r="F684" s="507"/>
      <c r="G684" s="507"/>
      <c r="H684" s="507"/>
      <c r="I684" s="507"/>
      <c r="J684" s="507"/>
      <c r="K684" s="507"/>
      <c r="L684" s="507"/>
      <c r="M684" s="507"/>
      <c r="N684" s="507"/>
    </row>
    <row r="685" ht="35.25" customHeight="1">
      <c r="A685" s="507"/>
      <c r="B685" s="507"/>
      <c r="C685" s="507"/>
      <c r="D685" s="508"/>
      <c r="E685" s="507"/>
      <c r="F685" s="507"/>
      <c r="G685" s="507"/>
      <c r="H685" s="507"/>
      <c r="I685" s="507"/>
      <c r="J685" s="507"/>
      <c r="K685" s="507"/>
      <c r="L685" s="507"/>
      <c r="M685" s="507"/>
      <c r="N685" s="507"/>
    </row>
    <row r="686" ht="35.25" customHeight="1">
      <c r="A686" s="507"/>
      <c r="B686" s="507"/>
      <c r="C686" s="507"/>
      <c r="D686" s="508"/>
      <c r="E686" s="507"/>
      <c r="F686" s="507"/>
      <c r="G686" s="507"/>
      <c r="H686" s="507"/>
      <c r="I686" s="507"/>
      <c r="J686" s="507"/>
      <c r="K686" s="507"/>
      <c r="L686" s="507"/>
      <c r="M686" s="507"/>
      <c r="N686" s="507"/>
    </row>
    <row r="687" ht="35.25" customHeight="1">
      <c r="A687" s="507"/>
      <c r="B687" s="507"/>
      <c r="C687" s="507"/>
      <c r="D687" s="508"/>
      <c r="E687" s="507"/>
      <c r="F687" s="507"/>
      <c r="G687" s="507"/>
      <c r="H687" s="507"/>
      <c r="I687" s="507"/>
      <c r="J687" s="507"/>
      <c r="K687" s="507"/>
      <c r="L687" s="507"/>
      <c r="M687" s="507"/>
      <c r="N687" s="507"/>
    </row>
    <row r="688" ht="35.25" customHeight="1">
      <c r="A688" s="507"/>
      <c r="B688" s="507"/>
      <c r="C688" s="507"/>
      <c r="D688" s="508"/>
      <c r="E688" s="507"/>
      <c r="F688" s="507"/>
      <c r="G688" s="507"/>
      <c r="H688" s="507"/>
      <c r="I688" s="507"/>
      <c r="J688" s="507"/>
      <c r="K688" s="507"/>
      <c r="L688" s="507"/>
      <c r="M688" s="507"/>
      <c r="N688" s="507"/>
    </row>
    <row r="689" ht="35.25" customHeight="1">
      <c r="A689" s="507"/>
      <c r="B689" s="507"/>
      <c r="C689" s="507"/>
      <c r="D689" s="508"/>
      <c r="E689" s="507"/>
      <c r="F689" s="507"/>
      <c r="G689" s="507"/>
      <c r="H689" s="507"/>
      <c r="I689" s="507"/>
      <c r="J689" s="507"/>
      <c r="K689" s="507"/>
      <c r="L689" s="507"/>
      <c r="M689" s="507"/>
      <c r="N689" s="507"/>
    </row>
    <row r="690" ht="35.25" customHeight="1">
      <c r="A690" s="507"/>
      <c r="B690" s="507"/>
      <c r="C690" s="507"/>
      <c r="D690" s="508"/>
      <c r="E690" s="507"/>
      <c r="F690" s="507"/>
      <c r="G690" s="507"/>
      <c r="H690" s="507"/>
      <c r="I690" s="507"/>
      <c r="J690" s="507"/>
      <c r="K690" s="507"/>
      <c r="L690" s="507"/>
      <c r="M690" s="507"/>
      <c r="N690" s="507"/>
    </row>
    <row r="691" ht="35.25" customHeight="1">
      <c r="A691" s="507"/>
      <c r="B691" s="507"/>
      <c r="C691" s="507"/>
      <c r="D691" s="508"/>
      <c r="E691" s="507"/>
      <c r="F691" s="507"/>
      <c r="G691" s="507"/>
      <c r="H691" s="507"/>
      <c r="I691" s="507"/>
      <c r="J691" s="507"/>
      <c r="K691" s="507"/>
      <c r="L691" s="507"/>
      <c r="M691" s="507"/>
      <c r="N691" s="507"/>
    </row>
    <row r="692" ht="35.25" customHeight="1">
      <c r="A692" s="507"/>
      <c r="B692" s="507"/>
      <c r="C692" s="507"/>
      <c r="D692" s="508"/>
      <c r="E692" s="507"/>
      <c r="F692" s="507"/>
      <c r="G692" s="507"/>
      <c r="H692" s="507"/>
      <c r="I692" s="507"/>
      <c r="J692" s="507"/>
      <c r="K692" s="507"/>
      <c r="L692" s="507"/>
      <c r="M692" s="507"/>
      <c r="N692" s="507"/>
    </row>
    <row r="693" ht="35.25" customHeight="1">
      <c r="A693" s="507"/>
      <c r="B693" s="507"/>
      <c r="C693" s="507"/>
      <c r="D693" s="508"/>
      <c r="E693" s="507"/>
      <c r="F693" s="507"/>
      <c r="G693" s="507"/>
      <c r="H693" s="507"/>
      <c r="I693" s="507"/>
      <c r="J693" s="507"/>
      <c r="K693" s="507"/>
      <c r="L693" s="507"/>
      <c r="M693" s="507"/>
      <c r="N693" s="507"/>
    </row>
    <row r="694" ht="35.25" customHeight="1">
      <c r="A694" s="507"/>
      <c r="B694" s="507"/>
      <c r="C694" s="507"/>
      <c r="D694" s="508"/>
      <c r="E694" s="507"/>
      <c r="F694" s="507"/>
      <c r="G694" s="507"/>
      <c r="H694" s="507"/>
      <c r="I694" s="507"/>
      <c r="J694" s="507"/>
      <c r="K694" s="507"/>
      <c r="L694" s="507"/>
      <c r="M694" s="507"/>
      <c r="N694" s="507"/>
    </row>
    <row r="695" ht="35.25" customHeight="1">
      <c r="A695" s="507"/>
      <c r="B695" s="507"/>
      <c r="C695" s="507"/>
      <c r="D695" s="508"/>
      <c r="E695" s="507"/>
      <c r="F695" s="507"/>
      <c r="G695" s="507"/>
      <c r="H695" s="507"/>
      <c r="I695" s="507"/>
      <c r="J695" s="507"/>
      <c r="K695" s="507"/>
      <c r="L695" s="507"/>
      <c r="M695" s="507"/>
      <c r="N695" s="507"/>
    </row>
    <row r="696" ht="35.25" customHeight="1">
      <c r="A696" s="507"/>
      <c r="B696" s="507"/>
      <c r="C696" s="507"/>
      <c r="D696" s="508"/>
      <c r="E696" s="507"/>
      <c r="F696" s="507"/>
      <c r="G696" s="507"/>
      <c r="H696" s="507"/>
      <c r="I696" s="507"/>
      <c r="J696" s="507"/>
      <c r="K696" s="507"/>
      <c r="L696" s="507"/>
      <c r="M696" s="507"/>
      <c r="N696" s="507"/>
    </row>
    <row r="697" ht="35.25" customHeight="1">
      <c r="A697" s="507"/>
      <c r="B697" s="507"/>
      <c r="C697" s="507"/>
      <c r="D697" s="508"/>
      <c r="E697" s="507"/>
      <c r="F697" s="507"/>
      <c r="G697" s="507"/>
      <c r="H697" s="507"/>
      <c r="I697" s="507"/>
      <c r="J697" s="507"/>
      <c r="K697" s="507"/>
      <c r="L697" s="507"/>
      <c r="M697" s="507"/>
      <c r="N697" s="507"/>
    </row>
    <row r="698" ht="35.25" customHeight="1">
      <c r="A698" s="507"/>
      <c r="B698" s="507"/>
      <c r="C698" s="507"/>
      <c r="D698" s="508"/>
      <c r="E698" s="507"/>
      <c r="F698" s="507"/>
      <c r="G698" s="507"/>
      <c r="H698" s="507"/>
      <c r="I698" s="507"/>
      <c r="J698" s="507"/>
      <c r="K698" s="507"/>
      <c r="L698" s="507"/>
      <c r="M698" s="507"/>
      <c r="N698" s="507"/>
    </row>
    <row r="699" ht="35.25" customHeight="1">
      <c r="A699" s="507"/>
      <c r="B699" s="507"/>
      <c r="C699" s="507"/>
      <c r="D699" s="508"/>
      <c r="E699" s="507"/>
      <c r="F699" s="507"/>
      <c r="G699" s="507"/>
      <c r="H699" s="507"/>
      <c r="I699" s="507"/>
      <c r="J699" s="507"/>
      <c r="K699" s="507"/>
      <c r="L699" s="507"/>
      <c r="M699" s="507"/>
      <c r="N699" s="507"/>
    </row>
    <row r="700" ht="35.25" customHeight="1">
      <c r="A700" s="507"/>
      <c r="B700" s="507"/>
      <c r="C700" s="507"/>
      <c r="D700" s="508"/>
      <c r="E700" s="507"/>
      <c r="F700" s="507"/>
      <c r="G700" s="507"/>
      <c r="H700" s="507"/>
      <c r="I700" s="507"/>
      <c r="J700" s="507"/>
      <c r="K700" s="507"/>
      <c r="L700" s="507"/>
      <c r="M700" s="507"/>
      <c r="N700" s="507"/>
    </row>
    <row r="701" ht="35.25" customHeight="1">
      <c r="A701" s="507"/>
      <c r="B701" s="507"/>
      <c r="C701" s="507"/>
      <c r="D701" s="508"/>
      <c r="E701" s="507"/>
      <c r="F701" s="507"/>
      <c r="G701" s="507"/>
      <c r="H701" s="507"/>
      <c r="I701" s="507"/>
      <c r="J701" s="507"/>
      <c r="K701" s="507"/>
      <c r="L701" s="507"/>
      <c r="M701" s="507"/>
      <c r="N701" s="507"/>
    </row>
    <row r="702" ht="35.25" customHeight="1">
      <c r="A702" s="507"/>
      <c r="B702" s="507"/>
      <c r="C702" s="507"/>
      <c r="D702" s="508"/>
      <c r="E702" s="507"/>
      <c r="F702" s="507"/>
      <c r="G702" s="507"/>
      <c r="H702" s="507"/>
      <c r="I702" s="507"/>
      <c r="J702" s="507"/>
      <c r="K702" s="507"/>
      <c r="L702" s="507"/>
      <c r="M702" s="507"/>
      <c r="N702" s="507"/>
    </row>
    <row r="703" ht="35.25" customHeight="1">
      <c r="A703" s="507"/>
      <c r="B703" s="507"/>
      <c r="C703" s="507"/>
      <c r="D703" s="508"/>
      <c r="E703" s="507"/>
      <c r="F703" s="507"/>
      <c r="G703" s="507"/>
      <c r="H703" s="507"/>
      <c r="I703" s="507"/>
      <c r="J703" s="507"/>
      <c r="K703" s="507"/>
      <c r="L703" s="507"/>
      <c r="M703" s="507"/>
      <c r="N703" s="507"/>
    </row>
    <row r="704" ht="35.25" customHeight="1">
      <c r="A704" s="507"/>
      <c r="B704" s="507"/>
      <c r="C704" s="507"/>
      <c r="D704" s="508"/>
      <c r="E704" s="507"/>
      <c r="F704" s="507"/>
      <c r="G704" s="507"/>
      <c r="H704" s="507"/>
      <c r="I704" s="507"/>
      <c r="J704" s="507"/>
      <c r="K704" s="507"/>
      <c r="L704" s="507"/>
      <c r="M704" s="507"/>
      <c r="N704" s="507"/>
    </row>
    <row r="705" ht="35.25" customHeight="1">
      <c r="A705" s="507"/>
      <c r="B705" s="507"/>
      <c r="C705" s="507"/>
      <c r="D705" s="508"/>
      <c r="E705" s="507"/>
      <c r="F705" s="507"/>
      <c r="G705" s="507"/>
      <c r="H705" s="507"/>
      <c r="I705" s="507"/>
      <c r="J705" s="507"/>
      <c r="K705" s="507"/>
      <c r="L705" s="507"/>
      <c r="M705" s="507"/>
      <c r="N705" s="507"/>
    </row>
    <row r="706" ht="35.25" customHeight="1">
      <c r="A706" s="507"/>
      <c r="B706" s="507"/>
      <c r="C706" s="507"/>
      <c r="D706" s="508"/>
      <c r="E706" s="507"/>
      <c r="F706" s="507"/>
      <c r="G706" s="507"/>
      <c r="H706" s="507"/>
      <c r="I706" s="507"/>
      <c r="J706" s="507"/>
      <c r="K706" s="507"/>
      <c r="L706" s="507"/>
      <c r="M706" s="507"/>
      <c r="N706" s="507"/>
    </row>
    <row r="707" ht="35.25" customHeight="1">
      <c r="A707" s="507"/>
      <c r="B707" s="507"/>
      <c r="C707" s="507"/>
      <c r="D707" s="508"/>
      <c r="E707" s="507"/>
      <c r="F707" s="507"/>
      <c r="G707" s="507"/>
      <c r="H707" s="507"/>
      <c r="I707" s="507"/>
      <c r="J707" s="507"/>
      <c r="K707" s="507"/>
      <c r="L707" s="507"/>
      <c r="M707" s="507"/>
      <c r="N707" s="507"/>
    </row>
    <row r="708" ht="35.25" customHeight="1">
      <c r="A708" s="507"/>
      <c r="B708" s="507"/>
      <c r="C708" s="507"/>
      <c r="D708" s="508"/>
      <c r="E708" s="507"/>
      <c r="F708" s="507"/>
      <c r="G708" s="507"/>
      <c r="H708" s="507"/>
      <c r="I708" s="507"/>
      <c r="J708" s="507"/>
      <c r="K708" s="507"/>
      <c r="L708" s="507"/>
      <c r="M708" s="507"/>
      <c r="N708" s="507"/>
    </row>
    <row r="709" ht="35.25" customHeight="1">
      <c r="A709" s="507"/>
      <c r="B709" s="507"/>
      <c r="C709" s="507"/>
      <c r="D709" s="508"/>
      <c r="E709" s="507"/>
      <c r="F709" s="507"/>
      <c r="G709" s="507"/>
      <c r="H709" s="507"/>
      <c r="I709" s="507"/>
      <c r="J709" s="507"/>
      <c r="K709" s="507"/>
      <c r="L709" s="507"/>
      <c r="M709" s="507"/>
      <c r="N709" s="507"/>
    </row>
    <row r="710" ht="35.25" customHeight="1">
      <c r="A710" s="507"/>
      <c r="B710" s="507"/>
      <c r="C710" s="507"/>
      <c r="D710" s="508"/>
      <c r="E710" s="507"/>
      <c r="F710" s="507"/>
      <c r="G710" s="507"/>
      <c r="H710" s="507"/>
      <c r="I710" s="507"/>
      <c r="J710" s="507"/>
      <c r="K710" s="507"/>
      <c r="L710" s="507"/>
      <c r="M710" s="507"/>
      <c r="N710" s="507"/>
    </row>
    <row r="711" ht="35.25" customHeight="1">
      <c r="A711" s="507"/>
      <c r="B711" s="507"/>
      <c r="C711" s="507"/>
      <c r="D711" s="508"/>
      <c r="E711" s="507"/>
      <c r="F711" s="507"/>
      <c r="G711" s="507"/>
      <c r="H711" s="507"/>
      <c r="I711" s="507"/>
      <c r="J711" s="507"/>
      <c r="K711" s="507"/>
      <c r="L711" s="507"/>
      <c r="M711" s="507"/>
      <c r="N711" s="507"/>
    </row>
    <row r="712" ht="35.25" customHeight="1">
      <c r="A712" s="507"/>
      <c r="B712" s="507"/>
      <c r="C712" s="507"/>
      <c r="D712" s="508"/>
      <c r="E712" s="507"/>
      <c r="F712" s="507"/>
      <c r="G712" s="507"/>
      <c r="H712" s="507"/>
      <c r="I712" s="507"/>
      <c r="J712" s="507"/>
      <c r="K712" s="507"/>
      <c r="L712" s="507"/>
      <c r="M712" s="507"/>
      <c r="N712" s="507"/>
    </row>
    <row r="713" ht="35.25" customHeight="1">
      <c r="A713" s="507"/>
      <c r="B713" s="507"/>
      <c r="C713" s="507"/>
      <c r="D713" s="508"/>
      <c r="E713" s="507"/>
      <c r="F713" s="507"/>
      <c r="G713" s="507"/>
      <c r="H713" s="507"/>
      <c r="I713" s="507"/>
      <c r="J713" s="507"/>
      <c r="K713" s="507"/>
      <c r="L713" s="507"/>
      <c r="M713" s="507"/>
      <c r="N713" s="507"/>
    </row>
    <row r="714" ht="35.25" customHeight="1">
      <c r="A714" s="507"/>
      <c r="B714" s="507"/>
      <c r="C714" s="507"/>
      <c r="D714" s="508"/>
      <c r="E714" s="507"/>
      <c r="F714" s="507"/>
      <c r="G714" s="507"/>
      <c r="H714" s="507"/>
      <c r="I714" s="507"/>
      <c r="J714" s="507"/>
      <c r="K714" s="507"/>
      <c r="L714" s="507"/>
      <c r="M714" s="507"/>
      <c r="N714" s="507"/>
    </row>
    <row r="715" ht="35.25" customHeight="1">
      <c r="A715" s="507"/>
      <c r="B715" s="507"/>
      <c r="C715" s="507"/>
      <c r="D715" s="508"/>
      <c r="E715" s="507"/>
      <c r="F715" s="507"/>
      <c r="G715" s="507"/>
      <c r="H715" s="507"/>
      <c r="I715" s="507"/>
      <c r="J715" s="507"/>
      <c r="K715" s="507"/>
      <c r="L715" s="507"/>
      <c r="M715" s="507"/>
      <c r="N715" s="507"/>
    </row>
    <row r="716" ht="35.25" customHeight="1">
      <c r="A716" s="507"/>
      <c r="B716" s="507"/>
      <c r="C716" s="507"/>
      <c r="D716" s="508"/>
      <c r="E716" s="507"/>
      <c r="F716" s="507"/>
      <c r="G716" s="507"/>
      <c r="H716" s="507"/>
      <c r="I716" s="507"/>
      <c r="J716" s="507"/>
      <c r="K716" s="507"/>
      <c r="L716" s="507"/>
      <c r="M716" s="507"/>
      <c r="N716" s="507"/>
    </row>
    <row r="717" ht="35.25" customHeight="1">
      <c r="A717" s="507"/>
      <c r="B717" s="507"/>
      <c r="C717" s="507"/>
      <c r="D717" s="508"/>
      <c r="E717" s="507"/>
      <c r="F717" s="507"/>
      <c r="G717" s="507"/>
      <c r="H717" s="507"/>
      <c r="I717" s="507"/>
      <c r="J717" s="507"/>
      <c r="K717" s="507"/>
      <c r="L717" s="507"/>
      <c r="M717" s="507"/>
      <c r="N717" s="507"/>
    </row>
    <row r="718" ht="35.25" customHeight="1">
      <c r="A718" s="507"/>
      <c r="B718" s="507"/>
      <c r="C718" s="507"/>
      <c r="D718" s="508"/>
      <c r="E718" s="507"/>
      <c r="F718" s="507"/>
      <c r="G718" s="507"/>
      <c r="H718" s="507"/>
      <c r="I718" s="507"/>
      <c r="J718" s="507"/>
      <c r="K718" s="507"/>
      <c r="L718" s="507"/>
      <c r="M718" s="507"/>
      <c r="N718" s="507"/>
    </row>
    <row r="719" ht="35.25" customHeight="1">
      <c r="A719" s="507"/>
      <c r="B719" s="507"/>
      <c r="C719" s="507"/>
      <c r="D719" s="508"/>
      <c r="E719" s="507"/>
      <c r="F719" s="507"/>
      <c r="G719" s="507"/>
      <c r="H719" s="507"/>
      <c r="I719" s="507"/>
      <c r="J719" s="507"/>
      <c r="K719" s="507"/>
      <c r="L719" s="507"/>
      <c r="M719" s="507"/>
      <c r="N719" s="507"/>
    </row>
    <row r="720" ht="35.25" customHeight="1">
      <c r="A720" s="507"/>
      <c r="B720" s="507"/>
      <c r="C720" s="507"/>
      <c r="D720" s="508"/>
      <c r="E720" s="507"/>
      <c r="F720" s="507"/>
      <c r="G720" s="507"/>
      <c r="H720" s="507"/>
      <c r="I720" s="507"/>
      <c r="J720" s="507"/>
      <c r="K720" s="507"/>
      <c r="L720" s="507"/>
      <c r="M720" s="507"/>
      <c r="N720" s="507"/>
    </row>
    <row r="721" ht="35.25" customHeight="1">
      <c r="A721" s="507"/>
      <c r="B721" s="507"/>
      <c r="C721" s="507"/>
      <c r="D721" s="508"/>
      <c r="E721" s="507"/>
      <c r="F721" s="507"/>
      <c r="G721" s="507"/>
      <c r="H721" s="507"/>
      <c r="I721" s="507"/>
      <c r="J721" s="507"/>
      <c r="K721" s="507"/>
      <c r="L721" s="507"/>
      <c r="M721" s="507"/>
      <c r="N721" s="507"/>
    </row>
    <row r="722" ht="35.25" customHeight="1">
      <c r="A722" s="507"/>
      <c r="B722" s="507"/>
      <c r="C722" s="507"/>
      <c r="D722" s="508"/>
      <c r="E722" s="507"/>
      <c r="F722" s="507"/>
      <c r="G722" s="507"/>
      <c r="H722" s="507"/>
      <c r="I722" s="507"/>
      <c r="J722" s="507"/>
      <c r="K722" s="507"/>
      <c r="L722" s="507"/>
      <c r="M722" s="507"/>
      <c r="N722" s="507"/>
    </row>
    <row r="723" ht="35.25" customHeight="1">
      <c r="A723" s="507"/>
      <c r="B723" s="507"/>
      <c r="C723" s="507"/>
      <c r="D723" s="508"/>
      <c r="E723" s="507"/>
      <c r="F723" s="507"/>
      <c r="G723" s="507"/>
      <c r="H723" s="507"/>
      <c r="I723" s="507"/>
      <c r="J723" s="507"/>
      <c r="K723" s="507"/>
      <c r="L723" s="507"/>
      <c r="M723" s="507"/>
      <c r="N723" s="507"/>
    </row>
    <row r="724" ht="35.25" customHeight="1">
      <c r="A724" s="507"/>
      <c r="B724" s="507"/>
      <c r="C724" s="507"/>
      <c r="D724" s="508"/>
      <c r="E724" s="507"/>
      <c r="F724" s="507"/>
      <c r="G724" s="507"/>
      <c r="H724" s="507"/>
      <c r="I724" s="507"/>
      <c r="J724" s="507"/>
      <c r="K724" s="507"/>
      <c r="L724" s="507"/>
      <c r="M724" s="507"/>
      <c r="N724" s="507"/>
    </row>
    <row r="725" ht="35.25" customHeight="1">
      <c r="A725" s="507"/>
      <c r="B725" s="507"/>
      <c r="C725" s="507"/>
      <c r="D725" s="508"/>
      <c r="E725" s="507"/>
      <c r="F725" s="507"/>
      <c r="G725" s="507"/>
      <c r="H725" s="507"/>
      <c r="I725" s="507"/>
      <c r="J725" s="507"/>
      <c r="K725" s="507"/>
      <c r="L725" s="507"/>
      <c r="M725" s="507"/>
      <c r="N725" s="507"/>
    </row>
    <row r="726" ht="35.25" customHeight="1">
      <c r="A726" s="507"/>
      <c r="B726" s="507"/>
      <c r="C726" s="507"/>
      <c r="D726" s="508"/>
      <c r="E726" s="507"/>
      <c r="F726" s="507"/>
      <c r="G726" s="507"/>
      <c r="H726" s="507"/>
      <c r="I726" s="507"/>
      <c r="J726" s="507"/>
      <c r="K726" s="507"/>
      <c r="L726" s="507"/>
      <c r="M726" s="507"/>
      <c r="N726" s="507"/>
    </row>
    <row r="727" ht="35.25" customHeight="1">
      <c r="A727" s="507"/>
      <c r="B727" s="507"/>
      <c r="C727" s="507"/>
      <c r="D727" s="508"/>
      <c r="E727" s="507"/>
      <c r="F727" s="507"/>
      <c r="G727" s="507"/>
      <c r="H727" s="507"/>
      <c r="I727" s="507"/>
      <c r="J727" s="507"/>
      <c r="K727" s="507"/>
      <c r="L727" s="507"/>
      <c r="M727" s="507"/>
      <c r="N727" s="507"/>
    </row>
    <row r="728" ht="35.25" customHeight="1">
      <c r="A728" s="507"/>
      <c r="B728" s="507"/>
      <c r="C728" s="507"/>
      <c r="D728" s="508"/>
      <c r="E728" s="507"/>
      <c r="F728" s="507"/>
      <c r="G728" s="507"/>
      <c r="H728" s="507"/>
      <c r="I728" s="507"/>
      <c r="J728" s="507"/>
      <c r="K728" s="507"/>
      <c r="L728" s="507"/>
      <c r="M728" s="507"/>
      <c r="N728" s="507"/>
    </row>
    <row r="729" ht="35.25" customHeight="1">
      <c r="A729" s="507"/>
      <c r="B729" s="507"/>
      <c r="C729" s="507"/>
      <c r="D729" s="508"/>
      <c r="E729" s="507"/>
      <c r="F729" s="507"/>
      <c r="G729" s="507"/>
      <c r="H729" s="507"/>
      <c r="I729" s="507"/>
      <c r="J729" s="507"/>
      <c r="K729" s="507"/>
      <c r="L729" s="507"/>
      <c r="M729" s="507"/>
      <c r="N729" s="507"/>
    </row>
    <row r="730" ht="35.25" customHeight="1">
      <c r="A730" s="507"/>
      <c r="B730" s="507"/>
      <c r="C730" s="507"/>
      <c r="D730" s="508"/>
      <c r="E730" s="507"/>
      <c r="F730" s="507"/>
      <c r="G730" s="507"/>
      <c r="H730" s="507"/>
      <c r="I730" s="507"/>
      <c r="J730" s="507"/>
      <c r="K730" s="507"/>
      <c r="L730" s="507"/>
      <c r="M730" s="507"/>
      <c r="N730" s="507"/>
    </row>
    <row r="731" ht="35.25" customHeight="1">
      <c r="A731" s="507"/>
      <c r="B731" s="507"/>
      <c r="C731" s="507"/>
      <c r="D731" s="508"/>
      <c r="E731" s="507"/>
      <c r="F731" s="507"/>
      <c r="G731" s="507"/>
      <c r="H731" s="507"/>
      <c r="I731" s="507"/>
      <c r="J731" s="507"/>
      <c r="K731" s="507"/>
      <c r="L731" s="507"/>
      <c r="M731" s="507"/>
      <c r="N731" s="507"/>
    </row>
    <row r="732" ht="35.25" customHeight="1">
      <c r="A732" s="507"/>
      <c r="B732" s="507"/>
      <c r="C732" s="507"/>
      <c r="D732" s="508"/>
      <c r="E732" s="507"/>
      <c r="F732" s="507"/>
      <c r="G732" s="507"/>
      <c r="H732" s="507"/>
      <c r="I732" s="507"/>
      <c r="J732" s="507"/>
      <c r="K732" s="507"/>
      <c r="L732" s="507"/>
      <c r="M732" s="507"/>
      <c r="N732" s="507"/>
    </row>
    <row r="733" ht="35.25" customHeight="1">
      <c r="A733" s="507"/>
      <c r="B733" s="507"/>
      <c r="C733" s="507"/>
      <c r="D733" s="508"/>
      <c r="E733" s="507"/>
      <c r="F733" s="507"/>
      <c r="G733" s="507"/>
      <c r="H733" s="507"/>
      <c r="I733" s="507"/>
      <c r="J733" s="507"/>
      <c r="K733" s="507"/>
      <c r="L733" s="507"/>
      <c r="M733" s="507"/>
      <c r="N733" s="507"/>
    </row>
    <row r="734" ht="35.25" customHeight="1">
      <c r="A734" s="507"/>
      <c r="B734" s="507"/>
      <c r="C734" s="507"/>
      <c r="D734" s="508"/>
      <c r="E734" s="507"/>
      <c r="F734" s="507"/>
      <c r="G734" s="507"/>
      <c r="H734" s="507"/>
      <c r="I734" s="507"/>
      <c r="J734" s="507"/>
      <c r="K734" s="507"/>
      <c r="L734" s="507"/>
      <c r="M734" s="507"/>
      <c r="N734" s="507"/>
    </row>
    <row r="735" ht="35.25" customHeight="1">
      <c r="A735" s="507"/>
      <c r="B735" s="507"/>
      <c r="C735" s="507"/>
      <c r="D735" s="508"/>
      <c r="E735" s="507"/>
      <c r="F735" s="507"/>
      <c r="G735" s="507"/>
      <c r="H735" s="507"/>
      <c r="I735" s="507"/>
      <c r="J735" s="507"/>
      <c r="K735" s="507"/>
      <c r="L735" s="507"/>
      <c r="M735" s="507"/>
      <c r="N735" s="507"/>
    </row>
    <row r="736" ht="35.25" customHeight="1">
      <c r="A736" s="507"/>
      <c r="B736" s="507"/>
      <c r="C736" s="507"/>
      <c r="D736" s="508"/>
      <c r="E736" s="507"/>
      <c r="F736" s="507"/>
      <c r="G736" s="507"/>
      <c r="H736" s="507"/>
      <c r="I736" s="507"/>
      <c r="J736" s="507"/>
      <c r="K736" s="507"/>
      <c r="L736" s="507"/>
      <c r="M736" s="507"/>
      <c r="N736" s="507"/>
    </row>
    <row r="737" ht="35.25" customHeight="1">
      <c r="A737" s="507"/>
      <c r="B737" s="507"/>
      <c r="C737" s="507"/>
      <c r="D737" s="508"/>
      <c r="E737" s="507"/>
      <c r="F737" s="507"/>
      <c r="G737" s="507"/>
      <c r="H737" s="507"/>
      <c r="I737" s="507"/>
      <c r="J737" s="507"/>
      <c r="K737" s="507"/>
      <c r="L737" s="507"/>
      <c r="M737" s="507"/>
      <c r="N737" s="507"/>
    </row>
    <row r="738" ht="35.25" customHeight="1">
      <c r="A738" s="507"/>
      <c r="B738" s="507"/>
      <c r="C738" s="507"/>
      <c r="D738" s="508"/>
      <c r="E738" s="507"/>
      <c r="F738" s="507"/>
      <c r="G738" s="507"/>
      <c r="H738" s="507"/>
      <c r="I738" s="507"/>
      <c r="J738" s="507"/>
      <c r="K738" s="507"/>
      <c r="L738" s="507"/>
      <c r="M738" s="507"/>
      <c r="N738" s="507"/>
    </row>
    <row r="739" ht="35.25" customHeight="1">
      <c r="A739" s="507"/>
      <c r="B739" s="507"/>
      <c r="C739" s="507"/>
      <c r="D739" s="508"/>
      <c r="E739" s="507"/>
      <c r="F739" s="507"/>
      <c r="G739" s="507"/>
      <c r="H739" s="507"/>
      <c r="I739" s="507"/>
      <c r="J739" s="507"/>
      <c r="K739" s="507"/>
      <c r="L739" s="507"/>
      <c r="M739" s="507"/>
      <c r="N739" s="507"/>
    </row>
    <row r="740" ht="35.25" customHeight="1">
      <c r="A740" s="507"/>
      <c r="B740" s="507"/>
      <c r="C740" s="507"/>
      <c r="D740" s="508"/>
      <c r="E740" s="507"/>
      <c r="F740" s="507"/>
      <c r="G740" s="507"/>
      <c r="H740" s="507"/>
      <c r="I740" s="507"/>
      <c r="J740" s="507"/>
      <c r="K740" s="507"/>
      <c r="L740" s="507"/>
      <c r="M740" s="507"/>
      <c r="N740" s="507"/>
    </row>
    <row r="741" ht="35.25" customHeight="1">
      <c r="A741" s="507"/>
      <c r="B741" s="507"/>
      <c r="C741" s="507"/>
      <c r="D741" s="508"/>
      <c r="E741" s="507"/>
      <c r="F741" s="507"/>
      <c r="G741" s="507"/>
      <c r="H741" s="507"/>
      <c r="I741" s="507"/>
      <c r="J741" s="507"/>
      <c r="K741" s="507"/>
      <c r="L741" s="507"/>
      <c r="M741" s="507"/>
      <c r="N741" s="507"/>
    </row>
    <row r="742" ht="35.25" customHeight="1">
      <c r="A742" s="507"/>
      <c r="B742" s="507"/>
      <c r="C742" s="507"/>
      <c r="D742" s="508"/>
      <c r="E742" s="507"/>
      <c r="F742" s="507"/>
      <c r="G742" s="507"/>
      <c r="H742" s="507"/>
      <c r="I742" s="507"/>
      <c r="J742" s="507"/>
      <c r="K742" s="507"/>
      <c r="L742" s="507"/>
      <c r="M742" s="507"/>
      <c r="N742" s="507"/>
    </row>
    <row r="743" ht="35.25" customHeight="1">
      <c r="A743" s="507"/>
      <c r="B743" s="507"/>
      <c r="C743" s="507"/>
      <c r="D743" s="508"/>
      <c r="E743" s="507"/>
      <c r="F743" s="507"/>
      <c r="G743" s="507"/>
      <c r="H743" s="507"/>
      <c r="I743" s="507"/>
      <c r="J743" s="507"/>
      <c r="K743" s="507"/>
      <c r="L743" s="507"/>
      <c r="M743" s="507"/>
      <c r="N743" s="507"/>
    </row>
    <row r="744" ht="35.25" customHeight="1">
      <c r="A744" s="507"/>
      <c r="B744" s="507"/>
      <c r="C744" s="507"/>
      <c r="D744" s="508"/>
      <c r="E744" s="507"/>
      <c r="F744" s="507"/>
      <c r="G744" s="507"/>
      <c r="H744" s="507"/>
      <c r="I744" s="507"/>
      <c r="J744" s="507"/>
      <c r="K744" s="507"/>
      <c r="L744" s="507"/>
      <c r="M744" s="507"/>
      <c r="N744" s="507"/>
    </row>
    <row r="745" ht="35.25" customHeight="1">
      <c r="A745" s="507"/>
      <c r="B745" s="507"/>
      <c r="C745" s="507"/>
      <c r="D745" s="508"/>
      <c r="E745" s="507"/>
      <c r="F745" s="507"/>
      <c r="G745" s="507"/>
      <c r="H745" s="507"/>
      <c r="I745" s="507"/>
      <c r="J745" s="507"/>
      <c r="K745" s="507"/>
      <c r="L745" s="507"/>
      <c r="M745" s="507"/>
      <c r="N745" s="507"/>
    </row>
    <row r="746" ht="35.25" customHeight="1">
      <c r="A746" s="507"/>
      <c r="B746" s="507"/>
      <c r="C746" s="507"/>
      <c r="D746" s="508"/>
      <c r="E746" s="507"/>
      <c r="F746" s="507"/>
      <c r="G746" s="507"/>
      <c r="H746" s="507"/>
      <c r="I746" s="507"/>
      <c r="J746" s="507"/>
      <c r="K746" s="507"/>
      <c r="L746" s="507"/>
      <c r="M746" s="507"/>
      <c r="N746" s="507"/>
    </row>
    <row r="747" ht="35.25" customHeight="1">
      <c r="A747" s="507"/>
      <c r="B747" s="507"/>
      <c r="C747" s="507"/>
      <c r="D747" s="508"/>
      <c r="E747" s="507"/>
      <c r="F747" s="507"/>
      <c r="G747" s="507"/>
      <c r="H747" s="507"/>
      <c r="I747" s="507"/>
      <c r="J747" s="507"/>
      <c r="K747" s="507"/>
      <c r="L747" s="507"/>
      <c r="M747" s="507"/>
      <c r="N747" s="507"/>
    </row>
    <row r="748" ht="35.25" customHeight="1">
      <c r="A748" s="507"/>
      <c r="B748" s="507"/>
      <c r="C748" s="507"/>
      <c r="D748" s="508"/>
      <c r="E748" s="507"/>
      <c r="F748" s="507"/>
      <c r="G748" s="507"/>
      <c r="H748" s="507"/>
      <c r="I748" s="507"/>
      <c r="J748" s="507"/>
      <c r="K748" s="507"/>
      <c r="L748" s="507"/>
      <c r="M748" s="507"/>
      <c r="N748" s="507"/>
    </row>
    <row r="749" ht="35.25" customHeight="1">
      <c r="A749" s="507"/>
      <c r="B749" s="507"/>
      <c r="C749" s="507"/>
      <c r="D749" s="508"/>
      <c r="E749" s="507"/>
      <c r="F749" s="507"/>
      <c r="G749" s="507"/>
      <c r="H749" s="507"/>
      <c r="I749" s="507"/>
      <c r="J749" s="507"/>
      <c r="K749" s="507"/>
      <c r="L749" s="507"/>
      <c r="M749" s="507"/>
      <c r="N749" s="507"/>
    </row>
    <row r="750" ht="35.25" customHeight="1">
      <c r="A750" s="507"/>
      <c r="B750" s="507"/>
      <c r="C750" s="507"/>
      <c r="D750" s="508"/>
      <c r="E750" s="507"/>
      <c r="F750" s="507"/>
      <c r="G750" s="507"/>
      <c r="H750" s="507"/>
      <c r="I750" s="507"/>
      <c r="J750" s="507"/>
      <c r="K750" s="507"/>
      <c r="L750" s="507"/>
      <c r="M750" s="507"/>
      <c r="N750" s="507"/>
    </row>
    <row r="751" ht="35.25" customHeight="1">
      <c r="A751" s="507"/>
      <c r="B751" s="507"/>
      <c r="C751" s="507"/>
      <c r="D751" s="508"/>
      <c r="E751" s="507"/>
      <c r="F751" s="507"/>
      <c r="G751" s="507"/>
      <c r="H751" s="507"/>
      <c r="I751" s="507"/>
      <c r="J751" s="507"/>
      <c r="K751" s="507"/>
      <c r="L751" s="507"/>
      <c r="M751" s="507"/>
      <c r="N751" s="507"/>
    </row>
    <row r="752" ht="35.25" customHeight="1">
      <c r="A752" s="507"/>
      <c r="B752" s="507"/>
      <c r="C752" s="507"/>
      <c r="D752" s="508"/>
      <c r="E752" s="507"/>
      <c r="F752" s="507"/>
      <c r="G752" s="507"/>
      <c r="H752" s="507"/>
      <c r="I752" s="507"/>
      <c r="J752" s="507"/>
      <c r="K752" s="507"/>
      <c r="L752" s="507"/>
      <c r="M752" s="507"/>
      <c r="N752" s="507"/>
    </row>
    <row r="753" ht="35.25" customHeight="1">
      <c r="A753" s="507"/>
      <c r="B753" s="507"/>
      <c r="C753" s="507"/>
      <c r="D753" s="508"/>
      <c r="E753" s="507"/>
      <c r="F753" s="507"/>
      <c r="G753" s="507"/>
      <c r="H753" s="507"/>
      <c r="I753" s="507"/>
      <c r="J753" s="507"/>
      <c r="K753" s="507"/>
      <c r="L753" s="507"/>
      <c r="M753" s="507"/>
      <c r="N753" s="507"/>
    </row>
    <row r="754" ht="35.25" customHeight="1">
      <c r="A754" s="507"/>
      <c r="B754" s="507"/>
      <c r="C754" s="507"/>
      <c r="D754" s="508"/>
      <c r="E754" s="507"/>
      <c r="F754" s="507"/>
      <c r="G754" s="507"/>
      <c r="H754" s="507"/>
      <c r="I754" s="507"/>
      <c r="J754" s="507"/>
      <c r="K754" s="507"/>
      <c r="L754" s="507"/>
      <c r="M754" s="507"/>
      <c r="N754" s="507"/>
    </row>
    <row r="755" ht="35.25" customHeight="1">
      <c r="A755" s="507"/>
      <c r="B755" s="507"/>
      <c r="C755" s="507"/>
      <c r="D755" s="508"/>
      <c r="E755" s="507"/>
      <c r="F755" s="507"/>
      <c r="G755" s="507"/>
      <c r="H755" s="507"/>
      <c r="I755" s="507"/>
      <c r="J755" s="507"/>
      <c r="K755" s="507"/>
      <c r="L755" s="507"/>
      <c r="M755" s="507"/>
      <c r="N755" s="507"/>
    </row>
    <row r="756" ht="35.25" customHeight="1">
      <c r="A756" s="507"/>
      <c r="B756" s="507"/>
      <c r="C756" s="507"/>
      <c r="D756" s="508"/>
      <c r="E756" s="507"/>
      <c r="F756" s="507"/>
      <c r="G756" s="507"/>
      <c r="H756" s="507"/>
      <c r="I756" s="507"/>
      <c r="J756" s="507"/>
      <c r="K756" s="507"/>
      <c r="L756" s="507"/>
      <c r="M756" s="507"/>
      <c r="N756" s="507"/>
    </row>
    <row r="757" ht="35.25" customHeight="1">
      <c r="A757" s="507"/>
      <c r="B757" s="507"/>
      <c r="C757" s="507"/>
      <c r="D757" s="508"/>
      <c r="E757" s="507"/>
      <c r="F757" s="507"/>
      <c r="G757" s="507"/>
      <c r="H757" s="507"/>
      <c r="I757" s="507"/>
      <c r="J757" s="507"/>
      <c r="K757" s="507"/>
      <c r="L757" s="507"/>
      <c r="M757" s="507"/>
      <c r="N757" s="507"/>
    </row>
    <row r="758" ht="35.25" customHeight="1">
      <c r="A758" s="507"/>
      <c r="B758" s="507"/>
      <c r="C758" s="507"/>
      <c r="D758" s="508"/>
      <c r="E758" s="507"/>
      <c r="F758" s="507"/>
      <c r="G758" s="507"/>
      <c r="H758" s="507"/>
      <c r="I758" s="507"/>
      <c r="J758" s="507"/>
      <c r="K758" s="507"/>
      <c r="L758" s="507"/>
      <c r="M758" s="507"/>
      <c r="N758" s="507"/>
    </row>
    <row r="759" ht="35.25" customHeight="1">
      <c r="A759" s="507"/>
      <c r="B759" s="507"/>
      <c r="C759" s="507"/>
      <c r="D759" s="508"/>
      <c r="E759" s="507"/>
      <c r="F759" s="507"/>
      <c r="G759" s="507"/>
      <c r="H759" s="507"/>
      <c r="I759" s="507"/>
      <c r="J759" s="507"/>
      <c r="K759" s="507"/>
      <c r="L759" s="507"/>
      <c r="M759" s="507"/>
      <c r="N759" s="507"/>
    </row>
    <row r="760" ht="35.25" customHeight="1">
      <c r="A760" s="507"/>
      <c r="B760" s="507"/>
      <c r="C760" s="507"/>
      <c r="D760" s="508"/>
      <c r="E760" s="507"/>
      <c r="F760" s="507"/>
      <c r="G760" s="507"/>
      <c r="H760" s="507"/>
      <c r="I760" s="507"/>
      <c r="J760" s="507"/>
      <c r="K760" s="507"/>
      <c r="L760" s="507"/>
      <c r="M760" s="507"/>
      <c r="N760" s="507"/>
    </row>
    <row r="761" ht="35.25" customHeight="1">
      <c r="A761" s="507"/>
      <c r="B761" s="507"/>
      <c r="C761" s="507"/>
      <c r="D761" s="508"/>
      <c r="E761" s="507"/>
      <c r="F761" s="507"/>
      <c r="G761" s="507"/>
      <c r="H761" s="507"/>
      <c r="I761" s="507"/>
      <c r="J761" s="507"/>
      <c r="K761" s="507"/>
      <c r="L761" s="507"/>
      <c r="M761" s="507"/>
      <c r="N761" s="507"/>
    </row>
    <row r="762" ht="35.25" customHeight="1">
      <c r="A762" s="507"/>
      <c r="B762" s="507"/>
      <c r="C762" s="507"/>
      <c r="D762" s="508"/>
      <c r="E762" s="507"/>
      <c r="F762" s="507"/>
      <c r="G762" s="507"/>
      <c r="H762" s="507"/>
      <c r="I762" s="507"/>
      <c r="J762" s="507"/>
      <c r="K762" s="507"/>
      <c r="L762" s="507"/>
      <c r="M762" s="507"/>
      <c r="N762" s="507"/>
    </row>
    <row r="763" ht="35.25" customHeight="1">
      <c r="A763" s="507"/>
      <c r="B763" s="507"/>
      <c r="C763" s="507"/>
      <c r="D763" s="508"/>
      <c r="E763" s="507"/>
      <c r="F763" s="507"/>
      <c r="G763" s="507"/>
      <c r="H763" s="507"/>
      <c r="I763" s="507"/>
      <c r="J763" s="507"/>
      <c r="K763" s="507"/>
      <c r="L763" s="507"/>
      <c r="M763" s="507"/>
      <c r="N763" s="507"/>
    </row>
    <row r="764" ht="35.25" customHeight="1">
      <c r="A764" s="507"/>
      <c r="B764" s="507"/>
      <c r="C764" s="507"/>
      <c r="D764" s="508"/>
      <c r="E764" s="507"/>
      <c r="F764" s="507"/>
      <c r="G764" s="507"/>
      <c r="H764" s="507"/>
      <c r="I764" s="507"/>
      <c r="J764" s="507"/>
      <c r="K764" s="507"/>
      <c r="L764" s="507"/>
      <c r="M764" s="507"/>
      <c r="N764" s="507"/>
    </row>
    <row r="765" ht="35.25" customHeight="1">
      <c r="A765" s="507"/>
      <c r="B765" s="507"/>
      <c r="C765" s="507"/>
      <c r="D765" s="508"/>
      <c r="E765" s="507"/>
      <c r="F765" s="507"/>
      <c r="G765" s="507"/>
      <c r="H765" s="507"/>
      <c r="I765" s="507"/>
      <c r="J765" s="507"/>
      <c r="K765" s="507"/>
      <c r="L765" s="507"/>
      <c r="M765" s="507"/>
      <c r="N765" s="507"/>
    </row>
    <row r="766" ht="35.25" customHeight="1">
      <c r="A766" s="507"/>
      <c r="B766" s="507"/>
      <c r="C766" s="507"/>
      <c r="D766" s="508"/>
      <c r="E766" s="507"/>
      <c r="F766" s="507"/>
      <c r="G766" s="507"/>
      <c r="H766" s="507"/>
      <c r="I766" s="507"/>
      <c r="J766" s="507"/>
      <c r="K766" s="507"/>
      <c r="L766" s="507"/>
      <c r="M766" s="507"/>
      <c r="N766" s="507"/>
    </row>
    <row r="767" ht="35.25" customHeight="1">
      <c r="A767" s="507"/>
      <c r="B767" s="507"/>
      <c r="C767" s="507"/>
      <c r="D767" s="508"/>
      <c r="E767" s="507"/>
      <c r="F767" s="507"/>
      <c r="G767" s="507"/>
      <c r="H767" s="507"/>
      <c r="I767" s="507"/>
      <c r="J767" s="507"/>
      <c r="K767" s="507"/>
      <c r="L767" s="507"/>
      <c r="M767" s="507"/>
      <c r="N767" s="507"/>
    </row>
    <row r="768" ht="35.25" customHeight="1">
      <c r="A768" s="507"/>
      <c r="B768" s="507"/>
      <c r="C768" s="507"/>
      <c r="D768" s="508"/>
      <c r="E768" s="507"/>
      <c r="F768" s="507"/>
      <c r="G768" s="507"/>
      <c r="H768" s="507"/>
      <c r="I768" s="507"/>
      <c r="J768" s="507"/>
      <c r="K768" s="507"/>
      <c r="L768" s="507"/>
      <c r="M768" s="507"/>
      <c r="N768" s="507"/>
    </row>
    <row r="769" ht="35.25" customHeight="1">
      <c r="A769" s="507"/>
      <c r="B769" s="507"/>
      <c r="C769" s="507"/>
      <c r="D769" s="508"/>
      <c r="E769" s="507"/>
      <c r="F769" s="507"/>
      <c r="G769" s="507"/>
      <c r="H769" s="507"/>
      <c r="I769" s="507"/>
      <c r="J769" s="507"/>
      <c r="K769" s="507"/>
      <c r="L769" s="507"/>
      <c r="M769" s="507"/>
      <c r="N769" s="507"/>
    </row>
    <row r="770" ht="35.25" customHeight="1">
      <c r="A770" s="507"/>
      <c r="B770" s="507"/>
      <c r="C770" s="507"/>
      <c r="D770" s="508"/>
      <c r="E770" s="507"/>
      <c r="F770" s="507"/>
      <c r="G770" s="507"/>
      <c r="H770" s="507"/>
      <c r="I770" s="507"/>
      <c r="J770" s="507"/>
      <c r="K770" s="507"/>
      <c r="L770" s="507"/>
      <c r="M770" s="507"/>
      <c r="N770" s="507"/>
    </row>
    <row r="771" ht="35.25" customHeight="1">
      <c r="A771" s="507"/>
      <c r="B771" s="507"/>
      <c r="C771" s="507"/>
      <c r="D771" s="508"/>
      <c r="E771" s="507"/>
      <c r="F771" s="507"/>
      <c r="G771" s="507"/>
      <c r="H771" s="507"/>
      <c r="I771" s="507"/>
      <c r="J771" s="507"/>
      <c r="K771" s="507"/>
      <c r="L771" s="507"/>
      <c r="M771" s="507"/>
      <c r="N771" s="507"/>
    </row>
    <row r="772" ht="35.25" customHeight="1">
      <c r="A772" s="507"/>
      <c r="B772" s="507"/>
      <c r="C772" s="507"/>
      <c r="D772" s="508"/>
      <c r="E772" s="507"/>
      <c r="F772" s="507"/>
      <c r="G772" s="507"/>
      <c r="H772" s="507"/>
      <c r="I772" s="507"/>
      <c r="J772" s="507"/>
      <c r="K772" s="507"/>
      <c r="L772" s="507"/>
      <c r="M772" s="507"/>
      <c r="N772" s="507"/>
    </row>
    <row r="773" ht="35.25" customHeight="1">
      <c r="A773" s="507"/>
      <c r="B773" s="507"/>
      <c r="C773" s="507"/>
      <c r="D773" s="508"/>
      <c r="E773" s="507"/>
      <c r="F773" s="507"/>
      <c r="G773" s="507"/>
      <c r="H773" s="507"/>
      <c r="I773" s="507"/>
      <c r="J773" s="507"/>
      <c r="K773" s="507"/>
      <c r="L773" s="507"/>
      <c r="M773" s="507"/>
      <c r="N773" s="507"/>
    </row>
    <row r="774" ht="35.25" customHeight="1">
      <c r="A774" s="507"/>
      <c r="B774" s="507"/>
      <c r="C774" s="507"/>
      <c r="D774" s="508"/>
      <c r="E774" s="507"/>
      <c r="F774" s="507"/>
      <c r="G774" s="507"/>
      <c r="H774" s="507"/>
      <c r="I774" s="507"/>
      <c r="J774" s="507"/>
      <c r="K774" s="507"/>
      <c r="L774" s="507"/>
      <c r="M774" s="507"/>
      <c r="N774" s="507"/>
    </row>
    <row r="775" ht="35.25" customHeight="1">
      <c r="A775" s="507"/>
      <c r="B775" s="507"/>
      <c r="C775" s="507"/>
      <c r="D775" s="508"/>
      <c r="E775" s="507"/>
      <c r="F775" s="507"/>
      <c r="G775" s="507"/>
      <c r="H775" s="507"/>
      <c r="I775" s="507"/>
      <c r="J775" s="507"/>
      <c r="K775" s="507"/>
      <c r="L775" s="507"/>
      <c r="M775" s="507"/>
      <c r="N775" s="507"/>
    </row>
    <row r="776" ht="35.25" customHeight="1">
      <c r="A776" s="507"/>
      <c r="B776" s="507"/>
      <c r="C776" s="507"/>
      <c r="D776" s="508"/>
      <c r="E776" s="507"/>
      <c r="F776" s="507"/>
      <c r="G776" s="507"/>
      <c r="H776" s="507"/>
      <c r="I776" s="507"/>
      <c r="J776" s="507"/>
      <c r="K776" s="507"/>
      <c r="L776" s="507"/>
      <c r="M776" s="507"/>
      <c r="N776" s="507"/>
    </row>
    <row r="777" ht="35.25" customHeight="1">
      <c r="A777" s="507"/>
      <c r="B777" s="507"/>
      <c r="C777" s="507"/>
      <c r="D777" s="508"/>
      <c r="E777" s="507"/>
      <c r="F777" s="507"/>
      <c r="G777" s="507"/>
      <c r="H777" s="507"/>
      <c r="I777" s="507"/>
      <c r="J777" s="507"/>
      <c r="K777" s="507"/>
      <c r="L777" s="507"/>
      <c r="M777" s="507"/>
      <c r="N777" s="507"/>
    </row>
    <row r="778" ht="35.25" customHeight="1">
      <c r="A778" s="507"/>
      <c r="B778" s="507"/>
      <c r="C778" s="507"/>
      <c r="D778" s="508"/>
      <c r="E778" s="507"/>
      <c r="F778" s="507"/>
      <c r="G778" s="507"/>
      <c r="H778" s="507"/>
      <c r="I778" s="507"/>
      <c r="J778" s="507"/>
      <c r="K778" s="507"/>
      <c r="L778" s="507"/>
      <c r="M778" s="507"/>
      <c r="N778" s="507"/>
    </row>
    <row r="779" ht="35.25" customHeight="1">
      <c r="A779" s="507"/>
      <c r="B779" s="507"/>
      <c r="C779" s="507"/>
      <c r="D779" s="508"/>
      <c r="E779" s="507"/>
      <c r="F779" s="507"/>
      <c r="G779" s="507"/>
      <c r="H779" s="507"/>
      <c r="I779" s="507"/>
      <c r="J779" s="507"/>
      <c r="K779" s="507"/>
      <c r="L779" s="507"/>
      <c r="M779" s="507"/>
      <c r="N779" s="507"/>
    </row>
    <row r="780" ht="35.25" customHeight="1">
      <c r="A780" s="507"/>
      <c r="B780" s="507"/>
      <c r="C780" s="507"/>
      <c r="D780" s="508"/>
      <c r="E780" s="507"/>
      <c r="F780" s="507"/>
      <c r="G780" s="507"/>
      <c r="H780" s="507"/>
      <c r="I780" s="507"/>
      <c r="J780" s="507"/>
      <c r="K780" s="507"/>
      <c r="L780" s="507"/>
      <c r="M780" s="507"/>
      <c r="N780" s="507"/>
    </row>
    <row r="781" ht="35.25" customHeight="1">
      <c r="A781" s="507"/>
      <c r="B781" s="507"/>
      <c r="C781" s="507"/>
      <c r="D781" s="508"/>
      <c r="E781" s="507"/>
      <c r="F781" s="507"/>
      <c r="G781" s="507"/>
      <c r="H781" s="507"/>
      <c r="I781" s="507"/>
      <c r="J781" s="507"/>
      <c r="K781" s="507"/>
      <c r="L781" s="507"/>
      <c r="M781" s="507"/>
      <c r="N781" s="507"/>
    </row>
    <row r="782" ht="35.25" customHeight="1">
      <c r="A782" s="507"/>
      <c r="B782" s="507"/>
      <c r="C782" s="507"/>
      <c r="D782" s="508"/>
      <c r="E782" s="507"/>
      <c r="F782" s="507"/>
      <c r="G782" s="507"/>
      <c r="H782" s="507"/>
      <c r="I782" s="507"/>
      <c r="J782" s="507"/>
      <c r="K782" s="507"/>
      <c r="L782" s="507"/>
      <c r="M782" s="507"/>
      <c r="N782" s="507"/>
    </row>
    <row r="783" ht="35.25" customHeight="1">
      <c r="A783" s="507"/>
      <c r="B783" s="507"/>
      <c r="C783" s="507"/>
      <c r="D783" s="508"/>
      <c r="E783" s="507"/>
      <c r="F783" s="507"/>
      <c r="G783" s="507"/>
      <c r="H783" s="507"/>
      <c r="I783" s="507"/>
      <c r="J783" s="507"/>
      <c r="K783" s="507"/>
      <c r="L783" s="507"/>
      <c r="M783" s="507"/>
      <c r="N783" s="507"/>
    </row>
    <row r="784" ht="35.25" customHeight="1">
      <c r="A784" s="507"/>
      <c r="B784" s="507"/>
      <c r="C784" s="507"/>
      <c r="D784" s="508"/>
      <c r="E784" s="507"/>
      <c r="F784" s="507"/>
      <c r="G784" s="507"/>
      <c r="H784" s="507"/>
      <c r="I784" s="507"/>
      <c r="J784" s="507"/>
      <c r="K784" s="507"/>
      <c r="L784" s="507"/>
      <c r="M784" s="507"/>
      <c r="N784" s="507"/>
    </row>
    <row r="785" ht="35.25" customHeight="1">
      <c r="A785" s="507"/>
      <c r="B785" s="507"/>
      <c r="C785" s="507"/>
      <c r="D785" s="508"/>
      <c r="E785" s="507"/>
      <c r="F785" s="507"/>
      <c r="G785" s="507"/>
      <c r="H785" s="507"/>
      <c r="I785" s="507"/>
      <c r="J785" s="507"/>
      <c r="K785" s="507"/>
      <c r="L785" s="507"/>
      <c r="M785" s="507"/>
      <c r="N785" s="507"/>
    </row>
    <row r="786" ht="35.25" customHeight="1">
      <c r="A786" s="507"/>
      <c r="B786" s="507"/>
      <c r="C786" s="507"/>
      <c r="D786" s="508"/>
      <c r="E786" s="507"/>
      <c r="F786" s="507"/>
      <c r="G786" s="507"/>
      <c r="H786" s="507"/>
      <c r="I786" s="507"/>
      <c r="J786" s="507"/>
      <c r="K786" s="507"/>
      <c r="L786" s="507"/>
      <c r="M786" s="507"/>
      <c r="N786" s="507"/>
    </row>
    <row r="787" ht="35.25" customHeight="1">
      <c r="A787" s="507"/>
      <c r="B787" s="507"/>
      <c r="C787" s="507"/>
      <c r="D787" s="508"/>
      <c r="E787" s="507"/>
      <c r="F787" s="507"/>
      <c r="G787" s="507"/>
      <c r="H787" s="507"/>
      <c r="I787" s="507"/>
      <c r="J787" s="507"/>
      <c r="K787" s="507"/>
      <c r="L787" s="507"/>
      <c r="M787" s="507"/>
      <c r="N787" s="507"/>
    </row>
    <row r="788" ht="35.25" customHeight="1">
      <c r="A788" s="507"/>
      <c r="B788" s="507"/>
      <c r="C788" s="507"/>
      <c r="D788" s="508"/>
      <c r="E788" s="507"/>
      <c r="F788" s="507"/>
      <c r="G788" s="507"/>
      <c r="H788" s="507"/>
      <c r="I788" s="507"/>
      <c r="J788" s="507"/>
      <c r="K788" s="507"/>
      <c r="L788" s="507"/>
      <c r="M788" s="507"/>
      <c r="N788" s="507"/>
    </row>
    <row r="789" ht="35.25" customHeight="1">
      <c r="A789" s="507"/>
      <c r="B789" s="507"/>
      <c r="C789" s="507"/>
      <c r="D789" s="508"/>
      <c r="E789" s="507"/>
      <c r="F789" s="507"/>
      <c r="G789" s="507"/>
      <c r="H789" s="507"/>
      <c r="I789" s="507"/>
      <c r="J789" s="507"/>
      <c r="K789" s="507"/>
      <c r="L789" s="507"/>
      <c r="M789" s="507"/>
      <c r="N789" s="507"/>
    </row>
    <row r="790" ht="35.25" customHeight="1">
      <c r="A790" s="507"/>
      <c r="B790" s="507"/>
      <c r="C790" s="507"/>
      <c r="D790" s="508"/>
      <c r="E790" s="507"/>
      <c r="F790" s="507"/>
      <c r="G790" s="507"/>
      <c r="H790" s="507"/>
      <c r="I790" s="507"/>
      <c r="J790" s="507"/>
      <c r="K790" s="507"/>
      <c r="L790" s="507"/>
      <c r="M790" s="507"/>
      <c r="N790" s="507"/>
    </row>
    <row r="791" ht="35.25" customHeight="1">
      <c r="A791" s="507"/>
      <c r="B791" s="507"/>
      <c r="C791" s="507"/>
      <c r="D791" s="508"/>
      <c r="E791" s="507"/>
      <c r="F791" s="507"/>
      <c r="G791" s="507"/>
      <c r="H791" s="507"/>
      <c r="I791" s="507"/>
      <c r="J791" s="507"/>
      <c r="K791" s="507"/>
      <c r="L791" s="507"/>
      <c r="M791" s="507"/>
      <c r="N791" s="507"/>
    </row>
    <row r="792" ht="35.25" customHeight="1">
      <c r="A792" s="507"/>
      <c r="B792" s="507"/>
      <c r="C792" s="507"/>
      <c r="D792" s="508"/>
      <c r="E792" s="507"/>
      <c r="F792" s="507"/>
      <c r="G792" s="507"/>
      <c r="H792" s="507"/>
      <c r="I792" s="507"/>
      <c r="J792" s="507"/>
      <c r="K792" s="507"/>
      <c r="L792" s="507"/>
      <c r="M792" s="507"/>
      <c r="N792" s="507"/>
    </row>
    <row r="793" ht="35.25" customHeight="1">
      <c r="A793" s="507"/>
      <c r="B793" s="507"/>
      <c r="C793" s="507"/>
      <c r="D793" s="508"/>
      <c r="E793" s="507"/>
      <c r="F793" s="507"/>
      <c r="G793" s="507"/>
      <c r="H793" s="507"/>
      <c r="I793" s="507"/>
      <c r="J793" s="507"/>
      <c r="K793" s="507"/>
      <c r="L793" s="507"/>
      <c r="M793" s="507"/>
      <c r="N793" s="507"/>
    </row>
    <row r="794" ht="35.25" customHeight="1">
      <c r="A794" s="507"/>
      <c r="B794" s="507"/>
      <c r="C794" s="507"/>
      <c r="D794" s="508"/>
      <c r="E794" s="507"/>
      <c r="F794" s="507"/>
      <c r="G794" s="507"/>
      <c r="H794" s="507"/>
      <c r="I794" s="507"/>
      <c r="J794" s="507"/>
      <c r="K794" s="507"/>
      <c r="L794" s="507"/>
      <c r="M794" s="507"/>
      <c r="N794" s="507"/>
    </row>
    <row r="795" ht="35.25" customHeight="1">
      <c r="A795" s="507"/>
      <c r="B795" s="507"/>
      <c r="C795" s="507"/>
      <c r="D795" s="508"/>
      <c r="E795" s="507"/>
      <c r="F795" s="507"/>
      <c r="G795" s="507"/>
      <c r="H795" s="507"/>
      <c r="I795" s="507"/>
      <c r="J795" s="507"/>
      <c r="K795" s="507"/>
      <c r="L795" s="507"/>
      <c r="M795" s="507"/>
      <c r="N795" s="507"/>
    </row>
    <row r="796" ht="35.25" customHeight="1">
      <c r="A796" s="507"/>
      <c r="B796" s="507"/>
      <c r="C796" s="507"/>
      <c r="D796" s="508"/>
      <c r="E796" s="507"/>
      <c r="F796" s="507"/>
      <c r="G796" s="507"/>
      <c r="H796" s="507"/>
      <c r="I796" s="507"/>
      <c r="J796" s="507"/>
      <c r="K796" s="507"/>
      <c r="L796" s="507"/>
      <c r="M796" s="507"/>
      <c r="N796" s="507"/>
    </row>
    <row r="797" ht="35.25" customHeight="1">
      <c r="A797" s="507"/>
      <c r="B797" s="507"/>
      <c r="C797" s="507"/>
      <c r="D797" s="508"/>
      <c r="E797" s="507"/>
      <c r="F797" s="507"/>
      <c r="G797" s="507"/>
      <c r="H797" s="507"/>
      <c r="I797" s="507"/>
      <c r="J797" s="507"/>
      <c r="K797" s="507"/>
      <c r="L797" s="507"/>
      <c r="M797" s="507"/>
      <c r="N797" s="507"/>
    </row>
    <row r="798" ht="35.25" customHeight="1">
      <c r="A798" s="507"/>
      <c r="B798" s="507"/>
      <c r="C798" s="507"/>
      <c r="D798" s="508"/>
      <c r="E798" s="507"/>
      <c r="F798" s="507"/>
      <c r="G798" s="507"/>
      <c r="H798" s="507"/>
      <c r="I798" s="507"/>
      <c r="J798" s="507"/>
      <c r="K798" s="507"/>
      <c r="L798" s="507"/>
      <c r="M798" s="507"/>
      <c r="N798" s="507"/>
    </row>
    <row r="799" ht="35.25" customHeight="1">
      <c r="A799" s="507"/>
      <c r="B799" s="507"/>
      <c r="C799" s="507"/>
      <c r="D799" s="508"/>
      <c r="E799" s="507"/>
      <c r="F799" s="507"/>
      <c r="G799" s="507"/>
      <c r="H799" s="507"/>
      <c r="I799" s="507"/>
      <c r="J799" s="507"/>
      <c r="K799" s="507"/>
      <c r="L799" s="507"/>
      <c r="M799" s="507"/>
      <c r="N799" s="507"/>
    </row>
    <row r="800" ht="35.25" customHeight="1">
      <c r="A800" s="507"/>
      <c r="B800" s="507"/>
      <c r="C800" s="507"/>
      <c r="D800" s="508"/>
      <c r="E800" s="507"/>
      <c r="F800" s="507"/>
      <c r="G800" s="507"/>
      <c r="H800" s="507"/>
      <c r="I800" s="507"/>
      <c r="J800" s="507"/>
      <c r="K800" s="507"/>
      <c r="L800" s="507"/>
      <c r="M800" s="507"/>
      <c r="N800" s="507"/>
    </row>
    <row r="801" ht="35.25" customHeight="1">
      <c r="A801" s="507"/>
      <c r="B801" s="507"/>
      <c r="C801" s="507"/>
      <c r="D801" s="508"/>
      <c r="E801" s="507"/>
      <c r="F801" s="507"/>
      <c r="G801" s="507"/>
      <c r="H801" s="507"/>
      <c r="I801" s="507"/>
      <c r="J801" s="507"/>
      <c r="K801" s="507"/>
      <c r="L801" s="507"/>
      <c r="M801" s="507"/>
      <c r="N801" s="507"/>
    </row>
    <row r="802" ht="35.25" customHeight="1">
      <c r="A802" s="507"/>
      <c r="B802" s="507"/>
      <c r="C802" s="507"/>
      <c r="D802" s="508"/>
      <c r="E802" s="507"/>
      <c r="F802" s="507"/>
      <c r="G802" s="507"/>
      <c r="H802" s="507"/>
      <c r="I802" s="507"/>
      <c r="J802" s="507"/>
      <c r="K802" s="507"/>
      <c r="L802" s="507"/>
      <c r="M802" s="507"/>
      <c r="N802" s="507"/>
    </row>
    <row r="803" ht="35.25" customHeight="1">
      <c r="A803" s="507"/>
      <c r="B803" s="507"/>
      <c r="C803" s="507"/>
      <c r="D803" s="508"/>
      <c r="E803" s="507"/>
      <c r="F803" s="507"/>
      <c r="G803" s="507"/>
      <c r="H803" s="507"/>
      <c r="I803" s="507"/>
      <c r="J803" s="507"/>
      <c r="K803" s="507"/>
      <c r="L803" s="507"/>
      <c r="M803" s="507"/>
      <c r="N803" s="507"/>
    </row>
    <row r="804" ht="35.25" customHeight="1">
      <c r="A804" s="507"/>
      <c r="B804" s="507"/>
      <c r="C804" s="507"/>
      <c r="D804" s="508"/>
      <c r="E804" s="507"/>
      <c r="F804" s="507"/>
      <c r="G804" s="507"/>
      <c r="H804" s="507"/>
      <c r="I804" s="507"/>
      <c r="J804" s="507"/>
      <c r="K804" s="507"/>
      <c r="L804" s="507"/>
      <c r="M804" s="507"/>
      <c r="N804" s="507"/>
    </row>
    <row r="805" ht="35.25" customHeight="1">
      <c r="A805" s="507"/>
      <c r="B805" s="507"/>
      <c r="C805" s="507"/>
      <c r="D805" s="508"/>
      <c r="E805" s="507"/>
      <c r="F805" s="507"/>
      <c r="G805" s="507"/>
      <c r="H805" s="507"/>
      <c r="I805" s="507"/>
      <c r="J805" s="507"/>
      <c r="K805" s="507"/>
      <c r="L805" s="507"/>
      <c r="M805" s="507"/>
      <c r="N805" s="507"/>
    </row>
    <row r="806" ht="35.25" customHeight="1">
      <c r="A806" s="507"/>
      <c r="B806" s="507"/>
      <c r="C806" s="507"/>
      <c r="D806" s="508"/>
      <c r="E806" s="507"/>
      <c r="F806" s="507"/>
      <c r="G806" s="507"/>
      <c r="H806" s="507"/>
      <c r="I806" s="507"/>
      <c r="J806" s="507"/>
      <c r="K806" s="507"/>
      <c r="L806" s="507"/>
      <c r="M806" s="507"/>
      <c r="N806" s="507"/>
    </row>
    <row r="807" ht="35.25" customHeight="1">
      <c r="A807" s="507"/>
      <c r="B807" s="507"/>
      <c r="C807" s="507"/>
      <c r="D807" s="508"/>
      <c r="E807" s="507"/>
      <c r="F807" s="507"/>
      <c r="G807" s="507"/>
      <c r="H807" s="507"/>
      <c r="I807" s="507"/>
      <c r="J807" s="507"/>
      <c r="K807" s="507"/>
      <c r="L807" s="507"/>
      <c r="M807" s="507"/>
      <c r="N807" s="507"/>
    </row>
    <row r="808" ht="35.25" customHeight="1">
      <c r="A808" s="507"/>
      <c r="B808" s="507"/>
      <c r="C808" s="507"/>
      <c r="D808" s="508"/>
      <c r="E808" s="507"/>
      <c r="F808" s="507"/>
      <c r="G808" s="507"/>
      <c r="H808" s="507"/>
      <c r="I808" s="507"/>
      <c r="J808" s="507"/>
      <c r="K808" s="507"/>
      <c r="L808" s="507"/>
      <c r="M808" s="507"/>
      <c r="N808" s="507"/>
    </row>
    <row r="809" ht="35.25" customHeight="1">
      <c r="A809" s="507"/>
      <c r="B809" s="507"/>
      <c r="C809" s="507"/>
      <c r="D809" s="508"/>
      <c r="E809" s="507"/>
      <c r="F809" s="507"/>
      <c r="G809" s="507"/>
      <c r="H809" s="507"/>
      <c r="I809" s="507"/>
      <c r="J809" s="507"/>
      <c r="K809" s="507"/>
      <c r="L809" s="507"/>
      <c r="M809" s="507"/>
      <c r="N809" s="507"/>
    </row>
    <row r="810" ht="35.25" customHeight="1">
      <c r="A810" s="507"/>
      <c r="B810" s="507"/>
      <c r="C810" s="507"/>
      <c r="D810" s="508"/>
      <c r="E810" s="507"/>
      <c r="F810" s="507"/>
      <c r="G810" s="507"/>
      <c r="H810" s="507"/>
      <c r="I810" s="507"/>
      <c r="J810" s="507"/>
      <c r="K810" s="507"/>
      <c r="L810" s="507"/>
      <c r="M810" s="507"/>
      <c r="N810" s="507"/>
    </row>
    <row r="811" ht="35.25" customHeight="1">
      <c r="A811" s="507"/>
      <c r="B811" s="507"/>
      <c r="C811" s="507"/>
      <c r="D811" s="508"/>
      <c r="E811" s="507"/>
      <c r="F811" s="507"/>
      <c r="G811" s="507"/>
      <c r="H811" s="507"/>
      <c r="I811" s="507"/>
      <c r="J811" s="507"/>
      <c r="K811" s="507"/>
      <c r="L811" s="507"/>
      <c r="M811" s="507"/>
      <c r="N811" s="507"/>
    </row>
    <row r="812" ht="35.25" customHeight="1">
      <c r="A812" s="507"/>
      <c r="B812" s="507"/>
      <c r="C812" s="507"/>
      <c r="D812" s="508"/>
      <c r="E812" s="507"/>
      <c r="F812" s="507"/>
      <c r="G812" s="507"/>
      <c r="H812" s="507"/>
      <c r="I812" s="507"/>
      <c r="J812" s="507"/>
      <c r="K812" s="507"/>
      <c r="L812" s="507"/>
      <c r="M812" s="507"/>
      <c r="N812" s="507"/>
    </row>
    <row r="813" ht="35.25" customHeight="1">
      <c r="A813" s="507"/>
      <c r="B813" s="507"/>
      <c r="C813" s="507"/>
      <c r="D813" s="508"/>
      <c r="E813" s="507"/>
      <c r="F813" s="507"/>
      <c r="G813" s="507"/>
      <c r="H813" s="507"/>
      <c r="I813" s="507"/>
      <c r="J813" s="507"/>
      <c r="K813" s="507"/>
      <c r="L813" s="507"/>
      <c r="M813" s="507"/>
      <c r="N813" s="507"/>
    </row>
    <row r="814" ht="35.25" customHeight="1">
      <c r="A814" s="507"/>
      <c r="B814" s="507"/>
      <c r="C814" s="507"/>
      <c r="D814" s="508"/>
      <c r="E814" s="507"/>
      <c r="F814" s="507"/>
      <c r="G814" s="507"/>
      <c r="H814" s="507"/>
      <c r="I814" s="507"/>
      <c r="J814" s="507"/>
      <c r="K814" s="507"/>
      <c r="L814" s="507"/>
      <c r="M814" s="507"/>
      <c r="N814" s="507"/>
    </row>
    <row r="815" ht="35.25" customHeight="1">
      <c r="A815" s="507"/>
      <c r="B815" s="507"/>
      <c r="C815" s="507"/>
      <c r="D815" s="508"/>
      <c r="E815" s="507"/>
      <c r="F815" s="507"/>
      <c r="G815" s="507"/>
      <c r="H815" s="507"/>
      <c r="I815" s="507"/>
      <c r="J815" s="507"/>
      <c r="K815" s="507"/>
      <c r="L815" s="507"/>
      <c r="M815" s="507"/>
      <c r="N815" s="507"/>
    </row>
    <row r="816" ht="35.25" customHeight="1">
      <c r="A816" s="507"/>
      <c r="B816" s="507"/>
      <c r="C816" s="507"/>
      <c r="D816" s="508"/>
      <c r="E816" s="507"/>
      <c r="F816" s="507"/>
      <c r="G816" s="507"/>
      <c r="H816" s="507"/>
      <c r="I816" s="507"/>
      <c r="J816" s="507"/>
      <c r="K816" s="507"/>
      <c r="L816" s="507"/>
      <c r="M816" s="507"/>
      <c r="N816" s="507"/>
    </row>
    <row r="817" ht="35.25" customHeight="1">
      <c r="A817" s="507"/>
      <c r="B817" s="507"/>
      <c r="C817" s="507"/>
      <c r="D817" s="508"/>
      <c r="E817" s="507"/>
      <c r="F817" s="507"/>
      <c r="G817" s="507"/>
      <c r="H817" s="507"/>
      <c r="I817" s="507"/>
      <c r="J817" s="507"/>
      <c r="K817" s="507"/>
      <c r="L817" s="507"/>
      <c r="M817" s="507"/>
      <c r="N817" s="507"/>
    </row>
    <row r="818" ht="35.25" customHeight="1">
      <c r="A818" s="507"/>
      <c r="B818" s="507"/>
      <c r="C818" s="507"/>
      <c r="D818" s="508"/>
      <c r="E818" s="507"/>
      <c r="F818" s="507"/>
      <c r="G818" s="507"/>
      <c r="H818" s="507"/>
      <c r="I818" s="507"/>
      <c r="J818" s="507"/>
      <c r="K818" s="507"/>
      <c r="L818" s="507"/>
      <c r="M818" s="507"/>
      <c r="N818" s="507"/>
    </row>
    <row r="819" ht="35.25" customHeight="1">
      <c r="A819" s="507"/>
      <c r="B819" s="507"/>
      <c r="C819" s="507"/>
      <c r="D819" s="508"/>
      <c r="E819" s="507"/>
      <c r="F819" s="507"/>
      <c r="G819" s="507"/>
      <c r="H819" s="507"/>
      <c r="I819" s="507"/>
      <c r="J819" s="507"/>
      <c r="K819" s="507"/>
      <c r="L819" s="507"/>
      <c r="M819" s="507"/>
      <c r="N819" s="507"/>
    </row>
    <row r="820" ht="35.25" customHeight="1">
      <c r="A820" s="507"/>
      <c r="B820" s="507"/>
      <c r="C820" s="507"/>
      <c r="D820" s="508"/>
      <c r="E820" s="507"/>
      <c r="F820" s="507"/>
      <c r="G820" s="507"/>
      <c r="H820" s="507"/>
      <c r="I820" s="507"/>
      <c r="J820" s="507"/>
      <c r="K820" s="507"/>
      <c r="L820" s="507"/>
      <c r="M820" s="507"/>
      <c r="N820" s="507"/>
    </row>
    <row r="821" ht="35.25" customHeight="1">
      <c r="A821" s="507"/>
      <c r="B821" s="507"/>
      <c r="C821" s="507"/>
      <c r="D821" s="508"/>
      <c r="E821" s="507"/>
      <c r="F821" s="507"/>
      <c r="G821" s="507"/>
      <c r="H821" s="507"/>
      <c r="I821" s="507"/>
      <c r="J821" s="507"/>
      <c r="K821" s="507"/>
      <c r="L821" s="507"/>
      <c r="M821" s="507"/>
      <c r="N821" s="507"/>
    </row>
    <row r="822" ht="35.25" customHeight="1">
      <c r="A822" s="507"/>
      <c r="B822" s="507"/>
      <c r="C822" s="507"/>
      <c r="D822" s="508"/>
      <c r="E822" s="507"/>
      <c r="F822" s="507"/>
      <c r="G822" s="507"/>
      <c r="H822" s="507"/>
      <c r="I822" s="507"/>
      <c r="J822" s="507"/>
      <c r="K822" s="507"/>
      <c r="L822" s="507"/>
      <c r="M822" s="507"/>
      <c r="N822" s="507"/>
    </row>
    <row r="823" ht="35.25" customHeight="1">
      <c r="A823" s="507"/>
      <c r="B823" s="507"/>
      <c r="C823" s="507"/>
      <c r="D823" s="508"/>
      <c r="E823" s="507"/>
      <c r="F823" s="507"/>
      <c r="G823" s="507"/>
      <c r="H823" s="507"/>
      <c r="I823" s="507"/>
      <c r="J823" s="507"/>
      <c r="K823" s="507"/>
      <c r="L823" s="507"/>
      <c r="M823" s="507"/>
      <c r="N823" s="507"/>
    </row>
    <row r="824" ht="35.25" customHeight="1">
      <c r="A824" s="507"/>
      <c r="B824" s="507"/>
      <c r="C824" s="507"/>
      <c r="D824" s="508"/>
      <c r="E824" s="507"/>
      <c r="F824" s="507"/>
      <c r="G824" s="507"/>
      <c r="H824" s="507"/>
      <c r="I824" s="507"/>
      <c r="J824" s="507"/>
      <c r="K824" s="507"/>
      <c r="L824" s="507"/>
      <c r="M824" s="507"/>
      <c r="N824" s="507"/>
    </row>
    <row r="825" ht="35.25" customHeight="1">
      <c r="A825" s="507"/>
      <c r="B825" s="507"/>
      <c r="C825" s="507"/>
      <c r="D825" s="508"/>
      <c r="E825" s="507"/>
      <c r="F825" s="507"/>
      <c r="G825" s="507"/>
      <c r="H825" s="507"/>
      <c r="I825" s="507"/>
      <c r="J825" s="507"/>
      <c r="K825" s="507"/>
      <c r="L825" s="507"/>
      <c r="M825" s="507"/>
      <c r="N825" s="507"/>
    </row>
    <row r="826" ht="35.25" customHeight="1">
      <c r="A826" s="507"/>
      <c r="B826" s="507"/>
      <c r="C826" s="507"/>
      <c r="D826" s="508"/>
      <c r="E826" s="507"/>
      <c r="F826" s="507"/>
      <c r="G826" s="507"/>
      <c r="H826" s="507"/>
      <c r="I826" s="507"/>
      <c r="J826" s="507"/>
      <c r="K826" s="507"/>
      <c r="L826" s="507"/>
      <c r="M826" s="507"/>
      <c r="N826" s="507"/>
    </row>
    <row r="827" ht="35.25" customHeight="1">
      <c r="A827" s="507"/>
      <c r="B827" s="507"/>
      <c r="C827" s="507"/>
      <c r="D827" s="508"/>
      <c r="E827" s="507"/>
      <c r="F827" s="507"/>
      <c r="G827" s="507"/>
      <c r="H827" s="507"/>
      <c r="I827" s="507"/>
      <c r="J827" s="507"/>
      <c r="K827" s="507"/>
      <c r="L827" s="507"/>
      <c r="M827" s="507"/>
      <c r="N827" s="507"/>
    </row>
    <row r="828" ht="35.25" customHeight="1">
      <c r="A828" s="507"/>
      <c r="B828" s="507"/>
      <c r="C828" s="507"/>
      <c r="D828" s="508"/>
      <c r="E828" s="507"/>
      <c r="F828" s="507"/>
      <c r="G828" s="507"/>
      <c r="H828" s="507"/>
      <c r="I828" s="507"/>
      <c r="J828" s="507"/>
      <c r="K828" s="507"/>
      <c r="L828" s="507"/>
      <c r="M828" s="507"/>
      <c r="N828" s="507"/>
    </row>
    <row r="829" ht="35.25" customHeight="1">
      <c r="A829" s="507"/>
      <c r="B829" s="507"/>
      <c r="C829" s="507"/>
      <c r="D829" s="508"/>
      <c r="E829" s="507"/>
      <c r="F829" s="507"/>
      <c r="G829" s="507"/>
      <c r="H829" s="507"/>
      <c r="I829" s="507"/>
      <c r="J829" s="507"/>
      <c r="K829" s="507"/>
      <c r="L829" s="507"/>
      <c r="M829" s="507"/>
      <c r="N829" s="507"/>
    </row>
    <row r="830" ht="35.25" customHeight="1">
      <c r="A830" s="507"/>
      <c r="B830" s="507"/>
      <c r="C830" s="507"/>
      <c r="D830" s="508"/>
      <c r="E830" s="507"/>
      <c r="F830" s="507"/>
      <c r="G830" s="507"/>
      <c r="H830" s="507"/>
      <c r="I830" s="507"/>
      <c r="J830" s="507"/>
      <c r="K830" s="507"/>
      <c r="L830" s="507"/>
      <c r="M830" s="507"/>
      <c r="N830" s="507"/>
    </row>
    <row r="831" ht="35.25" customHeight="1">
      <c r="A831" s="507"/>
      <c r="B831" s="507"/>
      <c r="C831" s="507"/>
      <c r="D831" s="508"/>
      <c r="E831" s="507"/>
      <c r="F831" s="507"/>
      <c r="G831" s="507"/>
      <c r="H831" s="507"/>
      <c r="I831" s="507"/>
      <c r="J831" s="507"/>
      <c r="K831" s="507"/>
      <c r="L831" s="507"/>
      <c r="M831" s="507"/>
      <c r="N831" s="507"/>
    </row>
    <row r="832" ht="35.25" customHeight="1">
      <c r="A832" s="507"/>
      <c r="B832" s="507"/>
      <c r="C832" s="507"/>
      <c r="D832" s="508"/>
      <c r="E832" s="507"/>
      <c r="F832" s="507"/>
      <c r="G832" s="507"/>
      <c r="H832" s="507"/>
      <c r="I832" s="507"/>
      <c r="J832" s="507"/>
      <c r="K832" s="507"/>
      <c r="L832" s="507"/>
      <c r="M832" s="507"/>
      <c r="N832" s="507"/>
    </row>
    <row r="833" ht="35.25" customHeight="1">
      <c r="A833" s="507"/>
      <c r="B833" s="507"/>
      <c r="C833" s="507"/>
      <c r="D833" s="508"/>
      <c r="E833" s="507"/>
      <c r="F833" s="507"/>
      <c r="G833" s="507"/>
      <c r="H833" s="507"/>
      <c r="I833" s="507"/>
      <c r="J833" s="507"/>
      <c r="K833" s="507"/>
      <c r="L833" s="507"/>
      <c r="M833" s="507"/>
      <c r="N833" s="507"/>
    </row>
    <row r="834" ht="35.25" customHeight="1">
      <c r="A834" s="507"/>
      <c r="B834" s="507"/>
      <c r="C834" s="507"/>
      <c r="D834" s="508"/>
      <c r="E834" s="507"/>
      <c r="F834" s="507"/>
      <c r="G834" s="507"/>
      <c r="H834" s="507"/>
      <c r="I834" s="507"/>
      <c r="J834" s="507"/>
      <c r="K834" s="507"/>
      <c r="L834" s="507"/>
      <c r="M834" s="507"/>
      <c r="N834" s="507"/>
    </row>
    <row r="835" ht="35.25" customHeight="1">
      <c r="A835" s="507"/>
      <c r="B835" s="507"/>
      <c r="C835" s="507"/>
      <c r="D835" s="508"/>
      <c r="E835" s="507"/>
      <c r="F835" s="507"/>
      <c r="G835" s="507"/>
      <c r="H835" s="507"/>
      <c r="I835" s="507"/>
      <c r="J835" s="507"/>
      <c r="K835" s="507"/>
      <c r="L835" s="507"/>
      <c r="M835" s="507"/>
      <c r="N835" s="507"/>
    </row>
    <row r="836" ht="35.25" customHeight="1">
      <c r="A836" s="507"/>
      <c r="B836" s="507"/>
      <c r="C836" s="507"/>
      <c r="D836" s="508"/>
      <c r="E836" s="507"/>
      <c r="F836" s="507"/>
      <c r="G836" s="507"/>
      <c r="H836" s="507"/>
      <c r="I836" s="507"/>
      <c r="J836" s="507"/>
      <c r="K836" s="507"/>
      <c r="L836" s="507"/>
      <c r="M836" s="507"/>
      <c r="N836" s="507"/>
    </row>
    <row r="837" ht="35.25" customHeight="1">
      <c r="A837" s="507"/>
      <c r="B837" s="507"/>
      <c r="C837" s="507"/>
      <c r="D837" s="508"/>
      <c r="E837" s="507"/>
      <c r="F837" s="507"/>
      <c r="G837" s="507"/>
      <c r="H837" s="507"/>
      <c r="I837" s="507"/>
      <c r="J837" s="507"/>
      <c r="K837" s="507"/>
      <c r="L837" s="507"/>
      <c r="M837" s="507"/>
      <c r="N837" s="507"/>
    </row>
    <row r="838" ht="35.25" customHeight="1">
      <c r="A838" s="507"/>
      <c r="B838" s="507"/>
      <c r="C838" s="507"/>
      <c r="D838" s="508"/>
      <c r="E838" s="507"/>
      <c r="F838" s="507"/>
      <c r="G838" s="507"/>
      <c r="H838" s="507"/>
      <c r="I838" s="507"/>
      <c r="J838" s="507"/>
      <c r="K838" s="507"/>
      <c r="L838" s="507"/>
      <c r="M838" s="507"/>
      <c r="N838" s="507"/>
    </row>
    <row r="839" ht="35.25" customHeight="1">
      <c r="A839" s="507"/>
      <c r="B839" s="507"/>
      <c r="C839" s="507"/>
      <c r="D839" s="508"/>
      <c r="E839" s="507"/>
      <c r="F839" s="507"/>
      <c r="G839" s="507"/>
      <c r="H839" s="507"/>
      <c r="I839" s="507"/>
      <c r="J839" s="507"/>
      <c r="K839" s="507"/>
      <c r="L839" s="507"/>
      <c r="M839" s="507"/>
      <c r="N839" s="507"/>
    </row>
    <row r="840" ht="35.25" customHeight="1">
      <c r="A840" s="507"/>
      <c r="B840" s="507"/>
      <c r="C840" s="507"/>
      <c r="D840" s="508"/>
      <c r="E840" s="507"/>
      <c r="F840" s="507"/>
      <c r="G840" s="507"/>
      <c r="H840" s="507"/>
      <c r="I840" s="507"/>
      <c r="J840" s="507"/>
      <c r="K840" s="507"/>
      <c r="L840" s="507"/>
      <c r="M840" s="507"/>
      <c r="N840" s="507"/>
    </row>
    <row r="841" ht="35.25" customHeight="1">
      <c r="A841" s="507"/>
      <c r="B841" s="507"/>
      <c r="C841" s="507"/>
      <c r="D841" s="508"/>
      <c r="E841" s="507"/>
      <c r="F841" s="507"/>
      <c r="G841" s="507"/>
      <c r="H841" s="507"/>
      <c r="I841" s="507"/>
      <c r="J841" s="507"/>
      <c r="K841" s="507"/>
      <c r="L841" s="507"/>
      <c r="M841" s="507"/>
      <c r="N841" s="507"/>
    </row>
    <row r="842" ht="35.25" customHeight="1">
      <c r="A842" s="507"/>
      <c r="B842" s="507"/>
      <c r="C842" s="507"/>
      <c r="D842" s="508"/>
      <c r="E842" s="507"/>
      <c r="F842" s="507"/>
      <c r="G842" s="507"/>
      <c r="H842" s="507"/>
      <c r="I842" s="507"/>
      <c r="J842" s="507"/>
      <c r="K842" s="507"/>
      <c r="L842" s="507"/>
      <c r="M842" s="507"/>
      <c r="N842" s="507"/>
    </row>
    <row r="843" ht="35.25" customHeight="1">
      <c r="A843" s="507"/>
      <c r="B843" s="507"/>
      <c r="C843" s="507"/>
      <c r="D843" s="508"/>
      <c r="E843" s="507"/>
      <c r="F843" s="507"/>
      <c r="G843" s="507"/>
      <c r="H843" s="507"/>
      <c r="I843" s="507"/>
      <c r="J843" s="507"/>
      <c r="K843" s="507"/>
      <c r="L843" s="507"/>
      <c r="M843" s="507"/>
      <c r="N843" s="507"/>
    </row>
    <row r="844" ht="35.25" customHeight="1">
      <c r="A844" s="507"/>
      <c r="B844" s="507"/>
      <c r="C844" s="507"/>
      <c r="D844" s="508"/>
      <c r="E844" s="507"/>
      <c r="F844" s="507"/>
      <c r="G844" s="507"/>
      <c r="H844" s="507"/>
      <c r="I844" s="507"/>
      <c r="J844" s="507"/>
      <c r="K844" s="507"/>
      <c r="L844" s="507"/>
      <c r="M844" s="507"/>
      <c r="N844" s="507"/>
    </row>
    <row r="845" ht="35.25" customHeight="1">
      <c r="A845" s="507"/>
      <c r="B845" s="507"/>
      <c r="C845" s="507"/>
      <c r="D845" s="508"/>
      <c r="E845" s="507"/>
      <c r="F845" s="507"/>
      <c r="G845" s="507"/>
      <c r="H845" s="507"/>
      <c r="I845" s="507"/>
      <c r="J845" s="507"/>
      <c r="K845" s="507"/>
      <c r="L845" s="507"/>
      <c r="M845" s="507"/>
      <c r="N845" s="507"/>
    </row>
    <row r="846" ht="35.25" customHeight="1">
      <c r="A846" s="507"/>
      <c r="B846" s="507"/>
      <c r="C846" s="507"/>
      <c r="D846" s="508"/>
      <c r="E846" s="507"/>
      <c r="F846" s="507"/>
      <c r="G846" s="507"/>
      <c r="H846" s="507"/>
      <c r="I846" s="507"/>
      <c r="J846" s="507"/>
      <c r="K846" s="507"/>
      <c r="L846" s="507"/>
      <c r="M846" s="507"/>
      <c r="N846" s="507"/>
    </row>
    <row r="847" ht="35.25" customHeight="1">
      <c r="A847" s="507"/>
      <c r="B847" s="507"/>
      <c r="C847" s="507"/>
      <c r="D847" s="508"/>
      <c r="E847" s="507"/>
      <c r="F847" s="507"/>
      <c r="G847" s="507"/>
      <c r="H847" s="507"/>
      <c r="I847" s="507"/>
      <c r="J847" s="507"/>
      <c r="K847" s="507"/>
      <c r="L847" s="507"/>
      <c r="M847" s="507"/>
      <c r="N847" s="507"/>
    </row>
    <row r="848" ht="35.25" customHeight="1">
      <c r="A848" s="507"/>
      <c r="B848" s="507"/>
      <c r="C848" s="507"/>
      <c r="D848" s="508"/>
      <c r="E848" s="507"/>
      <c r="F848" s="507"/>
      <c r="G848" s="507"/>
      <c r="H848" s="507"/>
      <c r="I848" s="507"/>
      <c r="J848" s="507"/>
      <c r="K848" s="507"/>
      <c r="L848" s="507"/>
      <c r="M848" s="507"/>
      <c r="N848" s="507"/>
    </row>
    <row r="849" ht="35.25" customHeight="1">
      <c r="A849" s="507"/>
      <c r="B849" s="507"/>
      <c r="C849" s="507"/>
      <c r="D849" s="508"/>
      <c r="E849" s="507"/>
      <c r="F849" s="507"/>
      <c r="G849" s="507"/>
      <c r="H849" s="507"/>
      <c r="I849" s="507"/>
      <c r="J849" s="507"/>
      <c r="K849" s="507"/>
      <c r="L849" s="507"/>
      <c r="M849" s="507"/>
      <c r="N849" s="507"/>
    </row>
    <row r="850" ht="35.25" customHeight="1">
      <c r="A850" s="507"/>
      <c r="B850" s="507"/>
      <c r="C850" s="507"/>
      <c r="D850" s="508"/>
      <c r="E850" s="507"/>
      <c r="F850" s="507"/>
      <c r="G850" s="507"/>
      <c r="H850" s="507"/>
      <c r="I850" s="507"/>
      <c r="J850" s="507"/>
      <c r="K850" s="507"/>
      <c r="L850" s="507"/>
      <c r="M850" s="507"/>
      <c r="N850" s="507"/>
    </row>
    <row r="851" ht="35.25" customHeight="1">
      <c r="A851" s="507"/>
      <c r="B851" s="507"/>
      <c r="C851" s="507"/>
      <c r="D851" s="508"/>
      <c r="E851" s="507"/>
      <c r="F851" s="507"/>
      <c r="G851" s="507"/>
      <c r="H851" s="507"/>
      <c r="I851" s="507"/>
      <c r="J851" s="507"/>
      <c r="K851" s="507"/>
      <c r="L851" s="507"/>
      <c r="M851" s="507"/>
      <c r="N851" s="507"/>
    </row>
    <row r="852" ht="35.25" customHeight="1">
      <c r="A852" s="507"/>
      <c r="B852" s="507"/>
      <c r="C852" s="507"/>
      <c r="D852" s="508"/>
      <c r="E852" s="507"/>
      <c r="F852" s="507"/>
      <c r="G852" s="507"/>
      <c r="H852" s="507"/>
      <c r="I852" s="507"/>
      <c r="J852" s="507"/>
      <c r="K852" s="507"/>
      <c r="L852" s="507"/>
      <c r="M852" s="507"/>
      <c r="N852" s="507"/>
    </row>
    <row r="853" ht="35.25" customHeight="1">
      <c r="A853" s="507"/>
      <c r="B853" s="507"/>
      <c r="C853" s="507"/>
      <c r="D853" s="508"/>
      <c r="E853" s="507"/>
      <c r="F853" s="507"/>
      <c r="G853" s="507"/>
      <c r="H853" s="507"/>
      <c r="I853" s="507"/>
      <c r="J853" s="507"/>
      <c r="K853" s="507"/>
      <c r="L853" s="507"/>
      <c r="M853" s="507"/>
      <c r="N853" s="507"/>
    </row>
    <row r="854" ht="35.25" customHeight="1">
      <c r="A854" s="507"/>
      <c r="B854" s="507"/>
      <c r="C854" s="507"/>
      <c r="D854" s="508"/>
      <c r="E854" s="507"/>
      <c r="F854" s="507"/>
      <c r="G854" s="507"/>
      <c r="H854" s="507"/>
      <c r="I854" s="507"/>
      <c r="J854" s="507"/>
      <c r="K854" s="507"/>
      <c r="L854" s="507"/>
      <c r="M854" s="507"/>
      <c r="N854" s="507"/>
    </row>
    <row r="855" ht="35.25" customHeight="1">
      <c r="A855" s="507"/>
      <c r="B855" s="507"/>
      <c r="C855" s="507"/>
      <c r="D855" s="508"/>
      <c r="E855" s="507"/>
      <c r="F855" s="507"/>
      <c r="G855" s="507"/>
      <c r="H855" s="507"/>
      <c r="I855" s="507"/>
      <c r="J855" s="507"/>
      <c r="K855" s="507"/>
      <c r="L855" s="507"/>
      <c r="M855" s="507"/>
      <c r="N855" s="507"/>
    </row>
    <row r="856" ht="35.25" customHeight="1">
      <c r="A856" s="507"/>
      <c r="B856" s="507"/>
      <c r="C856" s="507"/>
      <c r="D856" s="508"/>
      <c r="E856" s="507"/>
      <c r="F856" s="507"/>
      <c r="G856" s="507"/>
      <c r="H856" s="507"/>
      <c r="I856" s="507"/>
      <c r="J856" s="507"/>
      <c r="K856" s="507"/>
      <c r="L856" s="507"/>
      <c r="M856" s="507"/>
      <c r="N856" s="507"/>
    </row>
    <row r="857" ht="35.25" customHeight="1">
      <c r="A857" s="507"/>
      <c r="B857" s="507"/>
      <c r="C857" s="507"/>
      <c r="D857" s="508"/>
      <c r="E857" s="507"/>
      <c r="F857" s="507"/>
      <c r="G857" s="507"/>
      <c r="H857" s="507"/>
      <c r="I857" s="507"/>
      <c r="J857" s="507"/>
      <c r="K857" s="507"/>
      <c r="L857" s="507"/>
      <c r="M857" s="507"/>
      <c r="N857" s="507"/>
    </row>
    <row r="858" ht="35.25" customHeight="1">
      <c r="A858" s="507"/>
      <c r="B858" s="507"/>
      <c r="C858" s="507"/>
      <c r="D858" s="508"/>
      <c r="E858" s="507"/>
      <c r="F858" s="507"/>
      <c r="G858" s="507"/>
      <c r="H858" s="507"/>
      <c r="I858" s="507"/>
      <c r="J858" s="507"/>
      <c r="K858" s="507"/>
      <c r="L858" s="507"/>
      <c r="M858" s="507"/>
      <c r="N858" s="507"/>
    </row>
    <row r="859" ht="35.25" customHeight="1">
      <c r="A859" s="507"/>
      <c r="B859" s="507"/>
      <c r="C859" s="507"/>
      <c r="D859" s="508"/>
      <c r="E859" s="507"/>
      <c r="F859" s="507"/>
      <c r="G859" s="507"/>
      <c r="H859" s="507"/>
      <c r="I859" s="507"/>
      <c r="J859" s="507"/>
      <c r="K859" s="507"/>
      <c r="L859" s="507"/>
      <c r="M859" s="507"/>
      <c r="N859" s="507"/>
    </row>
    <row r="860" ht="35.25" customHeight="1">
      <c r="A860" s="507"/>
      <c r="B860" s="507"/>
      <c r="C860" s="507"/>
      <c r="D860" s="508"/>
      <c r="E860" s="507"/>
      <c r="F860" s="507"/>
      <c r="G860" s="507"/>
      <c r="H860" s="507"/>
      <c r="I860" s="507"/>
      <c r="J860" s="507"/>
      <c r="K860" s="507"/>
      <c r="L860" s="507"/>
      <c r="M860" s="507"/>
      <c r="N860" s="507"/>
    </row>
    <row r="861" ht="35.25" customHeight="1">
      <c r="A861" s="507"/>
      <c r="B861" s="507"/>
      <c r="C861" s="507"/>
      <c r="D861" s="508"/>
      <c r="E861" s="507"/>
      <c r="F861" s="507"/>
      <c r="G861" s="507"/>
      <c r="H861" s="507"/>
      <c r="I861" s="507"/>
      <c r="J861" s="507"/>
      <c r="K861" s="507"/>
      <c r="L861" s="507"/>
      <c r="M861" s="507"/>
      <c r="N861" s="507"/>
    </row>
    <row r="862" ht="35.25" customHeight="1">
      <c r="A862" s="507"/>
      <c r="B862" s="507"/>
      <c r="C862" s="507"/>
      <c r="D862" s="508"/>
      <c r="E862" s="507"/>
      <c r="F862" s="507"/>
      <c r="G862" s="507"/>
      <c r="H862" s="507"/>
      <c r="I862" s="507"/>
      <c r="J862" s="507"/>
      <c r="K862" s="507"/>
      <c r="L862" s="507"/>
      <c r="M862" s="507"/>
      <c r="N862" s="507"/>
    </row>
    <row r="863" ht="35.25" customHeight="1">
      <c r="A863" s="507"/>
      <c r="B863" s="507"/>
      <c r="C863" s="507"/>
      <c r="D863" s="508"/>
      <c r="E863" s="507"/>
      <c r="F863" s="507"/>
      <c r="G863" s="507"/>
      <c r="H863" s="507"/>
      <c r="I863" s="507"/>
      <c r="J863" s="507"/>
      <c r="K863" s="507"/>
      <c r="L863" s="507"/>
      <c r="M863" s="507"/>
      <c r="N863" s="507"/>
    </row>
    <row r="864" ht="35.25" customHeight="1">
      <c r="A864" s="507"/>
      <c r="B864" s="507"/>
      <c r="C864" s="507"/>
      <c r="D864" s="508"/>
      <c r="E864" s="507"/>
      <c r="F864" s="507"/>
      <c r="G864" s="507"/>
      <c r="H864" s="507"/>
      <c r="I864" s="507"/>
      <c r="J864" s="507"/>
      <c r="K864" s="507"/>
      <c r="L864" s="507"/>
      <c r="M864" s="507"/>
      <c r="N864" s="507"/>
    </row>
    <row r="865" ht="35.25" customHeight="1">
      <c r="A865" s="507"/>
      <c r="B865" s="507"/>
      <c r="C865" s="507"/>
      <c r="D865" s="508"/>
      <c r="E865" s="507"/>
      <c r="F865" s="507"/>
      <c r="G865" s="507"/>
      <c r="H865" s="507"/>
      <c r="I865" s="507"/>
      <c r="J865" s="507"/>
      <c r="K865" s="507"/>
      <c r="L865" s="507"/>
      <c r="M865" s="507"/>
      <c r="N865" s="507"/>
    </row>
    <row r="866" ht="35.25" customHeight="1">
      <c r="A866" s="507"/>
      <c r="B866" s="507"/>
      <c r="C866" s="507"/>
      <c r="D866" s="508"/>
      <c r="E866" s="507"/>
      <c r="F866" s="507"/>
      <c r="G866" s="507"/>
      <c r="H866" s="507"/>
      <c r="I866" s="507"/>
      <c r="J866" s="507"/>
      <c r="K866" s="507"/>
      <c r="L866" s="507"/>
      <c r="M866" s="507"/>
      <c r="N866" s="507"/>
    </row>
    <row r="867" ht="35.25" customHeight="1">
      <c r="A867" s="507"/>
      <c r="B867" s="507"/>
      <c r="C867" s="507"/>
      <c r="D867" s="508"/>
      <c r="E867" s="507"/>
      <c r="F867" s="507"/>
      <c r="G867" s="507"/>
      <c r="H867" s="507"/>
      <c r="I867" s="507"/>
      <c r="J867" s="507"/>
      <c r="K867" s="507"/>
      <c r="L867" s="507"/>
      <c r="M867" s="507"/>
      <c r="N867" s="507"/>
    </row>
    <row r="868" ht="35.25" customHeight="1">
      <c r="A868" s="507"/>
      <c r="B868" s="507"/>
      <c r="C868" s="507"/>
      <c r="D868" s="508"/>
      <c r="E868" s="507"/>
      <c r="F868" s="507"/>
      <c r="G868" s="507"/>
      <c r="H868" s="507"/>
      <c r="I868" s="507"/>
      <c r="J868" s="507"/>
      <c r="K868" s="507"/>
      <c r="L868" s="507"/>
      <c r="M868" s="507"/>
      <c r="N868" s="507"/>
    </row>
    <row r="869" ht="35.25" customHeight="1">
      <c r="A869" s="507"/>
      <c r="B869" s="507"/>
      <c r="C869" s="507"/>
      <c r="D869" s="508"/>
      <c r="E869" s="507"/>
      <c r="F869" s="507"/>
      <c r="G869" s="507"/>
      <c r="H869" s="507"/>
      <c r="I869" s="507"/>
      <c r="J869" s="507"/>
      <c r="K869" s="507"/>
      <c r="L869" s="507"/>
      <c r="M869" s="507"/>
      <c r="N869" s="507"/>
    </row>
    <row r="870" ht="35.25" customHeight="1">
      <c r="A870" s="507"/>
      <c r="B870" s="507"/>
      <c r="C870" s="507"/>
      <c r="D870" s="508"/>
      <c r="E870" s="507"/>
      <c r="F870" s="507"/>
      <c r="G870" s="507"/>
      <c r="H870" s="507"/>
      <c r="I870" s="507"/>
      <c r="J870" s="507"/>
      <c r="K870" s="507"/>
      <c r="L870" s="507"/>
      <c r="M870" s="507"/>
      <c r="N870" s="507"/>
    </row>
    <row r="871" ht="35.25" customHeight="1">
      <c r="A871" s="507"/>
      <c r="B871" s="507"/>
      <c r="C871" s="507"/>
      <c r="D871" s="508"/>
      <c r="E871" s="507"/>
      <c r="F871" s="507"/>
      <c r="G871" s="507"/>
      <c r="H871" s="507"/>
      <c r="I871" s="507"/>
      <c r="J871" s="507"/>
      <c r="K871" s="507"/>
      <c r="L871" s="507"/>
      <c r="M871" s="507"/>
      <c r="N871" s="507"/>
    </row>
    <row r="872" ht="35.25" customHeight="1">
      <c r="A872" s="507"/>
      <c r="B872" s="507"/>
      <c r="C872" s="507"/>
      <c r="D872" s="508"/>
      <c r="E872" s="507"/>
      <c r="F872" s="507"/>
      <c r="G872" s="507"/>
      <c r="H872" s="507"/>
      <c r="I872" s="507"/>
      <c r="J872" s="507"/>
      <c r="K872" s="507"/>
      <c r="L872" s="507"/>
      <c r="M872" s="507"/>
      <c r="N872" s="507"/>
    </row>
    <row r="873" ht="35.25" customHeight="1">
      <c r="A873" s="507"/>
      <c r="B873" s="507"/>
      <c r="C873" s="507"/>
      <c r="D873" s="508"/>
      <c r="E873" s="507"/>
      <c r="F873" s="507"/>
      <c r="G873" s="507"/>
      <c r="H873" s="507"/>
      <c r="I873" s="507"/>
      <c r="J873" s="507"/>
      <c r="K873" s="507"/>
      <c r="L873" s="507"/>
      <c r="M873" s="507"/>
      <c r="N873" s="507"/>
    </row>
    <row r="874" ht="35.25" customHeight="1">
      <c r="A874" s="507"/>
      <c r="B874" s="507"/>
      <c r="C874" s="507"/>
      <c r="D874" s="508"/>
      <c r="E874" s="507"/>
      <c r="F874" s="507"/>
      <c r="G874" s="507"/>
      <c r="H874" s="507"/>
      <c r="I874" s="507"/>
      <c r="J874" s="507"/>
      <c r="K874" s="507"/>
      <c r="L874" s="507"/>
      <c r="M874" s="507"/>
      <c r="N874" s="507"/>
    </row>
    <row r="875" ht="35.25" customHeight="1">
      <c r="A875" s="507"/>
      <c r="B875" s="507"/>
      <c r="C875" s="507"/>
      <c r="D875" s="508"/>
      <c r="E875" s="507"/>
      <c r="F875" s="507"/>
      <c r="G875" s="507"/>
      <c r="H875" s="507"/>
      <c r="I875" s="507"/>
      <c r="J875" s="507"/>
      <c r="K875" s="507"/>
      <c r="L875" s="507"/>
      <c r="M875" s="507"/>
      <c r="N875" s="507"/>
    </row>
    <row r="876" ht="35.25" customHeight="1">
      <c r="A876" s="507"/>
      <c r="B876" s="507"/>
      <c r="C876" s="507"/>
      <c r="D876" s="508"/>
      <c r="E876" s="507"/>
      <c r="F876" s="507"/>
      <c r="G876" s="507"/>
      <c r="H876" s="507"/>
      <c r="I876" s="507"/>
      <c r="J876" s="507"/>
      <c r="K876" s="507"/>
      <c r="L876" s="507"/>
      <c r="M876" s="507"/>
      <c r="N876" s="507"/>
    </row>
    <row r="877" ht="35.25" customHeight="1">
      <c r="A877" s="507"/>
      <c r="B877" s="507"/>
      <c r="C877" s="507"/>
      <c r="D877" s="508"/>
      <c r="E877" s="507"/>
      <c r="F877" s="507"/>
      <c r="G877" s="507"/>
      <c r="H877" s="507"/>
      <c r="I877" s="507"/>
      <c r="J877" s="507"/>
      <c r="K877" s="507"/>
      <c r="L877" s="507"/>
      <c r="M877" s="507"/>
      <c r="N877" s="507"/>
    </row>
    <row r="878" ht="35.25" customHeight="1">
      <c r="A878" s="507"/>
      <c r="B878" s="507"/>
      <c r="C878" s="507"/>
      <c r="D878" s="508"/>
      <c r="E878" s="507"/>
      <c r="F878" s="507"/>
      <c r="G878" s="507"/>
      <c r="H878" s="507"/>
      <c r="I878" s="507"/>
      <c r="J878" s="507"/>
      <c r="K878" s="507"/>
      <c r="L878" s="507"/>
      <c r="M878" s="507"/>
      <c r="N878" s="507"/>
    </row>
    <row r="879" ht="35.25" customHeight="1">
      <c r="A879" s="507"/>
      <c r="B879" s="507"/>
      <c r="C879" s="507"/>
      <c r="D879" s="508"/>
      <c r="E879" s="507"/>
      <c r="F879" s="507"/>
      <c r="G879" s="507"/>
      <c r="H879" s="507"/>
      <c r="I879" s="507"/>
      <c r="J879" s="507"/>
      <c r="K879" s="507"/>
      <c r="L879" s="507"/>
      <c r="M879" s="507"/>
      <c r="N879" s="507"/>
    </row>
    <row r="880" ht="35.25" customHeight="1">
      <c r="A880" s="507"/>
      <c r="B880" s="507"/>
      <c r="C880" s="507"/>
      <c r="D880" s="508"/>
      <c r="E880" s="507"/>
      <c r="F880" s="507"/>
      <c r="G880" s="507"/>
      <c r="H880" s="507"/>
      <c r="I880" s="507"/>
      <c r="J880" s="507"/>
      <c r="K880" s="507"/>
      <c r="L880" s="507"/>
      <c r="M880" s="507"/>
      <c r="N880" s="507"/>
    </row>
    <row r="881" ht="35.25" customHeight="1">
      <c r="A881" s="507"/>
      <c r="B881" s="507"/>
      <c r="C881" s="507"/>
      <c r="D881" s="508"/>
      <c r="E881" s="507"/>
      <c r="F881" s="507"/>
      <c r="G881" s="507"/>
      <c r="H881" s="507"/>
      <c r="I881" s="507"/>
      <c r="J881" s="507"/>
      <c r="K881" s="507"/>
      <c r="L881" s="507"/>
      <c r="M881" s="507"/>
      <c r="N881" s="507"/>
    </row>
    <row r="882" ht="35.25" customHeight="1">
      <c r="A882" s="507"/>
      <c r="B882" s="507"/>
      <c r="C882" s="507"/>
      <c r="D882" s="508"/>
      <c r="E882" s="507"/>
      <c r="F882" s="507"/>
      <c r="G882" s="507"/>
      <c r="H882" s="507"/>
      <c r="I882" s="507"/>
      <c r="J882" s="507"/>
      <c r="K882" s="507"/>
      <c r="L882" s="507"/>
      <c r="M882" s="507"/>
      <c r="N882" s="507"/>
    </row>
    <row r="883" ht="35.25" customHeight="1">
      <c r="A883" s="507"/>
      <c r="B883" s="507"/>
      <c r="C883" s="507"/>
      <c r="D883" s="508"/>
      <c r="E883" s="507"/>
      <c r="F883" s="507"/>
      <c r="G883" s="507"/>
      <c r="H883" s="507"/>
      <c r="I883" s="507"/>
      <c r="J883" s="507"/>
      <c r="K883" s="507"/>
      <c r="L883" s="507"/>
      <c r="M883" s="507"/>
      <c r="N883" s="507"/>
    </row>
    <row r="884" ht="35.25" customHeight="1">
      <c r="A884" s="507"/>
      <c r="B884" s="507"/>
      <c r="C884" s="507"/>
      <c r="D884" s="508"/>
      <c r="E884" s="507"/>
      <c r="F884" s="507"/>
      <c r="G884" s="507"/>
      <c r="H884" s="507"/>
      <c r="I884" s="507"/>
      <c r="J884" s="507"/>
      <c r="K884" s="507"/>
      <c r="L884" s="507"/>
      <c r="M884" s="507"/>
      <c r="N884" s="507"/>
    </row>
    <row r="885" ht="35.25" customHeight="1">
      <c r="A885" s="507"/>
      <c r="B885" s="507"/>
      <c r="C885" s="507"/>
      <c r="D885" s="508"/>
      <c r="E885" s="507"/>
      <c r="F885" s="507"/>
      <c r="G885" s="507"/>
      <c r="H885" s="507"/>
      <c r="I885" s="507"/>
      <c r="J885" s="507"/>
      <c r="K885" s="507"/>
      <c r="L885" s="507"/>
      <c r="M885" s="507"/>
      <c r="N885" s="507"/>
    </row>
    <row r="886" ht="35.25" customHeight="1">
      <c r="A886" s="507"/>
      <c r="B886" s="507"/>
      <c r="C886" s="507"/>
      <c r="D886" s="508"/>
      <c r="E886" s="507"/>
      <c r="F886" s="507"/>
      <c r="G886" s="507"/>
      <c r="H886" s="507"/>
      <c r="I886" s="507"/>
      <c r="J886" s="507"/>
      <c r="K886" s="507"/>
      <c r="L886" s="507"/>
      <c r="M886" s="507"/>
      <c r="N886" s="507"/>
    </row>
    <row r="887" ht="35.25" customHeight="1">
      <c r="A887" s="507"/>
      <c r="B887" s="507"/>
      <c r="C887" s="507"/>
      <c r="D887" s="508"/>
      <c r="E887" s="507"/>
      <c r="F887" s="507"/>
      <c r="G887" s="507"/>
      <c r="H887" s="507"/>
      <c r="I887" s="507"/>
      <c r="J887" s="507"/>
      <c r="K887" s="507"/>
      <c r="L887" s="507"/>
      <c r="M887" s="507"/>
      <c r="N887" s="507"/>
    </row>
    <row r="888" ht="35.25" customHeight="1">
      <c r="A888" s="507"/>
      <c r="B888" s="507"/>
      <c r="C888" s="507"/>
      <c r="D888" s="508"/>
      <c r="E888" s="507"/>
      <c r="F888" s="507"/>
      <c r="G888" s="507"/>
      <c r="H888" s="507"/>
      <c r="I888" s="507"/>
      <c r="J888" s="507"/>
      <c r="K888" s="507"/>
      <c r="L888" s="507"/>
      <c r="M888" s="507"/>
      <c r="N888" s="507"/>
    </row>
    <row r="889" ht="35.25" customHeight="1">
      <c r="A889" s="507"/>
      <c r="B889" s="507"/>
      <c r="C889" s="507"/>
      <c r="D889" s="508"/>
      <c r="E889" s="507"/>
      <c r="F889" s="507"/>
      <c r="G889" s="507"/>
      <c r="H889" s="507"/>
      <c r="I889" s="507"/>
      <c r="J889" s="507"/>
      <c r="K889" s="507"/>
      <c r="L889" s="507"/>
      <c r="M889" s="507"/>
      <c r="N889" s="507"/>
    </row>
    <row r="890" ht="35.25" customHeight="1">
      <c r="A890" s="507"/>
      <c r="B890" s="507"/>
      <c r="C890" s="507"/>
      <c r="D890" s="508"/>
      <c r="E890" s="507"/>
      <c r="F890" s="507"/>
      <c r="G890" s="507"/>
      <c r="H890" s="507"/>
      <c r="I890" s="507"/>
      <c r="J890" s="507"/>
      <c r="K890" s="507"/>
      <c r="L890" s="507"/>
      <c r="M890" s="507"/>
      <c r="N890" s="507"/>
    </row>
    <row r="891" ht="35.25" customHeight="1">
      <c r="A891" s="507"/>
      <c r="B891" s="507"/>
      <c r="C891" s="507"/>
      <c r="D891" s="508"/>
      <c r="E891" s="507"/>
      <c r="F891" s="507"/>
      <c r="G891" s="507"/>
      <c r="H891" s="507"/>
      <c r="I891" s="507"/>
      <c r="J891" s="507"/>
      <c r="K891" s="507"/>
      <c r="L891" s="507"/>
      <c r="M891" s="507"/>
      <c r="N891" s="507"/>
    </row>
    <row r="892" ht="35.25" customHeight="1">
      <c r="A892" s="507"/>
      <c r="B892" s="507"/>
      <c r="C892" s="507"/>
      <c r="D892" s="508"/>
      <c r="E892" s="507"/>
      <c r="F892" s="507"/>
      <c r="G892" s="507"/>
      <c r="H892" s="507"/>
      <c r="I892" s="507"/>
      <c r="J892" s="507"/>
      <c r="K892" s="507"/>
      <c r="L892" s="507"/>
      <c r="M892" s="507"/>
      <c r="N892" s="507"/>
    </row>
    <row r="893" ht="35.25" customHeight="1">
      <c r="A893" s="507"/>
      <c r="B893" s="507"/>
      <c r="C893" s="507"/>
      <c r="D893" s="508"/>
      <c r="E893" s="507"/>
      <c r="F893" s="507"/>
      <c r="G893" s="507"/>
      <c r="H893" s="507"/>
      <c r="I893" s="507"/>
      <c r="J893" s="507"/>
      <c r="K893" s="507"/>
      <c r="L893" s="507"/>
      <c r="M893" s="507"/>
      <c r="N893" s="507"/>
    </row>
    <row r="894" ht="35.25" customHeight="1">
      <c r="A894" s="507"/>
      <c r="B894" s="507"/>
      <c r="C894" s="507"/>
      <c r="D894" s="508"/>
      <c r="E894" s="507"/>
      <c r="F894" s="507"/>
      <c r="G894" s="507"/>
      <c r="H894" s="507"/>
      <c r="I894" s="507"/>
      <c r="J894" s="507"/>
      <c r="K894" s="507"/>
      <c r="L894" s="507"/>
      <c r="M894" s="507"/>
      <c r="N894" s="507"/>
    </row>
    <row r="895" ht="35.25" customHeight="1">
      <c r="A895" s="507"/>
      <c r="B895" s="507"/>
      <c r="C895" s="507"/>
      <c r="D895" s="508"/>
      <c r="E895" s="507"/>
      <c r="F895" s="507"/>
      <c r="G895" s="507"/>
      <c r="H895" s="507"/>
      <c r="I895" s="507"/>
      <c r="J895" s="507"/>
      <c r="K895" s="507"/>
      <c r="L895" s="507"/>
      <c r="M895" s="507"/>
      <c r="N895" s="507"/>
    </row>
    <row r="896" ht="35.25" customHeight="1">
      <c r="A896" s="507"/>
      <c r="B896" s="507"/>
      <c r="C896" s="507"/>
      <c r="D896" s="508"/>
      <c r="E896" s="507"/>
      <c r="F896" s="507"/>
      <c r="G896" s="507"/>
      <c r="H896" s="507"/>
      <c r="I896" s="507"/>
      <c r="J896" s="507"/>
      <c r="K896" s="507"/>
      <c r="L896" s="507"/>
      <c r="M896" s="507"/>
      <c r="N896" s="507"/>
    </row>
    <row r="897" ht="35.25" customHeight="1">
      <c r="A897" s="507"/>
      <c r="B897" s="507"/>
      <c r="C897" s="507"/>
      <c r="D897" s="508"/>
      <c r="E897" s="507"/>
      <c r="F897" s="507"/>
      <c r="G897" s="507"/>
      <c r="H897" s="507"/>
      <c r="I897" s="507"/>
      <c r="J897" s="507"/>
      <c r="K897" s="507"/>
      <c r="L897" s="507"/>
      <c r="M897" s="507"/>
      <c r="N897" s="507"/>
    </row>
    <row r="898" ht="35.25" customHeight="1">
      <c r="A898" s="507"/>
      <c r="B898" s="507"/>
      <c r="C898" s="507"/>
      <c r="D898" s="508"/>
      <c r="E898" s="507"/>
      <c r="F898" s="507"/>
      <c r="G898" s="507"/>
      <c r="H898" s="507"/>
      <c r="I898" s="507"/>
      <c r="J898" s="507"/>
      <c r="K898" s="507"/>
      <c r="L898" s="507"/>
      <c r="M898" s="507"/>
      <c r="N898" s="507"/>
    </row>
    <row r="899" ht="35.25" customHeight="1">
      <c r="A899" s="507"/>
      <c r="B899" s="507"/>
      <c r="C899" s="507"/>
      <c r="D899" s="508"/>
      <c r="E899" s="507"/>
      <c r="F899" s="507"/>
      <c r="G899" s="507"/>
      <c r="H899" s="507"/>
      <c r="I899" s="507"/>
      <c r="J899" s="507"/>
      <c r="K899" s="507"/>
      <c r="L899" s="507"/>
      <c r="M899" s="507"/>
      <c r="N899" s="507"/>
    </row>
    <row r="900" ht="35.25" customHeight="1">
      <c r="A900" s="507"/>
      <c r="B900" s="507"/>
      <c r="C900" s="507"/>
      <c r="D900" s="508"/>
      <c r="E900" s="507"/>
      <c r="F900" s="507"/>
      <c r="G900" s="507"/>
      <c r="H900" s="507"/>
      <c r="I900" s="507"/>
      <c r="J900" s="507"/>
      <c r="K900" s="507"/>
      <c r="L900" s="507"/>
      <c r="M900" s="507"/>
      <c r="N900" s="507"/>
    </row>
    <row r="901" ht="35.25" customHeight="1">
      <c r="A901" s="507"/>
      <c r="B901" s="507"/>
      <c r="C901" s="507"/>
      <c r="D901" s="508"/>
      <c r="E901" s="507"/>
      <c r="F901" s="507"/>
      <c r="G901" s="507"/>
      <c r="H901" s="507"/>
      <c r="I901" s="507"/>
      <c r="J901" s="507"/>
      <c r="K901" s="507"/>
      <c r="L901" s="507"/>
      <c r="M901" s="507"/>
      <c r="N901" s="507"/>
    </row>
    <row r="902" ht="35.25" customHeight="1">
      <c r="A902" s="507"/>
      <c r="B902" s="507"/>
      <c r="C902" s="507"/>
      <c r="D902" s="508"/>
      <c r="E902" s="507"/>
      <c r="F902" s="507"/>
      <c r="G902" s="507"/>
      <c r="H902" s="507"/>
      <c r="I902" s="507"/>
      <c r="J902" s="507"/>
      <c r="K902" s="507"/>
      <c r="L902" s="507"/>
      <c r="M902" s="507"/>
      <c r="N902" s="507"/>
    </row>
    <row r="903" ht="35.25" customHeight="1">
      <c r="A903" s="507"/>
      <c r="B903" s="507"/>
      <c r="C903" s="507"/>
      <c r="D903" s="508"/>
      <c r="E903" s="507"/>
      <c r="F903" s="507"/>
      <c r="G903" s="507"/>
      <c r="H903" s="507"/>
      <c r="I903" s="507"/>
      <c r="J903" s="507"/>
      <c r="K903" s="507"/>
      <c r="L903" s="507"/>
      <c r="M903" s="507"/>
      <c r="N903" s="507"/>
    </row>
    <row r="904" ht="35.25" customHeight="1">
      <c r="A904" s="507"/>
      <c r="B904" s="507"/>
      <c r="C904" s="507"/>
      <c r="D904" s="508"/>
      <c r="E904" s="507"/>
      <c r="F904" s="507"/>
      <c r="G904" s="507"/>
      <c r="H904" s="507"/>
      <c r="I904" s="507"/>
      <c r="J904" s="507"/>
      <c r="K904" s="507"/>
      <c r="L904" s="507"/>
      <c r="M904" s="507"/>
      <c r="N904" s="507"/>
    </row>
    <row r="905" ht="35.25" customHeight="1">
      <c r="A905" s="507"/>
      <c r="B905" s="507"/>
      <c r="C905" s="507"/>
      <c r="D905" s="508"/>
      <c r="E905" s="507"/>
      <c r="F905" s="507"/>
      <c r="G905" s="507"/>
      <c r="H905" s="507"/>
      <c r="I905" s="507"/>
      <c r="J905" s="507"/>
      <c r="K905" s="507"/>
      <c r="L905" s="507"/>
      <c r="M905" s="507"/>
      <c r="N905" s="507"/>
    </row>
    <row r="906" ht="35.25" customHeight="1">
      <c r="A906" s="507"/>
      <c r="B906" s="507"/>
      <c r="C906" s="507"/>
      <c r="D906" s="508"/>
      <c r="E906" s="507"/>
      <c r="F906" s="507"/>
      <c r="G906" s="507"/>
      <c r="H906" s="507"/>
      <c r="I906" s="507"/>
      <c r="J906" s="507"/>
      <c r="K906" s="507"/>
      <c r="L906" s="507"/>
      <c r="M906" s="507"/>
      <c r="N906" s="507"/>
    </row>
    <row r="907" ht="35.25" customHeight="1">
      <c r="A907" s="507"/>
      <c r="B907" s="507"/>
      <c r="C907" s="507"/>
      <c r="D907" s="508"/>
      <c r="E907" s="507"/>
      <c r="F907" s="507"/>
      <c r="G907" s="507"/>
      <c r="H907" s="507"/>
      <c r="I907" s="507"/>
      <c r="J907" s="507"/>
      <c r="K907" s="507"/>
      <c r="L907" s="507"/>
      <c r="M907" s="507"/>
      <c r="N907" s="507"/>
    </row>
    <row r="908" ht="35.25" customHeight="1">
      <c r="A908" s="507"/>
      <c r="B908" s="507"/>
      <c r="C908" s="507"/>
      <c r="D908" s="508"/>
      <c r="E908" s="507"/>
      <c r="F908" s="507"/>
      <c r="G908" s="507"/>
      <c r="H908" s="507"/>
      <c r="I908" s="507"/>
      <c r="J908" s="507"/>
      <c r="K908" s="507"/>
      <c r="L908" s="507"/>
      <c r="M908" s="507"/>
      <c r="N908" s="507"/>
    </row>
    <row r="909" ht="35.25" customHeight="1">
      <c r="A909" s="507"/>
      <c r="B909" s="507"/>
      <c r="C909" s="507"/>
      <c r="D909" s="508"/>
      <c r="E909" s="507"/>
      <c r="F909" s="507"/>
      <c r="G909" s="507"/>
      <c r="H909" s="507"/>
      <c r="I909" s="507"/>
      <c r="J909" s="507"/>
      <c r="K909" s="507"/>
      <c r="L909" s="507"/>
      <c r="M909" s="507"/>
      <c r="N909" s="507"/>
    </row>
    <row r="910" ht="35.25" customHeight="1">
      <c r="A910" s="507"/>
      <c r="B910" s="507"/>
      <c r="C910" s="507"/>
      <c r="D910" s="508"/>
      <c r="E910" s="507"/>
      <c r="F910" s="507"/>
      <c r="G910" s="507"/>
      <c r="H910" s="507"/>
      <c r="I910" s="507"/>
      <c r="J910" s="507"/>
      <c r="K910" s="507"/>
      <c r="L910" s="507"/>
      <c r="M910" s="507"/>
      <c r="N910" s="507"/>
    </row>
    <row r="911" ht="35.25" customHeight="1">
      <c r="A911" s="507"/>
      <c r="B911" s="507"/>
      <c r="C911" s="507"/>
      <c r="D911" s="508"/>
      <c r="E911" s="507"/>
      <c r="F911" s="507"/>
      <c r="G911" s="507"/>
      <c r="H911" s="507"/>
      <c r="I911" s="507"/>
      <c r="J911" s="507"/>
      <c r="K911" s="507"/>
      <c r="L911" s="507"/>
      <c r="M911" s="507"/>
      <c r="N911" s="507"/>
    </row>
    <row r="912" ht="35.25" customHeight="1">
      <c r="A912" s="507"/>
      <c r="B912" s="507"/>
      <c r="C912" s="507"/>
      <c r="D912" s="508"/>
      <c r="E912" s="507"/>
      <c r="F912" s="507"/>
      <c r="G912" s="507"/>
      <c r="H912" s="507"/>
      <c r="I912" s="507"/>
      <c r="J912" s="507"/>
      <c r="K912" s="507"/>
      <c r="L912" s="507"/>
      <c r="M912" s="507"/>
      <c r="N912" s="507"/>
    </row>
    <row r="913" ht="35.25" customHeight="1">
      <c r="A913" s="507"/>
      <c r="B913" s="507"/>
      <c r="C913" s="507"/>
      <c r="D913" s="508"/>
      <c r="E913" s="507"/>
      <c r="F913" s="507"/>
      <c r="G913" s="507"/>
      <c r="H913" s="507"/>
      <c r="I913" s="507"/>
      <c r="J913" s="507"/>
      <c r="K913" s="507"/>
      <c r="L913" s="507"/>
      <c r="M913" s="507"/>
      <c r="N913" s="507"/>
    </row>
    <row r="914" ht="35.25" customHeight="1">
      <c r="A914" s="507"/>
      <c r="B914" s="507"/>
      <c r="C914" s="507"/>
      <c r="D914" s="508"/>
      <c r="E914" s="507"/>
      <c r="F914" s="507"/>
      <c r="G914" s="507"/>
      <c r="H914" s="507"/>
      <c r="I914" s="507"/>
      <c r="J914" s="507"/>
      <c r="K914" s="507"/>
      <c r="L914" s="507"/>
      <c r="M914" s="507"/>
      <c r="N914" s="507"/>
    </row>
    <row r="915" ht="35.25" customHeight="1">
      <c r="A915" s="507"/>
      <c r="B915" s="507"/>
      <c r="C915" s="507"/>
      <c r="D915" s="508"/>
      <c r="E915" s="507"/>
      <c r="F915" s="507"/>
      <c r="G915" s="507"/>
      <c r="H915" s="507"/>
      <c r="I915" s="507"/>
      <c r="J915" s="507"/>
      <c r="K915" s="507"/>
      <c r="L915" s="507"/>
      <c r="M915" s="507"/>
      <c r="N915" s="507"/>
    </row>
    <row r="916" ht="35.25" customHeight="1">
      <c r="A916" s="507"/>
      <c r="B916" s="507"/>
      <c r="C916" s="507"/>
      <c r="D916" s="508"/>
      <c r="E916" s="507"/>
      <c r="F916" s="507"/>
      <c r="G916" s="507"/>
      <c r="H916" s="507"/>
      <c r="I916" s="507"/>
      <c r="J916" s="507"/>
      <c r="K916" s="507"/>
      <c r="L916" s="507"/>
      <c r="M916" s="507"/>
      <c r="N916" s="507"/>
    </row>
    <row r="917" ht="35.25" customHeight="1">
      <c r="A917" s="507"/>
      <c r="B917" s="507"/>
      <c r="C917" s="507"/>
      <c r="D917" s="508"/>
      <c r="E917" s="507"/>
      <c r="F917" s="507"/>
      <c r="G917" s="507"/>
      <c r="H917" s="507"/>
      <c r="I917" s="507"/>
      <c r="J917" s="507"/>
      <c r="K917" s="507"/>
      <c r="L917" s="507"/>
      <c r="M917" s="507"/>
      <c r="N917" s="507"/>
    </row>
    <row r="918" ht="35.25" customHeight="1">
      <c r="A918" s="507"/>
      <c r="B918" s="507"/>
      <c r="C918" s="507"/>
      <c r="D918" s="508"/>
      <c r="E918" s="507"/>
      <c r="F918" s="507"/>
      <c r="G918" s="507"/>
      <c r="H918" s="507"/>
      <c r="I918" s="507"/>
      <c r="J918" s="507"/>
      <c r="K918" s="507"/>
      <c r="L918" s="507"/>
      <c r="M918" s="507"/>
      <c r="N918" s="507"/>
    </row>
    <row r="919" ht="35.25" customHeight="1">
      <c r="A919" s="507"/>
      <c r="B919" s="507"/>
      <c r="C919" s="507"/>
      <c r="D919" s="508"/>
      <c r="E919" s="507"/>
      <c r="F919" s="507"/>
      <c r="G919" s="507"/>
      <c r="H919" s="507"/>
      <c r="I919" s="507"/>
      <c r="J919" s="507"/>
      <c r="K919" s="507"/>
      <c r="L919" s="507"/>
      <c r="M919" s="507"/>
      <c r="N919" s="507"/>
    </row>
    <row r="920" ht="35.25" customHeight="1">
      <c r="A920" s="507"/>
      <c r="B920" s="507"/>
      <c r="C920" s="507"/>
      <c r="D920" s="508"/>
      <c r="E920" s="507"/>
      <c r="F920" s="507"/>
      <c r="G920" s="507"/>
      <c r="H920" s="507"/>
      <c r="I920" s="507"/>
      <c r="J920" s="507"/>
      <c r="K920" s="507"/>
      <c r="L920" s="507"/>
      <c r="M920" s="507"/>
      <c r="N920" s="507"/>
    </row>
    <row r="921" ht="35.25" customHeight="1">
      <c r="A921" s="507"/>
      <c r="B921" s="507"/>
      <c r="C921" s="507"/>
      <c r="D921" s="508"/>
      <c r="E921" s="507"/>
      <c r="F921" s="507"/>
      <c r="G921" s="507"/>
      <c r="H921" s="507"/>
      <c r="I921" s="507"/>
      <c r="J921" s="507"/>
      <c r="K921" s="507"/>
      <c r="L921" s="507"/>
      <c r="M921" s="507"/>
      <c r="N921" s="507"/>
    </row>
    <row r="922" ht="35.25" customHeight="1">
      <c r="A922" s="507"/>
      <c r="B922" s="507"/>
      <c r="C922" s="507"/>
      <c r="D922" s="508"/>
      <c r="E922" s="507"/>
      <c r="F922" s="507"/>
      <c r="G922" s="507"/>
      <c r="H922" s="507"/>
      <c r="I922" s="507"/>
      <c r="J922" s="507"/>
      <c r="K922" s="507"/>
      <c r="L922" s="507"/>
      <c r="M922" s="507"/>
      <c r="N922" s="507"/>
    </row>
    <row r="923" ht="35.25" customHeight="1">
      <c r="A923" s="507"/>
      <c r="B923" s="507"/>
      <c r="C923" s="507"/>
      <c r="D923" s="508"/>
      <c r="E923" s="507"/>
      <c r="F923" s="507"/>
      <c r="G923" s="507"/>
      <c r="H923" s="507"/>
      <c r="I923" s="507"/>
      <c r="J923" s="507"/>
      <c r="K923" s="507"/>
      <c r="L923" s="507"/>
      <c r="M923" s="507"/>
      <c r="N923" s="507"/>
    </row>
    <row r="924" ht="35.25" customHeight="1">
      <c r="A924" s="507"/>
      <c r="B924" s="507"/>
      <c r="C924" s="507"/>
      <c r="D924" s="508"/>
      <c r="E924" s="507"/>
      <c r="F924" s="507"/>
      <c r="G924" s="507"/>
      <c r="H924" s="507"/>
      <c r="I924" s="507"/>
      <c r="J924" s="507"/>
      <c r="K924" s="507"/>
      <c r="L924" s="507"/>
      <c r="M924" s="507"/>
      <c r="N924" s="507"/>
    </row>
    <row r="925" ht="35.25" customHeight="1">
      <c r="A925" s="507"/>
      <c r="B925" s="507"/>
      <c r="C925" s="507"/>
      <c r="D925" s="508"/>
      <c r="E925" s="507"/>
      <c r="F925" s="507"/>
      <c r="G925" s="507"/>
      <c r="H925" s="507"/>
      <c r="I925" s="507"/>
      <c r="J925" s="507"/>
      <c r="K925" s="507"/>
      <c r="L925" s="507"/>
      <c r="M925" s="507"/>
      <c r="N925" s="507"/>
    </row>
    <row r="926" ht="35.25" customHeight="1">
      <c r="A926" s="507"/>
      <c r="B926" s="507"/>
      <c r="C926" s="507"/>
      <c r="D926" s="507"/>
      <c r="E926" s="507"/>
      <c r="F926" s="507"/>
      <c r="G926" s="507"/>
      <c r="H926" s="507"/>
      <c r="I926" s="507"/>
      <c r="J926" s="507"/>
      <c r="K926" s="507"/>
      <c r="L926" s="507"/>
      <c r="M926" s="507"/>
      <c r="N926" s="507"/>
    </row>
    <row r="927" ht="35.25" customHeight="1">
      <c r="A927" s="507"/>
      <c r="B927" s="507"/>
      <c r="C927" s="507"/>
      <c r="D927" s="507"/>
      <c r="E927" s="507"/>
      <c r="F927" s="507"/>
      <c r="G927" s="507"/>
      <c r="H927" s="507"/>
      <c r="I927" s="507"/>
      <c r="J927" s="507"/>
      <c r="K927" s="507"/>
      <c r="L927" s="507"/>
      <c r="M927" s="507"/>
      <c r="N927" s="507"/>
    </row>
    <row r="928" ht="35.25" customHeight="1">
      <c r="A928" s="507"/>
      <c r="B928" s="507"/>
      <c r="C928" s="507"/>
      <c r="D928" s="507"/>
      <c r="E928" s="507"/>
      <c r="F928" s="507"/>
      <c r="G928" s="507"/>
      <c r="H928" s="507"/>
      <c r="I928" s="507"/>
      <c r="J928" s="507"/>
      <c r="K928" s="507"/>
      <c r="L928" s="507"/>
      <c r="M928" s="507"/>
      <c r="N928" s="507"/>
    </row>
    <row r="929" ht="35.25" customHeight="1">
      <c r="A929" s="507"/>
      <c r="B929" s="507"/>
      <c r="C929" s="507"/>
      <c r="D929" s="507"/>
      <c r="E929" s="507"/>
      <c r="F929" s="507"/>
      <c r="G929" s="507"/>
      <c r="H929" s="507"/>
      <c r="I929" s="507"/>
      <c r="J929" s="507"/>
      <c r="K929" s="507"/>
      <c r="L929" s="507"/>
      <c r="M929" s="507"/>
      <c r="N929" s="507"/>
    </row>
  </sheetData>
  <mergeCells count="199">
    <mergeCell ref="D13:D16"/>
    <mergeCell ref="D17:D22"/>
    <mergeCell ref="A2:D2"/>
    <mergeCell ref="A4:A8"/>
    <mergeCell ref="D4:D8"/>
    <mergeCell ref="A9:A12"/>
    <mergeCell ref="A13:A16"/>
    <mergeCell ref="A17:A22"/>
    <mergeCell ref="A23:A29"/>
    <mergeCell ref="A30:A34"/>
    <mergeCell ref="D30:D34"/>
    <mergeCell ref="A35:A41"/>
    <mergeCell ref="D35:D41"/>
    <mergeCell ref="A42:A46"/>
    <mergeCell ref="D42:D46"/>
    <mergeCell ref="D47:D53"/>
    <mergeCell ref="D9:D12"/>
    <mergeCell ref="D23:D29"/>
    <mergeCell ref="D54:D63"/>
    <mergeCell ref="D64:D68"/>
    <mergeCell ref="D69:D72"/>
    <mergeCell ref="D73:D77"/>
    <mergeCell ref="D78:D84"/>
    <mergeCell ref="A47:A53"/>
    <mergeCell ref="A54:A63"/>
    <mergeCell ref="A64:A68"/>
    <mergeCell ref="A69:A72"/>
    <mergeCell ref="A73:A77"/>
    <mergeCell ref="A78:A84"/>
    <mergeCell ref="A85:A90"/>
    <mergeCell ref="D85:D90"/>
    <mergeCell ref="D91:D95"/>
    <mergeCell ref="D96:D100"/>
    <mergeCell ref="D101:D106"/>
    <mergeCell ref="D107:D116"/>
    <mergeCell ref="D117:D120"/>
    <mergeCell ref="D121:D125"/>
    <mergeCell ref="D126:D131"/>
    <mergeCell ref="D132:D138"/>
    <mergeCell ref="D139:D146"/>
    <mergeCell ref="D147:D151"/>
    <mergeCell ref="D152:D156"/>
    <mergeCell ref="D157:D162"/>
    <mergeCell ref="D163:D167"/>
    <mergeCell ref="A404:A408"/>
    <mergeCell ref="A409:A413"/>
    <mergeCell ref="A414:A418"/>
    <mergeCell ref="A419:A422"/>
    <mergeCell ref="A423:A425"/>
    <mergeCell ref="A426:A430"/>
    <mergeCell ref="A431:A435"/>
    <mergeCell ref="A436:A439"/>
    <mergeCell ref="A440:A443"/>
    <mergeCell ref="A444:A448"/>
    <mergeCell ref="A449:A452"/>
    <mergeCell ref="A453:A456"/>
    <mergeCell ref="A457:A461"/>
    <mergeCell ref="A462:A466"/>
    <mergeCell ref="A467:A472"/>
    <mergeCell ref="A473:A476"/>
    <mergeCell ref="A477:A480"/>
    <mergeCell ref="A481:A486"/>
    <mergeCell ref="A487:A490"/>
    <mergeCell ref="A491:A494"/>
    <mergeCell ref="A495:A501"/>
    <mergeCell ref="A537:A542"/>
    <mergeCell ref="A543:A547"/>
    <mergeCell ref="A548:A552"/>
    <mergeCell ref="A553:A556"/>
    <mergeCell ref="A557:A560"/>
    <mergeCell ref="A561:A564"/>
    <mergeCell ref="A565:A568"/>
    <mergeCell ref="A502:A508"/>
    <mergeCell ref="A509:A512"/>
    <mergeCell ref="A513:A517"/>
    <mergeCell ref="A518:A521"/>
    <mergeCell ref="A522:A525"/>
    <mergeCell ref="A526:A531"/>
    <mergeCell ref="A532:A536"/>
    <mergeCell ref="A91:A95"/>
    <mergeCell ref="A96:A100"/>
    <mergeCell ref="A101:A106"/>
    <mergeCell ref="A107:A116"/>
    <mergeCell ref="A117:A120"/>
    <mergeCell ref="A121:A125"/>
    <mergeCell ref="A126:A131"/>
    <mergeCell ref="A132:A138"/>
    <mergeCell ref="A139:A146"/>
    <mergeCell ref="A147:A151"/>
    <mergeCell ref="A152:A156"/>
    <mergeCell ref="A157:A162"/>
    <mergeCell ref="A163:A167"/>
    <mergeCell ref="A168:A173"/>
    <mergeCell ref="A174:A178"/>
    <mergeCell ref="A179:A184"/>
    <mergeCell ref="A185:A189"/>
    <mergeCell ref="A190:A196"/>
    <mergeCell ref="A197:A200"/>
    <mergeCell ref="A201:A206"/>
    <mergeCell ref="A207:A211"/>
    <mergeCell ref="A212:A216"/>
    <mergeCell ref="A217:A221"/>
    <mergeCell ref="A222:A227"/>
    <mergeCell ref="A228:A233"/>
    <mergeCell ref="A234:A239"/>
    <mergeCell ref="A240:A244"/>
    <mergeCell ref="A245:A252"/>
    <mergeCell ref="A253:A258"/>
    <mergeCell ref="A259:A264"/>
    <mergeCell ref="A265:A268"/>
    <mergeCell ref="A269:A277"/>
    <mergeCell ref="A278:A284"/>
    <mergeCell ref="A285:A288"/>
    <mergeCell ref="A289:A294"/>
    <mergeCell ref="A295:A302"/>
    <mergeCell ref="A303:A308"/>
    <mergeCell ref="A309:A314"/>
    <mergeCell ref="A315:A325"/>
    <mergeCell ref="A326:A336"/>
    <mergeCell ref="A337:A347"/>
    <mergeCell ref="A348:A357"/>
    <mergeCell ref="A358:A363"/>
    <mergeCell ref="A364:A369"/>
    <mergeCell ref="A370:A375"/>
    <mergeCell ref="A376:A382"/>
    <mergeCell ref="A383:A390"/>
    <mergeCell ref="A391:A397"/>
    <mergeCell ref="A398:A403"/>
    <mergeCell ref="D462:D466"/>
    <mergeCell ref="D467:D472"/>
    <mergeCell ref="D473:D476"/>
    <mergeCell ref="D477:D480"/>
    <mergeCell ref="D481:D486"/>
    <mergeCell ref="D487:D490"/>
    <mergeCell ref="D491:D494"/>
    <mergeCell ref="D532:D536"/>
    <mergeCell ref="D537:D542"/>
    <mergeCell ref="D543:D547"/>
    <mergeCell ref="D548:D552"/>
    <mergeCell ref="D553:D556"/>
    <mergeCell ref="D557:D560"/>
    <mergeCell ref="D561:D564"/>
    <mergeCell ref="D565:D568"/>
    <mergeCell ref="D495:D501"/>
    <mergeCell ref="D502:D508"/>
    <mergeCell ref="D509:D512"/>
    <mergeCell ref="D513:D517"/>
    <mergeCell ref="D518:D521"/>
    <mergeCell ref="D522:D525"/>
    <mergeCell ref="D526:D531"/>
    <mergeCell ref="D168:D173"/>
    <mergeCell ref="D174:D178"/>
    <mergeCell ref="D179:D184"/>
    <mergeCell ref="D185:D189"/>
    <mergeCell ref="D190:D196"/>
    <mergeCell ref="D197:D200"/>
    <mergeCell ref="D201:D206"/>
    <mergeCell ref="D207:D211"/>
    <mergeCell ref="D212:D216"/>
    <mergeCell ref="D217:D221"/>
    <mergeCell ref="D222:D227"/>
    <mergeCell ref="D228:D233"/>
    <mergeCell ref="D234:D239"/>
    <mergeCell ref="D240:D244"/>
    <mergeCell ref="D245:D252"/>
    <mergeCell ref="D253:D258"/>
    <mergeCell ref="D259:D264"/>
    <mergeCell ref="D265:D268"/>
    <mergeCell ref="D269:D277"/>
    <mergeCell ref="D278:D284"/>
    <mergeCell ref="D285:D288"/>
    <mergeCell ref="D289:D294"/>
    <mergeCell ref="D295:D302"/>
    <mergeCell ref="D303:D308"/>
    <mergeCell ref="D309:D314"/>
    <mergeCell ref="D315:D325"/>
    <mergeCell ref="D326:D336"/>
    <mergeCell ref="D337:D347"/>
    <mergeCell ref="D348:D357"/>
    <mergeCell ref="D358:D363"/>
    <mergeCell ref="D364:D369"/>
    <mergeCell ref="D370:D375"/>
    <mergeCell ref="D376:D382"/>
    <mergeCell ref="D383:D390"/>
    <mergeCell ref="D391:D397"/>
    <mergeCell ref="D398:D403"/>
    <mergeCell ref="D404:D408"/>
    <mergeCell ref="D409:D413"/>
    <mergeCell ref="D414:D418"/>
    <mergeCell ref="D419:D422"/>
    <mergeCell ref="D423:D425"/>
    <mergeCell ref="D426:D430"/>
    <mergeCell ref="D431:D435"/>
    <mergeCell ref="D436:D439"/>
    <mergeCell ref="D440:D443"/>
    <mergeCell ref="D444:D448"/>
    <mergeCell ref="D449:D452"/>
    <mergeCell ref="D453:D456"/>
    <mergeCell ref="D457:D461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37.0"/>
    <col customWidth="1" min="3" max="3" width="24.86"/>
    <col customWidth="1" min="4" max="4" width="26.0"/>
    <col customWidth="1" min="5" max="5" width="38.71"/>
    <col customWidth="1" min="6" max="7" width="8.71"/>
    <col customWidth="1" min="8" max="8" width="56.0"/>
    <col customWidth="1" min="9" max="9" width="23.86"/>
    <col customWidth="1" min="10" max="14" width="8.71"/>
  </cols>
  <sheetData>
    <row r="1" ht="35.25" customHeight="1">
      <c r="A1" s="506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</row>
    <row r="2" ht="35.25" customHeight="1">
      <c r="A2" s="509" t="s">
        <v>520</v>
      </c>
      <c r="B2" s="4"/>
      <c r="C2" s="4"/>
      <c r="D2" s="5"/>
      <c r="E2" s="507"/>
      <c r="F2" s="507"/>
      <c r="G2" s="507"/>
      <c r="H2" s="507"/>
      <c r="I2" s="507"/>
      <c r="J2" s="507"/>
      <c r="K2" s="507"/>
      <c r="L2" s="507"/>
      <c r="M2" s="507"/>
      <c r="N2" s="507"/>
    </row>
    <row r="3" ht="35.25" customHeight="1">
      <c r="A3" s="891" t="s">
        <v>1</v>
      </c>
      <c r="B3" s="891"/>
      <c r="C3" s="891" t="s">
        <v>2</v>
      </c>
      <c r="D3" s="891" t="s">
        <v>4</v>
      </c>
      <c r="E3" s="507"/>
      <c r="F3" s="507"/>
      <c r="G3" s="507"/>
      <c r="H3" s="507"/>
      <c r="I3" s="507"/>
      <c r="J3" s="507"/>
      <c r="K3" s="507"/>
      <c r="L3" s="507"/>
      <c r="M3" s="507"/>
      <c r="N3" s="507"/>
    </row>
    <row r="4" ht="35.25" customHeight="1">
      <c r="A4" s="679" t="s">
        <v>1134</v>
      </c>
      <c r="B4" s="547" t="s">
        <v>72</v>
      </c>
      <c r="C4" s="593">
        <v>9.32285E7</v>
      </c>
      <c r="D4" s="680">
        <f>SUM(C4:C7)</f>
        <v>199660000</v>
      </c>
      <c r="E4" s="507"/>
      <c r="F4" s="507"/>
      <c r="G4" s="507"/>
      <c r="H4" s="507"/>
      <c r="I4" s="507"/>
      <c r="J4" s="507"/>
      <c r="K4" s="507"/>
      <c r="L4" s="507"/>
      <c r="M4" s="507"/>
      <c r="N4" s="507"/>
    </row>
    <row r="5" ht="35.25" customHeight="1">
      <c r="A5" s="18"/>
      <c r="B5" s="547" t="s">
        <v>1135</v>
      </c>
      <c r="C5" s="593">
        <v>5.64545E7</v>
      </c>
      <c r="D5" s="18"/>
      <c r="E5" s="507">
        <f>63*3000+70000</f>
        <v>259000</v>
      </c>
      <c r="F5" s="507"/>
      <c r="G5" s="507"/>
      <c r="H5" s="507"/>
      <c r="I5" s="507"/>
      <c r="J5" s="507"/>
      <c r="K5" s="507"/>
      <c r="L5" s="507"/>
      <c r="M5" s="507"/>
      <c r="N5" s="507"/>
    </row>
    <row r="6" ht="35.25" customHeight="1">
      <c r="A6" s="18"/>
      <c r="B6" s="547" t="s">
        <v>1136</v>
      </c>
      <c r="C6" s="593">
        <v>4.9977E7</v>
      </c>
      <c r="D6" s="18"/>
      <c r="E6" s="507"/>
      <c r="F6" s="507"/>
      <c r="G6" s="507"/>
      <c r="H6" s="507"/>
      <c r="I6" s="507"/>
      <c r="J6" s="507"/>
      <c r="K6" s="507"/>
      <c r="L6" s="507"/>
      <c r="M6" s="507"/>
      <c r="N6" s="507"/>
    </row>
    <row r="7" ht="35.25" customHeight="1">
      <c r="A7" s="22"/>
      <c r="B7" s="547"/>
      <c r="C7" s="593"/>
      <c r="D7" s="22"/>
      <c r="E7" s="507"/>
      <c r="F7" s="507"/>
      <c r="G7" s="507"/>
      <c r="H7" s="507"/>
      <c r="I7" s="507"/>
      <c r="J7" s="507"/>
      <c r="K7" s="507"/>
      <c r="L7" s="507"/>
      <c r="M7" s="507"/>
      <c r="N7" s="507"/>
    </row>
    <row r="8" ht="35.25" customHeight="1">
      <c r="A8" s="679" t="s">
        <v>1050</v>
      </c>
      <c r="B8" s="547" t="s">
        <v>1135</v>
      </c>
      <c r="C8" s="593" t="s">
        <v>7</v>
      </c>
      <c r="D8" s="680">
        <f>SUM(C8:C11)</f>
        <v>151498000</v>
      </c>
      <c r="E8" s="507"/>
      <c r="F8" s="507"/>
      <c r="G8" s="507"/>
      <c r="H8" s="507"/>
      <c r="I8" s="507"/>
      <c r="J8" s="507"/>
      <c r="K8" s="507"/>
      <c r="L8" s="507"/>
      <c r="M8" s="507"/>
      <c r="N8" s="507"/>
    </row>
    <row r="9" ht="35.25" customHeight="1">
      <c r="A9" s="18"/>
      <c r="B9" s="547" t="s">
        <v>1136</v>
      </c>
      <c r="C9" s="593">
        <v>1.51498E8</v>
      </c>
      <c r="D9" s="18"/>
      <c r="E9" s="507"/>
      <c r="F9" s="507"/>
      <c r="G9" s="507"/>
      <c r="H9" s="507"/>
      <c r="I9" s="507"/>
      <c r="J9" s="507"/>
      <c r="K9" s="507"/>
      <c r="L9" s="507"/>
      <c r="M9" s="507"/>
      <c r="N9" s="507"/>
    </row>
    <row r="10" ht="35.25" customHeight="1">
      <c r="A10" s="18"/>
      <c r="B10" s="547"/>
      <c r="C10" s="593"/>
      <c r="D10" s="18"/>
      <c r="E10" s="556"/>
      <c r="F10" s="507"/>
      <c r="G10" s="507"/>
      <c r="H10" s="507"/>
      <c r="I10" s="507"/>
      <c r="J10" s="507"/>
      <c r="K10" s="507"/>
      <c r="L10" s="507"/>
      <c r="M10" s="507"/>
      <c r="N10" s="507"/>
    </row>
    <row r="11" ht="35.25" customHeight="1">
      <c r="A11" s="22"/>
      <c r="B11" s="547"/>
      <c r="C11" s="593"/>
      <c r="D11" s="22"/>
      <c r="E11" s="507"/>
      <c r="F11" s="507"/>
      <c r="G11" s="507"/>
      <c r="H11" s="507"/>
      <c r="I11" s="507"/>
      <c r="J11" s="507"/>
      <c r="K11" s="507"/>
      <c r="L11" s="507"/>
      <c r="M11" s="507"/>
      <c r="N11" s="507"/>
    </row>
    <row r="12" ht="35.25" customHeight="1">
      <c r="A12" s="679" t="s">
        <v>1057</v>
      </c>
      <c r="B12" s="547" t="s">
        <v>1135</v>
      </c>
      <c r="C12" s="598" t="s">
        <v>7</v>
      </c>
      <c r="D12" s="680">
        <f>SUM(C12:C15)</f>
        <v>45587800</v>
      </c>
      <c r="E12" s="507"/>
      <c r="F12" s="507"/>
      <c r="G12" s="507"/>
      <c r="H12" s="507"/>
      <c r="I12" s="507"/>
      <c r="J12" s="507"/>
      <c r="K12" s="507"/>
      <c r="L12" s="507"/>
      <c r="M12" s="507"/>
      <c r="N12" s="507"/>
    </row>
    <row r="13" ht="35.25" customHeight="1">
      <c r="A13" s="18"/>
      <c r="B13" s="547" t="s">
        <v>1136</v>
      </c>
      <c r="C13" s="598">
        <v>4.55878E7</v>
      </c>
      <c r="D13" s="18"/>
      <c r="E13" s="507"/>
      <c r="F13" s="507"/>
      <c r="G13" s="507"/>
      <c r="H13" s="507"/>
      <c r="I13" s="507"/>
      <c r="J13" s="507"/>
      <c r="K13" s="507"/>
      <c r="L13" s="507"/>
      <c r="M13" s="507"/>
      <c r="N13" s="507"/>
    </row>
    <row r="14" ht="35.25" customHeight="1">
      <c r="A14" s="18"/>
      <c r="B14" s="547"/>
      <c r="C14" s="598"/>
      <c r="D14" s="18"/>
      <c r="E14" s="556"/>
      <c r="F14" s="507"/>
      <c r="G14" s="507"/>
      <c r="H14" s="507"/>
      <c r="I14" s="507"/>
      <c r="J14" s="507"/>
      <c r="K14" s="507"/>
      <c r="L14" s="507"/>
      <c r="M14" s="507"/>
      <c r="N14" s="507"/>
    </row>
    <row r="15" ht="35.25" customHeight="1">
      <c r="A15" s="22"/>
      <c r="B15" s="547"/>
      <c r="C15" s="598"/>
      <c r="D15" s="22"/>
      <c r="E15" s="507"/>
      <c r="F15" s="507"/>
      <c r="G15" s="507"/>
      <c r="H15" s="507"/>
      <c r="I15" s="507"/>
      <c r="J15" s="507"/>
      <c r="K15" s="507"/>
      <c r="L15" s="507"/>
      <c r="M15" s="507"/>
      <c r="N15" s="507"/>
    </row>
    <row r="16" ht="35.25" customHeight="1">
      <c r="A16" s="679" t="s">
        <v>1058</v>
      </c>
      <c r="B16" s="547" t="s">
        <v>1015</v>
      </c>
      <c r="C16" s="598" t="s">
        <v>7</v>
      </c>
      <c r="D16" s="680">
        <f>SUM(C16:C19)</f>
        <v>29530000</v>
      </c>
      <c r="E16" s="507"/>
      <c r="F16" s="507"/>
      <c r="G16" s="507"/>
      <c r="H16" s="507"/>
      <c r="I16" s="507"/>
      <c r="J16" s="507"/>
      <c r="K16" s="507"/>
      <c r="L16" s="507"/>
      <c r="M16" s="507"/>
      <c r="N16" s="507"/>
    </row>
    <row r="17" ht="30.0" customHeight="1">
      <c r="A17" s="18"/>
      <c r="B17" s="547" t="s">
        <v>1135</v>
      </c>
      <c r="C17" s="593" t="s">
        <v>7</v>
      </c>
      <c r="D17" s="18"/>
      <c r="E17" s="507"/>
      <c r="F17" s="507"/>
      <c r="G17" s="507"/>
      <c r="H17" s="507"/>
      <c r="I17" s="507"/>
      <c r="J17" s="507"/>
      <c r="K17" s="507"/>
      <c r="L17" s="507"/>
      <c r="M17" s="507"/>
      <c r="N17" s="507"/>
    </row>
    <row r="18" ht="35.25" customHeight="1">
      <c r="A18" s="18"/>
      <c r="B18" s="547" t="s">
        <v>1136</v>
      </c>
      <c r="C18" s="598">
        <v>2.953E7</v>
      </c>
      <c r="D18" s="18"/>
      <c r="E18" s="507"/>
      <c r="F18" s="507"/>
      <c r="G18" s="507"/>
      <c r="H18" s="507"/>
      <c r="I18" s="507"/>
      <c r="J18" s="507"/>
      <c r="K18" s="507"/>
      <c r="L18" s="507"/>
      <c r="M18" s="507"/>
      <c r="N18" s="507"/>
    </row>
    <row r="19" ht="35.25" customHeight="1">
      <c r="A19" s="22"/>
      <c r="B19" s="547"/>
      <c r="C19" s="598"/>
      <c r="D19" s="22"/>
      <c r="E19" s="507"/>
      <c r="F19" s="507"/>
      <c r="G19" s="507"/>
      <c r="H19" s="507"/>
      <c r="I19" s="507"/>
      <c r="J19" s="507"/>
      <c r="K19" s="507"/>
      <c r="L19" s="507"/>
      <c r="M19" s="507"/>
      <c r="N19" s="507"/>
    </row>
    <row r="20" ht="35.25" customHeight="1">
      <c r="A20" s="679" t="s">
        <v>1049</v>
      </c>
      <c r="B20" s="547" t="s">
        <v>1018</v>
      </c>
      <c r="C20" s="593">
        <v>1.538674E8</v>
      </c>
      <c r="D20" s="680">
        <f>SUM(C20:C23)</f>
        <v>229363900</v>
      </c>
      <c r="E20" s="507"/>
      <c r="F20" s="507"/>
      <c r="G20" s="507"/>
      <c r="H20" s="507"/>
      <c r="I20" s="507"/>
      <c r="J20" s="507"/>
      <c r="K20" s="507"/>
      <c r="L20" s="507"/>
      <c r="M20" s="507"/>
      <c r="N20" s="507"/>
    </row>
    <row r="21" ht="35.25" customHeight="1">
      <c r="A21" s="18"/>
      <c r="B21" s="547" t="s">
        <v>1135</v>
      </c>
      <c r="C21" s="593">
        <v>4.29465E7</v>
      </c>
      <c r="D21" s="18"/>
      <c r="E21" s="507"/>
      <c r="F21" s="507"/>
      <c r="G21" s="507"/>
      <c r="H21" s="507"/>
      <c r="I21" s="507"/>
      <c r="J21" s="507"/>
      <c r="K21" s="507"/>
      <c r="L21" s="507"/>
      <c r="M21" s="507"/>
      <c r="N21" s="507"/>
    </row>
    <row r="22" ht="35.25" customHeight="1">
      <c r="A22" s="18"/>
      <c r="B22" s="547" t="s">
        <v>1136</v>
      </c>
      <c r="C22" s="593">
        <v>3.255E7</v>
      </c>
      <c r="D22" s="18"/>
      <c r="E22" s="507"/>
      <c r="F22" s="507"/>
      <c r="G22" s="507"/>
      <c r="H22" s="507"/>
      <c r="I22" s="507"/>
      <c r="J22" s="507"/>
      <c r="K22" s="507"/>
      <c r="L22" s="507"/>
      <c r="M22" s="507"/>
      <c r="N22" s="507"/>
    </row>
    <row r="23" ht="35.25" customHeight="1">
      <c r="A23" s="22"/>
      <c r="B23" s="547"/>
      <c r="C23" s="593"/>
      <c r="D23" s="22"/>
      <c r="E23" s="507"/>
      <c r="F23" s="507"/>
      <c r="G23" s="507"/>
      <c r="H23" s="507"/>
      <c r="I23" s="507"/>
      <c r="J23" s="507"/>
      <c r="K23" s="507"/>
      <c r="L23" s="507"/>
      <c r="M23" s="507"/>
      <c r="N23" s="507"/>
    </row>
    <row r="24" ht="35.25" customHeight="1">
      <c r="A24" s="679" t="s">
        <v>1042</v>
      </c>
      <c r="B24" s="547" t="s">
        <v>1135</v>
      </c>
      <c r="C24" s="598">
        <v>5.29995E7</v>
      </c>
      <c r="D24" s="680">
        <f>SUM(C24:C27)</f>
        <v>79564500</v>
      </c>
      <c r="E24" s="507"/>
      <c r="F24" s="507"/>
      <c r="G24" s="507"/>
      <c r="H24" s="507"/>
      <c r="I24" s="507"/>
      <c r="J24" s="507"/>
      <c r="K24" s="507"/>
      <c r="L24" s="507"/>
      <c r="M24" s="507"/>
      <c r="N24" s="507"/>
    </row>
    <row r="25" ht="35.25" customHeight="1">
      <c r="A25" s="18"/>
      <c r="B25" s="547" t="s">
        <v>1136</v>
      </c>
      <c r="C25" s="598">
        <v>2.6565E7</v>
      </c>
      <c r="D25" s="18"/>
      <c r="E25" s="556"/>
      <c r="F25" s="507"/>
      <c r="G25" s="507"/>
      <c r="H25" s="507"/>
      <c r="I25" s="507"/>
      <c r="J25" s="507"/>
      <c r="K25" s="507"/>
      <c r="L25" s="507"/>
      <c r="M25" s="507"/>
      <c r="N25" s="507"/>
    </row>
    <row r="26" ht="35.25" customHeight="1">
      <c r="A26" s="18"/>
      <c r="B26" s="547"/>
      <c r="C26" s="598"/>
      <c r="D26" s="18"/>
      <c r="E26" s="556"/>
      <c r="F26" s="507"/>
      <c r="G26" s="507"/>
      <c r="H26" s="507"/>
      <c r="I26" s="507"/>
      <c r="J26" s="507"/>
      <c r="K26" s="507"/>
      <c r="L26" s="507"/>
      <c r="M26" s="507"/>
      <c r="N26" s="507"/>
    </row>
    <row r="27" ht="35.25" customHeight="1">
      <c r="A27" s="22"/>
      <c r="B27" s="547"/>
      <c r="C27" s="598"/>
      <c r="D27" s="22"/>
      <c r="E27" s="507"/>
      <c r="F27" s="507"/>
      <c r="G27" s="507"/>
      <c r="H27" s="507"/>
      <c r="I27" s="507"/>
      <c r="J27" s="507"/>
      <c r="K27" s="507"/>
      <c r="L27" s="507"/>
      <c r="M27" s="507"/>
      <c r="N27" s="507"/>
    </row>
    <row r="28" ht="35.25" customHeight="1">
      <c r="A28" s="679" t="s">
        <v>1054</v>
      </c>
      <c r="B28" s="547" t="s">
        <v>1136</v>
      </c>
      <c r="C28" s="598">
        <v>3.66955E7</v>
      </c>
      <c r="D28" s="680">
        <f>SUM(C28:C31)</f>
        <v>36695500</v>
      </c>
      <c r="E28" s="507"/>
      <c r="F28" s="507"/>
      <c r="G28" s="507"/>
      <c r="H28" s="507"/>
      <c r="I28" s="507"/>
      <c r="J28" s="507"/>
      <c r="K28" s="507"/>
      <c r="L28" s="507"/>
      <c r="M28" s="507"/>
      <c r="N28" s="507"/>
    </row>
    <row r="29" ht="35.25" customHeight="1">
      <c r="A29" s="18"/>
      <c r="B29" s="547"/>
      <c r="C29" s="598"/>
      <c r="D29" s="18"/>
      <c r="E29" s="556"/>
      <c r="F29" s="507"/>
      <c r="G29" s="507"/>
      <c r="H29" s="507"/>
      <c r="I29" s="507"/>
      <c r="J29" s="507"/>
      <c r="K29" s="507"/>
      <c r="L29" s="507"/>
      <c r="M29" s="507"/>
      <c r="N29" s="507"/>
    </row>
    <row r="30" ht="35.25" customHeight="1">
      <c r="A30" s="18"/>
      <c r="B30" s="547"/>
      <c r="C30" s="598"/>
      <c r="D30" s="18"/>
      <c r="E30" s="507"/>
      <c r="F30" s="507"/>
      <c r="G30" s="507"/>
      <c r="H30" s="507"/>
      <c r="I30" s="507"/>
      <c r="J30" s="507"/>
      <c r="K30" s="507"/>
      <c r="L30" s="507"/>
      <c r="M30" s="507"/>
      <c r="N30" s="507"/>
    </row>
    <row r="31" ht="35.25" customHeight="1">
      <c r="A31" s="22"/>
      <c r="B31" s="547"/>
      <c r="C31" s="598"/>
      <c r="D31" s="22"/>
      <c r="E31" s="507"/>
      <c r="F31" s="507"/>
      <c r="G31" s="507"/>
      <c r="H31" s="507"/>
      <c r="I31" s="507"/>
      <c r="J31" s="507"/>
      <c r="K31" s="507"/>
      <c r="L31" s="507"/>
      <c r="M31" s="507"/>
      <c r="N31" s="507"/>
    </row>
    <row r="32" ht="35.25" customHeight="1">
      <c r="A32" s="679" t="s">
        <v>1052</v>
      </c>
      <c r="B32" s="547" t="s">
        <v>1015</v>
      </c>
      <c r="C32" s="598" t="s">
        <v>7</v>
      </c>
      <c r="D32" s="680">
        <f>SUM(C32:C35)</f>
        <v>42275500</v>
      </c>
      <c r="E32" s="507"/>
      <c r="F32" s="507"/>
      <c r="G32" s="507"/>
      <c r="H32" s="507"/>
      <c r="I32" s="507"/>
      <c r="J32" s="507"/>
      <c r="K32" s="507"/>
      <c r="L32" s="507"/>
      <c r="M32" s="507"/>
      <c r="N32" s="507"/>
    </row>
    <row r="33" ht="35.25" customHeight="1">
      <c r="A33" s="18"/>
      <c r="B33" s="547" t="s">
        <v>1135</v>
      </c>
      <c r="C33" s="598" t="s">
        <v>7</v>
      </c>
      <c r="D33" s="18"/>
      <c r="E33" s="507"/>
      <c r="F33" s="507"/>
      <c r="G33" s="507"/>
      <c r="H33" s="507"/>
      <c r="I33" s="507"/>
      <c r="J33" s="507"/>
      <c r="K33" s="507"/>
      <c r="L33" s="507"/>
      <c r="M33" s="507"/>
      <c r="N33" s="507"/>
    </row>
    <row r="34" ht="35.25" customHeight="1">
      <c r="A34" s="18"/>
      <c r="B34" s="547" t="s">
        <v>1136</v>
      </c>
      <c r="C34" s="598">
        <v>4.22755E7</v>
      </c>
      <c r="D34" s="18"/>
      <c r="E34" s="507"/>
      <c r="F34" s="507"/>
      <c r="G34" s="507"/>
      <c r="H34" s="507"/>
      <c r="I34" s="507"/>
      <c r="J34" s="507"/>
      <c r="K34" s="507"/>
      <c r="L34" s="507"/>
      <c r="M34" s="507"/>
      <c r="N34" s="507"/>
    </row>
    <row r="35" ht="35.25" customHeight="1">
      <c r="A35" s="22"/>
      <c r="B35" s="547"/>
      <c r="C35" s="598"/>
      <c r="D35" s="22"/>
      <c r="E35" s="507"/>
      <c r="F35" s="507"/>
      <c r="G35" s="507"/>
      <c r="H35" s="507"/>
      <c r="I35" s="507"/>
      <c r="J35" s="507"/>
      <c r="K35" s="507"/>
      <c r="L35" s="507"/>
      <c r="M35" s="507"/>
      <c r="N35" s="507"/>
    </row>
    <row r="36" ht="35.25" customHeight="1">
      <c r="A36" s="679" t="s">
        <v>1137</v>
      </c>
      <c r="B36" s="547" t="s">
        <v>1138</v>
      </c>
      <c r="C36" s="598">
        <v>1.637531E8</v>
      </c>
      <c r="D36" s="680">
        <f>SUM(C36:C39)</f>
        <v>192994800</v>
      </c>
      <c r="E36" s="507"/>
      <c r="F36" s="507"/>
      <c r="G36" s="507"/>
      <c r="H36" s="507"/>
      <c r="I36" s="507"/>
      <c r="J36" s="507"/>
      <c r="K36" s="507"/>
      <c r="L36" s="507"/>
      <c r="M36" s="507"/>
      <c r="N36" s="507"/>
    </row>
    <row r="37" ht="35.25" customHeight="1">
      <c r="A37" s="18"/>
      <c r="B37" s="547" t="s">
        <v>1135</v>
      </c>
      <c r="C37" s="598">
        <v>2.92417E7</v>
      </c>
      <c r="D37" s="18"/>
      <c r="E37" s="507"/>
      <c r="F37" s="507"/>
      <c r="G37" s="507"/>
      <c r="H37" s="507"/>
      <c r="I37" s="507"/>
      <c r="J37" s="507"/>
      <c r="K37" s="507"/>
      <c r="L37" s="507"/>
      <c r="M37" s="507"/>
      <c r="N37" s="507"/>
    </row>
    <row r="38" ht="35.25" customHeight="1">
      <c r="A38" s="18"/>
      <c r="B38" s="547"/>
      <c r="C38" s="598"/>
      <c r="D38" s="18"/>
      <c r="E38" s="507"/>
      <c r="F38" s="507"/>
      <c r="G38" s="507"/>
      <c r="H38" s="507"/>
      <c r="I38" s="507"/>
      <c r="J38" s="507"/>
      <c r="K38" s="507"/>
      <c r="L38" s="507"/>
      <c r="M38" s="507"/>
      <c r="N38" s="507"/>
    </row>
    <row r="39" ht="35.25" customHeight="1">
      <c r="A39" s="22"/>
      <c r="B39" s="547"/>
      <c r="C39" s="598"/>
      <c r="D39" s="22"/>
      <c r="E39" s="507"/>
      <c r="F39" s="507"/>
      <c r="G39" s="507"/>
      <c r="H39" s="507"/>
      <c r="I39" s="507"/>
      <c r="J39" s="507"/>
      <c r="K39" s="507"/>
      <c r="L39" s="507"/>
      <c r="M39" s="507"/>
      <c r="N39" s="507"/>
    </row>
    <row r="40" ht="35.25" customHeight="1">
      <c r="A40" s="679" t="s">
        <v>1055</v>
      </c>
      <c r="B40" s="547" t="s">
        <v>1135</v>
      </c>
      <c r="C40" s="598">
        <v>9.03728E7</v>
      </c>
      <c r="D40" s="680">
        <f>SUM(C40:C43)</f>
        <v>158987300</v>
      </c>
      <c r="E40" s="507"/>
      <c r="F40" s="507"/>
      <c r="G40" s="507"/>
      <c r="H40" s="507"/>
      <c r="I40" s="507"/>
      <c r="J40" s="507"/>
      <c r="K40" s="507"/>
      <c r="L40" s="507"/>
      <c r="M40" s="507"/>
      <c r="N40" s="507"/>
    </row>
    <row r="41" ht="35.25" customHeight="1">
      <c r="A41" s="18"/>
      <c r="B41" s="547" t="s">
        <v>1136</v>
      </c>
      <c r="C41" s="598">
        <v>6.86145E7</v>
      </c>
      <c r="D41" s="18"/>
      <c r="E41" s="507"/>
      <c r="F41" s="507"/>
      <c r="G41" s="507"/>
      <c r="H41" s="507"/>
      <c r="I41" s="507"/>
      <c r="J41" s="507"/>
      <c r="K41" s="507"/>
      <c r="L41" s="507"/>
      <c r="M41" s="507"/>
      <c r="N41" s="507"/>
    </row>
    <row r="42" ht="35.25" customHeight="1">
      <c r="A42" s="18"/>
      <c r="B42" s="547"/>
      <c r="C42" s="598"/>
      <c r="D42" s="18"/>
      <c r="E42" s="507"/>
      <c r="F42" s="507"/>
      <c r="G42" s="507"/>
      <c r="H42" s="507"/>
      <c r="I42" s="507"/>
      <c r="J42" s="507"/>
      <c r="K42" s="507"/>
      <c r="L42" s="507"/>
      <c r="M42" s="507"/>
      <c r="N42" s="507"/>
    </row>
    <row r="43" ht="35.25" customHeight="1">
      <c r="A43" s="22"/>
      <c r="B43" s="547"/>
      <c r="C43" s="598"/>
      <c r="D43" s="22"/>
      <c r="E43" s="507"/>
      <c r="F43" s="507"/>
      <c r="G43" s="507"/>
      <c r="H43" s="507"/>
      <c r="I43" s="507"/>
      <c r="J43" s="507"/>
      <c r="K43" s="507"/>
      <c r="L43" s="507"/>
      <c r="M43" s="507"/>
      <c r="N43" s="507"/>
    </row>
    <row r="44" ht="35.25" customHeight="1">
      <c r="A44" s="679" t="s">
        <v>1060</v>
      </c>
      <c r="B44" s="547" t="s">
        <v>1015</v>
      </c>
      <c r="C44" s="598">
        <v>3.2368E7</v>
      </c>
      <c r="D44" s="680">
        <f>SUM(C44:C47)</f>
        <v>120172500</v>
      </c>
      <c r="E44" s="507"/>
      <c r="F44" s="507"/>
      <c r="G44" s="507"/>
      <c r="H44" s="507"/>
      <c r="I44" s="507"/>
      <c r="J44" s="507"/>
      <c r="K44" s="507"/>
      <c r="L44" s="507"/>
      <c r="M44" s="507"/>
      <c r="N44" s="507"/>
    </row>
    <row r="45" ht="35.25" customHeight="1">
      <c r="A45" s="18"/>
      <c r="B45" s="547" t="s">
        <v>1135</v>
      </c>
      <c r="C45" s="598">
        <v>4.4384E7</v>
      </c>
      <c r="D45" s="18"/>
      <c r="E45" s="507"/>
      <c r="F45" s="507"/>
      <c r="G45" s="507"/>
      <c r="H45" s="507"/>
      <c r="I45" s="507"/>
      <c r="J45" s="507"/>
      <c r="K45" s="507"/>
      <c r="L45" s="507"/>
      <c r="M45" s="507"/>
      <c r="N45" s="507"/>
    </row>
    <row r="46" ht="35.25" customHeight="1">
      <c r="A46" s="18"/>
      <c r="B46" s="547" t="s">
        <v>1136</v>
      </c>
      <c r="C46" s="598">
        <v>4.34205E7</v>
      </c>
      <c r="D46" s="18"/>
      <c r="E46" s="507"/>
      <c r="F46" s="507"/>
      <c r="G46" s="507"/>
      <c r="H46" s="507"/>
      <c r="I46" s="507"/>
      <c r="J46" s="507"/>
      <c r="K46" s="507"/>
      <c r="L46" s="507"/>
      <c r="M46" s="507"/>
      <c r="N46" s="507"/>
    </row>
    <row r="47" ht="35.25" customHeight="1">
      <c r="A47" s="22"/>
      <c r="B47" s="547"/>
      <c r="C47" s="598"/>
      <c r="D47" s="22"/>
      <c r="E47" s="507"/>
      <c r="F47" s="507"/>
      <c r="G47" s="507"/>
      <c r="H47" s="507"/>
      <c r="I47" s="507"/>
      <c r="J47" s="507"/>
      <c r="K47" s="507"/>
      <c r="L47" s="507"/>
      <c r="M47" s="507"/>
      <c r="N47" s="507"/>
    </row>
    <row r="48" ht="35.25" customHeight="1">
      <c r="A48" s="679" t="s">
        <v>1059</v>
      </c>
      <c r="B48" s="547"/>
      <c r="C48" s="598"/>
      <c r="D48" s="680">
        <f>SUM(C48:C51)</f>
        <v>0</v>
      </c>
      <c r="E48" s="507"/>
      <c r="F48" s="507"/>
      <c r="G48" s="507"/>
      <c r="H48" s="507"/>
      <c r="I48" s="507"/>
      <c r="J48" s="507"/>
      <c r="K48" s="507"/>
      <c r="L48" s="507"/>
      <c r="M48" s="507"/>
      <c r="N48" s="507"/>
    </row>
    <row r="49" ht="35.25" customHeight="1">
      <c r="A49" s="18"/>
      <c r="B49" s="547"/>
      <c r="C49" s="598"/>
      <c r="D49" s="18"/>
      <c r="E49" s="507"/>
      <c r="F49" s="507"/>
      <c r="G49" s="507"/>
      <c r="H49" s="507"/>
      <c r="I49" s="507"/>
      <c r="J49" s="507"/>
      <c r="K49" s="507"/>
      <c r="L49" s="507"/>
      <c r="M49" s="507"/>
      <c r="N49" s="507"/>
    </row>
    <row r="50" ht="35.25" customHeight="1">
      <c r="A50" s="18"/>
      <c r="B50" s="547"/>
      <c r="C50" s="598"/>
      <c r="D50" s="18"/>
      <c r="E50" s="507"/>
      <c r="F50" s="507"/>
      <c r="G50" s="507"/>
      <c r="H50" s="507"/>
      <c r="I50" s="507"/>
      <c r="J50" s="507"/>
      <c r="K50" s="507"/>
      <c r="L50" s="507"/>
      <c r="M50" s="507"/>
      <c r="N50" s="507"/>
    </row>
    <row r="51" ht="35.25" customHeight="1">
      <c r="A51" s="22"/>
      <c r="B51" s="547"/>
      <c r="C51" s="598"/>
      <c r="D51" s="22"/>
      <c r="E51" s="507"/>
      <c r="F51" s="507"/>
      <c r="G51" s="507"/>
      <c r="H51" s="507"/>
      <c r="I51" s="507"/>
      <c r="J51" s="507"/>
      <c r="K51" s="507"/>
      <c r="L51" s="507"/>
      <c r="M51" s="507"/>
      <c r="N51" s="507"/>
    </row>
    <row r="52" ht="35.25" customHeight="1">
      <c r="A52" s="507"/>
      <c r="B52" s="507"/>
      <c r="C52" s="507"/>
      <c r="D52" s="508"/>
      <c r="E52" s="507"/>
      <c r="F52" s="507"/>
      <c r="G52" s="507"/>
      <c r="H52" s="507"/>
      <c r="I52" s="507"/>
      <c r="J52" s="507"/>
      <c r="K52" s="507"/>
      <c r="L52" s="507"/>
      <c r="M52" s="507"/>
      <c r="N52" s="507"/>
    </row>
    <row r="53" ht="35.25" customHeight="1">
      <c r="A53" s="507"/>
      <c r="B53" s="507"/>
      <c r="C53" s="507"/>
      <c r="D53" s="508"/>
      <c r="E53" s="507"/>
      <c r="F53" s="507"/>
      <c r="G53" s="507"/>
      <c r="H53" s="507"/>
      <c r="I53" s="507"/>
      <c r="J53" s="507"/>
      <c r="K53" s="507"/>
      <c r="L53" s="507"/>
      <c r="M53" s="507"/>
      <c r="N53" s="507"/>
    </row>
    <row r="54" ht="35.25" customHeight="1">
      <c r="A54" s="507"/>
      <c r="B54" s="507"/>
      <c r="C54" s="507"/>
      <c r="D54" s="508"/>
      <c r="E54" s="507"/>
      <c r="F54" s="507"/>
      <c r="G54" s="507"/>
      <c r="H54" s="507"/>
      <c r="I54" s="507"/>
      <c r="J54" s="507"/>
      <c r="K54" s="507"/>
      <c r="L54" s="507"/>
      <c r="M54" s="507"/>
      <c r="N54" s="507"/>
    </row>
    <row r="55" ht="35.25" customHeight="1">
      <c r="A55" s="938" t="s">
        <v>161</v>
      </c>
      <c r="D55" s="508"/>
      <c r="E55" s="507"/>
      <c r="F55" s="507"/>
      <c r="G55" s="507"/>
      <c r="H55" s="507"/>
      <c r="I55" s="507"/>
      <c r="J55" s="507"/>
      <c r="K55" s="507"/>
      <c r="L55" s="507"/>
      <c r="M55" s="507"/>
      <c r="N55" s="507"/>
    </row>
    <row r="56" ht="35.25" customHeight="1">
      <c r="A56" s="939" t="s">
        <v>1139</v>
      </c>
      <c r="B56" s="547" t="s">
        <v>151</v>
      </c>
      <c r="C56" s="598">
        <v>5.64712E8</v>
      </c>
      <c r="D56" s="507"/>
      <c r="E56" s="507"/>
      <c r="F56" s="507"/>
      <c r="G56" s="507"/>
      <c r="H56" s="507"/>
      <c r="I56" s="507"/>
      <c r="J56" s="507"/>
      <c r="K56" s="507"/>
      <c r="L56" s="507"/>
      <c r="M56" s="507"/>
      <c r="N56" s="507"/>
    </row>
    <row r="57" ht="35.25" customHeight="1">
      <c r="A57" s="18"/>
      <c r="B57" s="547" t="s">
        <v>1140</v>
      </c>
      <c r="C57" s="598">
        <v>-1.5E8</v>
      </c>
      <c r="D57" s="507"/>
      <c r="E57" s="507"/>
      <c r="F57" s="507"/>
      <c r="G57" s="507"/>
      <c r="H57" s="507"/>
      <c r="I57" s="507"/>
      <c r="J57" s="507"/>
      <c r="K57" s="507"/>
      <c r="L57" s="507"/>
      <c r="M57" s="507"/>
      <c r="N57" s="507"/>
    </row>
    <row r="58" ht="35.25" customHeight="1">
      <c r="A58" s="18"/>
      <c r="B58" s="547"/>
      <c r="C58" s="598">
        <v>-4.14712E8</v>
      </c>
      <c r="D58" s="507"/>
      <c r="E58" s="507"/>
      <c r="F58" s="507"/>
      <c r="G58" s="507"/>
      <c r="H58" s="507"/>
      <c r="I58" s="507"/>
      <c r="J58" s="507"/>
      <c r="K58" s="507"/>
      <c r="L58" s="507"/>
      <c r="M58" s="507"/>
      <c r="N58" s="507"/>
    </row>
    <row r="59" ht="35.25" customHeight="1">
      <c r="A59" s="18"/>
      <c r="B59" s="547"/>
      <c r="C59" s="598"/>
      <c r="D59" s="507"/>
      <c r="E59" s="507"/>
      <c r="F59" s="507"/>
      <c r="G59" s="507"/>
      <c r="H59" s="507"/>
      <c r="I59" s="507"/>
      <c r="J59" s="507"/>
      <c r="K59" s="507"/>
      <c r="L59" s="507"/>
      <c r="M59" s="507"/>
      <c r="N59" s="507"/>
    </row>
    <row r="60" ht="35.25" customHeight="1">
      <c r="A60" s="18"/>
      <c r="B60" s="547"/>
      <c r="C60" s="598"/>
      <c r="D60" s="507"/>
      <c r="E60" s="507"/>
      <c r="F60" s="507"/>
      <c r="G60" s="507"/>
      <c r="H60" s="507"/>
      <c r="I60" s="507"/>
      <c r="J60" s="507"/>
      <c r="K60" s="507"/>
      <c r="L60" s="507"/>
      <c r="M60" s="507"/>
      <c r="N60" s="507"/>
    </row>
    <row r="61" ht="35.25" customHeight="1">
      <c r="A61" s="22"/>
      <c r="B61" s="940" t="s">
        <v>1141</v>
      </c>
      <c r="C61" s="941">
        <f>Sum(C56:C60)</f>
        <v>0</v>
      </c>
      <c r="D61" s="507"/>
      <c r="E61" s="507"/>
      <c r="F61" s="507"/>
      <c r="G61" s="507"/>
      <c r="H61" s="507"/>
      <c r="I61" s="507"/>
      <c r="J61" s="507"/>
      <c r="K61" s="507"/>
      <c r="L61" s="507"/>
      <c r="M61" s="507"/>
      <c r="N61" s="507"/>
    </row>
    <row r="62" ht="35.25" customHeight="1">
      <c r="A62" s="939" t="s">
        <v>1142</v>
      </c>
      <c r="B62" s="547" t="s">
        <v>151</v>
      </c>
      <c r="C62" s="598">
        <v>1.53909E9</v>
      </c>
      <c r="D62" s="507"/>
      <c r="E62" s="507"/>
      <c r="F62" s="507"/>
      <c r="G62" s="507"/>
      <c r="H62" s="507"/>
      <c r="I62" s="507"/>
      <c r="J62" s="507"/>
      <c r="K62" s="507"/>
      <c r="L62" s="507"/>
      <c r="M62" s="507"/>
      <c r="N62" s="507"/>
    </row>
    <row r="63" ht="35.25" customHeight="1">
      <c r="A63" s="18"/>
      <c r="B63" s="547" t="s">
        <v>1143</v>
      </c>
      <c r="C63" s="598">
        <v>-1.53909E9</v>
      </c>
      <c r="D63" s="507"/>
      <c r="E63" s="507"/>
      <c r="F63" s="507"/>
      <c r="G63" s="507"/>
      <c r="H63" s="507"/>
      <c r="I63" s="507"/>
      <c r="J63" s="507"/>
      <c r="K63" s="507"/>
      <c r="L63" s="507"/>
      <c r="M63" s="507"/>
      <c r="N63" s="507"/>
    </row>
    <row r="64" ht="35.25" customHeight="1">
      <c r="A64" s="22"/>
      <c r="B64" s="940" t="s">
        <v>1141</v>
      </c>
      <c r="C64" s="941">
        <f>Sum(C62:C63)</f>
        <v>0</v>
      </c>
      <c r="D64" s="507"/>
      <c r="E64" s="507"/>
      <c r="F64" s="507"/>
      <c r="G64" s="507"/>
      <c r="H64" s="507"/>
      <c r="I64" s="507"/>
      <c r="J64" s="507"/>
      <c r="K64" s="507"/>
      <c r="L64" s="507"/>
      <c r="M64" s="507"/>
      <c r="N64" s="507"/>
    </row>
    <row r="65" ht="35.25" customHeight="1">
      <c r="A65" s="939" t="s">
        <v>1144</v>
      </c>
      <c r="B65" s="547" t="s">
        <v>151</v>
      </c>
      <c r="C65" s="598">
        <v>8.07705E8</v>
      </c>
      <c r="D65" s="507"/>
      <c r="E65" s="507"/>
      <c r="F65" s="507"/>
      <c r="G65" s="507"/>
      <c r="H65" s="507"/>
      <c r="I65" s="507"/>
      <c r="J65" s="507"/>
      <c r="K65" s="507"/>
      <c r="L65" s="507"/>
      <c r="M65" s="507"/>
      <c r="N65" s="507"/>
    </row>
    <row r="66" ht="35.25" customHeight="1">
      <c r="A66" s="18"/>
      <c r="B66" s="547" t="s">
        <v>1145</v>
      </c>
      <c r="C66" s="598">
        <v>-3.0E8</v>
      </c>
      <c r="D66" s="507"/>
      <c r="E66" s="507"/>
      <c r="F66" s="507"/>
      <c r="G66" s="507"/>
      <c r="H66" s="507"/>
      <c r="I66" s="507"/>
      <c r="J66" s="507"/>
      <c r="K66" s="507"/>
      <c r="L66" s="507"/>
      <c r="M66" s="507"/>
      <c r="N66" s="507"/>
    </row>
    <row r="67" ht="35.25" customHeight="1">
      <c r="A67" s="18"/>
      <c r="B67" s="547" t="s">
        <v>1145</v>
      </c>
      <c r="C67" s="598">
        <v>-2.0E8</v>
      </c>
      <c r="D67" s="507"/>
      <c r="E67" s="507"/>
      <c r="F67" s="507"/>
      <c r="G67" s="507"/>
      <c r="H67" s="507"/>
      <c r="I67" s="507"/>
      <c r="J67" s="507"/>
      <c r="K67" s="507"/>
      <c r="L67" s="507"/>
      <c r="M67" s="507"/>
      <c r="N67" s="507"/>
    </row>
    <row r="68" ht="35.25" customHeight="1">
      <c r="A68" s="18"/>
      <c r="B68" s="547" t="s">
        <v>1146</v>
      </c>
      <c r="C68" s="598">
        <v>-2.0E8</v>
      </c>
      <c r="D68" s="507"/>
      <c r="E68" s="507"/>
      <c r="F68" s="507"/>
      <c r="G68" s="507"/>
      <c r="H68" s="507"/>
      <c r="I68" s="507"/>
      <c r="J68" s="507"/>
      <c r="K68" s="507"/>
      <c r="L68" s="507"/>
      <c r="M68" s="507"/>
      <c r="N68" s="507"/>
    </row>
    <row r="69" ht="35.25" customHeight="1">
      <c r="A69" s="18"/>
      <c r="B69" s="547" t="s">
        <v>1147</v>
      </c>
      <c r="C69" s="598">
        <v>-1000000.0</v>
      </c>
      <c r="D69" s="507"/>
      <c r="E69" s="507"/>
      <c r="F69" s="507"/>
      <c r="G69" s="507"/>
      <c r="H69" s="507"/>
      <c r="I69" s="507"/>
      <c r="J69" s="507"/>
      <c r="K69" s="507"/>
      <c r="L69" s="507"/>
      <c r="M69" s="507"/>
      <c r="N69" s="507"/>
    </row>
    <row r="70" ht="35.25" customHeight="1">
      <c r="A70" s="18"/>
      <c r="B70" s="547" t="s">
        <v>1148</v>
      </c>
      <c r="C70" s="598">
        <v>-1.06705E8</v>
      </c>
      <c r="D70" s="507"/>
      <c r="E70" s="507"/>
      <c r="F70" s="507"/>
      <c r="G70" s="507"/>
      <c r="H70" s="507"/>
      <c r="I70" s="507"/>
      <c r="J70" s="507"/>
      <c r="K70" s="507"/>
      <c r="L70" s="507"/>
      <c r="M70" s="507"/>
      <c r="N70" s="507"/>
    </row>
    <row r="71" ht="35.25" customHeight="1">
      <c r="A71" s="22"/>
      <c r="B71" s="940" t="s">
        <v>1141</v>
      </c>
      <c r="C71" s="941">
        <f>Sum(C65:C70)</f>
        <v>0</v>
      </c>
      <c r="D71" s="507"/>
      <c r="E71" s="507"/>
      <c r="F71" s="507"/>
      <c r="G71" s="507"/>
      <c r="H71" s="507"/>
      <c r="I71" s="507"/>
      <c r="J71" s="507"/>
      <c r="K71" s="507"/>
      <c r="L71" s="507"/>
      <c r="M71" s="507"/>
      <c r="N71" s="507"/>
    </row>
    <row r="72" ht="35.25" customHeight="1">
      <c r="A72" s="939" t="s">
        <v>1149</v>
      </c>
      <c r="B72" s="547" t="s">
        <v>151</v>
      </c>
      <c r="C72" s="598">
        <v>1.076599E9</v>
      </c>
      <c r="D72" s="507"/>
      <c r="E72" s="507"/>
      <c r="F72" s="507"/>
      <c r="G72" s="507"/>
      <c r="H72" s="507"/>
      <c r="I72" s="507"/>
      <c r="J72" s="507"/>
      <c r="K72" s="507"/>
      <c r="L72" s="507"/>
      <c r="M72" s="507"/>
      <c r="N72" s="507"/>
    </row>
    <row r="73" ht="35.25" customHeight="1">
      <c r="A73" s="18"/>
      <c r="B73" s="547" t="s">
        <v>1150</v>
      </c>
      <c r="C73" s="598">
        <v>-3500000.0</v>
      </c>
      <c r="D73" s="507"/>
      <c r="E73" s="507"/>
      <c r="F73" s="507"/>
      <c r="G73" s="507"/>
      <c r="H73" s="507"/>
      <c r="I73" s="507"/>
      <c r="J73" s="507"/>
      <c r="K73" s="507"/>
      <c r="L73" s="507"/>
      <c r="M73" s="507"/>
      <c r="N73" s="507"/>
    </row>
    <row r="74" ht="35.25" customHeight="1">
      <c r="A74" s="18"/>
      <c r="B74" s="547" t="s">
        <v>1151</v>
      </c>
      <c r="C74" s="598">
        <v>-4400000.0</v>
      </c>
      <c r="D74" s="507"/>
      <c r="E74" s="507"/>
      <c r="F74" s="507"/>
      <c r="G74" s="507"/>
      <c r="H74" s="507"/>
      <c r="I74" s="507"/>
      <c r="J74" s="507"/>
      <c r="K74" s="507"/>
      <c r="L74" s="507"/>
      <c r="M74" s="507"/>
      <c r="N74" s="507"/>
    </row>
    <row r="75" ht="35.25" customHeight="1">
      <c r="A75" s="18"/>
      <c r="B75" s="547" t="s">
        <v>258</v>
      </c>
      <c r="C75" s="598">
        <v>4969000.0</v>
      </c>
      <c r="D75" s="507"/>
      <c r="E75" s="507"/>
      <c r="F75" s="507"/>
      <c r="G75" s="507"/>
      <c r="H75" s="507"/>
      <c r="I75" s="507"/>
      <c r="J75" s="507"/>
      <c r="K75" s="507"/>
      <c r="L75" s="507"/>
      <c r="M75" s="507"/>
      <c r="N75" s="507"/>
    </row>
    <row r="76" ht="35.25" customHeight="1">
      <c r="A76" s="18"/>
      <c r="B76" s="547" t="s">
        <v>1152</v>
      </c>
      <c r="C76" s="598">
        <v>-1.073668E9</v>
      </c>
      <c r="D76" s="507"/>
      <c r="E76" s="507"/>
      <c r="F76" s="507"/>
      <c r="G76" s="507"/>
      <c r="H76" s="507"/>
      <c r="I76" s="507"/>
      <c r="J76" s="507"/>
      <c r="K76" s="507"/>
      <c r="L76" s="507"/>
      <c r="M76" s="507"/>
      <c r="N76" s="507"/>
    </row>
    <row r="77" ht="35.25" customHeight="1">
      <c r="A77" s="18"/>
      <c r="B77" s="547"/>
      <c r="C77" s="598"/>
      <c r="D77" s="507"/>
      <c r="E77" s="507"/>
      <c r="F77" s="507"/>
      <c r="G77" s="507"/>
      <c r="H77" s="507"/>
      <c r="I77" s="507"/>
      <c r="J77" s="507"/>
      <c r="K77" s="507"/>
      <c r="L77" s="507"/>
      <c r="M77" s="507"/>
      <c r="N77" s="507"/>
    </row>
    <row r="78" ht="35.25" customHeight="1">
      <c r="A78" s="18"/>
      <c r="B78" s="547"/>
      <c r="C78" s="598"/>
      <c r="D78" s="507"/>
      <c r="E78" s="507"/>
      <c r="F78" s="507"/>
      <c r="G78" s="507"/>
      <c r="H78" s="507"/>
      <c r="I78" s="507"/>
      <c r="J78" s="507"/>
      <c r="K78" s="507"/>
      <c r="L78" s="507"/>
      <c r="M78" s="507"/>
      <c r="N78" s="507"/>
    </row>
    <row r="79" ht="35.25" customHeight="1">
      <c r="A79" s="22"/>
      <c r="B79" s="940" t="s">
        <v>1141</v>
      </c>
      <c r="C79" s="941">
        <f>Sum(C72:C78)</f>
        <v>0</v>
      </c>
      <c r="D79" s="507"/>
      <c r="E79" s="507"/>
      <c r="F79" s="507"/>
      <c r="G79" s="507"/>
      <c r="H79" s="507"/>
      <c r="I79" s="507"/>
      <c r="J79" s="507"/>
      <c r="K79" s="507"/>
      <c r="L79" s="507"/>
      <c r="M79" s="507"/>
      <c r="N79" s="507"/>
    </row>
    <row r="80" ht="35.25" customHeight="1">
      <c r="A80" s="939" t="s">
        <v>1153</v>
      </c>
      <c r="B80" s="547" t="s">
        <v>151</v>
      </c>
      <c r="C80" s="598">
        <v>5.32006E8</v>
      </c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</row>
    <row r="81" ht="35.25" customHeight="1">
      <c r="A81" s="18"/>
      <c r="B81" s="547" t="s">
        <v>1154</v>
      </c>
      <c r="C81" s="598">
        <v>-4.0E8</v>
      </c>
      <c r="D81" s="507"/>
      <c r="E81" s="507"/>
      <c r="F81" s="507"/>
      <c r="G81" s="507"/>
      <c r="H81" s="507"/>
      <c r="I81" s="507"/>
      <c r="J81" s="507"/>
      <c r="K81" s="507"/>
      <c r="L81" s="507"/>
      <c r="M81" s="507"/>
      <c r="N81" s="507"/>
    </row>
    <row r="82" ht="35.25" customHeight="1">
      <c r="A82" s="18"/>
      <c r="B82" s="547" t="s">
        <v>1155</v>
      </c>
      <c r="C82" s="598">
        <v>-1.32E8</v>
      </c>
      <c r="D82" s="507"/>
      <c r="E82" s="507"/>
      <c r="F82" s="507"/>
      <c r="G82" s="507"/>
      <c r="H82" s="507"/>
      <c r="I82" s="507"/>
      <c r="J82" s="507"/>
      <c r="K82" s="507"/>
      <c r="L82" s="507"/>
      <c r="M82" s="507"/>
      <c r="N82" s="507"/>
    </row>
    <row r="83" ht="35.25" customHeight="1">
      <c r="A83" s="18"/>
      <c r="B83" s="547"/>
      <c r="C83" s="598"/>
      <c r="D83" s="507"/>
      <c r="E83" s="507"/>
      <c r="F83" s="507"/>
      <c r="G83" s="507"/>
      <c r="H83" s="507"/>
      <c r="I83" s="507"/>
      <c r="J83" s="507"/>
      <c r="K83" s="507"/>
      <c r="L83" s="507"/>
      <c r="M83" s="507"/>
      <c r="N83" s="507"/>
    </row>
    <row r="84" ht="35.25" customHeight="1">
      <c r="A84" s="22"/>
      <c r="B84" s="940" t="s">
        <v>1141</v>
      </c>
      <c r="C84" s="941">
        <f>Sum(C80:C83)</f>
        <v>6000</v>
      </c>
      <c r="D84" s="507"/>
      <c r="E84" s="507"/>
      <c r="F84" s="507"/>
      <c r="G84" s="507"/>
      <c r="H84" s="507"/>
      <c r="I84" s="507"/>
      <c r="J84" s="507"/>
      <c r="K84" s="507"/>
      <c r="L84" s="507"/>
      <c r="M84" s="507"/>
      <c r="N84" s="507"/>
    </row>
    <row r="85" ht="35.25" customHeight="1">
      <c r="A85" s="939" t="s">
        <v>1156</v>
      </c>
      <c r="B85" s="547" t="s">
        <v>151</v>
      </c>
      <c r="C85" s="598">
        <v>7.58038E8</v>
      </c>
      <c r="D85" s="507"/>
      <c r="E85" s="507"/>
      <c r="F85" s="507"/>
      <c r="G85" s="507"/>
      <c r="H85" s="507"/>
      <c r="I85" s="507"/>
      <c r="J85" s="507"/>
      <c r="K85" s="507"/>
      <c r="L85" s="507"/>
      <c r="M85" s="507"/>
      <c r="N85" s="507"/>
    </row>
    <row r="86" ht="35.25" customHeight="1">
      <c r="A86" s="18"/>
      <c r="B86" s="547" t="s">
        <v>1157</v>
      </c>
      <c r="C86" s="598">
        <v>-5.0E8</v>
      </c>
      <c r="D86" s="507"/>
      <c r="E86" s="507"/>
      <c r="F86" s="507"/>
      <c r="G86" s="507"/>
      <c r="H86" s="507"/>
      <c r="I86" s="507"/>
      <c r="J86" s="507"/>
      <c r="K86" s="507"/>
      <c r="L86" s="507"/>
      <c r="M86" s="507"/>
      <c r="N86" s="507"/>
    </row>
    <row r="87" ht="35.25" customHeight="1">
      <c r="A87" s="18"/>
      <c r="B87" s="547" t="s">
        <v>1158</v>
      </c>
      <c r="C87" s="598">
        <v>-2.58038E8</v>
      </c>
      <c r="D87" s="507"/>
      <c r="E87" s="507"/>
      <c r="F87" s="507"/>
      <c r="G87" s="507"/>
      <c r="H87" s="507"/>
      <c r="I87" s="507"/>
      <c r="J87" s="507"/>
      <c r="K87" s="507"/>
      <c r="L87" s="507"/>
      <c r="M87" s="507"/>
      <c r="N87" s="507"/>
    </row>
    <row r="88" ht="35.25" customHeight="1">
      <c r="A88" s="18"/>
      <c r="B88" s="547"/>
      <c r="C88" s="598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</row>
    <row r="89" ht="35.25" customHeight="1">
      <c r="A89" s="22"/>
      <c r="B89" s="940" t="s">
        <v>1141</v>
      </c>
      <c r="C89" s="941">
        <f>Sum(C85:C88)</f>
        <v>0</v>
      </c>
      <c r="D89" s="507"/>
      <c r="E89" s="507"/>
      <c r="F89" s="507"/>
      <c r="G89" s="507"/>
      <c r="H89" s="507"/>
      <c r="I89" s="507"/>
      <c r="J89" s="507"/>
      <c r="K89" s="507"/>
      <c r="L89" s="507"/>
      <c r="M89" s="507"/>
      <c r="N89" s="507"/>
    </row>
    <row r="90" ht="35.25" customHeight="1">
      <c r="A90" s="939" t="s">
        <v>1159</v>
      </c>
      <c r="B90" s="547" t="s">
        <v>151</v>
      </c>
      <c r="C90" s="598">
        <v>9.1936E8</v>
      </c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</row>
    <row r="91" ht="49.5" customHeight="1">
      <c r="A91" s="18"/>
      <c r="B91" s="547" t="s">
        <v>1160</v>
      </c>
      <c r="C91" s="598">
        <v>-6000000.0</v>
      </c>
      <c r="D91" s="507"/>
      <c r="E91" s="507"/>
      <c r="F91" s="507"/>
      <c r="G91" s="507"/>
      <c r="H91" s="507"/>
      <c r="I91" s="507"/>
      <c r="J91" s="507"/>
      <c r="K91" s="507"/>
      <c r="L91" s="507"/>
      <c r="M91" s="507"/>
      <c r="N91" s="507"/>
    </row>
    <row r="92" ht="35.25" customHeight="1">
      <c r="A92" s="18"/>
      <c r="B92" s="547" t="s">
        <v>1161</v>
      </c>
      <c r="C92" s="598">
        <v>-1000000.0</v>
      </c>
      <c r="D92" s="507"/>
      <c r="E92" s="507"/>
      <c r="F92" s="507"/>
      <c r="G92" s="507"/>
      <c r="H92" s="507"/>
      <c r="I92" s="507"/>
      <c r="J92" s="507"/>
      <c r="K92" s="507"/>
      <c r="L92" s="507"/>
      <c r="M92" s="507"/>
      <c r="N92" s="507"/>
    </row>
    <row r="93" ht="35.25" customHeight="1">
      <c r="A93" s="18"/>
      <c r="B93" s="547" t="s">
        <v>1162</v>
      </c>
      <c r="C93" s="598">
        <v>-2300000.0</v>
      </c>
      <c r="D93" s="507"/>
      <c r="E93" s="507"/>
      <c r="F93" s="507"/>
      <c r="G93" s="507"/>
      <c r="H93" s="507"/>
      <c r="I93" s="507"/>
      <c r="J93" s="507"/>
      <c r="K93" s="507"/>
      <c r="L93" s="507"/>
      <c r="M93" s="507"/>
      <c r="N93" s="507"/>
    </row>
    <row r="94" ht="35.25" customHeight="1">
      <c r="A94" s="18"/>
      <c r="B94" s="547" t="s">
        <v>1163</v>
      </c>
      <c r="C94" s="598">
        <v>-6000000.0</v>
      </c>
      <c r="D94" s="507"/>
      <c r="E94" s="507"/>
      <c r="F94" s="507"/>
      <c r="G94" s="507"/>
      <c r="H94" s="507"/>
      <c r="I94" s="507"/>
      <c r="J94" s="507"/>
      <c r="K94" s="507"/>
      <c r="L94" s="507"/>
      <c r="M94" s="507"/>
      <c r="N94" s="507"/>
    </row>
    <row r="95" ht="35.25" customHeight="1">
      <c r="A95" s="18"/>
      <c r="B95" s="547" t="s">
        <v>1164</v>
      </c>
      <c r="C95" s="598">
        <v>-3000000.0</v>
      </c>
      <c r="D95" s="507"/>
      <c r="E95" s="507"/>
      <c r="F95" s="507"/>
      <c r="G95" s="507"/>
      <c r="H95" s="507"/>
      <c r="I95" s="507"/>
      <c r="J95" s="507"/>
      <c r="K95" s="507"/>
      <c r="L95" s="507"/>
      <c r="M95" s="507"/>
      <c r="N95" s="507"/>
    </row>
    <row r="96" ht="35.25" customHeight="1">
      <c r="A96" s="18"/>
      <c r="B96" s="547" t="s">
        <v>258</v>
      </c>
      <c r="C96" s="598">
        <v>6866000.0</v>
      </c>
      <c r="D96" s="507"/>
      <c r="E96" s="507"/>
      <c r="F96" s="507"/>
      <c r="G96" s="507"/>
      <c r="H96" s="507"/>
      <c r="I96" s="507"/>
      <c r="J96" s="507"/>
      <c r="K96" s="507"/>
      <c r="L96" s="507"/>
      <c r="M96" s="507"/>
      <c r="N96" s="507"/>
    </row>
    <row r="97" ht="35.25" customHeight="1">
      <c r="A97" s="18"/>
      <c r="B97" s="547" t="s">
        <v>1165</v>
      </c>
      <c r="C97" s="598">
        <f>2477497000*-20%</f>
        <v>-495499400</v>
      </c>
      <c r="D97" s="507"/>
      <c r="E97" s="507"/>
      <c r="F97" s="507"/>
      <c r="G97" s="507"/>
      <c r="H97" s="507"/>
      <c r="I97" s="507"/>
      <c r="J97" s="507"/>
      <c r="K97" s="507"/>
      <c r="L97" s="507"/>
      <c r="M97" s="507"/>
      <c r="N97" s="507"/>
    </row>
    <row r="98" ht="35.25" customHeight="1">
      <c r="A98" s="18"/>
      <c r="B98" s="547" t="s">
        <v>1166</v>
      </c>
      <c r="C98" s="598">
        <v>-4.12428E8</v>
      </c>
      <c r="D98" s="507"/>
      <c r="E98" s="507"/>
      <c r="F98" s="507"/>
      <c r="G98" s="507"/>
      <c r="H98" s="507"/>
      <c r="I98" s="507"/>
      <c r="J98" s="507"/>
      <c r="K98" s="507"/>
      <c r="L98" s="507"/>
      <c r="M98" s="507"/>
      <c r="N98" s="507"/>
    </row>
    <row r="99" ht="35.25" customHeight="1">
      <c r="A99" s="22"/>
      <c r="B99" s="940" t="s">
        <v>1141</v>
      </c>
      <c r="C99" s="941">
        <f>Sum(C90:C98)</f>
        <v>-1400</v>
      </c>
      <c r="D99" s="507"/>
      <c r="E99" s="507"/>
      <c r="F99" s="507"/>
      <c r="G99" s="507"/>
      <c r="H99" s="507"/>
      <c r="I99" s="507"/>
      <c r="J99" s="507"/>
      <c r="K99" s="507"/>
      <c r="L99" s="507"/>
      <c r="M99" s="507"/>
      <c r="N99" s="507"/>
    </row>
    <row r="100" ht="35.25" customHeight="1">
      <c r="A100" s="939" t="s">
        <v>1167</v>
      </c>
      <c r="B100" s="547" t="s">
        <v>151</v>
      </c>
      <c r="C100" s="598">
        <v>1.467707E9</v>
      </c>
      <c r="D100" s="507"/>
      <c r="E100" s="507"/>
      <c r="F100" s="507"/>
      <c r="G100" s="507"/>
      <c r="H100" s="507"/>
      <c r="I100" s="507"/>
      <c r="J100" s="507"/>
      <c r="K100" s="507"/>
      <c r="L100" s="507"/>
      <c r="M100" s="507"/>
      <c r="N100" s="507"/>
    </row>
    <row r="101" ht="35.25" customHeight="1">
      <c r="A101" s="18"/>
      <c r="B101" s="547" t="s">
        <v>1168</v>
      </c>
      <c r="C101" s="598">
        <v>-1.467707E9</v>
      </c>
      <c r="D101" s="507"/>
      <c r="E101" s="507"/>
      <c r="F101" s="507"/>
      <c r="G101" s="507"/>
      <c r="H101" s="507"/>
      <c r="I101" s="507"/>
      <c r="J101" s="507"/>
      <c r="K101" s="507"/>
      <c r="L101" s="507"/>
      <c r="M101" s="507"/>
      <c r="N101" s="507"/>
    </row>
    <row r="102" ht="35.25" customHeight="1">
      <c r="A102" s="22"/>
      <c r="B102" s="940" t="s">
        <v>1141</v>
      </c>
      <c r="C102" s="941">
        <f>Sum(C100:C101)</f>
        <v>0</v>
      </c>
      <c r="D102" s="507"/>
      <c r="E102" s="507"/>
      <c r="F102" s="507"/>
      <c r="G102" s="507"/>
      <c r="H102" s="507"/>
      <c r="I102" s="507"/>
      <c r="J102" s="507"/>
      <c r="K102" s="507"/>
      <c r="L102" s="507"/>
      <c r="M102" s="507"/>
      <c r="N102" s="507"/>
    </row>
    <row r="103" ht="35.25" customHeight="1">
      <c r="A103" s="939" t="s">
        <v>1169</v>
      </c>
      <c r="B103" s="547" t="s">
        <v>151</v>
      </c>
      <c r="C103" s="598">
        <v>5.62521E8</v>
      </c>
      <c r="D103" s="507"/>
      <c r="E103" s="507"/>
      <c r="F103" s="507"/>
      <c r="G103" s="507"/>
      <c r="H103" s="507"/>
      <c r="I103" s="507"/>
      <c r="J103" s="507"/>
      <c r="K103" s="507"/>
      <c r="L103" s="507"/>
      <c r="M103" s="507"/>
      <c r="N103" s="507"/>
    </row>
    <row r="104" ht="35.25" customHeight="1">
      <c r="A104" s="18"/>
      <c r="B104" s="547" t="s">
        <v>1170</v>
      </c>
      <c r="C104" s="598">
        <f>-4*700000</f>
        <v>-2800000</v>
      </c>
      <c r="D104" s="507"/>
      <c r="E104" s="507"/>
      <c r="F104" s="507"/>
      <c r="G104" s="507"/>
      <c r="H104" s="507"/>
      <c r="I104" s="507"/>
      <c r="J104" s="507"/>
      <c r="K104" s="507"/>
      <c r="L104" s="507"/>
      <c r="M104" s="507"/>
      <c r="N104" s="507"/>
    </row>
    <row r="105" ht="35.25" customHeight="1">
      <c r="A105" s="18"/>
      <c r="B105" s="547" t="s">
        <v>1171</v>
      </c>
      <c r="C105" s="598">
        <v>-2000000.0</v>
      </c>
      <c r="D105" s="507"/>
      <c r="E105" s="507"/>
      <c r="F105" s="507"/>
      <c r="G105" s="507"/>
      <c r="H105" s="507"/>
      <c r="I105" s="507"/>
      <c r="J105" s="507"/>
      <c r="K105" s="507"/>
      <c r="L105" s="507"/>
      <c r="M105" s="507"/>
      <c r="N105" s="507"/>
    </row>
    <row r="106" ht="35.25" customHeight="1">
      <c r="A106" s="18"/>
      <c r="B106" s="547" t="s">
        <v>1172</v>
      </c>
      <c r="C106" s="598">
        <f>-5440000+3570000</f>
        <v>-1870000</v>
      </c>
      <c r="D106" s="507"/>
      <c r="E106" s="507"/>
      <c r="F106" s="507"/>
      <c r="G106" s="507"/>
      <c r="H106" s="507"/>
      <c r="I106" s="507"/>
      <c r="J106" s="507"/>
      <c r="K106" s="507"/>
      <c r="L106" s="507"/>
      <c r="M106" s="507"/>
      <c r="N106" s="507"/>
    </row>
    <row r="107" ht="35.25" customHeight="1">
      <c r="A107" s="18"/>
      <c r="B107" s="547" t="s">
        <v>1173</v>
      </c>
      <c r="C107" s="598">
        <v>-3.0E8</v>
      </c>
      <c r="D107" s="507"/>
      <c r="E107" s="507"/>
      <c r="F107" s="507"/>
      <c r="G107" s="507"/>
      <c r="H107" s="507"/>
      <c r="I107" s="507"/>
      <c r="J107" s="507"/>
      <c r="K107" s="507"/>
      <c r="L107" s="507"/>
      <c r="M107" s="507"/>
      <c r="N107" s="507"/>
    </row>
    <row r="108" ht="35.25" customHeight="1">
      <c r="A108" s="18"/>
      <c r="B108" s="547" t="s">
        <v>1174</v>
      </c>
      <c r="C108" s="598">
        <v>-1.5E8</v>
      </c>
      <c r="D108" s="507"/>
      <c r="E108" s="507"/>
      <c r="F108" s="507"/>
      <c r="G108" s="507"/>
      <c r="H108" s="507"/>
      <c r="I108" s="507"/>
      <c r="J108" s="507"/>
      <c r="K108" s="507"/>
      <c r="L108" s="507"/>
      <c r="M108" s="507"/>
      <c r="N108" s="507"/>
    </row>
    <row r="109" ht="35.25" customHeight="1">
      <c r="A109" s="18"/>
      <c r="B109" s="547" t="s">
        <v>1175</v>
      </c>
      <c r="C109" s="598">
        <v>-1.05851E8</v>
      </c>
      <c r="D109" s="507"/>
      <c r="E109" s="507"/>
      <c r="F109" s="507"/>
      <c r="G109" s="507"/>
      <c r="H109" s="507"/>
      <c r="I109" s="507"/>
      <c r="J109" s="507"/>
      <c r="K109" s="507"/>
      <c r="L109" s="507"/>
      <c r="M109" s="507"/>
      <c r="N109" s="507"/>
    </row>
    <row r="110" ht="35.25" customHeight="1">
      <c r="A110" s="22"/>
      <c r="B110" s="940" t="s">
        <v>1141</v>
      </c>
      <c r="C110" s="941">
        <f>Sum(C103:C109)</f>
        <v>0</v>
      </c>
      <c r="D110" s="507"/>
      <c r="E110" s="507"/>
      <c r="F110" s="507"/>
      <c r="G110" s="507"/>
      <c r="H110" s="507"/>
      <c r="I110" s="507"/>
      <c r="J110" s="507"/>
      <c r="K110" s="507"/>
      <c r="L110" s="507"/>
      <c r="M110" s="507"/>
      <c r="N110" s="507"/>
    </row>
    <row r="111" ht="35.25" customHeight="1">
      <c r="A111" s="939" t="s">
        <v>1176</v>
      </c>
      <c r="B111" s="547" t="s">
        <v>151</v>
      </c>
      <c r="C111" s="598">
        <v>4.635922E8</v>
      </c>
      <c r="D111" s="507"/>
      <c r="E111" s="507"/>
      <c r="F111" s="507"/>
      <c r="G111" s="507"/>
      <c r="H111" s="507"/>
      <c r="I111" s="507"/>
      <c r="J111" s="507"/>
      <c r="K111" s="507"/>
      <c r="L111" s="507"/>
      <c r="M111" s="507"/>
      <c r="N111" s="507"/>
    </row>
    <row r="112" ht="35.25" customHeight="1">
      <c r="A112" s="18"/>
      <c r="B112" s="547" t="s">
        <v>1177</v>
      </c>
      <c r="C112" s="598">
        <v>-4.635922E8</v>
      </c>
      <c r="D112" s="507"/>
      <c r="E112" s="507"/>
      <c r="F112" s="507"/>
      <c r="G112" s="507"/>
      <c r="H112" s="507"/>
      <c r="I112" s="507"/>
      <c r="J112" s="507"/>
      <c r="K112" s="507"/>
      <c r="L112" s="507"/>
      <c r="M112" s="507"/>
      <c r="N112" s="507"/>
    </row>
    <row r="113" ht="35.25" customHeight="1">
      <c r="A113" s="18"/>
      <c r="B113" s="547"/>
      <c r="C113" s="598"/>
      <c r="D113" s="507"/>
      <c r="E113" s="507"/>
      <c r="F113" s="507"/>
      <c r="G113" s="507"/>
      <c r="H113" s="507"/>
      <c r="I113" s="507"/>
      <c r="J113" s="507"/>
      <c r="K113" s="507"/>
      <c r="L113" s="507"/>
      <c r="M113" s="507"/>
      <c r="N113" s="507"/>
    </row>
    <row r="114" ht="35.25" customHeight="1">
      <c r="A114" s="18"/>
      <c r="B114" s="547"/>
      <c r="C114" s="598"/>
      <c r="D114" s="507"/>
      <c r="E114" s="507"/>
      <c r="F114" s="507"/>
      <c r="G114" s="507"/>
      <c r="H114" s="507"/>
      <c r="I114" s="507"/>
      <c r="J114" s="507"/>
      <c r="K114" s="507"/>
      <c r="L114" s="507"/>
      <c r="M114" s="507"/>
      <c r="N114" s="507"/>
    </row>
    <row r="115" ht="35.25" customHeight="1">
      <c r="A115" s="22"/>
      <c r="B115" s="940" t="s">
        <v>1141</v>
      </c>
      <c r="C115" s="941">
        <f>Sum(C111:C114)</f>
        <v>0</v>
      </c>
      <c r="D115" s="507"/>
      <c r="E115" s="507"/>
      <c r="F115" s="507"/>
      <c r="G115" s="507"/>
      <c r="H115" s="507"/>
      <c r="I115" s="507"/>
      <c r="J115" s="507"/>
      <c r="K115" s="507"/>
      <c r="L115" s="507"/>
      <c r="M115" s="507"/>
      <c r="N115" s="507"/>
    </row>
    <row r="116" ht="35.25" customHeight="1">
      <c r="A116" s="939" t="s">
        <v>1178</v>
      </c>
      <c r="B116" s="547" t="s">
        <v>151</v>
      </c>
      <c r="C116" s="598">
        <v>7.72088E8</v>
      </c>
      <c r="D116" s="507"/>
      <c r="E116" s="507"/>
      <c r="F116" s="507"/>
      <c r="G116" s="507"/>
      <c r="H116" s="507"/>
      <c r="I116" s="507"/>
      <c r="J116" s="507"/>
      <c r="K116" s="507"/>
      <c r="L116" s="507"/>
      <c r="M116" s="507"/>
      <c r="N116" s="507"/>
    </row>
    <row r="117" ht="35.25" customHeight="1">
      <c r="A117" s="18"/>
      <c r="B117" s="547" t="s">
        <v>1179</v>
      </c>
      <c r="C117" s="598">
        <v>-1.0E8</v>
      </c>
      <c r="D117" s="507"/>
      <c r="E117" s="507"/>
      <c r="F117" s="507"/>
      <c r="G117" s="507"/>
      <c r="H117" s="507"/>
      <c r="I117" s="507"/>
      <c r="J117" s="507"/>
      <c r="K117" s="507"/>
      <c r="L117" s="507"/>
      <c r="M117" s="507"/>
      <c r="N117" s="507"/>
    </row>
    <row r="118" ht="35.25" customHeight="1">
      <c r="A118" s="18"/>
      <c r="B118" s="547" t="s">
        <v>1180</v>
      </c>
      <c r="C118" s="598">
        <v>-1.0E8</v>
      </c>
      <c r="D118" s="507"/>
      <c r="E118" s="507"/>
      <c r="F118" s="507"/>
      <c r="G118" s="507"/>
      <c r="H118" s="507"/>
      <c r="I118" s="507"/>
      <c r="J118" s="507"/>
      <c r="K118" s="507"/>
      <c r="L118" s="507"/>
      <c r="M118" s="507"/>
      <c r="N118" s="507"/>
    </row>
    <row r="119" ht="35.25" customHeight="1">
      <c r="A119" s="18"/>
      <c r="B119" s="547" t="s">
        <v>1181</v>
      </c>
      <c r="C119" s="598">
        <v>-1.0E8</v>
      </c>
      <c r="D119" s="507"/>
      <c r="E119" s="507"/>
      <c r="F119" s="507"/>
      <c r="G119" s="507"/>
      <c r="H119" s="507"/>
      <c r="I119" s="507"/>
      <c r="J119" s="507"/>
      <c r="K119" s="507"/>
      <c r="L119" s="507"/>
      <c r="M119" s="507"/>
      <c r="N119" s="507"/>
    </row>
    <row r="120" ht="35.25" customHeight="1">
      <c r="A120" s="18"/>
      <c r="B120" s="547" t="s">
        <v>1181</v>
      </c>
      <c r="C120" s="598">
        <v>-5.0E7</v>
      </c>
      <c r="D120" s="507"/>
      <c r="E120" s="507"/>
      <c r="F120" s="507"/>
      <c r="G120" s="507"/>
      <c r="H120" s="507"/>
      <c r="I120" s="507"/>
      <c r="J120" s="507"/>
      <c r="K120" s="507"/>
      <c r="L120" s="507"/>
      <c r="M120" s="507"/>
      <c r="N120" s="507"/>
    </row>
    <row r="121" ht="35.25" customHeight="1">
      <c r="A121" s="18"/>
      <c r="B121" s="547" t="s">
        <v>1182</v>
      </c>
      <c r="C121" s="598">
        <v>-1.0E8</v>
      </c>
      <c r="D121" s="507"/>
      <c r="E121" s="507"/>
      <c r="F121" s="507"/>
      <c r="G121" s="507"/>
      <c r="H121" s="507"/>
      <c r="I121" s="507"/>
      <c r="J121" s="507"/>
      <c r="K121" s="507"/>
      <c r="L121" s="507"/>
      <c r="M121" s="507"/>
      <c r="N121" s="507"/>
    </row>
    <row r="122" ht="35.25" customHeight="1">
      <c r="A122" s="18"/>
      <c r="B122" s="547" t="s">
        <v>1183</v>
      </c>
      <c r="C122" s="598">
        <v>-1.22088E8</v>
      </c>
      <c r="D122" s="507"/>
      <c r="E122" s="507"/>
      <c r="F122" s="507"/>
      <c r="G122" s="507"/>
      <c r="H122" s="507"/>
      <c r="I122" s="507"/>
      <c r="J122" s="507"/>
      <c r="K122" s="507"/>
      <c r="L122" s="507"/>
      <c r="M122" s="507"/>
      <c r="N122" s="507"/>
    </row>
    <row r="123" ht="35.25" customHeight="1">
      <c r="A123" s="18"/>
      <c r="B123" s="547" t="s">
        <v>1184</v>
      </c>
      <c r="C123" s="598">
        <v>-1.3E8</v>
      </c>
      <c r="D123" s="507"/>
      <c r="E123" s="507"/>
      <c r="F123" s="507"/>
      <c r="G123" s="507"/>
      <c r="H123" s="507"/>
      <c r="I123" s="507"/>
      <c r="J123" s="507"/>
      <c r="K123" s="507"/>
      <c r="L123" s="507"/>
      <c r="M123" s="507"/>
      <c r="N123" s="507"/>
    </row>
    <row r="124" ht="35.25" customHeight="1">
      <c r="A124" s="18"/>
      <c r="B124" s="547" t="s">
        <v>1184</v>
      </c>
      <c r="C124" s="598">
        <v>-7.0E7</v>
      </c>
      <c r="D124" s="507"/>
      <c r="E124" s="507"/>
      <c r="F124" s="507"/>
      <c r="G124" s="507"/>
      <c r="H124" s="507"/>
      <c r="I124" s="507"/>
      <c r="J124" s="507"/>
      <c r="K124" s="507"/>
      <c r="L124" s="507"/>
      <c r="M124" s="507"/>
      <c r="N124" s="507"/>
    </row>
    <row r="125" ht="35.25" customHeight="1">
      <c r="A125" s="22"/>
      <c r="B125" s="940" t="s">
        <v>1141</v>
      </c>
      <c r="C125" s="941">
        <f>Sum(C116:C124)</f>
        <v>0</v>
      </c>
      <c r="D125" s="507"/>
      <c r="E125" s="507"/>
      <c r="F125" s="507"/>
      <c r="G125" s="507"/>
      <c r="H125" s="507"/>
      <c r="I125" s="507"/>
      <c r="J125" s="507"/>
      <c r="K125" s="507"/>
      <c r="L125" s="507"/>
      <c r="M125" s="507"/>
      <c r="N125" s="507"/>
    </row>
    <row r="126" ht="35.25" customHeight="1">
      <c r="A126" s="939" t="s">
        <v>1185</v>
      </c>
      <c r="B126" s="547" t="s">
        <v>151</v>
      </c>
      <c r="C126" s="598">
        <v>4.19695E8</v>
      </c>
      <c r="D126" s="507"/>
      <c r="E126" s="507"/>
      <c r="F126" s="507"/>
      <c r="G126" s="507"/>
      <c r="H126" s="507"/>
      <c r="I126" s="507"/>
      <c r="J126" s="507"/>
      <c r="K126" s="507"/>
      <c r="L126" s="507"/>
      <c r="M126" s="507"/>
      <c r="N126" s="507"/>
    </row>
    <row r="127" ht="35.25" customHeight="1">
      <c r="A127" s="18"/>
      <c r="B127" s="547" t="s">
        <v>1186</v>
      </c>
      <c r="C127" s="598">
        <v>-1100000.0</v>
      </c>
      <c r="D127" s="507"/>
      <c r="E127" s="507"/>
      <c r="F127" s="507"/>
      <c r="G127" s="507"/>
      <c r="H127" s="507"/>
      <c r="I127" s="507"/>
      <c r="J127" s="507"/>
      <c r="K127" s="507"/>
      <c r="L127" s="507"/>
      <c r="M127" s="507"/>
      <c r="N127" s="507"/>
    </row>
    <row r="128" ht="51.0" customHeight="1">
      <c r="A128" s="18"/>
      <c r="B128" s="547" t="s">
        <v>1187</v>
      </c>
      <c r="C128" s="598">
        <v>-180000.0</v>
      </c>
      <c r="D128" s="507"/>
      <c r="E128" s="507"/>
      <c r="F128" s="507"/>
      <c r="G128" s="507"/>
      <c r="H128" s="507"/>
      <c r="I128" s="507"/>
      <c r="J128" s="507"/>
      <c r="K128" s="507"/>
      <c r="L128" s="507"/>
      <c r="M128" s="507"/>
      <c r="N128" s="507"/>
    </row>
    <row r="129" ht="35.25" customHeight="1">
      <c r="A129" s="18"/>
      <c r="B129" s="706" t="s">
        <v>1188</v>
      </c>
      <c r="C129" s="707">
        <v>-3.3E7</v>
      </c>
      <c r="D129" s="507"/>
      <c r="E129" s="507"/>
      <c r="F129" s="507"/>
      <c r="G129" s="507"/>
      <c r="H129" s="507"/>
      <c r="I129" s="507"/>
      <c r="J129" s="507"/>
      <c r="K129" s="507"/>
      <c r="L129" s="507"/>
      <c r="M129" s="507"/>
      <c r="N129" s="507"/>
    </row>
    <row r="130" ht="35.25" customHeight="1">
      <c r="A130" s="18"/>
      <c r="B130" s="547" t="s">
        <v>1189</v>
      </c>
      <c r="C130" s="598">
        <v>-3.85415E8</v>
      </c>
      <c r="D130" s="507"/>
      <c r="E130" s="507"/>
      <c r="F130" s="507"/>
      <c r="G130" s="507"/>
      <c r="H130" s="507"/>
      <c r="I130" s="507"/>
      <c r="J130" s="507"/>
      <c r="K130" s="507"/>
      <c r="L130" s="507"/>
      <c r="M130" s="507"/>
      <c r="N130" s="507"/>
    </row>
    <row r="131" ht="35.25" customHeight="1">
      <c r="A131" s="22"/>
      <c r="B131" s="940" t="s">
        <v>1141</v>
      </c>
      <c r="C131" s="941">
        <f>Sum(C126:C130)</f>
        <v>0</v>
      </c>
      <c r="D131" s="507"/>
      <c r="E131" s="507"/>
      <c r="F131" s="507"/>
      <c r="G131" s="507"/>
      <c r="H131" s="507"/>
      <c r="I131" s="507"/>
      <c r="J131" s="507"/>
      <c r="K131" s="507"/>
      <c r="L131" s="507"/>
      <c r="M131" s="507"/>
      <c r="N131" s="507"/>
    </row>
    <row r="132" ht="35.25" customHeight="1">
      <c r="A132" s="939" t="s">
        <v>1190</v>
      </c>
      <c r="B132" s="547" t="s">
        <v>151</v>
      </c>
      <c r="C132" s="598">
        <v>8.44838E8</v>
      </c>
      <c r="D132" s="507"/>
      <c r="E132" s="507"/>
      <c r="F132" s="507"/>
      <c r="G132" s="507"/>
      <c r="H132" s="507"/>
      <c r="I132" s="507"/>
      <c r="J132" s="507"/>
      <c r="K132" s="507"/>
      <c r="L132" s="507"/>
      <c r="M132" s="507"/>
      <c r="N132" s="507"/>
    </row>
    <row r="133" ht="35.25" customHeight="1">
      <c r="A133" s="18"/>
      <c r="B133" s="547" t="s">
        <v>1191</v>
      </c>
      <c r="C133" s="598">
        <v>8.35526E7</v>
      </c>
      <c r="D133" s="507"/>
      <c r="E133" s="507"/>
      <c r="F133" s="507"/>
      <c r="G133" s="507"/>
      <c r="H133" s="507"/>
      <c r="I133" s="507"/>
      <c r="J133" s="507"/>
      <c r="K133" s="507"/>
      <c r="L133" s="507"/>
      <c r="M133" s="507"/>
      <c r="N133" s="507"/>
    </row>
    <row r="134" ht="35.25" customHeight="1">
      <c r="A134" s="18"/>
      <c r="B134" s="547" t="s">
        <v>1192</v>
      </c>
      <c r="C134" s="598">
        <v>1.143445E8</v>
      </c>
      <c r="D134" s="507"/>
      <c r="E134" s="507"/>
      <c r="F134" s="507"/>
      <c r="G134" s="507"/>
      <c r="H134" s="507"/>
      <c r="I134" s="507"/>
      <c r="J134" s="507"/>
      <c r="K134" s="507"/>
      <c r="L134" s="507"/>
      <c r="M134" s="507"/>
      <c r="N134" s="507"/>
    </row>
    <row r="135" ht="48.75" customHeight="1">
      <c r="A135" s="18"/>
      <c r="B135" s="547" t="s">
        <v>1193</v>
      </c>
      <c r="C135" s="598">
        <v>7.9381E7</v>
      </c>
      <c r="D135" s="507"/>
      <c r="E135" s="507"/>
      <c r="F135" s="507"/>
      <c r="G135" s="507"/>
      <c r="H135" s="507"/>
      <c r="I135" s="507"/>
      <c r="J135" s="507"/>
      <c r="K135" s="507"/>
      <c r="L135" s="507"/>
      <c r="M135" s="507"/>
      <c r="N135" s="507"/>
    </row>
    <row r="136" ht="35.25" customHeight="1">
      <c r="A136" s="18"/>
      <c r="B136" s="547" t="s">
        <v>1194</v>
      </c>
      <c r="C136" s="598">
        <v>-1750000.0</v>
      </c>
      <c r="D136" s="507"/>
      <c r="E136" s="507"/>
      <c r="F136" s="507"/>
      <c r="G136" s="507"/>
      <c r="H136" s="507"/>
      <c r="I136" s="507"/>
      <c r="J136" s="507"/>
      <c r="K136" s="507"/>
      <c r="L136" s="507"/>
      <c r="M136" s="507"/>
      <c r="N136" s="507"/>
    </row>
    <row r="137" ht="35.25" customHeight="1">
      <c r="A137" s="18"/>
      <c r="B137" s="547" t="s">
        <v>1195</v>
      </c>
      <c r="C137" s="598">
        <v>-1.4E7</v>
      </c>
      <c r="D137" s="507"/>
      <c r="E137" s="507"/>
      <c r="F137" s="507"/>
      <c r="G137" s="507"/>
      <c r="H137" s="507"/>
      <c r="I137" s="507"/>
      <c r="J137" s="507"/>
      <c r="K137" s="507"/>
      <c r="L137" s="507"/>
      <c r="M137" s="507"/>
      <c r="N137" s="507"/>
    </row>
    <row r="138" ht="35.25" customHeight="1">
      <c r="A138" s="18"/>
      <c r="B138" s="547" t="s">
        <v>1196</v>
      </c>
      <c r="C138" s="598">
        <v>-800000.0</v>
      </c>
      <c r="D138" s="507"/>
      <c r="E138" s="507"/>
      <c r="F138" s="507"/>
      <c r="G138" s="507"/>
      <c r="H138" s="507"/>
      <c r="I138" s="507"/>
      <c r="J138" s="507"/>
      <c r="K138" s="507"/>
      <c r="L138" s="507"/>
      <c r="M138" s="507"/>
      <c r="N138" s="507"/>
    </row>
    <row r="139" ht="35.25" customHeight="1">
      <c r="A139" s="18"/>
      <c r="B139" s="547" t="s">
        <v>1197</v>
      </c>
      <c r="C139" s="598">
        <v>-480000.0</v>
      </c>
      <c r="D139" s="507"/>
      <c r="E139" s="507"/>
      <c r="F139" s="507"/>
      <c r="G139" s="507"/>
      <c r="H139" s="507"/>
      <c r="I139" s="507"/>
      <c r="J139" s="507"/>
      <c r="K139" s="507"/>
      <c r="L139" s="507"/>
      <c r="M139" s="507"/>
      <c r="N139" s="507"/>
    </row>
    <row r="140" ht="35.25" customHeight="1">
      <c r="A140" s="22"/>
      <c r="B140" s="940" t="s">
        <v>1141</v>
      </c>
      <c r="C140" s="941">
        <f>Sum(C132:C139)</f>
        <v>1105086100</v>
      </c>
      <c r="D140" s="507"/>
      <c r="E140" s="507"/>
      <c r="F140" s="507"/>
      <c r="G140" s="507"/>
      <c r="H140" s="507"/>
      <c r="I140" s="507"/>
      <c r="J140" s="507"/>
      <c r="K140" s="507"/>
      <c r="L140" s="507"/>
      <c r="M140" s="507"/>
      <c r="N140" s="507"/>
    </row>
    <row r="141" ht="35.25" customHeight="1">
      <c r="A141" s="939" t="s">
        <v>1198</v>
      </c>
      <c r="B141" s="547" t="s">
        <v>151</v>
      </c>
      <c r="C141" s="598">
        <v>8.66815E8</v>
      </c>
      <c r="D141" s="507"/>
      <c r="E141" s="507"/>
      <c r="F141" s="507"/>
      <c r="G141" s="507"/>
      <c r="H141" s="507"/>
      <c r="I141" s="507"/>
      <c r="J141" s="507"/>
      <c r="K141" s="507"/>
      <c r="L141" s="507"/>
      <c r="M141" s="507"/>
      <c r="N141" s="507"/>
    </row>
    <row r="142" ht="35.25" customHeight="1">
      <c r="A142" s="18"/>
      <c r="B142" s="547" t="s">
        <v>1199</v>
      </c>
      <c r="C142" s="598">
        <v>-5000000.0</v>
      </c>
      <c r="D142" s="507"/>
      <c r="E142" s="507"/>
      <c r="F142" s="507"/>
      <c r="G142" s="507"/>
      <c r="H142" s="507"/>
      <c r="I142" s="507"/>
      <c r="J142" s="507"/>
      <c r="K142" s="507"/>
      <c r="L142" s="507"/>
      <c r="M142" s="507"/>
      <c r="N142" s="507"/>
    </row>
    <row r="143" ht="35.25" customHeight="1">
      <c r="A143" s="18"/>
      <c r="B143" s="547" t="s">
        <v>1200</v>
      </c>
      <c r="C143" s="598">
        <v>-1000000.0</v>
      </c>
      <c r="D143" s="507"/>
      <c r="E143" s="507"/>
      <c r="F143" s="507"/>
      <c r="G143" s="507"/>
      <c r="H143" s="507"/>
      <c r="I143" s="507"/>
      <c r="J143" s="507"/>
      <c r="K143" s="507"/>
      <c r="L143" s="507"/>
      <c r="M143" s="507"/>
      <c r="N143" s="507"/>
    </row>
    <row r="144" ht="45.75" customHeight="1">
      <c r="A144" s="18"/>
      <c r="B144" s="547" t="s">
        <v>1201</v>
      </c>
      <c r="C144" s="598">
        <v>-2.0E7</v>
      </c>
      <c r="D144" s="507"/>
      <c r="E144" s="507"/>
      <c r="F144" s="507"/>
      <c r="G144" s="507"/>
      <c r="H144" s="507"/>
      <c r="I144" s="507"/>
      <c r="J144" s="507"/>
      <c r="K144" s="507"/>
      <c r="L144" s="507"/>
      <c r="M144" s="507"/>
      <c r="N144" s="507"/>
    </row>
    <row r="145" ht="48.0" customHeight="1">
      <c r="A145" s="18"/>
      <c r="B145" s="547" t="s">
        <v>1202</v>
      </c>
      <c r="C145" s="598">
        <v>-700000.0</v>
      </c>
      <c r="D145" s="507"/>
      <c r="E145" s="507"/>
      <c r="F145" s="507"/>
      <c r="G145" s="507"/>
      <c r="H145" s="507"/>
      <c r="I145" s="507"/>
      <c r="J145" s="507"/>
      <c r="K145" s="507"/>
      <c r="L145" s="507"/>
      <c r="M145" s="507"/>
      <c r="N145" s="507"/>
    </row>
    <row r="146" ht="35.25" customHeight="1">
      <c r="A146" s="18"/>
      <c r="B146" s="547" t="s">
        <v>1203</v>
      </c>
      <c r="C146" s="598">
        <v>-4000000.0</v>
      </c>
      <c r="D146" s="507"/>
      <c r="E146" s="507"/>
      <c r="F146" s="507"/>
      <c r="G146" s="507"/>
      <c r="H146" s="507"/>
      <c r="I146" s="507"/>
      <c r="J146" s="507"/>
      <c r="K146" s="507"/>
      <c r="L146" s="507"/>
      <c r="M146" s="507"/>
      <c r="N146" s="507"/>
    </row>
    <row r="147" ht="35.25" customHeight="1">
      <c r="A147" s="18"/>
      <c r="B147" s="547" t="s">
        <v>1174</v>
      </c>
      <c r="C147" s="598">
        <v>-8.36115E8</v>
      </c>
      <c r="D147" s="507"/>
      <c r="E147" s="507"/>
      <c r="F147" s="507"/>
      <c r="G147" s="507"/>
      <c r="H147" s="507"/>
      <c r="I147" s="507"/>
      <c r="J147" s="507"/>
      <c r="K147" s="507"/>
      <c r="L147" s="507"/>
      <c r="M147" s="507"/>
      <c r="N147" s="507"/>
    </row>
    <row r="148" ht="35.25" customHeight="1">
      <c r="A148" s="22"/>
      <c r="B148" s="940" t="s">
        <v>1141</v>
      </c>
      <c r="C148" s="941">
        <f>Sum(C141:C147)</f>
        <v>0</v>
      </c>
      <c r="D148" s="507"/>
      <c r="E148" s="507"/>
      <c r="F148" s="507"/>
      <c r="G148" s="507"/>
      <c r="H148" s="507"/>
      <c r="I148" s="507"/>
      <c r="J148" s="507"/>
      <c r="K148" s="507"/>
      <c r="L148" s="507"/>
      <c r="M148" s="507"/>
      <c r="N148" s="507"/>
    </row>
    <row r="149" ht="35.25" customHeight="1">
      <c r="A149" s="939" t="s">
        <v>1204</v>
      </c>
      <c r="B149" s="547" t="s">
        <v>151</v>
      </c>
      <c r="C149" s="598">
        <v>9.77086E8</v>
      </c>
      <c r="D149" s="507"/>
      <c r="E149" s="507"/>
      <c r="F149" s="507"/>
      <c r="G149" s="507"/>
      <c r="H149" s="507"/>
      <c r="I149" s="507"/>
      <c r="J149" s="507"/>
      <c r="K149" s="507"/>
      <c r="L149" s="507"/>
      <c r="M149" s="507"/>
      <c r="N149" s="507"/>
    </row>
    <row r="150" ht="35.25" customHeight="1">
      <c r="A150" s="18"/>
      <c r="B150" s="547"/>
      <c r="C150" s="598">
        <v>-9.77086E8</v>
      </c>
      <c r="D150" s="507"/>
      <c r="E150" s="507"/>
      <c r="F150" s="507"/>
      <c r="G150" s="507"/>
      <c r="H150" s="507"/>
      <c r="I150" s="507"/>
      <c r="J150" s="507"/>
      <c r="K150" s="507"/>
      <c r="L150" s="507"/>
      <c r="M150" s="507"/>
      <c r="N150" s="507"/>
    </row>
    <row r="151" ht="35.25" customHeight="1">
      <c r="A151" s="18"/>
      <c r="B151" s="547"/>
      <c r="C151" s="598"/>
      <c r="D151" s="507"/>
      <c r="E151" s="507"/>
      <c r="F151" s="507"/>
      <c r="G151" s="507"/>
      <c r="H151" s="507"/>
      <c r="I151" s="507"/>
      <c r="J151" s="507"/>
      <c r="K151" s="507"/>
      <c r="L151" s="507"/>
      <c r="M151" s="507"/>
      <c r="N151" s="507"/>
    </row>
    <row r="152" ht="35.25" customHeight="1">
      <c r="A152" s="18"/>
      <c r="B152" s="547"/>
      <c r="C152" s="598"/>
      <c r="D152" s="507"/>
      <c r="E152" s="507"/>
      <c r="F152" s="507"/>
      <c r="G152" s="507"/>
      <c r="H152" s="507"/>
      <c r="I152" s="507"/>
      <c r="J152" s="507"/>
      <c r="K152" s="507"/>
      <c r="L152" s="507"/>
      <c r="M152" s="507"/>
      <c r="N152" s="507"/>
    </row>
    <row r="153" ht="35.25" customHeight="1">
      <c r="A153" s="22"/>
      <c r="B153" s="940" t="s">
        <v>1141</v>
      </c>
      <c r="C153" s="941">
        <f>Sum(C149:C152)</f>
        <v>0</v>
      </c>
      <c r="D153" s="507"/>
      <c r="E153" s="507"/>
      <c r="F153" s="507"/>
      <c r="G153" s="507"/>
      <c r="H153" s="507"/>
      <c r="I153" s="507"/>
      <c r="J153" s="507"/>
      <c r="K153" s="507"/>
      <c r="L153" s="507"/>
      <c r="M153" s="507"/>
      <c r="N153" s="507"/>
    </row>
    <row r="154" ht="35.25" customHeight="1">
      <c r="A154" s="679" t="s">
        <v>1205</v>
      </c>
      <c r="B154" s="547" t="s">
        <v>151</v>
      </c>
      <c r="C154" s="598">
        <v>3.13708E8</v>
      </c>
      <c r="D154" s="507"/>
      <c r="E154" s="507"/>
      <c r="F154" s="507"/>
      <c r="G154" s="507"/>
      <c r="H154" s="507"/>
      <c r="I154" s="507"/>
      <c r="J154" s="507"/>
      <c r="K154" s="507"/>
      <c r="L154" s="507"/>
      <c r="M154" s="507"/>
      <c r="N154" s="507"/>
    </row>
    <row r="155" ht="35.25" customHeight="1">
      <c r="A155" s="18"/>
      <c r="B155" s="547"/>
      <c r="C155" s="598"/>
      <c r="D155" s="507"/>
      <c r="E155" s="507"/>
      <c r="F155" s="507"/>
      <c r="G155" s="507"/>
      <c r="H155" s="507"/>
      <c r="I155" s="507"/>
      <c r="J155" s="507"/>
      <c r="K155" s="507"/>
      <c r="L155" s="507"/>
      <c r="M155" s="507"/>
      <c r="N155" s="507"/>
    </row>
    <row r="156" ht="35.25" customHeight="1">
      <c r="A156" s="18"/>
      <c r="B156" s="547"/>
      <c r="C156" s="598"/>
      <c r="D156" s="507"/>
      <c r="E156" s="507"/>
      <c r="F156" s="507"/>
      <c r="G156" s="507"/>
      <c r="H156" s="507"/>
      <c r="I156" s="507"/>
      <c r="J156" s="507"/>
      <c r="K156" s="507"/>
      <c r="L156" s="507"/>
      <c r="M156" s="507"/>
      <c r="N156" s="507"/>
    </row>
    <row r="157" ht="35.25" customHeight="1">
      <c r="A157" s="18"/>
      <c r="B157" s="547"/>
      <c r="C157" s="598"/>
      <c r="D157" s="507"/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</row>
    <row r="158" ht="35.25" customHeight="1">
      <c r="A158" s="22"/>
      <c r="B158" s="940" t="s">
        <v>1141</v>
      </c>
      <c r="C158" s="941">
        <f>Sum(C154:C157)</f>
        <v>313708000</v>
      </c>
      <c r="D158" s="507"/>
      <c r="E158" s="507"/>
      <c r="F158" s="507"/>
      <c r="G158" s="507"/>
      <c r="H158" s="507"/>
      <c r="I158" s="507"/>
      <c r="J158" s="507"/>
      <c r="K158" s="507"/>
      <c r="L158" s="507"/>
      <c r="M158" s="507"/>
      <c r="N158" s="507"/>
    </row>
    <row r="159" ht="35.25" customHeight="1">
      <c r="A159" s="939" t="s">
        <v>1206</v>
      </c>
      <c r="B159" s="547" t="s">
        <v>151</v>
      </c>
      <c r="C159" s="598">
        <v>1.066973E9</v>
      </c>
      <c r="D159" s="507"/>
      <c r="E159" s="507"/>
      <c r="F159" s="507"/>
      <c r="G159" s="507"/>
      <c r="H159" s="507"/>
      <c r="I159" s="507"/>
      <c r="J159" s="507"/>
      <c r="K159" s="507"/>
      <c r="L159" s="507"/>
      <c r="M159" s="507"/>
      <c r="N159" s="507"/>
    </row>
    <row r="160" ht="35.25" customHeight="1">
      <c r="A160" s="18"/>
      <c r="B160" s="547" t="s">
        <v>1207</v>
      </c>
      <c r="C160" s="598">
        <v>-2400000.0</v>
      </c>
      <c r="D160" s="507"/>
      <c r="E160" s="507"/>
      <c r="F160" s="507"/>
      <c r="G160" s="507"/>
      <c r="H160" s="507"/>
      <c r="I160" s="507"/>
      <c r="J160" s="507"/>
      <c r="K160" s="507"/>
      <c r="L160" s="507"/>
      <c r="M160" s="507"/>
      <c r="N160" s="507"/>
    </row>
    <row r="161" ht="35.25" customHeight="1">
      <c r="A161" s="18"/>
      <c r="B161" s="547" t="s">
        <v>1132</v>
      </c>
      <c r="C161" s="598">
        <v>7500000.0</v>
      </c>
      <c r="D161" s="507"/>
      <c r="E161" s="507"/>
      <c r="F161" s="507"/>
      <c r="G161" s="507"/>
      <c r="H161" s="507"/>
      <c r="I161" s="507"/>
      <c r="J161" s="507"/>
      <c r="K161" s="507"/>
      <c r="L161" s="507"/>
      <c r="M161" s="507"/>
      <c r="N161" s="507"/>
    </row>
    <row r="162" ht="35.25" customHeight="1">
      <c r="A162" s="18"/>
      <c r="B162" s="547" t="s">
        <v>258</v>
      </c>
      <c r="C162" s="598">
        <v>6262000.0</v>
      </c>
      <c r="D162" s="507"/>
      <c r="E162" s="507"/>
      <c r="F162" s="507"/>
      <c r="G162" s="507"/>
      <c r="H162" s="507"/>
      <c r="I162" s="507"/>
      <c r="J162" s="507"/>
      <c r="K162" s="507"/>
      <c r="L162" s="507"/>
      <c r="M162" s="507"/>
      <c r="N162" s="507"/>
    </row>
    <row r="163" ht="35.25" customHeight="1">
      <c r="A163" s="18"/>
      <c r="B163" s="547"/>
      <c r="C163" s="598">
        <v>-1.064573E9</v>
      </c>
      <c r="D163" s="507"/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</row>
    <row r="164" ht="35.25" customHeight="1">
      <c r="A164" s="18"/>
      <c r="B164" s="547" t="s">
        <v>1208</v>
      </c>
      <c r="C164" s="598">
        <v>-1.3762E7</v>
      </c>
      <c r="D164" s="507"/>
      <c r="E164" s="507"/>
      <c r="F164" s="507"/>
      <c r="G164" s="507"/>
      <c r="H164" s="507"/>
      <c r="I164" s="507"/>
      <c r="J164" s="507"/>
      <c r="K164" s="507"/>
      <c r="L164" s="507"/>
      <c r="M164" s="507"/>
      <c r="N164" s="507"/>
    </row>
    <row r="165" ht="35.25" customHeight="1">
      <c r="A165" s="22"/>
      <c r="B165" s="940" t="s">
        <v>1141</v>
      </c>
      <c r="C165" s="941">
        <f>Sum(C159:C164)</f>
        <v>0</v>
      </c>
      <c r="D165" s="507"/>
      <c r="E165" s="507"/>
      <c r="F165" s="507"/>
      <c r="G165" s="507"/>
      <c r="H165" s="507"/>
      <c r="I165" s="507"/>
      <c r="J165" s="507"/>
      <c r="K165" s="507"/>
      <c r="L165" s="507"/>
      <c r="M165" s="507"/>
      <c r="N165" s="507"/>
    </row>
    <row r="166" ht="35.25" customHeight="1">
      <c r="A166" s="939" t="s">
        <v>1209</v>
      </c>
      <c r="B166" s="547" t="s">
        <v>151</v>
      </c>
      <c r="C166" s="598">
        <v>1.715437E9</v>
      </c>
      <c r="D166" s="507"/>
      <c r="E166" s="507"/>
      <c r="F166" s="507"/>
      <c r="G166" s="507"/>
      <c r="H166" s="507"/>
      <c r="I166" s="507"/>
      <c r="J166" s="507"/>
      <c r="K166" s="507"/>
      <c r="L166" s="507"/>
      <c r="M166" s="507"/>
      <c r="N166" s="507"/>
    </row>
    <row r="167" ht="35.25" customHeight="1">
      <c r="A167" s="18"/>
      <c r="B167" s="547" t="s">
        <v>1210</v>
      </c>
      <c r="C167" s="598">
        <v>-2.5E8</v>
      </c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</row>
    <row r="168" ht="35.25" customHeight="1">
      <c r="A168" s="18"/>
      <c r="B168" s="547" t="s">
        <v>1148</v>
      </c>
      <c r="C168" s="598">
        <v>-1.465437E9</v>
      </c>
      <c r="D168" s="507"/>
      <c r="E168" s="507"/>
      <c r="F168" s="507"/>
      <c r="G168" s="507"/>
      <c r="H168" s="507"/>
      <c r="I168" s="507"/>
      <c r="J168" s="507"/>
      <c r="K168" s="507"/>
      <c r="L168" s="507"/>
      <c r="M168" s="507"/>
      <c r="N168" s="507"/>
    </row>
    <row r="169" ht="35.25" customHeight="1">
      <c r="A169" s="18"/>
      <c r="B169" s="547"/>
      <c r="C169" s="598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</row>
    <row r="170" ht="35.25" customHeight="1">
      <c r="A170" s="22"/>
      <c r="B170" s="940" t="s">
        <v>1141</v>
      </c>
      <c r="C170" s="941">
        <f>Sum(C166:C169)</f>
        <v>0</v>
      </c>
      <c r="D170" s="507"/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</row>
    <row r="171" ht="35.25" customHeight="1">
      <c r="A171" s="939" t="s">
        <v>1211</v>
      </c>
      <c r="B171" s="547" t="s">
        <v>151</v>
      </c>
      <c r="C171" s="598">
        <v>6.22189E8</v>
      </c>
      <c r="D171" s="507"/>
      <c r="E171" s="507"/>
      <c r="F171" s="507"/>
      <c r="G171" s="507"/>
      <c r="H171" s="507"/>
      <c r="I171" s="507"/>
      <c r="J171" s="507"/>
      <c r="K171" s="507"/>
      <c r="L171" s="507"/>
      <c r="M171" s="507"/>
      <c r="N171" s="507"/>
    </row>
    <row r="172" ht="35.25" customHeight="1">
      <c r="A172" s="18"/>
      <c r="B172" s="547" t="s">
        <v>1212</v>
      </c>
      <c r="C172" s="598"/>
      <c r="D172" s="507"/>
      <c r="E172" s="507"/>
      <c r="F172" s="507"/>
      <c r="G172" s="507"/>
      <c r="H172" s="507"/>
      <c r="I172" s="507"/>
      <c r="J172" s="507"/>
      <c r="K172" s="507"/>
      <c r="L172" s="507"/>
      <c r="M172" s="507"/>
      <c r="N172" s="507"/>
    </row>
    <row r="173" ht="35.25" customHeight="1">
      <c r="A173" s="18"/>
      <c r="B173" s="547" t="s">
        <v>1213</v>
      </c>
      <c r="C173" s="598">
        <v>-7600000.0</v>
      </c>
      <c r="D173" s="507"/>
      <c r="E173" s="507"/>
      <c r="F173" s="507"/>
      <c r="G173" s="507"/>
      <c r="H173" s="507"/>
      <c r="I173" s="507"/>
      <c r="J173" s="507"/>
      <c r="K173" s="507"/>
      <c r="L173" s="507"/>
      <c r="M173" s="507"/>
      <c r="N173" s="507"/>
    </row>
    <row r="174" ht="35.25" customHeight="1">
      <c r="A174" s="18"/>
      <c r="B174" s="547" t="s">
        <v>1214</v>
      </c>
      <c r="C174" s="598">
        <f>-22*250000</f>
        <v>-5500000</v>
      </c>
      <c r="D174" s="507"/>
      <c r="E174" s="507"/>
      <c r="F174" s="507"/>
      <c r="G174" s="507"/>
      <c r="H174" s="507"/>
      <c r="I174" s="507"/>
      <c r="J174" s="507"/>
      <c r="K174" s="507"/>
      <c r="L174" s="507"/>
      <c r="M174" s="507"/>
      <c r="N174" s="507"/>
    </row>
    <row r="175" ht="35.25" customHeight="1">
      <c r="A175" s="18"/>
      <c r="B175" s="547" t="s">
        <v>1215</v>
      </c>
      <c r="C175" s="598">
        <f>-6*190000</f>
        <v>-1140000</v>
      </c>
      <c r="D175" s="507"/>
      <c r="E175" s="507"/>
      <c r="F175" s="507"/>
      <c r="G175" s="507"/>
      <c r="H175" s="507"/>
      <c r="I175" s="507"/>
      <c r="J175" s="507"/>
      <c r="K175" s="507"/>
      <c r="L175" s="507"/>
      <c r="M175" s="507"/>
      <c r="N175" s="507"/>
    </row>
    <row r="176" ht="35.25" customHeight="1">
      <c r="A176" s="18"/>
      <c r="B176" s="547" t="s">
        <v>1216</v>
      </c>
      <c r="C176" s="598">
        <f>-14*700000</f>
        <v>-9800000</v>
      </c>
      <c r="D176" s="507"/>
      <c r="E176" s="507"/>
      <c r="F176" s="507"/>
      <c r="G176" s="507"/>
      <c r="H176" s="507"/>
      <c r="I176" s="507"/>
      <c r="J176" s="507"/>
      <c r="K176" s="507"/>
      <c r="L176" s="507"/>
      <c r="M176" s="507"/>
      <c r="N176" s="507"/>
    </row>
    <row r="177" ht="35.25" customHeight="1">
      <c r="A177" s="18"/>
      <c r="B177" s="547" t="s">
        <v>1217</v>
      </c>
      <c r="C177" s="598">
        <f>-4*650000</f>
        <v>-2600000</v>
      </c>
      <c r="D177" s="507"/>
      <c r="E177" s="507"/>
      <c r="F177" s="507"/>
      <c r="G177" s="507"/>
      <c r="H177" s="507"/>
      <c r="I177" s="507"/>
      <c r="J177" s="507"/>
      <c r="K177" s="507"/>
      <c r="L177" s="507"/>
      <c r="M177" s="507"/>
      <c r="N177" s="507"/>
    </row>
    <row r="178" ht="35.25" customHeight="1">
      <c r="A178" s="18"/>
      <c r="B178" s="547" t="s">
        <v>1218</v>
      </c>
      <c r="C178" s="598">
        <v>-1400000.0</v>
      </c>
      <c r="D178" s="507"/>
      <c r="E178" s="507"/>
      <c r="F178" s="507"/>
      <c r="G178" s="507"/>
      <c r="H178" s="507"/>
      <c r="I178" s="507"/>
      <c r="J178" s="507"/>
      <c r="K178" s="507"/>
      <c r="L178" s="507"/>
      <c r="M178" s="507"/>
      <c r="N178" s="507"/>
    </row>
    <row r="179" ht="35.25" customHeight="1">
      <c r="A179" s="18"/>
      <c r="B179" s="547" t="s">
        <v>1219</v>
      </c>
      <c r="C179" s="598">
        <f>-1400000-92749000</f>
        <v>-94149000</v>
      </c>
      <c r="D179" s="507"/>
      <c r="E179" s="507"/>
      <c r="F179" s="507"/>
      <c r="G179" s="507"/>
      <c r="H179" s="507"/>
      <c r="I179" s="507"/>
      <c r="J179" s="507"/>
      <c r="K179" s="507"/>
      <c r="L179" s="507"/>
      <c r="M179" s="507"/>
      <c r="N179" s="507"/>
    </row>
    <row r="180" ht="35.25" customHeight="1">
      <c r="A180" s="18"/>
      <c r="B180" s="547" t="s">
        <v>1220</v>
      </c>
      <c r="C180" s="598">
        <v>-3.0E8</v>
      </c>
      <c r="D180" s="507"/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</row>
    <row r="181" ht="35.25" customHeight="1">
      <c r="A181" s="18"/>
      <c r="B181" s="547" t="s">
        <v>1221</v>
      </c>
      <c r="C181" s="598">
        <v>-2.0E8</v>
      </c>
      <c r="D181" s="507"/>
      <c r="E181" s="507"/>
      <c r="F181" s="507"/>
      <c r="G181" s="507"/>
      <c r="H181" s="507"/>
      <c r="I181" s="507"/>
      <c r="J181" s="507"/>
      <c r="K181" s="507"/>
      <c r="L181" s="507"/>
      <c r="M181" s="507"/>
      <c r="N181" s="507"/>
    </row>
    <row r="182" ht="35.25" customHeight="1">
      <c r="A182" s="22"/>
      <c r="B182" s="940" t="s">
        <v>1141</v>
      </c>
      <c r="C182" s="941">
        <f>Sum(C171:C181)</f>
        <v>0</v>
      </c>
      <c r="D182" s="507"/>
      <c r="E182" s="507"/>
      <c r="F182" s="507"/>
      <c r="G182" s="507"/>
      <c r="H182" s="507"/>
      <c r="I182" s="507"/>
      <c r="J182" s="507"/>
      <c r="K182" s="507"/>
      <c r="L182" s="507"/>
      <c r="M182" s="507"/>
      <c r="N182" s="507"/>
    </row>
    <row r="183" ht="35.25" customHeight="1">
      <c r="A183" s="939" t="s">
        <v>1222</v>
      </c>
      <c r="B183" s="547" t="s">
        <v>151</v>
      </c>
      <c r="C183" s="598">
        <v>1.35287E9</v>
      </c>
      <c r="D183" s="507"/>
      <c r="E183" s="507"/>
      <c r="F183" s="507"/>
      <c r="G183" s="507"/>
      <c r="H183" s="507"/>
      <c r="I183" s="507"/>
      <c r="J183" s="507"/>
      <c r="K183" s="507"/>
      <c r="L183" s="507"/>
      <c r="M183" s="507"/>
      <c r="N183" s="507"/>
    </row>
    <row r="184" ht="35.25" customHeight="1">
      <c r="A184" s="18"/>
      <c r="B184" s="547" t="s">
        <v>1177</v>
      </c>
      <c r="C184" s="598">
        <v>-1.35287E9</v>
      </c>
      <c r="D184" s="507"/>
      <c r="E184" s="507"/>
      <c r="F184" s="507"/>
      <c r="G184" s="507"/>
      <c r="H184" s="507"/>
      <c r="I184" s="507"/>
      <c r="J184" s="507"/>
      <c r="K184" s="507"/>
      <c r="L184" s="507"/>
      <c r="M184" s="507"/>
      <c r="N184" s="507"/>
    </row>
    <row r="185" ht="35.25" customHeight="1">
      <c r="A185" s="18"/>
      <c r="B185" s="547"/>
      <c r="C185" s="598"/>
      <c r="D185" s="507"/>
      <c r="E185" s="507"/>
      <c r="F185" s="507"/>
      <c r="G185" s="507"/>
      <c r="H185" s="507"/>
      <c r="I185" s="507"/>
      <c r="J185" s="507"/>
      <c r="K185" s="507"/>
      <c r="L185" s="507"/>
      <c r="M185" s="507"/>
      <c r="N185" s="507"/>
    </row>
    <row r="186" ht="35.25" customHeight="1">
      <c r="A186" s="18"/>
      <c r="B186" s="547"/>
      <c r="C186" s="598"/>
      <c r="D186" s="507"/>
      <c r="E186" s="507"/>
      <c r="F186" s="507"/>
      <c r="G186" s="507"/>
      <c r="H186" s="507"/>
      <c r="I186" s="507"/>
      <c r="J186" s="507"/>
      <c r="K186" s="507"/>
      <c r="L186" s="507"/>
      <c r="M186" s="507"/>
      <c r="N186" s="507"/>
    </row>
    <row r="187" ht="35.25" customHeight="1">
      <c r="A187" s="22"/>
      <c r="B187" s="940" t="s">
        <v>1141</v>
      </c>
      <c r="C187" s="941">
        <f>Sum(C183:C186)</f>
        <v>0</v>
      </c>
      <c r="D187" s="507"/>
      <c r="E187" s="507"/>
      <c r="F187" s="507"/>
      <c r="G187" s="507"/>
      <c r="H187" s="507"/>
      <c r="I187" s="507"/>
      <c r="J187" s="507"/>
      <c r="K187" s="507"/>
      <c r="L187" s="507"/>
      <c r="M187" s="507"/>
      <c r="N187" s="507"/>
    </row>
    <row r="188" ht="35.25" customHeight="1">
      <c r="A188" s="939" t="s">
        <v>1223</v>
      </c>
      <c r="B188" s="547" t="s">
        <v>151</v>
      </c>
      <c r="C188" s="598">
        <v>9.56116E8</v>
      </c>
      <c r="D188" s="507"/>
      <c r="E188" s="507"/>
      <c r="F188" s="507"/>
      <c r="G188" s="507"/>
      <c r="H188" s="507"/>
      <c r="I188" s="507"/>
      <c r="J188" s="507"/>
      <c r="K188" s="507"/>
      <c r="L188" s="507"/>
      <c r="M188" s="507"/>
      <c r="N188" s="507"/>
    </row>
    <row r="189" ht="35.25" customHeight="1">
      <c r="A189" s="18"/>
      <c r="B189" s="547" t="s">
        <v>1152</v>
      </c>
      <c r="C189" s="598">
        <v>-9.53396E8</v>
      </c>
      <c r="D189" s="507"/>
      <c r="E189" s="507"/>
      <c r="F189" s="507"/>
      <c r="G189" s="507"/>
      <c r="H189" s="507"/>
      <c r="I189" s="507"/>
      <c r="J189" s="507"/>
      <c r="K189" s="507"/>
      <c r="L189" s="507"/>
      <c r="M189" s="507"/>
      <c r="N189" s="507"/>
    </row>
    <row r="190" ht="35.25" customHeight="1">
      <c r="A190" s="18"/>
      <c r="B190" s="547"/>
      <c r="C190" s="598">
        <v>-2720000.0</v>
      </c>
      <c r="D190" s="507"/>
      <c r="E190" s="507"/>
      <c r="F190" s="507"/>
      <c r="G190" s="507"/>
      <c r="H190" s="507"/>
      <c r="I190" s="507"/>
      <c r="J190" s="507"/>
      <c r="K190" s="507"/>
      <c r="L190" s="507"/>
      <c r="M190" s="507"/>
      <c r="N190" s="507"/>
    </row>
    <row r="191" ht="35.25" customHeight="1">
      <c r="A191" s="18"/>
      <c r="B191" s="547"/>
      <c r="C191" s="598"/>
      <c r="D191" s="507"/>
      <c r="E191" s="507"/>
      <c r="F191" s="507"/>
      <c r="G191" s="507"/>
      <c r="H191" s="507"/>
      <c r="I191" s="507"/>
      <c r="J191" s="507"/>
      <c r="K191" s="507"/>
      <c r="L191" s="507"/>
      <c r="M191" s="507"/>
      <c r="N191" s="507"/>
    </row>
    <row r="192" ht="35.25" customHeight="1">
      <c r="A192" s="22"/>
      <c r="B192" s="940" t="s">
        <v>1141</v>
      </c>
      <c r="C192" s="941">
        <f>Sum(C188:C191)</f>
        <v>0</v>
      </c>
      <c r="D192" s="507"/>
      <c r="E192" s="507"/>
      <c r="F192" s="507"/>
      <c r="G192" s="507"/>
      <c r="H192" s="507"/>
      <c r="I192" s="507"/>
      <c r="J192" s="507"/>
      <c r="K192" s="507"/>
      <c r="L192" s="507"/>
      <c r="M192" s="507"/>
      <c r="N192" s="507"/>
    </row>
    <row r="193" ht="35.25" customHeight="1">
      <c r="A193" s="939" t="s">
        <v>1224</v>
      </c>
      <c r="B193" s="547" t="s">
        <v>151</v>
      </c>
      <c r="C193" s="598">
        <v>1.102669E9</v>
      </c>
      <c r="D193" s="507"/>
      <c r="E193" s="507"/>
      <c r="F193" s="507"/>
      <c r="G193" s="507"/>
      <c r="H193" s="507"/>
      <c r="I193" s="507"/>
      <c r="J193" s="507"/>
      <c r="K193" s="507"/>
      <c r="L193" s="507"/>
      <c r="M193" s="507"/>
      <c r="N193" s="507"/>
    </row>
    <row r="194" ht="35.25" customHeight="1">
      <c r="A194" s="18"/>
      <c r="B194" s="547" t="s">
        <v>1225</v>
      </c>
      <c r="C194" s="598">
        <v>-1000000.0</v>
      </c>
      <c r="D194" s="507"/>
      <c r="E194" s="507"/>
      <c r="F194" s="507"/>
      <c r="G194" s="507"/>
      <c r="H194" s="507"/>
      <c r="I194" s="507"/>
      <c r="J194" s="507"/>
      <c r="K194" s="507"/>
      <c r="L194" s="507"/>
      <c r="M194" s="507"/>
      <c r="N194" s="507"/>
    </row>
    <row r="195" ht="35.25" customHeight="1">
      <c r="A195" s="18"/>
      <c r="B195" s="706" t="s">
        <v>1226</v>
      </c>
      <c r="C195" s="707">
        <v>-5000000.0</v>
      </c>
      <c r="D195" s="507"/>
      <c r="E195" s="507"/>
      <c r="F195" s="507"/>
      <c r="G195" s="507"/>
      <c r="H195" s="507"/>
      <c r="I195" s="507"/>
      <c r="J195" s="507"/>
      <c r="K195" s="507"/>
      <c r="L195" s="507"/>
      <c r="M195" s="507"/>
      <c r="N195" s="507"/>
    </row>
    <row r="196" ht="35.25" customHeight="1">
      <c r="A196" s="18"/>
      <c r="B196" s="547" t="s">
        <v>1148</v>
      </c>
      <c r="C196" s="598">
        <v>-1.096669E9</v>
      </c>
      <c r="D196" s="507"/>
      <c r="E196" s="507"/>
      <c r="F196" s="507"/>
      <c r="G196" s="507"/>
      <c r="H196" s="507"/>
      <c r="I196" s="507"/>
      <c r="J196" s="507"/>
      <c r="K196" s="507"/>
      <c r="L196" s="507"/>
      <c r="M196" s="507"/>
      <c r="N196" s="507"/>
    </row>
    <row r="197" ht="35.25" customHeight="1">
      <c r="A197" s="22"/>
      <c r="B197" s="940" t="s">
        <v>1141</v>
      </c>
      <c r="C197" s="941">
        <f>Sum(C193:C196)</f>
        <v>0</v>
      </c>
      <c r="D197" s="507"/>
      <c r="E197" s="507"/>
      <c r="F197" s="507"/>
      <c r="G197" s="507"/>
      <c r="H197" s="507"/>
      <c r="I197" s="507"/>
      <c r="J197" s="507"/>
      <c r="K197" s="507"/>
      <c r="L197" s="507"/>
      <c r="M197" s="507"/>
      <c r="N197" s="507"/>
    </row>
    <row r="198" ht="35.25" customHeight="1">
      <c r="A198" s="939" t="s">
        <v>1227</v>
      </c>
      <c r="B198" s="547" t="s">
        <v>151</v>
      </c>
      <c r="C198" s="598">
        <v>1.180019E9</v>
      </c>
      <c r="D198" s="507"/>
      <c r="E198" s="507"/>
      <c r="F198" s="507"/>
      <c r="G198" s="507"/>
      <c r="H198" s="507"/>
      <c r="I198" s="507"/>
      <c r="J198" s="507"/>
      <c r="K198" s="507"/>
      <c r="L198" s="507"/>
      <c r="M198" s="507"/>
      <c r="N198" s="507"/>
    </row>
    <row r="199" ht="35.25" customHeight="1">
      <c r="A199" s="18"/>
      <c r="B199" s="547" t="s">
        <v>1199</v>
      </c>
      <c r="C199" s="598">
        <v>-5000000.0</v>
      </c>
      <c r="D199" s="507"/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</row>
    <row r="200" ht="35.25" customHeight="1">
      <c r="A200" s="18"/>
      <c r="B200" s="547" t="s">
        <v>1148</v>
      </c>
      <c r="C200" s="598">
        <v>-1.175019E9</v>
      </c>
      <c r="D200" s="507"/>
      <c r="E200" s="507"/>
      <c r="F200" s="507"/>
      <c r="G200" s="507"/>
      <c r="H200" s="507"/>
      <c r="I200" s="507"/>
      <c r="J200" s="507"/>
      <c r="K200" s="507"/>
      <c r="L200" s="507"/>
      <c r="M200" s="507"/>
      <c r="N200" s="507"/>
    </row>
    <row r="201" ht="35.25" customHeight="1">
      <c r="A201" s="18"/>
      <c r="B201" s="547"/>
      <c r="C201" s="598"/>
      <c r="D201" s="507"/>
      <c r="E201" s="507"/>
      <c r="F201" s="507"/>
      <c r="G201" s="507"/>
      <c r="H201" s="507"/>
      <c r="I201" s="507"/>
      <c r="J201" s="507"/>
      <c r="K201" s="507"/>
      <c r="L201" s="507"/>
      <c r="M201" s="507"/>
      <c r="N201" s="507"/>
    </row>
    <row r="202" ht="35.25" customHeight="1">
      <c r="A202" s="22"/>
      <c r="B202" s="940" t="s">
        <v>1141</v>
      </c>
      <c r="C202" s="941">
        <f>Sum(C198:C201)</f>
        <v>0</v>
      </c>
      <c r="D202" s="507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</row>
    <row r="203" ht="35.25" customHeight="1">
      <c r="A203" s="939" t="s">
        <v>1228</v>
      </c>
      <c r="B203" s="547" t="s">
        <v>151</v>
      </c>
      <c r="C203" s="598">
        <v>3.3424E8</v>
      </c>
      <c r="D203" s="507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</row>
    <row r="204" ht="35.25" customHeight="1">
      <c r="A204" s="18"/>
      <c r="B204" s="547" t="s">
        <v>1229</v>
      </c>
      <c r="C204" s="598">
        <v>-3.3424E8</v>
      </c>
      <c r="D204" s="507"/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</row>
    <row r="205" ht="35.25" customHeight="1">
      <c r="A205" s="18"/>
      <c r="B205" s="547"/>
      <c r="C205" s="598"/>
      <c r="D205" s="507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</row>
    <row r="206" ht="35.25" customHeight="1">
      <c r="A206" s="18"/>
      <c r="B206" s="547"/>
      <c r="C206" s="598"/>
      <c r="D206" s="507"/>
      <c r="E206" s="507"/>
      <c r="F206" s="507"/>
      <c r="G206" s="507"/>
      <c r="H206" s="507"/>
      <c r="I206" s="507"/>
      <c r="J206" s="507"/>
      <c r="K206" s="507"/>
      <c r="L206" s="507"/>
      <c r="M206" s="507"/>
      <c r="N206" s="507"/>
    </row>
    <row r="207" ht="35.25" customHeight="1">
      <c r="A207" s="22"/>
      <c r="B207" s="940" t="s">
        <v>1141</v>
      </c>
      <c r="C207" s="941">
        <f>Sum(C203:C206)</f>
        <v>0</v>
      </c>
      <c r="D207" s="507"/>
      <c r="E207" s="507"/>
      <c r="F207" s="507"/>
      <c r="G207" s="507"/>
      <c r="H207" s="507"/>
      <c r="I207" s="507"/>
      <c r="J207" s="507"/>
      <c r="K207" s="507"/>
      <c r="L207" s="507"/>
      <c r="M207" s="507"/>
      <c r="N207" s="507"/>
    </row>
    <row r="208" ht="35.25" customHeight="1">
      <c r="A208" s="939" t="s">
        <v>1230</v>
      </c>
      <c r="B208" s="547" t="s">
        <v>151</v>
      </c>
      <c r="C208" s="598">
        <v>2.086E8</v>
      </c>
      <c r="D208" s="507"/>
      <c r="E208" s="507"/>
      <c r="F208" s="507"/>
      <c r="G208" s="507"/>
      <c r="H208" s="507"/>
      <c r="I208" s="507"/>
      <c r="J208" s="507"/>
      <c r="K208" s="507"/>
      <c r="L208" s="507"/>
      <c r="M208" s="507"/>
      <c r="N208" s="507"/>
    </row>
    <row r="209" ht="35.25" customHeight="1">
      <c r="A209" s="18"/>
      <c r="B209" s="547" t="s">
        <v>235</v>
      </c>
      <c r="C209" s="598">
        <v>-1.086E8</v>
      </c>
      <c r="D209" s="507"/>
      <c r="E209" s="507"/>
      <c r="F209" s="507"/>
      <c r="G209" s="507"/>
      <c r="H209" s="507"/>
      <c r="I209" s="507"/>
      <c r="J209" s="507"/>
      <c r="K209" s="507"/>
      <c r="L209" s="507"/>
      <c r="M209" s="507"/>
      <c r="N209" s="507"/>
    </row>
    <row r="210" ht="35.25" customHeight="1">
      <c r="A210" s="18"/>
      <c r="B210" s="547" t="s">
        <v>1231</v>
      </c>
      <c r="C210" s="598">
        <v>-5.0E7</v>
      </c>
      <c r="D210" s="507"/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</row>
    <row r="211" ht="35.25" customHeight="1">
      <c r="A211" s="18"/>
      <c r="B211" s="547" t="s">
        <v>1232</v>
      </c>
      <c r="C211" s="598">
        <v>-5.0E7</v>
      </c>
      <c r="D211" s="507"/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</row>
    <row r="212" ht="35.25" customHeight="1">
      <c r="A212" s="22"/>
      <c r="B212" s="940" t="s">
        <v>1141</v>
      </c>
      <c r="C212" s="941">
        <f>Sum(C208:C211)</f>
        <v>0</v>
      </c>
      <c r="D212" s="507"/>
      <c r="E212" s="507"/>
      <c r="F212" s="507"/>
      <c r="G212" s="507"/>
      <c r="H212" s="507"/>
      <c r="I212" s="507"/>
      <c r="J212" s="507"/>
      <c r="K212" s="507"/>
      <c r="L212" s="507"/>
      <c r="M212" s="507"/>
      <c r="N212" s="507"/>
    </row>
    <row r="213" ht="35.25" customHeight="1">
      <c r="A213" s="939" t="s">
        <v>1233</v>
      </c>
      <c r="B213" s="547" t="s">
        <v>151</v>
      </c>
      <c r="C213" s="598">
        <v>1.500298E9</v>
      </c>
      <c r="D213" s="507"/>
      <c r="E213" s="507"/>
      <c r="F213" s="507"/>
      <c r="G213" s="507"/>
      <c r="H213" s="507"/>
      <c r="I213" s="507"/>
      <c r="J213" s="507"/>
      <c r="K213" s="507"/>
      <c r="L213" s="507"/>
      <c r="M213" s="507"/>
      <c r="N213" s="507"/>
    </row>
    <row r="214" ht="35.25" customHeight="1">
      <c r="A214" s="18"/>
      <c r="B214" s="547" t="s">
        <v>1234</v>
      </c>
      <c r="C214" s="598">
        <v>-6.0E8</v>
      </c>
      <c r="D214" s="507"/>
      <c r="E214" s="507"/>
      <c r="F214" s="507"/>
      <c r="G214" s="507"/>
      <c r="H214" s="507"/>
      <c r="I214" s="507"/>
      <c r="J214" s="507"/>
      <c r="K214" s="507"/>
      <c r="L214" s="507"/>
      <c r="M214" s="507"/>
      <c r="N214" s="507"/>
    </row>
    <row r="215" ht="35.25" customHeight="1">
      <c r="A215" s="18"/>
      <c r="B215" s="547" t="s">
        <v>1235</v>
      </c>
      <c r="C215" s="598">
        <v>-999000.0</v>
      </c>
      <c r="D215" s="507"/>
      <c r="E215" s="507"/>
      <c r="F215" s="507"/>
      <c r="G215" s="507"/>
      <c r="H215" s="507"/>
      <c r="I215" s="507"/>
      <c r="J215" s="507"/>
      <c r="K215" s="507"/>
      <c r="L215" s="507"/>
      <c r="M215" s="507"/>
      <c r="N215" s="507"/>
    </row>
    <row r="216" ht="35.25" customHeight="1">
      <c r="A216" s="18"/>
      <c r="B216" s="547" t="s">
        <v>1236</v>
      </c>
      <c r="C216" s="598">
        <v>-7.0E8</v>
      </c>
      <c r="D216" s="507"/>
      <c r="E216" s="507"/>
      <c r="F216" s="507"/>
      <c r="G216" s="507"/>
      <c r="H216" s="507"/>
      <c r="I216" s="507"/>
      <c r="J216" s="507"/>
      <c r="K216" s="507"/>
      <c r="L216" s="507"/>
      <c r="M216" s="507"/>
      <c r="N216" s="507"/>
    </row>
    <row r="217" ht="35.25" customHeight="1">
      <c r="A217" s="18"/>
      <c r="B217" s="547" t="s">
        <v>1237</v>
      </c>
      <c r="C217" s="598">
        <v>-3.2E7</v>
      </c>
      <c r="D217" s="507"/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</row>
    <row r="218" ht="35.25" customHeight="1">
      <c r="A218" s="18"/>
      <c r="B218" s="547" t="s">
        <v>1238</v>
      </c>
      <c r="C218" s="598">
        <v>-1.67299E8</v>
      </c>
      <c r="D218" s="507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</row>
    <row r="219" ht="35.25" customHeight="1">
      <c r="A219" s="22"/>
      <c r="B219" s="940" t="s">
        <v>1141</v>
      </c>
      <c r="C219" s="941">
        <f>Sum(C213:C216)</f>
        <v>199299000</v>
      </c>
      <c r="D219" s="507"/>
      <c r="E219" s="507"/>
      <c r="F219" s="507"/>
      <c r="G219" s="507"/>
      <c r="H219" s="507"/>
      <c r="I219" s="507"/>
      <c r="J219" s="507"/>
      <c r="K219" s="507"/>
      <c r="L219" s="507"/>
      <c r="M219" s="507"/>
      <c r="N219" s="507"/>
    </row>
    <row r="220" ht="35.25" customHeight="1">
      <c r="A220" s="939" t="s">
        <v>1239</v>
      </c>
      <c r="B220" s="547" t="s">
        <v>151</v>
      </c>
      <c r="C220" s="598">
        <v>4.165255E9</v>
      </c>
      <c r="D220" s="507"/>
      <c r="E220" s="507"/>
      <c r="F220" s="507"/>
      <c r="G220" s="507"/>
      <c r="H220" s="507"/>
      <c r="I220" s="507"/>
      <c r="J220" s="507"/>
      <c r="K220" s="507"/>
      <c r="L220" s="507"/>
      <c r="M220" s="507"/>
      <c r="N220" s="507"/>
    </row>
    <row r="221" ht="35.25" customHeight="1">
      <c r="A221" s="18"/>
      <c r="B221" s="547" t="s">
        <v>1148</v>
      </c>
      <c r="C221" s="598">
        <v>-4.165255E9</v>
      </c>
      <c r="D221" s="507"/>
      <c r="E221" s="507"/>
      <c r="F221" s="507"/>
      <c r="G221" s="507"/>
      <c r="H221" s="507"/>
      <c r="I221" s="507"/>
      <c r="J221" s="507"/>
      <c r="K221" s="507"/>
      <c r="L221" s="507"/>
      <c r="M221" s="507"/>
      <c r="N221" s="507"/>
    </row>
    <row r="222" ht="35.25" customHeight="1">
      <c r="A222" s="18"/>
      <c r="B222" s="547"/>
      <c r="C222" s="598"/>
      <c r="D222" s="507"/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</row>
    <row r="223" ht="35.25" customHeight="1">
      <c r="A223" s="18"/>
      <c r="B223" s="547"/>
      <c r="C223" s="598"/>
      <c r="D223" s="507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</row>
    <row r="224" ht="35.25" customHeight="1">
      <c r="A224" s="22"/>
      <c r="B224" s="940" t="s">
        <v>1141</v>
      </c>
      <c r="C224" s="941">
        <f>Sum(C220:C223)</f>
        <v>0</v>
      </c>
      <c r="D224" s="508"/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</row>
    <row r="225" ht="35.25" customHeight="1">
      <c r="A225" s="939" t="s">
        <v>1240</v>
      </c>
      <c r="B225" s="547" t="s">
        <v>151</v>
      </c>
      <c r="C225" s="598">
        <v>8.55483E8</v>
      </c>
      <c r="D225" s="508"/>
      <c r="E225" s="507"/>
      <c r="F225" s="507"/>
      <c r="G225" s="507"/>
      <c r="H225" s="507"/>
      <c r="I225" s="507"/>
      <c r="J225" s="507"/>
      <c r="K225" s="507"/>
      <c r="L225" s="507"/>
      <c r="M225" s="507"/>
      <c r="N225" s="507"/>
    </row>
    <row r="226" ht="35.25" customHeight="1">
      <c r="A226" s="18"/>
      <c r="B226" s="547" t="s">
        <v>235</v>
      </c>
      <c r="C226" s="598">
        <v>-2.0E8</v>
      </c>
      <c r="D226" s="508"/>
      <c r="E226" s="507"/>
      <c r="F226" s="507"/>
      <c r="G226" s="507"/>
      <c r="H226" s="507"/>
      <c r="I226" s="507"/>
      <c r="J226" s="507"/>
      <c r="K226" s="507"/>
      <c r="L226" s="507"/>
      <c r="M226" s="507"/>
      <c r="N226" s="507"/>
    </row>
    <row r="227" ht="35.25" customHeight="1">
      <c r="A227" s="18"/>
      <c r="B227" s="547" t="s">
        <v>1241</v>
      </c>
      <c r="C227" s="598">
        <v>-1.5E8</v>
      </c>
      <c r="D227" s="508"/>
      <c r="E227" s="507"/>
      <c r="F227" s="507"/>
      <c r="G227" s="507"/>
      <c r="H227" s="507"/>
      <c r="I227" s="507"/>
      <c r="J227" s="507"/>
      <c r="K227" s="507"/>
      <c r="L227" s="507"/>
      <c r="M227" s="507"/>
      <c r="N227" s="507"/>
    </row>
    <row r="228" ht="35.25" customHeight="1">
      <c r="A228" s="18"/>
      <c r="B228" s="547" t="s">
        <v>1241</v>
      </c>
      <c r="C228" s="598">
        <v>-2.0E8</v>
      </c>
      <c r="D228" s="508"/>
      <c r="E228" s="507"/>
      <c r="F228" s="507"/>
      <c r="G228" s="507"/>
      <c r="H228" s="507"/>
      <c r="I228" s="507"/>
      <c r="J228" s="507"/>
      <c r="K228" s="507"/>
      <c r="L228" s="507"/>
      <c r="M228" s="507"/>
      <c r="N228" s="507"/>
    </row>
    <row r="229" ht="35.25" customHeight="1">
      <c r="A229" s="18"/>
      <c r="B229" s="547" t="s">
        <v>1242</v>
      </c>
      <c r="C229" s="598">
        <v>-1.0E8</v>
      </c>
      <c r="D229" s="508"/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</row>
    <row r="230" ht="35.25" customHeight="1">
      <c r="A230" s="18"/>
      <c r="B230" s="547" t="s">
        <v>1242</v>
      </c>
      <c r="C230" s="598">
        <v>-5483000.0</v>
      </c>
      <c r="D230" s="508"/>
      <c r="E230" s="507"/>
      <c r="F230" s="507"/>
      <c r="G230" s="507"/>
      <c r="H230" s="507"/>
      <c r="I230" s="507"/>
      <c r="J230" s="507"/>
      <c r="K230" s="507"/>
      <c r="L230" s="507"/>
      <c r="M230" s="507"/>
      <c r="N230" s="507"/>
    </row>
    <row r="231" ht="35.25" customHeight="1">
      <c r="A231" s="18"/>
      <c r="B231" s="547" t="s">
        <v>1243</v>
      </c>
      <c r="C231" s="598">
        <v>-2.0E8</v>
      </c>
      <c r="D231" s="508"/>
      <c r="E231" s="507"/>
      <c r="F231" s="507"/>
      <c r="G231" s="507"/>
      <c r="H231" s="507"/>
      <c r="I231" s="507"/>
      <c r="J231" s="507"/>
      <c r="K231" s="507"/>
      <c r="L231" s="507"/>
      <c r="M231" s="507"/>
      <c r="N231" s="507"/>
    </row>
    <row r="232" ht="35.25" customHeight="1">
      <c r="A232" s="22"/>
      <c r="B232" s="940" t="s">
        <v>1141</v>
      </c>
      <c r="C232" s="941">
        <f>Sum(C225:C231)</f>
        <v>0</v>
      </c>
      <c r="D232" s="508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</row>
    <row r="233" ht="35.25" customHeight="1">
      <c r="A233" s="939" t="s">
        <v>1244</v>
      </c>
      <c r="B233" s="547" t="s">
        <v>151</v>
      </c>
      <c r="C233" s="598">
        <v>7.04073E8</v>
      </c>
      <c r="D233" s="508"/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</row>
    <row r="234" ht="35.25" customHeight="1">
      <c r="A234" s="18"/>
      <c r="B234" s="547" t="s">
        <v>1245</v>
      </c>
      <c r="C234" s="598">
        <v>2.365E7</v>
      </c>
      <c r="D234" s="508"/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</row>
    <row r="235" ht="35.25" customHeight="1">
      <c r="A235" s="18"/>
      <c r="B235" s="547" t="s">
        <v>1241</v>
      </c>
      <c r="C235" s="598">
        <v>-3.0E8</v>
      </c>
      <c r="D235" s="508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</row>
    <row r="236" ht="35.25" customHeight="1">
      <c r="A236" s="18"/>
      <c r="B236" s="547" t="s">
        <v>1241</v>
      </c>
      <c r="C236" s="598">
        <v>-1.0E8</v>
      </c>
      <c r="D236" s="508"/>
      <c r="E236" s="507"/>
      <c r="F236" s="507"/>
      <c r="G236" s="507"/>
      <c r="H236" s="507"/>
      <c r="I236" s="507"/>
      <c r="J236" s="507"/>
      <c r="K236" s="507"/>
      <c r="L236" s="507"/>
      <c r="M236" s="507"/>
      <c r="N236" s="507"/>
    </row>
    <row r="237" ht="35.25" customHeight="1">
      <c r="A237" s="18"/>
      <c r="B237" s="547" t="s">
        <v>1246</v>
      </c>
      <c r="C237" s="598">
        <v>-2.0E8</v>
      </c>
      <c r="D237" s="508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</row>
    <row r="238" ht="35.25" customHeight="1">
      <c r="A238" s="18"/>
      <c r="B238" s="547" t="s">
        <v>1232</v>
      </c>
      <c r="C238" s="598">
        <v>-1.27723E8</v>
      </c>
      <c r="D238" s="508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</row>
    <row r="239" ht="35.25" customHeight="1">
      <c r="A239" s="22"/>
      <c r="B239" s="940" t="s">
        <v>1141</v>
      </c>
      <c r="C239" s="941">
        <f>Sum(C233:C238)</f>
        <v>0</v>
      </c>
      <c r="D239" s="508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</row>
    <row r="240" ht="35.25" customHeight="1">
      <c r="A240" s="679" t="s">
        <v>1247</v>
      </c>
      <c r="B240" s="547" t="s">
        <v>151</v>
      </c>
      <c r="C240" s="598">
        <v>1.009835E9</v>
      </c>
      <c r="D240" s="508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</row>
    <row r="241" ht="35.25" customHeight="1">
      <c r="A241" s="18"/>
      <c r="B241" s="547" t="s">
        <v>1248</v>
      </c>
      <c r="C241" s="598">
        <v>-100000.0</v>
      </c>
      <c r="D241" s="508"/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</row>
    <row r="242" ht="35.25" customHeight="1">
      <c r="A242" s="18"/>
      <c r="B242" s="547" t="s">
        <v>1249</v>
      </c>
      <c r="C242" s="598">
        <v>-1.0E7</v>
      </c>
      <c r="D242" s="508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</row>
    <row r="243" ht="35.25" customHeight="1">
      <c r="A243" s="18"/>
      <c r="B243" s="547" t="s">
        <v>1250</v>
      </c>
      <c r="C243" s="598">
        <v>-5.0E8</v>
      </c>
      <c r="D243" s="508"/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</row>
    <row r="244" ht="35.25" customHeight="1">
      <c r="A244" s="18"/>
      <c r="B244" s="547" t="s">
        <v>1251</v>
      </c>
      <c r="C244" s="598">
        <v>-3.0E8</v>
      </c>
      <c r="D244" s="508"/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</row>
    <row r="245" ht="35.25" customHeight="1">
      <c r="A245" s="18"/>
      <c r="B245" s="547" t="s">
        <v>1252</v>
      </c>
      <c r="C245" s="598">
        <v>-5.0E7</v>
      </c>
      <c r="D245" s="508"/>
      <c r="E245" s="507"/>
      <c r="F245" s="507"/>
      <c r="G245" s="507"/>
      <c r="H245" s="507"/>
      <c r="I245" s="507"/>
      <c r="J245" s="507"/>
      <c r="K245" s="507"/>
      <c r="L245" s="507"/>
      <c r="M245" s="507"/>
      <c r="N245" s="507"/>
    </row>
    <row r="246" ht="35.25" customHeight="1">
      <c r="A246" s="18"/>
      <c r="B246" s="547" t="s">
        <v>1253</v>
      </c>
      <c r="C246" s="598">
        <v>-7.9735E7</v>
      </c>
      <c r="D246" s="508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</row>
    <row r="247" ht="35.25" customHeight="1">
      <c r="A247" s="18"/>
      <c r="B247" s="547" t="s">
        <v>1254</v>
      </c>
      <c r="C247" s="598">
        <v>-2.0E7</v>
      </c>
      <c r="D247" s="508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</row>
    <row r="248" ht="35.25" customHeight="1">
      <c r="A248" s="22"/>
      <c r="B248" s="940" t="s">
        <v>1141</v>
      </c>
      <c r="C248" s="941">
        <f>Sum(C240:C247)</f>
        <v>50000000</v>
      </c>
      <c r="D248" s="508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</row>
    <row r="249" ht="35.25" customHeight="1">
      <c r="A249" s="939" t="s">
        <v>1255</v>
      </c>
      <c r="B249" s="547" t="s">
        <v>151</v>
      </c>
      <c r="C249" s="598">
        <v>6.74349E8</v>
      </c>
      <c r="D249" s="508"/>
      <c r="E249" s="507"/>
      <c r="F249" s="507"/>
      <c r="G249" s="507"/>
      <c r="H249" s="507"/>
      <c r="I249" s="507"/>
      <c r="J249" s="507"/>
      <c r="K249" s="507"/>
      <c r="L249" s="507"/>
      <c r="M249" s="507"/>
      <c r="N249" s="507"/>
    </row>
    <row r="250" ht="35.25" customHeight="1">
      <c r="A250" s="18"/>
      <c r="B250" s="547" t="s">
        <v>1256</v>
      </c>
      <c r="C250" s="598">
        <v>-3.0E8</v>
      </c>
      <c r="D250" s="508"/>
      <c r="E250" s="507"/>
      <c r="F250" s="507"/>
      <c r="G250" s="507"/>
      <c r="H250" s="507"/>
      <c r="I250" s="507"/>
      <c r="J250" s="507"/>
      <c r="K250" s="507"/>
      <c r="L250" s="507"/>
      <c r="M250" s="507"/>
      <c r="N250" s="507"/>
    </row>
    <row r="251" ht="35.25" customHeight="1">
      <c r="A251" s="18"/>
      <c r="B251" s="547" t="s">
        <v>1257</v>
      </c>
      <c r="C251" s="598">
        <v>-3500000.0</v>
      </c>
      <c r="D251" s="508"/>
      <c r="E251" s="507"/>
      <c r="F251" s="507"/>
      <c r="G251" s="507"/>
      <c r="H251" s="507"/>
      <c r="I251" s="507"/>
      <c r="J251" s="507"/>
      <c r="K251" s="507"/>
      <c r="L251" s="507"/>
      <c r="M251" s="507"/>
      <c r="N251" s="507"/>
    </row>
    <row r="252" ht="35.25" customHeight="1">
      <c r="A252" s="18"/>
      <c r="B252" s="547" t="s">
        <v>1258</v>
      </c>
      <c r="C252" s="598">
        <v>-1000000.0</v>
      </c>
      <c r="D252" s="508"/>
      <c r="E252" s="507"/>
      <c r="F252" s="507"/>
      <c r="G252" s="507"/>
      <c r="H252" s="507"/>
      <c r="I252" s="507"/>
      <c r="J252" s="507"/>
      <c r="K252" s="507"/>
      <c r="L252" s="507"/>
      <c r="M252" s="507"/>
      <c r="N252" s="507"/>
    </row>
    <row r="253" ht="35.25" customHeight="1">
      <c r="A253" s="18"/>
      <c r="B253" s="547" t="s">
        <v>1259</v>
      </c>
      <c r="C253" s="598">
        <v>-3.69849E8</v>
      </c>
      <c r="D253" s="508"/>
      <c r="E253" s="507"/>
      <c r="F253" s="507"/>
      <c r="G253" s="507"/>
      <c r="H253" s="507"/>
      <c r="I253" s="507"/>
      <c r="J253" s="507"/>
      <c r="K253" s="507"/>
      <c r="L253" s="507"/>
      <c r="M253" s="507"/>
      <c r="N253" s="507"/>
    </row>
    <row r="254" ht="35.25" customHeight="1">
      <c r="A254" s="22"/>
      <c r="B254" s="940" t="s">
        <v>1141</v>
      </c>
      <c r="C254" s="941">
        <f>Sum(C249:C253)</f>
        <v>0</v>
      </c>
      <c r="D254" s="508"/>
      <c r="E254" s="507"/>
      <c r="F254" s="507"/>
      <c r="G254" s="507"/>
      <c r="H254" s="507"/>
      <c r="I254" s="507"/>
      <c r="J254" s="507"/>
      <c r="K254" s="507"/>
      <c r="L254" s="507"/>
      <c r="M254" s="507"/>
      <c r="N254" s="507"/>
    </row>
    <row r="255" ht="35.25" customHeight="1">
      <c r="A255" s="939" t="s">
        <v>1260</v>
      </c>
      <c r="B255" s="547" t="s">
        <v>151</v>
      </c>
      <c r="C255" s="598">
        <v>8.49372E8</v>
      </c>
      <c r="D255" s="508"/>
      <c r="E255" s="507"/>
      <c r="F255" s="507"/>
      <c r="G255" s="507"/>
      <c r="H255" s="507"/>
      <c r="I255" s="507"/>
      <c r="J255" s="507"/>
      <c r="K255" s="507"/>
      <c r="L255" s="507"/>
      <c r="M255" s="507"/>
      <c r="N255" s="507"/>
    </row>
    <row r="256" ht="35.25" customHeight="1">
      <c r="A256" s="18"/>
      <c r="B256" s="547" t="s">
        <v>235</v>
      </c>
      <c r="C256" s="598">
        <v>-5.0E8</v>
      </c>
      <c r="D256" s="508"/>
      <c r="E256" s="507"/>
      <c r="F256" s="507"/>
      <c r="G256" s="507"/>
      <c r="H256" s="507"/>
      <c r="I256" s="507"/>
      <c r="J256" s="507"/>
      <c r="K256" s="507"/>
      <c r="L256" s="507"/>
      <c r="M256" s="507"/>
      <c r="N256" s="507"/>
    </row>
    <row r="257" ht="35.25" customHeight="1">
      <c r="A257" s="18"/>
      <c r="B257" s="547" t="s">
        <v>1231</v>
      </c>
      <c r="C257" s="598">
        <v>-3.49372E8</v>
      </c>
      <c r="D257" s="508"/>
      <c r="E257" s="507"/>
      <c r="F257" s="507"/>
      <c r="G257" s="507"/>
      <c r="H257" s="507"/>
      <c r="I257" s="507"/>
      <c r="J257" s="507"/>
      <c r="K257" s="507"/>
      <c r="L257" s="507"/>
      <c r="M257" s="507"/>
      <c r="N257" s="507"/>
    </row>
    <row r="258" ht="35.25" customHeight="1">
      <c r="A258" s="18"/>
      <c r="B258" s="547"/>
      <c r="C258" s="598"/>
      <c r="D258" s="508"/>
      <c r="E258" s="507"/>
      <c r="F258" s="507"/>
      <c r="G258" s="507"/>
      <c r="H258" s="507"/>
      <c r="I258" s="507"/>
      <c r="J258" s="507"/>
      <c r="K258" s="507"/>
      <c r="L258" s="507"/>
      <c r="M258" s="507"/>
      <c r="N258" s="507"/>
    </row>
    <row r="259" ht="35.25" customHeight="1">
      <c r="A259" s="22"/>
      <c r="B259" s="940" t="s">
        <v>1141</v>
      </c>
      <c r="C259" s="941">
        <f>Sum(C255:C258)</f>
        <v>0</v>
      </c>
      <c r="D259" s="508"/>
      <c r="E259" s="507"/>
      <c r="F259" s="507"/>
      <c r="G259" s="507"/>
      <c r="H259" s="507"/>
      <c r="I259" s="507"/>
      <c r="J259" s="507"/>
      <c r="K259" s="507"/>
      <c r="L259" s="507"/>
      <c r="M259" s="507"/>
      <c r="N259" s="507"/>
    </row>
    <row r="260" ht="35.25" customHeight="1">
      <c r="A260" s="939" t="s">
        <v>1261</v>
      </c>
      <c r="B260" s="547" t="s">
        <v>151</v>
      </c>
      <c r="C260" s="598">
        <v>1.41042E8</v>
      </c>
      <c r="D260" s="508"/>
      <c r="E260" s="507"/>
      <c r="F260" s="507"/>
      <c r="G260" s="507"/>
      <c r="H260" s="507"/>
      <c r="I260" s="507"/>
      <c r="J260" s="507"/>
      <c r="K260" s="507"/>
      <c r="L260" s="507"/>
      <c r="M260" s="507"/>
      <c r="N260" s="507"/>
    </row>
    <row r="261" ht="35.25" customHeight="1">
      <c r="A261" s="18"/>
      <c r="B261" s="547" t="s">
        <v>1262</v>
      </c>
      <c r="C261" s="598">
        <v>-7.0521E7</v>
      </c>
      <c r="D261" s="508"/>
      <c r="E261" s="507"/>
      <c r="F261" s="507"/>
      <c r="G261" s="507"/>
      <c r="H261" s="507"/>
      <c r="I261" s="507"/>
      <c r="J261" s="507"/>
      <c r="K261" s="507"/>
      <c r="L261" s="507"/>
      <c r="M261" s="507"/>
      <c r="N261" s="507"/>
    </row>
    <row r="262" ht="35.25" customHeight="1">
      <c r="A262" s="18"/>
      <c r="B262" s="547" t="s">
        <v>1263</v>
      </c>
      <c r="C262" s="598">
        <v>-7.0521E7</v>
      </c>
      <c r="D262" s="508"/>
      <c r="E262" s="507"/>
      <c r="F262" s="507"/>
      <c r="G262" s="507"/>
      <c r="H262" s="507"/>
      <c r="I262" s="507"/>
      <c r="J262" s="507"/>
      <c r="K262" s="507"/>
      <c r="L262" s="507"/>
      <c r="M262" s="507"/>
      <c r="N262" s="507"/>
    </row>
    <row r="263" ht="35.25" customHeight="1">
      <c r="A263" s="18"/>
      <c r="B263" s="547"/>
      <c r="C263" s="598"/>
      <c r="D263" s="508"/>
      <c r="E263" s="507"/>
      <c r="F263" s="507"/>
      <c r="G263" s="507"/>
      <c r="H263" s="507"/>
      <c r="I263" s="507"/>
      <c r="J263" s="507"/>
      <c r="K263" s="507"/>
      <c r="L263" s="507"/>
      <c r="M263" s="507"/>
      <c r="N263" s="507"/>
    </row>
    <row r="264" ht="35.25" customHeight="1">
      <c r="A264" s="22"/>
      <c r="B264" s="940" t="s">
        <v>1141</v>
      </c>
      <c r="C264" s="941">
        <f>Sum(C260:C263)</f>
        <v>0</v>
      </c>
      <c r="D264" s="508"/>
      <c r="E264" s="507"/>
      <c r="F264" s="507"/>
      <c r="G264" s="507"/>
      <c r="H264" s="507"/>
      <c r="I264" s="507"/>
      <c r="J264" s="507"/>
      <c r="K264" s="507"/>
      <c r="L264" s="507"/>
      <c r="M264" s="507"/>
      <c r="N264" s="507"/>
    </row>
    <row r="265" ht="35.25" customHeight="1">
      <c r="A265" s="939" t="s">
        <v>1264</v>
      </c>
      <c r="B265" s="547" t="s">
        <v>1265</v>
      </c>
      <c r="C265" s="598">
        <v>3.72E7</v>
      </c>
      <c r="D265" s="508"/>
      <c r="E265" s="507"/>
      <c r="F265" s="507"/>
      <c r="G265" s="507"/>
      <c r="H265" s="507"/>
      <c r="I265" s="507"/>
      <c r="J265" s="507"/>
      <c r="K265" s="507"/>
      <c r="L265" s="507"/>
      <c r="M265" s="507"/>
      <c r="N265" s="507"/>
    </row>
    <row r="266" ht="35.25" customHeight="1">
      <c r="A266" s="18"/>
      <c r="B266" s="547" t="s">
        <v>1266</v>
      </c>
      <c r="C266" s="598">
        <v>8500000.0</v>
      </c>
      <c r="D266" s="508"/>
      <c r="E266" s="507"/>
      <c r="F266" s="507"/>
      <c r="G266" s="507"/>
      <c r="H266" s="507"/>
      <c r="I266" s="507"/>
      <c r="J266" s="507"/>
      <c r="K266" s="507"/>
      <c r="L266" s="507"/>
      <c r="M266" s="507"/>
      <c r="N266" s="507"/>
    </row>
    <row r="267" ht="43.5" customHeight="1">
      <c r="A267" s="18"/>
      <c r="B267" s="547" t="s">
        <v>1267</v>
      </c>
      <c r="C267" s="598">
        <v>1700000.0</v>
      </c>
      <c r="D267" s="508"/>
      <c r="E267" s="507"/>
      <c r="F267" s="507"/>
      <c r="G267" s="507"/>
      <c r="H267" s="507"/>
      <c r="I267" s="507"/>
      <c r="J267" s="507"/>
      <c r="K267" s="507"/>
      <c r="L267" s="507"/>
      <c r="M267" s="507"/>
      <c r="N267" s="507"/>
    </row>
    <row r="268" ht="35.25" customHeight="1">
      <c r="A268" s="18"/>
      <c r="B268" s="547" t="s">
        <v>1268</v>
      </c>
      <c r="C268" s="598">
        <v>-4.74E7</v>
      </c>
      <c r="D268" s="508"/>
      <c r="E268" s="507"/>
      <c r="F268" s="507"/>
      <c r="G268" s="507"/>
      <c r="H268" s="507"/>
      <c r="I268" s="507"/>
      <c r="J268" s="507"/>
      <c r="K268" s="507"/>
      <c r="L268" s="507"/>
      <c r="M268" s="507"/>
      <c r="N268" s="507"/>
    </row>
    <row r="269" ht="35.25" customHeight="1">
      <c r="A269" s="22"/>
      <c r="B269" s="940" t="s">
        <v>1141</v>
      </c>
      <c r="C269" s="941">
        <f>Sum(C265:C268)</f>
        <v>0</v>
      </c>
      <c r="D269" s="508"/>
      <c r="E269" s="507"/>
      <c r="F269" s="507"/>
      <c r="G269" s="507"/>
      <c r="H269" s="507"/>
      <c r="I269" s="507"/>
      <c r="J269" s="507"/>
      <c r="K269" s="507"/>
      <c r="L269" s="507"/>
      <c r="M269" s="507"/>
      <c r="N269" s="507"/>
    </row>
    <row r="270" ht="35.25" customHeight="1">
      <c r="A270" s="939" t="s">
        <v>1269</v>
      </c>
      <c r="B270" s="547" t="s">
        <v>151</v>
      </c>
      <c r="C270" s="598">
        <v>9.5696E8</v>
      </c>
      <c r="D270" s="508"/>
      <c r="E270" s="507"/>
      <c r="F270" s="507"/>
      <c r="G270" s="507"/>
      <c r="H270" s="507"/>
      <c r="I270" s="507"/>
      <c r="J270" s="507"/>
      <c r="K270" s="507"/>
      <c r="L270" s="507"/>
      <c r="M270" s="507"/>
      <c r="N270" s="507"/>
    </row>
    <row r="271" ht="35.25" customHeight="1">
      <c r="A271" s="18"/>
      <c r="B271" s="547" t="s">
        <v>1270</v>
      </c>
      <c r="C271" s="598">
        <v>-5.0E8</v>
      </c>
      <c r="D271" s="508"/>
      <c r="E271" s="507"/>
      <c r="F271" s="507"/>
      <c r="G271" s="507"/>
      <c r="H271" s="507"/>
      <c r="I271" s="507"/>
      <c r="J271" s="507"/>
      <c r="K271" s="507"/>
      <c r="L271" s="507"/>
      <c r="M271" s="507"/>
      <c r="N271" s="507"/>
    </row>
    <row r="272" ht="35.25" customHeight="1">
      <c r="A272" s="18"/>
      <c r="B272" s="547" t="s">
        <v>1271</v>
      </c>
      <c r="C272" s="598">
        <v>-4.5696E8</v>
      </c>
      <c r="D272" s="508"/>
      <c r="E272" s="507"/>
      <c r="F272" s="507"/>
      <c r="G272" s="507"/>
      <c r="H272" s="507"/>
      <c r="I272" s="507"/>
      <c r="J272" s="507"/>
      <c r="K272" s="507"/>
      <c r="L272" s="507"/>
      <c r="M272" s="507"/>
      <c r="N272" s="507"/>
    </row>
    <row r="273" ht="35.25" customHeight="1">
      <c r="A273" s="18"/>
      <c r="B273" s="547"/>
      <c r="C273" s="598"/>
      <c r="D273" s="508"/>
      <c r="E273" s="507"/>
      <c r="F273" s="507"/>
      <c r="G273" s="507"/>
      <c r="H273" s="507"/>
      <c r="I273" s="507"/>
      <c r="J273" s="507"/>
      <c r="K273" s="507"/>
      <c r="L273" s="507"/>
      <c r="M273" s="507"/>
      <c r="N273" s="507"/>
    </row>
    <row r="274" ht="35.25" customHeight="1">
      <c r="A274" s="22"/>
      <c r="B274" s="940" t="s">
        <v>1141</v>
      </c>
      <c r="C274" s="941">
        <f>Sum(C270:C273)</f>
        <v>0</v>
      </c>
      <c r="D274" s="508"/>
      <c r="E274" s="507"/>
      <c r="F274" s="507"/>
      <c r="G274" s="507"/>
      <c r="H274" s="507"/>
      <c r="I274" s="507"/>
      <c r="J274" s="507"/>
      <c r="K274" s="507"/>
      <c r="L274" s="507"/>
      <c r="M274" s="507"/>
      <c r="N274" s="507"/>
    </row>
    <row r="275" ht="35.25" customHeight="1">
      <c r="A275" s="939" t="s">
        <v>1272</v>
      </c>
      <c r="B275" s="547" t="s">
        <v>151</v>
      </c>
      <c r="C275" s="598">
        <v>9.98139E8</v>
      </c>
      <c r="D275" s="508"/>
      <c r="E275" s="507"/>
      <c r="F275" s="507"/>
      <c r="G275" s="507"/>
      <c r="H275" s="507"/>
      <c r="I275" s="507"/>
      <c r="J275" s="507"/>
      <c r="K275" s="507"/>
      <c r="L275" s="507"/>
      <c r="M275" s="507"/>
      <c r="N275" s="507"/>
    </row>
    <row r="276" ht="35.25" customHeight="1">
      <c r="A276" s="18"/>
      <c r="B276" s="547" t="s">
        <v>1273</v>
      </c>
      <c r="C276" s="598">
        <v>-2.52574E8</v>
      </c>
      <c r="D276" s="508"/>
      <c r="E276" s="507"/>
      <c r="F276" s="507"/>
      <c r="G276" s="507"/>
      <c r="H276" s="507"/>
      <c r="I276" s="507"/>
      <c r="J276" s="507"/>
      <c r="K276" s="507"/>
      <c r="L276" s="507"/>
      <c r="M276" s="507"/>
      <c r="N276" s="507"/>
    </row>
    <row r="277" ht="35.25" customHeight="1">
      <c r="A277" s="18"/>
      <c r="B277" s="547" t="s">
        <v>1274</v>
      </c>
      <c r="C277" s="598">
        <v>-2500000.0</v>
      </c>
      <c r="D277" s="508"/>
      <c r="E277" s="507"/>
      <c r="F277" s="507"/>
      <c r="G277" s="507"/>
      <c r="H277" s="507"/>
      <c r="I277" s="507"/>
      <c r="J277" s="507"/>
      <c r="K277" s="507"/>
      <c r="L277" s="507"/>
      <c r="M277" s="507"/>
      <c r="N277" s="507"/>
    </row>
    <row r="278" ht="35.25" customHeight="1">
      <c r="A278" s="18"/>
      <c r="B278" s="547" t="s">
        <v>1275</v>
      </c>
      <c r="C278" s="598">
        <v>-1000000.0</v>
      </c>
      <c r="D278" s="508"/>
      <c r="E278" s="507"/>
      <c r="F278" s="507"/>
      <c r="G278" s="507"/>
      <c r="H278" s="507"/>
      <c r="I278" s="507"/>
      <c r="J278" s="507"/>
      <c r="K278" s="507"/>
      <c r="L278" s="507"/>
      <c r="M278" s="507"/>
      <c r="N278" s="507"/>
    </row>
    <row r="279" ht="35.25" customHeight="1">
      <c r="A279" s="18"/>
      <c r="B279" s="547" t="s">
        <v>1276</v>
      </c>
      <c r="C279" s="598">
        <v>-1300000.0</v>
      </c>
      <c r="D279" s="508"/>
      <c r="E279" s="507"/>
      <c r="F279" s="507"/>
      <c r="G279" s="507"/>
      <c r="H279" s="507"/>
      <c r="I279" s="507"/>
      <c r="J279" s="507"/>
      <c r="K279" s="507"/>
      <c r="L279" s="507"/>
      <c r="M279" s="507"/>
      <c r="N279" s="507"/>
    </row>
    <row r="280" ht="35.25" customHeight="1">
      <c r="A280" s="18"/>
      <c r="B280" s="547" t="s">
        <v>1277</v>
      </c>
      <c r="C280" s="598">
        <v>-1000000.0</v>
      </c>
      <c r="D280" s="508"/>
      <c r="E280" s="507"/>
      <c r="F280" s="507"/>
      <c r="G280" s="507"/>
      <c r="H280" s="507"/>
      <c r="I280" s="507"/>
      <c r="J280" s="507"/>
      <c r="K280" s="507"/>
      <c r="L280" s="507"/>
      <c r="M280" s="507"/>
      <c r="N280" s="507"/>
    </row>
    <row r="281" ht="35.25" customHeight="1">
      <c r="A281" s="18"/>
      <c r="B281" s="547" t="s">
        <v>1278</v>
      </c>
      <c r="C281" s="598">
        <v>-2.39765E8</v>
      </c>
      <c r="D281" s="508"/>
      <c r="E281" s="507"/>
      <c r="F281" s="507"/>
      <c r="G281" s="507"/>
      <c r="H281" s="507"/>
      <c r="I281" s="507"/>
      <c r="J281" s="507"/>
      <c r="K281" s="507"/>
      <c r="L281" s="507"/>
      <c r="M281" s="507"/>
      <c r="N281" s="507"/>
    </row>
    <row r="282" ht="35.25" customHeight="1">
      <c r="A282" s="18"/>
      <c r="B282" s="547"/>
      <c r="C282" s="598">
        <v>-5.0E8</v>
      </c>
      <c r="D282" s="508"/>
      <c r="E282" s="507"/>
      <c r="F282" s="507"/>
      <c r="G282" s="507"/>
      <c r="H282" s="507"/>
      <c r="I282" s="507"/>
      <c r="J282" s="507"/>
      <c r="K282" s="507"/>
      <c r="L282" s="507"/>
      <c r="M282" s="507"/>
      <c r="N282" s="507"/>
    </row>
    <row r="283" ht="35.25" customHeight="1">
      <c r="A283" s="22"/>
      <c r="B283" s="940" t="s">
        <v>1141</v>
      </c>
      <c r="C283" s="941">
        <f>Sum(C275:C282)</f>
        <v>0</v>
      </c>
      <c r="D283" s="508"/>
      <c r="E283" s="507"/>
      <c r="F283" s="507"/>
      <c r="G283" s="507"/>
      <c r="H283" s="507"/>
      <c r="I283" s="507"/>
      <c r="J283" s="507"/>
      <c r="K283" s="507"/>
      <c r="L283" s="507"/>
      <c r="M283" s="507"/>
      <c r="N283" s="507"/>
    </row>
    <row r="284" ht="35.25" customHeight="1">
      <c r="A284" s="939" t="s">
        <v>1279</v>
      </c>
      <c r="B284" s="547" t="s">
        <v>151</v>
      </c>
      <c r="C284" s="598">
        <v>5.39806E8</v>
      </c>
      <c r="D284" s="508"/>
      <c r="E284" s="507"/>
      <c r="F284" s="507"/>
      <c r="G284" s="507"/>
      <c r="H284" s="507"/>
      <c r="I284" s="507"/>
      <c r="J284" s="507"/>
      <c r="K284" s="507"/>
      <c r="L284" s="507"/>
      <c r="M284" s="507"/>
      <c r="N284" s="507"/>
    </row>
    <row r="285" ht="35.25" customHeight="1">
      <c r="A285" s="18"/>
      <c r="B285" s="547" t="s">
        <v>1280</v>
      </c>
      <c r="C285" s="598">
        <v>-2.5E8</v>
      </c>
      <c r="D285" s="508"/>
      <c r="E285" s="507"/>
      <c r="F285" s="507"/>
      <c r="G285" s="507"/>
      <c r="H285" s="507"/>
      <c r="I285" s="507"/>
      <c r="J285" s="507"/>
      <c r="K285" s="507"/>
      <c r="L285" s="507"/>
      <c r="M285" s="507"/>
      <c r="N285" s="507"/>
    </row>
    <row r="286" ht="35.25" customHeight="1">
      <c r="A286" s="18"/>
      <c r="B286" s="547" t="s">
        <v>1254</v>
      </c>
      <c r="C286" s="598">
        <v>-2.0E8</v>
      </c>
      <c r="D286" s="508"/>
      <c r="E286" s="507"/>
      <c r="F286" s="507"/>
      <c r="G286" s="507"/>
      <c r="H286" s="507"/>
      <c r="I286" s="507"/>
      <c r="J286" s="507"/>
      <c r="K286" s="507"/>
      <c r="L286" s="507"/>
      <c r="M286" s="507"/>
      <c r="N286" s="507"/>
    </row>
    <row r="287" ht="35.25" customHeight="1">
      <c r="A287" s="18"/>
      <c r="B287" s="547" t="s">
        <v>1254</v>
      </c>
      <c r="C287" s="598">
        <v>-8.9806E7</v>
      </c>
      <c r="D287" s="508"/>
      <c r="E287" s="507"/>
      <c r="F287" s="507"/>
      <c r="G287" s="507"/>
      <c r="H287" s="507"/>
      <c r="I287" s="507"/>
      <c r="J287" s="507"/>
      <c r="K287" s="507"/>
      <c r="L287" s="507"/>
      <c r="M287" s="507"/>
      <c r="N287" s="507"/>
    </row>
    <row r="288" ht="35.25" customHeight="1">
      <c r="A288" s="22"/>
      <c r="B288" s="940" t="s">
        <v>1141</v>
      </c>
      <c r="C288" s="941">
        <f>Sum(C284:C287)</f>
        <v>0</v>
      </c>
      <c r="D288" s="508"/>
      <c r="E288" s="507"/>
      <c r="F288" s="507"/>
      <c r="G288" s="507"/>
      <c r="H288" s="507"/>
      <c r="I288" s="507"/>
      <c r="J288" s="507"/>
      <c r="K288" s="507"/>
      <c r="L288" s="507"/>
      <c r="M288" s="507"/>
      <c r="N288" s="507"/>
    </row>
    <row r="289" ht="35.25" customHeight="1">
      <c r="A289" s="939" t="s">
        <v>1281</v>
      </c>
      <c r="B289" s="547" t="s">
        <v>151</v>
      </c>
      <c r="C289" s="598">
        <v>1.178515E9</v>
      </c>
      <c r="D289" s="508"/>
      <c r="E289" s="507"/>
      <c r="F289" s="507"/>
      <c r="G289" s="507"/>
      <c r="H289" s="507"/>
      <c r="I289" s="507"/>
      <c r="J289" s="507"/>
      <c r="K289" s="507"/>
      <c r="L289" s="507"/>
      <c r="M289" s="507"/>
      <c r="N289" s="507"/>
    </row>
    <row r="290" ht="35.25" customHeight="1">
      <c r="A290" s="18"/>
      <c r="B290" s="547" t="s">
        <v>1282</v>
      </c>
      <c r="C290" s="598">
        <f>-13000000+1300000</f>
        <v>-11700000</v>
      </c>
      <c r="D290" s="508"/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</row>
    <row r="291" ht="35.25" customHeight="1">
      <c r="A291" s="18"/>
      <c r="B291" s="547"/>
      <c r="C291" s="598">
        <v>-1.166815E9</v>
      </c>
      <c r="D291" s="508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</row>
    <row r="292" ht="35.25" customHeight="1">
      <c r="A292" s="18"/>
      <c r="B292" s="547"/>
      <c r="C292" s="598"/>
      <c r="D292" s="508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</row>
    <row r="293" ht="35.25" customHeight="1">
      <c r="A293" s="22"/>
      <c r="B293" s="940" t="s">
        <v>1141</v>
      </c>
      <c r="C293" s="941">
        <f>Sum(C289:C292)</f>
        <v>0</v>
      </c>
      <c r="D293" s="508"/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</row>
    <row r="294" ht="35.25" customHeight="1">
      <c r="A294" s="939" t="s">
        <v>1283</v>
      </c>
      <c r="B294" s="547" t="s">
        <v>151</v>
      </c>
      <c r="C294" s="598">
        <v>4.79355E8</v>
      </c>
      <c r="D294" s="508"/>
      <c r="E294" s="507"/>
      <c r="F294" s="507"/>
      <c r="G294" s="507"/>
      <c r="H294" s="507"/>
      <c r="I294" s="507"/>
      <c r="J294" s="507"/>
      <c r="K294" s="507"/>
      <c r="L294" s="507"/>
      <c r="M294" s="507"/>
      <c r="N294" s="507"/>
    </row>
    <row r="295" ht="35.25" customHeight="1">
      <c r="A295" s="18"/>
      <c r="B295" s="547" t="s">
        <v>1284</v>
      </c>
      <c r="C295" s="598">
        <v>-1000000.0</v>
      </c>
      <c r="D295" s="508"/>
      <c r="E295" s="507"/>
      <c r="F295" s="507"/>
      <c r="G295" s="507"/>
      <c r="H295" s="507"/>
      <c r="I295" s="507"/>
      <c r="J295" s="507"/>
      <c r="K295" s="507"/>
      <c r="L295" s="507"/>
      <c r="M295" s="507"/>
      <c r="N295" s="507"/>
    </row>
    <row r="296" ht="135.75" customHeight="1">
      <c r="A296" s="18"/>
      <c r="B296" s="547" t="s">
        <v>1285</v>
      </c>
      <c r="C296" s="598">
        <f>-800000-1040000-1680000-185000-185000</f>
        <v>-3890000</v>
      </c>
      <c r="D296" s="508"/>
      <c r="E296" s="507"/>
      <c r="F296" s="507"/>
      <c r="G296" s="507"/>
      <c r="H296" s="507"/>
      <c r="I296" s="507"/>
      <c r="J296" s="507"/>
      <c r="K296" s="507"/>
      <c r="L296" s="507"/>
      <c r="M296" s="507"/>
      <c r="N296" s="507"/>
    </row>
    <row r="297" ht="35.25" customHeight="1">
      <c r="A297" s="18"/>
      <c r="B297" s="547" t="s">
        <v>1268</v>
      </c>
      <c r="C297" s="598">
        <v>-4.74465E8</v>
      </c>
      <c r="D297" s="508"/>
      <c r="E297" s="507"/>
      <c r="F297" s="507"/>
      <c r="G297" s="507"/>
      <c r="H297" s="507"/>
      <c r="I297" s="507"/>
      <c r="J297" s="507"/>
      <c r="K297" s="507"/>
      <c r="L297" s="507"/>
      <c r="M297" s="507"/>
      <c r="N297" s="507"/>
    </row>
    <row r="298" ht="35.25" customHeight="1">
      <c r="A298" s="22"/>
      <c r="B298" s="940" t="s">
        <v>1141</v>
      </c>
      <c r="C298" s="941">
        <f>Sum(C294:C297)</f>
        <v>0</v>
      </c>
      <c r="D298" s="508"/>
      <c r="E298" s="507"/>
      <c r="F298" s="507"/>
      <c r="G298" s="507"/>
      <c r="H298" s="507"/>
      <c r="I298" s="507"/>
      <c r="J298" s="507"/>
      <c r="K298" s="507"/>
      <c r="L298" s="507"/>
      <c r="M298" s="507"/>
      <c r="N298" s="507"/>
    </row>
    <row r="299" ht="35.25" customHeight="1">
      <c r="A299" s="679" t="s">
        <v>1286</v>
      </c>
      <c r="B299" s="547" t="s">
        <v>151</v>
      </c>
      <c r="C299" s="598">
        <v>2.0524E8</v>
      </c>
      <c r="D299" s="508"/>
      <c r="E299" s="507"/>
      <c r="F299" s="507"/>
      <c r="G299" s="507"/>
      <c r="H299" s="507"/>
      <c r="I299" s="507"/>
      <c r="J299" s="507"/>
      <c r="K299" s="507"/>
      <c r="L299" s="507"/>
      <c r="M299" s="507"/>
      <c r="N299" s="507"/>
    </row>
    <row r="300" ht="35.25" customHeight="1">
      <c r="A300" s="18"/>
      <c r="B300" s="547" t="s">
        <v>1229</v>
      </c>
      <c r="C300" s="598">
        <v>-1.0E8</v>
      </c>
      <c r="D300" s="508"/>
      <c r="E300" s="507"/>
      <c r="F300" s="507"/>
      <c r="G300" s="507"/>
      <c r="H300" s="507"/>
      <c r="I300" s="507"/>
      <c r="J300" s="507"/>
      <c r="K300" s="507"/>
      <c r="L300" s="507"/>
      <c r="M300" s="507"/>
      <c r="N300" s="507"/>
    </row>
    <row r="301" ht="35.25" customHeight="1">
      <c r="A301" s="18"/>
      <c r="B301" s="547" t="s">
        <v>1287</v>
      </c>
      <c r="C301" s="598">
        <v>-5.0E7</v>
      </c>
      <c r="D301" s="508"/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</row>
    <row r="302" ht="35.25" customHeight="1">
      <c r="A302" s="18"/>
      <c r="B302" s="547"/>
      <c r="C302" s="598"/>
      <c r="D302" s="508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</row>
    <row r="303" ht="35.25" customHeight="1">
      <c r="A303" s="22"/>
      <c r="B303" s="940" t="s">
        <v>1141</v>
      </c>
      <c r="C303" s="941">
        <f>Sum(C299:C302)</f>
        <v>55240000</v>
      </c>
      <c r="D303" s="508"/>
      <c r="E303" s="507"/>
      <c r="F303" s="507"/>
      <c r="G303" s="507"/>
      <c r="H303" s="507"/>
      <c r="I303" s="507"/>
      <c r="J303" s="507"/>
      <c r="K303" s="507"/>
      <c r="L303" s="507"/>
      <c r="M303" s="507"/>
      <c r="N303" s="507"/>
    </row>
    <row r="304" ht="35.25" customHeight="1">
      <c r="A304" s="679" t="s">
        <v>1288</v>
      </c>
      <c r="B304" s="547" t="s">
        <v>151</v>
      </c>
      <c r="C304" s="598">
        <v>8.64786E8</v>
      </c>
      <c r="D304" s="508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</row>
    <row r="305" ht="35.25" customHeight="1">
      <c r="A305" s="18"/>
      <c r="B305" s="547" t="s">
        <v>1289</v>
      </c>
      <c r="C305" s="598">
        <v>-1000000.0</v>
      </c>
      <c r="D305" s="508"/>
      <c r="E305" s="507"/>
      <c r="F305" s="507"/>
      <c r="G305" s="507"/>
      <c r="H305" s="507"/>
      <c r="I305" s="507"/>
      <c r="J305" s="507"/>
      <c r="K305" s="507"/>
      <c r="L305" s="507"/>
      <c r="M305" s="507"/>
      <c r="N305" s="507"/>
    </row>
    <row r="306" ht="35.25" customHeight="1">
      <c r="A306" s="18"/>
      <c r="B306" s="547" t="s">
        <v>641</v>
      </c>
      <c r="C306" s="598">
        <v>4834000.0</v>
      </c>
      <c r="D306" s="508"/>
      <c r="E306" s="507"/>
      <c r="F306" s="507"/>
      <c r="G306" s="507"/>
      <c r="H306" s="507"/>
      <c r="I306" s="507"/>
      <c r="J306" s="507"/>
      <c r="K306" s="507"/>
      <c r="L306" s="507"/>
      <c r="M306" s="507"/>
      <c r="N306" s="507"/>
    </row>
    <row r="307" ht="35.25" customHeight="1">
      <c r="A307" s="18"/>
      <c r="B307" s="547" t="s">
        <v>1290</v>
      </c>
      <c r="C307" s="598">
        <v>-3.0E8</v>
      </c>
      <c r="D307" s="508"/>
      <c r="E307" s="507"/>
      <c r="F307" s="507"/>
      <c r="G307" s="507"/>
      <c r="H307" s="507"/>
      <c r="I307" s="507"/>
      <c r="J307" s="507"/>
      <c r="K307" s="507"/>
      <c r="L307" s="507"/>
      <c r="M307" s="507"/>
      <c r="N307" s="507"/>
    </row>
    <row r="308" ht="73.5" customHeight="1">
      <c r="A308" s="18"/>
      <c r="B308" s="547" t="s">
        <v>1291</v>
      </c>
      <c r="C308" s="598">
        <f>-700000-304000</f>
        <v>-1004000</v>
      </c>
      <c r="D308" s="508"/>
      <c r="E308" s="507"/>
      <c r="F308" s="507"/>
      <c r="G308" s="507"/>
      <c r="H308" s="507"/>
      <c r="I308" s="507"/>
      <c r="J308" s="507"/>
      <c r="K308" s="507"/>
      <c r="L308" s="507"/>
      <c r="M308" s="507"/>
      <c r="N308" s="507"/>
    </row>
    <row r="309" ht="35.25" customHeight="1">
      <c r="A309" s="18"/>
      <c r="B309" s="547" t="s">
        <v>1292</v>
      </c>
      <c r="C309" s="598">
        <v>-1.22915E8</v>
      </c>
      <c r="D309" s="508"/>
      <c r="E309" s="507"/>
      <c r="F309" s="507"/>
      <c r="G309" s="507"/>
      <c r="H309" s="507"/>
      <c r="I309" s="507"/>
      <c r="J309" s="507"/>
      <c r="K309" s="507"/>
      <c r="L309" s="507"/>
      <c r="M309" s="507"/>
      <c r="N309" s="507"/>
    </row>
    <row r="310" ht="35.25" customHeight="1">
      <c r="A310" s="18"/>
      <c r="B310" s="547" t="s">
        <v>1292</v>
      </c>
      <c r="C310" s="598">
        <v>-3.1369E7</v>
      </c>
      <c r="D310" s="508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</row>
    <row r="311" ht="35.25" customHeight="1">
      <c r="A311" s="18"/>
      <c r="B311" s="547" t="s">
        <v>1293</v>
      </c>
      <c r="C311" s="598">
        <v>-1.0E8</v>
      </c>
      <c r="D311" s="508"/>
      <c r="E311" s="507"/>
      <c r="F311" s="507"/>
      <c r="G311" s="507"/>
      <c r="H311" s="507"/>
      <c r="I311" s="507"/>
      <c r="J311" s="507"/>
      <c r="K311" s="507"/>
      <c r="L311" s="507"/>
      <c r="M311" s="507"/>
      <c r="N311" s="507"/>
    </row>
    <row r="312" ht="35.25" customHeight="1">
      <c r="A312" s="18"/>
      <c r="B312" s="547" t="s">
        <v>1293</v>
      </c>
      <c r="C312" s="598">
        <f>-141743000</f>
        <v>-141743000</v>
      </c>
      <c r="D312" s="508"/>
      <c r="E312" s="507"/>
      <c r="F312" s="507"/>
      <c r="G312" s="507"/>
      <c r="H312" s="507"/>
      <c r="I312" s="507"/>
      <c r="J312" s="507"/>
      <c r="K312" s="507"/>
      <c r="L312" s="507"/>
      <c r="M312" s="507"/>
      <c r="N312" s="507"/>
    </row>
    <row r="313" ht="35.25" customHeight="1">
      <c r="A313" s="18"/>
      <c r="B313" s="547" t="s">
        <v>1294</v>
      </c>
      <c r="C313" s="598">
        <v>-1050000.0</v>
      </c>
      <c r="D313" s="508"/>
      <c r="E313" s="507"/>
      <c r="F313" s="507"/>
      <c r="G313" s="507"/>
      <c r="H313" s="507"/>
      <c r="I313" s="507"/>
      <c r="J313" s="507"/>
      <c r="K313" s="507"/>
      <c r="L313" s="507"/>
      <c r="M313" s="507"/>
      <c r="N313" s="507"/>
    </row>
    <row r="314" ht="35.25" customHeight="1">
      <c r="A314" s="18"/>
      <c r="B314" s="547" t="s">
        <v>1295</v>
      </c>
      <c r="C314" s="598">
        <v>-8.0E7</v>
      </c>
      <c r="D314" s="508"/>
      <c r="E314" s="507"/>
      <c r="F314" s="507"/>
      <c r="G314" s="507"/>
      <c r="H314" s="507"/>
      <c r="I314" s="507"/>
      <c r="J314" s="507"/>
      <c r="K314" s="507"/>
      <c r="L314" s="507"/>
      <c r="M314" s="507"/>
      <c r="N314" s="507"/>
    </row>
    <row r="315" ht="35.25" customHeight="1">
      <c r="A315" s="22"/>
      <c r="B315" s="940" t="s">
        <v>1141</v>
      </c>
      <c r="C315" s="941">
        <f>SUM(C304:C314)</f>
        <v>90539000</v>
      </c>
      <c r="D315" s="508"/>
      <c r="E315" s="507"/>
      <c r="F315" s="507"/>
      <c r="G315" s="507"/>
      <c r="H315" s="507"/>
      <c r="I315" s="507"/>
      <c r="J315" s="507"/>
      <c r="K315" s="507"/>
      <c r="L315" s="507"/>
      <c r="M315" s="507"/>
      <c r="N315" s="507"/>
    </row>
    <row r="316" ht="35.25" customHeight="1">
      <c r="A316" s="679" t="s">
        <v>1296</v>
      </c>
      <c r="B316" s="547" t="s">
        <v>151</v>
      </c>
      <c r="C316" s="598">
        <v>4.20028E8</v>
      </c>
      <c r="D316" s="508"/>
      <c r="E316" s="507"/>
      <c r="F316" s="507"/>
      <c r="G316" s="507"/>
      <c r="H316" s="507"/>
      <c r="I316" s="507"/>
      <c r="J316" s="507"/>
      <c r="K316" s="507"/>
      <c r="L316" s="507"/>
      <c r="M316" s="507"/>
      <c r="N316" s="507"/>
    </row>
    <row r="317" ht="35.25" customHeight="1">
      <c r="A317" s="18"/>
      <c r="B317" s="547"/>
      <c r="C317" s="598"/>
      <c r="D317" s="508"/>
      <c r="E317" s="507"/>
      <c r="F317" s="507"/>
      <c r="G317" s="507"/>
      <c r="H317" s="507"/>
      <c r="I317" s="507"/>
      <c r="J317" s="507"/>
      <c r="K317" s="507"/>
      <c r="L317" s="507"/>
      <c r="M317" s="507"/>
      <c r="N317" s="507"/>
    </row>
    <row r="318" ht="35.25" customHeight="1">
      <c r="A318" s="18"/>
      <c r="B318" s="547"/>
      <c r="C318" s="598"/>
      <c r="D318" s="508"/>
      <c r="E318" s="507"/>
      <c r="F318" s="507"/>
      <c r="G318" s="507"/>
      <c r="H318" s="507"/>
      <c r="I318" s="507"/>
      <c r="J318" s="507"/>
      <c r="K318" s="507"/>
      <c r="L318" s="507"/>
      <c r="M318" s="507"/>
      <c r="N318" s="507"/>
    </row>
    <row r="319" ht="35.25" customHeight="1">
      <c r="A319" s="18"/>
      <c r="B319" s="547"/>
      <c r="C319" s="598"/>
      <c r="D319" s="508"/>
      <c r="E319" s="507"/>
      <c r="F319" s="507"/>
      <c r="G319" s="507"/>
      <c r="H319" s="507"/>
      <c r="I319" s="507"/>
      <c r="J319" s="507"/>
      <c r="K319" s="507"/>
      <c r="L319" s="507"/>
      <c r="M319" s="507"/>
      <c r="N319" s="507"/>
    </row>
    <row r="320" ht="35.25" customHeight="1">
      <c r="A320" s="22"/>
      <c r="B320" s="940" t="s">
        <v>1141</v>
      </c>
      <c r="C320" s="941">
        <f>Sum(C316:C319)</f>
        <v>420028000</v>
      </c>
      <c r="D320" s="508"/>
      <c r="E320" s="507"/>
      <c r="F320" s="507"/>
      <c r="G320" s="507"/>
      <c r="H320" s="507"/>
      <c r="I320" s="507"/>
      <c r="J320" s="507"/>
      <c r="K320" s="507"/>
      <c r="L320" s="507"/>
      <c r="M320" s="507"/>
      <c r="N320" s="507"/>
    </row>
    <row r="321" ht="35.25" customHeight="1">
      <c r="A321" s="679" t="s">
        <v>1297</v>
      </c>
      <c r="B321" s="942" t="s">
        <v>151</v>
      </c>
      <c r="C321" s="943">
        <v>3.023854E9</v>
      </c>
      <c r="D321" s="508"/>
      <c r="E321" s="507"/>
      <c r="F321" s="507"/>
      <c r="G321" s="507"/>
      <c r="H321" s="507"/>
      <c r="I321" s="507"/>
      <c r="J321" s="507"/>
      <c r="K321" s="507"/>
      <c r="L321" s="507"/>
      <c r="M321" s="507"/>
      <c r="N321" s="507"/>
    </row>
    <row r="322" ht="35.25" customHeight="1">
      <c r="A322" s="18"/>
      <c r="B322" s="942" t="s">
        <v>1298</v>
      </c>
      <c r="C322" s="943">
        <f>SUM(C323:C326)</f>
        <v>132715000</v>
      </c>
      <c r="D322" s="508"/>
      <c r="E322" s="507"/>
      <c r="F322" s="507"/>
      <c r="G322" s="507"/>
      <c r="H322" s="507"/>
      <c r="I322" s="507"/>
      <c r="J322" s="507"/>
      <c r="K322" s="507"/>
      <c r="L322" s="507"/>
      <c r="M322" s="507"/>
      <c r="N322" s="507"/>
    </row>
    <row r="323" ht="35.25" customHeight="1">
      <c r="A323" s="18"/>
      <c r="B323" s="547" t="s">
        <v>1299</v>
      </c>
      <c r="C323" s="598">
        <v>1.504E7</v>
      </c>
      <c r="D323" s="508"/>
      <c r="E323" s="507"/>
      <c r="F323" s="507"/>
      <c r="G323" s="507"/>
      <c r="H323" s="507"/>
      <c r="I323" s="507"/>
      <c r="J323" s="507"/>
      <c r="K323" s="507"/>
      <c r="L323" s="507"/>
      <c r="M323" s="507"/>
      <c r="N323" s="507"/>
    </row>
    <row r="324" ht="35.25" customHeight="1">
      <c r="A324" s="18"/>
      <c r="B324" s="547" t="s">
        <v>1300</v>
      </c>
      <c r="C324" s="598">
        <v>5000000.0</v>
      </c>
      <c r="D324" s="508"/>
      <c r="E324" s="507"/>
      <c r="F324" s="507"/>
      <c r="G324" s="507"/>
      <c r="H324" s="507"/>
      <c r="I324" s="507"/>
      <c r="J324" s="507"/>
      <c r="K324" s="507"/>
      <c r="L324" s="507"/>
      <c r="M324" s="507"/>
      <c r="N324" s="507"/>
    </row>
    <row r="325" ht="35.25" customHeight="1">
      <c r="A325" s="18"/>
      <c r="B325" s="547" t="s">
        <v>1301</v>
      </c>
      <c r="C325" s="598">
        <v>4.3675E7</v>
      </c>
      <c r="D325" s="508"/>
      <c r="E325" s="507"/>
      <c r="F325" s="507"/>
      <c r="G325" s="507"/>
      <c r="H325" s="507"/>
      <c r="I325" s="507"/>
      <c r="J325" s="507"/>
      <c r="K325" s="507"/>
      <c r="L325" s="507"/>
      <c r="M325" s="507"/>
      <c r="N325" s="507"/>
    </row>
    <row r="326" ht="35.25" customHeight="1">
      <c r="A326" s="18"/>
      <c r="B326" s="547" t="s">
        <v>1302</v>
      </c>
      <c r="C326" s="598">
        <v>6.9E7</v>
      </c>
      <c r="D326" s="508"/>
      <c r="E326" s="507"/>
      <c r="F326" s="507"/>
      <c r="G326" s="507"/>
      <c r="H326" s="507"/>
      <c r="I326" s="507"/>
      <c r="J326" s="507"/>
      <c r="K326" s="507"/>
      <c r="L326" s="507"/>
      <c r="M326" s="507"/>
      <c r="N326" s="507"/>
    </row>
    <row r="327" ht="35.25" customHeight="1">
      <c r="A327" s="18"/>
      <c r="B327" s="942" t="s">
        <v>1303</v>
      </c>
      <c r="C327" s="943">
        <f>sum(C328:C332)</f>
        <v>-20522400</v>
      </c>
      <c r="D327" s="508"/>
      <c r="E327" s="507"/>
      <c r="F327" s="507"/>
      <c r="G327" s="507"/>
      <c r="H327" s="507"/>
      <c r="I327" s="507"/>
      <c r="J327" s="507"/>
      <c r="K327" s="507"/>
      <c r="L327" s="507"/>
      <c r="M327" s="507"/>
      <c r="N327" s="507"/>
    </row>
    <row r="328" ht="35.25" customHeight="1">
      <c r="A328" s="18"/>
      <c r="B328" s="547" t="s">
        <v>1304</v>
      </c>
      <c r="C328" s="598">
        <v>-4500000.0</v>
      </c>
      <c r="D328" s="508"/>
      <c r="E328" s="507"/>
      <c r="F328" s="507"/>
      <c r="G328" s="507"/>
      <c r="H328" s="507"/>
      <c r="I328" s="507"/>
      <c r="J328" s="507"/>
      <c r="K328" s="507"/>
      <c r="L328" s="507"/>
      <c r="M328" s="507"/>
      <c r="N328" s="507"/>
    </row>
    <row r="329" ht="35.25" customHeight="1">
      <c r="A329" s="18"/>
      <c r="B329" s="547" t="s">
        <v>1305</v>
      </c>
      <c r="C329" s="598">
        <v>-1440000.0</v>
      </c>
      <c r="D329" s="508"/>
      <c r="E329" s="507"/>
      <c r="F329" s="507"/>
      <c r="G329" s="507"/>
      <c r="H329" s="507"/>
      <c r="I329" s="507"/>
      <c r="J329" s="507"/>
      <c r="K329" s="507"/>
      <c r="L329" s="507"/>
      <c r="M329" s="507"/>
      <c r="N329" s="507"/>
    </row>
    <row r="330" ht="35.25" customHeight="1">
      <c r="A330" s="18"/>
      <c r="B330" s="547" t="s">
        <v>1306</v>
      </c>
      <c r="C330" s="598">
        <v>-7500000.0</v>
      </c>
      <c r="D330" s="508"/>
      <c r="E330" s="507"/>
      <c r="F330" s="507"/>
      <c r="G330" s="507"/>
      <c r="H330" s="507"/>
      <c r="I330" s="507"/>
      <c r="J330" s="507"/>
      <c r="K330" s="507"/>
      <c r="L330" s="507"/>
      <c r="M330" s="507"/>
      <c r="N330" s="507"/>
    </row>
    <row r="331" ht="35.25" customHeight="1">
      <c r="A331" s="18"/>
      <c r="B331" s="547" t="s">
        <v>1307</v>
      </c>
      <c r="C331" s="598">
        <v>-5732400.0</v>
      </c>
      <c r="D331" s="508"/>
      <c r="E331" s="507"/>
      <c r="F331" s="507"/>
      <c r="G331" s="507"/>
      <c r="H331" s="507"/>
      <c r="I331" s="507"/>
      <c r="J331" s="507"/>
      <c r="K331" s="507"/>
      <c r="L331" s="507"/>
      <c r="M331" s="507"/>
      <c r="N331" s="507"/>
    </row>
    <row r="332" ht="35.25" customHeight="1">
      <c r="A332" s="18"/>
      <c r="B332" s="547" t="s">
        <v>1308</v>
      </c>
      <c r="C332" s="598">
        <f>-3*450000</f>
        <v>-1350000</v>
      </c>
      <c r="D332" s="508"/>
      <c r="E332" s="507"/>
      <c r="F332" s="507"/>
      <c r="G332" s="507"/>
      <c r="H332" s="507"/>
      <c r="I332" s="507"/>
      <c r="J332" s="507"/>
      <c r="K332" s="507"/>
      <c r="L332" s="507"/>
      <c r="M332" s="507"/>
      <c r="N332" s="507"/>
    </row>
    <row r="333" ht="35.25" customHeight="1">
      <c r="A333" s="18"/>
      <c r="B333" s="942" t="s">
        <v>1309</v>
      </c>
      <c r="C333" s="943">
        <v>5.6489E7</v>
      </c>
      <c r="D333" s="508"/>
      <c r="E333" s="507"/>
      <c r="F333" s="507"/>
      <c r="G333" s="507"/>
      <c r="H333" s="507"/>
      <c r="I333" s="507"/>
      <c r="J333" s="507"/>
      <c r="K333" s="507"/>
      <c r="L333" s="507"/>
      <c r="M333" s="507"/>
      <c r="N333" s="507"/>
    </row>
    <row r="334" ht="35.25" customHeight="1">
      <c r="A334" s="22"/>
      <c r="B334" s="940" t="s">
        <v>1310</v>
      </c>
      <c r="C334" s="941">
        <f>C321+C322+C327+C333</f>
        <v>3192535600</v>
      </c>
      <c r="D334" s="508"/>
      <c r="E334" s="507"/>
      <c r="F334" s="507"/>
      <c r="G334" s="507"/>
      <c r="H334" s="507"/>
      <c r="I334" s="507"/>
      <c r="J334" s="507"/>
      <c r="K334" s="507"/>
      <c r="L334" s="507"/>
      <c r="M334" s="507"/>
      <c r="N334" s="507"/>
    </row>
    <row r="335" ht="35.25" customHeight="1">
      <c r="A335" s="939" t="s">
        <v>1311</v>
      </c>
      <c r="B335" s="547" t="s">
        <v>151</v>
      </c>
      <c r="C335" s="598">
        <v>9.589E8</v>
      </c>
      <c r="D335" s="508"/>
      <c r="E335" s="507"/>
      <c r="F335" s="507"/>
      <c r="G335" s="507"/>
      <c r="H335" s="507"/>
      <c r="I335" s="507"/>
      <c r="J335" s="507"/>
      <c r="K335" s="507"/>
      <c r="L335" s="507"/>
      <c r="M335" s="507"/>
      <c r="N335" s="507"/>
    </row>
    <row r="336" ht="35.25" customHeight="1">
      <c r="A336" s="18"/>
      <c r="B336" s="547" t="s">
        <v>1312</v>
      </c>
      <c r="C336" s="598">
        <v>-1.23E8</v>
      </c>
      <c r="D336" s="508"/>
      <c r="E336" s="507"/>
      <c r="F336" s="507"/>
      <c r="G336" s="507"/>
      <c r="H336" s="507"/>
      <c r="I336" s="507"/>
      <c r="J336" s="507"/>
      <c r="K336" s="507"/>
      <c r="L336" s="507"/>
      <c r="M336" s="507"/>
      <c r="N336" s="507"/>
    </row>
    <row r="337" ht="35.25" customHeight="1">
      <c r="A337" s="18"/>
      <c r="B337" s="547" t="s">
        <v>1287</v>
      </c>
      <c r="C337" s="598">
        <v>-1.63E8</v>
      </c>
      <c r="D337" s="508"/>
      <c r="E337" s="507"/>
      <c r="F337" s="507"/>
      <c r="G337" s="507"/>
      <c r="H337" s="507"/>
      <c r="I337" s="507"/>
      <c r="J337" s="507"/>
      <c r="K337" s="507"/>
      <c r="L337" s="507"/>
      <c r="M337" s="507"/>
      <c r="N337" s="507"/>
    </row>
    <row r="338" ht="35.25" customHeight="1">
      <c r="A338" s="18"/>
      <c r="B338" s="547" t="s">
        <v>1313</v>
      </c>
      <c r="C338" s="598">
        <v>-1.0E8</v>
      </c>
      <c r="D338" s="508"/>
      <c r="E338" s="507"/>
      <c r="F338" s="507"/>
      <c r="G338" s="507"/>
      <c r="H338" s="507"/>
      <c r="I338" s="507"/>
      <c r="J338" s="507"/>
      <c r="K338" s="507"/>
      <c r="L338" s="507"/>
      <c r="M338" s="507"/>
      <c r="N338" s="507"/>
    </row>
    <row r="339" ht="35.25" customHeight="1">
      <c r="A339" s="18"/>
      <c r="B339" s="547" t="s">
        <v>1313</v>
      </c>
      <c r="C339" s="598">
        <v>-1.0E8</v>
      </c>
      <c r="D339" s="508"/>
      <c r="E339" s="507"/>
      <c r="F339" s="507"/>
      <c r="G339" s="507"/>
      <c r="H339" s="507"/>
      <c r="I339" s="507"/>
      <c r="J339" s="507"/>
      <c r="K339" s="507"/>
      <c r="L339" s="507"/>
      <c r="M339" s="507"/>
      <c r="N339" s="507"/>
    </row>
    <row r="340" ht="35.25" customHeight="1">
      <c r="A340" s="18"/>
      <c r="B340" s="547" t="s">
        <v>1313</v>
      </c>
      <c r="C340" s="598">
        <v>-1.0E8</v>
      </c>
      <c r="D340" s="508"/>
      <c r="E340" s="507"/>
      <c r="F340" s="507"/>
      <c r="G340" s="507"/>
      <c r="H340" s="507"/>
      <c r="I340" s="507"/>
      <c r="J340" s="507"/>
      <c r="K340" s="507"/>
      <c r="L340" s="507"/>
      <c r="M340" s="507"/>
      <c r="N340" s="507"/>
    </row>
    <row r="341" ht="35.25" customHeight="1">
      <c r="A341" s="18"/>
      <c r="B341" s="547" t="s">
        <v>1314</v>
      </c>
      <c r="C341" s="598">
        <v>-7.0E7</v>
      </c>
      <c r="D341" s="508"/>
      <c r="E341" s="507"/>
      <c r="F341" s="507"/>
      <c r="G341" s="507"/>
      <c r="H341" s="507"/>
      <c r="I341" s="507"/>
      <c r="J341" s="507"/>
      <c r="K341" s="507"/>
      <c r="L341" s="507"/>
      <c r="M341" s="507"/>
      <c r="N341" s="507"/>
    </row>
    <row r="342" ht="35.25" customHeight="1">
      <c r="A342" s="18"/>
      <c r="B342" s="547" t="s">
        <v>1314</v>
      </c>
      <c r="C342" s="598">
        <v>-1.029E8</v>
      </c>
      <c r="D342" s="508"/>
      <c r="E342" s="507"/>
      <c r="F342" s="507"/>
      <c r="G342" s="507"/>
      <c r="H342" s="507"/>
      <c r="I342" s="507"/>
      <c r="J342" s="507"/>
      <c r="K342" s="507"/>
      <c r="L342" s="507"/>
      <c r="M342" s="507"/>
      <c r="N342" s="507"/>
    </row>
    <row r="343" ht="35.25" customHeight="1">
      <c r="A343" s="18"/>
      <c r="B343" s="547" t="s">
        <v>1263</v>
      </c>
      <c r="C343" s="598">
        <v>-1.0E8</v>
      </c>
      <c r="D343" s="508"/>
      <c r="E343" s="507"/>
      <c r="F343" s="507"/>
      <c r="G343" s="507"/>
      <c r="H343" s="507"/>
      <c r="I343" s="507"/>
      <c r="J343" s="507"/>
      <c r="K343" s="507"/>
      <c r="L343" s="507"/>
      <c r="M343" s="507"/>
      <c r="N343" s="507"/>
    </row>
    <row r="344" ht="35.25" customHeight="1">
      <c r="A344" s="18"/>
      <c r="B344" s="547" t="s">
        <v>1315</v>
      </c>
      <c r="C344" s="598">
        <v>-1.0E8</v>
      </c>
      <c r="D344" s="508"/>
      <c r="E344" s="507"/>
      <c r="F344" s="507"/>
      <c r="G344" s="507"/>
      <c r="H344" s="507"/>
      <c r="I344" s="507"/>
      <c r="J344" s="507"/>
      <c r="K344" s="507"/>
      <c r="L344" s="507"/>
      <c r="M344" s="507"/>
      <c r="N344" s="507"/>
    </row>
    <row r="345" ht="35.25" customHeight="1">
      <c r="A345" s="22"/>
      <c r="B345" s="940" t="s">
        <v>1141</v>
      </c>
      <c r="C345" s="941">
        <f>Sum(C335:C344)</f>
        <v>0</v>
      </c>
      <c r="D345" s="508"/>
      <c r="E345" s="507"/>
      <c r="F345" s="507"/>
      <c r="G345" s="507"/>
      <c r="H345" s="507"/>
      <c r="I345" s="507"/>
      <c r="J345" s="507"/>
      <c r="K345" s="507"/>
      <c r="L345" s="507"/>
      <c r="M345" s="507"/>
      <c r="N345" s="507"/>
    </row>
    <row r="346" ht="35.25" customHeight="1">
      <c r="A346" s="679" t="s">
        <v>1316</v>
      </c>
      <c r="B346" s="547" t="s">
        <v>151</v>
      </c>
      <c r="C346" s="598">
        <v>1.52352E9</v>
      </c>
      <c r="D346" s="508"/>
      <c r="E346" s="507"/>
      <c r="F346" s="507"/>
      <c r="G346" s="507"/>
      <c r="H346" s="507"/>
      <c r="I346" s="507"/>
      <c r="J346" s="507"/>
      <c r="K346" s="507"/>
      <c r="L346" s="507"/>
      <c r="M346" s="507"/>
      <c r="N346" s="507"/>
    </row>
    <row r="347" ht="35.25" customHeight="1">
      <c r="A347" s="18"/>
      <c r="B347" s="547"/>
      <c r="C347" s="598"/>
      <c r="D347" s="508"/>
      <c r="E347" s="507"/>
      <c r="F347" s="507"/>
      <c r="G347" s="507"/>
      <c r="H347" s="507"/>
      <c r="I347" s="507"/>
      <c r="J347" s="507"/>
      <c r="K347" s="507"/>
      <c r="L347" s="507"/>
      <c r="M347" s="507"/>
      <c r="N347" s="507"/>
    </row>
    <row r="348" ht="35.25" customHeight="1">
      <c r="A348" s="18"/>
      <c r="B348" s="547"/>
      <c r="C348" s="598"/>
      <c r="D348" s="508"/>
      <c r="E348" s="507"/>
      <c r="F348" s="507"/>
      <c r="G348" s="507"/>
      <c r="H348" s="507"/>
      <c r="I348" s="507"/>
      <c r="J348" s="507"/>
      <c r="K348" s="507"/>
      <c r="L348" s="507"/>
      <c r="M348" s="507"/>
      <c r="N348" s="507"/>
    </row>
    <row r="349" ht="35.25" customHeight="1">
      <c r="A349" s="18"/>
      <c r="B349" s="547"/>
      <c r="C349" s="598"/>
      <c r="D349" s="508"/>
      <c r="E349" s="507"/>
      <c r="F349" s="507"/>
      <c r="G349" s="507"/>
      <c r="H349" s="507"/>
      <c r="I349" s="507"/>
      <c r="J349" s="507"/>
      <c r="K349" s="507"/>
      <c r="L349" s="507"/>
      <c r="M349" s="507"/>
      <c r="N349" s="507"/>
    </row>
    <row r="350" ht="35.25" customHeight="1">
      <c r="A350" s="22"/>
      <c r="B350" s="940" t="s">
        <v>1141</v>
      </c>
      <c r="C350" s="941">
        <f>Sum(C346:C349)</f>
        <v>1523520000</v>
      </c>
      <c r="D350" s="508"/>
      <c r="E350" s="507"/>
      <c r="F350" s="507"/>
      <c r="G350" s="507"/>
      <c r="H350" s="507"/>
      <c r="I350" s="507"/>
      <c r="J350" s="507"/>
      <c r="K350" s="507"/>
      <c r="L350" s="507"/>
      <c r="M350" s="507"/>
      <c r="N350" s="507"/>
    </row>
    <row r="351" ht="35.25" customHeight="1">
      <c r="A351" s="679" t="s">
        <v>1317</v>
      </c>
      <c r="B351" s="547" t="s">
        <v>151</v>
      </c>
      <c r="C351" s="598">
        <v>1.7091E8</v>
      </c>
      <c r="D351" s="508"/>
      <c r="E351" s="507"/>
      <c r="F351" s="507"/>
      <c r="G351" s="507"/>
      <c r="H351" s="507"/>
      <c r="I351" s="507"/>
      <c r="J351" s="507"/>
      <c r="K351" s="507"/>
      <c r="L351" s="507"/>
      <c r="M351" s="507"/>
      <c r="N351" s="507"/>
    </row>
    <row r="352" ht="35.25" customHeight="1">
      <c r="A352" s="18"/>
      <c r="B352" s="547"/>
      <c r="C352" s="598"/>
      <c r="D352" s="508"/>
      <c r="E352" s="507"/>
      <c r="F352" s="507"/>
      <c r="G352" s="507"/>
      <c r="H352" s="507"/>
      <c r="I352" s="507"/>
      <c r="J352" s="507"/>
      <c r="K352" s="507"/>
      <c r="L352" s="507"/>
      <c r="M352" s="507"/>
      <c r="N352" s="507"/>
    </row>
    <row r="353" ht="35.25" customHeight="1">
      <c r="A353" s="18"/>
      <c r="B353" s="547"/>
      <c r="C353" s="598"/>
      <c r="D353" s="508"/>
      <c r="E353" s="507"/>
      <c r="F353" s="507"/>
      <c r="G353" s="507"/>
      <c r="H353" s="507"/>
      <c r="I353" s="507"/>
      <c r="J353" s="507"/>
      <c r="K353" s="507"/>
      <c r="L353" s="507"/>
      <c r="M353" s="507"/>
      <c r="N353" s="507"/>
    </row>
    <row r="354" ht="35.25" customHeight="1">
      <c r="A354" s="18"/>
      <c r="B354" s="547"/>
      <c r="C354" s="598"/>
      <c r="D354" s="508"/>
      <c r="E354" s="507"/>
      <c r="F354" s="507"/>
      <c r="G354" s="507"/>
      <c r="H354" s="507"/>
      <c r="I354" s="507"/>
      <c r="J354" s="507"/>
      <c r="K354" s="507"/>
      <c r="L354" s="507"/>
      <c r="M354" s="507"/>
      <c r="N354" s="507"/>
    </row>
    <row r="355" ht="35.25" customHeight="1">
      <c r="A355" s="22"/>
      <c r="B355" s="940" t="s">
        <v>1141</v>
      </c>
      <c r="C355" s="941">
        <f>Sum(C351:C354)</f>
        <v>170910000</v>
      </c>
      <c r="D355" s="508"/>
      <c r="E355" s="507"/>
      <c r="F355" s="507"/>
      <c r="G355" s="507"/>
      <c r="H355" s="507"/>
      <c r="I355" s="507"/>
      <c r="J355" s="507"/>
      <c r="K355" s="507"/>
      <c r="L355" s="507"/>
      <c r="M355" s="507"/>
      <c r="N355" s="507"/>
    </row>
    <row r="356" ht="35.25" customHeight="1">
      <c r="A356" s="679" t="s">
        <v>1318</v>
      </c>
      <c r="B356" s="547" t="s">
        <v>151</v>
      </c>
      <c r="C356" s="598">
        <v>3.176E7</v>
      </c>
      <c r="D356" s="508"/>
      <c r="E356" s="507"/>
      <c r="F356" s="507"/>
      <c r="G356" s="507"/>
      <c r="H356" s="507"/>
      <c r="I356" s="507"/>
      <c r="J356" s="507"/>
      <c r="K356" s="507"/>
      <c r="L356" s="507"/>
      <c r="M356" s="507"/>
      <c r="N356" s="507"/>
    </row>
    <row r="357" ht="35.25" customHeight="1">
      <c r="A357" s="18"/>
      <c r="B357" s="547"/>
      <c r="C357" s="598"/>
      <c r="D357" s="508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</row>
    <row r="358" ht="35.25" customHeight="1">
      <c r="A358" s="18"/>
      <c r="B358" s="547"/>
      <c r="C358" s="598"/>
      <c r="D358" s="508"/>
      <c r="E358" s="507"/>
      <c r="F358" s="507"/>
      <c r="G358" s="507"/>
      <c r="H358" s="507"/>
      <c r="I358" s="507"/>
      <c r="J358" s="507"/>
      <c r="K358" s="507"/>
      <c r="L358" s="507"/>
      <c r="M358" s="507"/>
      <c r="N358" s="507"/>
    </row>
    <row r="359" ht="35.25" customHeight="1">
      <c r="A359" s="18"/>
      <c r="B359" s="547"/>
      <c r="C359" s="598"/>
      <c r="D359" s="508"/>
      <c r="E359" s="507"/>
      <c r="F359" s="507"/>
      <c r="G359" s="507"/>
      <c r="H359" s="507"/>
      <c r="I359" s="507"/>
      <c r="J359" s="507"/>
      <c r="K359" s="507"/>
      <c r="L359" s="507"/>
      <c r="M359" s="507"/>
      <c r="N359" s="507"/>
    </row>
    <row r="360" ht="35.25" customHeight="1">
      <c r="A360" s="22"/>
      <c r="B360" s="940" t="s">
        <v>1141</v>
      </c>
      <c r="C360" s="941">
        <f>Sum(C356:C359)</f>
        <v>31760000</v>
      </c>
      <c r="D360" s="508"/>
      <c r="E360" s="507"/>
      <c r="F360" s="507"/>
      <c r="G360" s="507"/>
      <c r="H360" s="507"/>
      <c r="I360" s="507"/>
      <c r="J360" s="507"/>
      <c r="K360" s="507"/>
      <c r="L360" s="507"/>
      <c r="M360" s="507"/>
      <c r="N360" s="507"/>
    </row>
    <row r="361" ht="35.25" customHeight="1">
      <c r="A361" s="939" t="s">
        <v>1319</v>
      </c>
      <c r="B361" s="547" t="s">
        <v>151</v>
      </c>
      <c r="C361" s="598">
        <v>1.2648E8</v>
      </c>
      <c r="D361" s="508"/>
      <c r="E361" s="507"/>
      <c r="F361" s="507"/>
      <c r="G361" s="507"/>
      <c r="H361" s="507"/>
      <c r="I361" s="507"/>
      <c r="J361" s="507"/>
      <c r="K361" s="507"/>
      <c r="L361" s="507"/>
      <c r="M361" s="507"/>
      <c r="N361" s="507"/>
    </row>
    <row r="362" ht="35.25" customHeight="1">
      <c r="A362" s="18"/>
      <c r="B362" s="547" t="s">
        <v>1312</v>
      </c>
      <c r="C362" s="598">
        <v>-1.2648E8</v>
      </c>
      <c r="D362" s="508"/>
      <c r="E362" s="507"/>
      <c r="F362" s="507"/>
      <c r="G362" s="507"/>
      <c r="H362" s="507"/>
      <c r="I362" s="507"/>
      <c r="J362" s="507"/>
      <c r="K362" s="507"/>
      <c r="L362" s="507"/>
      <c r="M362" s="507"/>
      <c r="N362" s="507"/>
    </row>
    <row r="363" ht="35.25" customHeight="1">
      <c r="A363" s="22"/>
      <c r="B363" s="940" t="s">
        <v>1141</v>
      </c>
      <c r="C363" s="941">
        <f>Sum(C361:C362)</f>
        <v>0</v>
      </c>
      <c r="D363" s="508"/>
      <c r="E363" s="507"/>
      <c r="F363" s="507"/>
      <c r="G363" s="507"/>
      <c r="H363" s="507"/>
      <c r="I363" s="507"/>
      <c r="J363" s="507"/>
      <c r="K363" s="507"/>
      <c r="L363" s="507"/>
      <c r="M363" s="507"/>
      <c r="N363" s="507"/>
    </row>
    <row r="364" ht="35.25" customHeight="1">
      <c r="A364" s="507"/>
      <c r="B364" s="507"/>
      <c r="C364" s="507"/>
      <c r="D364" s="508"/>
      <c r="E364" s="507"/>
      <c r="F364" s="507"/>
      <c r="G364" s="507"/>
      <c r="H364" s="507"/>
      <c r="I364" s="507"/>
      <c r="J364" s="507"/>
      <c r="K364" s="507"/>
      <c r="L364" s="507"/>
      <c r="M364" s="507"/>
      <c r="N364" s="507"/>
    </row>
    <row r="365" ht="35.25" customHeight="1">
      <c r="A365" s="507"/>
      <c r="B365" s="507"/>
      <c r="C365" s="507"/>
      <c r="D365" s="508"/>
      <c r="E365" s="507"/>
      <c r="F365" s="507"/>
      <c r="G365" s="507"/>
      <c r="H365" s="507"/>
      <c r="I365" s="507"/>
      <c r="J365" s="507"/>
      <c r="K365" s="507"/>
      <c r="L365" s="507"/>
      <c r="M365" s="507"/>
      <c r="N365" s="507"/>
    </row>
    <row r="366" ht="35.25" customHeight="1">
      <c r="A366" s="507"/>
      <c r="B366" s="507"/>
      <c r="C366" s="507"/>
      <c r="D366" s="508"/>
      <c r="E366" s="507"/>
      <c r="F366" s="507"/>
      <c r="G366" s="507"/>
      <c r="H366" s="507"/>
      <c r="I366" s="507"/>
      <c r="J366" s="507"/>
      <c r="K366" s="507"/>
      <c r="L366" s="507"/>
      <c r="M366" s="507"/>
      <c r="N366" s="507"/>
    </row>
    <row r="367" ht="35.25" customHeight="1">
      <c r="A367" s="507"/>
      <c r="B367" s="507"/>
      <c r="C367" s="507"/>
      <c r="D367" s="508"/>
      <c r="E367" s="507"/>
      <c r="F367" s="507"/>
      <c r="G367" s="507"/>
      <c r="H367" s="507"/>
      <c r="I367" s="507"/>
      <c r="J367" s="507"/>
      <c r="K367" s="507"/>
      <c r="L367" s="507"/>
      <c r="M367" s="507"/>
      <c r="N367" s="507"/>
    </row>
    <row r="368" ht="35.25" customHeight="1">
      <c r="A368" s="507"/>
      <c r="B368" s="507"/>
      <c r="C368" s="507"/>
      <c r="D368" s="508"/>
      <c r="E368" s="507"/>
      <c r="F368" s="507"/>
      <c r="G368" s="507"/>
      <c r="H368" s="507"/>
      <c r="I368" s="507"/>
      <c r="J368" s="507"/>
      <c r="K368" s="507"/>
      <c r="L368" s="507"/>
      <c r="M368" s="507"/>
      <c r="N368" s="507"/>
    </row>
    <row r="369" ht="35.25" customHeight="1">
      <c r="A369" s="507"/>
      <c r="B369" s="507"/>
      <c r="C369" s="507"/>
      <c r="D369" s="508"/>
      <c r="E369" s="507"/>
      <c r="F369" s="507"/>
      <c r="G369" s="507"/>
      <c r="H369" s="507"/>
      <c r="I369" s="507"/>
      <c r="J369" s="507"/>
      <c r="K369" s="507"/>
      <c r="L369" s="507"/>
      <c r="M369" s="507"/>
      <c r="N369" s="507"/>
    </row>
    <row r="370" ht="35.25" customHeight="1">
      <c r="A370" s="507"/>
      <c r="B370" s="507"/>
      <c r="C370" s="507"/>
      <c r="D370" s="508"/>
      <c r="E370" s="507"/>
      <c r="F370" s="507"/>
      <c r="G370" s="507"/>
      <c r="H370" s="507"/>
      <c r="I370" s="507"/>
      <c r="J370" s="507"/>
      <c r="K370" s="507"/>
      <c r="L370" s="507"/>
      <c r="M370" s="507"/>
      <c r="N370" s="507"/>
    </row>
    <row r="371" ht="35.25" customHeight="1">
      <c r="A371" s="507"/>
      <c r="B371" s="507"/>
      <c r="C371" s="507"/>
      <c r="D371" s="508"/>
      <c r="E371" s="507"/>
      <c r="F371" s="507"/>
      <c r="G371" s="507"/>
      <c r="H371" s="507"/>
      <c r="I371" s="507"/>
      <c r="J371" s="507"/>
      <c r="K371" s="507"/>
      <c r="L371" s="507"/>
      <c r="M371" s="507"/>
      <c r="N371" s="507"/>
    </row>
    <row r="372" ht="35.25" customHeight="1">
      <c r="A372" s="507"/>
      <c r="B372" s="507"/>
      <c r="C372" s="507"/>
      <c r="D372" s="508"/>
      <c r="E372" s="507"/>
      <c r="F372" s="507"/>
      <c r="G372" s="507"/>
      <c r="H372" s="507"/>
      <c r="I372" s="507"/>
      <c r="J372" s="507"/>
      <c r="K372" s="507"/>
      <c r="L372" s="507"/>
      <c r="M372" s="507"/>
      <c r="N372" s="507"/>
    </row>
    <row r="373" ht="35.25" customHeight="1">
      <c r="A373" s="507"/>
      <c r="B373" s="507"/>
      <c r="C373" s="507"/>
      <c r="D373" s="508"/>
      <c r="E373" s="507"/>
      <c r="F373" s="507"/>
      <c r="G373" s="507"/>
      <c r="H373" s="507"/>
      <c r="I373" s="507"/>
      <c r="J373" s="507"/>
      <c r="K373" s="507"/>
      <c r="L373" s="507"/>
      <c r="M373" s="507"/>
      <c r="N373" s="507"/>
    </row>
    <row r="374" ht="35.25" customHeight="1">
      <c r="A374" s="507"/>
      <c r="B374" s="507"/>
      <c r="C374" s="507"/>
      <c r="D374" s="508"/>
      <c r="E374" s="507"/>
      <c r="F374" s="507"/>
      <c r="G374" s="507"/>
      <c r="H374" s="507"/>
      <c r="I374" s="507"/>
      <c r="J374" s="507"/>
      <c r="K374" s="507"/>
      <c r="L374" s="507"/>
      <c r="M374" s="507"/>
      <c r="N374" s="507"/>
    </row>
    <row r="375" ht="35.25" customHeight="1">
      <c r="A375" s="507"/>
      <c r="B375" s="507"/>
      <c r="C375" s="507"/>
      <c r="D375" s="508"/>
      <c r="E375" s="507"/>
      <c r="F375" s="507"/>
      <c r="G375" s="507"/>
      <c r="H375" s="507"/>
      <c r="I375" s="507"/>
      <c r="J375" s="507"/>
      <c r="K375" s="507"/>
      <c r="L375" s="507"/>
      <c r="M375" s="507"/>
      <c r="N375" s="507"/>
    </row>
    <row r="376" ht="35.25" customHeight="1">
      <c r="A376" s="507"/>
      <c r="B376" s="507"/>
      <c r="C376" s="507"/>
      <c r="D376" s="508"/>
      <c r="E376" s="507"/>
      <c r="F376" s="507"/>
      <c r="G376" s="507"/>
      <c r="H376" s="507"/>
      <c r="I376" s="507"/>
      <c r="J376" s="507"/>
      <c r="K376" s="507"/>
      <c r="L376" s="507"/>
      <c r="M376" s="507"/>
      <c r="N376" s="507"/>
    </row>
    <row r="377" ht="35.25" customHeight="1">
      <c r="A377" s="507"/>
      <c r="B377" s="507"/>
      <c r="C377" s="507"/>
      <c r="D377" s="508"/>
      <c r="E377" s="507"/>
      <c r="F377" s="507"/>
      <c r="G377" s="507"/>
      <c r="H377" s="507"/>
      <c r="I377" s="507"/>
      <c r="J377" s="507"/>
      <c r="K377" s="507"/>
      <c r="L377" s="507"/>
      <c r="M377" s="507"/>
      <c r="N377" s="507"/>
    </row>
    <row r="378" ht="35.25" customHeight="1">
      <c r="A378" s="507"/>
      <c r="B378" s="507"/>
      <c r="C378" s="507"/>
      <c r="D378" s="508"/>
      <c r="E378" s="507"/>
      <c r="F378" s="507"/>
      <c r="G378" s="507"/>
      <c r="H378" s="507"/>
      <c r="I378" s="507"/>
      <c r="J378" s="507"/>
      <c r="K378" s="507"/>
      <c r="L378" s="507"/>
      <c r="M378" s="507"/>
      <c r="N378" s="507"/>
    </row>
    <row r="379" ht="35.25" customHeight="1">
      <c r="A379" s="507"/>
      <c r="B379" s="507"/>
      <c r="C379" s="507"/>
      <c r="D379" s="508"/>
      <c r="E379" s="507"/>
      <c r="F379" s="507"/>
      <c r="G379" s="507"/>
      <c r="H379" s="507"/>
      <c r="I379" s="507"/>
      <c r="J379" s="507"/>
      <c r="K379" s="507"/>
      <c r="L379" s="507"/>
      <c r="M379" s="507"/>
      <c r="N379" s="507"/>
    </row>
    <row r="380" ht="35.25" customHeight="1">
      <c r="A380" s="507"/>
      <c r="B380" s="507"/>
      <c r="C380" s="507"/>
      <c r="D380" s="508"/>
      <c r="E380" s="507"/>
      <c r="F380" s="507"/>
      <c r="G380" s="507"/>
      <c r="H380" s="507"/>
      <c r="I380" s="507"/>
      <c r="J380" s="507"/>
      <c r="K380" s="507"/>
      <c r="L380" s="507"/>
      <c r="M380" s="507"/>
      <c r="N380" s="507"/>
    </row>
    <row r="381" ht="35.25" customHeight="1">
      <c r="A381" s="507"/>
      <c r="B381" s="507"/>
      <c r="C381" s="507"/>
      <c r="D381" s="508"/>
      <c r="E381" s="507"/>
      <c r="F381" s="507"/>
      <c r="G381" s="507"/>
      <c r="H381" s="507"/>
      <c r="I381" s="507"/>
      <c r="J381" s="507"/>
      <c r="K381" s="507"/>
      <c r="L381" s="507"/>
      <c r="M381" s="507"/>
      <c r="N381" s="507"/>
    </row>
    <row r="382" ht="35.25" customHeight="1">
      <c r="A382" s="507"/>
      <c r="B382" s="507"/>
      <c r="C382" s="507"/>
      <c r="D382" s="508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</row>
    <row r="383" ht="35.25" customHeight="1">
      <c r="A383" s="507"/>
      <c r="B383" s="507"/>
      <c r="C383" s="507"/>
      <c r="D383" s="508"/>
      <c r="E383" s="507"/>
      <c r="F383" s="507"/>
      <c r="G383" s="507"/>
      <c r="H383" s="507"/>
      <c r="I383" s="507"/>
      <c r="J383" s="507"/>
      <c r="K383" s="507"/>
      <c r="L383" s="507"/>
      <c r="M383" s="507"/>
      <c r="N383" s="507"/>
    </row>
    <row r="384" ht="35.25" customHeight="1">
      <c r="A384" s="507"/>
      <c r="B384" s="507"/>
      <c r="C384" s="507"/>
      <c r="D384" s="508"/>
      <c r="E384" s="507"/>
      <c r="F384" s="507"/>
      <c r="G384" s="507"/>
      <c r="H384" s="507"/>
      <c r="I384" s="507"/>
      <c r="J384" s="507"/>
      <c r="K384" s="507"/>
      <c r="L384" s="507"/>
      <c r="M384" s="507"/>
      <c r="N384" s="507"/>
    </row>
    <row r="385" ht="35.25" customHeight="1">
      <c r="A385" s="507"/>
      <c r="B385" s="507"/>
      <c r="C385" s="507"/>
      <c r="D385" s="508"/>
      <c r="E385" s="507"/>
      <c r="F385" s="507"/>
      <c r="G385" s="507"/>
      <c r="H385" s="507"/>
      <c r="I385" s="507"/>
      <c r="J385" s="507"/>
      <c r="K385" s="507"/>
      <c r="L385" s="507"/>
      <c r="M385" s="507"/>
      <c r="N385" s="507"/>
    </row>
    <row r="386" ht="35.25" customHeight="1">
      <c r="A386" s="507"/>
      <c r="B386" s="507"/>
      <c r="C386" s="507"/>
      <c r="D386" s="508"/>
      <c r="E386" s="507"/>
      <c r="F386" s="507"/>
      <c r="G386" s="507"/>
      <c r="H386" s="507"/>
      <c r="I386" s="507"/>
      <c r="J386" s="507"/>
      <c r="K386" s="507"/>
      <c r="L386" s="507"/>
      <c r="M386" s="507"/>
      <c r="N386" s="507"/>
    </row>
    <row r="387" ht="35.25" customHeight="1">
      <c r="A387" s="507"/>
      <c r="B387" s="507"/>
      <c r="C387" s="507"/>
      <c r="D387" s="508"/>
      <c r="E387" s="507"/>
      <c r="F387" s="507"/>
      <c r="G387" s="507"/>
      <c r="H387" s="507"/>
      <c r="I387" s="507"/>
      <c r="J387" s="507"/>
      <c r="K387" s="507"/>
      <c r="L387" s="507"/>
      <c r="M387" s="507"/>
      <c r="N387" s="507"/>
    </row>
    <row r="388" ht="35.25" customHeight="1">
      <c r="A388" s="507"/>
      <c r="B388" s="507"/>
      <c r="C388" s="507"/>
      <c r="D388" s="508"/>
      <c r="E388" s="507"/>
      <c r="F388" s="507"/>
      <c r="G388" s="507"/>
      <c r="H388" s="507"/>
      <c r="I388" s="507"/>
      <c r="J388" s="507"/>
      <c r="K388" s="507"/>
      <c r="L388" s="507"/>
      <c r="M388" s="507"/>
      <c r="N388" s="507"/>
    </row>
    <row r="389" ht="35.25" customHeight="1">
      <c r="A389" s="507"/>
      <c r="B389" s="507"/>
      <c r="C389" s="507"/>
      <c r="D389" s="508"/>
      <c r="E389" s="507"/>
      <c r="F389" s="507"/>
      <c r="G389" s="507"/>
      <c r="H389" s="507"/>
      <c r="I389" s="507"/>
      <c r="J389" s="507"/>
      <c r="K389" s="507"/>
      <c r="L389" s="507"/>
      <c r="M389" s="507"/>
      <c r="N389" s="507"/>
    </row>
    <row r="390" ht="35.25" customHeight="1">
      <c r="A390" s="507"/>
      <c r="B390" s="507"/>
      <c r="C390" s="507"/>
      <c r="D390" s="508"/>
      <c r="E390" s="507"/>
      <c r="F390" s="507"/>
      <c r="G390" s="507"/>
      <c r="H390" s="507"/>
      <c r="I390" s="507"/>
      <c r="J390" s="507"/>
      <c r="K390" s="507"/>
      <c r="L390" s="507"/>
      <c r="M390" s="507"/>
      <c r="N390" s="507"/>
    </row>
    <row r="391" ht="35.25" customHeight="1">
      <c r="A391" s="507"/>
      <c r="B391" s="507"/>
      <c r="C391" s="507"/>
      <c r="D391" s="508"/>
      <c r="E391" s="507"/>
      <c r="F391" s="507"/>
      <c r="G391" s="507"/>
      <c r="H391" s="507"/>
      <c r="I391" s="507"/>
      <c r="J391" s="507"/>
      <c r="K391" s="507"/>
      <c r="L391" s="507"/>
      <c r="M391" s="507"/>
      <c r="N391" s="507"/>
    </row>
    <row r="392" ht="35.25" customHeight="1">
      <c r="A392" s="507"/>
      <c r="B392" s="507"/>
      <c r="C392" s="507"/>
      <c r="D392" s="508"/>
      <c r="E392" s="507"/>
      <c r="F392" s="507"/>
      <c r="G392" s="507"/>
      <c r="H392" s="507"/>
      <c r="I392" s="507"/>
      <c r="J392" s="507"/>
      <c r="K392" s="507"/>
      <c r="L392" s="507"/>
      <c r="M392" s="507"/>
      <c r="N392" s="507"/>
    </row>
    <row r="393" ht="35.25" customHeight="1">
      <c r="A393" s="507"/>
      <c r="B393" s="507"/>
      <c r="C393" s="507"/>
      <c r="D393" s="508"/>
      <c r="E393" s="507"/>
      <c r="F393" s="507"/>
      <c r="G393" s="507"/>
      <c r="H393" s="507"/>
      <c r="I393" s="507"/>
      <c r="J393" s="507"/>
      <c r="K393" s="507"/>
      <c r="L393" s="507"/>
      <c r="M393" s="507"/>
      <c r="N393" s="507"/>
    </row>
    <row r="394" ht="35.25" customHeight="1">
      <c r="A394" s="507"/>
      <c r="B394" s="507"/>
      <c r="C394" s="507"/>
      <c r="D394" s="508"/>
      <c r="E394" s="507"/>
      <c r="F394" s="507"/>
      <c r="G394" s="507"/>
      <c r="H394" s="507"/>
      <c r="I394" s="507"/>
      <c r="J394" s="507"/>
      <c r="K394" s="507"/>
      <c r="L394" s="507"/>
      <c r="M394" s="507"/>
      <c r="N394" s="507"/>
    </row>
    <row r="395" ht="35.25" customHeight="1">
      <c r="A395" s="507"/>
      <c r="B395" s="507"/>
      <c r="C395" s="507"/>
      <c r="D395" s="508"/>
      <c r="E395" s="507"/>
      <c r="F395" s="507"/>
      <c r="G395" s="507"/>
      <c r="H395" s="507"/>
      <c r="I395" s="507"/>
      <c r="J395" s="507"/>
      <c r="K395" s="507"/>
      <c r="L395" s="507"/>
      <c r="M395" s="507"/>
      <c r="N395" s="507"/>
    </row>
    <row r="396" ht="35.25" customHeight="1">
      <c r="A396" s="507"/>
      <c r="B396" s="507"/>
      <c r="C396" s="507"/>
      <c r="D396" s="508"/>
      <c r="E396" s="507"/>
      <c r="F396" s="507"/>
      <c r="G396" s="507"/>
      <c r="H396" s="507"/>
      <c r="I396" s="507"/>
      <c r="J396" s="507"/>
      <c r="K396" s="507"/>
      <c r="L396" s="507"/>
      <c r="M396" s="507"/>
      <c r="N396" s="507"/>
    </row>
    <row r="397" ht="35.25" customHeight="1">
      <c r="A397" s="507"/>
      <c r="B397" s="507"/>
      <c r="C397" s="507"/>
      <c r="D397" s="508"/>
      <c r="E397" s="507"/>
      <c r="F397" s="507"/>
      <c r="G397" s="507"/>
      <c r="H397" s="507"/>
      <c r="I397" s="507"/>
      <c r="J397" s="507"/>
      <c r="K397" s="507"/>
      <c r="L397" s="507"/>
      <c r="M397" s="507"/>
      <c r="N397" s="507"/>
    </row>
    <row r="398" ht="35.25" customHeight="1">
      <c r="A398" s="507"/>
      <c r="B398" s="507"/>
      <c r="C398" s="507"/>
      <c r="D398" s="508"/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</row>
    <row r="399" ht="35.25" customHeight="1">
      <c r="A399" s="507"/>
      <c r="B399" s="507"/>
      <c r="C399" s="507"/>
      <c r="D399" s="508"/>
      <c r="E399" s="507"/>
      <c r="F399" s="507"/>
      <c r="G399" s="507"/>
      <c r="H399" s="507"/>
      <c r="I399" s="507"/>
      <c r="J399" s="507"/>
      <c r="K399" s="507"/>
      <c r="L399" s="507"/>
      <c r="M399" s="507"/>
      <c r="N399" s="507"/>
    </row>
    <row r="400" ht="35.25" customHeight="1">
      <c r="A400" s="507"/>
      <c r="B400" s="507"/>
      <c r="C400" s="507"/>
      <c r="D400" s="508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</row>
    <row r="401" ht="35.25" customHeight="1">
      <c r="A401" s="507"/>
      <c r="B401" s="507"/>
      <c r="C401" s="507"/>
      <c r="D401" s="508"/>
      <c r="E401" s="507"/>
      <c r="F401" s="507"/>
      <c r="G401" s="507"/>
      <c r="H401" s="507"/>
      <c r="I401" s="507"/>
      <c r="J401" s="507"/>
      <c r="K401" s="507"/>
      <c r="L401" s="507"/>
      <c r="M401" s="507"/>
      <c r="N401" s="507"/>
    </row>
    <row r="402" ht="35.25" customHeight="1">
      <c r="A402" s="507"/>
      <c r="B402" s="507"/>
      <c r="C402" s="507"/>
      <c r="D402" s="508"/>
      <c r="E402" s="507"/>
      <c r="F402" s="507"/>
      <c r="G402" s="507"/>
      <c r="H402" s="507"/>
      <c r="I402" s="507"/>
      <c r="J402" s="507"/>
      <c r="K402" s="507"/>
      <c r="L402" s="507"/>
      <c r="M402" s="507"/>
      <c r="N402" s="507"/>
    </row>
    <row r="403" ht="35.25" customHeight="1">
      <c r="A403" s="507"/>
      <c r="B403" s="507"/>
      <c r="C403" s="507"/>
      <c r="D403" s="508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</row>
    <row r="404" ht="35.25" customHeight="1">
      <c r="A404" s="507"/>
      <c r="B404" s="507"/>
      <c r="C404" s="507"/>
      <c r="D404" s="508"/>
      <c r="E404" s="507"/>
      <c r="F404" s="507"/>
      <c r="G404" s="507"/>
      <c r="H404" s="507"/>
      <c r="I404" s="507"/>
      <c r="J404" s="507"/>
      <c r="K404" s="507"/>
      <c r="L404" s="507"/>
      <c r="M404" s="507"/>
      <c r="N404" s="507"/>
    </row>
    <row r="405" ht="35.25" customHeight="1">
      <c r="A405" s="507"/>
      <c r="B405" s="507"/>
      <c r="C405" s="507"/>
      <c r="D405" s="508"/>
      <c r="E405" s="507"/>
      <c r="F405" s="507"/>
      <c r="G405" s="507"/>
      <c r="H405" s="507"/>
      <c r="I405" s="507"/>
      <c r="J405" s="507"/>
      <c r="K405" s="507"/>
      <c r="L405" s="507"/>
      <c r="M405" s="507"/>
      <c r="N405" s="507"/>
    </row>
    <row r="406" ht="35.25" customHeight="1">
      <c r="A406" s="507"/>
      <c r="B406" s="507"/>
      <c r="C406" s="507"/>
      <c r="D406" s="508"/>
      <c r="E406" s="507"/>
      <c r="F406" s="507"/>
      <c r="G406" s="507"/>
      <c r="H406" s="507"/>
      <c r="I406" s="507"/>
      <c r="J406" s="507"/>
      <c r="K406" s="507"/>
      <c r="L406" s="507"/>
      <c r="M406" s="507"/>
      <c r="N406" s="507"/>
    </row>
    <row r="407" ht="35.25" customHeight="1">
      <c r="A407" s="507"/>
      <c r="B407" s="507"/>
      <c r="C407" s="507"/>
      <c r="D407" s="508"/>
      <c r="E407" s="507"/>
      <c r="F407" s="507"/>
      <c r="G407" s="507"/>
      <c r="H407" s="507"/>
      <c r="I407" s="507"/>
      <c r="J407" s="507"/>
      <c r="K407" s="507"/>
      <c r="L407" s="507"/>
      <c r="M407" s="507"/>
      <c r="N407" s="507"/>
    </row>
    <row r="408" ht="35.25" customHeight="1">
      <c r="A408" s="507"/>
      <c r="B408" s="507"/>
      <c r="C408" s="507"/>
      <c r="D408" s="508"/>
      <c r="E408" s="507"/>
      <c r="F408" s="507"/>
      <c r="G408" s="507"/>
      <c r="H408" s="507"/>
      <c r="I408" s="507"/>
      <c r="J408" s="507"/>
      <c r="K408" s="507"/>
      <c r="L408" s="507"/>
      <c r="M408" s="507"/>
      <c r="N408" s="507"/>
    </row>
    <row r="409" ht="35.25" customHeight="1">
      <c r="A409" s="507"/>
      <c r="B409" s="507"/>
      <c r="C409" s="507"/>
      <c r="D409" s="508"/>
      <c r="E409" s="507"/>
      <c r="F409" s="507"/>
      <c r="G409" s="507"/>
      <c r="H409" s="507"/>
      <c r="I409" s="507"/>
      <c r="J409" s="507"/>
      <c r="K409" s="507"/>
      <c r="L409" s="507"/>
      <c r="M409" s="507"/>
      <c r="N409" s="507"/>
    </row>
    <row r="410" ht="35.25" customHeight="1">
      <c r="A410" s="507"/>
      <c r="B410" s="507"/>
      <c r="C410" s="507"/>
      <c r="D410" s="508"/>
      <c r="E410" s="507"/>
      <c r="F410" s="507"/>
      <c r="G410" s="507"/>
      <c r="H410" s="507"/>
      <c r="I410" s="507"/>
      <c r="J410" s="507"/>
      <c r="K410" s="507"/>
      <c r="L410" s="507"/>
      <c r="M410" s="507"/>
      <c r="N410" s="507"/>
    </row>
    <row r="411" ht="35.25" customHeight="1">
      <c r="A411" s="507"/>
      <c r="B411" s="507"/>
      <c r="C411" s="507"/>
      <c r="D411" s="508"/>
      <c r="E411" s="507"/>
      <c r="F411" s="507"/>
      <c r="G411" s="507"/>
      <c r="H411" s="507"/>
      <c r="I411" s="507"/>
      <c r="J411" s="507"/>
      <c r="K411" s="507"/>
      <c r="L411" s="507"/>
      <c r="M411" s="507"/>
      <c r="N411" s="507"/>
    </row>
    <row r="412" ht="35.25" customHeight="1">
      <c r="A412" s="507"/>
      <c r="B412" s="507"/>
      <c r="C412" s="507"/>
      <c r="D412" s="508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</row>
    <row r="413" ht="35.25" customHeight="1">
      <c r="A413" s="507"/>
      <c r="B413" s="507"/>
      <c r="C413" s="507"/>
      <c r="D413" s="508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</row>
    <row r="414" ht="35.25" customHeight="1">
      <c r="A414" s="507"/>
      <c r="B414" s="507"/>
      <c r="C414" s="507"/>
      <c r="D414" s="508"/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</row>
    <row r="415" ht="35.25" customHeight="1">
      <c r="A415" s="507"/>
      <c r="B415" s="507"/>
      <c r="C415" s="507"/>
      <c r="D415" s="508"/>
      <c r="E415" s="507"/>
      <c r="F415" s="507"/>
      <c r="G415" s="507"/>
      <c r="H415" s="507"/>
      <c r="I415" s="507"/>
      <c r="J415" s="507"/>
      <c r="K415" s="507"/>
      <c r="L415" s="507"/>
      <c r="M415" s="507"/>
      <c r="N415" s="507"/>
    </row>
    <row r="416" ht="35.25" customHeight="1">
      <c r="A416" s="507"/>
      <c r="B416" s="507"/>
      <c r="C416" s="507"/>
      <c r="D416" s="508"/>
      <c r="E416" s="507"/>
      <c r="F416" s="507"/>
      <c r="G416" s="507"/>
      <c r="H416" s="507"/>
      <c r="I416" s="507"/>
      <c r="J416" s="507"/>
      <c r="K416" s="507"/>
      <c r="L416" s="507"/>
      <c r="M416" s="507"/>
      <c r="N416" s="507"/>
    </row>
    <row r="417" ht="35.25" customHeight="1">
      <c r="A417" s="507"/>
      <c r="B417" s="507"/>
      <c r="C417" s="507"/>
      <c r="D417" s="508"/>
      <c r="E417" s="507"/>
      <c r="F417" s="507"/>
      <c r="G417" s="507"/>
      <c r="H417" s="507"/>
      <c r="I417" s="507"/>
      <c r="J417" s="507"/>
      <c r="K417" s="507"/>
      <c r="L417" s="507"/>
      <c r="M417" s="507"/>
      <c r="N417" s="507"/>
    </row>
    <row r="418" ht="35.25" customHeight="1">
      <c r="A418" s="507"/>
      <c r="B418" s="507"/>
      <c r="C418" s="507"/>
      <c r="D418" s="508"/>
      <c r="E418" s="507"/>
      <c r="F418" s="507"/>
      <c r="G418" s="507"/>
      <c r="H418" s="507"/>
      <c r="I418" s="507"/>
      <c r="J418" s="507"/>
      <c r="K418" s="507"/>
      <c r="L418" s="507"/>
      <c r="M418" s="507"/>
      <c r="N418" s="507"/>
    </row>
    <row r="419" ht="35.25" customHeight="1">
      <c r="A419" s="507"/>
      <c r="B419" s="507"/>
      <c r="C419" s="507"/>
      <c r="D419" s="508"/>
      <c r="E419" s="507"/>
      <c r="F419" s="507"/>
      <c r="G419" s="507"/>
      <c r="H419" s="507"/>
      <c r="I419" s="507"/>
      <c r="J419" s="507"/>
      <c r="K419" s="507"/>
      <c r="L419" s="507"/>
      <c r="M419" s="507"/>
      <c r="N419" s="507"/>
    </row>
    <row r="420" ht="35.25" customHeight="1">
      <c r="A420" s="507"/>
      <c r="B420" s="507"/>
      <c r="C420" s="507"/>
      <c r="D420" s="508"/>
      <c r="E420" s="507"/>
      <c r="F420" s="507"/>
      <c r="G420" s="507"/>
      <c r="H420" s="507"/>
      <c r="I420" s="507"/>
      <c r="J420" s="507"/>
      <c r="K420" s="507"/>
      <c r="L420" s="507"/>
      <c r="M420" s="507"/>
      <c r="N420" s="507"/>
    </row>
    <row r="421" ht="35.25" customHeight="1">
      <c r="A421" s="507"/>
      <c r="B421" s="507"/>
      <c r="C421" s="507"/>
      <c r="D421" s="508"/>
      <c r="E421" s="507"/>
      <c r="F421" s="507"/>
      <c r="G421" s="507"/>
      <c r="H421" s="507"/>
      <c r="I421" s="507"/>
      <c r="J421" s="507"/>
      <c r="K421" s="507"/>
      <c r="L421" s="507"/>
      <c r="M421" s="507"/>
      <c r="N421" s="507"/>
    </row>
    <row r="422" ht="35.25" customHeight="1">
      <c r="A422" s="507"/>
      <c r="B422" s="507"/>
      <c r="C422" s="507"/>
      <c r="D422" s="508"/>
      <c r="E422" s="507"/>
      <c r="F422" s="507"/>
      <c r="G422" s="507"/>
      <c r="H422" s="507"/>
      <c r="I422" s="507"/>
      <c r="J422" s="507"/>
      <c r="K422" s="507"/>
      <c r="L422" s="507"/>
      <c r="M422" s="507"/>
      <c r="N422" s="507"/>
    </row>
    <row r="423" ht="35.25" customHeight="1">
      <c r="A423" s="507"/>
      <c r="B423" s="507"/>
      <c r="C423" s="507"/>
      <c r="D423" s="508"/>
      <c r="E423" s="507"/>
      <c r="F423" s="507"/>
      <c r="G423" s="507"/>
      <c r="H423" s="507"/>
      <c r="I423" s="507"/>
      <c r="J423" s="507"/>
      <c r="K423" s="507"/>
      <c r="L423" s="507"/>
      <c r="M423" s="507"/>
      <c r="N423" s="507"/>
    </row>
    <row r="424" ht="35.25" customHeight="1">
      <c r="A424" s="507"/>
      <c r="B424" s="507"/>
      <c r="C424" s="507"/>
      <c r="D424" s="508"/>
      <c r="E424" s="507"/>
      <c r="F424" s="507"/>
      <c r="G424" s="507"/>
      <c r="H424" s="507"/>
      <c r="I424" s="507"/>
      <c r="J424" s="507"/>
      <c r="K424" s="507"/>
      <c r="L424" s="507"/>
      <c r="M424" s="507"/>
      <c r="N424" s="507"/>
    </row>
    <row r="425" ht="35.25" customHeight="1">
      <c r="A425" s="507"/>
      <c r="B425" s="507"/>
      <c r="C425" s="507"/>
      <c r="D425" s="508"/>
      <c r="E425" s="507"/>
      <c r="F425" s="507"/>
      <c r="G425" s="507"/>
      <c r="H425" s="507"/>
      <c r="I425" s="507"/>
      <c r="J425" s="507"/>
      <c r="K425" s="507"/>
      <c r="L425" s="507"/>
      <c r="M425" s="507"/>
      <c r="N425" s="507"/>
    </row>
    <row r="426" ht="35.25" customHeight="1">
      <c r="A426" s="507"/>
      <c r="B426" s="507"/>
      <c r="C426" s="507"/>
      <c r="D426" s="508"/>
      <c r="E426" s="507"/>
      <c r="F426" s="507"/>
      <c r="G426" s="507"/>
      <c r="H426" s="507"/>
      <c r="I426" s="507"/>
      <c r="J426" s="507"/>
      <c r="K426" s="507"/>
      <c r="L426" s="507"/>
      <c r="M426" s="507"/>
      <c r="N426" s="507"/>
    </row>
    <row r="427" ht="35.25" customHeight="1">
      <c r="A427" s="507"/>
      <c r="B427" s="507"/>
      <c r="C427" s="507"/>
      <c r="D427" s="508"/>
      <c r="E427" s="507"/>
      <c r="F427" s="507"/>
      <c r="G427" s="507"/>
      <c r="H427" s="507"/>
      <c r="I427" s="507"/>
      <c r="J427" s="507"/>
      <c r="K427" s="507"/>
      <c r="L427" s="507"/>
      <c r="M427" s="507"/>
      <c r="N427" s="507"/>
    </row>
    <row r="428" ht="35.25" customHeight="1">
      <c r="A428" s="507"/>
      <c r="B428" s="507"/>
      <c r="C428" s="507"/>
      <c r="D428" s="508"/>
      <c r="E428" s="507"/>
      <c r="F428" s="507"/>
      <c r="G428" s="507"/>
      <c r="H428" s="507"/>
      <c r="I428" s="507"/>
      <c r="J428" s="507"/>
      <c r="K428" s="507"/>
      <c r="L428" s="507"/>
      <c r="M428" s="507"/>
      <c r="N428" s="507"/>
    </row>
    <row r="429" ht="35.25" customHeight="1">
      <c r="A429" s="507"/>
      <c r="B429" s="507"/>
      <c r="C429" s="507"/>
      <c r="D429" s="508"/>
      <c r="E429" s="507"/>
      <c r="F429" s="507"/>
      <c r="G429" s="507"/>
      <c r="H429" s="507"/>
      <c r="I429" s="507"/>
      <c r="J429" s="507"/>
      <c r="K429" s="507"/>
      <c r="L429" s="507"/>
      <c r="M429" s="507"/>
      <c r="N429" s="507"/>
    </row>
    <row r="430" ht="35.25" customHeight="1">
      <c r="A430" s="507"/>
      <c r="B430" s="507"/>
      <c r="C430" s="507"/>
      <c r="D430" s="508"/>
      <c r="E430" s="507"/>
      <c r="F430" s="507"/>
      <c r="G430" s="507"/>
      <c r="H430" s="507"/>
      <c r="I430" s="507"/>
      <c r="J430" s="507"/>
      <c r="K430" s="507"/>
      <c r="L430" s="507"/>
      <c r="M430" s="507"/>
      <c r="N430" s="507"/>
    </row>
    <row r="431" ht="35.25" customHeight="1">
      <c r="A431" s="507"/>
      <c r="B431" s="507"/>
      <c r="C431" s="507"/>
      <c r="D431" s="508"/>
      <c r="E431" s="507"/>
      <c r="F431" s="507"/>
      <c r="G431" s="507"/>
      <c r="H431" s="507"/>
      <c r="I431" s="507"/>
      <c r="J431" s="507"/>
      <c r="K431" s="507"/>
      <c r="L431" s="507"/>
      <c r="M431" s="507"/>
      <c r="N431" s="507"/>
    </row>
    <row r="432" ht="35.25" customHeight="1">
      <c r="A432" s="507"/>
      <c r="B432" s="507"/>
      <c r="C432" s="507"/>
      <c r="D432" s="508"/>
      <c r="E432" s="507"/>
      <c r="F432" s="507"/>
      <c r="G432" s="507"/>
      <c r="H432" s="507"/>
      <c r="I432" s="507"/>
      <c r="J432" s="507"/>
      <c r="K432" s="507"/>
      <c r="L432" s="507"/>
      <c r="M432" s="507"/>
      <c r="N432" s="507"/>
    </row>
    <row r="433" ht="35.25" customHeight="1">
      <c r="A433" s="507"/>
      <c r="B433" s="507"/>
      <c r="C433" s="507"/>
      <c r="D433" s="508"/>
      <c r="E433" s="507"/>
      <c r="F433" s="507"/>
      <c r="G433" s="507"/>
      <c r="H433" s="507"/>
      <c r="I433" s="507"/>
      <c r="J433" s="507"/>
      <c r="K433" s="507"/>
      <c r="L433" s="507"/>
      <c r="M433" s="507"/>
      <c r="N433" s="507"/>
    </row>
    <row r="434" ht="35.25" customHeight="1">
      <c r="A434" s="507"/>
      <c r="B434" s="507"/>
      <c r="C434" s="507"/>
      <c r="D434" s="508"/>
      <c r="E434" s="507"/>
      <c r="F434" s="507"/>
      <c r="G434" s="507"/>
      <c r="H434" s="507"/>
      <c r="I434" s="507"/>
      <c r="J434" s="507"/>
      <c r="K434" s="507"/>
      <c r="L434" s="507"/>
      <c r="M434" s="507"/>
      <c r="N434" s="507"/>
    </row>
    <row r="435" ht="35.25" customHeight="1">
      <c r="A435" s="507"/>
      <c r="B435" s="507"/>
      <c r="C435" s="507"/>
      <c r="D435" s="508"/>
      <c r="E435" s="507"/>
      <c r="F435" s="507"/>
      <c r="G435" s="507"/>
      <c r="H435" s="507"/>
      <c r="I435" s="507"/>
      <c r="J435" s="507"/>
      <c r="K435" s="507"/>
      <c r="L435" s="507"/>
      <c r="M435" s="507"/>
      <c r="N435" s="507"/>
    </row>
    <row r="436" ht="35.25" customHeight="1">
      <c r="A436" s="507"/>
      <c r="B436" s="507"/>
      <c r="C436" s="507"/>
      <c r="D436" s="508"/>
      <c r="E436" s="507"/>
      <c r="F436" s="507"/>
      <c r="G436" s="507"/>
      <c r="H436" s="507"/>
      <c r="I436" s="507"/>
      <c r="J436" s="507"/>
      <c r="K436" s="507"/>
      <c r="L436" s="507"/>
      <c r="M436" s="507"/>
      <c r="N436" s="507"/>
    </row>
    <row r="437" ht="35.25" customHeight="1">
      <c r="A437" s="507"/>
      <c r="B437" s="507"/>
      <c r="C437" s="507"/>
      <c r="D437" s="508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</row>
    <row r="438" ht="35.25" customHeight="1">
      <c r="A438" s="507"/>
      <c r="B438" s="507"/>
      <c r="C438" s="507"/>
      <c r="D438" s="508"/>
      <c r="E438" s="507"/>
      <c r="F438" s="507"/>
      <c r="G438" s="507"/>
      <c r="H438" s="507"/>
      <c r="I438" s="507"/>
      <c r="J438" s="507"/>
      <c r="K438" s="507"/>
      <c r="L438" s="507"/>
      <c r="M438" s="507"/>
      <c r="N438" s="507"/>
    </row>
    <row r="439" ht="35.25" customHeight="1">
      <c r="A439" s="507"/>
      <c r="B439" s="507"/>
      <c r="C439" s="507"/>
      <c r="D439" s="508"/>
      <c r="E439" s="507"/>
      <c r="F439" s="507"/>
      <c r="G439" s="507"/>
      <c r="H439" s="507"/>
      <c r="I439" s="507"/>
      <c r="J439" s="507"/>
      <c r="K439" s="507"/>
      <c r="L439" s="507"/>
      <c r="M439" s="507"/>
      <c r="N439" s="507"/>
    </row>
    <row r="440" ht="35.25" customHeight="1">
      <c r="A440" s="507"/>
      <c r="B440" s="507"/>
      <c r="C440" s="507"/>
      <c r="D440" s="507"/>
      <c r="E440" s="507"/>
      <c r="F440" s="507"/>
      <c r="G440" s="507"/>
      <c r="H440" s="507"/>
      <c r="I440" s="507"/>
      <c r="J440" s="507"/>
      <c r="K440" s="507"/>
      <c r="L440" s="507"/>
      <c r="M440" s="507"/>
      <c r="N440" s="507"/>
    </row>
    <row r="441" ht="35.25" customHeight="1">
      <c r="A441" s="507"/>
      <c r="B441" s="507"/>
      <c r="C441" s="507"/>
      <c r="D441" s="507"/>
      <c r="E441" s="507"/>
      <c r="F441" s="507"/>
      <c r="G441" s="507"/>
      <c r="H441" s="507"/>
      <c r="I441" s="507"/>
      <c r="J441" s="507"/>
      <c r="K441" s="507"/>
      <c r="L441" s="507"/>
      <c r="M441" s="507"/>
      <c r="N441" s="507"/>
    </row>
    <row r="442" ht="35.25" customHeight="1">
      <c r="A442" s="507"/>
      <c r="B442" s="507"/>
      <c r="C442" s="507"/>
      <c r="D442" s="507"/>
      <c r="E442" s="507"/>
      <c r="F442" s="507"/>
      <c r="G442" s="507"/>
      <c r="H442" s="507"/>
      <c r="I442" s="507"/>
      <c r="J442" s="507"/>
      <c r="K442" s="507"/>
      <c r="L442" s="507"/>
      <c r="M442" s="507"/>
      <c r="N442" s="507"/>
    </row>
    <row r="443" ht="35.25" customHeight="1">
      <c r="A443" s="507"/>
      <c r="B443" s="507"/>
      <c r="C443" s="507"/>
      <c r="D443" s="507"/>
      <c r="E443" s="507"/>
      <c r="F443" s="507"/>
      <c r="G443" s="507"/>
      <c r="H443" s="507"/>
      <c r="I443" s="507"/>
      <c r="J443" s="507"/>
      <c r="K443" s="507"/>
      <c r="L443" s="507"/>
      <c r="M443" s="507"/>
      <c r="N443" s="507"/>
    </row>
  </sheetData>
  <mergeCells count="74">
    <mergeCell ref="A154:A158"/>
    <mergeCell ref="A159:A165"/>
    <mergeCell ref="A166:A170"/>
    <mergeCell ref="A171:A182"/>
    <mergeCell ref="A183:A187"/>
    <mergeCell ref="A188:A192"/>
    <mergeCell ref="A193:A197"/>
    <mergeCell ref="A198:A202"/>
    <mergeCell ref="A203:A207"/>
    <mergeCell ref="A208:A212"/>
    <mergeCell ref="A213:A219"/>
    <mergeCell ref="A220:A224"/>
    <mergeCell ref="A225:A232"/>
    <mergeCell ref="A233:A239"/>
    <mergeCell ref="A240:A248"/>
    <mergeCell ref="A249:A254"/>
    <mergeCell ref="A255:A259"/>
    <mergeCell ref="A260:A264"/>
    <mergeCell ref="A265:A269"/>
    <mergeCell ref="A270:A274"/>
    <mergeCell ref="A275:A283"/>
    <mergeCell ref="A335:A345"/>
    <mergeCell ref="A346:A350"/>
    <mergeCell ref="A351:A355"/>
    <mergeCell ref="A356:A360"/>
    <mergeCell ref="A361:A363"/>
    <mergeCell ref="A284:A288"/>
    <mergeCell ref="A289:A293"/>
    <mergeCell ref="A294:A298"/>
    <mergeCell ref="A299:A303"/>
    <mergeCell ref="A304:A315"/>
    <mergeCell ref="A316:A320"/>
    <mergeCell ref="A321:A334"/>
    <mergeCell ref="D12:D15"/>
    <mergeCell ref="D16:D19"/>
    <mergeCell ref="A2:D2"/>
    <mergeCell ref="A4:A7"/>
    <mergeCell ref="D4:D7"/>
    <mergeCell ref="A8:A11"/>
    <mergeCell ref="D8:D11"/>
    <mergeCell ref="A12:A15"/>
    <mergeCell ref="A16:A19"/>
    <mergeCell ref="D36:D39"/>
    <mergeCell ref="D40:D43"/>
    <mergeCell ref="D44:D47"/>
    <mergeCell ref="D48:D51"/>
    <mergeCell ref="A20:A23"/>
    <mergeCell ref="D20:D23"/>
    <mergeCell ref="A24:A27"/>
    <mergeCell ref="D24:D27"/>
    <mergeCell ref="A28:A31"/>
    <mergeCell ref="D28:D31"/>
    <mergeCell ref="D32:D35"/>
    <mergeCell ref="A32:A35"/>
    <mergeCell ref="A36:A39"/>
    <mergeCell ref="A40:A43"/>
    <mergeCell ref="A44:A47"/>
    <mergeCell ref="A48:A51"/>
    <mergeCell ref="A55:C55"/>
    <mergeCell ref="A56:A61"/>
    <mergeCell ref="A62:A64"/>
    <mergeCell ref="A65:A71"/>
    <mergeCell ref="A72:A79"/>
    <mergeCell ref="A80:A84"/>
    <mergeCell ref="A85:A89"/>
    <mergeCell ref="A90:A99"/>
    <mergeCell ref="A100:A102"/>
    <mergeCell ref="A103:A110"/>
    <mergeCell ref="A111:A115"/>
    <mergeCell ref="A116:A125"/>
    <mergeCell ref="A126:A131"/>
    <mergeCell ref="A132:A140"/>
    <mergeCell ref="A141:A148"/>
    <mergeCell ref="A149:A15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37.43"/>
    <col customWidth="1" min="3" max="3" width="29.29"/>
    <col customWidth="1" min="4" max="4" width="32.14"/>
    <col customWidth="1" min="5" max="5" width="40.71"/>
    <col customWidth="1" min="6" max="7" width="8.71"/>
    <col customWidth="1" min="8" max="8" width="56.0"/>
    <col customWidth="1" min="9" max="9" width="23.86"/>
    <col customWidth="1" min="10" max="14" width="8.71"/>
  </cols>
  <sheetData>
    <row r="1" ht="35.25" customHeight="1">
      <c r="A1" s="506"/>
      <c r="B1" s="507"/>
      <c r="C1" s="507"/>
      <c r="D1" s="508"/>
      <c r="E1" s="507"/>
      <c r="F1" s="507"/>
      <c r="G1" s="507"/>
      <c r="H1" s="507"/>
      <c r="I1" s="507"/>
      <c r="J1" s="507"/>
      <c r="K1" s="507"/>
      <c r="L1" s="507"/>
      <c r="M1" s="507"/>
      <c r="N1" s="507"/>
    </row>
    <row r="2" ht="35.25" customHeight="1">
      <c r="A2" s="509" t="s">
        <v>217</v>
      </c>
      <c r="B2" s="4"/>
      <c r="C2" s="4"/>
      <c r="D2" s="5"/>
      <c r="E2" s="507"/>
      <c r="F2" s="507"/>
      <c r="G2" s="507"/>
      <c r="H2" s="507"/>
      <c r="I2" s="507"/>
      <c r="J2" s="507"/>
      <c r="K2" s="507"/>
      <c r="L2" s="507"/>
      <c r="M2" s="507"/>
      <c r="N2" s="507"/>
    </row>
    <row r="3" ht="35.25" customHeight="1">
      <c r="A3" s="891" t="s">
        <v>1</v>
      </c>
      <c r="B3" s="891"/>
      <c r="C3" s="891" t="s">
        <v>2</v>
      </c>
      <c r="D3" s="891" t="s">
        <v>4</v>
      </c>
      <c r="E3" s="507"/>
      <c r="F3" s="507"/>
      <c r="G3" s="507"/>
      <c r="H3" s="507"/>
      <c r="I3" s="507"/>
      <c r="J3" s="507"/>
      <c r="K3" s="507"/>
      <c r="L3" s="507"/>
      <c r="M3" s="507"/>
      <c r="N3" s="507"/>
    </row>
    <row r="4" ht="35.25" customHeight="1">
      <c r="A4" s="731" t="s">
        <v>952</v>
      </c>
      <c r="B4" s="514" t="s">
        <v>1320</v>
      </c>
      <c r="C4" s="515" t="s">
        <v>691</v>
      </c>
      <c r="D4" s="653">
        <f>sum(C4:C8)</f>
        <v>32994000</v>
      </c>
      <c r="E4" s="556" t="s">
        <v>834</v>
      </c>
      <c r="F4" s="507"/>
      <c r="G4" s="507"/>
      <c r="H4" s="507"/>
      <c r="I4" s="507"/>
      <c r="J4" s="507"/>
      <c r="K4" s="507"/>
      <c r="L4" s="507"/>
      <c r="M4" s="507"/>
      <c r="N4" s="507"/>
    </row>
    <row r="5" ht="35.25" customHeight="1">
      <c r="A5" s="18"/>
      <c r="B5" s="514" t="s">
        <v>699</v>
      </c>
      <c r="C5" s="515" t="s">
        <v>691</v>
      </c>
      <c r="D5" s="18"/>
      <c r="E5" s="506"/>
      <c r="F5" s="507"/>
      <c r="G5" s="507"/>
      <c r="H5" s="507"/>
      <c r="I5" s="507"/>
      <c r="J5" s="507"/>
      <c r="K5" s="507"/>
      <c r="L5" s="507"/>
      <c r="M5" s="507"/>
      <c r="N5" s="507"/>
    </row>
    <row r="6" ht="35.25" customHeight="1">
      <c r="A6" s="18"/>
      <c r="B6" s="514" t="s">
        <v>738</v>
      </c>
      <c r="C6" s="515">
        <v>3.2994E7</v>
      </c>
      <c r="D6" s="18"/>
      <c r="E6" s="506"/>
      <c r="F6" s="507"/>
      <c r="G6" s="507"/>
      <c r="H6" s="507"/>
      <c r="I6" s="507"/>
      <c r="J6" s="507"/>
      <c r="K6" s="507"/>
      <c r="L6" s="507"/>
      <c r="M6" s="507"/>
      <c r="N6" s="507"/>
    </row>
    <row r="7" ht="35.25" customHeight="1">
      <c r="A7" s="18"/>
      <c r="B7" s="514" t="s">
        <v>89</v>
      </c>
      <c r="C7" s="515"/>
      <c r="D7" s="18"/>
      <c r="E7" s="506"/>
      <c r="F7" s="507"/>
      <c r="G7" s="507"/>
      <c r="H7" s="507"/>
      <c r="I7" s="507"/>
      <c r="J7" s="507"/>
      <c r="K7" s="507"/>
      <c r="L7" s="507"/>
      <c r="M7" s="507"/>
      <c r="N7" s="507"/>
    </row>
    <row r="8" ht="35.25" customHeight="1">
      <c r="A8" s="22"/>
      <c r="B8" s="514" t="s">
        <v>220</v>
      </c>
      <c r="C8" s="515"/>
      <c r="D8" s="22"/>
      <c r="F8" s="507"/>
      <c r="G8" s="507"/>
      <c r="H8" s="507"/>
      <c r="I8" s="507"/>
      <c r="J8" s="507"/>
      <c r="K8" s="507"/>
      <c r="L8" s="507"/>
      <c r="M8" s="507"/>
      <c r="N8" s="507"/>
    </row>
    <row r="9" ht="35.25" customHeight="1">
      <c r="A9" s="731" t="s">
        <v>953</v>
      </c>
      <c r="B9" s="514" t="s">
        <v>72</v>
      </c>
      <c r="C9" s="514">
        <v>1.053594E8</v>
      </c>
      <c r="D9" s="657">
        <f>sum(C9:C14)</f>
        <v>160294100</v>
      </c>
      <c r="E9" s="523" t="s">
        <v>839</v>
      </c>
      <c r="F9" s="507"/>
      <c r="G9" s="507"/>
      <c r="H9" s="507"/>
      <c r="I9" s="507"/>
      <c r="J9" s="507"/>
      <c r="K9" s="507"/>
      <c r="L9" s="507"/>
      <c r="M9" s="507"/>
      <c r="N9" s="507"/>
    </row>
    <row r="10" ht="35.25" customHeight="1">
      <c r="A10" s="18"/>
      <c r="B10" s="514" t="s">
        <v>71</v>
      </c>
      <c r="C10" s="514" t="s">
        <v>691</v>
      </c>
      <c r="D10" s="18"/>
      <c r="E10" s="523"/>
      <c r="F10" s="507"/>
      <c r="G10" s="507"/>
      <c r="H10" s="507"/>
      <c r="I10" s="507"/>
      <c r="J10" s="507"/>
      <c r="K10" s="507"/>
      <c r="L10" s="507"/>
      <c r="M10" s="507"/>
      <c r="N10" s="507"/>
    </row>
    <row r="11" ht="35.25" customHeight="1">
      <c r="A11" s="18"/>
      <c r="B11" s="514" t="s">
        <v>88</v>
      </c>
      <c r="C11" s="514">
        <v>2.9939E7</v>
      </c>
      <c r="D11" s="18"/>
      <c r="E11" s="523"/>
      <c r="F11" s="507"/>
      <c r="G11" s="507"/>
      <c r="H11" s="507"/>
      <c r="I11" s="507"/>
      <c r="J11" s="507"/>
      <c r="K11" s="507"/>
      <c r="L11" s="507"/>
      <c r="M11" s="507"/>
      <c r="N11" s="507"/>
    </row>
    <row r="12" ht="35.25" customHeight="1">
      <c r="A12" s="18"/>
      <c r="B12" s="514" t="s">
        <v>738</v>
      </c>
      <c r="C12" s="514">
        <v>2.49957E7</v>
      </c>
      <c r="D12" s="18"/>
      <c r="E12" s="523"/>
      <c r="F12" s="507"/>
      <c r="G12" s="507"/>
      <c r="H12" s="507"/>
      <c r="I12" s="507"/>
      <c r="J12" s="507"/>
      <c r="K12" s="507"/>
      <c r="L12" s="507"/>
      <c r="M12" s="507"/>
      <c r="N12" s="507"/>
    </row>
    <row r="13" ht="35.25" customHeight="1">
      <c r="A13" s="18"/>
      <c r="B13" s="514" t="s">
        <v>89</v>
      </c>
      <c r="C13" s="514"/>
      <c r="D13" s="18"/>
      <c r="E13" s="523"/>
      <c r="F13" s="507"/>
      <c r="G13" s="507"/>
      <c r="H13" s="507"/>
      <c r="I13" s="507"/>
      <c r="J13" s="507"/>
      <c r="K13" s="507"/>
      <c r="L13" s="507"/>
      <c r="M13" s="507"/>
      <c r="N13" s="507"/>
    </row>
    <row r="14" ht="35.25" customHeight="1">
      <c r="A14" s="22"/>
      <c r="B14" s="514" t="s">
        <v>220</v>
      </c>
      <c r="C14" s="514"/>
      <c r="D14" s="22"/>
      <c r="E14" s="523"/>
      <c r="F14" s="507"/>
      <c r="G14" s="507"/>
      <c r="H14" s="507"/>
      <c r="I14" s="507"/>
      <c r="J14" s="507"/>
      <c r="K14" s="507"/>
      <c r="L14" s="507"/>
      <c r="M14" s="507"/>
      <c r="N14" s="507"/>
    </row>
    <row r="15" ht="35.25" customHeight="1">
      <c r="A15" s="731" t="s">
        <v>840</v>
      </c>
      <c r="B15" s="514" t="s">
        <v>474</v>
      </c>
      <c r="C15" s="514">
        <v>7600000.0</v>
      </c>
      <c r="D15" s="657">
        <f>sum(C15:C22)</f>
        <v>63200000</v>
      </c>
      <c r="E15" s="556" t="s">
        <v>841</v>
      </c>
      <c r="F15" s="507"/>
      <c r="G15" s="507"/>
      <c r="H15" s="507"/>
      <c r="I15" s="507"/>
      <c r="J15" s="507"/>
      <c r="K15" s="507"/>
      <c r="L15" s="507"/>
      <c r="M15" s="507"/>
      <c r="N15" s="507"/>
    </row>
    <row r="16" ht="35.25" customHeight="1">
      <c r="A16" s="18"/>
      <c r="B16" s="514" t="s">
        <v>423</v>
      </c>
      <c r="C16" s="514">
        <v>1.66E7</v>
      </c>
      <c r="D16" s="18"/>
      <c r="E16" s="507"/>
      <c r="F16" s="507"/>
      <c r="G16" s="507"/>
      <c r="H16" s="507"/>
      <c r="I16" s="507"/>
      <c r="J16" s="507"/>
      <c r="K16" s="507"/>
      <c r="L16" s="507"/>
      <c r="M16" s="507"/>
      <c r="N16" s="507"/>
    </row>
    <row r="17" ht="35.25" customHeight="1">
      <c r="A17" s="18"/>
      <c r="B17" s="514" t="s">
        <v>71</v>
      </c>
      <c r="C17" s="514">
        <v>1.56E7</v>
      </c>
      <c r="D17" s="18"/>
      <c r="E17" s="507"/>
      <c r="F17" s="507"/>
      <c r="G17" s="507"/>
      <c r="H17" s="507"/>
      <c r="I17" s="507"/>
      <c r="J17" s="507"/>
      <c r="K17" s="507"/>
      <c r="L17" s="507"/>
      <c r="M17" s="507"/>
      <c r="N17" s="507"/>
    </row>
    <row r="18" ht="35.25" customHeight="1">
      <c r="A18" s="18"/>
      <c r="B18" s="514" t="s">
        <v>72</v>
      </c>
      <c r="C18" s="514">
        <v>1.56E7</v>
      </c>
      <c r="D18" s="18"/>
      <c r="E18" s="507"/>
      <c r="F18" s="507"/>
      <c r="G18" s="507"/>
      <c r="H18" s="507"/>
      <c r="I18" s="507"/>
      <c r="J18" s="507"/>
      <c r="K18" s="507"/>
      <c r="L18" s="507"/>
      <c r="M18" s="507"/>
      <c r="N18" s="507"/>
    </row>
    <row r="19" ht="35.25" customHeight="1">
      <c r="A19" s="18"/>
      <c r="B19" s="514" t="s">
        <v>88</v>
      </c>
      <c r="C19" s="514">
        <v>0.0</v>
      </c>
      <c r="D19" s="18"/>
      <c r="E19" s="507"/>
      <c r="F19" s="507"/>
      <c r="G19" s="507"/>
      <c r="H19" s="507"/>
      <c r="I19" s="507"/>
      <c r="J19" s="507"/>
      <c r="K19" s="507"/>
      <c r="L19" s="507"/>
      <c r="M19" s="507"/>
      <c r="N19" s="507"/>
    </row>
    <row r="20" ht="35.25" customHeight="1">
      <c r="A20" s="18"/>
      <c r="B20" s="688" t="s">
        <v>738</v>
      </c>
      <c r="C20" s="514">
        <v>7800000.0</v>
      </c>
      <c r="D20" s="18"/>
      <c r="E20" s="507"/>
      <c r="F20" s="507"/>
      <c r="G20" s="507"/>
      <c r="H20" s="507"/>
      <c r="I20" s="507"/>
      <c r="J20" s="507"/>
      <c r="K20" s="507"/>
      <c r="L20" s="507"/>
      <c r="M20" s="507"/>
      <c r="N20" s="507"/>
    </row>
    <row r="21" ht="35.25" customHeight="1">
      <c r="A21" s="18"/>
      <c r="B21" s="688" t="s">
        <v>89</v>
      </c>
      <c r="C21" s="514"/>
      <c r="D21" s="18"/>
      <c r="E21" s="507"/>
      <c r="F21" s="507"/>
      <c r="G21" s="507"/>
      <c r="H21" s="507"/>
      <c r="I21" s="507"/>
      <c r="J21" s="507"/>
      <c r="K21" s="507"/>
      <c r="L21" s="507"/>
      <c r="M21" s="507"/>
      <c r="N21" s="507"/>
    </row>
    <row r="22" ht="35.25" customHeight="1">
      <c r="A22" s="22"/>
      <c r="B22" s="688" t="s">
        <v>220</v>
      </c>
      <c r="C22" s="514"/>
      <c r="D22" s="22"/>
      <c r="E22" s="507"/>
      <c r="F22" s="507"/>
      <c r="G22" s="507"/>
      <c r="H22" s="507"/>
      <c r="I22" s="507"/>
      <c r="J22" s="507"/>
      <c r="K22" s="507"/>
      <c r="L22" s="507"/>
      <c r="M22" s="507"/>
      <c r="N22" s="507"/>
    </row>
    <row r="23" ht="35.25" customHeight="1">
      <c r="A23" s="731" t="s">
        <v>956</v>
      </c>
      <c r="B23" s="514" t="s">
        <v>72</v>
      </c>
      <c r="C23" s="514" t="s">
        <v>691</v>
      </c>
      <c r="D23" s="653">
        <f>SUM(C23:C27)</f>
        <v>23165000</v>
      </c>
      <c r="E23" s="556" t="s">
        <v>842</v>
      </c>
      <c r="F23" s="507"/>
      <c r="G23" s="507"/>
      <c r="H23" s="507"/>
      <c r="I23" s="507"/>
      <c r="J23" s="507"/>
      <c r="K23" s="507"/>
      <c r="L23" s="507"/>
      <c r="M23" s="507"/>
      <c r="N23" s="507"/>
    </row>
    <row r="24" ht="35.25" customHeight="1">
      <c r="A24" s="18"/>
      <c r="B24" s="514" t="s">
        <v>88</v>
      </c>
      <c r="C24" s="514" t="s">
        <v>691</v>
      </c>
      <c r="D24" s="18"/>
      <c r="E24" s="507"/>
      <c r="F24" s="507"/>
      <c r="G24" s="507"/>
      <c r="H24" s="507"/>
      <c r="I24" s="507"/>
      <c r="J24" s="507"/>
      <c r="K24" s="507"/>
      <c r="L24" s="507"/>
      <c r="M24" s="507"/>
      <c r="N24" s="507"/>
    </row>
    <row r="25" ht="35.25" customHeight="1">
      <c r="A25" s="18"/>
      <c r="B25" s="514" t="s">
        <v>738</v>
      </c>
      <c r="C25" s="514">
        <v>2.3165E7</v>
      </c>
      <c r="D25" s="18"/>
      <c r="E25" s="507"/>
      <c r="F25" s="507"/>
      <c r="G25" s="507"/>
      <c r="H25" s="507"/>
      <c r="I25" s="507"/>
      <c r="J25" s="507"/>
      <c r="K25" s="507"/>
      <c r="L25" s="507"/>
      <c r="M25" s="507"/>
      <c r="N25" s="507"/>
    </row>
    <row r="26" ht="35.25" customHeight="1">
      <c r="A26" s="18"/>
      <c r="B26" s="514" t="s">
        <v>89</v>
      </c>
      <c r="C26" s="514"/>
      <c r="D26" s="18"/>
      <c r="E26" s="507"/>
      <c r="F26" s="507"/>
      <c r="G26" s="507"/>
      <c r="H26" s="507"/>
      <c r="I26" s="507"/>
      <c r="J26" s="507"/>
      <c r="K26" s="507"/>
      <c r="L26" s="507"/>
      <c r="M26" s="507"/>
      <c r="N26" s="507"/>
    </row>
    <row r="27" ht="35.25" customHeight="1">
      <c r="A27" s="22"/>
      <c r="B27" s="514" t="s">
        <v>220</v>
      </c>
      <c r="C27" s="515"/>
      <c r="D27" s="22"/>
      <c r="E27" s="507"/>
      <c r="F27" s="507"/>
      <c r="G27" s="507"/>
      <c r="H27" s="507"/>
      <c r="I27" s="507"/>
      <c r="J27" s="507"/>
      <c r="K27" s="507"/>
      <c r="L27" s="507"/>
      <c r="M27" s="507"/>
      <c r="N27" s="507"/>
    </row>
    <row r="28" ht="35.25" customHeight="1">
      <c r="A28" s="731" t="s">
        <v>957</v>
      </c>
      <c r="B28" s="514" t="s">
        <v>699</v>
      </c>
      <c r="C28" s="529" t="s">
        <v>684</v>
      </c>
      <c r="D28" s="653">
        <f>sum(C28:C32)</f>
        <v>55600000</v>
      </c>
      <c r="E28" s="529"/>
      <c r="F28" s="507"/>
      <c r="G28" s="507"/>
      <c r="H28" s="507"/>
      <c r="I28" s="507"/>
      <c r="J28" s="507"/>
      <c r="K28" s="507"/>
      <c r="L28" s="507"/>
      <c r="M28" s="507"/>
      <c r="N28" s="507"/>
    </row>
    <row r="29" ht="35.25" customHeight="1">
      <c r="A29" s="18"/>
      <c r="B29" s="514" t="s">
        <v>738</v>
      </c>
      <c r="C29" s="529">
        <v>5.56E7</v>
      </c>
      <c r="D29" s="18"/>
      <c r="E29" s="506"/>
      <c r="F29" s="507"/>
      <c r="G29" s="507"/>
      <c r="H29" s="507"/>
      <c r="I29" s="507"/>
      <c r="J29" s="507"/>
      <c r="K29" s="507"/>
      <c r="L29" s="507"/>
      <c r="M29" s="507"/>
      <c r="N29" s="507"/>
    </row>
    <row r="30" ht="35.25" customHeight="1">
      <c r="A30" s="18"/>
      <c r="B30" s="514" t="s">
        <v>89</v>
      </c>
      <c r="C30" s="529" t="s">
        <v>684</v>
      </c>
      <c r="D30" s="18"/>
      <c r="E30" s="506"/>
      <c r="F30" s="507"/>
      <c r="G30" s="507"/>
      <c r="H30" s="507"/>
      <c r="I30" s="507"/>
      <c r="J30" s="507"/>
      <c r="K30" s="507"/>
      <c r="L30" s="507"/>
      <c r="M30" s="507"/>
      <c r="N30" s="507"/>
    </row>
    <row r="31" ht="35.25" customHeight="1">
      <c r="A31" s="18"/>
      <c r="B31" s="514" t="s">
        <v>220</v>
      </c>
      <c r="C31" s="529" t="s">
        <v>684</v>
      </c>
      <c r="D31" s="18"/>
      <c r="E31" s="506"/>
      <c r="F31" s="507"/>
      <c r="G31" s="507"/>
      <c r="H31" s="507"/>
      <c r="I31" s="507"/>
      <c r="J31" s="507"/>
      <c r="K31" s="507"/>
      <c r="L31" s="507"/>
      <c r="M31" s="507"/>
      <c r="N31" s="507"/>
    </row>
    <row r="32" ht="35.25" customHeight="1">
      <c r="A32" s="22"/>
      <c r="B32" s="514" t="s">
        <v>697</v>
      </c>
      <c r="C32" s="529"/>
      <c r="D32" s="22"/>
      <c r="E32" s="506"/>
      <c r="F32" s="507"/>
      <c r="G32" s="507"/>
      <c r="H32" s="507"/>
      <c r="I32" s="507"/>
      <c r="J32" s="507"/>
      <c r="K32" s="507"/>
      <c r="L32" s="507"/>
      <c r="M32" s="507"/>
      <c r="N32" s="507"/>
    </row>
    <row r="33" ht="35.25" customHeight="1">
      <c r="A33" s="731" t="s">
        <v>959</v>
      </c>
      <c r="B33" s="514" t="s">
        <v>71</v>
      </c>
      <c r="C33" s="529" t="s">
        <v>684</v>
      </c>
      <c r="D33" s="653">
        <f>sum(C33:C37)</f>
        <v>33970500</v>
      </c>
      <c r="E33" s="556"/>
      <c r="F33" s="507"/>
      <c r="G33" s="507"/>
      <c r="H33" s="507"/>
      <c r="I33" s="507"/>
      <c r="J33" s="507"/>
      <c r="K33" s="507"/>
      <c r="L33" s="507"/>
      <c r="M33" s="507"/>
      <c r="N33" s="507"/>
    </row>
    <row r="34" ht="35.25" customHeight="1">
      <c r="A34" s="18"/>
      <c r="B34" s="514" t="s">
        <v>699</v>
      </c>
      <c r="C34" s="529">
        <v>3.16005E7</v>
      </c>
      <c r="D34" s="18"/>
      <c r="E34" s="556" t="s">
        <v>845</v>
      </c>
      <c r="F34" s="507"/>
      <c r="G34" s="507"/>
      <c r="H34" s="507"/>
      <c r="I34" s="507"/>
      <c r="J34" s="507"/>
      <c r="K34" s="507"/>
      <c r="L34" s="507"/>
      <c r="M34" s="507"/>
      <c r="N34" s="507"/>
    </row>
    <row r="35" ht="35.25" customHeight="1">
      <c r="A35" s="18"/>
      <c r="B35" s="514" t="s">
        <v>738</v>
      </c>
      <c r="C35" s="529">
        <v>2370000.0</v>
      </c>
      <c r="D35" s="18"/>
      <c r="F35" s="507"/>
      <c r="G35" s="507"/>
      <c r="H35" s="507"/>
      <c r="I35" s="507"/>
      <c r="J35" s="507"/>
      <c r="K35" s="507"/>
      <c r="L35" s="507"/>
      <c r="M35" s="507"/>
      <c r="N35" s="507"/>
    </row>
    <row r="36" ht="35.25" customHeight="1">
      <c r="A36" s="18"/>
      <c r="B36" s="514" t="s">
        <v>89</v>
      </c>
      <c r="C36" s="529"/>
      <c r="D36" s="18"/>
      <c r="E36" s="860"/>
      <c r="G36" s="507"/>
      <c r="H36" s="507"/>
      <c r="I36" s="507"/>
      <c r="J36" s="507"/>
      <c r="K36" s="507"/>
      <c r="L36" s="507"/>
      <c r="M36" s="507"/>
      <c r="N36" s="507"/>
    </row>
    <row r="37" ht="35.25" customHeight="1">
      <c r="A37" s="22"/>
      <c r="B37" s="514" t="s">
        <v>220</v>
      </c>
      <c r="C37" s="169"/>
      <c r="D37" s="22"/>
      <c r="E37" s="944"/>
      <c r="G37" s="507"/>
      <c r="H37" s="507"/>
      <c r="I37" s="507"/>
      <c r="J37" s="507"/>
      <c r="K37" s="507"/>
      <c r="L37" s="507"/>
      <c r="M37" s="507"/>
      <c r="N37" s="507"/>
    </row>
    <row r="38" ht="35.25" customHeight="1">
      <c r="A38" s="731" t="s">
        <v>960</v>
      </c>
      <c r="B38" s="514" t="s">
        <v>72</v>
      </c>
      <c r="C38" s="529">
        <v>1.0E7</v>
      </c>
      <c r="D38" s="653">
        <f>sum(C38:C42)</f>
        <v>56636700</v>
      </c>
      <c r="E38" s="556"/>
      <c r="F38" s="507"/>
      <c r="G38" s="507"/>
      <c r="H38" s="507"/>
      <c r="I38" s="507"/>
      <c r="J38" s="507"/>
      <c r="K38" s="507"/>
      <c r="L38" s="507"/>
      <c r="M38" s="507"/>
      <c r="N38" s="507"/>
    </row>
    <row r="39" ht="35.25" customHeight="1">
      <c r="A39" s="18"/>
      <c r="B39" s="514" t="s">
        <v>699</v>
      </c>
      <c r="C39" s="514">
        <v>2.61367E7</v>
      </c>
      <c r="D39" s="18"/>
      <c r="E39" s="556" t="s">
        <v>846</v>
      </c>
      <c r="F39" s="507"/>
      <c r="G39" s="507"/>
      <c r="H39" s="507"/>
      <c r="I39" s="507"/>
      <c r="J39" s="507"/>
      <c r="K39" s="507"/>
      <c r="L39" s="507"/>
      <c r="M39" s="507"/>
      <c r="N39" s="507"/>
    </row>
    <row r="40" ht="35.25" customHeight="1">
      <c r="A40" s="18"/>
      <c r="B40" s="514" t="s">
        <v>738</v>
      </c>
      <c r="C40" s="514">
        <v>2.05E7</v>
      </c>
      <c r="D40" s="18"/>
      <c r="E40" s="556"/>
      <c r="F40" s="507"/>
      <c r="G40" s="507"/>
      <c r="H40" s="507"/>
      <c r="I40" s="507"/>
      <c r="J40" s="507"/>
      <c r="K40" s="507"/>
      <c r="L40" s="507"/>
      <c r="M40" s="507"/>
      <c r="N40" s="507"/>
    </row>
    <row r="41" ht="35.25" customHeight="1">
      <c r="A41" s="18"/>
      <c r="B41" s="514" t="s">
        <v>89</v>
      </c>
      <c r="C41" s="514"/>
      <c r="D41" s="18"/>
      <c r="E41" s="556"/>
      <c r="F41" s="507"/>
      <c r="G41" s="507"/>
      <c r="H41" s="507"/>
      <c r="I41" s="507"/>
      <c r="J41" s="507"/>
      <c r="K41" s="507"/>
      <c r="L41" s="507"/>
      <c r="M41" s="507"/>
      <c r="N41" s="507"/>
    </row>
    <row r="42" ht="35.25" customHeight="1">
      <c r="A42" s="22"/>
      <c r="B42" s="514" t="s">
        <v>220</v>
      </c>
      <c r="C42" s="529"/>
      <c r="D42" s="22"/>
      <c r="E42" s="556"/>
      <c r="F42" s="507"/>
      <c r="G42" s="507"/>
      <c r="H42" s="507"/>
      <c r="I42" s="507"/>
      <c r="J42" s="507"/>
      <c r="K42" s="507"/>
      <c r="L42" s="507"/>
      <c r="M42" s="507"/>
      <c r="N42" s="507"/>
    </row>
    <row r="43" ht="35.25" customHeight="1">
      <c r="A43" s="733" t="s">
        <v>961</v>
      </c>
      <c r="B43" s="514" t="s">
        <v>699</v>
      </c>
      <c r="C43" s="514" t="s">
        <v>684</v>
      </c>
      <c r="D43" s="653">
        <f>SUM(C43:C46)</f>
        <v>91696900</v>
      </c>
      <c r="E43" s="556" t="s">
        <v>849</v>
      </c>
      <c r="F43" s="507"/>
      <c r="G43" s="507"/>
      <c r="H43" s="507"/>
      <c r="I43" s="507"/>
      <c r="J43" s="507"/>
      <c r="K43" s="507"/>
      <c r="L43" s="507"/>
      <c r="M43" s="507"/>
      <c r="N43" s="507"/>
    </row>
    <row r="44" ht="35.25" customHeight="1">
      <c r="A44" s="18"/>
      <c r="B44" s="514" t="s">
        <v>738</v>
      </c>
      <c r="C44" s="514">
        <v>9.16969E7</v>
      </c>
      <c r="D44" s="18"/>
      <c r="E44" s="556"/>
      <c r="F44" s="507"/>
      <c r="G44" s="507"/>
      <c r="H44" s="507"/>
      <c r="I44" s="507"/>
      <c r="J44" s="507"/>
      <c r="K44" s="507"/>
      <c r="L44" s="507"/>
      <c r="M44" s="507"/>
      <c r="N44" s="507"/>
    </row>
    <row r="45" ht="35.25" customHeight="1">
      <c r="A45" s="18"/>
      <c r="B45" s="514" t="s">
        <v>89</v>
      </c>
      <c r="C45" s="514" t="s">
        <v>684</v>
      </c>
      <c r="D45" s="18"/>
      <c r="E45" s="556"/>
      <c r="F45" s="507"/>
      <c r="G45" s="507"/>
      <c r="H45" s="507"/>
      <c r="I45" s="507"/>
      <c r="J45" s="507"/>
      <c r="K45" s="507"/>
      <c r="L45" s="507"/>
      <c r="M45" s="507"/>
      <c r="N45" s="507"/>
    </row>
    <row r="46" ht="35.25" customHeight="1">
      <c r="A46" s="22"/>
      <c r="B46" s="514" t="s">
        <v>220</v>
      </c>
      <c r="C46" s="514" t="s">
        <v>684</v>
      </c>
      <c r="D46" s="22"/>
      <c r="E46" s="945"/>
      <c r="F46" s="507"/>
      <c r="G46" s="507"/>
      <c r="H46" s="507"/>
      <c r="I46" s="507"/>
      <c r="J46" s="507"/>
      <c r="K46" s="507"/>
      <c r="L46" s="507"/>
      <c r="M46" s="507"/>
      <c r="N46" s="507"/>
    </row>
    <row r="47" ht="35.25" customHeight="1">
      <c r="A47" s="733" t="s">
        <v>962</v>
      </c>
      <c r="B47" s="514" t="s">
        <v>72</v>
      </c>
      <c r="C47" s="514">
        <f>sum(187682100 - 37769100)</f>
        <v>149913000</v>
      </c>
      <c r="D47" s="653">
        <f>SUM(C47:C52)</f>
        <v>229518000</v>
      </c>
      <c r="E47" s="556" t="s">
        <v>851</v>
      </c>
      <c r="F47" s="507"/>
      <c r="G47" s="507"/>
      <c r="H47" s="507"/>
      <c r="I47" s="507"/>
      <c r="J47" s="507"/>
      <c r="K47" s="507"/>
      <c r="L47" s="507"/>
      <c r="M47" s="507"/>
      <c r="N47" s="507"/>
    </row>
    <row r="48" ht="35.25" customHeight="1">
      <c r="A48" s="18"/>
      <c r="B48" s="514" t="s">
        <v>71</v>
      </c>
      <c r="C48" s="514" t="s">
        <v>691</v>
      </c>
      <c r="D48" s="18"/>
      <c r="E48" s="669"/>
      <c r="F48" s="507"/>
      <c r="G48" s="507"/>
      <c r="H48" s="507"/>
      <c r="I48" s="507"/>
      <c r="J48" s="507"/>
      <c r="K48" s="507"/>
      <c r="L48" s="507"/>
      <c r="M48" s="507"/>
      <c r="N48" s="507"/>
    </row>
    <row r="49" ht="35.25" customHeight="1">
      <c r="A49" s="18"/>
      <c r="B49" s="514" t="s">
        <v>699</v>
      </c>
      <c r="C49" s="514">
        <v>4.1058E7</v>
      </c>
      <c r="D49" s="18"/>
      <c r="E49" s="669"/>
      <c r="F49" s="507"/>
      <c r="G49" s="507"/>
      <c r="H49" s="507"/>
      <c r="I49" s="507"/>
      <c r="J49" s="507"/>
      <c r="K49" s="507"/>
      <c r="L49" s="507"/>
      <c r="M49" s="507"/>
      <c r="N49" s="507"/>
    </row>
    <row r="50" ht="35.25" customHeight="1">
      <c r="A50" s="18"/>
      <c r="B50" s="514" t="s">
        <v>738</v>
      </c>
      <c r="C50" s="514">
        <v>3.8547E7</v>
      </c>
      <c r="D50" s="18"/>
      <c r="E50" s="556"/>
      <c r="F50" s="507"/>
      <c r="G50" s="507"/>
      <c r="H50" s="507"/>
      <c r="I50" s="507"/>
      <c r="J50" s="507"/>
      <c r="K50" s="507"/>
      <c r="L50" s="507"/>
      <c r="M50" s="507"/>
      <c r="N50" s="507"/>
    </row>
    <row r="51" ht="35.25" customHeight="1">
      <c r="A51" s="18"/>
      <c r="B51" s="514" t="s">
        <v>89</v>
      </c>
      <c r="C51" s="514"/>
      <c r="D51" s="18"/>
      <c r="E51" s="556"/>
      <c r="F51" s="507"/>
      <c r="G51" s="507"/>
      <c r="H51" s="507"/>
      <c r="I51" s="507"/>
      <c r="J51" s="507"/>
      <c r="K51" s="507"/>
      <c r="L51" s="507"/>
      <c r="M51" s="507"/>
      <c r="N51" s="507"/>
    </row>
    <row r="52" ht="35.25" customHeight="1">
      <c r="A52" s="22"/>
      <c r="B52" s="514" t="s">
        <v>220</v>
      </c>
      <c r="C52" s="514"/>
      <c r="D52" s="18"/>
      <c r="E52" s="669"/>
      <c r="F52" s="507"/>
      <c r="G52" s="507"/>
      <c r="H52" s="507"/>
      <c r="I52" s="507"/>
      <c r="J52" s="507"/>
      <c r="K52" s="507"/>
      <c r="L52" s="507"/>
      <c r="M52" s="507"/>
      <c r="N52" s="507"/>
    </row>
    <row r="53" ht="35.25" customHeight="1">
      <c r="A53" s="731" t="s">
        <v>963</v>
      </c>
      <c r="B53" s="514" t="s">
        <v>699</v>
      </c>
      <c r="C53" s="514" t="s">
        <v>691</v>
      </c>
      <c r="D53" s="653">
        <f>sum(C53:C56)</f>
        <v>30047200</v>
      </c>
      <c r="E53" s="556" t="s">
        <v>852</v>
      </c>
      <c r="F53" s="507"/>
      <c r="G53" s="507"/>
      <c r="H53" s="507"/>
      <c r="I53" s="507"/>
      <c r="J53" s="507"/>
      <c r="K53" s="507"/>
      <c r="L53" s="507"/>
      <c r="M53" s="507"/>
      <c r="N53" s="507"/>
    </row>
    <row r="54" ht="35.25" customHeight="1">
      <c r="A54" s="18"/>
      <c r="B54" s="514" t="s">
        <v>738</v>
      </c>
      <c r="C54" s="529">
        <v>3.00472E7</v>
      </c>
      <c r="D54" s="18"/>
      <c r="E54" s="860"/>
      <c r="F54" s="507"/>
      <c r="G54" s="507"/>
      <c r="H54" s="507"/>
      <c r="I54" s="507"/>
      <c r="J54" s="507"/>
      <c r="K54" s="507"/>
      <c r="L54" s="507"/>
      <c r="M54" s="507"/>
      <c r="N54" s="507"/>
    </row>
    <row r="55" ht="35.25" customHeight="1">
      <c r="A55" s="18"/>
      <c r="B55" s="514" t="s">
        <v>89</v>
      </c>
      <c r="C55" s="514" t="s">
        <v>691</v>
      </c>
      <c r="D55" s="18"/>
      <c r="E55" s="556"/>
      <c r="F55" s="507"/>
      <c r="G55" s="507"/>
      <c r="H55" s="507"/>
      <c r="I55" s="507"/>
      <c r="J55" s="507"/>
      <c r="K55" s="507"/>
      <c r="L55" s="507"/>
      <c r="M55" s="507"/>
      <c r="N55" s="507"/>
    </row>
    <row r="56" ht="35.25" customHeight="1">
      <c r="A56" s="22"/>
      <c r="B56" s="514" t="s">
        <v>220</v>
      </c>
      <c r="C56" s="514" t="s">
        <v>691</v>
      </c>
      <c r="D56" s="22"/>
      <c r="E56" s="556"/>
      <c r="F56" s="507"/>
      <c r="G56" s="507"/>
      <c r="H56" s="507"/>
      <c r="I56" s="507"/>
      <c r="J56" s="507"/>
      <c r="K56" s="507"/>
      <c r="L56" s="507"/>
      <c r="M56" s="507"/>
      <c r="N56" s="507"/>
    </row>
    <row r="57" ht="35.25" customHeight="1">
      <c r="A57" s="731" t="s">
        <v>964</v>
      </c>
      <c r="B57" s="514" t="s">
        <v>72</v>
      </c>
      <c r="C57" s="544" t="s">
        <v>691</v>
      </c>
      <c r="D57" s="657">
        <f>sum(C57:C61)</f>
        <v>28779500</v>
      </c>
      <c r="E57" s="556" t="s">
        <v>853</v>
      </c>
      <c r="F57" s="507"/>
      <c r="G57" s="507"/>
      <c r="H57" s="507"/>
      <c r="I57" s="507"/>
      <c r="J57" s="507"/>
      <c r="K57" s="507"/>
      <c r="L57" s="507"/>
      <c r="M57" s="507"/>
      <c r="N57" s="507"/>
    </row>
    <row r="58" ht="35.25" customHeight="1">
      <c r="A58" s="18"/>
      <c r="B58" s="514" t="s">
        <v>699</v>
      </c>
      <c r="C58" s="544" t="s">
        <v>684</v>
      </c>
      <c r="D58" s="18"/>
      <c r="E58" s="556"/>
      <c r="F58" s="507"/>
      <c r="G58" s="507"/>
      <c r="H58" s="507"/>
      <c r="I58" s="507"/>
      <c r="J58" s="507"/>
      <c r="K58" s="507"/>
      <c r="L58" s="507"/>
      <c r="M58" s="507"/>
      <c r="N58" s="507"/>
    </row>
    <row r="59" ht="35.25" customHeight="1">
      <c r="A59" s="18"/>
      <c r="B59" s="514" t="s">
        <v>738</v>
      </c>
      <c r="C59" s="544">
        <v>2.87795E7</v>
      </c>
      <c r="D59" s="18"/>
      <c r="E59" s="556"/>
      <c r="F59" s="507"/>
      <c r="G59" s="507"/>
      <c r="H59" s="507"/>
      <c r="I59" s="507"/>
      <c r="J59" s="507"/>
      <c r="K59" s="507"/>
      <c r="L59" s="507"/>
      <c r="M59" s="507"/>
      <c r="N59" s="507"/>
    </row>
    <row r="60" ht="35.25" customHeight="1">
      <c r="A60" s="18"/>
      <c r="B60" s="514" t="s">
        <v>89</v>
      </c>
      <c r="C60" s="544"/>
      <c r="D60" s="18"/>
      <c r="E60" s="556"/>
      <c r="F60" s="507"/>
      <c r="G60" s="507"/>
      <c r="H60" s="507"/>
      <c r="I60" s="507"/>
      <c r="J60" s="507"/>
      <c r="K60" s="507"/>
      <c r="L60" s="507"/>
      <c r="M60" s="507"/>
      <c r="N60" s="507"/>
    </row>
    <row r="61" ht="35.25" customHeight="1">
      <c r="A61" s="22"/>
      <c r="B61" s="514" t="s">
        <v>220</v>
      </c>
      <c r="C61" s="544"/>
      <c r="D61" s="22"/>
      <c r="E61" s="556"/>
      <c r="F61" s="507"/>
      <c r="G61" s="507"/>
      <c r="H61" s="507"/>
      <c r="I61" s="507"/>
      <c r="J61" s="507"/>
      <c r="K61" s="507"/>
      <c r="L61" s="507"/>
      <c r="M61" s="507"/>
      <c r="N61" s="507"/>
    </row>
    <row r="62" ht="35.25" customHeight="1">
      <c r="A62" s="731" t="s">
        <v>1321</v>
      </c>
      <c r="B62" s="514" t="s">
        <v>72</v>
      </c>
      <c r="C62" s="544">
        <f>sum(238114000 - 20000000)</f>
        <v>218114000</v>
      </c>
      <c r="D62" s="657">
        <f>sum(C62:C66)</f>
        <v>316551000</v>
      </c>
      <c r="E62" s="556" t="s">
        <v>854</v>
      </c>
      <c r="F62" s="507"/>
      <c r="G62" s="507"/>
      <c r="H62" s="507"/>
      <c r="I62" s="507"/>
      <c r="J62" s="507"/>
      <c r="K62" s="507"/>
      <c r="L62" s="507"/>
      <c r="M62" s="507"/>
      <c r="N62" s="507"/>
    </row>
    <row r="63" ht="35.25" customHeight="1">
      <c r="A63" s="18"/>
      <c r="B63" s="514" t="s">
        <v>699</v>
      </c>
      <c r="C63" s="544">
        <v>5.1054E7</v>
      </c>
      <c r="D63" s="18"/>
      <c r="F63" s="507"/>
      <c r="G63" s="507"/>
      <c r="H63" s="507"/>
      <c r="I63" s="507"/>
      <c r="J63" s="507"/>
      <c r="K63" s="507"/>
      <c r="L63" s="507"/>
      <c r="M63" s="507"/>
      <c r="N63" s="507"/>
    </row>
    <row r="64" ht="35.25" customHeight="1">
      <c r="A64" s="18"/>
      <c r="B64" s="514" t="s">
        <v>738</v>
      </c>
      <c r="C64" s="515">
        <v>4.7383E7</v>
      </c>
      <c r="D64" s="18"/>
      <c r="E64" s="556"/>
      <c r="F64" s="507"/>
      <c r="G64" s="507"/>
      <c r="H64" s="507"/>
      <c r="I64" s="507"/>
      <c r="J64" s="507"/>
      <c r="K64" s="507"/>
      <c r="L64" s="507"/>
      <c r="M64" s="507"/>
      <c r="N64" s="507"/>
    </row>
    <row r="65" ht="35.25" customHeight="1">
      <c r="A65" s="18"/>
      <c r="B65" s="514" t="s">
        <v>89</v>
      </c>
      <c r="C65" s="515"/>
      <c r="D65" s="18"/>
      <c r="E65" s="556"/>
      <c r="F65" s="507"/>
      <c r="G65" s="507"/>
      <c r="H65" s="507"/>
      <c r="I65" s="507"/>
      <c r="J65" s="507"/>
      <c r="K65" s="507"/>
      <c r="L65" s="507"/>
      <c r="M65" s="507"/>
      <c r="N65" s="507"/>
    </row>
    <row r="66" ht="35.25" customHeight="1">
      <c r="A66" s="22"/>
      <c r="B66" s="514" t="s">
        <v>220</v>
      </c>
      <c r="C66" s="515"/>
      <c r="D66" s="22"/>
      <c r="E66" s="556"/>
      <c r="F66" s="507"/>
      <c r="G66" s="507"/>
      <c r="H66" s="507"/>
      <c r="I66" s="507"/>
      <c r="J66" s="507"/>
      <c r="K66" s="507"/>
      <c r="L66" s="507"/>
      <c r="M66" s="507"/>
      <c r="N66" s="507"/>
    </row>
    <row r="67" ht="35.25" customHeight="1">
      <c r="A67" s="731" t="s">
        <v>1322</v>
      </c>
      <c r="B67" s="514" t="s">
        <v>699</v>
      </c>
      <c r="C67" s="529">
        <v>1.473765E8</v>
      </c>
      <c r="D67" s="653">
        <f>sum(C67:C71)</f>
        <v>208054000</v>
      </c>
      <c r="E67" s="556" t="s">
        <v>855</v>
      </c>
      <c r="F67" s="507"/>
      <c r="G67" s="507"/>
      <c r="H67" s="507"/>
      <c r="I67" s="507"/>
      <c r="J67" s="507"/>
      <c r="K67" s="507"/>
      <c r="L67" s="507"/>
      <c r="M67" s="507"/>
      <c r="N67" s="507"/>
    </row>
    <row r="68" ht="35.25" customHeight="1">
      <c r="A68" s="18"/>
      <c r="B68" s="514" t="s">
        <v>738</v>
      </c>
      <c r="C68" s="529">
        <v>6.06775E7</v>
      </c>
      <c r="D68" s="18"/>
      <c r="E68" s="556"/>
      <c r="F68" s="507"/>
      <c r="G68" s="507"/>
      <c r="H68" s="507"/>
      <c r="I68" s="507"/>
      <c r="J68" s="507"/>
      <c r="K68" s="507"/>
      <c r="L68" s="507"/>
      <c r="M68" s="507"/>
      <c r="N68" s="507"/>
    </row>
    <row r="69" ht="35.25" customHeight="1">
      <c r="A69" s="18"/>
      <c r="B69" s="514" t="s">
        <v>89</v>
      </c>
      <c r="C69" s="529"/>
      <c r="D69" s="18"/>
      <c r="E69" s="556"/>
      <c r="F69" s="507"/>
      <c r="G69" s="507"/>
      <c r="H69" s="507"/>
      <c r="I69" s="507"/>
      <c r="J69" s="507"/>
      <c r="K69" s="507"/>
      <c r="L69" s="507"/>
      <c r="M69" s="507"/>
      <c r="N69" s="507"/>
    </row>
    <row r="70" ht="35.25" customHeight="1">
      <c r="A70" s="18"/>
      <c r="B70" s="514" t="s">
        <v>220</v>
      </c>
      <c r="C70" s="515"/>
      <c r="D70" s="18"/>
      <c r="F70" s="507"/>
      <c r="G70" s="507"/>
      <c r="H70" s="507"/>
      <c r="I70" s="507"/>
      <c r="J70" s="507"/>
      <c r="K70" s="507"/>
      <c r="L70" s="507"/>
      <c r="M70" s="507"/>
      <c r="N70" s="507"/>
    </row>
    <row r="71" ht="35.25" customHeight="1">
      <c r="A71" s="18"/>
      <c r="B71" s="514" t="s">
        <v>697</v>
      </c>
      <c r="C71" s="515"/>
      <c r="D71" s="22"/>
      <c r="E71" s="946"/>
      <c r="F71" s="507"/>
      <c r="G71" s="507"/>
      <c r="H71" s="507"/>
      <c r="I71" s="507"/>
      <c r="J71" s="507"/>
      <c r="K71" s="507"/>
      <c r="L71" s="507"/>
      <c r="M71" s="507"/>
      <c r="N71" s="507"/>
    </row>
    <row r="72" ht="35.25" customHeight="1">
      <c r="A72" s="22"/>
      <c r="B72" s="947" t="s">
        <v>1323</v>
      </c>
      <c r="D72" s="948" t="s">
        <v>684</v>
      </c>
      <c r="F72" s="507"/>
      <c r="G72" s="507"/>
      <c r="H72" s="507"/>
      <c r="I72" s="507"/>
      <c r="J72" s="507"/>
      <c r="K72" s="507"/>
      <c r="L72" s="507"/>
      <c r="M72" s="507"/>
      <c r="N72" s="507"/>
    </row>
    <row r="73" ht="35.25" customHeight="1">
      <c r="A73" s="731" t="s">
        <v>1324</v>
      </c>
      <c r="B73" s="514" t="s">
        <v>699</v>
      </c>
      <c r="C73" s="529" t="s">
        <v>684</v>
      </c>
      <c r="D73" s="657">
        <f>sum(C73:C76)</f>
        <v>0</v>
      </c>
      <c r="E73" s="507"/>
      <c r="F73" s="507"/>
      <c r="G73" s="507"/>
      <c r="H73" s="507"/>
      <c r="I73" s="507"/>
      <c r="J73" s="507"/>
      <c r="K73" s="507"/>
      <c r="L73" s="507"/>
      <c r="M73" s="507"/>
      <c r="N73" s="507"/>
    </row>
    <row r="74" ht="35.25" customHeight="1">
      <c r="A74" s="18"/>
      <c r="B74" s="514" t="s">
        <v>738</v>
      </c>
      <c r="C74" s="529" t="s">
        <v>684</v>
      </c>
      <c r="D74" s="18"/>
      <c r="E74" s="669"/>
      <c r="F74" s="507"/>
      <c r="G74" s="507"/>
      <c r="H74" s="507"/>
      <c r="I74" s="507"/>
      <c r="J74" s="507"/>
      <c r="K74" s="507"/>
      <c r="L74" s="507"/>
      <c r="M74" s="507"/>
      <c r="N74" s="507"/>
    </row>
    <row r="75" ht="35.25" customHeight="1">
      <c r="A75" s="18"/>
      <c r="B75" s="514" t="s">
        <v>89</v>
      </c>
      <c r="C75" s="529" t="s">
        <v>684</v>
      </c>
      <c r="D75" s="18"/>
      <c r="E75" s="556"/>
      <c r="F75" s="507"/>
      <c r="G75" s="507"/>
      <c r="H75" s="507"/>
      <c r="I75" s="507"/>
      <c r="J75" s="507"/>
      <c r="K75" s="507"/>
      <c r="L75" s="507"/>
      <c r="M75" s="507"/>
      <c r="N75" s="507"/>
    </row>
    <row r="76" ht="35.25" customHeight="1">
      <c r="A76" s="22"/>
      <c r="B76" s="514" t="s">
        <v>697</v>
      </c>
      <c r="C76" s="529" t="s">
        <v>684</v>
      </c>
      <c r="D76" s="22"/>
      <c r="E76" s="556"/>
      <c r="F76" s="507"/>
      <c r="G76" s="507"/>
      <c r="H76" s="507"/>
      <c r="I76" s="507"/>
      <c r="J76" s="507"/>
      <c r="K76" s="507"/>
      <c r="L76" s="507"/>
      <c r="M76" s="507"/>
      <c r="N76" s="507"/>
    </row>
    <row r="77" ht="35.25" customHeight="1">
      <c r="A77" s="731" t="s">
        <v>1325</v>
      </c>
      <c r="B77" s="514" t="s">
        <v>699</v>
      </c>
      <c r="C77" s="529" t="s">
        <v>684</v>
      </c>
      <c r="D77" s="653">
        <f>sum(C77:C80)</f>
        <v>21318000</v>
      </c>
      <c r="E77" s="556" t="s">
        <v>857</v>
      </c>
      <c r="F77" s="507"/>
      <c r="G77" s="507"/>
      <c r="H77" s="507"/>
      <c r="I77" s="507"/>
      <c r="J77" s="507"/>
      <c r="K77" s="507"/>
      <c r="L77" s="507"/>
      <c r="M77" s="507"/>
      <c r="N77" s="507"/>
    </row>
    <row r="78" ht="35.25" customHeight="1">
      <c r="A78" s="18"/>
      <c r="B78" s="514" t="s">
        <v>738</v>
      </c>
      <c r="C78" s="529">
        <v>2.1318E7</v>
      </c>
      <c r="D78" s="18"/>
      <c r="E78" s="507"/>
      <c r="F78" s="507"/>
      <c r="G78" s="507"/>
      <c r="H78" s="507"/>
      <c r="I78" s="507"/>
      <c r="J78" s="507"/>
      <c r="K78" s="507"/>
      <c r="L78" s="507"/>
      <c r="M78" s="507"/>
      <c r="N78" s="507"/>
    </row>
    <row r="79" ht="35.25" customHeight="1">
      <c r="A79" s="18"/>
      <c r="B79" s="514" t="s">
        <v>89</v>
      </c>
      <c r="C79" s="529" t="s">
        <v>684</v>
      </c>
      <c r="D79" s="18"/>
      <c r="E79" s="507"/>
      <c r="F79" s="507"/>
      <c r="G79" s="507"/>
      <c r="H79" s="507"/>
      <c r="I79" s="507"/>
      <c r="J79" s="507"/>
      <c r="K79" s="507"/>
      <c r="L79" s="507"/>
      <c r="M79" s="507"/>
      <c r="N79" s="507"/>
    </row>
    <row r="80" ht="35.25" customHeight="1">
      <c r="A80" s="22"/>
      <c r="B80" s="514" t="s">
        <v>697</v>
      </c>
      <c r="C80" s="529" t="s">
        <v>691</v>
      </c>
      <c r="D80" s="22"/>
      <c r="F80" s="507"/>
      <c r="G80" s="507"/>
      <c r="H80" s="507"/>
      <c r="I80" s="507"/>
      <c r="J80" s="507"/>
      <c r="K80" s="507"/>
      <c r="L80" s="507"/>
      <c r="M80" s="507"/>
      <c r="N80" s="507"/>
    </row>
    <row r="81" ht="35.25" customHeight="1">
      <c r="A81" s="731" t="s">
        <v>1326</v>
      </c>
      <c r="B81" s="514"/>
      <c r="C81" s="552"/>
      <c r="D81" s="657">
        <f>SUM(C82:C87)</f>
        <v>306144500</v>
      </c>
      <c r="E81" s="556" t="s">
        <v>858</v>
      </c>
      <c r="F81" s="507"/>
      <c r="G81" s="507"/>
      <c r="H81" s="507"/>
      <c r="I81" s="507"/>
      <c r="J81" s="507"/>
      <c r="K81" s="507"/>
      <c r="L81" s="507"/>
      <c r="M81" s="507"/>
      <c r="N81" s="507"/>
    </row>
    <row r="82" ht="35.25" customHeight="1">
      <c r="A82" s="18"/>
      <c r="B82" s="514" t="s">
        <v>72</v>
      </c>
      <c r="C82" s="552">
        <v>1.866105E8</v>
      </c>
      <c r="D82" s="18"/>
      <c r="E82" s="507"/>
      <c r="F82" s="507"/>
      <c r="G82" s="507"/>
      <c r="H82" s="507"/>
      <c r="I82" s="507"/>
      <c r="J82" s="507"/>
      <c r="K82" s="507"/>
      <c r="L82" s="507"/>
      <c r="M82" s="507"/>
      <c r="N82" s="507"/>
    </row>
    <row r="83" ht="35.25" customHeight="1">
      <c r="A83" s="18"/>
      <c r="B83" s="514" t="s">
        <v>1327</v>
      </c>
      <c r="C83" s="552">
        <v>3.7036E7</v>
      </c>
      <c r="D83" s="18"/>
      <c r="E83" s="507"/>
      <c r="F83" s="507"/>
      <c r="G83" s="507"/>
      <c r="H83" s="507"/>
      <c r="I83" s="507"/>
      <c r="J83" s="507"/>
      <c r="K83" s="507"/>
      <c r="L83" s="507"/>
      <c r="M83" s="507"/>
      <c r="N83" s="507"/>
    </row>
    <row r="84" ht="35.25" customHeight="1">
      <c r="A84" s="18"/>
      <c r="B84" s="514" t="s">
        <v>88</v>
      </c>
      <c r="C84" s="552">
        <v>5.42275E7</v>
      </c>
      <c r="D84" s="18"/>
      <c r="E84" s="507"/>
      <c r="F84" s="507"/>
      <c r="G84" s="507"/>
      <c r="H84" s="507"/>
      <c r="I84" s="507"/>
      <c r="J84" s="507"/>
      <c r="K84" s="507"/>
      <c r="L84" s="507"/>
      <c r="M84" s="507"/>
      <c r="N84" s="507"/>
    </row>
    <row r="85" ht="41.25" customHeight="1">
      <c r="A85" s="18"/>
      <c r="B85" s="514" t="s">
        <v>738</v>
      </c>
      <c r="C85" s="552">
        <v>2.82705E7</v>
      </c>
      <c r="D85" s="18"/>
      <c r="E85" s="507"/>
      <c r="F85" s="507"/>
      <c r="G85" s="507"/>
      <c r="H85" s="507"/>
      <c r="I85" s="507"/>
      <c r="J85" s="507"/>
      <c r="K85" s="507"/>
      <c r="L85" s="507"/>
      <c r="M85" s="507"/>
      <c r="N85" s="507"/>
    </row>
    <row r="86" ht="35.25" customHeight="1">
      <c r="A86" s="18"/>
      <c r="B86" s="514" t="s">
        <v>89</v>
      </c>
      <c r="C86" s="552"/>
      <c r="D86" s="18"/>
      <c r="E86" s="556"/>
      <c r="F86" s="507"/>
      <c r="G86" s="507"/>
      <c r="H86" s="507"/>
      <c r="I86" s="507"/>
      <c r="J86" s="507"/>
      <c r="K86" s="507"/>
      <c r="L86" s="507"/>
      <c r="M86" s="507"/>
      <c r="N86" s="507"/>
    </row>
    <row r="87" ht="35.25" customHeight="1">
      <c r="A87" s="22"/>
      <c r="B87" s="514" t="s">
        <v>1328</v>
      </c>
      <c r="C87" s="552"/>
      <c r="D87" s="22"/>
      <c r="E87" s="556"/>
      <c r="F87" s="507"/>
      <c r="G87" s="507"/>
      <c r="H87" s="507"/>
      <c r="I87" s="507"/>
      <c r="J87" s="507"/>
      <c r="K87" s="507"/>
      <c r="L87" s="507"/>
      <c r="M87" s="507"/>
      <c r="N87" s="507"/>
    </row>
    <row r="88" ht="35.25" customHeight="1">
      <c r="A88" s="733" t="s">
        <v>1329</v>
      </c>
      <c r="B88" s="514" t="s">
        <v>1327</v>
      </c>
      <c r="C88" s="552">
        <f>SUM(77716500 - 29992000 - 3450000 )</f>
        <v>44274500</v>
      </c>
      <c r="D88" s="657">
        <f>sum(C88:C93)</f>
        <v>208762000</v>
      </c>
      <c r="F88" s="507"/>
      <c r="G88" s="507"/>
      <c r="H88" s="507"/>
      <c r="I88" s="507"/>
      <c r="J88" s="507"/>
      <c r="K88" s="507"/>
      <c r="L88" s="507"/>
      <c r="M88" s="507"/>
      <c r="N88" s="507"/>
    </row>
    <row r="89" ht="35.25" customHeight="1">
      <c r="A89" s="18"/>
      <c r="B89" s="514" t="s">
        <v>1320</v>
      </c>
      <c r="C89" s="552">
        <v>1.077615E8</v>
      </c>
      <c r="D89" s="18"/>
      <c r="E89" s="556"/>
      <c r="F89" s="507"/>
      <c r="G89" s="507"/>
      <c r="H89" s="507"/>
      <c r="I89" s="507"/>
      <c r="J89" s="507"/>
      <c r="K89" s="507"/>
      <c r="L89" s="507"/>
      <c r="M89" s="507"/>
      <c r="N89" s="507"/>
    </row>
    <row r="90" ht="35.25" customHeight="1">
      <c r="A90" s="18"/>
      <c r="B90" s="514" t="s">
        <v>699</v>
      </c>
      <c r="C90" s="552">
        <v>0.0</v>
      </c>
      <c r="D90" s="18"/>
      <c r="E90" s="556"/>
      <c r="F90" s="507"/>
      <c r="G90" s="507"/>
      <c r="H90" s="507"/>
      <c r="I90" s="507"/>
      <c r="J90" s="507"/>
      <c r="K90" s="507"/>
      <c r="L90" s="507"/>
      <c r="M90" s="507"/>
      <c r="N90" s="507"/>
    </row>
    <row r="91" ht="35.25" customHeight="1">
      <c r="A91" s="18"/>
      <c r="B91" s="514" t="s">
        <v>738</v>
      </c>
      <c r="C91" s="552">
        <v>5.6726E7</v>
      </c>
      <c r="D91" s="18"/>
      <c r="E91" s="556"/>
      <c r="F91" s="507"/>
      <c r="G91" s="507"/>
      <c r="H91" s="507"/>
      <c r="I91" s="507"/>
      <c r="J91" s="507"/>
      <c r="K91" s="507"/>
      <c r="L91" s="507"/>
      <c r="M91" s="507"/>
      <c r="N91" s="507"/>
    </row>
    <row r="92" ht="35.25" customHeight="1">
      <c r="A92" s="18"/>
      <c r="B92" s="514" t="s">
        <v>89</v>
      </c>
      <c r="C92" s="552"/>
      <c r="D92" s="18"/>
      <c r="E92" s="556"/>
      <c r="F92" s="507"/>
      <c r="G92" s="507"/>
      <c r="H92" s="507"/>
      <c r="I92" s="507"/>
      <c r="J92" s="507"/>
      <c r="K92" s="507"/>
      <c r="L92" s="507"/>
      <c r="M92" s="507"/>
      <c r="N92" s="507"/>
    </row>
    <row r="93" ht="35.25" customHeight="1">
      <c r="A93" s="22"/>
      <c r="B93" s="514" t="s">
        <v>220</v>
      </c>
      <c r="C93" s="546"/>
      <c r="D93" s="22"/>
      <c r="E93" s="556"/>
      <c r="F93" s="507"/>
      <c r="G93" s="507"/>
      <c r="H93" s="507"/>
      <c r="I93" s="507"/>
      <c r="J93" s="507"/>
      <c r="K93" s="507"/>
      <c r="L93" s="507"/>
      <c r="M93" s="507"/>
      <c r="N93" s="507"/>
    </row>
    <row r="94" ht="35.25" customHeight="1">
      <c r="A94" s="731" t="s">
        <v>1330</v>
      </c>
      <c r="B94" s="514" t="s">
        <v>1320</v>
      </c>
      <c r="C94" s="546" t="s">
        <v>684</v>
      </c>
      <c r="D94" s="653">
        <f>SUM(C94:C98)</f>
        <v>76104300</v>
      </c>
      <c r="E94" s="507"/>
      <c r="F94" s="507"/>
      <c r="G94" s="507"/>
      <c r="H94" s="507"/>
      <c r="I94" s="507"/>
      <c r="J94" s="507"/>
      <c r="K94" s="507"/>
      <c r="L94" s="507"/>
      <c r="M94" s="507"/>
      <c r="N94" s="507"/>
    </row>
    <row r="95" ht="35.25" customHeight="1">
      <c r="A95" s="18"/>
      <c r="B95" s="514" t="s">
        <v>699</v>
      </c>
      <c r="C95" s="546">
        <v>3.57018E7</v>
      </c>
      <c r="D95" s="18"/>
      <c r="E95" s="507"/>
      <c r="F95" s="507"/>
      <c r="G95" s="507"/>
      <c r="H95" s="507"/>
      <c r="I95" s="507"/>
      <c r="J95" s="507"/>
      <c r="K95" s="507"/>
      <c r="L95" s="507"/>
      <c r="M95" s="507"/>
      <c r="N95" s="507"/>
    </row>
    <row r="96" ht="35.25" customHeight="1">
      <c r="A96" s="18"/>
      <c r="B96" s="514" t="s">
        <v>738</v>
      </c>
      <c r="C96" s="546">
        <v>4.04025E7</v>
      </c>
      <c r="D96" s="18"/>
      <c r="E96" s="507"/>
      <c r="F96" s="507"/>
      <c r="G96" s="507"/>
      <c r="H96" s="507"/>
      <c r="I96" s="507"/>
      <c r="J96" s="507"/>
      <c r="K96" s="507"/>
      <c r="L96" s="507"/>
      <c r="M96" s="507"/>
      <c r="N96" s="507"/>
    </row>
    <row r="97" ht="35.25" customHeight="1">
      <c r="A97" s="18"/>
      <c r="B97" s="514" t="s">
        <v>89</v>
      </c>
      <c r="C97" s="546"/>
      <c r="D97" s="18"/>
      <c r="E97" s="507"/>
      <c r="F97" s="507"/>
      <c r="G97" s="507"/>
      <c r="H97" s="507"/>
      <c r="I97" s="507"/>
      <c r="J97" s="507"/>
      <c r="K97" s="507"/>
      <c r="L97" s="507"/>
      <c r="M97" s="507"/>
      <c r="N97" s="507"/>
    </row>
    <row r="98" ht="35.25" customHeight="1">
      <c r="A98" s="22"/>
      <c r="B98" s="514" t="s">
        <v>220</v>
      </c>
      <c r="C98" s="546"/>
      <c r="D98" s="22"/>
      <c r="E98" s="949"/>
      <c r="F98" s="507"/>
      <c r="G98" s="507"/>
      <c r="H98" s="507"/>
      <c r="I98" s="507"/>
      <c r="J98" s="507"/>
      <c r="K98" s="507"/>
      <c r="L98" s="507"/>
      <c r="M98" s="507"/>
      <c r="N98" s="507"/>
    </row>
    <row r="99" ht="35.25" customHeight="1">
      <c r="A99" s="731" t="s">
        <v>974</v>
      </c>
      <c r="B99" s="514" t="s">
        <v>1327</v>
      </c>
      <c r="C99" s="529">
        <f>SUM(95855000 - 16253000 - 28471000)</f>
        <v>51131000</v>
      </c>
      <c r="D99" s="657">
        <f>sum(C99:C105)</f>
        <v>214033500</v>
      </c>
      <c r="E99" s="556" t="s">
        <v>862</v>
      </c>
      <c r="F99" s="507"/>
      <c r="G99" s="507"/>
      <c r="H99" s="507"/>
      <c r="I99" s="507"/>
      <c r="J99" s="507"/>
      <c r="K99" s="507"/>
      <c r="L99" s="507"/>
      <c r="M99" s="507"/>
      <c r="N99" s="507"/>
    </row>
    <row r="100" ht="35.25" customHeight="1">
      <c r="A100" s="18"/>
      <c r="B100" s="514" t="s">
        <v>1320</v>
      </c>
      <c r="C100" s="529">
        <v>1.10047E8</v>
      </c>
      <c r="D100" s="18"/>
      <c r="F100" s="507"/>
      <c r="G100" s="507"/>
      <c r="H100" s="507"/>
      <c r="I100" s="507"/>
      <c r="J100" s="507"/>
      <c r="K100" s="507"/>
      <c r="L100" s="507"/>
      <c r="M100" s="507"/>
      <c r="N100" s="507"/>
    </row>
    <row r="101" ht="35.25" customHeight="1">
      <c r="A101" s="18"/>
      <c r="B101" s="514" t="s">
        <v>699</v>
      </c>
      <c r="C101" s="529">
        <v>3.0117E7</v>
      </c>
      <c r="D101" s="18"/>
      <c r="F101" s="507"/>
      <c r="G101" s="507"/>
      <c r="H101" s="507"/>
      <c r="I101" s="507"/>
      <c r="J101" s="507"/>
      <c r="K101" s="507"/>
      <c r="L101" s="507"/>
      <c r="M101" s="507"/>
      <c r="N101" s="507"/>
    </row>
    <row r="102" ht="35.25" customHeight="1">
      <c r="A102" s="18"/>
      <c r="B102" s="514" t="s">
        <v>738</v>
      </c>
      <c r="C102" s="546">
        <v>2.27385E7</v>
      </c>
      <c r="D102" s="18"/>
      <c r="F102" s="507"/>
      <c r="G102" s="507"/>
      <c r="H102" s="507"/>
      <c r="I102" s="507"/>
      <c r="J102" s="507"/>
      <c r="K102" s="507"/>
      <c r="L102" s="507"/>
      <c r="M102" s="507"/>
      <c r="N102" s="507"/>
    </row>
    <row r="103" ht="35.25" customHeight="1">
      <c r="A103" s="18"/>
      <c r="B103" s="514" t="s">
        <v>89</v>
      </c>
      <c r="C103" s="546"/>
      <c r="D103" s="18"/>
      <c r="E103" s="556"/>
      <c r="F103" s="507"/>
      <c r="G103" s="507"/>
      <c r="H103" s="507"/>
      <c r="I103" s="507"/>
      <c r="J103" s="507"/>
      <c r="K103" s="507"/>
      <c r="L103" s="507"/>
      <c r="M103" s="507"/>
      <c r="N103" s="507"/>
    </row>
    <row r="104" ht="35.25" customHeight="1">
      <c r="A104" s="18"/>
      <c r="B104" s="514" t="s">
        <v>220</v>
      </c>
      <c r="C104" s="546"/>
      <c r="D104" s="18"/>
      <c r="E104" s="556"/>
      <c r="F104" s="507"/>
      <c r="G104" s="507"/>
      <c r="H104" s="507"/>
      <c r="I104" s="507"/>
      <c r="J104" s="507"/>
      <c r="K104" s="507"/>
      <c r="L104" s="507"/>
      <c r="M104" s="507"/>
      <c r="N104" s="507"/>
    </row>
    <row r="105" ht="35.25" customHeight="1">
      <c r="A105" s="22"/>
      <c r="B105" s="514" t="s">
        <v>697</v>
      </c>
      <c r="C105" s="546"/>
      <c r="D105" s="22"/>
      <c r="E105" s="556"/>
      <c r="F105" s="507"/>
      <c r="G105" s="507"/>
      <c r="H105" s="507"/>
      <c r="I105" s="507"/>
      <c r="J105" s="507"/>
      <c r="K105" s="507"/>
      <c r="L105" s="507"/>
      <c r="M105" s="507"/>
      <c r="N105" s="507"/>
    </row>
    <row r="106" ht="35.25" customHeight="1">
      <c r="A106" s="731" t="s">
        <v>1331</v>
      </c>
      <c r="B106" s="514" t="s">
        <v>1332</v>
      </c>
      <c r="C106" s="546"/>
      <c r="D106" s="653">
        <f>sum(C106:C112)</f>
        <v>72734000</v>
      </c>
      <c r="E106" s="557"/>
      <c r="F106" s="507"/>
      <c r="G106" s="507"/>
      <c r="H106" s="507"/>
      <c r="I106" s="507"/>
      <c r="J106" s="507"/>
      <c r="K106" s="507"/>
      <c r="L106" s="507"/>
      <c r="M106" s="507"/>
      <c r="N106" s="507"/>
    </row>
    <row r="107" ht="35.25" customHeight="1">
      <c r="A107" s="18"/>
      <c r="B107" s="514" t="s">
        <v>1333</v>
      </c>
      <c r="C107" s="544"/>
      <c r="D107" s="18"/>
      <c r="E107" s="557"/>
      <c r="F107" s="507"/>
      <c r="G107" s="507"/>
      <c r="H107" s="507"/>
      <c r="I107" s="507"/>
      <c r="J107" s="507"/>
      <c r="K107" s="507"/>
      <c r="L107" s="507"/>
      <c r="M107" s="507"/>
      <c r="N107" s="507"/>
    </row>
    <row r="108" ht="35.25" customHeight="1">
      <c r="A108" s="18"/>
      <c r="B108" s="514" t="s">
        <v>699</v>
      </c>
      <c r="C108" s="544">
        <v>3.3688E7</v>
      </c>
      <c r="D108" s="18"/>
      <c r="E108" s="557"/>
      <c r="F108" s="507"/>
      <c r="G108" s="507"/>
      <c r="H108" s="507"/>
      <c r="I108" s="507"/>
      <c r="J108" s="507"/>
      <c r="K108" s="507"/>
      <c r="L108" s="507"/>
      <c r="M108" s="507"/>
      <c r="N108" s="507"/>
    </row>
    <row r="109" ht="35.25" customHeight="1">
      <c r="A109" s="18"/>
      <c r="B109" s="514" t="s">
        <v>738</v>
      </c>
      <c r="C109" s="515">
        <v>3.9046E7</v>
      </c>
      <c r="D109" s="18"/>
      <c r="E109" s="556"/>
      <c r="F109" s="507"/>
      <c r="G109" s="507"/>
      <c r="H109" s="507"/>
      <c r="I109" s="507"/>
      <c r="J109" s="507"/>
      <c r="K109" s="507"/>
      <c r="L109" s="507"/>
      <c r="M109" s="507"/>
      <c r="N109" s="507"/>
    </row>
    <row r="110" ht="35.25" customHeight="1">
      <c r="A110" s="18"/>
      <c r="B110" s="514" t="s">
        <v>89</v>
      </c>
      <c r="C110" s="515" t="s">
        <v>684</v>
      </c>
      <c r="D110" s="18"/>
      <c r="E110" s="556"/>
      <c r="F110" s="507"/>
      <c r="G110" s="507"/>
      <c r="H110" s="507"/>
      <c r="I110" s="507"/>
      <c r="J110" s="507"/>
      <c r="K110" s="507"/>
      <c r="L110" s="507"/>
      <c r="M110" s="507"/>
      <c r="N110" s="507"/>
    </row>
    <row r="111" ht="35.25" customHeight="1">
      <c r="A111" s="18"/>
      <c r="B111" s="514" t="s">
        <v>220</v>
      </c>
      <c r="C111" s="515" t="s">
        <v>684</v>
      </c>
      <c r="D111" s="18"/>
      <c r="E111" s="556"/>
      <c r="F111" s="507"/>
      <c r="G111" s="507"/>
      <c r="H111" s="507"/>
      <c r="I111" s="507"/>
      <c r="J111" s="507"/>
      <c r="K111" s="507"/>
      <c r="L111" s="507"/>
      <c r="M111" s="507"/>
      <c r="N111" s="507"/>
    </row>
    <row r="112" ht="35.25" customHeight="1">
      <c r="A112" s="22"/>
      <c r="B112" s="514" t="s">
        <v>697</v>
      </c>
      <c r="C112" s="546"/>
      <c r="D112" s="22"/>
      <c r="E112" s="556"/>
      <c r="F112" s="507"/>
      <c r="G112" s="507"/>
      <c r="H112" s="507"/>
      <c r="I112" s="507"/>
      <c r="J112" s="507"/>
      <c r="K112" s="507"/>
      <c r="L112" s="507"/>
      <c r="M112" s="507"/>
      <c r="N112" s="507"/>
    </row>
    <row r="113" ht="35.25" customHeight="1">
      <c r="A113" s="731" t="s">
        <v>976</v>
      </c>
      <c r="B113" s="514" t="s">
        <v>1320</v>
      </c>
      <c r="C113" s="564">
        <f>SUM(79930000 - 60000000)</f>
        <v>19930000</v>
      </c>
      <c r="D113" s="736">
        <f>sum(C113:C118)</f>
        <v>49095000</v>
      </c>
      <c r="E113" s="570" t="s">
        <v>863</v>
      </c>
      <c r="F113" s="507"/>
      <c r="G113" s="507"/>
      <c r="H113" s="507"/>
      <c r="I113" s="507"/>
      <c r="J113" s="507"/>
      <c r="K113" s="507"/>
      <c r="L113" s="507"/>
      <c r="M113" s="507"/>
      <c r="N113" s="507"/>
    </row>
    <row r="114" ht="35.25" customHeight="1">
      <c r="A114" s="18"/>
      <c r="B114" s="514" t="s">
        <v>699</v>
      </c>
      <c r="C114" s="564">
        <v>2750000.0</v>
      </c>
      <c r="D114" s="86"/>
      <c r="E114" s="556"/>
      <c r="F114" s="507"/>
      <c r="G114" s="507"/>
      <c r="H114" s="507"/>
      <c r="I114" s="507"/>
      <c r="J114" s="507"/>
      <c r="K114" s="507"/>
      <c r="L114" s="507"/>
      <c r="M114" s="507"/>
      <c r="N114" s="507"/>
    </row>
    <row r="115" ht="35.25" customHeight="1">
      <c r="A115" s="18"/>
      <c r="B115" s="514" t="s">
        <v>738</v>
      </c>
      <c r="C115" s="564">
        <v>2.6415E7</v>
      </c>
      <c r="D115" s="86"/>
      <c r="E115" s="556"/>
      <c r="F115" s="507"/>
      <c r="G115" s="507"/>
      <c r="H115" s="507"/>
      <c r="I115" s="507"/>
      <c r="J115" s="507"/>
      <c r="K115" s="507"/>
      <c r="L115" s="507"/>
      <c r="M115" s="507"/>
      <c r="N115" s="507"/>
    </row>
    <row r="116" ht="35.25" customHeight="1">
      <c r="A116" s="18"/>
      <c r="B116" s="514" t="s">
        <v>89</v>
      </c>
      <c r="C116" s="564"/>
      <c r="D116" s="86"/>
      <c r="E116" s="556"/>
      <c r="F116" s="507"/>
      <c r="G116" s="507"/>
      <c r="H116" s="507"/>
      <c r="I116" s="507"/>
      <c r="J116" s="507"/>
      <c r="K116" s="507"/>
      <c r="L116" s="507"/>
      <c r="M116" s="507"/>
      <c r="N116" s="507"/>
    </row>
    <row r="117" ht="35.25" customHeight="1">
      <c r="A117" s="18"/>
      <c r="B117" s="514" t="s">
        <v>220</v>
      </c>
      <c r="C117" s="564"/>
      <c r="D117" s="86"/>
      <c r="E117" s="556"/>
      <c r="F117" s="507"/>
      <c r="G117" s="507"/>
      <c r="H117" s="507"/>
      <c r="I117" s="507"/>
      <c r="J117" s="507"/>
      <c r="K117" s="507"/>
      <c r="L117" s="507"/>
      <c r="M117" s="507"/>
      <c r="N117" s="507"/>
    </row>
    <row r="118" ht="35.25" customHeight="1">
      <c r="A118" s="22"/>
      <c r="B118" s="514" t="s">
        <v>697</v>
      </c>
      <c r="C118" s="546"/>
      <c r="D118" s="89"/>
      <c r="E118" s="556"/>
      <c r="F118" s="507"/>
      <c r="G118" s="507"/>
      <c r="H118" s="507"/>
      <c r="I118" s="507"/>
      <c r="J118" s="507"/>
      <c r="K118" s="507"/>
      <c r="L118" s="507"/>
      <c r="M118" s="507"/>
      <c r="N118" s="507"/>
    </row>
    <row r="119" ht="35.25" customHeight="1">
      <c r="A119" s="731" t="s">
        <v>1334</v>
      </c>
      <c r="B119" s="514" t="s">
        <v>1320</v>
      </c>
      <c r="C119" s="529">
        <v>1.509738E8</v>
      </c>
      <c r="D119" s="653">
        <f>sum(C119:C124)</f>
        <v>554533500</v>
      </c>
      <c r="E119" s="582"/>
      <c r="F119" s="507"/>
      <c r="G119" s="507"/>
      <c r="H119" s="507"/>
      <c r="I119" s="507"/>
      <c r="J119" s="507"/>
      <c r="K119" s="507"/>
      <c r="L119" s="507"/>
      <c r="M119" s="507"/>
      <c r="N119" s="507"/>
    </row>
    <row r="120" ht="35.25" customHeight="1">
      <c r="A120" s="18"/>
      <c r="B120" s="514" t="s">
        <v>88</v>
      </c>
      <c r="C120" s="529">
        <v>2.494943E8</v>
      </c>
      <c r="D120" s="18"/>
      <c r="E120" s="584"/>
      <c r="F120" s="507"/>
      <c r="G120" s="507"/>
      <c r="H120" s="507"/>
      <c r="I120" s="507"/>
      <c r="J120" s="507"/>
      <c r="K120" s="507"/>
      <c r="L120" s="507"/>
      <c r="M120" s="507"/>
      <c r="N120" s="507"/>
    </row>
    <row r="121" ht="35.25" customHeight="1">
      <c r="A121" s="18"/>
      <c r="B121" s="514" t="s">
        <v>738</v>
      </c>
      <c r="C121" s="529">
        <v>1.398364E8</v>
      </c>
      <c r="D121" s="18"/>
      <c r="E121" s="507"/>
      <c r="F121" s="507"/>
      <c r="G121" s="507"/>
      <c r="H121" s="507"/>
      <c r="I121" s="507"/>
      <c r="J121" s="507"/>
      <c r="K121" s="507"/>
      <c r="L121" s="507"/>
      <c r="M121" s="507"/>
      <c r="N121" s="507"/>
    </row>
    <row r="122" ht="35.25" customHeight="1">
      <c r="A122" s="18"/>
      <c r="B122" s="514" t="s">
        <v>89</v>
      </c>
      <c r="C122" s="587"/>
      <c r="D122" s="18"/>
      <c r="E122" s="507"/>
      <c r="F122" s="507"/>
      <c r="G122" s="507"/>
      <c r="H122" s="507"/>
      <c r="I122" s="507"/>
      <c r="J122" s="507"/>
      <c r="K122" s="507"/>
      <c r="L122" s="507"/>
      <c r="M122" s="507"/>
      <c r="N122" s="507"/>
    </row>
    <row r="123" ht="35.25" customHeight="1">
      <c r="A123" s="18"/>
      <c r="B123" s="514" t="s">
        <v>220</v>
      </c>
      <c r="C123" s="587"/>
      <c r="D123" s="18"/>
      <c r="E123" s="507"/>
      <c r="F123" s="507"/>
      <c r="G123" s="507"/>
      <c r="H123" s="507"/>
      <c r="I123" s="507"/>
      <c r="J123" s="507"/>
      <c r="K123" s="507"/>
      <c r="L123" s="507"/>
      <c r="M123" s="507"/>
      <c r="N123" s="507"/>
    </row>
    <row r="124" ht="35.25" customHeight="1">
      <c r="A124" s="22"/>
      <c r="B124" s="950" t="s">
        <v>1335</v>
      </c>
      <c r="C124" s="950">
        <v>1.4229E7</v>
      </c>
      <c r="D124" s="22"/>
      <c r="E124" s="507"/>
      <c r="F124" s="507"/>
      <c r="G124" s="507"/>
      <c r="H124" s="507"/>
      <c r="I124" s="507"/>
      <c r="J124" s="507"/>
      <c r="K124" s="507"/>
      <c r="L124" s="507"/>
      <c r="M124" s="507"/>
      <c r="N124" s="507"/>
    </row>
    <row r="125" ht="35.25" customHeight="1">
      <c r="A125" s="731" t="s">
        <v>1336</v>
      </c>
      <c r="B125" s="514" t="s">
        <v>699</v>
      </c>
      <c r="C125" s="529" t="s">
        <v>684</v>
      </c>
      <c r="D125" s="653">
        <f>sum(C125:C129)</f>
        <v>38874000</v>
      </c>
      <c r="E125" s="556" t="s">
        <v>865</v>
      </c>
      <c r="F125" s="507"/>
      <c r="G125" s="507"/>
      <c r="H125" s="507"/>
      <c r="I125" s="507"/>
      <c r="J125" s="507"/>
      <c r="K125" s="507"/>
      <c r="L125" s="507"/>
      <c r="M125" s="507"/>
      <c r="N125" s="507"/>
    </row>
    <row r="126" ht="35.25" customHeight="1">
      <c r="A126" s="18"/>
      <c r="B126" s="514" t="s">
        <v>738</v>
      </c>
      <c r="C126" s="529">
        <v>3.8874E7</v>
      </c>
      <c r="D126" s="18"/>
      <c r="E126" s="507"/>
      <c r="F126" s="507"/>
      <c r="G126" s="507"/>
      <c r="H126" s="507"/>
      <c r="I126" s="507"/>
      <c r="J126" s="507"/>
      <c r="K126" s="507"/>
      <c r="L126" s="507"/>
      <c r="M126" s="507"/>
      <c r="N126" s="507"/>
    </row>
    <row r="127" ht="35.25" customHeight="1">
      <c r="A127" s="18"/>
      <c r="B127" s="514" t="s">
        <v>89</v>
      </c>
      <c r="C127" s="529">
        <v>0.0</v>
      </c>
      <c r="D127" s="18"/>
      <c r="E127" s="556"/>
      <c r="F127" s="507"/>
      <c r="G127" s="507"/>
      <c r="H127" s="507"/>
      <c r="I127" s="507"/>
      <c r="J127" s="507"/>
      <c r="K127" s="507"/>
      <c r="L127" s="507"/>
      <c r="M127" s="507"/>
      <c r="N127" s="507"/>
    </row>
    <row r="128" ht="35.25" customHeight="1">
      <c r="A128" s="18"/>
      <c r="B128" s="514" t="s">
        <v>220</v>
      </c>
      <c r="C128" s="529"/>
      <c r="D128" s="18"/>
      <c r="E128" s="556"/>
      <c r="F128" s="507"/>
      <c r="G128" s="507"/>
      <c r="H128" s="507"/>
      <c r="I128" s="507"/>
      <c r="J128" s="507"/>
      <c r="K128" s="507"/>
      <c r="L128" s="507"/>
      <c r="M128" s="507"/>
      <c r="N128" s="507"/>
    </row>
    <row r="129" ht="35.25" customHeight="1">
      <c r="A129" s="22"/>
      <c r="B129" s="514" t="s">
        <v>697</v>
      </c>
      <c r="C129" s="546"/>
      <c r="D129" s="22"/>
      <c r="E129" s="556"/>
      <c r="F129" s="507"/>
      <c r="G129" s="507"/>
      <c r="H129" s="507"/>
      <c r="I129" s="507"/>
      <c r="J129" s="507"/>
      <c r="K129" s="507"/>
      <c r="L129" s="507"/>
      <c r="M129" s="507"/>
      <c r="N129" s="507"/>
    </row>
    <row r="130" ht="35.25" customHeight="1">
      <c r="A130" s="731" t="s">
        <v>1337</v>
      </c>
      <c r="B130" s="514" t="s">
        <v>1333</v>
      </c>
      <c r="C130" s="529">
        <v>3800000.0</v>
      </c>
      <c r="D130" s="653">
        <f>sum(C130:C135)</f>
        <v>19995000</v>
      </c>
      <c r="E130" s="556"/>
      <c r="F130" s="507"/>
      <c r="G130" s="507"/>
      <c r="H130" s="507"/>
      <c r="I130" s="507"/>
      <c r="J130" s="507"/>
      <c r="K130" s="507"/>
      <c r="L130" s="507"/>
      <c r="M130" s="507"/>
      <c r="N130" s="507"/>
    </row>
    <row r="131" ht="35.25" customHeight="1">
      <c r="A131" s="18"/>
      <c r="B131" s="514" t="s">
        <v>1327</v>
      </c>
      <c r="C131" s="529" t="s">
        <v>684</v>
      </c>
      <c r="D131" s="18"/>
      <c r="E131" s="507"/>
      <c r="F131" s="507"/>
      <c r="G131" s="507"/>
      <c r="H131" s="507"/>
      <c r="I131" s="507"/>
      <c r="J131" s="507"/>
      <c r="K131" s="507"/>
      <c r="L131" s="507"/>
      <c r="M131" s="507"/>
      <c r="N131" s="507"/>
    </row>
    <row r="132" ht="35.25" customHeight="1">
      <c r="A132" s="18"/>
      <c r="B132" s="514" t="s">
        <v>699</v>
      </c>
      <c r="C132" s="529">
        <v>1.6195E7</v>
      </c>
      <c r="D132" s="18"/>
      <c r="E132" s="507"/>
      <c r="F132" s="507"/>
      <c r="G132" s="507"/>
      <c r="H132" s="507"/>
      <c r="I132" s="507"/>
      <c r="J132" s="507"/>
      <c r="K132" s="507"/>
      <c r="L132" s="507"/>
      <c r="M132" s="507"/>
      <c r="N132" s="507"/>
    </row>
    <row r="133" ht="35.25" customHeight="1">
      <c r="A133" s="18"/>
      <c r="B133" s="514" t="s">
        <v>738</v>
      </c>
      <c r="C133" s="529">
        <v>0.0</v>
      </c>
      <c r="D133" s="18"/>
      <c r="E133" s="507"/>
      <c r="F133" s="507"/>
      <c r="G133" s="507"/>
      <c r="H133" s="507"/>
      <c r="I133" s="507"/>
      <c r="J133" s="507"/>
      <c r="K133" s="507"/>
      <c r="L133" s="507"/>
      <c r="M133" s="507"/>
      <c r="N133" s="507"/>
    </row>
    <row r="134" ht="35.25" customHeight="1">
      <c r="A134" s="18"/>
      <c r="B134" s="514" t="s">
        <v>89</v>
      </c>
      <c r="C134" s="529"/>
      <c r="D134" s="18"/>
      <c r="E134" s="507"/>
      <c r="F134" s="507"/>
      <c r="G134" s="507"/>
      <c r="H134" s="507"/>
      <c r="I134" s="507"/>
      <c r="J134" s="507"/>
      <c r="K134" s="507"/>
      <c r="L134" s="507"/>
      <c r="M134" s="507"/>
      <c r="N134" s="507"/>
    </row>
    <row r="135" ht="35.25" customHeight="1">
      <c r="A135" s="22"/>
      <c r="B135" s="514" t="s">
        <v>220</v>
      </c>
      <c r="C135" s="529"/>
      <c r="D135" s="22"/>
      <c r="E135" s="507"/>
      <c r="F135" s="507"/>
      <c r="G135" s="507"/>
      <c r="H135" s="507"/>
      <c r="I135" s="507"/>
      <c r="J135" s="507"/>
      <c r="K135" s="507"/>
      <c r="L135" s="507"/>
      <c r="M135" s="507"/>
      <c r="N135" s="507"/>
    </row>
    <row r="136" ht="35.25" customHeight="1">
      <c r="A136" s="731" t="s">
        <v>980</v>
      </c>
      <c r="B136" s="514" t="s">
        <v>92</v>
      </c>
      <c r="C136" s="515">
        <v>4.0E7</v>
      </c>
      <c r="D136" s="653">
        <f>sum(C136:C140)</f>
        <v>59402000</v>
      </c>
      <c r="E136" s="556" t="s">
        <v>868</v>
      </c>
      <c r="F136" s="507"/>
      <c r="G136" s="507"/>
      <c r="H136" s="507"/>
      <c r="I136" s="507"/>
      <c r="J136" s="507"/>
      <c r="K136" s="507"/>
      <c r="L136" s="507"/>
      <c r="M136" s="507"/>
      <c r="N136" s="507"/>
    </row>
    <row r="137" ht="36.0" customHeight="1">
      <c r="A137" s="18"/>
      <c r="B137" s="524" t="s">
        <v>1338</v>
      </c>
      <c r="C137" s="515"/>
      <c r="D137" s="18"/>
      <c r="F137" s="507"/>
      <c r="G137" s="507"/>
      <c r="I137" s="507"/>
      <c r="J137" s="507"/>
      <c r="K137" s="507"/>
      <c r="L137" s="507"/>
      <c r="M137" s="507"/>
      <c r="N137" s="507"/>
    </row>
    <row r="138" ht="36.0" customHeight="1">
      <c r="A138" s="18"/>
      <c r="B138" s="951" t="s">
        <v>1339</v>
      </c>
      <c r="C138" s="587"/>
      <c r="D138" s="18"/>
      <c r="F138" s="507"/>
      <c r="G138" s="507"/>
      <c r="I138" s="507"/>
      <c r="J138" s="507"/>
      <c r="K138" s="507"/>
      <c r="L138" s="507"/>
      <c r="M138" s="507"/>
      <c r="N138" s="507"/>
    </row>
    <row r="139" ht="36.0" customHeight="1">
      <c r="A139" s="18"/>
      <c r="B139" s="951" t="s">
        <v>1340</v>
      </c>
      <c r="C139" s="587"/>
      <c r="D139" s="18"/>
      <c r="F139" s="507"/>
      <c r="G139" s="507"/>
      <c r="I139" s="507"/>
      <c r="J139" s="507"/>
      <c r="K139" s="507"/>
      <c r="L139" s="507"/>
      <c r="M139" s="507"/>
      <c r="N139" s="507"/>
    </row>
    <row r="140" ht="36.0" customHeight="1">
      <c r="A140" s="22"/>
      <c r="B140" s="951" t="s">
        <v>1341</v>
      </c>
      <c r="C140" s="587">
        <v>1.9402E7</v>
      </c>
      <c r="D140" s="22"/>
      <c r="F140" s="507"/>
      <c r="G140" s="507"/>
      <c r="I140" s="507"/>
      <c r="J140" s="507"/>
      <c r="K140" s="507"/>
      <c r="L140" s="507"/>
      <c r="M140" s="507"/>
      <c r="N140" s="507"/>
    </row>
    <row r="141" ht="35.25" customHeight="1">
      <c r="A141" s="731" t="s">
        <v>1342</v>
      </c>
      <c r="B141" s="514" t="s">
        <v>1327</v>
      </c>
      <c r="C141" s="514" t="s">
        <v>684</v>
      </c>
      <c r="D141" s="653">
        <f>SUM(C141:C145)</f>
        <v>118704500</v>
      </c>
      <c r="E141" s="556" t="s">
        <v>870</v>
      </c>
      <c r="F141" s="507"/>
      <c r="G141" s="507"/>
      <c r="H141" s="507"/>
      <c r="I141" s="507"/>
      <c r="J141" s="507"/>
      <c r="K141" s="507"/>
      <c r="L141" s="507"/>
      <c r="M141" s="507"/>
      <c r="N141" s="507"/>
    </row>
    <row r="142" ht="35.25" customHeight="1">
      <c r="A142" s="18"/>
      <c r="B142" s="514" t="s">
        <v>699</v>
      </c>
      <c r="C142" s="514">
        <v>5.16365E7</v>
      </c>
      <c r="D142" s="18"/>
      <c r="E142" s="556"/>
      <c r="F142" s="507"/>
      <c r="G142" s="507"/>
      <c r="H142" s="507"/>
      <c r="I142" s="507"/>
      <c r="J142" s="507"/>
      <c r="K142" s="507"/>
      <c r="L142" s="507"/>
      <c r="M142" s="507"/>
      <c r="N142" s="507"/>
    </row>
    <row r="143" ht="35.25" customHeight="1">
      <c r="A143" s="18"/>
      <c r="B143" s="514" t="s">
        <v>738</v>
      </c>
      <c r="C143" s="514">
        <f>67149000-81000</f>
        <v>67068000</v>
      </c>
      <c r="D143" s="18"/>
      <c r="E143" s="894"/>
      <c r="F143" s="507"/>
      <c r="G143" s="507"/>
      <c r="H143" s="507"/>
      <c r="I143" s="507"/>
      <c r="J143" s="507"/>
      <c r="K143" s="507"/>
      <c r="L143" s="507"/>
      <c r="M143" s="507"/>
      <c r="N143" s="507"/>
    </row>
    <row r="144" ht="35.25" customHeight="1">
      <c r="A144" s="18"/>
      <c r="B144" s="514" t="s">
        <v>89</v>
      </c>
      <c r="C144" s="514"/>
      <c r="D144" s="18"/>
      <c r="F144" s="507"/>
      <c r="G144" s="507"/>
      <c r="H144" s="507"/>
      <c r="I144" s="507"/>
      <c r="J144" s="507"/>
      <c r="K144" s="507"/>
      <c r="L144" s="507"/>
      <c r="M144" s="507"/>
      <c r="N144" s="507"/>
    </row>
    <row r="145" ht="35.25" customHeight="1">
      <c r="A145" s="18"/>
      <c r="B145" s="514" t="s">
        <v>220</v>
      </c>
      <c r="C145" s="514"/>
      <c r="D145" s="18"/>
      <c r="F145" s="507"/>
      <c r="G145" s="507"/>
      <c r="H145" s="507"/>
      <c r="I145" s="507"/>
      <c r="J145" s="507"/>
      <c r="K145" s="507"/>
      <c r="L145" s="507"/>
      <c r="M145" s="507"/>
      <c r="N145" s="507"/>
    </row>
    <row r="146" ht="35.25" customHeight="1">
      <c r="A146" s="22"/>
      <c r="B146" s="514" t="s">
        <v>697</v>
      </c>
      <c r="C146" s="546"/>
      <c r="D146" s="22"/>
      <c r="F146" s="507"/>
      <c r="G146" s="507"/>
      <c r="H146" s="507"/>
      <c r="I146" s="507"/>
      <c r="J146" s="507"/>
      <c r="K146" s="507"/>
      <c r="L146" s="507"/>
      <c r="M146" s="507"/>
      <c r="N146" s="507"/>
    </row>
    <row r="147" ht="35.25" customHeight="1">
      <c r="A147" s="733" t="s">
        <v>984</v>
      </c>
      <c r="B147" s="514"/>
      <c r="C147" s="952"/>
      <c r="D147" s="653"/>
      <c r="E147" s="507"/>
      <c r="F147" s="507"/>
      <c r="G147" s="507"/>
      <c r="H147" s="507"/>
      <c r="I147" s="507"/>
      <c r="J147" s="507"/>
      <c r="K147" s="507"/>
      <c r="L147" s="507"/>
      <c r="M147" s="507"/>
      <c r="N147" s="507"/>
    </row>
    <row r="148" ht="35.25" customHeight="1">
      <c r="A148" s="18"/>
      <c r="B148" s="514"/>
      <c r="C148" s="953"/>
      <c r="D148" s="18"/>
      <c r="E148" s="556" t="s">
        <v>872</v>
      </c>
      <c r="F148" s="507"/>
      <c r="G148" s="507"/>
      <c r="H148" s="507"/>
      <c r="I148" s="507"/>
      <c r="J148" s="507"/>
      <c r="K148" s="507"/>
      <c r="L148" s="507"/>
      <c r="M148" s="507"/>
      <c r="N148" s="507"/>
    </row>
    <row r="149" ht="35.25" customHeight="1">
      <c r="A149" s="18"/>
      <c r="B149" s="514"/>
      <c r="C149" s="953"/>
      <c r="D149" s="18"/>
      <c r="E149" s="507"/>
      <c r="F149" s="507"/>
      <c r="G149" s="507"/>
      <c r="H149" s="507"/>
      <c r="I149" s="507"/>
      <c r="J149" s="507"/>
      <c r="K149" s="507"/>
      <c r="L149" s="507"/>
      <c r="M149" s="507"/>
      <c r="N149" s="507"/>
    </row>
    <row r="150" ht="35.25" customHeight="1">
      <c r="A150" s="22"/>
      <c r="B150" s="514"/>
      <c r="C150" s="953"/>
      <c r="D150" s="22"/>
      <c r="E150" s="556"/>
      <c r="F150" s="507"/>
      <c r="G150" s="507"/>
      <c r="H150" s="507"/>
      <c r="I150" s="507"/>
      <c r="J150" s="507"/>
      <c r="K150" s="507"/>
      <c r="L150" s="507"/>
      <c r="M150" s="507"/>
      <c r="N150" s="507"/>
    </row>
    <row r="151" ht="35.25" customHeight="1">
      <c r="A151" s="733" t="s">
        <v>1343</v>
      </c>
      <c r="B151" s="514" t="s">
        <v>699</v>
      </c>
      <c r="C151" s="514">
        <v>2.8431E7</v>
      </c>
      <c r="D151" s="653">
        <f>sum(C151:C155)</f>
        <v>64493600</v>
      </c>
      <c r="E151" s="507"/>
      <c r="F151" s="507"/>
      <c r="G151" s="507"/>
      <c r="H151" s="507"/>
      <c r="I151" s="507"/>
      <c r="J151" s="507"/>
      <c r="K151" s="507"/>
      <c r="L151" s="507"/>
      <c r="M151" s="507"/>
      <c r="N151" s="507"/>
    </row>
    <row r="152" ht="35.25" customHeight="1">
      <c r="A152" s="18"/>
      <c r="B152" s="514" t="s">
        <v>738</v>
      </c>
      <c r="C152" s="514">
        <v>3.60626E7</v>
      </c>
      <c r="D152" s="18"/>
      <c r="E152" s="507"/>
      <c r="F152" s="507"/>
      <c r="G152" s="507"/>
      <c r="H152" s="507"/>
      <c r="I152" s="507"/>
      <c r="J152" s="507"/>
      <c r="K152" s="507"/>
      <c r="L152" s="507"/>
      <c r="M152" s="507"/>
      <c r="N152" s="507"/>
    </row>
    <row r="153" ht="35.25" customHeight="1">
      <c r="A153" s="18"/>
      <c r="B153" s="514" t="s">
        <v>89</v>
      </c>
      <c r="C153" s="514"/>
      <c r="D153" s="18"/>
      <c r="E153" s="507"/>
      <c r="F153" s="507"/>
      <c r="G153" s="507"/>
      <c r="H153" s="507"/>
      <c r="I153" s="507"/>
      <c r="J153" s="507"/>
      <c r="K153" s="507"/>
      <c r="L153" s="507"/>
      <c r="M153" s="507"/>
      <c r="N153" s="507"/>
    </row>
    <row r="154" ht="35.25" customHeight="1">
      <c r="A154" s="18"/>
      <c r="B154" s="514" t="s">
        <v>220</v>
      </c>
      <c r="C154" s="514"/>
      <c r="D154" s="18"/>
      <c r="E154" s="507"/>
      <c r="F154" s="507"/>
      <c r="G154" s="507"/>
      <c r="H154" s="507"/>
      <c r="I154" s="507"/>
      <c r="J154" s="507"/>
      <c r="K154" s="507"/>
      <c r="L154" s="507"/>
      <c r="M154" s="507"/>
      <c r="N154" s="507"/>
    </row>
    <row r="155" ht="35.25" customHeight="1">
      <c r="A155" s="22"/>
      <c r="B155" s="514" t="s">
        <v>697</v>
      </c>
      <c r="C155" s="514"/>
      <c r="D155" s="22"/>
      <c r="E155" s="507"/>
      <c r="F155" s="507"/>
      <c r="G155" s="507"/>
      <c r="H155" s="507"/>
      <c r="I155" s="507"/>
      <c r="J155" s="507"/>
      <c r="K155" s="507"/>
      <c r="L155" s="507"/>
      <c r="M155" s="507"/>
      <c r="N155" s="507"/>
    </row>
    <row r="156" ht="35.25" customHeight="1">
      <c r="A156" s="733" t="s">
        <v>1344</v>
      </c>
      <c r="B156" s="514" t="s">
        <v>699</v>
      </c>
      <c r="C156" s="596" t="s">
        <v>684</v>
      </c>
      <c r="D156" s="653">
        <f>SUM(C156:C160)</f>
        <v>114443000</v>
      </c>
      <c r="E156" s="556"/>
      <c r="F156" s="507"/>
      <c r="G156" s="507"/>
      <c r="H156" s="507"/>
      <c r="I156" s="507"/>
      <c r="J156" s="507"/>
      <c r="K156" s="507"/>
      <c r="L156" s="507"/>
      <c r="M156" s="507"/>
      <c r="N156" s="507"/>
    </row>
    <row r="157" ht="35.25" customHeight="1">
      <c r="A157" s="18"/>
      <c r="B157" s="514" t="s">
        <v>738</v>
      </c>
      <c r="C157" s="514">
        <v>1.14443E8</v>
      </c>
      <c r="D157" s="18"/>
      <c r="E157" s="556"/>
      <c r="F157" s="507"/>
      <c r="G157" s="507"/>
      <c r="H157" s="507"/>
      <c r="I157" s="507"/>
      <c r="J157" s="507"/>
      <c r="K157" s="507"/>
      <c r="L157" s="507"/>
      <c r="M157" s="507"/>
      <c r="N157" s="507"/>
    </row>
    <row r="158" ht="35.25" customHeight="1">
      <c r="A158" s="18"/>
      <c r="B158" s="514" t="s">
        <v>89</v>
      </c>
      <c r="C158" s="514"/>
      <c r="D158" s="18"/>
      <c r="E158" s="556"/>
      <c r="F158" s="507"/>
      <c r="G158" s="507"/>
      <c r="H158" s="507"/>
      <c r="I158" s="507"/>
      <c r="J158" s="507"/>
      <c r="K158" s="507"/>
      <c r="L158" s="507"/>
      <c r="M158" s="507"/>
      <c r="N158" s="507"/>
    </row>
    <row r="159" ht="35.25" customHeight="1">
      <c r="A159" s="18"/>
      <c r="B159" s="514" t="s">
        <v>220</v>
      </c>
      <c r="C159" s="514"/>
      <c r="D159" s="18"/>
      <c r="E159" s="556"/>
      <c r="F159" s="507"/>
      <c r="G159" s="507"/>
      <c r="H159" s="507"/>
      <c r="I159" s="507"/>
      <c r="J159" s="507"/>
      <c r="K159" s="507"/>
      <c r="L159" s="507"/>
      <c r="M159" s="507"/>
      <c r="N159" s="507"/>
    </row>
    <row r="160" ht="35.25" customHeight="1">
      <c r="A160" s="22"/>
      <c r="B160" s="514" t="s">
        <v>697</v>
      </c>
      <c r="C160" s="514">
        <v>0.0</v>
      </c>
      <c r="D160" s="22"/>
      <c r="E160" s="954"/>
      <c r="F160" s="507"/>
      <c r="G160" s="507"/>
      <c r="H160" s="507"/>
      <c r="I160" s="507"/>
      <c r="J160" s="507"/>
      <c r="K160" s="507"/>
      <c r="L160" s="507"/>
      <c r="M160" s="507"/>
      <c r="N160" s="507"/>
    </row>
    <row r="161" ht="35.25" customHeight="1">
      <c r="A161" s="507"/>
      <c r="B161" s="507"/>
      <c r="C161" s="507"/>
      <c r="D161" s="508"/>
      <c r="E161" s="507"/>
      <c r="F161" s="507"/>
      <c r="G161" s="507"/>
      <c r="H161" s="507"/>
      <c r="I161" s="507"/>
      <c r="J161" s="507"/>
      <c r="K161" s="507"/>
      <c r="L161" s="507"/>
      <c r="M161" s="507"/>
      <c r="N161" s="507"/>
    </row>
    <row r="162" ht="35.25" customHeight="1">
      <c r="A162" s="507"/>
      <c r="B162" s="507"/>
      <c r="C162" s="507"/>
      <c r="D162" s="508"/>
      <c r="E162" s="507"/>
      <c r="F162" s="507"/>
      <c r="G162" s="507"/>
      <c r="H162" s="507"/>
      <c r="I162" s="507"/>
      <c r="J162" s="507"/>
      <c r="K162" s="507"/>
      <c r="L162" s="507"/>
      <c r="M162" s="507"/>
      <c r="N162" s="507"/>
    </row>
    <row r="163" ht="35.25" customHeight="1">
      <c r="A163" s="507"/>
      <c r="B163" s="507"/>
      <c r="C163" s="507"/>
      <c r="D163" s="508"/>
      <c r="E163" s="507"/>
      <c r="F163" s="507"/>
      <c r="G163" s="507"/>
      <c r="H163" s="507"/>
      <c r="I163" s="507"/>
      <c r="J163" s="507"/>
      <c r="K163" s="507"/>
      <c r="L163" s="507"/>
      <c r="M163" s="507"/>
      <c r="N163" s="507"/>
    </row>
    <row r="164" ht="35.25" customHeight="1">
      <c r="A164" s="507"/>
      <c r="B164" s="507"/>
      <c r="C164" s="507"/>
      <c r="D164" s="508"/>
      <c r="E164" s="507"/>
      <c r="F164" s="507"/>
      <c r="G164" s="507"/>
      <c r="H164" s="507"/>
      <c r="I164" s="507"/>
      <c r="J164" s="507"/>
      <c r="K164" s="507"/>
      <c r="L164" s="507"/>
      <c r="M164" s="507"/>
      <c r="N164" s="507"/>
    </row>
    <row r="165" ht="35.25" customHeight="1">
      <c r="A165" s="507"/>
      <c r="B165" s="507"/>
      <c r="C165" s="507"/>
      <c r="D165" s="508"/>
      <c r="E165" s="507"/>
      <c r="F165" s="507"/>
      <c r="G165" s="507"/>
      <c r="H165" s="507"/>
      <c r="I165" s="507"/>
      <c r="J165" s="507"/>
      <c r="K165" s="507"/>
      <c r="L165" s="507"/>
      <c r="M165" s="507"/>
      <c r="N165" s="507"/>
    </row>
    <row r="166" ht="35.25" customHeight="1">
      <c r="A166" s="507"/>
      <c r="B166" s="507"/>
      <c r="C166" s="507"/>
      <c r="D166" s="508"/>
      <c r="E166" s="507"/>
      <c r="F166" s="507"/>
      <c r="G166" s="507"/>
      <c r="H166" s="507"/>
      <c r="I166" s="507"/>
      <c r="J166" s="507"/>
      <c r="K166" s="507"/>
      <c r="L166" s="507"/>
      <c r="M166" s="507"/>
      <c r="N166" s="507"/>
    </row>
    <row r="167" ht="35.25" customHeight="1">
      <c r="A167" s="507"/>
      <c r="B167" s="507"/>
      <c r="C167" s="507"/>
      <c r="D167" s="508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</row>
    <row r="168" ht="35.25" customHeight="1">
      <c r="A168" s="507"/>
      <c r="B168" s="507"/>
      <c r="C168" s="507"/>
      <c r="D168" s="508"/>
      <c r="E168" s="507"/>
      <c r="F168" s="507"/>
      <c r="G168" s="507"/>
      <c r="H168" s="507"/>
      <c r="I168" s="507"/>
      <c r="J168" s="507"/>
      <c r="K168" s="507"/>
      <c r="L168" s="507"/>
      <c r="M168" s="507"/>
      <c r="N168" s="507"/>
    </row>
    <row r="169" ht="35.25" customHeight="1">
      <c r="A169" s="507"/>
      <c r="B169" s="507"/>
      <c r="C169" s="507"/>
      <c r="D169" s="508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</row>
    <row r="170" ht="35.25" customHeight="1">
      <c r="A170" s="507"/>
      <c r="B170" s="507"/>
      <c r="C170" s="507"/>
      <c r="D170" s="508"/>
      <c r="E170" s="507"/>
      <c r="F170" s="507"/>
      <c r="G170" s="507"/>
      <c r="H170" s="507"/>
      <c r="I170" s="507"/>
      <c r="J170" s="507"/>
      <c r="K170" s="507"/>
      <c r="L170" s="507"/>
      <c r="M170" s="507"/>
      <c r="N170" s="507"/>
    </row>
    <row r="171" ht="35.25" customHeight="1">
      <c r="A171" s="507"/>
      <c r="B171" s="507"/>
      <c r="C171" s="507"/>
      <c r="D171" s="508"/>
      <c r="E171" s="507"/>
      <c r="F171" s="507"/>
      <c r="G171" s="507"/>
      <c r="H171" s="507"/>
      <c r="I171" s="507"/>
      <c r="J171" s="507"/>
      <c r="K171" s="507"/>
      <c r="L171" s="507"/>
      <c r="M171" s="507"/>
      <c r="N171" s="507"/>
    </row>
    <row r="172" ht="35.25" customHeight="1">
      <c r="A172" s="507"/>
      <c r="B172" s="507"/>
      <c r="C172" s="507"/>
      <c r="D172" s="508"/>
      <c r="E172" s="507"/>
      <c r="F172" s="507"/>
      <c r="G172" s="507"/>
      <c r="H172" s="507"/>
      <c r="I172" s="507"/>
      <c r="J172" s="507"/>
      <c r="K172" s="507"/>
      <c r="L172" s="507"/>
      <c r="M172" s="507"/>
      <c r="N172" s="507"/>
    </row>
    <row r="173" ht="35.25" customHeight="1">
      <c r="A173" s="507"/>
      <c r="B173" s="507"/>
      <c r="C173" s="507"/>
      <c r="D173" s="508"/>
      <c r="E173" s="507"/>
      <c r="F173" s="507"/>
      <c r="G173" s="507"/>
      <c r="H173" s="507"/>
      <c r="I173" s="507"/>
      <c r="J173" s="507"/>
      <c r="K173" s="507"/>
      <c r="L173" s="507"/>
      <c r="M173" s="507"/>
      <c r="N173" s="507"/>
    </row>
    <row r="174" ht="35.25" customHeight="1">
      <c r="A174" s="507"/>
      <c r="B174" s="507"/>
      <c r="C174" s="507"/>
      <c r="D174" s="508"/>
      <c r="E174" s="507"/>
      <c r="F174" s="507"/>
      <c r="G174" s="507"/>
      <c r="H174" s="507"/>
      <c r="I174" s="507"/>
      <c r="J174" s="507"/>
      <c r="K174" s="507"/>
      <c r="L174" s="507"/>
      <c r="M174" s="507"/>
      <c r="N174" s="507"/>
    </row>
    <row r="175" ht="35.25" customHeight="1">
      <c r="A175" s="507"/>
      <c r="B175" s="507"/>
      <c r="C175" s="507"/>
      <c r="D175" s="508"/>
      <c r="E175" s="507"/>
      <c r="F175" s="507"/>
      <c r="G175" s="507"/>
      <c r="H175" s="507"/>
      <c r="I175" s="507"/>
      <c r="J175" s="507"/>
      <c r="K175" s="507"/>
      <c r="L175" s="507"/>
      <c r="M175" s="507"/>
      <c r="N175" s="507"/>
    </row>
    <row r="176" ht="35.25" customHeight="1">
      <c r="A176" s="507"/>
      <c r="B176" s="507"/>
      <c r="C176" s="507"/>
      <c r="D176" s="508"/>
      <c r="E176" s="507"/>
      <c r="F176" s="507"/>
      <c r="G176" s="507"/>
      <c r="H176" s="507"/>
      <c r="I176" s="507"/>
      <c r="J176" s="507"/>
      <c r="K176" s="507"/>
      <c r="L176" s="507"/>
      <c r="M176" s="507"/>
      <c r="N176" s="507"/>
    </row>
    <row r="177" ht="35.25" customHeight="1">
      <c r="A177" s="507"/>
      <c r="B177" s="507"/>
      <c r="C177" s="507"/>
      <c r="D177" s="508"/>
      <c r="E177" s="507"/>
      <c r="F177" s="507"/>
      <c r="G177" s="507"/>
      <c r="H177" s="507"/>
      <c r="I177" s="507"/>
      <c r="J177" s="507"/>
      <c r="K177" s="507"/>
      <c r="L177" s="507"/>
      <c r="M177" s="507"/>
      <c r="N177" s="507"/>
    </row>
    <row r="178" ht="35.25" customHeight="1">
      <c r="A178" s="507"/>
      <c r="B178" s="507"/>
      <c r="C178" s="507"/>
      <c r="D178" s="508"/>
      <c r="E178" s="507"/>
      <c r="F178" s="507"/>
      <c r="G178" s="507"/>
      <c r="H178" s="507"/>
      <c r="I178" s="507"/>
      <c r="J178" s="507"/>
      <c r="K178" s="507"/>
      <c r="L178" s="507"/>
      <c r="M178" s="507"/>
      <c r="N178" s="507"/>
    </row>
    <row r="179" ht="35.25" customHeight="1">
      <c r="A179" s="507"/>
      <c r="B179" s="507"/>
      <c r="C179" s="507"/>
      <c r="D179" s="508"/>
      <c r="E179" s="507"/>
      <c r="F179" s="507"/>
      <c r="G179" s="507"/>
      <c r="H179" s="507"/>
      <c r="I179" s="507"/>
      <c r="J179" s="507"/>
      <c r="K179" s="507"/>
      <c r="L179" s="507"/>
      <c r="M179" s="507"/>
      <c r="N179" s="507"/>
    </row>
    <row r="180" ht="35.25" customHeight="1">
      <c r="A180" s="507"/>
      <c r="B180" s="507"/>
      <c r="C180" s="507"/>
      <c r="D180" s="508"/>
      <c r="E180" s="507"/>
      <c r="F180" s="507"/>
      <c r="G180" s="507"/>
      <c r="H180" s="507"/>
      <c r="I180" s="507"/>
      <c r="J180" s="507"/>
      <c r="K180" s="507"/>
      <c r="L180" s="507"/>
      <c r="M180" s="507"/>
      <c r="N180" s="507"/>
    </row>
    <row r="181" ht="35.25" customHeight="1">
      <c r="A181" s="507"/>
      <c r="B181" s="507"/>
      <c r="C181" s="507"/>
      <c r="D181" s="508"/>
      <c r="E181" s="507"/>
      <c r="F181" s="507"/>
      <c r="G181" s="507"/>
      <c r="H181" s="507"/>
      <c r="I181" s="507"/>
      <c r="J181" s="507"/>
      <c r="K181" s="507"/>
      <c r="L181" s="507"/>
      <c r="M181" s="507"/>
      <c r="N181" s="507"/>
    </row>
    <row r="182" ht="35.25" customHeight="1">
      <c r="A182" s="507"/>
      <c r="B182" s="507"/>
      <c r="C182" s="507"/>
      <c r="D182" s="508"/>
      <c r="E182" s="507"/>
      <c r="F182" s="507"/>
      <c r="G182" s="507"/>
      <c r="H182" s="507"/>
      <c r="I182" s="507"/>
      <c r="J182" s="507"/>
      <c r="K182" s="507"/>
      <c r="L182" s="507"/>
      <c r="M182" s="507"/>
      <c r="N182" s="507"/>
    </row>
    <row r="183" ht="35.25" customHeight="1">
      <c r="A183" s="507"/>
      <c r="B183" s="507"/>
      <c r="C183" s="507"/>
      <c r="D183" s="508"/>
      <c r="E183" s="507"/>
      <c r="F183" s="507"/>
      <c r="G183" s="507"/>
      <c r="H183" s="507"/>
      <c r="I183" s="507"/>
      <c r="J183" s="507"/>
      <c r="K183" s="507"/>
      <c r="L183" s="507"/>
      <c r="M183" s="507"/>
      <c r="N183" s="507"/>
    </row>
    <row r="184" ht="35.25" customHeight="1">
      <c r="A184" s="507"/>
      <c r="B184" s="507"/>
      <c r="C184" s="507"/>
      <c r="D184" s="508"/>
      <c r="E184" s="507"/>
      <c r="F184" s="507"/>
      <c r="G184" s="507"/>
      <c r="H184" s="507"/>
      <c r="I184" s="507"/>
      <c r="J184" s="507"/>
      <c r="K184" s="507"/>
      <c r="L184" s="507"/>
      <c r="M184" s="507"/>
      <c r="N184" s="507"/>
    </row>
    <row r="185" ht="35.25" customHeight="1">
      <c r="A185" s="507"/>
      <c r="B185" s="507"/>
      <c r="C185" s="507"/>
      <c r="D185" s="508"/>
      <c r="E185" s="507"/>
      <c r="F185" s="507"/>
      <c r="G185" s="507"/>
      <c r="H185" s="507"/>
      <c r="I185" s="507"/>
      <c r="J185" s="507"/>
      <c r="K185" s="507"/>
      <c r="L185" s="507"/>
      <c r="M185" s="507"/>
      <c r="N185" s="507"/>
    </row>
    <row r="186" ht="35.25" customHeight="1">
      <c r="A186" s="507"/>
      <c r="B186" s="507"/>
      <c r="C186" s="507"/>
      <c r="D186" s="508"/>
      <c r="E186" s="507"/>
      <c r="F186" s="507"/>
      <c r="G186" s="507"/>
      <c r="H186" s="507"/>
      <c r="I186" s="507"/>
      <c r="J186" s="507"/>
      <c r="K186" s="507"/>
      <c r="L186" s="507"/>
      <c r="M186" s="507"/>
      <c r="N186" s="507"/>
    </row>
    <row r="187" ht="35.25" customHeight="1">
      <c r="A187" s="507"/>
      <c r="B187" s="507"/>
      <c r="C187" s="507"/>
      <c r="D187" s="508"/>
      <c r="E187" s="507"/>
      <c r="F187" s="507"/>
      <c r="G187" s="507"/>
      <c r="H187" s="507"/>
      <c r="I187" s="507"/>
      <c r="J187" s="507"/>
      <c r="K187" s="507"/>
      <c r="L187" s="507"/>
      <c r="M187" s="507"/>
      <c r="N187" s="507"/>
    </row>
    <row r="188" ht="35.25" customHeight="1">
      <c r="A188" s="507"/>
      <c r="B188" s="507"/>
      <c r="C188" s="507"/>
      <c r="D188" s="508"/>
      <c r="E188" s="507"/>
      <c r="F188" s="507"/>
      <c r="G188" s="507"/>
      <c r="H188" s="507"/>
      <c r="I188" s="507"/>
      <c r="J188" s="507"/>
      <c r="K188" s="507"/>
      <c r="L188" s="507"/>
      <c r="M188" s="507"/>
      <c r="N188" s="507"/>
    </row>
    <row r="189" ht="35.25" customHeight="1">
      <c r="A189" s="507"/>
      <c r="B189" s="507"/>
      <c r="C189" s="507"/>
      <c r="D189" s="508"/>
      <c r="E189" s="507"/>
      <c r="F189" s="507"/>
      <c r="G189" s="507"/>
      <c r="H189" s="507"/>
      <c r="I189" s="507"/>
      <c r="J189" s="507"/>
      <c r="K189" s="507"/>
      <c r="L189" s="507"/>
      <c r="M189" s="507"/>
      <c r="N189" s="507"/>
    </row>
    <row r="190" ht="35.25" customHeight="1">
      <c r="A190" s="507"/>
      <c r="B190" s="507"/>
      <c r="C190" s="507"/>
      <c r="D190" s="508"/>
      <c r="E190" s="507"/>
      <c r="F190" s="507"/>
      <c r="G190" s="507"/>
      <c r="H190" s="507"/>
      <c r="I190" s="507"/>
      <c r="J190" s="507"/>
      <c r="K190" s="507"/>
      <c r="L190" s="507"/>
      <c r="M190" s="507"/>
      <c r="N190" s="507"/>
    </row>
    <row r="191" ht="35.25" customHeight="1">
      <c r="A191" s="507"/>
      <c r="B191" s="507"/>
      <c r="C191" s="507"/>
      <c r="D191" s="508"/>
      <c r="E191" s="507"/>
      <c r="F191" s="507"/>
      <c r="G191" s="507"/>
      <c r="H191" s="507"/>
      <c r="I191" s="507"/>
      <c r="J191" s="507"/>
      <c r="K191" s="507"/>
      <c r="L191" s="507"/>
      <c r="M191" s="507"/>
      <c r="N191" s="507"/>
    </row>
    <row r="192" ht="35.25" customHeight="1">
      <c r="A192" s="507"/>
      <c r="B192" s="507"/>
      <c r="C192" s="507"/>
      <c r="D192" s="508"/>
      <c r="E192" s="507"/>
      <c r="F192" s="507"/>
      <c r="G192" s="507"/>
      <c r="H192" s="507"/>
      <c r="I192" s="507"/>
      <c r="J192" s="507"/>
      <c r="K192" s="507"/>
      <c r="L192" s="507"/>
      <c r="M192" s="507"/>
      <c r="N192" s="507"/>
    </row>
    <row r="193" ht="35.25" customHeight="1">
      <c r="A193" s="507"/>
      <c r="B193" s="507"/>
      <c r="C193" s="507"/>
      <c r="D193" s="508"/>
      <c r="E193" s="507"/>
      <c r="F193" s="507"/>
      <c r="G193" s="507"/>
      <c r="H193" s="507"/>
      <c r="I193" s="507"/>
      <c r="J193" s="507"/>
      <c r="K193" s="507"/>
      <c r="L193" s="507"/>
      <c r="M193" s="507"/>
      <c r="N193" s="507"/>
    </row>
    <row r="194" ht="35.25" customHeight="1">
      <c r="A194" s="507"/>
      <c r="B194" s="507"/>
      <c r="C194" s="507"/>
      <c r="D194" s="508"/>
      <c r="E194" s="507"/>
      <c r="F194" s="507"/>
      <c r="G194" s="507"/>
      <c r="H194" s="507"/>
      <c r="I194" s="507"/>
      <c r="J194" s="507"/>
      <c r="K194" s="507"/>
      <c r="L194" s="507"/>
      <c r="M194" s="507"/>
      <c r="N194" s="507"/>
    </row>
    <row r="195" ht="35.25" customHeight="1">
      <c r="A195" s="507"/>
      <c r="B195" s="507"/>
      <c r="C195" s="507"/>
      <c r="D195" s="508"/>
      <c r="E195" s="507"/>
      <c r="F195" s="507"/>
      <c r="G195" s="507"/>
      <c r="H195" s="507"/>
      <c r="I195" s="507"/>
      <c r="J195" s="507"/>
      <c r="K195" s="507"/>
      <c r="L195" s="507"/>
      <c r="M195" s="507"/>
      <c r="N195" s="507"/>
    </row>
    <row r="196" ht="35.25" customHeight="1">
      <c r="A196" s="507"/>
      <c r="B196" s="507"/>
      <c r="C196" s="507"/>
      <c r="D196" s="508"/>
      <c r="E196" s="507"/>
      <c r="F196" s="507"/>
      <c r="G196" s="507"/>
      <c r="H196" s="507"/>
      <c r="I196" s="507"/>
      <c r="J196" s="507"/>
      <c r="K196" s="507"/>
      <c r="L196" s="507"/>
      <c r="M196" s="507"/>
      <c r="N196" s="507"/>
    </row>
    <row r="197" ht="35.25" customHeight="1">
      <c r="A197" s="507"/>
      <c r="B197" s="507"/>
      <c r="C197" s="507"/>
      <c r="D197" s="508"/>
      <c r="E197" s="507"/>
      <c r="F197" s="507"/>
      <c r="G197" s="507"/>
      <c r="H197" s="507"/>
      <c r="I197" s="507"/>
      <c r="J197" s="507"/>
      <c r="K197" s="507"/>
      <c r="L197" s="507"/>
      <c r="M197" s="507"/>
      <c r="N197" s="507"/>
    </row>
    <row r="198" ht="35.25" customHeight="1">
      <c r="A198" s="507"/>
      <c r="B198" s="507"/>
      <c r="C198" s="507"/>
      <c r="D198" s="508"/>
      <c r="E198" s="507"/>
      <c r="F198" s="507"/>
      <c r="G198" s="507"/>
      <c r="H198" s="507"/>
      <c r="I198" s="507"/>
      <c r="J198" s="507"/>
      <c r="K198" s="507"/>
      <c r="L198" s="507"/>
      <c r="M198" s="507"/>
      <c r="N198" s="507"/>
    </row>
    <row r="199" ht="35.25" customHeight="1">
      <c r="A199" s="507"/>
      <c r="B199" s="507"/>
      <c r="C199" s="507"/>
      <c r="D199" s="508"/>
      <c r="E199" s="507"/>
      <c r="F199" s="507"/>
      <c r="G199" s="507"/>
      <c r="H199" s="507"/>
      <c r="I199" s="507"/>
      <c r="J199" s="507"/>
      <c r="K199" s="507"/>
      <c r="L199" s="507"/>
      <c r="M199" s="507"/>
      <c r="N199" s="507"/>
    </row>
    <row r="200" ht="35.25" customHeight="1">
      <c r="A200" s="507"/>
      <c r="B200" s="507"/>
      <c r="C200" s="507"/>
      <c r="D200" s="508"/>
      <c r="E200" s="507"/>
      <c r="F200" s="507"/>
      <c r="G200" s="507"/>
      <c r="H200" s="507"/>
      <c r="I200" s="507"/>
      <c r="J200" s="507"/>
      <c r="K200" s="507"/>
      <c r="L200" s="507"/>
      <c r="M200" s="507"/>
      <c r="N200" s="507"/>
    </row>
    <row r="201" ht="35.25" customHeight="1">
      <c r="A201" s="507"/>
      <c r="B201" s="507"/>
      <c r="C201" s="507"/>
      <c r="D201" s="508"/>
      <c r="E201" s="507"/>
      <c r="F201" s="507"/>
      <c r="G201" s="507"/>
      <c r="H201" s="507"/>
      <c r="I201" s="507"/>
      <c r="J201" s="507"/>
      <c r="K201" s="507"/>
      <c r="L201" s="507"/>
      <c r="M201" s="507"/>
      <c r="N201" s="507"/>
    </row>
    <row r="202" ht="35.25" customHeight="1">
      <c r="A202" s="507"/>
      <c r="B202" s="507"/>
      <c r="C202" s="507"/>
      <c r="D202" s="508"/>
      <c r="E202" s="507"/>
      <c r="F202" s="507"/>
      <c r="G202" s="507"/>
      <c r="H202" s="507"/>
      <c r="I202" s="507"/>
      <c r="J202" s="507"/>
      <c r="K202" s="507"/>
      <c r="L202" s="507"/>
      <c r="M202" s="507"/>
      <c r="N202" s="507"/>
    </row>
    <row r="203" ht="35.25" customHeight="1">
      <c r="A203" s="507"/>
      <c r="B203" s="507"/>
      <c r="C203" s="507"/>
      <c r="D203" s="508"/>
      <c r="E203" s="507"/>
      <c r="F203" s="507"/>
      <c r="G203" s="507"/>
      <c r="H203" s="507"/>
      <c r="I203" s="507"/>
      <c r="J203" s="507"/>
      <c r="K203" s="507"/>
      <c r="L203" s="507"/>
      <c r="M203" s="507"/>
      <c r="N203" s="507"/>
    </row>
    <row r="204" ht="35.25" customHeight="1">
      <c r="A204" s="507"/>
      <c r="B204" s="507"/>
      <c r="C204" s="507"/>
      <c r="D204" s="508"/>
      <c r="E204" s="507"/>
      <c r="F204" s="507"/>
      <c r="G204" s="507"/>
      <c r="H204" s="507"/>
      <c r="I204" s="507"/>
      <c r="J204" s="507"/>
      <c r="K204" s="507"/>
      <c r="L204" s="507"/>
      <c r="M204" s="507"/>
      <c r="N204" s="507"/>
    </row>
    <row r="205" ht="35.25" customHeight="1">
      <c r="A205" s="507"/>
      <c r="B205" s="507"/>
      <c r="C205" s="507"/>
      <c r="D205" s="508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</row>
    <row r="206" ht="35.25" customHeight="1">
      <c r="A206" s="507"/>
      <c r="B206" s="507"/>
      <c r="C206" s="507"/>
      <c r="D206" s="508"/>
      <c r="E206" s="507"/>
      <c r="F206" s="507"/>
      <c r="G206" s="507"/>
      <c r="H206" s="507"/>
      <c r="I206" s="507"/>
      <c r="J206" s="507"/>
      <c r="K206" s="507"/>
      <c r="L206" s="507"/>
      <c r="M206" s="507"/>
      <c r="N206" s="507"/>
    </row>
    <row r="207" ht="35.25" customHeight="1">
      <c r="A207" s="507"/>
      <c r="B207" s="507"/>
      <c r="C207" s="507"/>
      <c r="D207" s="508"/>
      <c r="E207" s="507"/>
      <c r="F207" s="507"/>
      <c r="G207" s="507"/>
      <c r="H207" s="507"/>
      <c r="I207" s="507"/>
      <c r="J207" s="507"/>
      <c r="K207" s="507"/>
      <c r="L207" s="507"/>
      <c r="M207" s="507"/>
      <c r="N207" s="507"/>
    </row>
    <row r="208" ht="35.25" customHeight="1">
      <c r="A208" s="507"/>
      <c r="B208" s="507"/>
      <c r="C208" s="507"/>
      <c r="D208" s="508"/>
      <c r="E208" s="507"/>
      <c r="F208" s="507"/>
      <c r="G208" s="507"/>
      <c r="H208" s="507"/>
      <c r="I208" s="507"/>
      <c r="J208" s="507"/>
      <c r="K208" s="507"/>
      <c r="L208" s="507"/>
      <c r="M208" s="507"/>
      <c r="N208" s="507"/>
    </row>
    <row r="209" ht="35.25" customHeight="1">
      <c r="A209" s="507"/>
      <c r="B209" s="507"/>
      <c r="C209" s="507"/>
      <c r="D209" s="508"/>
      <c r="E209" s="507"/>
      <c r="F209" s="507"/>
      <c r="G209" s="507"/>
      <c r="H209" s="507"/>
      <c r="I209" s="507"/>
      <c r="J209" s="507"/>
      <c r="K209" s="507"/>
      <c r="L209" s="507"/>
      <c r="M209" s="507"/>
      <c r="N209" s="507"/>
    </row>
    <row r="210" ht="35.25" customHeight="1">
      <c r="A210" s="507"/>
      <c r="B210" s="507"/>
      <c r="C210" s="507"/>
      <c r="D210" s="508"/>
      <c r="E210" s="507"/>
      <c r="F210" s="507"/>
      <c r="G210" s="507"/>
      <c r="H210" s="507"/>
      <c r="I210" s="507"/>
      <c r="J210" s="507"/>
      <c r="K210" s="507"/>
      <c r="L210" s="507"/>
      <c r="M210" s="507"/>
      <c r="N210" s="507"/>
    </row>
    <row r="211" ht="35.25" customHeight="1">
      <c r="A211" s="507"/>
      <c r="B211" s="507"/>
      <c r="C211" s="507"/>
      <c r="D211" s="508"/>
      <c r="E211" s="507"/>
      <c r="F211" s="507"/>
      <c r="G211" s="507"/>
      <c r="H211" s="507"/>
      <c r="I211" s="507"/>
      <c r="J211" s="507"/>
      <c r="K211" s="507"/>
      <c r="L211" s="507"/>
      <c r="M211" s="507"/>
      <c r="N211" s="507"/>
    </row>
    <row r="212" ht="35.25" customHeight="1">
      <c r="A212" s="507"/>
      <c r="B212" s="507"/>
      <c r="C212" s="507"/>
      <c r="D212" s="508"/>
      <c r="E212" s="507"/>
      <c r="F212" s="507"/>
      <c r="G212" s="507"/>
      <c r="H212" s="507"/>
      <c r="I212" s="507"/>
      <c r="J212" s="507"/>
      <c r="K212" s="507"/>
      <c r="L212" s="507"/>
      <c r="M212" s="507"/>
      <c r="N212" s="507"/>
    </row>
    <row r="213" ht="35.25" customHeight="1">
      <c r="A213" s="507"/>
      <c r="B213" s="507"/>
      <c r="C213" s="507"/>
      <c r="D213" s="508"/>
      <c r="E213" s="507"/>
      <c r="F213" s="507"/>
      <c r="G213" s="507"/>
      <c r="H213" s="507"/>
      <c r="I213" s="507"/>
      <c r="J213" s="507"/>
      <c r="K213" s="507"/>
      <c r="L213" s="507"/>
      <c r="M213" s="507"/>
      <c r="N213" s="507"/>
    </row>
    <row r="214" ht="35.25" customHeight="1">
      <c r="A214" s="507"/>
      <c r="B214" s="507"/>
      <c r="C214" s="507"/>
      <c r="D214" s="508"/>
      <c r="E214" s="507"/>
      <c r="F214" s="507"/>
      <c r="G214" s="507"/>
      <c r="H214" s="507"/>
      <c r="I214" s="507"/>
      <c r="J214" s="507"/>
      <c r="K214" s="507"/>
      <c r="L214" s="507"/>
      <c r="M214" s="507"/>
      <c r="N214" s="507"/>
    </row>
    <row r="215" ht="35.25" customHeight="1">
      <c r="A215" s="507"/>
      <c r="B215" s="507"/>
      <c r="C215" s="507"/>
      <c r="D215" s="508"/>
      <c r="E215" s="507"/>
      <c r="F215" s="507"/>
      <c r="G215" s="507"/>
      <c r="H215" s="507"/>
      <c r="I215" s="507"/>
      <c r="J215" s="507"/>
      <c r="K215" s="507"/>
      <c r="L215" s="507"/>
      <c r="M215" s="507"/>
      <c r="N215" s="507"/>
    </row>
    <row r="216" ht="35.25" customHeight="1">
      <c r="A216" s="507"/>
      <c r="B216" s="507"/>
      <c r="C216" s="507"/>
      <c r="D216" s="508"/>
      <c r="E216" s="507"/>
      <c r="F216" s="507"/>
      <c r="G216" s="507"/>
      <c r="H216" s="507"/>
      <c r="I216" s="507"/>
      <c r="J216" s="507"/>
      <c r="K216" s="507"/>
      <c r="L216" s="507"/>
      <c r="M216" s="507"/>
      <c r="N216" s="507"/>
    </row>
    <row r="217" ht="35.25" customHeight="1">
      <c r="A217" s="507"/>
      <c r="B217" s="507"/>
      <c r="C217" s="507"/>
      <c r="D217" s="508"/>
      <c r="E217" s="507"/>
      <c r="F217" s="507"/>
      <c r="G217" s="507"/>
      <c r="H217" s="507"/>
      <c r="I217" s="507"/>
      <c r="J217" s="507"/>
      <c r="K217" s="507"/>
      <c r="L217" s="507"/>
      <c r="M217" s="507"/>
      <c r="N217" s="507"/>
    </row>
    <row r="218" ht="35.25" customHeight="1">
      <c r="A218" s="507"/>
      <c r="B218" s="507"/>
      <c r="C218" s="507"/>
      <c r="D218" s="508"/>
      <c r="E218" s="507"/>
      <c r="F218" s="507"/>
      <c r="G218" s="507"/>
      <c r="H218" s="507"/>
      <c r="I218" s="507"/>
      <c r="J218" s="507"/>
      <c r="K218" s="507"/>
      <c r="L218" s="507"/>
      <c r="M218" s="507"/>
      <c r="N218" s="507"/>
    </row>
    <row r="219" ht="35.25" customHeight="1">
      <c r="A219" s="507"/>
      <c r="B219" s="507"/>
      <c r="C219" s="507"/>
      <c r="D219" s="508"/>
      <c r="E219" s="507"/>
      <c r="F219" s="507"/>
      <c r="G219" s="507"/>
      <c r="H219" s="507"/>
      <c r="I219" s="507"/>
      <c r="J219" s="507"/>
      <c r="K219" s="507"/>
      <c r="L219" s="507"/>
      <c r="M219" s="507"/>
      <c r="N219" s="507"/>
    </row>
    <row r="220" ht="35.25" customHeight="1">
      <c r="A220" s="507"/>
      <c r="B220" s="507"/>
      <c r="C220" s="507"/>
      <c r="D220" s="508"/>
      <c r="E220" s="507"/>
      <c r="F220" s="507"/>
      <c r="G220" s="507"/>
      <c r="H220" s="507"/>
      <c r="I220" s="507"/>
      <c r="J220" s="507"/>
      <c r="K220" s="507"/>
      <c r="L220" s="507"/>
      <c r="M220" s="507"/>
      <c r="N220" s="507"/>
    </row>
    <row r="221" ht="35.25" customHeight="1">
      <c r="A221" s="507"/>
      <c r="B221" s="507"/>
      <c r="C221" s="507"/>
      <c r="D221" s="508"/>
      <c r="E221" s="507"/>
      <c r="F221" s="507"/>
      <c r="G221" s="507"/>
      <c r="H221" s="507"/>
      <c r="I221" s="507"/>
      <c r="J221" s="507"/>
      <c r="K221" s="507"/>
      <c r="L221" s="507"/>
      <c r="M221" s="507"/>
      <c r="N221" s="507"/>
    </row>
    <row r="222" ht="35.25" customHeight="1">
      <c r="A222" s="507"/>
      <c r="B222" s="507"/>
      <c r="C222" s="507"/>
      <c r="D222" s="508"/>
      <c r="E222" s="507"/>
      <c r="F222" s="507"/>
      <c r="G222" s="507"/>
      <c r="H222" s="507"/>
      <c r="I222" s="507"/>
      <c r="J222" s="507"/>
      <c r="K222" s="507"/>
      <c r="L222" s="507"/>
      <c r="M222" s="507"/>
      <c r="N222" s="507"/>
    </row>
    <row r="223" ht="35.25" customHeight="1">
      <c r="A223" s="507"/>
      <c r="B223" s="507"/>
      <c r="C223" s="507"/>
      <c r="D223" s="508"/>
      <c r="E223" s="507"/>
      <c r="F223" s="507"/>
      <c r="G223" s="507"/>
      <c r="H223" s="507"/>
      <c r="I223" s="507"/>
      <c r="J223" s="507"/>
      <c r="K223" s="507"/>
      <c r="L223" s="507"/>
      <c r="M223" s="507"/>
      <c r="N223" s="507"/>
    </row>
    <row r="224" ht="35.25" customHeight="1">
      <c r="A224" s="507"/>
      <c r="B224" s="507"/>
      <c r="C224" s="507"/>
      <c r="D224" s="508"/>
      <c r="E224" s="507"/>
      <c r="F224" s="507"/>
      <c r="G224" s="507"/>
      <c r="H224" s="507"/>
      <c r="I224" s="507"/>
      <c r="J224" s="507"/>
      <c r="K224" s="507"/>
      <c r="L224" s="507"/>
      <c r="M224" s="507"/>
      <c r="N224" s="507"/>
    </row>
    <row r="225" ht="35.25" customHeight="1">
      <c r="A225" s="507"/>
      <c r="B225" s="507"/>
      <c r="C225" s="507"/>
      <c r="D225" s="508"/>
      <c r="E225" s="507"/>
      <c r="F225" s="507"/>
      <c r="G225" s="507"/>
      <c r="H225" s="507"/>
      <c r="I225" s="507"/>
      <c r="J225" s="507"/>
      <c r="K225" s="507"/>
      <c r="L225" s="507"/>
      <c r="M225" s="507"/>
      <c r="N225" s="507"/>
    </row>
    <row r="226" ht="35.25" customHeight="1">
      <c r="A226" s="507"/>
      <c r="B226" s="507"/>
      <c r="C226" s="507"/>
      <c r="D226" s="508"/>
      <c r="E226" s="507"/>
      <c r="F226" s="507"/>
      <c r="G226" s="507"/>
      <c r="H226" s="507"/>
      <c r="I226" s="507"/>
      <c r="J226" s="507"/>
      <c r="K226" s="507"/>
      <c r="L226" s="507"/>
      <c r="M226" s="507"/>
      <c r="N226" s="507"/>
    </row>
    <row r="227" ht="35.25" customHeight="1">
      <c r="A227" s="507"/>
      <c r="B227" s="507"/>
      <c r="C227" s="507"/>
      <c r="D227" s="508"/>
      <c r="E227" s="507"/>
      <c r="F227" s="507"/>
      <c r="G227" s="507"/>
      <c r="H227" s="507"/>
      <c r="I227" s="507"/>
      <c r="J227" s="507"/>
      <c r="K227" s="507"/>
      <c r="L227" s="507"/>
      <c r="M227" s="507"/>
      <c r="N227" s="507"/>
    </row>
    <row r="228" ht="35.25" customHeight="1">
      <c r="A228" s="507"/>
      <c r="B228" s="507"/>
      <c r="C228" s="507"/>
      <c r="D228" s="508"/>
      <c r="E228" s="507"/>
      <c r="F228" s="507"/>
      <c r="G228" s="507"/>
      <c r="H228" s="507"/>
      <c r="I228" s="507"/>
      <c r="J228" s="507"/>
      <c r="K228" s="507"/>
      <c r="L228" s="507"/>
      <c r="M228" s="507"/>
      <c r="N228" s="507"/>
    </row>
    <row r="229" ht="35.25" customHeight="1">
      <c r="A229" s="507"/>
      <c r="B229" s="507"/>
      <c r="C229" s="507"/>
      <c r="D229" s="508"/>
      <c r="E229" s="507"/>
      <c r="F229" s="507"/>
      <c r="G229" s="507"/>
      <c r="H229" s="507"/>
      <c r="I229" s="507"/>
      <c r="J229" s="507"/>
      <c r="K229" s="507"/>
      <c r="L229" s="507"/>
      <c r="M229" s="507"/>
      <c r="N229" s="507"/>
    </row>
    <row r="230" ht="35.25" customHeight="1">
      <c r="A230" s="507"/>
      <c r="B230" s="507"/>
      <c r="C230" s="507"/>
      <c r="D230" s="508"/>
      <c r="E230" s="507"/>
      <c r="F230" s="507"/>
      <c r="G230" s="507"/>
      <c r="H230" s="507"/>
      <c r="I230" s="507"/>
      <c r="J230" s="507"/>
      <c r="K230" s="507"/>
      <c r="L230" s="507"/>
      <c r="M230" s="507"/>
      <c r="N230" s="507"/>
    </row>
    <row r="231" ht="35.25" customHeight="1">
      <c r="A231" s="507"/>
      <c r="B231" s="507"/>
      <c r="C231" s="507"/>
      <c r="D231" s="508"/>
      <c r="E231" s="507"/>
      <c r="F231" s="507"/>
      <c r="G231" s="507"/>
      <c r="H231" s="507"/>
      <c r="I231" s="507"/>
      <c r="J231" s="507"/>
      <c r="K231" s="507"/>
      <c r="L231" s="507"/>
      <c r="M231" s="507"/>
      <c r="N231" s="507"/>
    </row>
    <row r="232" ht="35.25" customHeight="1">
      <c r="A232" s="507"/>
      <c r="B232" s="507"/>
      <c r="C232" s="507"/>
      <c r="D232" s="508"/>
      <c r="E232" s="507"/>
      <c r="F232" s="507"/>
      <c r="G232" s="507"/>
      <c r="H232" s="507"/>
      <c r="I232" s="507"/>
      <c r="J232" s="507"/>
      <c r="K232" s="507"/>
      <c r="L232" s="507"/>
      <c r="M232" s="507"/>
      <c r="N232" s="507"/>
    </row>
    <row r="233" ht="35.25" customHeight="1">
      <c r="A233" s="507"/>
      <c r="B233" s="507"/>
      <c r="C233" s="507"/>
      <c r="D233" s="508"/>
      <c r="E233" s="507"/>
      <c r="F233" s="507"/>
      <c r="G233" s="507"/>
      <c r="H233" s="507"/>
      <c r="I233" s="507"/>
      <c r="J233" s="507"/>
      <c r="K233" s="507"/>
      <c r="L233" s="507"/>
      <c r="M233" s="507"/>
      <c r="N233" s="507"/>
    </row>
    <row r="234" ht="35.25" customHeight="1">
      <c r="A234" s="507"/>
      <c r="B234" s="507"/>
      <c r="C234" s="507"/>
      <c r="D234" s="508"/>
      <c r="E234" s="507"/>
      <c r="F234" s="507"/>
      <c r="G234" s="507"/>
      <c r="H234" s="507"/>
      <c r="I234" s="507"/>
      <c r="J234" s="507"/>
      <c r="K234" s="507"/>
      <c r="L234" s="507"/>
      <c r="M234" s="507"/>
      <c r="N234" s="507"/>
    </row>
    <row r="235" ht="35.25" customHeight="1">
      <c r="A235" s="507"/>
      <c r="B235" s="507"/>
      <c r="C235" s="507"/>
      <c r="D235" s="508"/>
      <c r="E235" s="507"/>
      <c r="F235" s="507"/>
      <c r="G235" s="507"/>
      <c r="H235" s="507"/>
      <c r="I235" s="507"/>
      <c r="J235" s="507"/>
      <c r="K235" s="507"/>
      <c r="L235" s="507"/>
      <c r="M235" s="507"/>
      <c r="N235" s="507"/>
    </row>
    <row r="236" ht="35.25" customHeight="1">
      <c r="A236" s="507"/>
      <c r="B236" s="507"/>
      <c r="C236" s="507"/>
      <c r="D236" s="508"/>
      <c r="E236" s="507"/>
      <c r="F236" s="507"/>
      <c r="G236" s="507"/>
      <c r="H236" s="507"/>
      <c r="I236" s="507"/>
      <c r="J236" s="507"/>
      <c r="K236" s="507"/>
      <c r="L236" s="507"/>
      <c r="M236" s="507"/>
      <c r="N236" s="507"/>
    </row>
    <row r="237" ht="35.25" customHeight="1">
      <c r="A237" s="507"/>
      <c r="B237" s="507"/>
      <c r="C237" s="507"/>
      <c r="D237" s="508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</row>
    <row r="238" ht="35.25" customHeight="1">
      <c r="A238" s="507"/>
      <c r="B238" s="507"/>
      <c r="C238" s="507"/>
      <c r="D238" s="508"/>
      <c r="E238" s="507"/>
      <c r="F238" s="507"/>
      <c r="G238" s="507"/>
      <c r="H238" s="507"/>
      <c r="I238" s="507"/>
      <c r="J238" s="507"/>
      <c r="K238" s="507"/>
      <c r="L238" s="507"/>
      <c r="M238" s="507"/>
      <c r="N238" s="507"/>
    </row>
    <row r="239" ht="35.25" customHeight="1">
      <c r="A239" s="507"/>
      <c r="B239" s="507"/>
      <c r="C239" s="507"/>
      <c r="D239" s="508"/>
      <c r="E239" s="507"/>
      <c r="F239" s="507"/>
      <c r="G239" s="507"/>
      <c r="H239" s="507"/>
      <c r="I239" s="507"/>
      <c r="J239" s="507"/>
      <c r="K239" s="507"/>
      <c r="L239" s="507"/>
      <c r="M239" s="507"/>
      <c r="N239" s="507"/>
    </row>
    <row r="240" ht="35.25" customHeight="1">
      <c r="A240" s="507"/>
      <c r="B240" s="507"/>
      <c r="C240" s="507"/>
      <c r="D240" s="508"/>
      <c r="E240" s="507"/>
      <c r="F240" s="507"/>
      <c r="G240" s="507"/>
      <c r="H240" s="507"/>
      <c r="I240" s="507"/>
      <c r="J240" s="507"/>
      <c r="K240" s="507"/>
      <c r="L240" s="507"/>
      <c r="M240" s="507"/>
      <c r="N240" s="507"/>
    </row>
    <row r="241" ht="35.25" customHeight="1">
      <c r="A241" s="507"/>
      <c r="B241" s="507"/>
      <c r="C241" s="507"/>
      <c r="D241" s="508"/>
      <c r="E241" s="507"/>
      <c r="F241" s="507"/>
      <c r="G241" s="507"/>
      <c r="H241" s="507"/>
      <c r="I241" s="507"/>
      <c r="J241" s="507"/>
      <c r="K241" s="507"/>
      <c r="L241" s="507"/>
      <c r="M241" s="507"/>
      <c r="N241" s="507"/>
    </row>
    <row r="242" ht="35.25" customHeight="1">
      <c r="A242" s="507"/>
      <c r="B242" s="507"/>
      <c r="C242" s="507"/>
      <c r="D242" s="508"/>
      <c r="E242" s="507"/>
      <c r="F242" s="507"/>
      <c r="G242" s="507"/>
      <c r="H242" s="507"/>
      <c r="I242" s="507"/>
      <c r="J242" s="507"/>
      <c r="K242" s="507"/>
      <c r="L242" s="507"/>
      <c r="M242" s="507"/>
      <c r="N242" s="507"/>
    </row>
    <row r="243" ht="35.25" customHeight="1">
      <c r="A243" s="507"/>
      <c r="B243" s="507"/>
      <c r="C243" s="507"/>
      <c r="D243" s="508"/>
      <c r="E243" s="507"/>
      <c r="F243" s="507"/>
      <c r="G243" s="507"/>
      <c r="H243" s="507"/>
      <c r="I243" s="507"/>
      <c r="J243" s="507"/>
      <c r="K243" s="507"/>
      <c r="L243" s="507"/>
      <c r="M243" s="507"/>
      <c r="N243" s="507"/>
    </row>
    <row r="244" ht="35.25" customHeight="1">
      <c r="A244" s="507"/>
      <c r="B244" s="507"/>
      <c r="C244" s="507"/>
      <c r="D244" s="508"/>
      <c r="E244" s="507"/>
      <c r="F244" s="507"/>
      <c r="G244" s="507"/>
      <c r="H244" s="507"/>
      <c r="I244" s="507"/>
      <c r="J244" s="507"/>
      <c r="K244" s="507"/>
      <c r="L244" s="507"/>
      <c r="M244" s="507"/>
      <c r="N244" s="507"/>
    </row>
    <row r="245" ht="35.25" customHeight="1">
      <c r="A245" s="507"/>
      <c r="B245" s="507"/>
      <c r="C245" s="507"/>
      <c r="D245" s="508"/>
      <c r="E245" s="507"/>
      <c r="F245" s="507"/>
      <c r="G245" s="507"/>
      <c r="H245" s="507"/>
      <c r="I245" s="507"/>
      <c r="J245" s="507"/>
      <c r="K245" s="507"/>
      <c r="L245" s="507"/>
      <c r="M245" s="507"/>
      <c r="N245" s="507"/>
    </row>
    <row r="246" ht="35.25" customHeight="1">
      <c r="A246" s="507"/>
      <c r="B246" s="507"/>
      <c r="C246" s="507"/>
      <c r="D246" s="508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</row>
    <row r="247" ht="35.25" customHeight="1">
      <c r="A247" s="507"/>
      <c r="B247" s="507"/>
      <c r="C247" s="507"/>
      <c r="D247" s="508"/>
      <c r="E247" s="507"/>
      <c r="F247" s="507"/>
      <c r="G247" s="507"/>
      <c r="H247" s="507"/>
      <c r="I247" s="507"/>
      <c r="J247" s="507"/>
      <c r="K247" s="507"/>
      <c r="L247" s="507"/>
      <c r="M247" s="507"/>
      <c r="N247" s="507"/>
    </row>
    <row r="248" ht="35.25" customHeight="1">
      <c r="A248" s="507"/>
      <c r="B248" s="507"/>
      <c r="C248" s="507"/>
      <c r="D248" s="508"/>
      <c r="E248" s="507"/>
      <c r="F248" s="507"/>
      <c r="G248" s="507"/>
      <c r="H248" s="507"/>
      <c r="I248" s="507"/>
      <c r="J248" s="507"/>
      <c r="K248" s="507"/>
      <c r="L248" s="507"/>
      <c r="M248" s="507"/>
      <c r="N248" s="507"/>
    </row>
    <row r="249" ht="35.25" customHeight="1">
      <c r="A249" s="507"/>
      <c r="B249" s="507"/>
      <c r="C249" s="507"/>
      <c r="D249" s="508"/>
      <c r="E249" s="507"/>
      <c r="F249" s="507"/>
      <c r="G249" s="507"/>
      <c r="H249" s="507"/>
      <c r="I249" s="507"/>
      <c r="J249" s="507"/>
      <c r="K249" s="507"/>
      <c r="L249" s="507"/>
      <c r="M249" s="507"/>
      <c r="N249" s="507"/>
    </row>
    <row r="250" ht="35.25" customHeight="1">
      <c r="A250" s="507"/>
      <c r="B250" s="507"/>
      <c r="C250" s="507"/>
      <c r="D250" s="508"/>
      <c r="E250" s="507"/>
      <c r="F250" s="507"/>
      <c r="G250" s="507"/>
      <c r="H250" s="507"/>
      <c r="I250" s="507"/>
      <c r="J250" s="507"/>
      <c r="K250" s="507"/>
      <c r="L250" s="507"/>
      <c r="M250" s="507"/>
      <c r="N250" s="507"/>
    </row>
    <row r="251" ht="35.25" customHeight="1">
      <c r="A251" s="507"/>
      <c r="B251" s="507"/>
      <c r="C251" s="507"/>
      <c r="D251" s="508"/>
      <c r="E251" s="507"/>
      <c r="F251" s="507"/>
      <c r="G251" s="507"/>
      <c r="H251" s="507"/>
      <c r="I251" s="507"/>
      <c r="J251" s="507"/>
      <c r="K251" s="507"/>
      <c r="L251" s="507"/>
      <c r="M251" s="507"/>
      <c r="N251" s="507"/>
    </row>
    <row r="252" ht="35.25" customHeight="1">
      <c r="A252" s="507"/>
      <c r="B252" s="507"/>
      <c r="C252" s="507"/>
      <c r="D252" s="508"/>
      <c r="E252" s="507"/>
      <c r="F252" s="507"/>
      <c r="G252" s="507"/>
      <c r="H252" s="507"/>
      <c r="I252" s="507"/>
      <c r="J252" s="507"/>
      <c r="K252" s="507"/>
      <c r="L252" s="507"/>
      <c r="M252" s="507"/>
      <c r="N252" s="507"/>
    </row>
    <row r="253" ht="35.25" customHeight="1">
      <c r="A253" s="507"/>
      <c r="B253" s="507"/>
      <c r="C253" s="507"/>
      <c r="D253" s="508"/>
      <c r="E253" s="507"/>
      <c r="F253" s="507"/>
      <c r="G253" s="507"/>
      <c r="H253" s="507"/>
      <c r="I253" s="507"/>
      <c r="J253" s="507"/>
      <c r="K253" s="507"/>
      <c r="L253" s="507"/>
      <c r="M253" s="507"/>
      <c r="N253" s="507"/>
    </row>
    <row r="254" ht="35.25" customHeight="1">
      <c r="A254" s="507"/>
      <c r="B254" s="507"/>
      <c r="C254" s="507"/>
      <c r="D254" s="508"/>
      <c r="E254" s="507"/>
      <c r="F254" s="507"/>
      <c r="G254" s="507"/>
      <c r="H254" s="507"/>
      <c r="I254" s="507"/>
      <c r="J254" s="507"/>
      <c r="K254" s="507"/>
      <c r="L254" s="507"/>
      <c r="M254" s="507"/>
      <c r="N254" s="507"/>
    </row>
    <row r="255" ht="35.25" customHeight="1">
      <c r="A255" s="507"/>
      <c r="B255" s="507"/>
      <c r="C255" s="507"/>
      <c r="D255" s="508"/>
      <c r="E255" s="507"/>
      <c r="F255" s="507"/>
      <c r="G255" s="507"/>
      <c r="H255" s="507"/>
      <c r="I255" s="507"/>
      <c r="J255" s="507"/>
      <c r="K255" s="507"/>
      <c r="L255" s="507"/>
      <c r="M255" s="507"/>
      <c r="N255" s="507"/>
    </row>
    <row r="256" ht="35.25" customHeight="1">
      <c r="A256" s="507"/>
      <c r="B256" s="507"/>
      <c r="C256" s="507"/>
      <c r="D256" s="508"/>
      <c r="E256" s="507"/>
      <c r="F256" s="507"/>
      <c r="G256" s="507"/>
      <c r="H256" s="507"/>
      <c r="I256" s="507"/>
      <c r="J256" s="507"/>
      <c r="K256" s="507"/>
      <c r="L256" s="507"/>
      <c r="M256" s="507"/>
      <c r="N256" s="507"/>
    </row>
    <row r="257" ht="35.25" customHeight="1">
      <c r="A257" s="507"/>
      <c r="B257" s="507"/>
      <c r="C257" s="507"/>
      <c r="D257" s="508"/>
      <c r="E257" s="507"/>
      <c r="F257" s="507"/>
      <c r="G257" s="507"/>
      <c r="H257" s="507"/>
      <c r="I257" s="507"/>
      <c r="J257" s="507"/>
      <c r="K257" s="507"/>
      <c r="L257" s="507"/>
      <c r="M257" s="507"/>
      <c r="N257" s="507"/>
    </row>
    <row r="258" ht="35.25" customHeight="1">
      <c r="A258" s="507"/>
      <c r="B258" s="507"/>
      <c r="C258" s="507"/>
      <c r="D258" s="508"/>
      <c r="E258" s="507"/>
      <c r="F258" s="507"/>
      <c r="G258" s="507"/>
      <c r="H258" s="507"/>
      <c r="I258" s="507"/>
      <c r="J258" s="507"/>
      <c r="K258" s="507"/>
      <c r="L258" s="507"/>
      <c r="M258" s="507"/>
      <c r="N258" s="507"/>
    </row>
    <row r="259" ht="35.25" customHeight="1">
      <c r="A259" s="507"/>
      <c r="B259" s="507"/>
      <c r="C259" s="507"/>
      <c r="D259" s="508"/>
      <c r="E259" s="507"/>
      <c r="F259" s="507"/>
      <c r="G259" s="507"/>
      <c r="H259" s="507"/>
      <c r="I259" s="507"/>
      <c r="J259" s="507"/>
      <c r="K259" s="507"/>
      <c r="L259" s="507"/>
      <c r="M259" s="507"/>
      <c r="N259" s="507"/>
    </row>
    <row r="260" ht="35.25" customHeight="1">
      <c r="A260" s="507"/>
      <c r="B260" s="507"/>
      <c r="C260" s="507"/>
      <c r="D260" s="508"/>
      <c r="E260" s="507"/>
      <c r="F260" s="507"/>
      <c r="G260" s="507"/>
      <c r="H260" s="507"/>
      <c r="I260" s="507"/>
      <c r="J260" s="507"/>
      <c r="K260" s="507"/>
      <c r="L260" s="507"/>
      <c r="M260" s="507"/>
      <c r="N260" s="507"/>
    </row>
    <row r="261" ht="35.25" customHeight="1">
      <c r="A261" s="507"/>
      <c r="B261" s="507"/>
      <c r="C261" s="507"/>
      <c r="D261" s="508"/>
      <c r="E261" s="507"/>
      <c r="F261" s="507"/>
      <c r="G261" s="507"/>
      <c r="H261" s="507"/>
      <c r="I261" s="507"/>
      <c r="J261" s="507"/>
      <c r="K261" s="507"/>
      <c r="L261" s="507"/>
      <c r="M261" s="507"/>
      <c r="N261" s="507"/>
    </row>
    <row r="262" ht="35.25" customHeight="1">
      <c r="A262" s="507"/>
      <c r="B262" s="507"/>
      <c r="C262" s="507"/>
      <c r="D262" s="508"/>
      <c r="E262" s="507"/>
      <c r="F262" s="507"/>
      <c r="G262" s="507"/>
      <c r="H262" s="507"/>
      <c r="I262" s="507"/>
      <c r="J262" s="507"/>
      <c r="K262" s="507"/>
      <c r="L262" s="507"/>
      <c r="M262" s="507"/>
      <c r="N262" s="507"/>
    </row>
    <row r="263" ht="35.25" customHeight="1">
      <c r="A263" s="507"/>
      <c r="B263" s="507"/>
      <c r="C263" s="507"/>
      <c r="D263" s="508"/>
      <c r="E263" s="507"/>
      <c r="F263" s="507"/>
      <c r="G263" s="507"/>
      <c r="H263" s="507"/>
      <c r="I263" s="507"/>
      <c r="J263" s="507"/>
      <c r="K263" s="507"/>
      <c r="L263" s="507"/>
      <c r="M263" s="507"/>
      <c r="N263" s="507"/>
    </row>
    <row r="264" ht="35.25" customHeight="1">
      <c r="A264" s="507"/>
      <c r="B264" s="507"/>
      <c r="C264" s="507"/>
      <c r="D264" s="508"/>
      <c r="E264" s="507"/>
      <c r="F264" s="507"/>
      <c r="G264" s="507"/>
      <c r="H264" s="507"/>
      <c r="I264" s="507"/>
      <c r="J264" s="507"/>
      <c r="K264" s="507"/>
      <c r="L264" s="507"/>
      <c r="M264" s="507"/>
      <c r="N264" s="507"/>
    </row>
    <row r="265" ht="35.25" customHeight="1">
      <c r="A265" s="507"/>
      <c r="B265" s="507"/>
      <c r="C265" s="507"/>
      <c r="D265" s="508"/>
      <c r="E265" s="507"/>
      <c r="F265" s="507"/>
      <c r="G265" s="507"/>
      <c r="H265" s="507"/>
      <c r="I265" s="507"/>
      <c r="J265" s="507"/>
      <c r="K265" s="507"/>
      <c r="L265" s="507"/>
      <c r="M265" s="507"/>
      <c r="N265" s="507"/>
    </row>
    <row r="266" ht="35.25" customHeight="1">
      <c r="A266" s="507"/>
      <c r="B266" s="507"/>
      <c r="C266" s="507"/>
      <c r="D266" s="508"/>
      <c r="E266" s="507"/>
      <c r="F266" s="507"/>
      <c r="G266" s="507"/>
      <c r="H266" s="507"/>
      <c r="I266" s="507"/>
      <c r="J266" s="507"/>
      <c r="K266" s="507"/>
      <c r="L266" s="507"/>
      <c r="M266" s="507"/>
      <c r="N266" s="507"/>
    </row>
    <row r="267" ht="35.25" customHeight="1">
      <c r="A267" s="507"/>
      <c r="B267" s="507"/>
      <c r="C267" s="507"/>
      <c r="D267" s="508"/>
      <c r="E267" s="507"/>
      <c r="F267" s="507"/>
      <c r="G267" s="507"/>
      <c r="H267" s="507"/>
      <c r="I267" s="507"/>
      <c r="J267" s="507"/>
      <c r="K267" s="507"/>
      <c r="L267" s="507"/>
      <c r="M267" s="507"/>
      <c r="N267" s="507"/>
    </row>
    <row r="268" ht="35.25" customHeight="1">
      <c r="A268" s="507"/>
      <c r="B268" s="507"/>
      <c r="C268" s="507"/>
      <c r="D268" s="508"/>
      <c r="E268" s="507"/>
      <c r="F268" s="507"/>
      <c r="G268" s="507"/>
      <c r="H268" s="507"/>
      <c r="I268" s="507"/>
      <c r="J268" s="507"/>
      <c r="K268" s="507"/>
      <c r="L268" s="507"/>
      <c r="M268" s="507"/>
      <c r="N268" s="507"/>
    </row>
    <row r="269" ht="35.25" customHeight="1">
      <c r="A269" s="507"/>
      <c r="B269" s="507"/>
      <c r="C269" s="507"/>
      <c r="D269" s="508"/>
      <c r="E269" s="507"/>
      <c r="F269" s="507"/>
      <c r="G269" s="507"/>
      <c r="H269" s="507"/>
      <c r="I269" s="507"/>
      <c r="J269" s="507"/>
      <c r="K269" s="507"/>
      <c r="L269" s="507"/>
      <c r="M269" s="507"/>
      <c r="N269" s="507"/>
    </row>
    <row r="270" ht="35.25" customHeight="1">
      <c r="A270" s="507"/>
      <c r="B270" s="507"/>
      <c r="C270" s="507"/>
      <c r="D270" s="508"/>
      <c r="E270" s="507"/>
      <c r="F270" s="507"/>
      <c r="G270" s="507"/>
      <c r="H270" s="507"/>
      <c r="I270" s="507"/>
      <c r="J270" s="507"/>
      <c r="K270" s="507"/>
      <c r="L270" s="507"/>
      <c r="M270" s="507"/>
      <c r="N270" s="507"/>
    </row>
    <row r="271" ht="35.25" customHeight="1">
      <c r="A271" s="507"/>
      <c r="B271" s="507"/>
      <c r="C271" s="507"/>
      <c r="D271" s="508"/>
      <c r="E271" s="507"/>
      <c r="F271" s="507"/>
      <c r="G271" s="507"/>
      <c r="H271" s="507"/>
      <c r="I271" s="507"/>
      <c r="J271" s="507"/>
      <c r="K271" s="507"/>
      <c r="L271" s="507"/>
      <c r="M271" s="507"/>
      <c r="N271" s="507"/>
    </row>
    <row r="272" ht="35.25" customHeight="1">
      <c r="A272" s="507"/>
      <c r="B272" s="507"/>
      <c r="C272" s="507"/>
      <c r="D272" s="508"/>
      <c r="E272" s="507"/>
      <c r="F272" s="507"/>
      <c r="G272" s="507"/>
      <c r="H272" s="507"/>
      <c r="I272" s="507"/>
      <c r="J272" s="507"/>
      <c r="K272" s="507"/>
      <c r="L272" s="507"/>
      <c r="M272" s="507"/>
      <c r="N272" s="507"/>
    </row>
    <row r="273" ht="35.25" customHeight="1">
      <c r="A273" s="507"/>
      <c r="B273" s="507"/>
      <c r="C273" s="507"/>
      <c r="D273" s="508"/>
      <c r="E273" s="507"/>
      <c r="F273" s="507"/>
      <c r="G273" s="507"/>
      <c r="H273" s="507"/>
      <c r="I273" s="507"/>
      <c r="J273" s="507"/>
      <c r="K273" s="507"/>
      <c r="L273" s="507"/>
      <c r="M273" s="507"/>
      <c r="N273" s="507"/>
    </row>
    <row r="274" ht="35.25" customHeight="1">
      <c r="A274" s="507"/>
      <c r="B274" s="507"/>
      <c r="C274" s="507"/>
      <c r="D274" s="508"/>
      <c r="E274" s="507"/>
      <c r="F274" s="507"/>
      <c r="G274" s="507"/>
      <c r="H274" s="507"/>
      <c r="I274" s="507"/>
      <c r="J274" s="507"/>
      <c r="K274" s="507"/>
      <c r="L274" s="507"/>
      <c r="M274" s="507"/>
      <c r="N274" s="507"/>
    </row>
    <row r="275" ht="35.25" customHeight="1">
      <c r="A275" s="507"/>
      <c r="B275" s="507"/>
      <c r="C275" s="507"/>
      <c r="D275" s="508"/>
      <c r="E275" s="507"/>
      <c r="F275" s="507"/>
      <c r="G275" s="507"/>
      <c r="H275" s="507"/>
      <c r="I275" s="507"/>
      <c r="J275" s="507"/>
      <c r="K275" s="507"/>
      <c r="L275" s="507"/>
      <c r="M275" s="507"/>
      <c r="N275" s="507"/>
    </row>
    <row r="276" ht="35.25" customHeight="1">
      <c r="A276" s="507"/>
      <c r="B276" s="507"/>
      <c r="C276" s="507"/>
      <c r="D276" s="508"/>
      <c r="E276" s="507"/>
      <c r="F276" s="507"/>
      <c r="G276" s="507"/>
      <c r="H276" s="507"/>
      <c r="I276" s="507"/>
      <c r="J276" s="507"/>
      <c r="K276" s="507"/>
      <c r="L276" s="507"/>
      <c r="M276" s="507"/>
      <c r="N276" s="507"/>
    </row>
    <row r="277" ht="35.25" customHeight="1">
      <c r="A277" s="507"/>
      <c r="B277" s="507"/>
      <c r="C277" s="507"/>
      <c r="D277" s="508"/>
      <c r="E277" s="507"/>
      <c r="F277" s="507"/>
      <c r="G277" s="507"/>
      <c r="H277" s="507"/>
      <c r="I277" s="507"/>
      <c r="J277" s="507"/>
      <c r="K277" s="507"/>
      <c r="L277" s="507"/>
      <c r="M277" s="507"/>
      <c r="N277" s="507"/>
    </row>
    <row r="278" ht="35.25" customHeight="1">
      <c r="A278" s="507"/>
      <c r="B278" s="507"/>
      <c r="C278" s="507"/>
      <c r="D278" s="508"/>
      <c r="E278" s="507"/>
      <c r="F278" s="507"/>
      <c r="G278" s="507"/>
      <c r="H278" s="507"/>
      <c r="I278" s="507"/>
      <c r="J278" s="507"/>
      <c r="K278" s="507"/>
      <c r="L278" s="507"/>
      <c r="M278" s="507"/>
      <c r="N278" s="507"/>
    </row>
    <row r="279" ht="35.25" customHeight="1">
      <c r="A279" s="507"/>
      <c r="B279" s="507"/>
      <c r="C279" s="507"/>
      <c r="D279" s="508"/>
      <c r="E279" s="507"/>
      <c r="F279" s="507"/>
      <c r="G279" s="507"/>
      <c r="H279" s="507"/>
      <c r="I279" s="507"/>
      <c r="J279" s="507"/>
      <c r="K279" s="507"/>
      <c r="L279" s="507"/>
      <c r="M279" s="507"/>
      <c r="N279" s="507"/>
    </row>
    <row r="280" ht="35.25" customHeight="1">
      <c r="A280" s="507"/>
      <c r="B280" s="507"/>
      <c r="C280" s="507"/>
      <c r="D280" s="508"/>
      <c r="E280" s="507"/>
      <c r="F280" s="507"/>
      <c r="G280" s="507"/>
      <c r="H280" s="507"/>
      <c r="I280" s="507"/>
      <c r="J280" s="507"/>
      <c r="K280" s="507"/>
      <c r="L280" s="507"/>
      <c r="M280" s="507"/>
      <c r="N280" s="507"/>
    </row>
    <row r="281" ht="35.25" customHeight="1">
      <c r="A281" s="507"/>
      <c r="B281" s="507"/>
      <c r="C281" s="507"/>
      <c r="D281" s="508"/>
      <c r="E281" s="507"/>
      <c r="F281" s="507"/>
      <c r="G281" s="507"/>
      <c r="H281" s="507"/>
      <c r="I281" s="507"/>
      <c r="J281" s="507"/>
      <c r="K281" s="507"/>
      <c r="L281" s="507"/>
      <c r="M281" s="507"/>
      <c r="N281" s="507"/>
    </row>
    <row r="282" ht="35.25" customHeight="1">
      <c r="A282" s="507"/>
      <c r="B282" s="507"/>
      <c r="C282" s="507"/>
      <c r="D282" s="508"/>
      <c r="E282" s="507"/>
      <c r="F282" s="507"/>
      <c r="G282" s="507"/>
      <c r="H282" s="507"/>
      <c r="I282" s="507"/>
      <c r="J282" s="507"/>
      <c r="K282" s="507"/>
      <c r="L282" s="507"/>
      <c r="M282" s="507"/>
      <c r="N282" s="507"/>
    </row>
    <row r="283" ht="35.25" customHeight="1">
      <c r="A283" s="507"/>
      <c r="B283" s="507"/>
      <c r="C283" s="507"/>
      <c r="D283" s="508"/>
      <c r="E283" s="507"/>
      <c r="F283" s="507"/>
      <c r="G283" s="507"/>
      <c r="H283" s="507"/>
      <c r="I283" s="507"/>
      <c r="J283" s="507"/>
      <c r="K283" s="507"/>
      <c r="L283" s="507"/>
      <c r="M283" s="507"/>
      <c r="N283" s="507"/>
    </row>
    <row r="284" ht="35.25" customHeight="1">
      <c r="A284" s="507"/>
      <c r="B284" s="507"/>
      <c r="C284" s="507"/>
      <c r="D284" s="508"/>
      <c r="E284" s="507"/>
      <c r="F284" s="507"/>
      <c r="G284" s="507"/>
      <c r="H284" s="507"/>
      <c r="I284" s="507"/>
      <c r="J284" s="507"/>
      <c r="K284" s="507"/>
      <c r="L284" s="507"/>
      <c r="M284" s="507"/>
      <c r="N284" s="507"/>
    </row>
    <row r="285" ht="35.25" customHeight="1">
      <c r="A285" s="507"/>
      <c r="B285" s="507"/>
      <c r="C285" s="507"/>
      <c r="D285" s="508"/>
      <c r="E285" s="507"/>
      <c r="F285" s="507"/>
      <c r="G285" s="507"/>
      <c r="H285" s="507"/>
      <c r="I285" s="507"/>
      <c r="J285" s="507"/>
      <c r="K285" s="507"/>
      <c r="L285" s="507"/>
      <c r="M285" s="507"/>
      <c r="N285" s="507"/>
    </row>
    <row r="286" ht="35.25" customHeight="1">
      <c r="A286" s="507"/>
      <c r="B286" s="507"/>
      <c r="C286" s="507"/>
      <c r="D286" s="508"/>
      <c r="E286" s="507"/>
      <c r="F286" s="507"/>
      <c r="G286" s="507"/>
      <c r="H286" s="507"/>
      <c r="I286" s="507"/>
      <c r="J286" s="507"/>
      <c r="K286" s="507"/>
      <c r="L286" s="507"/>
      <c r="M286" s="507"/>
      <c r="N286" s="507"/>
    </row>
    <row r="287" ht="35.25" customHeight="1">
      <c r="A287" s="507"/>
      <c r="B287" s="507"/>
      <c r="C287" s="507"/>
      <c r="D287" s="508"/>
      <c r="E287" s="507"/>
      <c r="F287" s="507"/>
      <c r="G287" s="507"/>
      <c r="H287" s="507"/>
      <c r="I287" s="507"/>
      <c r="J287" s="507"/>
      <c r="K287" s="507"/>
      <c r="L287" s="507"/>
      <c r="M287" s="507"/>
      <c r="N287" s="507"/>
    </row>
    <row r="288" ht="35.25" customHeight="1">
      <c r="A288" s="507"/>
      <c r="B288" s="507"/>
      <c r="C288" s="507"/>
      <c r="D288" s="508"/>
      <c r="E288" s="507"/>
      <c r="F288" s="507"/>
      <c r="G288" s="507"/>
      <c r="H288" s="507"/>
      <c r="I288" s="507"/>
      <c r="J288" s="507"/>
      <c r="K288" s="507"/>
      <c r="L288" s="507"/>
      <c r="M288" s="507"/>
      <c r="N288" s="507"/>
    </row>
    <row r="289" ht="35.25" customHeight="1">
      <c r="A289" s="507"/>
      <c r="B289" s="507"/>
      <c r="C289" s="507"/>
      <c r="D289" s="508"/>
      <c r="E289" s="507"/>
      <c r="F289" s="507"/>
      <c r="G289" s="507"/>
      <c r="H289" s="507"/>
      <c r="I289" s="507"/>
      <c r="J289" s="507"/>
      <c r="K289" s="507"/>
      <c r="L289" s="507"/>
      <c r="M289" s="507"/>
      <c r="N289" s="507"/>
    </row>
    <row r="290" ht="35.25" customHeight="1">
      <c r="A290" s="507"/>
      <c r="B290" s="507"/>
      <c r="C290" s="507"/>
      <c r="D290" s="508"/>
      <c r="E290" s="507"/>
      <c r="F290" s="507"/>
      <c r="G290" s="507"/>
      <c r="H290" s="507"/>
      <c r="I290" s="507"/>
      <c r="J290" s="507"/>
      <c r="K290" s="507"/>
      <c r="L290" s="507"/>
      <c r="M290" s="507"/>
      <c r="N290" s="507"/>
    </row>
    <row r="291" ht="35.25" customHeight="1">
      <c r="A291" s="507"/>
      <c r="B291" s="507"/>
      <c r="C291" s="507"/>
      <c r="D291" s="508"/>
      <c r="E291" s="507"/>
      <c r="F291" s="507"/>
      <c r="G291" s="507"/>
      <c r="H291" s="507"/>
      <c r="I291" s="507"/>
      <c r="J291" s="507"/>
      <c r="K291" s="507"/>
      <c r="L291" s="507"/>
      <c r="M291" s="507"/>
      <c r="N291" s="507"/>
    </row>
    <row r="292" ht="35.25" customHeight="1">
      <c r="A292" s="507"/>
      <c r="B292" s="507"/>
      <c r="C292" s="507"/>
      <c r="D292" s="508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</row>
    <row r="293" ht="35.25" customHeight="1">
      <c r="A293" s="507"/>
      <c r="B293" s="507"/>
      <c r="C293" s="507"/>
      <c r="D293" s="508"/>
      <c r="E293" s="507"/>
      <c r="F293" s="507"/>
      <c r="G293" s="507"/>
      <c r="H293" s="507"/>
      <c r="I293" s="507"/>
      <c r="J293" s="507"/>
      <c r="K293" s="507"/>
      <c r="L293" s="507"/>
      <c r="M293" s="507"/>
      <c r="N293" s="507"/>
    </row>
    <row r="294" ht="35.25" customHeight="1">
      <c r="A294" s="507"/>
      <c r="B294" s="507"/>
      <c r="C294" s="507"/>
      <c r="D294" s="508"/>
      <c r="E294" s="507"/>
      <c r="F294" s="507"/>
      <c r="G294" s="507"/>
      <c r="H294" s="507"/>
      <c r="I294" s="507"/>
      <c r="J294" s="507"/>
      <c r="K294" s="507"/>
      <c r="L294" s="507"/>
      <c r="M294" s="507"/>
      <c r="N294" s="507"/>
    </row>
    <row r="295" ht="35.25" customHeight="1">
      <c r="A295" s="507"/>
      <c r="B295" s="507"/>
      <c r="C295" s="507"/>
      <c r="D295" s="508"/>
      <c r="E295" s="507"/>
      <c r="F295" s="507"/>
      <c r="G295" s="507"/>
      <c r="H295" s="507"/>
      <c r="I295" s="507"/>
      <c r="J295" s="507"/>
      <c r="K295" s="507"/>
      <c r="L295" s="507"/>
      <c r="M295" s="507"/>
      <c r="N295" s="507"/>
    </row>
    <row r="296" ht="35.25" customHeight="1">
      <c r="A296" s="507"/>
      <c r="B296" s="507"/>
      <c r="C296" s="507"/>
      <c r="D296" s="508"/>
      <c r="E296" s="507"/>
      <c r="F296" s="507"/>
      <c r="G296" s="507"/>
      <c r="H296" s="507"/>
      <c r="I296" s="507"/>
      <c r="J296" s="507"/>
      <c r="K296" s="507"/>
      <c r="L296" s="507"/>
      <c r="M296" s="507"/>
      <c r="N296" s="507"/>
    </row>
    <row r="297" ht="35.25" customHeight="1">
      <c r="A297" s="507"/>
      <c r="B297" s="507"/>
      <c r="C297" s="507"/>
      <c r="D297" s="508"/>
      <c r="E297" s="507"/>
      <c r="F297" s="507"/>
      <c r="G297" s="507"/>
      <c r="H297" s="507"/>
      <c r="I297" s="507"/>
      <c r="J297" s="507"/>
      <c r="K297" s="507"/>
      <c r="L297" s="507"/>
      <c r="M297" s="507"/>
      <c r="N297" s="507"/>
    </row>
    <row r="298" ht="35.25" customHeight="1">
      <c r="A298" s="507"/>
      <c r="B298" s="507"/>
      <c r="C298" s="507"/>
      <c r="D298" s="508"/>
      <c r="E298" s="507"/>
      <c r="F298" s="507"/>
      <c r="G298" s="507"/>
      <c r="H298" s="507"/>
      <c r="I298" s="507"/>
      <c r="J298" s="507"/>
      <c r="K298" s="507"/>
      <c r="L298" s="507"/>
      <c r="M298" s="507"/>
      <c r="N298" s="507"/>
    </row>
    <row r="299" ht="35.25" customHeight="1">
      <c r="A299" s="507"/>
      <c r="B299" s="507"/>
      <c r="C299" s="507"/>
      <c r="D299" s="508"/>
      <c r="E299" s="507"/>
      <c r="F299" s="507"/>
      <c r="G299" s="507"/>
      <c r="H299" s="507"/>
      <c r="I299" s="507"/>
      <c r="J299" s="507"/>
      <c r="K299" s="507"/>
      <c r="L299" s="507"/>
      <c r="M299" s="507"/>
      <c r="N299" s="507"/>
    </row>
    <row r="300" ht="35.25" customHeight="1">
      <c r="A300" s="507"/>
      <c r="B300" s="507"/>
      <c r="C300" s="507"/>
      <c r="D300" s="508"/>
      <c r="E300" s="507"/>
      <c r="F300" s="507"/>
      <c r="G300" s="507"/>
      <c r="H300" s="507"/>
      <c r="I300" s="507"/>
      <c r="J300" s="507"/>
      <c r="K300" s="507"/>
      <c r="L300" s="507"/>
      <c r="M300" s="507"/>
      <c r="N300" s="507"/>
    </row>
    <row r="301" ht="35.25" customHeight="1">
      <c r="A301" s="507"/>
      <c r="B301" s="507"/>
      <c r="C301" s="507"/>
      <c r="D301" s="508"/>
      <c r="E301" s="507"/>
      <c r="F301" s="507"/>
      <c r="G301" s="507"/>
      <c r="H301" s="507"/>
      <c r="I301" s="507"/>
      <c r="J301" s="507"/>
      <c r="K301" s="507"/>
      <c r="L301" s="507"/>
      <c r="M301" s="507"/>
      <c r="N301" s="507"/>
    </row>
    <row r="302" ht="35.25" customHeight="1">
      <c r="A302" s="507"/>
      <c r="B302" s="507"/>
      <c r="C302" s="507"/>
      <c r="D302" s="508"/>
      <c r="E302" s="507"/>
      <c r="F302" s="507"/>
      <c r="G302" s="507"/>
      <c r="H302" s="507"/>
      <c r="I302" s="507"/>
      <c r="J302" s="507"/>
      <c r="K302" s="507"/>
      <c r="L302" s="507"/>
      <c r="M302" s="507"/>
      <c r="N302" s="507"/>
    </row>
    <row r="303" ht="35.25" customHeight="1">
      <c r="A303" s="507"/>
      <c r="B303" s="507"/>
      <c r="C303" s="507"/>
      <c r="D303" s="508"/>
      <c r="E303" s="507"/>
      <c r="F303" s="507"/>
      <c r="G303" s="507"/>
      <c r="H303" s="507"/>
      <c r="I303" s="507"/>
      <c r="J303" s="507"/>
      <c r="K303" s="507"/>
      <c r="L303" s="507"/>
      <c r="M303" s="507"/>
      <c r="N303" s="507"/>
    </row>
    <row r="304" ht="35.25" customHeight="1">
      <c r="A304" s="507"/>
      <c r="B304" s="507"/>
      <c r="C304" s="507"/>
      <c r="D304" s="508"/>
      <c r="E304" s="507"/>
      <c r="F304" s="507"/>
      <c r="G304" s="507"/>
      <c r="H304" s="507"/>
      <c r="I304" s="507"/>
      <c r="J304" s="507"/>
      <c r="K304" s="507"/>
      <c r="L304" s="507"/>
      <c r="M304" s="507"/>
      <c r="N304" s="507"/>
    </row>
    <row r="305" ht="35.25" customHeight="1">
      <c r="A305" s="507"/>
      <c r="B305" s="507"/>
      <c r="C305" s="507"/>
      <c r="D305" s="508"/>
      <c r="E305" s="507"/>
      <c r="F305" s="507"/>
      <c r="G305" s="507"/>
      <c r="H305" s="507"/>
      <c r="I305" s="507"/>
      <c r="J305" s="507"/>
      <c r="K305" s="507"/>
      <c r="L305" s="507"/>
      <c r="M305" s="507"/>
      <c r="N305" s="507"/>
    </row>
    <row r="306" ht="35.25" customHeight="1">
      <c r="A306" s="507"/>
      <c r="B306" s="507"/>
      <c r="C306" s="507"/>
      <c r="D306" s="508"/>
      <c r="E306" s="507"/>
      <c r="F306" s="507"/>
      <c r="G306" s="507"/>
      <c r="H306" s="507"/>
      <c r="I306" s="507"/>
      <c r="J306" s="507"/>
      <c r="K306" s="507"/>
      <c r="L306" s="507"/>
      <c r="M306" s="507"/>
      <c r="N306" s="507"/>
    </row>
    <row r="307" ht="35.25" customHeight="1">
      <c r="A307" s="507"/>
      <c r="B307" s="507"/>
      <c r="C307" s="507"/>
      <c r="D307" s="508"/>
      <c r="E307" s="507"/>
      <c r="F307" s="507"/>
      <c r="G307" s="507"/>
      <c r="H307" s="507"/>
      <c r="I307" s="507"/>
      <c r="J307" s="507"/>
      <c r="K307" s="507"/>
      <c r="L307" s="507"/>
      <c r="M307" s="507"/>
      <c r="N307" s="507"/>
    </row>
    <row r="308" ht="35.25" customHeight="1">
      <c r="A308" s="507"/>
      <c r="B308" s="507"/>
      <c r="C308" s="507"/>
      <c r="D308" s="508"/>
      <c r="E308" s="507"/>
      <c r="F308" s="507"/>
      <c r="G308" s="507"/>
      <c r="H308" s="507"/>
      <c r="I308" s="507"/>
      <c r="J308" s="507"/>
      <c r="K308" s="507"/>
      <c r="L308" s="507"/>
      <c r="M308" s="507"/>
      <c r="N308" s="507"/>
    </row>
    <row r="309" ht="35.25" customHeight="1">
      <c r="A309" s="507"/>
      <c r="B309" s="507"/>
      <c r="C309" s="507"/>
      <c r="D309" s="508"/>
      <c r="E309" s="507"/>
      <c r="F309" s="507"/>
      <c r="G309" s="507"/>
      <c r="H309" s="507"/>
      <c r="I309" s="507"/>
      <c r="J309" s="507"/>
      <c r="K309" s="507"/>
      <c r="L309" s="507"/>
      <c r="M309" s="507"/>
      <c r="N309" s="507"/>
    </row>
    <row r="310" ht="35.25" customHeight="1">
      <c r="A310" s="507"/>
      <c r="B310" s="507"/>
      <c r="C310" s="507"/>
      <c r="D310" s="508"/>
      <c r="E310" s="507"/>
      <c r="F310" s="507"/>
      <c r="G310" s="507"/>
      <c r="H310" s="507"/>
      <c r="I310" s="507"/>
      <c r="J310" s="507"/>
      <c r="K310" s="507"/>
      <c r="L310" s="507"/>
      <c r="M310" s="507"/>
      <c r="N310" s="507"/>
    </row>
    <row r="311" ht="35.25" customHeight="1">
      <c r="A311" s="507"/>
      <c r="B311" s="507"/>
      <c r="C311" s="507"/>
      <c r="D311" s="508"/>
      <c r="E311" s="507"/>
      <c r="F311" s="507"/>
      <c r="G311" s="507"/>
      <c r="H311" s="507"/>
      <c r="I311" s="507"/>
      <c r="J311" s="507"/>
      <c r="K311" s="507"/>
      <c r="L311" s="507"/>
      <c r="M311" s="507"/>
      <c r="N311" s="507"/>
    </row>
    <row r="312" ht="35.25" customHeight="1">
      <c r="A312" s="507"/>
      <c r="B312" s="507"/>
      <c r="C312" s="507"/>
      <c r="D312" s="508"/>
      <c r="E312" s="507"/>
      <c r="F312" s="507"/>
      <c r="G312" s="507"/>
      <c r="H312" s="507"/>
      <c r="I312" s="507"/>
      <c r="J312" s="507"/>
      <c r="K312" s="507"/>
      <c r="L312" s="507"/>
      <c r="M312" s="507"/>
      <c r="N312" s="507"/>
    </row>
    <row r="313" ht="35.25" customHeight="1">
      <c r="A313" s="507"/>
      <c r="B313" s="507"/>
      <c r="C313" s="507"/>
      <c r="D313" s="508"/>
      <c r="E313" s="507"/>
      <c r="F313" s="507"/>
      <c r="G313" s="507"/>
      <c r="H313" s="507"/>
      <c r="I313" s="507"/>
      <c r="J313" s="507"/>
      <c r="K313" s="507"/>
      <c r="L313" s="507"/>
      <c r="M313" s="507"/>
      <c r="N313" s="507"/>
    </row>
    <row r="314" ht="35.25" customHeight="1">
      <c r="A314" s="507"/>
      <c r="B314" s="507"/>
      <c r="C314" s="507"/>
      <c r="D314" s="508"/>
      <c r="E314" s="507"/>
      <c r="F314" s="507"/>
      <c r="G314" s="507"/>
      <c r="H314" s="507"/>
      <c r="I314" s="507"/>
      <c r="J314" s="507"/>
      <c r="K314" s="507"/>
      <c r="L314" s="507"/>
      <c r="M314" s="507"/>
      <c r="N314" s="507"/>
    </row>
    <row r="315" ht="35.25" customHeight="1">
      <c r="A315" s="507"/>
      <c r="B315" s="507"/>
      <c r="C315" s="507"/>
      <c r="D315" s="508"/>
      <c r="E315" s="507"/>
      <c r="F315" s="507"/>
      <c r="G315" s="507"/>
      <c r="H315" s="507"/>
      <c r="I315" s="507"/>
      <c r="J315" s="507"/>
      <c r="K315" s="507"/>
      <c r="L315" s="507"/>
      <c r="M315" s="507"/>
      <c r="N315" s="507"/>
    </row>
    <row r="316" ht="35.25" customHeight="1">
      <c r="A316" s="507"/>
      <c r="B316" s="507"/>
      <c r="C316" s="507"/>
      <c r="D316" s="508"/>
      <c r="E316" s="507"/>
      <c r="F316" s="507"/>
      <c r="G316" s="507"/>
      <c r="H316" s="507"/>
      <c r="I316" s="507"/>
      <c r="J316" s="507"/>
      <c r="K316" s="507"/>
      <c r="L316" s="507"/>
      <c r="M316" s="507"/>
      <c r="N316" s="507"/>
    </row>
    <row r="317" ht="35.25" customHeight="1">
      <c r="A317" s="507"/>
      <c r="B317" s="507"/>
      <c r="C317" s="507"/>
      <c r="D317" s="508"/>
      <c r="E317" s="507"/>
      <c r="F317" s="507"/>
      <c r="G317" s="507"/>
      <c r="H317" s="507"/>
      <c r="I317" s="507"/>
      <c r="J317" s="507"/>
      <c r="K317" s="507"/>
      <c r="L317" s="507"/>
      <c r="M317" s="507"/>
      <c r="N317" s="507"/>
    </row>
    <row r="318" ht="35.25" customHeight="1">
      <c r="A318" s="507"/>
      <c r="B318" s="507"/>
      <c r="C318" s="507"/>
      <c r="D318" s="508"/>
      <c r="E318" s="507"/>
      <c r="F318" s="507"/>
      <c r="G318" s="507"/>
      <c r="H318" s="507"/>
      <c r="I318" s="507"/>
      <c r="J318" s="507"/>
      <c r="K318" s="507"/>
      <c r="L318" s="507"/>
      <c r="M318" s="507"/>
      <c r="N318" s="507"/>
    </row>
    <row r="319" ht="35.25" customHeight="1">
      <c r="A319" s="507"/>
      <c r="B319" s="507"/>
      <c r="C319" s="507"/>
      <c r="D319" s="508"/>
      <c r="E319" s="507"/>
      <c r="F319" s="507"/>
      <c r="G319" s="507"/>
      <c r="H319" s="507"/>
      <c r="I319" s="507"/>
      <c r="J319" s="507"/>
      <c r="K319" s="507"/>
      <c r="L319" s="507"/>
      <c r="M319" s="507"/>
      <c r="N319" s="507"/>
    </row>
    <row r="320" ht="35.25" customHeight="1">
      <c r="A320" s="507"/>
      <c r="B320" s="507"/>
      <c r="C320" s="507"/>
      <c r="D320" s="508"/>
      <c r="E320" s="507"/>
      <c r="F320" s="507"/>
      <c r="G320" s="507"/>
      <c r="H320" s="507"/>
      <c r="I320" s="507"/>
      <c r="J320" s="507"/>
      <c r="K320" s="507"/>
      <c r="L320" s="507"/>
      <c r="M320" s="507"/>
      <c r="N320" s="507"/>
    </row>
    <row r="321" ht="35.25" customHeight="1">
      <c r="A321" s="507"/>
      <c r="B321" s="507"/>
      <c r="C321" s="507"/>
      <c r="D321" s="508"/>
      <c r="E321" s="507"/>
      <c r="F321" s="507"/>
      <c r="G321" s="507"/>
      <c r="H321" s="507"/>
      <c r="I321" s="507"/>
      <c r="J321" s="507"/>
      <c r="K321" s="507"/>
      <c r="L321" s="507"/>
      <c r="M321" s="507"/>
      <c r="N321" s="507"/>
    </row>
    <row r="322" ht="35.25" customHeight="1">
      <c r="A322" s="507"/>
      <c r="B322" s="507"/>
      <c r="C322" s="507"/>
      <c r="D322" s="508"/>
      <c r="E322" s="507"/>
      <c r="F322" s="507"/>
      <c r="G322" s="507"/>
      <c r="H322" s="507"/>
      <c r="I322" s="507"/>
      <c r="J322" s="507"/>
      <c r="K322" s="507"/>
      <c r="L322" s="507"/>
      <c r="M322" s="507"/>
      <c r="N322" s="507"/>
    </row>
    <row r="323" ht="35.25" customHeight="1">
      <c r="A323" s="507"/>
      <c r="B323" s="507"/>
      <c r="C323" s="507"/>
      <c r="D323" s="508"/>
      <c r="E323" s="507"/>
      <c r="F323" s="507"/>
      <c r="G323" s="507"/>
      <c r="H323" s="507"/>
      <c r="I323" s="507"/>
      <c r="J323" s="507"/>
      <c r="K323" s="507"/>
      <c r="L323" s="507"/>
      <c r="M323" s="507"/>
      <c r="N323" s="507"/>
    </row>
    <row r="324" ht="35.25" customHeight="1">
      <c r="A324" s="507"/>
      <c r="B324" s="507"/>
      <c r="C324" s="507"/>
      <c r="D324" s="508"/>
      <c r="E324" s="507"/>
      <c r="F324" s="507"/>
      <c r="G324" s="507"/>
      <c r="H324" s="507"/>
      <c r="I324" s="507"/>
      <c r="J324" s="507"/>
      <c r="K324" s="507"/>
      <c r="L324" s="507"/>
      <c r="M324" s="507"/>
      <c r="N324" s="507"/>
    </row>
    <row r="325" ht="35.25" customHeight="1">
      <c r="A325" s="507"/>
      <c r="B325" s="507"/>
      <c r="C325" s="507"/>
      <c r="D325" s="508"/>
      <c r="E325" s="507"/>
      <c r="F325" s="507"/>
      <c r="G325" s="507"/>
      <c r="H325" s="507"/>
      <c r="I325" s="507"/>
      <c r="J325" s="507"/>
      <c r="K325" s="507"/>
      <c r="L325" s="507"/>
      <c r="M325" s="507"/>
      <c r="N325" s="507"/>
    </row>
    <row r="326" ht="35.25" customHeight="1">
      <c r="A326" s="507"/>
      <c r="B326" s="507"/>
      <c r="C326" s="507"/>
      <c r="D326" s="508"/>
      <c r="E326" s="507"/>
      <c r="F326" s="507"/>
      <c r="G326" s="507"/>
      <c r="H326" s="507"/>
      <c r="I326" s="507"/>
      <c r="J326" s="507"/>
      <c r="K326" s="507"/>
      <c r="L326" s="507"/>
      <c r="M326" s="507"/>
      <c r="N326" s="507"/>
    </row>
    <row r="327" ht="35.25" customHeight="1">
      <c r="A327" s="507"/>
      <c r="B327" s="507"/>
      <c r="C327" s="507"/>
      <c r="D327" s="508"/>
      <c r="E327" s="507"/>
      <c r="F327" s="507"/>
      <c r="G327" s="507"/>
      <c r="H327" s="507"/>
      <c r="I327" s="507"/>
      <c r="J327" s="507"/>
      <c r="K327" s="507"/>
      <c r="L327" s="507"/>
      <c r="M327" s="507"/>
      <c r="N327" s="507"/>
    </row>
    <row r="328" ht="35.25" customHeight="1">
      <c r="A328" s="507"/>
      <c r="B328" s="507"/>
      <c r="C328" s="507"/>
      <c r="D328" s="508"/>
      <c r="E328" s="507"/>
      <c r="F328" s="507"/>
      <c r="G328" s="507"/>
      <c r="H328" s="507"/>
      <c r="I328" s="507"/>
      <c r="J328" s="507"/>
      <c r="K328" s="507"/>
      <c r="L328" s="507"/>
      <c r="M328" s="507"/>
      <c r="N328" s="507"/>
    </row>
    <row r="329" ht="35.25" customHeight="1">
      <c r="A329" s="507"/>
      <c r="B329" s="507"/>
      <c r="C329" s="507"/>
      <c r="D329" s="508"/>
      <c r="E329" s="507"/>
      <c r="F329" s="507"/>
      <c r="G329" s="507"/>
      <c r="H329" s="507"/>
      <c r="I329" s="507"/>
      <c r="J329" s="507"/>
      <c r="K329" s="507"/>
      <c r="L329" s="507"/>
      <c r="M329" s="507"/>
      <c r="N329" s="507"/>
    </row>
    <row r="330" ht="35.25" customHeight="1">
      <c r="A330" s="507"/>
      <c r="B330" s="507"/>
      <c r="C330" s="507"/>
      <c r="D330" s="508"/>
      <c r="E330" s="507"/>
      <c r="F330" s="507"/>
      <c r="G330" s="507"/>
      <c r="H330" s="507"/>
      <c r="I330" s="507"/>
      <c r="J330" s="507"/>
      <c r="K330" s="507"/>
      <c r="L330" s="507"/>
      <c r="M330" s="507"/>
      <c r="N330" s="507"/>
    </row>
    <row r="331" ht="35.25" customHeight="1">
      <c r="A331" s="507"/>
      <c r="B331" s="507"/>
      <c r="C331" s="507"/>
      <c r="D331" s="508"/>
      <c r="E331" s="507"/>
      <c r="F331" s="507"/>
      <c r="G331" s="507"/>
      <c r="H331" s="507"/>
      <c r="I331" s="507"/>
      <c r="J331" s="507"/>
      <c r="K331" s="507"/>
      <c r="L331" s="507"/>
      <c r="M331" s="507"/>
      <c r="N331" s="507"/>
    </row>
    <row r="332" ht="35.25" customHeight="1">
      <c r="A332" s="507"/>
      <c r="B332" s="507"/>
      <c r="C332" s="507"/>
      <c r="D332" s="508"/>
      <c r="E332" s="507"/>
      <c r="F332" s="507"/>
      <c r="G332" s="507"/>
      <c r="H332" s="507"/>
      <c r="I332" s="507"/>
      <c r="J332" s="507"/>
      <c r="K332" s="507"/>
      <c r="L332" s="507"/>
      <c r="M332" s="507"/>
      <c r="N332" s="507"/>
    </row>
    <row r="333" ht="35.25" customHeight="1">
      <c r="A333" s="507"/>
      <c r="B333" s="507"/>
      <c r="C333" s="507"/>
      <c r="D333" s="508"/>
      <c r="E333" s="507"/>
      <c r="F333" s="507"/>
      <c r="G333" s="507"/>
      <c r="H333" s="507"/>
      <c r="I333" s="507"/>
      <c r="J333" s="507"/>
      <c r="K333" s="507"/>
      <c r="L333" s="507"/>
      <c r="M333" s="507"/>
      <c r="N333" s="507"/>
    </row>
    <row r="334" ht="35.25" customHeight="1">
      <c r="A334" s="507"/>
      <c r="B334" s="507"/>
      <c r="C334" s="507"/>
      <c r="D334" s="508"/>
      <c r="E334" s="507"/>
      <c r="F334" s="507"/>
      <c r="G334" s="507"/>
      <c r="H334" s="507"/>
      <c r="I334" s="507"/>
      <c r="J334" s="507"/>
      <c r="K334" s="507"/>
      <c r="L334" s="507"/>
      <c r="M334" s="507"/>
      <c r="N334" s="507"/>
    </row>
    <row r="335" ht="35.25" customHeight="1">
      <c r="A335" s="507"/>
      <c r="B335" s="507"/>
      <c r="C335" s="507"/>
      <c r="D335" s="508"/>
      <c r="E335" s="507"/>
      <c r="F335" s="507"/>
      <c r="G335" s="507"/>
      <c r="H335" s="507"/>
      <c r="I335" s="507"/>
      <c r="J335" s="507"/>
      <c r="K335" s="507"/>
      <c r="L335" s="507"/>
      <c r="M335" s="507"/>
      <c r="N335" s="507"/>
    </row>
    <row r="336" ht="35.25" customHeight="1">
      <c r="A336" s="507"/>
      <c r="B336" s="507"/>
      <c r="C336" s="507"/>
      <c r="D336" s="508"/>
      <c r="E336" s="507"/>
      <c r="F336" s="507"/>
      <c r="G336" s="507"/>
      <c r="H336" s="507"/>
      <c r="I336" s="507"/>
      <c r="J336" s="507"/>
      <c r="K336" s="507"/>
      <c r="L336" s="507"/>
      <c r="M336" s="507"/>
      <c r="N336" s="507"/>
    </row>
    <row r="337" ht="35.25" customHeight="1">
      <c r="A337" s="507"/>
      <c r="B337" s="507"/>
      <c r="C337" s="507"/>
      <c r="D337" s="508"/>
      <c r="E337" s="507"/>
      <c r="F337" s="507"/>
      <c r="G337" s="507"/>
      <c r="H337" s="507"/>
      <c r="I337" s="507"/>
      <c r="J337" s="507"/>
      <c r="K337" s="507"/>
      <c r="L337" s="507"/>
      <c r="M337" s="507"/>
      <c r="N337" s="507"/>
    </row>
    <row r="338" ht="35.25" customHeight="1">
      <c r="A338" s="507"/>
      <c r="B338" s="507"/>
      <c r="C338" s="507"/>
      <c r="D338" s="508"/>
      <c r="E338" s="507"/>
      <c r="F338" s="507"/>
      <c r="G338" s="507"/>
      <c r="H338" s="507"/>
      <c r="I338" s="507"/>
      <c r="J338" s="507"/>
      <c r="K338" s="507"/>
      <c r="L338" s="507"/>
      <c r="M338" s="507"/>
      <c r="N338" s="507"/>
    </row>
    <row r="339" ht="35.25" customHeight="1">
      <c r="A339" s="507"/>
      <c r="B339" s="507"/>
      <c r="C339" s="507"/>
      <c r="D339" s="508"/>
      <c r="E339" s="507"/>
      <c r="F339" s="507"/>
      <c r="G339" s="507"/>
      <c r="H339" s="507"/>
      <c r="I339" s="507"/>
      <c r="J339" s="507"/>
      <c r="K339" s="507"/>
      <c r="L339" s="507"/>
      <c r="M339" s="507"/>
      <c r="N339" s="507"/>
    </row>
    <row r="340" ht="35.25" customHeight="1">
      <c r="A340" s="507"/>
      <c r="B340" s="507"/>
      <c r="C340" s="507"/>
      <c r="D340" s="508"/>
      <c r="E340" s="507"/>
      <c r="F340" s="507"/>
      <c r="G340" s="507"/>
      <c r="H340" s="507"/>
      <c r="I340" s="507"/>
      <c r="J340" s="507"/>
      <c r="K340" s="507"/>
      <c r="L340" s="507"/>
      <c r="M340" s="507"/>
      <c r="N340" s="507"/>
    </row>
    <row r="341" ht="35.25" customHeight="1">
      <c r="A341" s="507"/>
      <c r="B341" s="507"/>
      <c r="C341" s="507"/>
      <c r="D341" s="508"/>
      <c r="E341" s="507"/>
      <c r="F341" s="507"/>
      <c r="G341" s="507"/>
      <c r="H341" s="507"/>
      <c r="I341" s="507"/>
      <c r="J341" s="507"/>
      <c r="K341" s="507"/>
      <c r="L341" s="507"/>
      <c r="M341" s="507"/>
      <c r="N341" s="507"/>
    </row>
    <row r="342" ht="35.25" customHeight="1">
      <c r="A342" s="507"/>
      <c r="B342" s="507"/>
      <c r="C342" s="507"/>
      <c r="D342" s="508"/>
      <c r="E342" s="507"/>
      <c r="F342" s="507"/>
      <c r="G342" s="507"/>
      <c r="H342" s="507"/>
      <c r="I342" s="507"/>
      <c r="J342" s="507"/>
      <c r="K342" s="507"/>
      <c r="L342" s="507"/>
      <c r="M342" s="507"/>
      <c r="N342" s="507"/>
    </row>
    <row r="343" ht="35.25" customHeight="1">
      <c r="A343" s="507"/>
      <c r="B343" s="507"/>
      <c r="C343" s="507"/>
      <c r="D343" s="508"/>
      <c r="E343" s="507"/>
      <c r="F343" s="507"/>
      <c r="G343" s="507"/>
      <c r="H343" s="507"/>
      <c r="I343" s="507"/>
      <c r="J343" s="507"/>
      <c r="K343" s="507"/>
      <c r="L343" s="507"/>
      <c r="M343" s="507"/>
      <c r="N343" s="507"/>
    </row>
    <row r="344" ht="35.25" customHeight="1">
      <c r="A344" s="507"/>
      <c r="B344" s="507"/>
      <c r="C344" s="507"/>
      <c r="D344" s="508"/>
      <c r="E344" s="507"/>
      <c r="F344" s="507"/>
      <c r="G344" s="507"/>
      <c r="H344" s="507"/>
      <c r="I344" s="507"/>
      <c r="J344" s="507"/>
      <c r="K344" s="507"/>
      <c r="L344" s="507"/>
      <c r="M344" s="507"/>
      <c r="N344" s="507"/>
    </row>
    <row r="345" ht="35.25" customHeight="1">
      <c r="A345" s="507"/>
      <c r="B345" s="507"/>
      <c r="C345" s="507"/>
      <c r="D345" s="508"/>
      <c r="E345" s="507"/>
      <c r="F345" s="507"/>
      <c r="G345" s="507"/>
      <c r="H345" s="507"/>
      <c r="I345" s="507"/>
      <c r="J345" s="507"/>
      <c r="K345" s="507"/>
      <c r="L345" s="507"/>
      <c r="M345" s="507"/>
      <c r="N345" s="507"/>
    </row>
    <row r="346" ht="35.25" customHeight="1">
      <c r="A346" s="507"/>
      <c r="B346" s="507"/>
      <c r="C346" s="507"/>
      <c r="D346" s="508"/>
      <c r="E346" s="507"/>
      <c r="F346" s="507"/>
      <c r="G346" s="507"/>
      <c r="H346" s="507"/>
      <c r="I346" s="507"/>
      <c r="J346" s="507"/>
      <c r="K346" s="507"/>
      <c r="L346" s="507"/>
      <c r="M346" s="507"/>
      <c r="N346" s="507"/>
    </row>
    <row r="347" ht="35.25" customHeight="1">
      <c r="A347" s="507"/>
      <c r="B347" s="507"/>
      <c r="C347" s="507"/>
      <c r="D347" s="508"/>
      <c r="E347" s="507"/>
      <c r="F347" s="507"/>
      <c r="G347" s="507"/>
      <c r="H347" s="507"/>
      <c r="I347" s="507"/>
      <c r="J347" s="507"/>
      <c r="K347" s="507"/>
      <c r="L347" s="507"/>
      <c r="M347" s="507"/>
      <c r="N347" s="507"/>
    </row>
    <row r="348" ht="35.25" customHeight="1">
      <c r="A348" s="507"/>
      <c r="B348" s="507"/>
      <c r="C348" s="507"/>
      <c r="D348" s="508"/>
      <c r="E348" s="507"/>
      <c r="F348" s="507"/>
      <c r="G348" s="507"/>
      <c r="H348" s="507"/>
      <c r="I348" s="507"/>
      <c r="J348" s="507"/>
      <c r="K348" s="507"/>
      <c r="L348" s="507"/>
      <c r="M348" s="507"/>
      <c r="N348" s="507"/>
    </row>
    <row r="349" ht="35.25" customHeight="1">
      <c r="A349" s="507"/>
      <c r="B349" s="507"/>
      <c r="C349" s="507"/>
      <c r="D349" s="508"/>
      <c r="E349" s="507"/>
      <c r="F349" s="507"/>
      <c r="G349" s="507"/>
      <c r="H349" s="507"/>
      <c r="I349" s="507"/>
      <c r="J349" s="507"/>
      <c r="K349" s="507"/>
      <c r="L349" s="507"/>
      <c r="M349" s="507"/>
      <c r="N349" s="507"/>
    </row>
    <row r="350" ht="35.25" customHeight="1">
      <c r="A350" s="507"/>
      <c r="B350" s="507"/>
      <c r="C350" s="507"/>
      <c r="D350" s="508"/>
      <c r="E350" s="507"/>
      <c r="F350" s="507"/>
      <c r="G350" s="507"/>
      <c r="H350" s="507"/>
      <c r="I350" s="507"/>
      <c r="J350" s="507"/>
      <c r="K350" s="507"/>
      <c r="L350" s="507"/>
      <c r="M350" s="507"/>
      <c r="N350" s="507"/>
    </row>
    <row r="351" ht="35.25" customHeight="1">
      <c r="A351" s="507"/>
      <c r="B351" s="507"/>
      <c r="C351" s="507"/>
      <c r="D351" s="508"/>
      <c r="E351" s="507"/>
      <c r="F351" s="507"/>
      <c r="G351" s="507"/>
      <c r="H351" s="507"/>
      <c r="I351" s="507"/>
      <c r="J351" s="507"/>
      <c r="K351" s="507"/>
      <c r="L351" s="507"/>
      <c r="M351" s="507"/>
      <c r="N351" s="507"/>
    </row>
    <row r="352" ht="35.25" customHeight="1">
      <c r="A352" s="507"/>
      <c r="B352" s="507"/>
      <c r="C352" s="507"/>
      <c r="D352" s="508"/>
      <c r="E352" s="507"/>
      <c r="F352" s="507"/>
      <c r="G352" s="507"/>
      <c r="H352" s="507"/>
      <c r="I352" s="507"/>
      <c r="J352" s="507"/>
      <c r="K352" s="507"/>
      <c r="L352" s="507"/>
      <c r="M352" s="507"/>
      <c r="N352" s="507"/>
    </row>
    <row r="353" ht="35.25" customHeight="1">
      <c r="A353" s="507"/>
      <c r="B353" s="507"/>
      <c r="C353" s="507"/>
      <c r="D353" s="508"/>
      <c r="E353" s="507"/>
      <c r="F353" s="507"/>
      <c r="G353" s="507"/>
      <c r="H353" s="507"/>
      <c r="I353" s="507"/>
      <c r="J353" s="507"/>
      <c r="K353" s="507"/>
      <c r="L353" s="507"/>
      <c r="M353" s="507"/>
      <c r="N353" s="507"/>
    </row>
    <row r="354" ht="35.25" customHeight="1">
      <c r="A354" s="507"/>
      <c r="B354" s="507"/>
      <c r="C354" s="507"/>
      <c r="D354" s="508"/>
      <c r="E354" s="507"/>
      <c r="F354" s="507"/>
      <c r="G354" s="507"/>
      <c r="H354" s="507"/>
      <c r="I354" s="507"/>
      <c r="J354" s="507"/>
      <c r="K354" s="507"/>
      <c r="L354" s="507"/>
      <c r="M354" s="507"/>
      <c r="N354" s="507"/>
    </row>
    <row r="355" ht="35.25" customHeight="1">
      <c r="A355" s="507"/>
      <c r="B355" s="507"/>
      <c r="C355" s="507"/>
      <c r="D355" s="508"/>
      <c r="E355" s="507"/>
      <c r="F355" s="507"/>
      <c r="G355" s="507"/>
      <c r="H355" s="507"/>
      <c r="I355" s="507"/>
      <c r="J355" s="507"/>
      <c r="K355" s="507"/>
      <c r="L355" s="507"/>
      <c r="M355" s="507"/>
      <c r="N355" s="507"/>
    </row>
    <row r="356" ht="35.25" customHeight="1">
      <c r="A356" s="507"/>
      <c r="B356" s="507"/>
      <c r="C356" s="507"/>
      <c r="D356" s="508"/>
      <c r="E356" s="507"/>
      <c r="F356" s="507"/>
      <c r="G356" s="507"/>
      <c r="H356" s="507"/>
      <c r="I356" s="507"/>
      <c r="J356" s="507"/>
      <c r="K356" s="507"/>
      <c r="L356" s="507"/>
      <c r="M356" s="507"/>
      <c r="N356" s="507"/>
    </row>
    <row r="357" ht="35.25" customHeight="1">
      <c r="A357" s="507"/>
      <c r="B357" s="507"/>
      <c r="C357" s="507"/>
      <c r="D357" s="508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</row>
    <row r="358" ht="35.25" customHeight="1">
      <c r="A358" s="507"/>
      <c r="B358" s="507"/>
      <c r="C358" s="507"/>
      <c r="D358" s="508"/>
      <c r="E358" s="507"/>
      <c r="F358" s="507"/>
      <c r="G358" s="507"/>
      <c r="H358" s="507"/>
      <c r="I358" s="507"/>
      <c r="J358" s="507"/>
      <c r="K358" s="507"/>
      <c r="L358" s="507"/>
      <c r="M358" s="507"/>
      <c r="N358" s="507"/>
    </row>
    <row r="359" ht="35.25" customHeight="1">
      <c r="A359" s="507"/>
      <c r="B359" s="507"/>
      <c r="C359" s="507"/>
      <c r="D359" s="508"/>
      <c r="E359" s="507"/>
      <c r="F359" s="507"/>
      <c r="G359" s="507"/>
      <c r="H359" s="507"/>
      <c r="I359" s="507"/>
      <c r="J359" s="507"/>
      <c r="K359" s="507"/>
      <c r="L359" s="507"/>
      <c r="M359" s="507"/>
      <c r="N359" s="507"/>
    </row>
    <row r="360" ht="35.25" customHeight="1">
      <c r="A360" s="507"/>
      <c r="B360" s="507"/>
      <c r="C360" s="507"/>
      <c r="D360" s="508"/>
      <c r="E360" s="507"/>
      <c r="F360" s="507"/>
      <c r="G360" s="507"/>
      <c r="H360" s="507"/>
      <c r="I360" s="507"/>
      <c r="J360" s="507"/>
      <c r="K360" s="507"/>
      <c r="L360" s="507"/>
      <c r="M360" s="507"/>
      <c r="N360" s="507"/>
    </row>
    <row r="361" ht="35.25" customHeight="1">
      <c r="A361" s="507"/>
      <c r="B361" s="507"/>
      <c r="C361" s="507"/>
      <c r="D361" s="508"/>
      <c r="E361" s="507"/>
      <c r="F361" s="507"/>
      <c r="G361" s="507"/>
      <c r="H361" s="507"/>
      <c r="I361" s="507"/>
      <c r="J361" s="507"/>
      <c r="K361" s="507"/>
      <c r="L361" s="507"/>
      <c r="M361" s="507"/>
      <c r="N361" s="507"/>
    </row>
    <row r="362" ht="35.25" customHeight="1">
      <c r="A362" s="507"/>
      <c r="B362" s="507"/>
      <c r="C362" s="507"/>
      <c r="D362" s="508"/>
      <c r="E362" s="507"/>
      <c r="F362" s="507"/>
      <c r="G362" s="507"/>
      <c r="H362" s="507"/>
      <c r="I362" s="507"/>
      <c r="J362" s="507"/>
      <c r="K362" s="507"/>
      <c r="L362" s="507"/>
      <c r="M362" s="507"/>
      <c r="N362" s="507"/>
    </row>
    <row r="363" ht="35.25" customHeight="1">
      <c r="A363" s="507"/>
      <c r="B363" s="507"/>
      <c r="C363" s="507"/>
      <c r="D363" s="508"/>
      <c r="E363" s="507"/>
      <c r="F363" s="507"/>
      <c r="G363" s="507"/>
      <c r="H363" s="507"/>
      <c r="I363" s="507"/>
      <c r="J363" s="507"/>
      <c r="K363" s="507"/>
      <c r="L363" s="507"/>
      <c r="M363" s="507"/>
      <c r="N363" s="507"/>
    </row>
    <row r="364" ht="35.25" customHeight="1">
      <c r="A364" s="507"/>
      <c r="B364" s="507"/>
      <c r="C364" s="507"/>
      <c r="D364" s="508"/>
      <c r="E364" s="507"/>
      <c r="F364" s="507"/>
      <c r="G364" s="507"/>
      <c r="H364" s="507"/>
      <c r="I364" s="507"/>
      <c r="J364" s="507"/>
      <c r="K364" s="507"/>
      <c r="L364" s="507"/>
      <c r="M364" s="507"/>
      <c r="N364" s="507"/>
    </row>
    <row r="365" ht="35.25" customHeight="1">
      <c r="A365" s="507"/>
      <c r="B365" s="507"/>
      <c r="C365" s="507"/>
      <c r="D365" s="508"/>
      <c r="E365" s="507"/>
      <c r="F365" s="507"/>
      <c r="G365" s="507"/>
      <c r="H365" s="507"/>
      <c r="I365" s="507"/>
      <c r="J365" s="507"/>
      <c r="K365" s="507"/>
      <c r="L365" s="507"/>
      <c r="M365" s="507"/>
      <c r="N365" s="507"/>
    </row>
    <row r="366" ht="35.25" customHeight="1">
      <c r="A366" s="507"/>
      <c r="B366" s="507"/>
      <c r="C366" s="507"/>
      <c r="D366" s="508"/>
      <c r="E366" s="507"/>
      <c r="F366" s="507"/>
      <c r="G366" s="507"/>
      <c r="H366" s="507"/>
      <c r="I366" s="507"/>
      <c r="J366" s="507"/>
      <c r="K366" s="507"/>
      <c r="L366" s="507"/>
      <c r="M366" s="507"/>
      <c r="N366" s="507"/>
    </row>
    <row r="367" ht="35.25" customHeight="1">
      <c r="A367" s="507"/>
      <c r="B367" s="507"/>
      <c r="C367" s="507"/>
      <c r="D367" s="508"/>
      <c r="E367" s="507"/>
      <c r="F367" s="507"/>
      <c r="G367" s="507"/>
      <c r="H367" s="507"/>
      <c r="I367" s="507"/>
      <c r="J367" s="507"/>
      <c r="K367" s="507"/>
      <c r="L367" s="507"/>
      <c r="M367" s="507"/>
      <c r="N367" s="507"/>
    </row>
    <row r="368" ht="35.25" customHeight="1">
      <c r="A368" s="507"/>
      <c r="B368" s="507"/>
      <c r="C368" s="507"/>
      <c r="D368" s="508"/>
      <c r="E368" s="507"/>
      <c r="F368" s="507"/>
      <c r="G368" s="507"/>
      <c r="H368" s="507"/>
      <c r="I368" s="507"/>
      <c r="J368" s="507"/>
      <c r="K368" s="507"/>
      <c r="L368" s="507"/>
      <c r="M368" s="507"/>
      <c r="N368" s="507"/>
    </row>
    <row r="369" ht="35.25" customHeight="1">
      <c r="A369" s="507"/>
      <c r="B369" s="507"/>
      <c r="C369" s="507"/>
      <c r="D369" s="508"/>
      <c r="E369" s="507"/>
      <c r="F369" s="507"/>
      <c r="G369" s="507"/>
      <c r="H369" s="507"/>
      <c r="I369" s="507"/>
      <c r="J369" s="507"/>
      <c r="K369" s="507"/>
      <c r="L369" s="507"/>
      <c r="M369" s="507"/>
      <c r="N369" s="507"/>
    </row>
    <row r="370" ht="35.25" customHeight="1">
      <c r="A370" s="507"/>
      <c r="B370" s="507"/>
      <c r="C370" s="507"/>
      <c r="D370" s="508"/>
      <c r="E370" s="507"/>
      <c r="F370" s="507"/>
      <c r="G370" s="507"/>
      <c r="H370" s="507"/>
      <c r="I370" s="507"/>
      <c r="J370" s="507"/>
      <c r="K370" s="507"/>
      <c r="L370" s="507"/>
      <c r="M370" s="507"/>
      <c r="N370" s="507"/>
    </row>
    <row r="371" ht="35.25" customHeight="1">
      <c r="A371" s="507"/>
      <c r="B371" s="507"/>
      <c r="C371" s="507"/>
      <c r="D371" s="508"/>
      <c r="E371" s="507"/>
      <c r="F371" s="507"/>
      <c r="G371" s="507"/>
      <c r="H371" s="507"/>
      <c r="I371" s="507"/>
      <c r="J371" s="507"/>
      <c r="K371" s="507"/>
      <c r="L371" s="507"/>
      <c r="M371" s="507"/>
      <c r="N371" s="507"/>
    </row>
    <row r="372" ht="35.25" customHeight="1">
      <c r="A372" s="507"/>
      <c r="B372" s="507"/>
      <c r="C372" s="507"/>
      <c r="D372" s="508"/>
      <c r="E372" s="507"/>
      <c r="F372" s="507"/>
      <c r="G372" s="507"/>
      <c r="H372" s="507"/>
      <c r="I372" s="507"/>
      <c r="J372" s="507"/>
      <c r="K372" s="507"/>
      <c r="L372" s="507"/>
      <c r="M372" s="507"/>
      <c r="N372" s="507"/>
    </row>
    <row r="373" ht="35.25" customHeight="1">
      <c r="A373" s="507"/>
      <c r="B373" s="507"/>
      <c r="C373" s="507"/>
      <c r="D373" s="508"/>
      <c r="E373" s="507"/>
      <c r="F373" s="507"/>
      <c r="G373" s="507"/>
      <c r="H373" s="507"/>
      <c r="I373" s="507"/>
      <c r="J373" s="507"/>
      <c r="K373" s="507"/>
      <c r="L373" s="507"/>
      <c r="M373" s="507"/>
      <c r="N373" s="507"/>
    </row>
    <row r="374" ht="35.25" customHeight="1">
      <c r="A374" s="507"/>
      <c r="B374" s="507"/>
      <c r="C374" s="507"/>
      <c r="D374" s="508"/>
      <c r="E374" s="507"/>
      <c r="F374" s="507"/>
      <c r="G374" s="507"/>
      <c r="H374" s="507"/>
      <c r="I374" s="507"/>
      <c r="J374" s="507"/>
      <c r="K374" s="507"/>
      <c r="L374" s="507"/>
      <c r="M374" s="507"/>
      <c r="N374" s="507"/>
    </row>
    <row r="375" ht="35.25" customHeight="1">
      <c r="A375" s="507"/>
      <c r="B375" s="507"/>
      <c r="C375" s="507"/>
      <c r="D375" s="508"/>
      <c r="E375" s="507"/>
      <c r="F375" s="507"/>
      <c r="G375" s="507"/>
      <c r="H375" s="507"/>
      <c r="I375" s="507"/>
      <c r="J375" s="507"/>
      <c r="K375" s="507"/>
      <c r="L375" s="507"/>
      <c r="M375" s="507"/>
      <c r="N375" s="507"/>
    </row>
    <row r="376" ht="35.25" customHeight="1">
      <c r="A376" s="507"/>
      <c r="B376" s="507"/>
      <c r="C376" s="507"/>
      <c r="D376" s="508"/>
      <c r="E376" s="507"/>
      <c r="F376" s="507"/>
      <c r="G376" s="507"/>
      <c r="H376" s="507"/>
      <c r="I376" s="507"/>
      <c r="J376" s="507"/>
      <c r="K376" s="507"/>
      <c r="L376" s="507"/>
      <c r="M376" s="507"/>
      <c r="N376" s="507"/>
    </row>
    <row r="377" ht="35.25" customHeight="1">
      <c r="A377" s="507"/>
      <c r="B377" s="507"/>
      <c r="C377" s="507"/>
      <c r="D377" s="508"/>
      <c r="E377" s="507"/>
      <c r="F377" s="507"/>
      <c r="G377" s="507"/>
      <c r="H377" s="507"/>
      <c r="I377" s="507"/>
      <c r="J377" s="507"/>
      <c r="K377" s="507"/>
      <c r="L377" s="507"/>
      <c r="M377" s="507"/>
      <c r="N377" s="507"/>
    </row>
    <row r="378" ht="35.25" customHeight="1">
      <c r="A378" s="507"/>
      <c r="B378" s="507"/>
      <c r="C378" s="507"/>
      <c r="D378" s="508"/>
      <c r="E378" s="507"/>
      <c r="F378" s="507"/>
      <c r="G378" s="507"/>
      <c r="H378" s="507"/>
      <c r="I378" s="507"/>
      <c r="J378" s="507"/>
      <c r="K378" s="507"/>
      <c r="L378" s="507"/>
      <c r="M378" s="507"/>
      <c r="N378" s="507"/>
    </row>
    <row r="379" ht="35.25" customHeight="1">
      <c r="A379" s="507"/>
      <c r="B379" s="507"/>
      <c r="C379" s="507"/>
      <c r="D379" s="508"/>
      <c r="E379" s="507"/>
      <c r="F379" s="507"/>
      <c r="G379" s="507"/>
      <c r="H379" s="507"/>
      <c r="I379" s="507"/>
      <c r="J379" s="507"/>
      <c r="K379" s="507"/>
      <c r="L379" s="507"/>
      <c r="M379" s="507"/>
      <c r="N379" s="507"/>
    </row>
    <row r="380" ht="35.25" customHeight="1">
      <c r="A380" s="507"/>
      <c r="B380" s="507"/>
      <c r="C380" s="507"/>
      <c r="D380" s="508"/>
      <c r="E380" s="507"/>
      <c r="F380" s="507"/>
      <c r="G380" s="507"/>
      <c r="H380" s="507"/>
      <c r="I380" s="507"/>
      <c r="J380" s="507"/>
      <c r="K380" s="507"/>
      <c r="L380" s="507"/>
      <c r="M380" s="507"/>
      <c r="N380" s="507"/>
    </row>
    <row r="381" ht="35.25" customHeight="1">
      <c r="A381" s="507"/>
      <c r="B381" s="507"/>
      <c r="C381" s="507"/>
      <c r="D381" s="508"/>
      <c r="E381" s="507"/>
      <c r="F381" s="507"/>
      <c r="G381" s="507"/>
      <c r="H381" s="507"/>
      <c r="I381" s="507"/>
      <c r="J381" s="507"/>
      <c r="K381" s="507"/>
      <c r="L381" s="507"/>
      <c r="M381" s="507"/>
      <c r="N381" s="507"/>
    </row>
    <row r="382" ht="35.25" customHeight="1">
      <c r="A382" s="507"/>
      <c r="B382" s="507"/>
      <c r="C382" s="507"/>
      <c r="D382" s="508"/>
      <c r="E382" s="507"/>
      <c r="F382" s="507"/>
      <c r="G382" s="507"/>
      <c r="H382" s="507"/>
      <c r="I382" s="507"/>
      <c r="J382" s="507"/>
      <c r="K382" s="507"/>
      <c r="L382" s="507"/>
      <c r="M382" s="507"/>
      <c r="N382" s="507"/>
    </row>
    <row r="383" ht="35.25" customHeight="1">
      <c r="A383" s="507"/>
      <c r="B383" s="507"/>
      <c r="C383" s="507"/>
      <c r="D383" s="508"/>
      <c r="E383" s="507"/>
      <c r="F383" s="507"/>
      <c r="G383" s="507"/>
      <c r="H383" s="507"/>
      <c r="I383" s="507"/>
      <c r="J383" s="507"/>
      <c r="K383" s="507"/>
      <c r="L383" s="507"/>
      <c r="M383" s="507"/>
      <c r="N383" s="507"/>
    </row>
    <row r="384" ht="35.25" customHeight="1">
      <c r="A384" s="507"/>
      <c r="B384" s="507"/>
      <c r="C384" s="507"/>
      <c r="D384" s="508"/>
      <c r="E384" s="507"/>
      <c r="F384" s="507"/>
      <c r="G384" s="507"/>
      <c r="H384" s="507"/>
      <c r="I384" s="507"/>
      <c r="J384" s="507"/>
      <c r="K384" s="507"/>
      <c r="L384" s="507"/>
      <c r="M384" s="507"/>
      <c r="N384" s="507"/>
    </row>
    <row r="385" ht="35.25" customHeight="1">
      <c r="A385" s="507"/>
      <c r="B385" s="507"/>
      <c r="C385" s="507"/>
      <c r="D385" s="508"/>
      <c r="E385" s="507"/>
      <c r="F385" s="507"/>
      <c r="G385" s="507"/>
      <c r="H385" s="507"/>
      <c r="I385" s="507"/>
      <c r="J385" s="507"/>
      <c r="K385" s="507"/>
      <c r="L385" s="507"/>
      <c r="M385" s="507"/>
      <c r="N385" s="507"/>
    </row>
    <row r="386" ht="35.25" customHeight="1">
      <c r="A386" s="507"/>
      <c r="B386" s="507"/>
      <c r="C386" s="507"/>
      <c r="D386" s="508"/>
      <c r="E386" s="507"/>
      <c r="F386" s="507"/>
      <c r="G386" s="507"/>
      <c r="H386" s="507"/>
      <c r="I386" s="507"/>
      <c r="J386" s="507"/>
      <c r="K386" s="507"/>
      <c r="L386" s="507"/>
      <c r="M386" s="507"/>
      <c r="N386" s="507"/>
    </row>
    <row r="387" ht="35.25" customHeight="1">
      <c r="A387" s="507"/>
      <c r="B387" s="507"/>
      <c r="C387" s="507"/>
      <c r="D387" s="508"/>
      <c r="E387" s="507"/>
      <c r="F387" s="507"/>
      <c r="G387" s="507"/>
      <c r="H387" s="507"/>
      <c r="I387" s="507"/>
      <c r="J387" s="507"/>
      <c r="K387" s="507"/>
      <c r="L387" s="507"/>
      <c r="M387" s="507"/>
      <c r="N387" s="507"/>
    </row>
    <row r="388" ht="35.25" customHeight="1">
      <c r="A388" s="507"/>
      <c r="B388" s="507"/>
      <c r="C388" s="507"/>
      <c r="D388" s="508"/>
      <c r="E388" s="507"/>
      <c r="F388" s="507"/>
      <c r="G388" s="507"/>
      <c r="H388" s="507"/>
      <c r="I388" s="507"/>
      <c r="J388" s="507"/>
      <c r="K388" s="507"/>
      <c r="L388" s="507"/>
      <c r="M388" s="507"/>
      <c r="N388" s="507"/>
    </row>
    <row r="389" ht="35.25" customHeight="1">
      <c r="A389" s="507"/>
      <c r="B389" s="507"/>
      <c r="C389" s="507"/>
      <c r="D389" s="508"/>
      <c r="E389" s="507"/>
      <c r="F389" s="507"/>
      <c r="G389" s="507"/>
      <c r="H389" s="507"/>
      <c r="I389" s="507"/>
      <c r="J389" s="507"/>
      <c r="K389" s="507"/>
      <c r="L389" s="507"/>
      <c r="M389" s="507"/>
      <c r="N389" s="507"/>
    </row>
    <row r="390" ht="35.25" customHeight="1">
      <c r="A390" s="507"/>
      <c r="B390" s="507"/>
      <c r="C390" s="507"/>
      <c r="D390" s="508"/>
      <c r="E390" s="507"/>
      <c r="F390" s="507"/>
      <c r="G390" s="507"/>
      <c r="H390" s="507"/>
      <c r="I390" s="507"/>
      <c r="J390" s="507"/>
      <c r="K390" s="507"/>
      <c r="L390" s="507"/>
      <c r="M390" s="507"/>
      <c r="N390" s="507"/>
    </row>
    <row r="391" ht="35.25" customHeight="1">
      <c r="A391" s="507"/>
      <c r="B391" s="507"/>
      <c r="C391" s="507"/>
      <c r="D391" s="508"/>
      <c r="E391" s="507"/>
      <c r="F391" s="507"/>
      <c r="G391" s="507"/>
      <c r="H391" s="507"/>
      <c r="I391" s="507"/>
      <c r="J391" s="507"/>
      <c r="K391" s="507"/>
      <c r="L391" s="507"/>
      <c r="M391" s="507"/>
      <c r="N391" s="507"/>
    </row>
    <row r="392" ht="35.25" customHeight="1">
      <c r="A392" s="507"/>
      <c r="B392" s="507"/>
      <c r="C392" s="507"/>
      <c r="D392" s="508"/>
      <c r="E392" s="507"/>
      <c r="F392" s="507"/>
      <c r="G392" s="507"/>
      <c r="H392" s="507"/>
      <c r="I392" s="507"/>
      <c r="J392" s="507"/>
      <c r="K392" s="507"/>
      <c r="L392" s="507"/>
      <c r="M392" s="507"/>
      <c r="N392" s="507"/>
    </row>
    <row r="393" ht="35.25" customHeight="1">
      <c r="A393" s="507"/>
      <c r="B393" s="507"/>
      <c r="C393" s="507"/>
      <c r="D393" s="508"/>
      <c r="E393" s="507"/>
      <c r="F393" s="507"/>
      <c r="G393" s="507"/>
      <c r="H393" s="507"/>
      <c r="I393" s="507"/>
      <c r="J393" s="507"/>
      <c r="K393" s="507"/>
      <c r="L393" s="507"/>
      <c r="M393" s="507"/>
      <c r="N393" s="507"/>
    </row>
    <row r="394" ht="35.25" customHeight="1">
      <c r="A394" s="507"/>
      <c r="B394" s="507"/>
      <c r="C394" s="507"/>
      <c r="D394" s="508"/>
      <c r="E394" s="507"/>
      <c r="F394" s="507"/>
      <c r="G394" s="507"/>
      <c r="H394" s="507"/>
      <c r="I394" s="507"/>
      <c r="J394" s="507"/>
      <c r="K394" s="507"/>
      <c r="L394" s="507"/>
      <c r="M394" s="507"/>
      <c r="N394" s="507"/>
    </row>
    <row r="395" ht="35.25" customHeight="1">
      <c r="A395" s="507"/>
      <c r="B395" s="507"/>
      <c r="C395" s="507"/>
      <c r="D395" s="508"/>
      <c r="E395" s="507"/>
      <c r="F395" s="507"/>
      <c r="G395" s="507"/>
      <c r="H395" s="507"/>
      <c r="I395" s="507"/>
      <c r="J395" s="507"/>
      <c r="K395" s="507"/>
      <c r="L395" s="507"/>
      <c r="M395" s="507"/>
      <c r="N395" s="507"/>
    </row>
    <row r="396" ht="35.25" customHeight="1">
      <c r="A396" s="507"/>
      <c r="B396" s="507"/>
      <c r="C396" s="507"/>
      <c r="D396" s="508"/>
      <c r="E396" s="507"/>
      <c r="F396" s="507"/>
      <c r="G396" s="507"/>
      <c r="H396" s="507"/>
      <c r="I396" s="507"/>
      <c r="J396" s="507"/>
      <c r="K396" s="507"/>
      <c r="L396" s="507"/>
      <c r="M396" s="507"/>
      <c r="N396" s="507"/>
    </row>
    <row r="397" ht="35.25" customHeight="1">
      <c r="A397" s="507"/>
      <c r="B397" s="507"/>
      <c r="C397" s="507"/>
      <c r="D397" s="508"/>
      <c r="E397" s="507"/>
      <c r="F397" s="507"/>
      <c r="G397" s="507"/>
      <c r="H397" s="507"/>
      <c r="I397" s="507"/>
      <c r="J397" s="507"/>
      <c r="K397" s="507"/>
      <c r="L397" s="507"/>
      <c r="M397" s="507"/>
      <c r="N397" s="507"/>
    </row>
    <row r="398" ht="35.25" customHeight="1">
      <c r="A398" s="507"/>
      <c r="B398" s="507"/>
      <c r="C398" s="507"/>
      <c r="D398" s="508"/>
      <c r="E398" s="507"/>
      <c r="F398" s="507"/>
      <c r="G398" s="507"/>
      <c r="H398" s="507"/>
      <c r="I398" s="507"/>
      <c r="J398" s="507"/>
      <c r="K398" s="507"/>
      <c r="L398" s="507"/>
      <c r="M398" s="507"/>
      <c r="N398" s="507"/>
    </row>
    <row r="399" ht="35.25" customHeight="1">
      <c r="A399" s="507"/>
      <c r="B399" s="507"/>
      <c r="C399" s="507"/>
      <c r="D399" s="508"/>
      <c r="E399" s="507"/>
      <c r="F399" s="507"/>
      <c r="G399" s="507"/>
      <c r="H399" s="507"/>
      <c r="I399" s="507"/>
      <c r="J399" s="507"/>
      <c r="K399" s="507"/>
      <c r="L399" s="507"/>
      <c r="M399" s="507"/>
      <c r="N399" s="507"/>
    </row>
    <row r="400" ht="35.25" customHeight="1">
      <c r="A400" s="507"/>
      <c r="B400" s="507"/>
      <c r="C400" s="507"/>
      <c r="D400" s="508"/>
      <c r="E400" s="507"/>
      <c r="F400" s="507"/>
      <c r="G400" s="507"/>
      <c r="H400" s="507"/>
      <c r="I400" s="507"/>
      <c r="J400" s="507"/>
      <c r="K400" s="507"/>
      <c r="L400" s="507"/>
      <c r="M400" s="507"/>
      <c r="N400" s="507"/>
    </row>
    <row r="401" ht="35.25" customHeight="1">
      <c r="A401" s="507"/>
      <c r="B401" s="507"/>
      <c r="C401" s="507"/>
      <c r="D401" s="508"/>
      <c r="E401" s="507"/>
      <c r="F401" s="507"/>
      <c r="G401" s="507"/>
      <c r="H401" s="507"/>
      <c r="I401" s="507"/>
      <c r="J401" s="507"/>
      <c r="K401" s="507"/>
      <c r="L401" s="507"/>
      <c r="M401" s="507"/>
      <c r="N401" s="507"/>
    </row>
    <row r="402" ht="35.25" customHeight="1">
      <c r="A402" s="507"/>
      <c r="B402" s="507"/>
      <c r="C402" s="507"/>
      <c r="D402" s="508"/>
      <c r="E402" s="507"/>
      <c r="F402" s="507"/>
      <c r="G402" s="507"/>
      <c r="H402" s="507"/>
      <c r="I402" s="507"/>
      <c r="J402" s="507"/>
      <c r="K402" s="507"/>
      <c r="L402" s="507"/>
      <c r="M402" s="507"/>
      <c r="N402" s="507"/>
    </row>
    <row r="403" ht="35.25" customHeight="1">
      <c r="A403" s="507"/>
      <c r="B403" s="507"/>
      <c r="C403" s="507"/>
      <c r="D403" s="508"/>
      <c r="E403" s="507"/>
      <c r="F403" s="507"/>
      <c r="G403" s="507"/>
      <c r="H403" s="507"/>
      <c r="I403" s="507"/>
      <c r="J403" s="507"/>
      <c r="K403" s="507"/>
      <c r="L403" s="507"/>
      <c r="M403" s="507"/>
      <c r="N403" s="507"/>
    </row>
    <row r="404" ht="35.25" customHeight="1">
      <c r="A404" s="507"/>
      <c r="B404" s="507"/>
      <c r="C404" s="507"/>
      <c r="D404" s="508"/>
      <c r="E404" s="507"/>
      <c r="F404" s="507"/>
      <c r="G404" s="507"/>
      <c r="H404" s="507"/>
      <c r="I404" s="507"/>
      <c r="J404" s="507"/>
      <c r="K404" s="507"/>
      <c r="L404" s="507"/>
      <c r="M404" s="507"/>
      <c r="N404" s="507"/>
    </row>
    <row r="405" ht="35.25" customHeight="1">
      <c r="A405" s="507"/>
      <c r="B405" s="507"/>
      <c r="C405" s="507"/>
      <c r="D405" s="508"/>
      <c r="E405" s="507"/>
      <c r="F405" s="507"/>
      <c r="G405" s="507"/>
      <c r="H405" s="507"/>
      <c r="I405" s="507"/>
      <c r="J405" s="507"/>
      <c r="K405" s="507"/>
      <c r="L405" s="507"/>
      <c r="M405" s="507"/>
      <c r="N405" s="507"/>
    </row>
    <row r="406" ht="35.25" customHeight="1">
      <c r="A406" s="507"/>
      <c r="B406" s="507"/>
      <c r="C406" s="507"/>
      <c r="D406" s="508"/>
      <c r="E406" s="507"/>
      <c r="F406" s="507"/>
      <c r="G406" s="507"/>
      <c r="H406" s="507"/>
      <c r="I406" s="507"/>
      <c r="J406" s="507"/>
      <c r="K406" s="507"/>
      <c r="L406" s="507"/>
      <c r="M406" s="507"/>
      <c r="N406" s="507"/>
    </row>
    <row r="407" ht="35.25" customHeight="1">
      <c r="A407" s="507"/>
      <c r="B407" s="507"/>
      <c r="C407" s="507"/>
      <c r="D407" s="508"/>
      <c r="E407" s="507"/>
      <c r="F407" s="507"/>
      <c r="G407" s="507"/>
      <c r="H407" s="507"/>
      <c r="I407" s="507"/>
      <c r="J407" s="507"/>
      <c r="K407" s="507"/>
      <c r="L407" s="507"/>
      <c r="M407" s="507"/>
      <c r="N407" s="507"/>
    </row>
    <row r="408" ht="35.25" customHeight="1">
      <c r="A408" s="507"/>
      <c r="B408" s="507"/>
      <c r="C408" s="507"/>
      <c r="D408" s="508"/>
      <c r="E408" s="507"/>
      <c r="F408" s="507"/>
      <c r="G408" s="507"/>
      <c r="H408" s="507"/>
      <c r="I408" s="507"/>
      <c r="J408" s="507"/>
      <c r="K408" s="507"/>
      <c r="L408" s="507"/>
      <c r="M408" s="507"/>
      <c r="N408" s="507"/>
    </row>
    <row r="409" ht="35.25" customHeight="1">
      <c r="A409" s="507"/>
      <c r="B409" s="507"/>
      <c r="C409" s="507"/>
      <c r="D409" s="508"/>
      <c r="E409" s="507"/>
      <c r="F409" s="507"/>
      <c r="G409" s="507"/>
      <c r="H409" s="507"/>
      <c r="I409" s="507"/>
      <c r="J409" s="507"/>
      <c r="K409" s="507"/>
      <c r="L409" s="507"/>
      <c r="M409" s="507"/>
      <c r="N409" s="507"/>
    </row>
    <row r="410" ht="35.25" customHeight="1">
      <c r="A410" s="507"/>
      <c r="B410" s="507"/>
      <c r="C410" s="507"/>
      <c r="D410" s="508"/>
      <c r="E410" s="507"/>
      <c r="F410" s="507"/>
      <c r="G410" s="507"/>
      <c r="H410" s="507"/>
      <c r="I410" s="507"/>
      <c r="J410" s="507"/>
      <c r="K410" s="507"/>
      <c r="L410" s="507"/>
      <c r="M410" s="507"/>
      <c r="N410" s="507"/>
    </row>
    <row r="411" ht="35.25" customHeight="1">
      <c r="A411" s="507"/>
      <c r="B411" s="507"/>
      <c r="C411" s="507"/>
      <c r="D411" s="508"/>
      <c r="E411" s="507"/>
      <c r="F411" s="507"/>
      <c r="G411" s="507"/>
      <c r="H411" s="507"/>
      <c r="I411" s="507"/>
      <c r="J411" s="507"/>
      <c r="K411" s="507"/>
      <c r="L411" s="507"/>
      <c r="M411" s="507"/>
      <c r="N411" s="507"/>
    </row>
    <row r="412" ht="35.25" customHeight="1">
      <c r="A412" s="507"/>
      <c r="B412" s="507"/>
      <c r="C412" s="507"/>
      <c r="D412" s="508"/>
      <c r="E412" s="507"/>
      <c r="F412" s="507"/>
      <c r="G412" s="507"/>
      <c r="H412" s="507"/>
      <c r="I412" s="507"/>
      <c r="J412" s="507"/>
      <c r="K412" s="507"/>
      <c r="L412" s="507"/>
      <c r="M412" s="507"/>
      <c r="N412" s="507"/>
    </row>
    <row r="413" ht="35.25" customHeight="1">
      <c r="A413" s="507"/>
      <c r="B413" s="507"/>
      <c r="C413" s="507"/>
      <c r="D413" s="508"/>
      <c r="E413" s="507"/>
      <c r="F413" s="507"/>
      <c r="G413" s="507"/>
      <c r="H413" s="507"/>
      <c r="I413" s="507"/>
      <c r="J413" s="507"/>
      <c r="K413" s="507"/>
      <c r="L413" s="507"/>
      <c r="M413" s="507"/>
      <c r="N413" s="507"/>
    </row>
    <row r="414" ht="35.25" customHeight="1">
      <c r="A414" s="507"/>
      <c r="B414" s="507"/>
      <c r="C414" s="507"/>
      <c r="D414" s="508"/>
      <c r="E414" s="507"/>
      <c r="F414" s="507"/>
      <c r="G414" s="507"/>
      <c r="H414" s="507"/>
      <c r="I414" s="507"/>
      <c r="J414" s="507"/>
      <c r="K414" s="507"/>
      <c r="L414" s="507"/>
      <c r="M414" s="507"/>
      <c r="N414" s="507"/>
    </row>
    <row r="415" ht="35.25" customHeight="1">
      <c r="A415" s="507"/>
      <c r="B415" s="507"/>
      <c r="C415" s="507"/>
      <c r="D415" s="508"/>
      <c r="E415" s="507"/>
      <c r="F415" s="507"/>
      <c r="G415" s="507"/>
      <c r="H415" s="507"/>
      <c r="I415" s="507"/>
      <c r="J415" s="507"/>
      <c r="K415" s="507"/>
      <c r="L415" s="507"/>
      <c r="M415" s="507"/>
      <c r="N415" s="507"/>
    </row>
    <row r="416" ht="35.25" customHeight="1">
      <c r="A416" s="507"/>
      <c r="B416" s="507"/>
      <c r="C416" s="507"/>
      <c r="D416" s="508"/>
      <c r="E416" s="507"/>
      <c r="F416" s="507"/>
      <c r="G416" s="507"/>
      <c r="H416" s="507"/>
      <c r="I416" s="507"/>
      <c r="J416" s="507"/>
      <c r="K416" s="507"/>
      <c r="L416" s="507"/>
      <c r="M416" s="507"/>
      <c r="N416" s="507"/>
    </row>
    <row r="417" ht="35.25" customHeight="1">
      <c r="A417" s="507"/>
      <c r="B417" s="507"/>
      <c r="C417" s="507"/>
      <c r="D417" s="508"/>
      <c r="E417" s="507"/>
      <c r="F417" s="507"/>
      <c r="G417" s="507"/>
      <c r="H417" s="507"/>
      <c r="I417" s="507"/>
      <c r="J417" s="507"/>
      <c r="K417" s="507"/>
      <c r="L417" s="507"/>
      <c r="M417" s="507"/>
      <c r="N417" s="507"/>
    </row>
    <row r="418" ht="35.25" customHeight="1">
      <c r="A418" s="507"/>
      <c r="B418" s="507"/>
      <c r="C418" s="507"/>
      <c r="D418" s="508"/>
      <c r="E418" s="507"/>
      <c r="F418" s="507"/>
      <c r="G418" s="507"/>
      <c r="H418" s="507"/>
      <c r="I418" s="507"/>
      <c r="J418" s="507"/>
      <c r="K418" s="507"/>
      <c r="L418" s="507"/>
      <c r="M418" s="507"/>
      <c r="N418" s="507"/>
    </row>
    <row r="419" ht="35.25" customHeight="1">
      <c r="A419" s="507"/>
      <c r="B419" s="507"/>
      <c r="C419" s="507"/>
      <c r="D419" s="508"/>
      <c r="E419" s="507"/>
      <c r="F419" s="507"/>
      <c r="G419" s="507"/>
      <c r="H419" s="507"/>
      <c r="I419" s="507"/>
      <c r="J419" s="507"/>
      <c r="K419" s="507"/>
      <c r="L419" s="507"/>
      <c r="M419" s="507"/>
      <c r="N419" s="507"/>
    </row>
    <row r="420" ht="35.25" customHeight="1">
      <c r="A420" s="507"/>
      <c r="B420" s="507"/>
      <c r="C420" s="507"/>
      <c r="D420" s="508"/>
      <c r="E420" s="507"/>
      <c r="F420" s="507"/>
      <c r="G420" s="507"/>
      <c r="H420" s="507"/>
      <c r="I420" s="507"/>
      <c r="J420" s="507"/>
      <c r="K420" s="507"/>
      <c r="L420" s="507"/>
      <c r="M420" s="507"/>
      <c r="N420" s="507"/>
    </row>
    <row r="421" ht="35.25" customHeight="1">
      <c r="A421" s="507"/>
      <c r="B421" s="507"/>
      <c r="C421" s="507"/>
      <c r="D421" s="508"/>
      <c r="E421" s="507"/>
      <c r="F421" s="507"/>
      <c r="G421" s="507"/>
      <c r="H421" s="507"/>
      <c r="I421" s="507"/>
      <c r="J421" s="507"/>
      <c r="K421" s="507"/>
      <c r="L421" s="507"/>
      <c r="M421" s="507"/>
      <c r="N421" s="507"/>
    </row>
    <row r="422" ht="35.25" customHeight="1">
      <c r="A422" s="507"/>
      <c r="B422" s="507"/>
      <c r="C422" s="507"/>
      <c r="D422" s="508"/>
      <c r="E422" s="507"/>
      <c r="F422" s="507"/>
      <c r="G422" s="507"/>
      <c r="H422" s="507"/>
      <c r="I422" s="507"/>
      <c r="J422" s="507"/>
      <c r="K422" s="507"/>
      <c r="L422" s="507"/>
      <c r="M422" s="507"/>
      <c r="N422" s="507"/>
    </row>
    <row r="423" ht="35.25" customHeight="1">
      <c r="A423" s="507"/>
      <c r="B423" s="507"/>
      <c r="C423" s="507"/>
      <c r="D423" s="508"/>
      <c r="E423" s="507"/>
      <c r="F423" s="507"/>
      <c r="G423" s="507"/>
      <c r="H423" s="507"/>
      <c r="I423" s="507"/>
      <c r="J423" s="507"/>
      <c r="K423" s="507"/>
      <c r="L423" s="507"/>
      <c r="M423" s="507"/>
      <c r="N423" s="507"/>
    </row>
    <row r="424" ht="35.25" customHeight="1">
      <c r="A424" s="507"/>
      <c r="B424" s="507"/>
      <c r="C424" s="507"/>
      <c r="D424" s="508"/>
      <c r="E424" s="507"/>
      <c r="F424" s="507"/>
      <c r="G424" s="507"/>
      <c r="H424" s="507"/>
      <c r="I424" s="507"/>
      <c r="J424" s="507"/>
      <c r="K424" s="507"/>
      <c r="L424" s="507"/>
      <c r="M424" s="507"/>
      <c r="N424" s="507"/>
    </row>
    <row r="425" ht="35.25" customHeight="1">
      <c r="A425" s="507"/>
      <c r="B425" s="507"/>
      <c r="C425" s="507"/>
      <c r="D425" s="508"/>
      <c r="E425" s="507"/>
      <c r="F425" s="507"/>
      <c r="G425" s="507"/>
      <c r="H425" s="507"/>
      <c r="I425" s="507"/>
      <c r="J425" s="507"/>
      <c r="K425" s="507"/>
      <c r="L425" s="507"/>
      <c r="M425" s="507"/>
      <c r="N425" s="507"/>
    </row>
    <row r="426" ht="35.25" customHeight="1">
      <c r="A426" s="507"/>
      <c r="B426" s="507"/>
      <c r="C426" s="507"/>
      <c r="D426" s="508"/>
      <c r="E426" s="507"/>
      <c r="F426" s="507"/>
      <c r="G426" s="507"/>
      <c r="H426" s="507"/>
      <c r="I426" s="507"/>
      <c r="J426" s="507"/>
      <c r="K426" s="507"/>
      <c r="L426" s="507"/>
      <c r="M426" s="507"/>
      <c r="N426" s="507"/>
    </row>
    <row r="427" ht="35.25" customHeight="1">
      <c r="A427" s="507"/>
      <c r="B427" s="507"/>
      <c r="C427" s="507"/>
      <c r="D427" s="508"/>
      <c r="E427" s="507"/>
      <c r="F427" s="507"/>
      <c r="G427" s="507"/>
      <c r="H427" s="507"/>
      <c r="I427" s="507"/>
      <c r="J427" s="507"/>
      <c r="K427" s="507"/>
      <c r="L427" s="507"/>
      <c r="M427" s="507"/>
      <c r="N427" s="507"/>
    </row>
    <row r="428" ht="35.25" customHeight="1">
      <c r="A428" s="507"/>
      <c r="B428" s="507"/>
      <c r="C428" s="507"/>
      <c r="D428" s="508"/>
      <c r="E428" s="507"/>
      <c r="F428" s="507"/>
      <c r="G428" s="507"/>
      <c r="H428" s="507"/>
      <c r="I428" s="507"/>
      <c r="J428" s="507"/>
      <c r="K428" s="507"/>
      <c r="L428" s="507"/>
      <c r="M428" s="507"/>
      <c r="N428" s="507"/>
    </row>
    <row r="429" ht="35.25" customHeight="1">
      <c r="A429" s="507"/>
      <c r="B429" s="507"/>
      <c r="C429" s="507"/>
      <c r="D429" s="508"/>
      <c r="E429" s="507"/>
      <c r="F429" s="507"/>
      <c r="G429" s="507"/>
      <c r="H429" s="507"/>
      <c r="I429" s="507"/>
      <c r="J429" s="507"/>
      <c r="K429" s="507"/>
      <c r="L429" s="507"/>
      <c r="M429" s="507"/>
      <c r="N429" s="507"/>
    </row>
    <row r="430" ht="35.25" customHeight="1">
      <c r="A430" s="507"/>
      <c r="B430" s="507"/>
      <c r="C430" s="507"/>
      <c r="D430" s="508"/>
      <c r="E430" s="507"/>
      <c r="F430" s="507"/>
      <c r="G430" s="507"/>
      <c r="H430" s="507"/>
      <c r="I430" s="507"/>
      <c r="J430" s="507"/>
      <c r="K430" s="507"/>
      <c r="L430" s="507"/>
      <c r="M430" s="507"/>
      <c r="N430" s="507"/>
    </row>
    <row r="431" ht="35.25" customHeight="1">
      <c r="A431" s="507"/>
      <c r="B431" s="507"/>
      <c r="C431" s="507"/>
      <c r="D431" s="508"/>
      <c r="E431" s="507"/>
      <c r="F431" s="507"/>
      <c r="G431" s="507"/>
      <c r="H431" s="507"/>
      <c r="I431" s="507"/>
      <c r="J431" s="507"/>
      <c r="K431" s="507"/>
      <c r="L431" s="507"/>
      <c r="M431" s="507"/>
      <c r="N431" s="507"/>
    </row>
    <row r="432" ht="35.25" customHeight="1">
      <c r="A432" s="507"/>
      <c r="B432" s="507"/>
      <c r="C432" s="507"/>
      <c r="D432" s="508"/>
      <c r="E432" s="507"/>
      <c r="F432" s="507"/>
      <c r="G432" s="507"/>
      <c r="H432" s="507"/>
      <c r="I432" s="507"/>
      <c r="J432" s="507"/>
      <c r="K432" s="507"/>
      <c r="L432" s="507"/>
      <c r="M432" s="507"/>
      <c r="N432" s="507"/>
    </row>
    <row r="433" ht="35.25" customHeight="1">
      <c r="A433" s="507"/>
      <c r="B433" s="507"/>
      <c r="C433" s="507"/>
      <c r="D433" s="508"/>
      <c r="E433" s="507"/>
      <c r="F433" s="507"/>
      <c r="G433" s="507"/>
      <c r="H433" s="507"/>
      <c r="I433" s="507"/>
      <c r="J433" s="507"/>
      <c r="K433" s="507"/>
      <c r="L433" s="507"/>
      <c r="M433" s="507"/>
      <c r="N433" s="507"/>
    </row>
    <row r="434" ht="35.25" customHeight="1">
      <c r="A434" s="507"/>
      <c r="B434" s="507"/>
      <c r="C434" s="507"/>
      <c r="D434" s="508"/>
      <c r="E434" s="507"/>
      <c r="F434" s="507"/>
      <c r="G434" s="507"/>
      <c r="H434" s="507"/>
      <c r="I434" s="507"/>
      <c r="J434" s="507"/>
      <c r="K434" s="507"/>
      <c r="L434" s="507"/>
      <c r="M434" s="507"/>
      <c r="N434" s="507"/>
    </row>
    <row r="435" ht="35.25" customHeight="1">
      <c r="A435" s="507"/>
      <c r="B435" s="507"/>
      <c r="C435" s="507"/>
      <c r="D435" s="508"/>
      <c r="E435" s="507"/>
      <c r="F435" s="507"/>
      <c r="G435" s="507"/>
      <c r="H435" s="507"/>
      <c r="I435" s="507"/>
      <c r="J435" s="507"/>
      <c r="K435" s="507"/>
      <c r="L435" s="507"/>
      <c r="M435" s="507"/>
      <c r="N435" s="507"/>
    </row>
    <row r="436" ht="35.25" customHeight="1">
      <c r="A436" s="507"/>
      <c r="B436" s="507"/>
      <c r="C436" s="507"/>
      <c r="D436" s="508"/>
      <c r="E436" s="507"/>
      <c r="F436" s="507"/>
      <c r="G436" s="507"/>
      <c r="H436" s="507"/>
      <c r="I436" s="507"/>
      <c r="J436" s="507"/>
      <c r="K436" s="507"/>
      <c r="L436" s="507"/>
      <c r="M436" s="507"/>
      <c r="N436" s="507"/>
    </row>
    <row r="437" ht="35.25" customHeight="1">
      <c r="A437" s="507"/>
      <c r="B437" s="507"/>
      <c r="C437" s="507"/>
      <c r="D437" s="508"/>
      <c r="E437" s="507"/>
      <c r="F437" s="507"/>
      <c r="G437" s="507"/>
      <c r="H437" s="507"/>
      <c r="I437" s="507"/>
      <c r="J437" s="507"/>
      <c r="K437" s="507"/>
      <c r="L437" s="507"/>
      <c r="M437" s="507"/>
      <c r="N437" s="507"/>
    </row>
    <row r="438" ht="35.25" customHeight="1">
      <c r="A438" s="507"/>
      <c r="B438" s="507"/>
      <c r="C438" s="507"/>
      <c r="D438" s="508"/>
      <c r="E438" s="507"/>
      <c r="F438" s="507"/>
      <c r="G438" s="507"/>
      <c r="H438" s="507"/>
      <c r="I438" s="507"/>
      <c r="J438" s="507"/>
      <c r="K438" s="507"/>
      <c r="L438" s="507"/>
      <c r="M438" s="507"/>
      <c r="N438" s="507"/>
    </row>
    <row r="439" ht="35.25" customHeight="1">
      <c r="A439" s="507"/>
      <c r="B439" s="507"/>
      <c r="C439" s="507"/>
      <c r="D439" s="508"/>
      <c r="E439" s="507"/>
      <c r="F439" s="507"/>
      <c r="G439" s="507"/>
      <c r="H439" s="507"/>
      <c r="I439" s="507"/>
      <c r="J439" s="507"/>
      <c r="K439" s="507"/>
      <c r="L439" s="507"/>
      <c r="M439" s="507"/>
      <c r="N439" s="507"/>
    </row>
    <row r="440" ht="35.25" customHeight="1">
      <c r="A440" s="507"/>
      <c r="B440" s="507"/>
      <c r="C440" s="507"/>
      <c r="D440" s="508"/>
      <c r="E440" s="507"/>
      <c r="F440" s="507"/>
      <c r="G440" s="507"/>
      <c r="H440" s="507"/>
      <c r="I440" s="507"/>
      <c r="J440" s="507"/>
      <c r="K440" s="507"/>
      <c r="L440" s="507"/>
      <c r="M440" s="507"/>
      <c r="N440" s="507"/>
    </row>
    <row r="441" ht="35.25" customHeight="1">
      <c r="A441" s="507"/>
      <c r="B441" s="507"/>
      <c r="C441" s="507"/>
      <c r="D441" s="508"/>
      <c r="E441" s="507"/>
      <c r="F441" s="507"/>
      <c r="G441" s="507"/>
      <c r="H441" s="507"/>
      <c r="I441" s="507"/>
      <c r="J441" s="507"/>
      <c r="K441" s="507"/>
      <c r="L441" s="507"/>
      <c r="M441" s="507"/>
      <c r="N441" s="507"/>
    </row>
    <row r="442" ht="35.25" customHeight="1">
      <c r="A442" s="507"/>
      <c r="B442" s="507"/>
      <c r="C442" s="507"/>
      <c r="D442" s="508"/>
      <c r="E442" s="507"/>
      <c r="F442" s="507"/>
      <c r="G442" s="507"/>
      <c r="H442" s="507"/>
      <c r="I442" s="507"/>
      <c r="J442" s="507"/>
      <c r="K442" s="507"/>
      <c r="L442" s="507"/>
      <c r="M442" s="507"/>
      <c r="N442" s="507"/>
    </row>
    <row r="443" ht="35.25" customHeight="1">
      <c r="A443" s="507"/>
      <c r="B443" s="507"/>
      <c r="C443" s="507"/>
      <c r="D443" s="508"/>
      <c r="E443" s="507"/>
      <c r="F443" s="507"/>
      <c r="G443" s="507"/>
      <c r="H443" s="507"/>
      <c r="I443" s="507"/>
      <c r="J443" s="507"/>
      <c r="K443" s="507"/>
      <c r="L443" s="507"/>
      <c r="M443" s="507"/>
      <c r="N443" s="507"/>
    </row>
    <row r="444" ht="35.25" customHeight="1">
      <c r="A444" s="507"/>
      <c r="B444" s="507"/>
      <c r="C444" s="507"/>
      <c r="D444" s="508"/>
      <c r="E444" s="507"/>
      <c r="F444" s="507"/>
      <c r="G444" s="507"/>
      <c r="H444" s="507"/>
      <c r="I444" s="507"/>
      <c r="J444" s="507"/>
      <c r="K444" s="507"/>
      <c r="L444" s="507"/>
      <c r="M444" s="507"/>
      <c r="N444" s="507"/>
    </row>
    <row r="445" ht="35.25" customHeight="1">
      <c r="A445" s="507"/>
      <c r="B445" s="507"/>
      <c r="C445" s="507"/>
      <c r="D445" s="508"/>
      <c r="E445" s="507"/>
      <c r="F445" s="507"/>
      <c r="G445" s="507"/>
      <c r="H445" s="507"/>
      <c r="I445" s="507"/>
      <c r="J445" s="507"/>
      <c r="K445" s="507"/>
      <c r="L445" s="507"/>
      <c r="M445" s="507"/>
      <c r="N445" s="507"/>
    </row>
    <row r="446" ht="35.25" customHeight="1">
      <c r="A446" s="507"/>
      <c r="B446" s="507"/>
      <c r="C446" s="507"/>
      <c r="D446" s="508"/>
      <c r="E446" s="507"/>
      <c r="F446" s="507"/>
      <c r="G446" s="507"/>
      <c r="H446" s="507"/>
      <c r="I446" s="507"/>
      <c r="J446" s="507"/>
      <c r="K446" s="507"/>
      <c r="L446" s="507"/>
      <c r="M446" s="507"/>
      <c r="N446" s="507"/>
    </row>
    <row r="447" ht="35.25" customHeight="1">
      <c r="A447" s="507"/>
      <c r="B447" s="507"/>
      <c r="C447" s="507"/>
      <c r="D447" s="508"/>
      <c r="E447" s="507"/>
      <c r="F447" s="507"/>
      <c r="G447" s="507"/>
      <c r="H447" s="507"/>
      <c r="I447" s="507"/>
      <c r="J447" s="507"/>
      <c r="K447" s="507"/>
      <c r="L447" s="507"/>
      <c r="M447" s="507"/>
      <c r="N447" s="507"/>
    </row>
    <row r="448" ht="35.25" customHeight="1">
      <c r="A448" s="507"/>
      <c r="B448" s="507"/>
      <c r="C448" s="507"/>
      <c r="D448" s="508"/>
      <c r="E448" s="507"/>
      <c r="F448" s="507"/>
      <c r="G448" s="507"/>
      <c r="H448" s="507"/>
      <c r="I448" s="507"/>
      <c r="J448" s="507"/>
      <c r="K448" s="507"/>
      <c r="L448" s="507"/>
      <c r="M448" s="507"/>
      <c r="N448" s="507"/>
    </row>
    <row r="449" ht="35.25" customHeight="1">
      <c r="A449" s="507"/>
      <c r="B449" s="507"/>
      <c r="C449" s="507"/>
      <c r="D449" s="508"/>
      <c r="E449" s="507"/>
      <c r="F449" s="507"/>
      <c r="G449" s="507"/>
      <c r="H449" s="507"/>
      <c r="I449" s="507"/>
      <c r="J449" s="507"/>
      <c r="K449" s="507"/>
      <c r="L449" s="507"/>
      <c r="M449" s="507"/>
      <c r="N449" s="507"/>
    </row>
    <row r="450" ht="35.25" customHeight="1">
      <c r="A450" s="507"/>
      <c r="B450" s="507"/>
      <c r="C450" s="507"/>
      <c r="D450" s="508"/>
      <c r="E450" s="507"/>
      <c r="F450" s="507"/>
      <c r="G450" s="507"/>
      <c r="H450" s="507"/>
      <c r="I450" s="507"/>
      <c r="J450" s="507"/>
      <c r="K450" s="507"/>
      <c r="L450" s="507"/>
      <c r="M450" s="507"/>
      <c r="N450" s="507"/>
    </row>
    <row r="451" ht="35.25" customHeight="1">
      <c r="A451" s="507"/>
      <c r="B451" s="507"/>
      <c r="C451" s="507"/>
      <c r="D451" s="508"/>
      <c r="E451" s="507"/>
      <c r="F451" s="507"/>
      <c r="G451" s="507"/>
      <c r="H451" s="507"/>
      <c r="I451" s="507"/>
      <c r="J451" s="507"/>
      <c r="K451" s="507"/>
      <c r="L451" s="507"/>
      <c r="M451" s="507"/>
      <c r="N451" s="507"/>
    </row>
    <row r="452" ht="35.25" customHeight="1">
      <c r="A452" s="507"/>
      <c r="B452" s="507"/>
      <c r="C452" s="507"/>
      <c r="D452" s="508"/>
      <c r="E452" s="507"/>
      <c r="F452" s="507"/>
      <c r="G452" s="507"/>
      <c r="H452" s="507"/>
      <c r="I452" s="507"/>
      <c r="J452" s="507"/>
      <c r="K452" s="507"/>
      <c r="L452" s="507"/>
      <c r="M452" s="507"/>
      <c r="N452" s="507"/>
    </row>
    <row r="453" ht="35.25" customHeight="1">
      <c r="A453" s="507"/>
      <c r="B453" s="507"/>
      <c r="C453" s="507"/>
      <c r="D453" s="508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</row>
    <row r="454" ht="35.25" customHeight="1">
      <c r="A454" s="507"/>
      <c r="B454" s="507"/>
      <c r="C454" s="507"/>
      <c r="D454" s="508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</row>
    <row r="455" ht="35.25" customHeight="1">
      <c r="A455" s="507"/>
      <c r="B455" s="507"/>
      <c r="C455" s="507"/>
      <c r="D455" s="508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</row>
    <row r="456" ht="35.25" customHeight="1">
      <c r="A456" s="507"/>
      <c r="B456" s="507"/>
      <c r="C456" s="507"/>
      <c r="D456" s="508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</row>
    <row r="457" ht="35.25" customHeight="1">
      <c r="A457" s="507"/>
      <c r="B457" s="507"/>
      <c r="C457" s="507"/>
      <c r="D457" s="508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</row>
    <row r="458" ht="35.25" customHeight="1">
      <c r="A458" s="507"/>
      <c r="B458" s="507"/>
      <c r="C458" s="507"/>
      <c r="D458" s="508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</row>
    <row r="459" ht="35.25" customHeight="1">
      <c r="A459" s="507"/>
      <c r="B459" s="507"/>
      <c r="C459" s="507"/>
      <c r="D459" s="508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</row>
    <row r="460" ht="35.25" customHeight="1">
      <c r="A460" s="507"/>
      <c r="B460" s="507"/>
      <c r="C460" s="507"/>
      <c r="D460" s="508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</row>
    <row r="461" ht="35.25" customHeight="1">
      <c r="A461" s="507"/>
      <c r="B461" s="507"/>
      <c r="C461" s="507"/>
      <c r="D461" s="508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</row>
    <row r="462" ht="35.25" customHeight="1">
      <c r="A462" s="507"/>
      <c r="B462" s="507"/>
      <c r="C462" s="507"/>
      <c r="D462" s="508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</row>
    <row r="463" ht="35.25" customHeight="1">
      <c r="A463" s="507"/>
      <c r="B463" s="507"/>
      <c r="C463" s="507"/>
      <c r="D463" s="508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</row>
    <row r="464" ht="35.25" customHeight="1">
      <c r="A464" s="507"/>
      <c r="B464" s="507"/>
      <c r="C464" s="507"/>
      <c r="D464" s="508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</row>
    <row r="465" ht="35.25" customHeight="1">
      <c r="A465" s="507"/>
      <c r="B465" s="507"/>
      <c r="C465" s="507"/>
      <c r="D465" s="508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</row>
    <row r="466" ht="35.25" customHeight="1">
      <c r="A466" s="507"/>
      <c r="B466" s="507"/>
      <c r="C466" s="507"/>
      <c r="D466" s="508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</row>
    <row r="467" ht="35.25" customHeight="1">
      <c r="A467" s="507"/>
      <c r="B467" s="507"/>
      <c r="C467" s="507"/>
      <c r="D467" s="508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</row>
    <row r="468" ht="35.25" customHeight="1">
      <c r="A468" s="507"/>
      <c r="B468" s="507"/>
      <c r="C468" s="507"/>
      <c r="D468" s="508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</row>
    <row r="469" ht="35.25" customHeight="1">
      <c r="A469" s="507"/>
      <c r="B469" s="507"/>
      <c r="C469" s="507"/>
      <c r="D469" s="508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</row>
    <row r="470" ht="35.25" customHeight="1">
      <c r="A470" s="507"/>
      <c r="B470" s="507"/>
      <c r="C470" s="507"/>
      <c r="D470" s="508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</row>
    <row r="471" ht="35.25" customHeight="1">
      <c r="A471" s="507"/>
      <c r="B471" s="507"/>
      <c r="C471" s="507"/>
      <c r="D471" s="508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</row>
    <row r="472" ht="35.25" customHeight="1">
      <c r="A472" s="507"/>
      <c r="B472" s="507"/>
      <c r="C472" s="507"/>
      <c r="D472" s="508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</row>
    <row r="473" ht="35.25" customHeight="1">
      <c r="A473" s="507"/>
      <c r="B473" s="507"/>
      <c r="C473" s="507"/>
      <c r="D473" s="508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</row>
    <row r="474" ht="35.25" customHeight="1">
      <c r="A474" s="507"/>
      <c r="B474" s="507"/>
      <c r="C474" s="507"/>
      <c r="D474" s="508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</row>
    <row r="475" ht="35.25" customHeight="1">
      <c r="A475" s="507"/>
      <c r="B475" s="507"/>
      <c r="C475" s="507"/>
      <c r="D475" s="508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</row>
    <row r="476" ht="35.25" customHeight="1">
      <c r="A476" s="507"/>
      <c r="B476" s="507"/>
      <c r="C476" s="507"/>
      <c r="D476" s="508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</row>
    <row r="477" ht="35.25" customHeight="1">
      <c r="A477" s="507"/>
      <c r="B477" s="507"/>
      <c r="C477" s="507"/>
      <c r="D477" s="508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</row>
    <row r="478" ht="35.25" customHeight="1">
      <c r="A478" s="507"/>
      <c r="B478" s="507"/>
      <c r="C478" s="507"/>
      <c r="D478" s="508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</row>
    <row r="479" ht="35.25" customHeight="1">
      <c r="A479" s="507"/>
      <c r="B479" s="507"/>
      <c r="C479" s="507"/>
      <c r="D479" s="508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</row>
    <row r="480" ht="35.25" customHeight="1">
      <c r="A480" s="507"/>
      <c r="B480" s="507"/>
      <c r="C480" s="507"/>
      <c r="D480" s="508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</row>
    <row r="481" ht="35.25" customHeight="1">
      <c r="A481" s="507"/>
      <c r="B481" s="507"/>
      <c r="C481" s="507"/>
      <c r="D481" s="508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</row>
    <row r="482" ht="35.25" customHeight="1">
      <c r="A482" s="507"/>
      <c r="B482" s="507"/>
      <c r="C482" s="507"/>
      <c r="D482" s="508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</row>
    <row r="483" ht="35.25" customHeight="1">
      <c r="A483" s="507"/>
      <c r="B483" s="507"/>
      <c r="C483" s="507"/>
      <c r="D483" s="508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</row>
    <row r="484" ht="35.25" customHeight="1">
      <c r="A484" s="507"/>
      <c r="B484" s="507"/>
      <c r="C484" s="507"/>
      <c r="D484" s="508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</row>
    <row r="485" ht="35.25" customHeight="1">
      <c r="A485" s="507"/>
      <c r="B485" s="507"/>
      <c r="C485" s="507"/>
      <c r="D485" s="508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</row>
    <row r="486" ht="35.25" customHeight="1">
      <c r="A486" s="507"/>
      <c r="B486" s="507"/>
      <c r="C486" s="507"/>
      <c r="D486" s="508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</row>
    <row r="487" ht="35.25" customHeight="1">
      <c r="A487" s="507"/>
      <c r="B487" s="507"/>
      <c r="C487" s="507"/>
      <c r="D487" s="508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</row>
    <row r="488" ht="35.25" customHeight="1">
      <c r="A488" s="507"/>
      <c r="B488" s="507"/>
      <c r="C488" s="507"/>
      <c r="D488" s="508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</row>
    <row r="489" ht="35.25" customHeight="1">
      <c r="A489" s="507"/>
      <c r="B489" s="507"/>
      <c r="C489" s="507"/>
      <c r="D489" s="508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</row>
    <row r="490" ht="35.25" customHeight="1">
      <c r="A490" s="507"/>
      <c r="B490" s="507"/>
      <c r="C490" s="507"/>
      <c r="D490" s="508"/>
      <c r="E490" s="507"/>
      <c r="F490" s="507"/>
      <c r="G490" s="507"/>
      <c r="H490" s="507"/>
      <c r="I490" s="507"/>
      <c r="J490" s="507"/>
      <c r="K490" s="507"/>
      <c r="L490" s="507"/>
      <c r="M490" s="507"/>
      <c r="N490" s="507"/>
    </row>
    <row r="491" ht="35.25" customHeight="1">
      <c r="A491" s="507"/>
      <c r="B491" s="507"/>
      <c r="C491" s="507"/>
      <c r="D491" s="508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</row>
    <row r="492" ht="35.25" customHeight="1">
      <c r="A492" s="507"/>
      <c r="B492" s="507"/>
      <c r="C492" s="507"/>
      <c r="D492" s="508"/>
      <c r="E492" s="507"/>
      <c r="F492" s="507"/>
      <c r="G492" s="507"/>
      <c r="H492" s="507"/>
      <c r="I492" s="507"/>
      <c r="J492" s="507"/>
      <c r="K492" s="507"/>
      <c r="L492" s="507"/>
      <c r="M492" s="507"/>
      <c r="N492" s="507"/>
    </row>
    <row r="493" ht="35.25" customHeight="1">
      <c r="A493" s="507"/>
      <c r="B493" s="507"/>
      <c r="C493" s="507"/>
      <c r="D493" s="508"/>
      <c r="E493" s="507"/>
      <c r="F493" s="507"/>
      <c r="G493" s="507"/>
      <c r="H493" s="507"/>
      <c r="I493" s="507"/>
      <c r="J493" s="507"/>
      <c r="K493" s="507"/>
      <c r="L493" s="507"/>
      <c r="M493" s="507"/>
      <c r="N493" s="507"/>
    </row>
    <row r="494" ht="35.25" customHeight="1">
      <c r="A494" s="507"/>
      <c r="B494" s="507"/>
      <c r="C494" s="507"/>
      <c r="D494" s="508"/>
      <c r="E494" s="507"/>
      <c r="F494" s="507"/>
      <c r="G494" s="507"/>
      <c r="H494" s="507"/>
      <c r="I494" s="507"/>
      <c r="J494" s="507"/>
      <c r="K494" s="507"/>
      <c r="L494" s="507"/>
      <c r="M494" s="507"/>
      <c r="N494" s="507"/>
    </row>
    <row r="495" ht="35.25" customHeight="1">
      <c r="A495" s="507"/>
      <c r="B495" s="507"/>
      <c r="C495" s="507"/>
      <c r="D495" s="508"/>
      <c r="E495" s="507"/>
      <c r="F495" s="507"/>
      <c r="G495" s="507"/>
      <c r="H495" s="507"/>
      <c r="I495" s="507"/>
      <c r="J495" s="507"/>
      <c r="K495" s="507"/>
      <c r="L495" s="507"/>
      <c r="M495" s="507"/>
      <c r="N495" s="507"/>
    </row>
    <row r="496" ht="35.25" customHeight="1">
      <c r="A496" s="507"/>
      <c r="B496" s="507"/>
      <c r="C496" s="507"/>
      <c r="D496" s="508"/>
      <c r="E496" s="507"/>
      <c r="F496" s="507"/>
      <c r="G496" s="507"/>
      <c r="H496" s="507"/>
      <c r="I496" s="507"/>
      <c r="J496" s="507"/>
      <c r="K496" s="507"/>
      <c r="L496" s="507"/>
      <c r="M496" s="507"/>
      <c r="N496" s="507"/>
    </row>
    <row r="497" ht="35.25" customHeight="1">
      <c r="A497" s="507"/>
      <c r="B497" s="507"/>
      <c r="C497" s="507"/>
      <c r="D497" s="508"/>
      <c r="E497" s="507"/>
      <c r="F497" s="507"/>
      <c r="G497" s="507"/>
      <c r="H497" s="507"/>
      <c r="I497" s="507"/>
      <c r="J497" s="507"/>
      <c r="K497" s="507"/>
      <c r="L497" s="507"/>
      <c r="M497" s="507"/>
      <c r="N497" s="507"/>
    </row>
    <row r="498" ht="35.25" customHeight="1">
      <c r="A498" s="507"/>
      <c r="B498" s="507"/>
      <c r="C498" s="507"/>
      <c r="D498" s="508"/>
      <c r="E498" s="507"/>
      <c r="F498" s="507"/>
      <c r="G498" s="507"/>
      <c r="H498" s="507"/>
      <c r="I498" s="507"/>
      <c r="J498" s="507"/>
      <c r="K498" s="507"/>
      <c r="L498" s="507"/>
      <c r="M498" s="507"/>
      <c r="N498" s="507"/>
    </row>
    <row r="499" ht="35.25" customHeight="1">
      <c r="A499" s="507"/>
      <c r="B499" s="507"/>
      <c r="C499" s="507"/>
      <c r="D499" s="508"/>
      <c r="E499" s="507"/>
      <c r="F499" s="507"/>
      <c r="G499" s="507"/>
      <c r="H499" s="507"/>
      <c r="I499" s="507"/>
      <c r="J499" s="507"/>
      <c r="K499" s="507"/>
      <c r="L499" s="507"/>
      <c r="M499" s="507"/>
      <c r="N499" s="507"/>
    </row>
    <row r="500" ht="35.25" customHeight="1">
      <c r="A500" s="507"/>
      <c r="B500" s="507"/>
      <c r="C500" s="507"/>
      <c r="D500" s="508"/>
      <c r="E500" s="507"/>
      <c r="F500" s="507"/>
      <c r="G500" s="507"/>
      <c r="H500" s="507"/>
      <c r="I500" s="507"/>
      <c r="J500" s="507"/>
      <c r="K500" s="507"/>
      <c r="L500" s="507"/>
      <c r="M500" s="507"/>
      <c r="N500" s="507"/>
    </row>
    <row r="501" ht="35.25" customHeight="1">
      <c r="A501" s="507"/>
      <c r="B501" s="507"/>
      <c r="C501" s="507"/>
      <c r="D501" s="508"/>
      <c r="E501" s="507"/>
      <c r="F501" s="507"/>
      <c r="G501" s="507"/>
      <c r="H501" s="507"/>
      <c r="I501" s="507"/>
      <c r="J501" s="507"/>
      <c r="K501" s="507"/>
      <c r="L501" s="507"/>
      <c r="M501" s="507"/>
      <c r="N501" s="507"/>
    </row>
    <row r="502" ht="35.25" customHeight="1">
      <c r="A502" s="507"/>
      <c r="B502" s="507"/>
      <c r="C502" s="507"/>
      <c r="D502" s="508"/>
      <c r="E502" s="507"/>
      <c r="F502" s="507"/>
      <c r="G502" s="507"/>
      <c r="H502" s="507"/>
      <c r="I502" s="507"/>
      <c r="J502" s="507"/>
      <c r="K502" s="507"/>
      <c r="L502" s="507"/>
      <c r="M502" s="507"/>
      <c r="N502" s="507"/>
    </row>
    <row r="503" ht="35.25" customHeight="1">
      <c r="A503" s="507"/>
      <c r="B503" s="507"/>
      <c r="C503" s="507"/>
      <c r="D503" s="508"/>
      <c r="E503" s="507"/>
      <c r="F503" s="507"/>
      <c r="G503" s="507"/>
      <c r="H503" s="507"/>
      <c r="I503" s="507"/>
      <c r="J503" s="507"/>
      <c r="K503" s="507"/>
      <c r="L503" s="507"/>
      <c r="M503" s="507"/>
      <c r="N503" s="507"/>
    </row>
    <row r="504" ht="35.25" customHeight="1">
      <c r="A504" s="507"/>
      <c r="B504" s="507"/>
      <c r="C504" s="507"/>
      <c r="D504" s="508"/>
      <c r="E504" s="507"/>
      <c r="F504" s="507"/>
      <c r="G504" s="507"/>
      <c r="H504" s="507"/>
      <c r="I504" s="507"/>
      <c r="J504" s="507"/>
      <c r="K504" s="507"/>
      <c r="L504" s="507"/>
      <c r="M504" s="507"/>
      <c r="N504" s="507"/>
    </row>
    <row r="505" ht="35.25" customHeight="1">
      <c r="A505" s="507"/>
      <c r="B505" s="507"/>
      <c r="C505" s="507"/>
      <c r="D505" s="508"/>
      <c r="E505" s="507"/>
      <c r="F505" s="507"/>
      <c r="G505" s="507"/>
      <c r="H505" s="507"/>
      <c r="I505" s="507"/>
      <c r="J505" s="507"/>
      <c r="K505" s="507"/>
      <c r="L505" s="507"/>
      <c r="M505" s="507"/>
      <c r="N505" s="507"/>
    </row>
    <row r="506" ht="35.25" customHeight="1">
      <c r="A506" s="507"/>
      <c r="B506" s="507"/>
      <c r="C506" s="507"/>
      <c r="D506" s="508"/>
      <c r="E506" s="507"/>
      <c r="F506" s="507"/>
      <c r="G506" s="507"/>
      <c r="H506" s="507"/>
      <c r="I506" s="507"/>
      <c r="J506" s="507"/>
      <c r="K506" s="507"/>
      <c r="L506" s="507"/>
      <c r="M506" s="507"/>
      <c r="N506" s="507"/>
    </row>
    <row r="507" ht="35.25" customHeight="1">
      <c r="A507" s="507"/>
      <c r="B507" s="507"/>
      <c r="C507" s="507"/>
      <c r="D507" s="508"/>
      <c r="E507" s="507"/>
      <c r="F507" s="507"/>
      <c r="G507" s="507"/>
      <c r="H507" s="507"/>
      <c r="I507" s="507"/>
      <c r="J507" s="507"/>
      <c r="K507" s="507"/>
      <c r="L507" s="507"/>
      <c r="M507" s="507"/>
      <c r="N507" s="507"/>
    </row>
    <row r="508" ht="35.25" customHeight="1">
      <c r="A508" s="507"/>
      <c r="B508" s="507"/>
      <c r="C508" s="507"/>
      <c r="D508" s="508"/>
      <c r="E508" s="507"/>
      <c r="F508" s="507"/>
      <c r="G508" s="507"/>
      <c r="H508" s="507"/>
      <c r="I508" s="507"/>
      <c r="J508" s="507"/>
      <c r="K508" s="507"/>
      <c r="L508" s="507"/>
      <c r="M508" s="507"/>
      <c r="N508" s="507"/>
    </row>
    <row r="509" ht="35.25" customHeight="1">
      <c r="A509" s="507"/>
      <c r="B509" s="507"/>
      <c r="C509" s="507"/>
      <c r="D509" s="508"/>
      <c r="E509" s="507"/>
      <c r="F509" s="507"/>
      <c r="G509" s="507"/>
      <c r="H509" s="507"/>
      <c r="I509" s="507"/>
      <c r="J509" s="507"/>
      <c r="K509" s="507"/>
      <c r="L509" s="507"/>
      <c r="M509" s="507"/>
      <c r="N509" s="507"/>
    </row>
    <row r="510" ht="35.25" customHeight="1">
      <c r="A510" s="507"/>
      <c r="B510" s="507"/>
      <c r="C510" s="507"/>
      <c r="D510" s="508"/>
      <c r="E510" s="507"/>
      <c r="F510" s="507"/>
      <c r="G510" s="507"/>
      <c r="H510" s="507"/>
      <c r="I510" s="507"/>
      <c r="J510" s="507"/>
      <c r="K510" s="507"/>
      <c r="L510" s="507"/>
      <c r="M510" s="507"/>
      <c r="N510" s="507"/>
    </row>
    <row r="511" ht="35.25" customHeight="1">
      <c r="A511" s="507"/>
      <c r="B511" s="507"/>
      <c r="C511" s="507"/>
      <c r="D511" s="508"/>
      <c r="E511" s="507"/>
      <c r="F511" s="507"/>
      <c r="G511" s="507"/>
      <c r="H511" s="507"/>
      <c r="I511" s="507"/>
      <c r="J511" s="507"/>
      <c r="K511" s="507"/>
      <c r="L511" s="507"/>
      <c r="M511" s="507"/>
      <c r="N511" s="507"/>
    </row>
    <row r="512" ht="35.25" customHeight="1">
      <c r="A512" s="507"/>
      <c r="B512" s="507"/>
      <c r="C512" s="507"/>
      <c r="D512" s="508"/>
      <c r="E512" s="507"/>
      <c r="F512" s="507"/>
      <c r="G512" s="507"/>
      <c r="H512" s="507"/>
      <c r="I512" s="507"/>
      <c r="J512" s="507"/>
      <c r="K512" s="507"/>
      <c r="L512" s="507"/>
      <c r="M512" s="507"/>
      <c r="N512" s="507"/>
    </row>
    <row r="513" ht="35.25" customHeight="1">
      <c r="A513" s="507"/>
      <c r="B513" s="507"/>
      <c r="C513" s="507"/>
      <c r="D513" s="508"/>
      <c r="E513" s="507"/>
      <c r="F513" s="507"/>
      <c r="G513" s="507"/>
      <c r="H513" s="507"/>
      <c r="I513" s="507"/>
      <c r="J513" s="507"/>
      <c r="K513" s="507"/>
      <c r="L513" s="507"/>
      <c r="M513" s="507"/>
      <c r="N513" s="507"/>
    </row>
    <row r="514" ht="35.25" customHeight="1">
      <c r="A514" s="507"/>
      <c r="B514" s="507"/>
      <c r="C514" s="507"/>
      <c r="D514" s="508"/>
      <c r="E514" s="507"/>
      <c r="F514" s="507"/>
      <c r="G514" s="507"/>
      <c r="H514" s="507"/>
      <c r="I514" s="507"/>
      <c r="J514" s="507"/>
      <c r="K514" s="507"/>
      <c r="L514" s="507"/>
      <c r="M514" s="507"/>
      <c r="N514" s="507"/>
    </row>
    <row r="515" ht="35.25" customHeight="1">
      <c r="A515" s="507"/>
      <c r="B515" s="507"/>
      <c r="C515" s="507"/>
      <c r="D515" s="508"/>
      <c r="E515" s="507"/>
      <c r="F515" s="507"/>
      <c r="G515" s="507"/>
      <c r="H515" s="507"/>
      <c r="I515" s="507"/>
      <c r="J515" s="507"/>
      <c r="K515" s="507"/>
      <c r="L515" s="507"/>
      <c r="M515" s="507"/>
      <c r="N515" s="507"/>
    </row>
    <row r="516" ht="35.25" customHeight="1">
      <c r="A516" s="507"/>
      <c r="B516" s="507"/>
      <c r="C516" s="507"/>
      <c r="D516" s="508"/>
      <c r="E516" s="507"/>
      <c r="F516" s="507"/>
      <c r="G516" s="507"/>
      <c r="H516" s="507"/>
      <c r="I516" s="507"/>
      <c r="J516" s="507"/>
      <c r="K516" s="507"/>
      <c r="L516" s="507"/>
      <c r="M516" s="507"/>
      <c r="N516" s="507"/>
    </row>
    <row r="517" ht="35.25" customHeight="1">
      <c r="A517" s="507"/>
      <c r="B517" s="507"/>
      <c r="C517" s="507"/>
      <c r="D517" s="508"/>
      <c r="E517" s="507"/>
      <c r="F517" s="507"/>
      <c r="G517" s="507"/>
      <c r="H517" s="507"/>
      <c r="I517" s="507"/>
      <c r="J517" s="507"/>
      <c r="K517" s="507"/>
      <c r="L517" s="507"/>
      <c r="M517" s="507"/>
      <c r="N517" s="507"/>
    </row>
    <row r="518" ht="35.25" customHeight="1">
      <c r="A518" s="507"/>
      <c r="B518" s="507"/>
      <c r="C518" s="507"/>
      <c r="D518" s="508"/>
      <c r="E518" s="507"/>
      <c r="F518" s="507"/>
      <c r="G518" s="507"/>
      <c r="H518" s="507"/>
      <c r="I518" s="507"/>
      <c r="J518" s="507"/>
      <c r="K518" s="507"/>
      <c r="L518" s="507"/>
      <c r="M518" s="507"/>
      <c r="N518" s="507"/>
    </row>
    <row r="519" ht="35.25" customHeight="1">
      <c r="A519" s="507"/>
      <c r="B519" s="507"/>
      <c r="C519" s="507"/>
      <c r="D519" s="508"/>
      <c r="E519" s="507"/>
      <c r="F519" s="507"/>
      <c r="G519" s="507"/>
      <c r="H519" s="507"/>
      <c r="I519" s="507"/>
      <c r="J519" s="507"/>
      <c r="K519" s="507"/>
      <c r="L519" s="507"/>
      <c r="M519" s="507"/>
      <c r="N519" s="507"/>
    </row>
    <row r="520" ht="35.25" customHeight="1">
      <c r="A520" s="507"/>
      <c r="B520" s="507"/>
      <c r="C520" s="507"/>
      <c r="D520" s="508"/>
      <c r="E520" s="507"/>
      <c r="F520" s="507"/>
      <c r="G520" s="507"/>
      <c r="H520" s="507"/>
      <c r="I520" s="507"/>
      <c r="J520" s="507"/>
      <c r="K520" s="507"/>
      <c r="L520" s="507"/>
      <c r="M520" s="507"/>
      <c r="N520" s="507"/>
    </row>
    <row r="521" ht="35.25" customHeight="1">
      <c r="A521" s="507"/>
      <c r="B521" s="507"/>
      <c r="C521" s="507"/>
      <c r="D521" s="508"/>
      <c r="E521" s="507"/>
      <c r="F521" s="507"/>
      <c r="G521" s="507"/>
      <c r="H521" s="507"/>
      <c r="I521" s="507"/>
      <c r="J521" s="507"/>
      <c r="K521" s="507"/>
      <c r="L521" s="507"/>
      <c r="M521" s="507"/>
      <c r="N521" s="507"/>
    </row>
    <row r="522" ht="35.25" customHeight="1">
      <c r="A522" s="507"/>
      <c r="B522" s="507"/>
      <c r="C522" s="507"/>
      <c r="D522" s="508"/>
      <c r="E522" s="507"/>
      <c r="F522" s="507"/>
      <c r="G522" s="507"/>
      <c r="H522" s="507"/>
      <c r="I522" s="507"/>
      <c r="J522" s="507"/>
      <c r="K522" s="507"/>
      <c r="L522" s="507"/>
      <c r="M522" s="507"/>
      <c r="N522" s="507"/>
    </row>
    <row r="523" ht="35.25" customHeight="1">
      <c r="A523" s="507"/>
      <c r="B523" s="507"/>
      <c r="C523" s="507"/>
      <c r="D523" s="508"/>
      <c r="E523" s="507"/>
      <c r="F523" s="507"/>
      <c r="G523" s="507"/>
      <c r="H523" s="507"/>
      <c r="I523" s="507"/>
      <c r="J523" s="507"/>
      <c r="K523" s="507"/>
      <c r="L523" s="507"/>
      <c r="M523" s="507"/>
      <c r="N523" s="507"/>
    </row>
    <row r="524" ht="35.25" customHeight="1">
      <c r="A524" s="507"/>
      <c r="B524" s="507"/>
      <c r="C524" s="507"/>
      <c r="D524" s="508"/>
      <c r="E524" s="507"/>
      <c r="F524" s="507"/>
      <c r="G524" s="507"/>
      <c r="H524" s="507"/>
      <c r="I524" s="507"/>
      <c r="J524" s="507"/>
      <c r="K524" s="507"/>
      <c r="L524" s="507"/>
      <c r="M524" s="507"/>
      <c r="N524" s="507"/>
    </row>
    <row r="525" ht="35.25" customHeight="1">
      <c r="A525" s="507"/>
      <c r="B525" s="507"/>
      <c r="C525" s="507"/>
      <c r="D525" s="508"/>
      <c r="E525" s="507"/>
      <c r="F525" s="507"/>
      <c r="G525" s="507"/>
      <c r="H525" s="507"/>
      <c r="I525" s="507"/>
      <c r="J525" s="507"/>
      <c r="K525" s="507"/>
      <c r="L525" s="507"/>
      <c r="M525" s="507"/>
      <c r="N525" s="507"/>
    </row>
    <row r="526" ht="35.25" customHeight="1">
      <c r="A526" s="507"/>
      <c r="B526" s="507"/>
      <c r="C526" s="507"/>
      <c r="D526" s="508"/>
      <c r="E526" s="507"/>
      <c r="F526" s="507"/>
      <c r="G526" s="507"/>
      <c r="H526" s="507"/>
      <c r="I526" s="507"/>
      <c r="J526" s="507"/>
      <c r="K526" s="507"/>
      <c r="L526" s="507"/>
      <c r="M526" s="507"/>
      <c r="N526" s="507"/>
    </row>
    <row r="527" ht="35.25" customHeight="1">
      <c r="A527" s="507"/>
      <c r="B527" s="507"/>
      <c r="C527" s="507"/>
      <c r="D527" s="508"/>
      <c r="E527" s="507"/>
      <c r="F527" s="507"/>
      <c r="G527" s="507"/>
      <c r="H527" s="507"/>
      <c r="I527" s="507"/>
      <c r="J527" s="507"/>
      <c r="K527" s="507"/>
      <c r="L527" s="507"/>
      <c r="M527" s="507"/>
      <c r="N527" s="507"/>
    </row>
    <row r="528" ht="35.25" customHeight="1">
      <c r="A528" s="507"/>
      <c r="B528" s="507"/>
      <c r="C528" s="507"/>
      <c r="D528" s="508"/>
      <c r="E528" s="507"/>
      <c r="F528" s="507"/>
      <c r="G528" s="507"/>
      <c r="H528" s="507"/>
      <c r="I528" s="507"/>
      <c r="J528" s="507"/>
      <c r="K528" s="507"/>
      <c r="L528" s="507"/>
      <c r="M528" s="507"/>
      <c r="N528" s="507"/>
    </row>
    <row r="529" ht="35.25" customHeight="1">
      <c r="A529" s="507"/>
      <c r="B529" s="507"/>
      <c r="C529" s="507"/>
      <c r="D529" s="507"/>
      <c r="E529" s="507"/>
      <c r="F529" s="507"/>
      <c r="G529" s="507"/>
      <c r="H529" s="507"/>
      <c r="I529" s="507"/>
      <c r="J529" s="507"/>
      <c r="K529" s="507"/>
      <c r="L529" s="507"/>
      <c r="M529" s="507"/>
      <c r="N529" s="507"/>
    </row>
    <row r="530" ht="35.25" customHeight="1">
      <c r="A530" s="507"/>
      <c r="B530" s="507"/>
      <c r="C530" s="507"/>
      <c r="D530" s="507"/>
      <c r="E530" s="507"/>
      <c r="F530" s="507"/>
      <c r="G530" s="507"/>
      <c r="H530" s="507"/>
      <c r="I530" s="507"/>
      <c r="J530" s="507"/>
      <c r="K530" s="507"/>
      <c r="L530" s="507"/>
      <c r="M530" s="507"/>
      <c r="N530" s="507"/>
    </row>
    <row r="531" ht="35.25" customHeight="1">
      <c r="A531" s="507"/>
      <c r="B531" s="507"/>
      <c r="C531" s="507"/>
      <c r="D531" s="507"/>
      <c r="E531" s="507"/>
      <c r="F531" s="507"/>
      <c r="G531" s="507"/>
      <c r="H531" s="507"/>
      <c r="I531" s="507"/>
      <c r="J531" s="507"/>
      <c r="K531" s="507"/>
      <c r="L531" s="507"/>
      <c r="M531" s="507"/>
      <c r="N531" s="507"/>
    </row>
    <row r="532" ht="35.25" customHeight="1">
      <c r="A532" s="507"/>
      <c r="B532" s="507"/>
      <c r="C532" s="507"/>
      <c r="D532" s="507"/>
      <c r="E532" s="507"/>
      <c r="F532" s="507"/>
      <c r="G532" s="507"/>
      <c r="H532" s="507"/>
      <c r="I532" s="507"/>
      <c r="J532" s="507"/>
      <c r="K532" s="507"/>
      <c r="L532" s="507"/>
      <c r="M532" s="507"/>
      <c r="N532" s="507"/>
    </row>
  </sheetData>
  <mergeCells count="60">
    <mergeCell ref="D119:D124"/>
    <mergeCell ref="D125:D129"/>
    <mergeCell ref="D77:D80"/>
    <mergeCell ref="D81:D87"/>
    <mergeCell ref="D88:D93"/>
    <mergeCell ref="D94:D98"/>
    <mergeCell ref="D99:D105"/>
    <mergeCell ref="D106:D112"/>
    <mergeCell ref="D113:D118"/>
    <mergeCell ref="A141:A146"/>
    <mergeCell ref="A147:A150"/>
    <mergeCell ref="A151:A155"/>
    <mergeCell ref="A119:A124"/>
    <mergeCell ref="A125:A129"/>
    <mergeCell ref="A130:A135"/>
    <mergeCell ref="D130:D135"/>
    <mergeCell ref="A136:A140"/>
    <mergeCell ref="D136:D140"/>
    <mergeCell ref="D141:D146"/>
    <mergeCell ref="D15:D22"/>
    <mergeCell ref="D23:D27"/>
    <mergeCell ref="A2:D2"/>
    <mergeCell ref="A4:A8"/>
    <mergeCell ref="D4:D8"/>
    <mergeCell ref="A9:A14"/>
    <mergeCell ref="D9:D14"/>
    <mergeCell ref="A15:A22"/>
    <mergeCell ref="A23:A27"/>
    <mergeCell ref="A28:A32"/>
    <mergeCell ref="D28:D32"/>
    <mergeCell ref="A33:A37"/>
    <mergeCell ref="D33:D37"/>
    <mergeCell ref="A38:A42"/>
    <mergeCell ref="D38:D42"/>
    <mergeCell ref="D43:D46"/>
    <mergeCell ref="A43:A46"/>
    <mergeCell ref="A47:A52"/>
    <mergeCell ref="A53:A56"/>
    <mergeCell ref="A57:A61"/>
    <mergeCell ref="A62:A66"/>
    <mergeCell ref="A67:A72"/>
    <mergeCell ref="A73:A76"/>
    <mergeCell ref="D47:D52"/>
    <mergeCell ref="D53:D56"/>
    <mergeCell ref="D57:D61"/>
    <mergeCell ref="D62:D66"/>
    <mergeCell ref="D67:D71"/>
    <mergeCell ref="B72:C72"/>
    <mergeCell ref="D73:D76"/>
    <mergeCell ref="A77:A80"/>
    <mergeCell ref="A81:A87"/>
    <mergeCell ref="A88:A93"/>
    <mergeCell ref="A94:A98"/>
    <mergeCell ref="A99:A105"/>
    <mergeCell ref="A106:A112"/>
    <mergeCell ref="A113:A118"/>
    <mergeCell ref="A156:A160"/>
    <mergeCell ref="D147:D150"/>
    <mergeCell ref="D151:D155"/>
    <mergeCell ref="D156:D16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43"/>
    <col customWidth="1" min="2" max="2" width="35.57"/>
    <col customWidth="1" min="3" max="3" width="29.29"/>
    <col customWidth="1" min="4" max="4" width="35.43"/>
    <col customWidth="1" min="5" max="5" width="38.71"/>
    <col customWidth="1" hidden="1" min="6" max="7" width="8.71"/>
    <col customWidth="1" min="8" max="8" width="56.0"/>
    <col customWidth="1" min="9" max="9" width="23.86"/>
    <col customWidth="1" min="10" max="14" width="8.71"/>
  </cols>
  <sheetData>
    <row r="1" ht="15.75" customHeight="1">
      <c r="A1" s="955"/>
      <c r="B1" s="956"/>
      <c r="C1" s="956"/>
      <c r="D1" s="957"/>
      <c r="E1" s="956"/>
      <c r="F1" s="956"/>
      <c r="G1" s="956"/>
      <c r="H1" s="956"/>
      <c r="I1" s="956"/>
      <c r="J1" s="956"/>
      <c r="K1" s="956"/>
      <c r="L1" s="956"/>
      <c r="M1" s="956"/>
      <c r="N1" s="956"/>
      <c r="O1" s="958"/>
      <c r="P1" s="958"/>
      <c r="Q1" s="958"/>
      <c r="R1" s="958"/>
      <c r="S1" s="958"/>
      <c r="T1" s="958"/>
      <c r="U1" s="958"/>
      <c r="V1" s="958"/>
      <c r="W1" s="958"/>
      <c r="X1" s="958"/>
      <c r="Y1" s="958"/>
      <c r="Z1" s="958"/>
    </row>
    <row r="2" ht="35.25" customHeight="1">
      <c r="A2" s="509" t="s">
        <v>1345</v>
      </c>
      <c r="B2" s="4"/>
      <c r="C2" s="4"/>
      <c r="D2" s="5"/>
      <c r="E2" s="956"/>
      <c r="F2" s="956"/>
      <c r="G2" s="956"/>
      <c r="H2" s="956"/>
      <c r="I2" s="956"/>
      <c r="J2" s="956"/>
      <c r="K2" s="956"/>
      <c r="L2" s="956"/>
      <c r="M2" s="956"/>
      <c r="N2" s="956"/>
      <c r="O2" s="958"/>
      <c r="P2" s="958"/>
      <c r="Q2" s="958"/>
      <c r="R2" s="958"/>
      <c r="S2" s="958"/>
      <c r="T2" s="958"/>
      <c r="U2" s="958"/>
      <c r="V2" s="958"/>
      <c r="W2" s="958"/>
      <c r="X2" s="958"/>
      <c r="Y2" s="958"/>
      <c r="Z2" s="958"/>
    </row>
    <row r="3" ht="35.25" customHeight="1">
      <c r="A3" s="891" t="s">
        <v>1</v>
      </c>
      <c r="B3" s="891"/>
      <c r="C3" s="891" t="s">
        <v>2</v>
      </c>
      <c r="D3" s="891" t="s">
        <v>4</v>
      </c>
      <c r="E3" s="956"/>
      <c r="F3" s="956"/>
      <c r="G3" s="956"/>
      <c r="H3" s="956"/>
      <c r="I3" s="956"/>
      <c r="J3" s="956"/>
      <c r="K3" s="956"/>
      <c r="L3" s="956"/>
      <c r="M3" s="956"/>
      <c r="N3" s="956"/>
      <c r="O3" s="958"/>
      <c r="P3" s="958"/>
      <c r="Q3" s="958"/>
      <c r="R3" s="958"/>
      <c r="S3" s="958"/>
      <c r="T3" s="958"/>
      <c r="U3" s="958"/>
      <c r="V3" s="958"/>
      <c r="W3" s="958"/>
      <c r="X3" s="958"/>
      <c r="Y3" s="958"/>
      <c r="Z3" s="958"/>
    </row>
    <row r="4" ht="35.25" customHeight="1">
      <c r="A4" s="959" t="s">
        <v>126</v>
      </c>
      <c r="B4" s="960" t="s">
        <v>1346</v>
      </c>
      <c r="C4" s="598" t="s">
        <v>684</v>
      </c>
      <c r="D4" s="908">
        <f>SUM(C4:C7)</f>
        <v>67926000</v>
      </c>
      <c r="E4" s="961"/>
      <c r="F4" s="956"/>
      <c r="G4" s="956"/>
      <c r="H4" s="956"/>
      <c r="I4" s="956"/>
      <c r="J4" s="956"/>
      <c r="K4" s="956"/>
      <c r="L4" s="956"/>
      <c r="M4" s="956"/>
      <c r="N4" s="956"/>
      <c r="O4" s="958"/>
      <c r="P4" s="958"/>
      <c r="Q4" s="958"/>
      <c r="R4" s="958"/>
      <c r="S4" s="958"/>
      <c r="T4" s="958"/>
      <c r="U4" s="958"/>
      <c r="V4" s="958"/>
      <c r="W4" s="958"/>
      <c r="X4" s="958"/>
      <c r="Y4" s="958"/>
      <c r="Z4" s="958"/>
    </row>
    <row r="5" ht="35.25" customHeight="1">
      <c r="A5" s="18"/>
      <c r="B5" s="960" t="s">
        <v>1004</v>
      </c>
      <c r="C5" s="598" t="s">
        <v>684</v>
      </c>
      <c r="D5" s="18"/>
      <c r="E5" s="961"/>
      <c r="F5" s="956"/>
      <c r="G5" s="956"/>
      <c r="H5" s="956"/>
      <c r="I5" s="956"/>
      <c r="J5" s="956"/>
      <c r="K5" s="956"/>
      <c r="L5" s="956"/>
      <c r="M5" s="956"/>
      <c r="N5" s="956"/>
      <c r="O5" s="958"/>
      <c r="P5" s="958"/>
      <c r="Q5" s="958"/>
      <c r="R5" s="958"/>
      <c r="S5" s="958"/>
      <c r="T5" s="958"/>
      <c r="U5" s="958"/>
      <c r="V5" s="958"/>
      <c r="W5" s="958"/>
      <c r="X5" s="958"/>
      <c r="Y5" s="958"/>
      <c r="Z5" s="958"/>
    </row>
    <row r="6" ht="35.25" customHeight="1">
      <c r="A6" s="18"/>
      <c r="B6" s="960" t="s">
        <v>1005</v>
      </c>
      <c r="C6" s="598">
        <v>6.7926E7</v>
      </c>
      <c r="D6" s="18"/>
      <c r="E6" s="962" t="s">
        <v>1040</v>
      </c>
      <c r="F6" s="956"/>
      <c r="G6" s="956"/>
      <c r="H6" s="956"/>
      <c r="I6" s="956"/>
      <c r="J6" s="956"/>
      <c r="K6" s="956"/>
      <c r="L6" s="956"/>
      <c r="M6" s="956"/>
      <c r="N6" s="956"/>
      <c r="O6" s="958"/>
      <c r="P6" s="958"/>
      <c r="Q6" s="958"/>
      <c r="R6" s="958"/>
      <c r="S6" s="958"/>
      <c r="T6" s="958"/>
      <c r="U6" s="958"/>
      <c r="V6" s="958"/>
      <c r="W6" s="958"/>
      <c r="X6" s="958"/>
      <c r="Y6" s="958"/>
      <c r="Z6" s="958"/>
    </row>
    <row r="7" ht="35.25" customHeight="1">
      <c r="A7" s="18"/>
      <c r="B7" s="960"/>
      <c r="C7" s="598"/>
      <c r="D7" s="18"/>
      <c r="E7" s="961" t="s">
        <v>902</v>
      </c>
      <c r="F7" s="956"/>
      <c r="G7" s="956"/>
      <c r="H7" s="956"/>
      <c r="I7" s="956"/>
      <c r="J7" s="956"/>
      <c r="K7" s="956"/>
      <c r="L7" s="956"/>
      <c r="M7" s="956"/>
      <c r="N7" s="956"/>
      <c r="O7" s="958"/>
      <c r="P7" s="958"/>
      <c r="Q7" s="958"/>
      <c r="R7" s="958"/>
      <c r="S7" s="958"/>
      <c r="T7" s="958"/>
      <c r="U7" s="958"/>
      <c r="V7" s="958"/>
      <c r="W7" s="958"/>
      <c r="X7" s="958"/>
      <c r="Y7" s="958"/>
      <c r="Z7" s="958"/>
    </row>
    <row r="8" ht="35.25" customHeight="1">
      <c r="A8" s="959" t="s">
        <v>128</v>
      </c>
      <c r="B8" s="960" t="s">
        <v>1013</v>
      </c>
      <c r="C8" s="622" t="s">
        <v>684</v>
      </c>
      <c r="D8" s="908">
        <f>SUM(C8:C13)</f>
        <v>58817500</v>
      </c>
      <c r="E8" s="961"/>
      <c r="F8" s="956"/>
      <c r="G8" s="956"/>
      <c r="H8" s="956"/>
      <c r="I8" s="956"/>
      <c r="J8" s="956"/>
      <c r="K8" s="956"/>
      <c r="L8" s="956"/>
      <c r="M8" s="956"/>
      <c r="N8" s="956"/>
      <c r="O8" s="958"/>
      <c r="P8" s="958"/>
      <c r="Q8" s="958"/>
      <c r="R8" s="958"/>
      <c r="S8" s="958"/>
      <c r="T8" s="958"/>
      <c r="U8" s="958"/>
      <c r="V8" s="958"/>
      <c r="W8" s="958"/>
      <c r="X8" s="958"/>
      <c r="Y8" s="958"/>
      <c r="Z8" s="958"/>
    </row>
    <row r="9" ht="35.25" customHeight="1">
      <c r="A9" s="18"/>
      <c r="B9" s="960" t="s">
        <v>1006</v>
      </c>
      <c r="C9" s="622" t="s">
        <v>684</v>
      </c>
      <c r="D9" s="18"/>
      <c r="E9" s="961"/>
      <c r="F9" s="956"/>
      <c r="G9" s="956"/>
      <c r="H9" s="956"/>
      <c r="I9" s="956"/>
      <c r="J9" s="956"/>
      <c r="K9" s="956"/>
      <c r="L9" s="956"/>
      <c r="M9" s="956"/>
      <c r="N9" s="956"/>
      <c r="O9" s="958"/>
      <c r="P9" s="958"/>
      <c r="Q9" s="958"/>
      <c r="R9" s="958"/>
      <c r="S9" s="958"/>
      <c r="T9" s="958"/>
      <c r="U9" s="958"/>
      <c r="V9" s="958"/>
      <c r="W9" s="958"/>
      <c r="X9" s="958"/>
      <c r="Y9" s="958"/>
      <c r="Z9" s="958"/>
    </row>
    <row r="10" ht="35.25" customHeight="1">
      <c r="A10" s="18"/>
      <c r="B10" s="960" t="s">
        <v>1014</v>
      </c>
      <c r="C10" s="622" t="s">
        <v>684</v>
      </c>
      <c r="D10" s="18"/>
      <c r="E10" s="961"/>
      <c r="F10" s="956"/>
      <c r="G10" s="956"/>
      <c r="H10" s="956"/>
      <c r="I10" s="956"/>
      <c r="J10" s="956"/>
      <c r="K10" s="956"/>
      <c r="L10" s="956"/>
      <c r="M10" s="956"/>
      <c r="N10" s="956"/>
      <c r="O10" s="958"/>
      <c r="P10" s="958"/>
      <c r="Q10" s="958"/>
      <c r="R10" s="958"/>
      <c r="S10" s="958"/>
      <c r="T10" s="958"/>
      <c r="U10" s="958"/>
      <c r="V10" s="958"/>
      <c r="W10" s="958"/>
      <c r="X10" s="958"/>
      <c r="Y10" s="958"/>
      <c r="Z10" s="958"/>
    </row>
    <row r="11" ht="35.25" customHeight="1">
      <c r="A11" s="18"/>
      <c r="B11" s="960" t="s">
        <v>1346</v>
      </c>
      <c r="C11" s="622" t="s">
        <v>684</v>
      </c>
      <c r="D11" s="18"/>
      <c r="E11" s="961"/>
      <c r="F11" s="956"/>
      <c r="G11" s="956"/>
      <c r="H11" s="956"/>
      <c r="I11" s="956"/>
      <c r="J11" s="956"/>
      <c r="K11" s="956"/>
      <c r="L11" s="956"/>
      <c r="M11" s="956"/>
      <c r="N11" s="956"/>
      <c r="O11" s="958"/>
      <c r="P11" s="958"/>
      <c r="Q11" s="958"/>
      <c r="R11" s="958"/>
      <c r="S11" s="958"/>
      <c r="T11" s="958"/>
      <c r="U11" s="958"/>
      <c r="V11" s="958"/>
      <c r="W11" s="958"/>
      <c r="X11" s="958"/>
      <c r="Y11" s="958"/>
      <c r="Z11" s="958"/>
    </row>
    <row r="12" ht="35.25" customHeight="1">
      <c r="A12" s="18"/>
      <c r="B12" s="960" t="s">
        <v>1004</v>
      </c>
      <c r="C12" s="622">
        <v>2.288E7</v>
      </c>
      <c r="D12" s="18"/>
      <c r="E12" s="963" t="s">
        <v>1040</v>
      </c>
      <c r="F12" s="956"/>
      <c r="G12" s="956"/>
      <c r="H12" s="964"/>
      <c r="I12" s="956"/>
      <c r="J12" s="956"/>
      <c r="K12" s="956"/>
      <c r="L12" s="956"/>
      <c r="M12" s="956"/>
      <c r="N12" s="956"/>
      <c r="O12" s="958"/>
      <c r="P12" s="958"/>
      <c r="Q12" s="958"/>
      <c r="R12" s="958"/>
      <c r="S12" s="958"/>
      <c r="T12" s="958"/>
      <c r="U12" s="958"/>
      <c r="V12" s="958"/>
      <c r="W12" s="958"/>
      <c r="X12" s="958"/>
      <c r="Y12" s="958"/>
      <c r="Z12" s="958"/>
    </row>
    <row r="13" ht="35.25" customHeight="1">
      <c r="A13" s="18"/>
      <c r="B13" s="960" t="s">
        <v>1005</v>
      </c>
      <c r="C13" s="622">
        <v>3.59375E7</v>
      </c>
      <c r="D13" s="18"/>
      <c r="E13" s="963"/>
      <c r="F13" s="956"/>
      <c r="G13" s="956"/>
      <c r="H13" s="964"/>
      <c r="I13" s="956"/>
      <c r="J13" s="956"/>
      <c r="K13" s="956"/>
      <c r="L13" s="956"/>
      <c r="M13" s="956"/>
      <c r="N13" s="956"/>
      <c r="O13" s="958"/>
      <c r="P13" s="958"/>
      <c r="Q13" s="958"/>
      <c r="R13" s="958"/>
      <c r="S13" s="958"/>
      <c r="T13" s="958"/>
      <c r="U13" s="958"/>
      <c r="V13" s="958"/>
      <c r="W13" s="958"/>
      <c r="X13" s="958"/>
      <c r="Y13" s="958"/>
      <c r="Z13" s="958"/>
    </row>
    <row r="14" ht="35.25" customHeight="1">
      <c r="A14" s="959" t="s">
        <v>129</v>
      </c>
      <c r="B14" s="965" t="s">
        <v>1004</v>
      </c>
      <c r="C14" s="598" t="s">
        <v>684</v>
      </c>
      <c r="D14" s="908">
        <f>SUM(C14:C18)</f>
        <v>43138000</v>
      </c>
      <c r="E14" s="961"/>
      <c r="F14" s="956"/>
      <c r="G14" s="956"/>
      <c r="H14" s="956"/>
      <c r="I14" s="956"/>
      <c r="J14" s="956"/>
      <c r="K14" s="956"/>
      <c r="L14" s="956"/>
      <c r="M14" s="956"/>
      <c r="N14" s="956"/>
      <c r="O14" s="958"/>
      <c r="P14" s="958"/>
      <c r="Q14" s="958"/>
      <c r="R14" s="958"/>
      <c r="S14" s="958"/>
      <c r="T14" s="958"/>
      <c r="U14" s="958"/>
      <c r="V14" s="958"/>
      <c r="W14" s="958"/>
      <c r="X14" s="958"/>
      <c r="Y14" s="958"/>
      <c r="Z14" s="958"/>
    </row>
    <row r="15" ht="35.25" customHeight="1">
      <c r="A15" s="18"/>
      <c r="B15" s="965" t="s">
        <v>1005</v>
      </c>
      <c r="C15" s="598">
        <v>4.3138E7</v>
      </c>
      <c r="D15" s="18"/>
      <c r="E15" s="961"/>
      <c r="F15" s="956"/>
      <c r="G15" s="956"/>
      <c r="H15" s="956"/>
      <c r="I15" s="956"/>
      <c r="J15" s="956"/>
      <c r="K15" s="956"/>
      <c r="L15" s="956"/>
      <c r="M15" s="956"/>
      <c r="N15" s="956"/>
      <c r="O15" s="958"/>
      <c r="P15" s="958"/>
      <c r="Q15" s="958"/>
      <c r="R15" s="958"/>
      <c r="S15" s="958"/>
      <c r="T15" s="958"/>
      <c r="U15" s="958"/>
      <c r="V15" s="958"/>
      <c r="W15" s="958"/>
      <c r="X15" s="958"/>
      <c r="Y15" s="958"/>
      <c r="Z15" s="958"/>
    </row>
    <row r="16" ht="35.25" customHeight="1">
      <c r="A16" s="18"/>
      <c r="B16" s="965"/>
      <c r="C16" s="598"/>
      <c r="D16" s="18"/>
      <c r="E16" s="963" t="s">
        <v>1040</v>
      </c>
      <c r="F16" s="956"/>
      <c r="G16" s="956"/>
      <c r="H16" s="956"/>
      <c r="I16" s="956"/>
      <c r="J16" s="956"/>
      <c r="K16" s="956"/>
      <c r="L16" s="956"/>
      <c r="M16" s="956"/>
      <c r="N16" s="956"/>
      <c r="O16" s="958"/>
      <c r="P16" s="958"/>
      <c r="Q16" s="958"/>
      <c r="R16" s="958"/>
      <c r="S16" s="958"/>
      <c r="T16" s="958"/>
      <c r="U16" s="958"/>
      <c r="V16" s="958"/>
      <c r="W16" s="958"/>
      <c r="X16" s="958"/>
      <c r="Y16" s="958"/>
      <c r="Z16" s="958"/>
    </row>
    <row r="17" ht="35.25" customHeight="1">
      <c r="A17" s="18"/>
      <c r="B17" s="965"/>
      <c r="C17" s="598"/>
      <c r="D17" s="18"/>
      <c r="E17" s="961"/>
      <c r="F17" s="956"/>
      <c r="G17" s="956"/>
      <c r="H17" s="956"/>
      <c r="I17" s="956"/>
      <c r="J17" s="956"/>
      <c r="K17" s="956"/>
      <c r="L17" s="956"/>
      <c r="M17" s="956"/>
      <c r="N17" s="956"/>
      <c r="O17" s="958"/>
      <c r="P17" s="958"/>
      <c r="Q17" s="958"/>
      <c r="R17" s="958"/>
      <c r="S17" s="958"/>
      <c r="T17" s="958"/>
      <c r="U17" s="958"/>
      <c r="V17" s="958"/>
      <c r="W17" s="958"/>
      <c r="X17" s="958"/>
      <c r="Y17" s="958"/>
      <c r="Z17" s="958"/>
    </row>
    <row r="18" ht="35.25" customHeight="1">
      <c r="A18" s="18"/>
      <c r="B18" s="965"/>
      <c r="C18" s="598"/>
      <c r="D18" s="18"/>
      <c r="E18" s="961"/>
      <c r="F18" s="956"/>
      <c r="G18" s="956"/>
      <c r="H18" s="956"/>
      <c r="I18" s="956"/>
      <c r="J18" s="956"/>
      <c r="K18" s="956"/>
      <c r="L18" s="956"/>
      <c r="M18" s="956"/>
      <c r="N18" s="956"/>
      <c r="O18" s="958"/>
      <c r="P18" s="958"/>
      <c r="Q18" s="958"/>
      <c r="R18" s="958"/>
      <c r="S18" s="958"/>
      <c r="T18" s="958"/>
      <c r="U18" s="958"/>
      <c r="V18" s="958"/>
      <c r="W18" s="958"/>
      <c r="X18" s="958"/>
      <c r="Y18" s="958"/>
      <c r="Z18" s="958"/>
    </row>
    <row r="19" ht="35.25" customHeight="1">
      <c r="A19" s="966" t="s">
        <v>131</v>
      </c>
      <c r="B19" s="960" t="s">
        <v>1006</v>
      </c>
      <c r="C19" s="967" t="s">
        <v>684</v>
      </c>
      <c r="D19" s="911">
        <f>SUM(C19:C24)</f>
        <v>143858500</v>
      </c>
      <c r="E19" s="961"/>
      <c r="F19" s="956"/>
      <c r="G19" s="956"/>
      <c r="H19" s="956"/>
      <c r="I19" s="956"/>
      <c r="J19" s="956"/>
      <c r="K19" s="956"/>
      <c r="L19" s="956"/>
      <c r="M19" s="956"/>
      <c r="N19" s="956"/>
      <c r="O19" s="958"/>
      <c r="P19" s="958"/>
      <c r="Q19" s="958"/>
      <c r="R19" s="958"/>
      <c r="S19" s="958"/>
      <c r="T19" s="958"/>
      <c r="U19" s="958"/>
      <c r="V19" s="958"/>
      <c r="W19" s="958"/>
      <c r="X19" s="958"/>
      <c r="Y19" s="958"/>
      <c r="Z19" s="958"/>
    </row>
    <row r="20" ht="35.25" customHeight="1">
      <c r="A20" s="18"/>
      <c r="B20" s="960" t="s">
        <v>1014</v>
      </c>
      <c r="C20" s="967" t="s">
        <v>684</v>
      </c>
      <c r="D20" s="18"/>
      <c r="E20" s="961"/>
      <c r="F20" s="956"/>
      <c r="G20" s="956"/>
      <c r="H20" s="956"/>
      <c r="I20" s="956"/>
      <c r="J20" s="956"/>
      <c r="K20" s="956"/>
      <c r="L20" s="956"/>
      <c r="M20" s="956"/>
      <c r="N20" s="956"/>
      <c r="O20" s="958"/>
      <c r="P20" s="958"/>
      <c r="Q20" s="958"/>
      <c r="R20" s="958"/>
      <c r="S20" s="958"/>
      <c r="T20" s="958"/>
      <c r="U20" s="958"/>
      <c r="V20" s="958"/>
      <c r="W20" s="958"/>
      <c r="X20" s="958"/>
      <c r="Y20" s="958"/>
      <c r="Z20" s="958"/>
    </row>
    <row r="21" ht="35.25" customHeight="1">
      <c r="A21" s="18"/>
      <c r="B21" s="960" t="s">
        <v>1346</v>
      </c>
      <c r="C21" s="967" t="s">
        <v>684</v>
      </c>
      <c r="D21" s="18"/>
      <c r="E21" s="961"/>
      <c r="F21" s="956"/>
      <c r="G21" s="956"/>
      <c r="H21" s="968"/>
      <c r="I21" s="956"/>
      <c r="J21" s="956"/>
      <c r="K21" s="956"/>
      <c r="L21" s="956"/>
      <c r="M21" s="956"/>
      <c r="N21" s="956"/>
      <c r="O21" s="958"/>
      <c r="P21" s="958"/>
      <c r="Q21" s="958"/>
      <c r="R21" s="958"/>
      <c r="S21" s="958"/>
      <c r="T21" s="958"/>
      <c r="U21" s="958"/>
      <c r="V21" s="958"/>
      <c r="W21" s="958"/>
      <c r="X21" s="958"/>
      <c r="Y21" s="958"/>
      <c r="Z21" s="958"/>
    </row>
    <row r="22" ht="35.25" customHeight="1">
      <c r="A22" s="18"/>
      <c r="B22" s="960" t="s">
        <v>1004</v>
      </c>
      <c r="C22" s="967">
        <v>6.87325E7</v>
      </c>
      <c r="D22" s="18"/>
      <c r="E22" s="963" t="s">
        <v>1040</v>
      </c>
      <c r="F22" s="956"/>
      <c r="G22" s="956"/>
      <c r="H22" s="644"/>
      <c r="I22" s="968"/>
      <c r="J22" s="956"/>
      <c r="K22" s="956"/>
      <c r="L22" s="956"/>
      <c r="M22" s="956"/>
      <c r="N22" s="956"/>
      <c r="O22" s="958"/>
      <c r="P22" s="958"/>
      <c r="Q22" s="958"/>
      <c r="R22" s="958"/>
      <c r="S22" s="958"/>
      <c r="T22" s="958"/>
      <c r="U22" s="958"/>
      <c r="V22" s="958"/>
      <c r="W22" s="958"/>
      <c r="X22" s="958"/>
      <c r="Y22" s="958"/>
      <c r="Z22" s="958"/>
    </row>
    <row r="23" ht="35.25" customHeight="1">
      <c r="A23" s="18"/>
      <c r="B23" s="960" t="s">
        <v>1005</v>
      </c>
      <c r="C23" s="967">
        <v>7.5126E7</v>
      </c>
      <c r="D23" s="18"/>
      <c r="E23" s="961"/>
      <c r="F23" s="956"/>
      <c r="G23" s="956"/>
      <c r="H23" s="968"/>
      <c r="I23" s="956"/>
      <c r="J23" s="956"/>
      <c r="K23" s="956"/>
      <c r="L23" s="956"/>
      <c r="M23" s="956"/>
      <c r="N23" s="956"/>
      <c r="O23" s="958"/>
      <c r="P23" s="958"/>
      <c r="Q23" s="958"/>
      <c r="R23" s="958"/>
      <c r="S23" s="958"/>
      <c r="T23" s="958"/>
      <c r="U23" s="958"/>
      <c r="V23" s="958"/>
      <c r="W23" s="958"/>
      <c r="X23" s="958"/>
      <c r="Y23" s="958"/>
      <c r="Z23" s="958"/>
    </row>
    <row r="24" ht="35.25" customHeight="1">
      <c r="A24" s="22"/>
      <c r="B24" s="960"/>
      <c r="C24" s="967"/>
      <c r="D24" s="18"/>
      <c r="E24" s="961" t="s">
        <v>782</v>
      </c>
      <c r="F24" s="956"/>
      <c r="G24" s="956"/>
      <c r="H24" s="956"/>
      <c r="I24" s="956"/>
      <c r="J24" s="956"/>
      <c r="K24" s="956"/>
      <c r="L24" s="956"/>
      <c r="M24" s="956"/>
      <c r="N24" s="956"/>
      <c r="O24" s="958"/>
      <c r="P24" s="958"/>
      <c r="Q24" s="958"/>
      <c r="R24" s="958"/>
      <c r="S24" s="958"/>
      <c r="T24" s="958"/>
      <c r="U24" s="958"/>
      <c r="V24" s="958"/>
      <c r="W24" s="958"/>
      <c r="X24" s="958"/>
      <c r="Y24" s="958"/>
      <c r="Z24" s="958"/>
    </row>
    <row r="25" ht="35.25" customHeight="1">
      <c r="A25" s="966" t="s">
        <v>130</v>
      </c>
      <c r="B25" s="969" t="s">
        <v>1346</v>
      </c>
      <c r="C25" s="967" t="s">
        <v>684</v>
      </c>
      <c r="D25" s="908">
        <f>SUM(C25:C29)</f>
        <v>39634500</v>
      </c>
      <c r="E25" s="961"/>
      <c r="F25" s="956"/>
      <c r="G25" s="956"/>
      <c r="H25" s="956"/>
      <c r="I25" s="956"/>
      <c r="J25" s="956"/>
      <c r="K25" s="956"/>
      <c r="L25" s="956"/>
      <c r="M25" s="956"/>
      <c r="N25" s="956"/>
      <c r="O25" s="958"/>
      <c r="P25" s="958"/>
      <c r="Q25" s="958"/>
      <c r="R25" s="958"/>
      <c r="S25" s="958"/>
      <c r="T25" s="958"/>
      <c r="U25" s="958"/>
      <c r="V25" s="958"/>
      <c r="W25" s="958"/>
      <c r="X25" s="958"/>
      <c r="Y25" s="958"/>
      <c r="Z25" s="958"/>
    </row>
    <row r="26" ht="35.25" customHeight="1">
      <c r="A26" s="18"/>
      <c r="B26" s="969" t="s">
        <v>1004</v>
      </c>
      <c r="C26" s="967" t="s">
        <v>684</v>
      </c>
      <c r="D26" s="18"/>
      <c r="E26" s="961"/>
      <c r="F26" s="956"/>
      <c r="G26" s="956"/>
      <c r="H26" s="956"/>
      <c r="I26" s="956"/>
      <c r="J26" s="956"/>
      <c r="K26" s="956"/>
      <c r="L26" s="956"/>
      <c r="M26" s="956"/>
      <c r="N26" s="956"/>
      <c r="O26" s="958"/>
      <c r="P26" s="958"/>
      <c r="Q26" s="958"/>
      <c r="R26" s="958"/>
      <c r="S26" s="958"/>
      <c r="T26" s="958"/>
      <c r="U26" s="958"/>
      <c r="V26" s="958"/>
      <c r="W26" s="958"/>
      <c r="X26" s="958"/>
      <c r="Y26" s="958"/>
      <c r="Z26" s="958"/>
    </row>
    <row r="27" ht="35.25" customHeight="1">
      <c r="A27" s="18"/>
      <c r="B27" s="969" t="s">
        <v>1005</v>
      </c>
      <c r="C27" s="967">
        <v>3.96345E7</v>
      </c>
      <c r="D27" s="18"/>
      <c r="E27" s="961"/>
      <c r="F27" s="956"/>
      <c r="G27" s="956"/>
      <c r="H27" s="968"/>
      <c r="I27" s="956"/>
      <c r="J27" s="956"/>
      <c r="K27" s="956"/>
      <c r="L27" s="956"/>
      <c r="M27" s="956"/>
      <c r="N27" s="956"/>
      <c r="O27" s="958"/>
      <c r="P27" s="958"/>
      <c r="Q27" s="958"/>
      <c r="R27" s="958"/>
      <c r="S27" s="958"/>
      <c r="T27" s="958"/>
      <c r="U27" s="958"/>
      <c r="V27" s="958"/>
      <c r="W27" s="958"/>
      <c r="X27" s="958"/>
      <c r="Y27" s="958"/>
      <c r="Z27" s="958"/>
    </row>
    <row r="28" ht="35.25" customHeight="1">
      <c r="A28" s="18"/>
      <c r="B28" s="969"/>
      <c r="C28" s="967"/>
      <c r="D28" s="18"/>
      <c r="E28" s="963" t="s">
        <v>1040</v>
      </c>
      <c r="F28" s="956"/>
      <c r="G28" s="956"/>
      <c r="H28" s="956"/>
      <c r="I28" s="956"/>
      <c r="J28" s="956"/>
      <c r="K28" s="956"/>
      <c r="L28" s="956"/>
      <c r="M28" s="956"/>
      <c r="N28" s="956"/>
      <c r="O28" s="958"/>
      <c r="P28" s="958"/>
      <c r="Q28" s="958"/>
      <c r="R28" s="958"/>
      <c r="S28" s="958"/>
      <c r="T28" s="958"/>
      <c r="U28" s="958"/>
      <c r="V28" s="958"/>
      <c r="W28" s="958"/>
      <c r="X28" s="958"/>
      <c r="Y28" s="958"/>
      <c r="Z28" s="958"/>
    </row>
    <row r="29" ht="35.25" customHeight="1">
      <c r="A29" s="22"/>
      <c r="B29" s="960"/>
      <c r="C29" s="967"/>
      <c r="D29" s="18"/>
      <c r="E29" s="961" t="s">
        <v>783</v>
      </c>
      <c r="F29" s="956"/>
      <c r="G29" s="956"/>
      <c r="H29" s="956"/>
      <c r="I29" s="956"/>
      <c r="J29" s="956"/>
      <c r="K29" s="956"/>
      <c r="L29" s="956"/>
      <c r="M29" s="956"/>
      <c r="N29" s="956"/>
      <c r="O29" s="958"/>
      <c r="P29" s="958"/>
      <c r="Q29" s="958"/>
      <c r="R29" s="958"/>
      <c r="S29" s="958"/>
      <c r="T29" s="958"/>
      <c r="U29" s="958"/>
      <c r="V29" s="958"/>
      <c r="W29" s="958"/>
      <c r="X29" s="958"/>
      <c r="Y29" s="958"/>
      <c r="Z29" s="958"/>
    </row>
    <row r="30" ht="35.25" customHeight="1">
      <c r="A30" s="966" t="s">
        <v>138</v>
      </c>
      <c r="B30" s="960" t="s">
        <v>222</v>
      </c>
      <c r="C30" s="970">
        <f>66696500-30000000</f>
        <v>36696500</v>
      </c>
      <c r="D30" s="911">
        <f>sum(C30:C35)</f>
        <v>68114500</v>
      </c>
      <c r="E30" s="961"/>
      <c r="F30" s="956"/>
      <c r="G30" s="956"/>
      <c r="H30" s="956"/>
      <c r="I30" s="956"/>
      <c r="J30" s="956"/>
      <c r="K30" s="956"/>
      <c r="L30" s="956"/>
      <c r="M30" s="956"/>
      <c r="N30" s="956"/>
      <c r="O30" s="958"/>
      <c r="P30" s="958"/>
      <c r="Q30" s="958"/>
      <c r="R30" s="958"/>
      <c r="S30" s="958"/>
      <c r="T30" s="958"/>
      <c r="U30" s="958"/>
      <c r="V30" s="958"/>
      <c r="W30" s="958"/>
      <c r="X30" s="958"/>
      <c r="Y30" s="958"/>
      <c r="Z30" s="958"/>
    </row>
    <row r="31" ht="35.25" customHeight="1">
      <c r="A31" s="18"/>
      <c r="B31" s="960" t="s">
        <v>1014</v>
      </c>
      <c r="C31" s="970" t="s">
        <v>684</v>
      </c>
      <c r="D31" s="18"/>
      <c r="E31" s="961"/>
      <c r="F31" s="956"/>
      <c r="G31" s="956"/>
      <c r="H31" s="956"/>
      <c r="I31" s="956"/>
      <c r="J31" s="956"/>
      <c r="K31" s="956"/>
      <c r="L31" s="956"/>
      <c r="M31" s="956"/>
      <c r="N31" s="956"/>
      <c r="O31" s="958"/>
      <c r="P31" s="958"/>
      <c r="Q31" s="958"/>
      <c r="R31" s="958"/>
      <c r="S31" s="958"/>
      <c r="T31" s="958"/>
      <c r="U31" s="958"/>
      <c r="V31" s="958"/>
      <c r="W31" s="958"/>
      <c r="X31" s="958"/>
      <c r="Y31" s="958"/>
      <c r="Z31" s="958"/>
    </row>
    <row r="32" ht="35.25" customHeight="1">
      <c r="A32" s="18"/>
      <c r="B32" s="965" t="s">
        <v>1346</v>
      </c>
      <c r="C32" s="967" t="s">
        <v>684</v>
      </c>
      <c r="D32" s="18"/>
      <c r="E32" s="961"/>
      <c r="F32" s="956"/>
      <c r="G32" s="956"/>
      <c r="H32" s="968"/>
      <c r="I32" s="956"/>
      <c r="J32" s="956"/>
      <c r="K32" s="956"/>
      <c r="L32" s="956"/>
      <c r="M32" s="956"/>
      <c r="N32" s="956"/>
      <c r="O32" s="958"/>
      <c r="P32" s="958"/>
      <c r="Q32" s="958"/>
      <c r="R32" s="958"/>
      <c r="S32" s="958"/>
      <c r="T32" s="958"/>
      <c r="U32" s="958"/>
      <c r="V32" s="958"/>
      <c r="W32" s="958"/>
      <c r="X32" s="958"/>
      <c r="Y32" s="958"/>
      <c r="Z32" s="958"/>
    </row>
    <row r="33" ht="35.25" customHeight="1">
      <c r="A33" s="18"/>
      <c r="B33" s="960" t="s">
        <v>1004</v>
      </c>
      <c r="C33" s="970">
        <v>3.1418E7</v>
      </c>
      <c r="D33" s="18"/>
      <c r="E33" s="961"/>
      <c r="F33" s="956"/>
      <c r="G33" s="956"/>
      <c r="H33" s="956"/>
      <c r="I33" s="956"/>
      <c r="J33" s="956"/>
      <c r="K33" s="956"/>
      <c r="L33" s="956"/>
      <c r="M33" s="956"/>
      <c r="N33" s="956"/>
      <c r="O33" s="958"/>
      <c r="P33" s="958"/>
      <c r="Q33" s="958"/>
      <c r="R33" s="958"/>
      <c r="S33" s="958"/>
      <c r="T33" s="958"/>
      <c r="U33" s="958"/>
      <c r="V33" s="958"/>
      <c r="W33" s="958"/>
      <c r="X33" s="958"/>
      <c r="Y33" s="958"/>
      <c r="Z33" s="958"/>
    </row>
    <row r="34" ht="35.25" customHeight="1">
      <c r="A34" s="18"/>
      <c r="B34" s="965"/>
      <c r="C34" s="967"/>
      <c r="D34" s="18"/>
      <c r="E34" s="961"/>
      <c r="F34" s="956"/>
      <c r="G34" s="956"/>
      <c r="H34" s="956"/>
      <c r="I34" s="956"/>
      <c r="J34" s="956"/>
      <c r="K34" s="956"/>
      <c r="L34" s="956"/>
      <c r="M34" s="956"/>
      <c r="N34" s="956"/>
      <c r="O34" s="958"/>
      <c r="P34" s="958"/>
      <c r="Q34" s="958"/>
      <c r="R34" s="958"/>
      <c r="S34" s="958"/>
      <c r="T34" s="958"/>
      <c r="U34" s="958"/>
      <c r="V34" s="958"/>
      <c r="W34" s="958"/>
      <c r="X34" s="958"/>
      <c r="Y34" s="958"/>
      <c r="Z34" s="958"/>
    </row>
    <row r="35" ht="35.25" customHeight="1">
      <c r="A35" s="22"/>
      <c r="B35" s="965"/>
      <c r="C35" s="967"/>
      <c r="D35" s="18"/>
      <c r="E35" s="963" t="s">
        <v>1040</v>
      </c>
      <c r="F35" s="956"/>
      <c r="G35" s="956"/>
      <c r="H35" s="956"/>
      <c r="I35" s="956"/>
      <c r="J35" s="956"/>
      <c r="K35" s="956"/>
      <c r="L35" s="956"/>
      <c r="M35" s="956"/>
      <c r="N35" s="956"/>
      <c r="O35" s="958"/>
      <c r="P35" s="958"/>
      <c r="Q35" s="958"/>
      <c r="R35" s="958"/>
      <c r="S35" s="958"/>
      <c r="T35" s="958"/>
      <c r="U35" s="958"/>
      <c r="V35" s="958"/>
      <c r="W35" s="958"/>
      <c r="X35" s="958"/>
      <c r="Y35" s="958"/>
      <c r="Z35" s="958"/>
    </row>
    <row r="36" ht="35.25" customHeight="1">
      <c r="A36" s="966" t="s">
        <v>139</v>
      </c>
      <c r="B36" s="971" t="s">
        <v>1006</v>
      </c>
      <c r="C36" s="598" t="s">
        <v>684</v>
      </c>
      <c r="D36" s="908">
        <f>SUM(C36:C41)</f>
        <v>33552500</v>
      </c>
      <c r="E36" s="961"/>
      <c r="F36" s="956"/>
      <c r="G36" s="956"/>
      <c r="H36" s="956"/>
      <c r="I36" s="956"/>
      <c r="J36" s="956"/>
      <c r="K36" s="956"/>
      <c r="L36" s="956"/>
      <c r="M36" s="956"/>
      <c r="N36" s="956"/>
      <c r="O36" s="958"/>
      <c r="P36" s="958"/>
      <c r="Q36" s="958"/>
      <c r="R36" s="958"/>
      <c r="S36" s="958"/>
      <c r="T36" s="958"/>
      <c r="U36" s="958"/>
      <c r="V36" s="958"/>
      <c r="W36" s="958"/>
      <c r="X36" s="958"/>
      <c r="Y36" s="958"/>
      <c r="Z36" s="958"/>
    </row>
    <row r="37" ht="35.25" customHeight="1">
      <c r="A37" s="18"/>
      <c r="B37" s="972" t="s">
        <v>1346</v>
      </c>
      <c r="C37" s="598" t="s">
        <v>684</v>
      </c>
      <c r="D37" s="18"/>
      <c r="E37" s="961" t="s">
        <v>342</v>
      </c>
      <c r="F37" s="956"/>
      <c r="G37" s="956"/>
      <c r="H37" s="956"/>
      <c r="I37" s="956"/>
      <c r="J37" s="956"/>
      <c r="K37" s="956"/>
      <c r="L37" s="956"/>
      <c r="M37" s="956"/>
      <c r="N37" s="956"/>
      <c r="O37" s="958"/>
      <c r="P37" s="958"/>
      <c r="Q37" s="958"/>
      <c r="R37" s="958"/>
      <c r="S37" s="958"/>
      <c r="T37" s="958"/>
      <c r="U37" s="958"/>
      <c r="V37" s="958"/>
      <c r="W37" s="958"/>
      <c r="X37" s="958"/>
      <c r="Y37" s="958"/>
      <c r="Z37" s="958"/>
    </row>
    <row r="38" ht="35.25" customHeight="1">
      <c r="A38" s="18"/>
      <c r="B38" s="971" t="s">
        <v>1004</v>
      </c>
      <c r="C38" s="598">
        <v>3.35525E7</v>
      </c>
      <c r="D38" s="18"/>
      <c r="E38" s="961"/>
      <c r="F38" s="956"/>
      <c r="G38" s="956"/>
      <c r="H38" s="956"/>
      <c r="I38" s="956"/>
      <c r="J38" s="956"/>
      <c r="K38" s="956"/>
      <c r="L38" s="956"/>
      <c r="M38" s="956"/>
      <c r="N38" s="956"/>
      <c r="O38" s="958"/>
      <c r="P38" s="958"/>
      <c r="Q38" s="958"/>
      <c r="R38" s="958"/>
      <c r="S38" s="958"/>
      <c r="T38" s="958"/>
      <c r="U38" s="958"/>
      <c r="V38" s="958"/>
      <c r="W38" s="958"/>
      <c r="X38" s="958"/>
      <c r="Y38" s="958"/>
      <c r="Z38" s="958"/>
    </row>
    <row r="39" ht="35.25" customHeight="1">
      <c r="A39" s="18"/>
      <c r="B39" s="971"/>
      <c r="C39" s="598"/>
      <c r="D39" s="18"/>
      <c r="E39" s="961"/>
      <c r="F39" s="956"/>
      <c r="G39" s="956"/>
      <c r="H39" s="956"/>
      <c r="I39" s="956"/>
      <c r="J39" s="956"/>
      <c r="K39" s="956"/>
      <c r="L39" s="956"/>
      <c r="M39" s="956"/>
      <c r="N39" s="956"/>
      <c r="O39" s="958"/>
      <c r="P39" s="958"/>
      <c r="Q39" s="958"/>
      <c r="R39" s="958"/>
      <c r="S39" s="958"/>
      <c r="T39" s="958"/>
      <c r="U39" s="958"/>
      <c r="V39" s="958"/>
      <c r="W39" s="958"/>
      <c r="X39" s="958"/>
      <c r="Y39" s="958"/>
      <c r="Z39" s="958"/>
    </row>
    <row r="40" ht="35.25" customHeight="1">
      <c r="A40" s="18"/>
      <c r="B40" s="973"/>
      <c r="C40" s="598"/>
      <c r="D40" s="18"/>
      <c r="E40" s="961" t="s">
        <v>786</v>
      </c>
      <c r="F40" s="956"/>
      <c r="G40" s="956"/>
      <c r="H40" s="956"/>
      <c r="I40" s="956"/>
      <c r="J40" s="956"/>
      <c r="K40" s="956"/>
      <c r="L40" s="956"/>
      <c r="M40" s="956"/>
      <c r="N40" s="956"/>
      <c r="O40" s="958"/>
      <c r="P40" s="958"/>
      <c r="Q40" s="958"/>
      <c r="R40" s="958"/>
      <c r="S40" s="958"/>
      <c r="T40" s="958"/>
      <c r="U40" s="958"/>
      <c r="V40" s="958"/>
      <c r="W40" s="958"/>
      <c r="X40" s="958"/>
      <c r="Y40" s="958"/>
      <c r="Z40" s="958"/>
    </row>
    <row r="41" ht="35.25" customHeight="1">
      <c r="A41" s="22"/>
      <c r="B41" s="974"/>
      <c r="C41" s="974"/>
      <c r="D41" s="22"/>
      <c r="E41" s="963" t="s">
        <v>1040</v>
      </c>
      <c r="F41" s="956"/>
      <c r="G41" s="956"/>
      <c r="H41" s="956"/>
      <c r="I41" s="956"/>
      <c r="J41" s="956"/>
      <c r="K41" s="956"/>
      <c r="L41" s="956"/>
      <c r="M41" s="956"/>
      <c r="N41" s="956"/>
      <c r="O41" s="958"/>
      <c r="P41" s="958"/>
      <c r="Q41" s="958"/>
      <c r="R41" s="958"/>
      <c r="S41" s="958"/>
      <c r="T41" s="958"/>
      <c r="U41" s="958"/>
      <c r="V41" s="958"/>
      <c r="W41" s="958"/>
      <c r="X41" s="958"/>
      <c r="Y41" s="958"/>
      <c r="Z41" s="958"/>
    </row>
    <row r="42" ht="35.25" customHeight="1">
      <c r="A42" s="975" t="s">
        <v>140</v>
      </c>
      <c r="B42" s="960" t="s">
        <v>1011</v>
      </c>
      <c r="C42" s="970" t="s">
        <v>684</v>
      </c>
      <c r="D42" s="911">
        <f>sum(C42:C47)</f>
        <v>70631000</v>
      </c>
      <c r="E42" s="961"/>
      <c r="F42" s="956"/>
      <c r="G42" s="956"/>
      <c r="H42" s="956"/>
      <c r="I42" s="956"/>
      <c r="J42" s="956"/>
      <c r="K42" s="956"/>
      <c r="L42" s="956"/>
      <c r="M42" s="956"/>
      <c r="N42" s="956"/>
      <c r="O42" s="958"/>
      <c r="P42" s="958"/>
      <c r="Q42" s="958"/>
      <c r="R42" s="958"/>
      <c r="S42" s="958"/>
      <c r="T42" s="958"/>
      <c r="U42" s="958"/>
      <c r="V42" s="958"/>
      <c r="W42" s="958"/>
      <c r="X42" s="958"/>
      <c r="Y42" s="958"/>
      <c r="Z42" s="958"/>
    </row>
    <row r="43" ht="35.25" customHeight="1">
      <c r="A43" s="18"/>
      <c r="B43" s="960" t="s">
        <v>1013</v>
      </c>
      <c r="C43" s="970" t="s">
        <v>684</v>
      </c>
      <c r="D43" s="18"/>
      <c r="E43" s="961"/>
      <c r="F43" s="956"/>
      <c r="G43" s="956"/>
      <c r="H43" s="956"/>
      <c r="I43" s="956"/>
      <c r="J43" s="956"/>
      <c r="K43" s="956"/>
      <c r="L43" s="956"/>
      <c r="M43" s="956"/>
      <c r="N43" s="956"/>
      <c r="O43" s="958"/>
      <c r="P43" s="958"/>
      <c r="Q43" s="958"/>
      <c r="R43" s="958"/>
      <c r="S43" s="958"/>
      <c r="T43" s="958"/>
      <c r="U43" s="958"/>
      <c r="V43" s="958"/>
      <c r="W43" s="958"/>
      <c r="X43" s="958"/>
      <c r="Y43" s="958"/>
      <c r="Z43" s="958"/>
    </row>
    <row r="44" ht="35.25" customHeight="1">
      <c r="A44" s="18"/>
      <c r="B44" s="960" t="s">
        <v>1347</v>
      </c>
      <c r="C44" s="970" t="s">
        <v>684</v>
      </c>
      <c r="D44" s="18"/>
      <c r="E44" s="961"/>
      <c r="F44" s="956"/>
      <c r="G44" s="956"/>
      <c r="H44" s="956"/>
      <c r="I44" s="956"/>
      <c r="J44" s="956"/>
      <c r="K44" s="956"/>
      <c r="L44" s="956"/>
      <c r="M44" s="956"/>
      <c r="N44" s="956"/>
      <c r="O44" s="958"/>
      <c r="P44" s="958"/>
      <c r="Q44" s="958"/>
      <c r="R44" s="958"/>
      <c r="S44" s="958"/>
      <c r="T44" s="958"/>
      <c r="U44" s="958"/>
      <c r="V44" s="958"/>
      <c r="W44" s="958"/>
      <c r="X44" s="958"/>
      <c r="Y44" s="958"/>
      <c r="Z44" s="958"/>
    </row>
    <row r="45" ht="35.25" customHeight="1">
      <c r="A45" s="18"/>
      <c r="B45" s="960" t="s">
        <v>1346</v>
      </c>
      <c r="C45" s="970">
        <v>1.90546E7</v>
      </c>
      <c r="D45" s="18"/>
      <c r="E45" s="961"/>
      <c r="F45" s="956"/>
      <c r="G45" s="956"/>
      <c r="H45" s="956"/>
      <c r="I45" s="956"/>
      <c r="J45" s="956"/>
      <c r="K45" s="956"/>
      <c r="L45" s="956"/>
      <c r="M45" s="956"/>
      <c r="N45" s="956"/>
      <c r="O45" s="958"/>
      <c r="P45" s="958"/>
      <c r="Q45" s="958"/>
      <c r="R45" s="958"/>
      <c r="S45" s="958"/>
      <c r="T45" s="958"/>
      <c r="U45" s="958"/>
      <c r="V45" s="958"/>
      <c r="W45" s="958"/>
      <c r="X45" s="958"/>
      <c r="Y45" s="958"/>
      <c r="Z45" s="958"/>
    </row>
    <row r="46" ht="35.25" customHeight="1">
      <c r="A46" s="18"/>
      <c r="B46" s="960" t="s">
        <v>1004</v>
      </c>
      <c r="C46" s="970">
        <v>2.6725E7</v>
      </c>
      <c r="D46" s="18"/>
      <c r="E46" s="961"/>
      <c r="F46" s="956"/>
      <c r="G46" s="956"/>
      <c r="H46" s="956"/>
      <c r="I46" s="956"/>
      <c r="J46" s="956"/>
      <c r="K46" s="956"/>
      <c r="L46" s="956"/>
      <c r="M46" s="956"/>
      <c r="N46" s="956"/>
      <c r="O46" s="958"/>
      <c r="P46" s="958"/>
      <c r="Q46" s="958"/>
      <c r="R46" s="958"/>
      <c r="S46" s="958"/>
      <c r="T46" s="958"/>
      <c r="U46" s="958"/>
      <c r="V46" s="958"/>
      <c r="W46" s="958"/>
      <c r="X46" s="958"/>
      <c r="Y46" s="958"/>
      <c r="Z46" s="958"/>
    </row>
    <row r="47" ht="35.25" customHeight="1">
      <c r="A47" s="22"/>
      <c r="B47" s="960" t="s">
        <v>1005</v>
      </c>
      <c r="C47" s="970">
        <v>2.48514E7</v>
      </c>
      <c r="D47" s="22"/>
      <c r="E47" s="963" t="s">
        <v>1040</v>
      </c>
      <c r="F47" s="956"/>
      <c r="G47" s="956"/>
      <c r="H47" s="956"/>
      <c r="I47" s="956"/>
      <c r="J47" s="956"/>
      <c r="K47" s="956"/>
      <c r="L47" s="956"/>
      <c r="M47" s="956"/>
      <c r="N47" s="956"/>
      <c r="O47" s="958"/>
      <c r="P47" s="958"/>
      <c r="Q47" s="958"/>
      <c r="R47" s="958"/>
      <c r="S47" s="958"/>
      <c r="T47" s="958"/>
      <c r="U47" s="958"/>
      <c r="V47" s="958"/>
      <c r="W47" s="958"/>
      <c r="X47" s="958"/>
      <c r="Y47" s="958"/>
      <c r="Z47" s="958"/>
    </row>
    <row r="48" ht="35.25" customHeight="1">
      <c r="A48" s="975" t="s">
        <v>141</v>
      </c>
      <c r="B48" s="976" t="s">
        <v>1006</v>
      </c>
      <c r="C48" s="622" t="s">
        <v>684</v>
      </c>
      <c r="D48" s="908">
        <f>SUM(C48:C53)</f>
        <v>50106600</v>
      </c>
      <c r="E48" s="961"/>
      <c r="F48" s="956"/>
      <c r="G48" s="956"/>
      <c r="H48" s="956"/>
      <c r="I48" s="956"/>
      <c r="J48" s="956"/>
      <c r="K48" s="956"/>
      <c r="L48" s="956"/>
      <c r="M48" s="956"/>
      <c r="N48" s="956"/>
      <c r="O48" s="958"/>
      <c r="P48" s="958"/>
      <c r="Q48" s="958"/>
      <c r="R48" s="958"/>
      <c r="S48" s="958"/>
      <c r="T48" s="958"/>
      <c r="U48" s="958"/>
      <c r="V48" s="958"/>
      <c r="W48" s="958"/>
      <c r="X48" s="958"/>
      <c r="Y48" s="958"/>
      <c r="Z48" s="958"/>
    </row>
    <row r="49" ht="35.25" customHeight="1">
      <c r="A49" s="18"/>
      <c r="B49" s="976" t="s">
        <v>1014</v>
      </c>
      <c r="C49" s="622" t="s">
        <v>684</v>
      </c>
      <c r="D49" s="18"/>
      <c r="E49" s="961"/>
      <c r="F49" s="956"/>
      <c r="G49" s="956"/>
      <c r="H49" s="956"/>
      <c r="I49" s="956"/>
      <c r="J49" s="956"/>
      <c r="K49" s="956"/>
      <c r="L49" s="956"/>
      <c r="M49" s="956"/>
      <c r="N49" s="956"/>
      <c r="O49" s="958"/>
      <c r="P49" s="958"/>
      <c r="Q49" s="958"/>
      <c r="R49" s="958"/>
      <c r="S49" s="958"/>
      <c r="T49" s="958"/>
      <c r="U49" s="958"/>
      <c r="V49" s="958"/>
      <c r="W49" s="958"/>
      <c r="X49" s="958"/>
      <c r="Y49" s="958"/>
      <c r="Z49" s="958"/>
    </row>
    <row r="50" ht="35.25" customHeight="1">
      <c r="A50" s="18"/>
      <c r="B50" s="976" t="s">
        <v>1346</v>
      </c>
      <c r="C50" s="622" t="s">
        <v>684</v>
      </c>
      <c r="D50" s="18"/>
      <c r="E50" s="961"/>
      <c r="F50" s="956"/>
      <c r="G50" s="956"/>
      <c r="H50" s="968"/>
      <c r="I50" s="956"/>
      <c r="J50" s="956"/>
      <c r="K50" s="956"/>
      <c r="L50" s="956"/>
      <c r="M50" s="956"/>
      <c r="N50" s="956"/>
      <c r="O50" s="958"/>
      <c r="P50" s="958"/>
      <c r="Q50" s="958"/>
      <c r="R50" s="958"/>
      <c r="S50" s="958"/>
      <c r="T50" s="958"/>
      <c r="U50" s="958"/>
      <c r="V50" s="958"/>
      <c r="W50" s="958"/>
      <c r="X50" s="958"/>
      <c r="Y50" s="958"/>
      <c r="Z50" s="958"/>
    </row>
    <row r="51" ht="35.25" customHeight="1">
      <c r="A51" s="18"/>
      <c r="B51" s="976" t="s">
        <v>1004</v>
      </c>
      <c r="C51" s="622" t="s">
        <v>684</v>
      </c>
      <c r="D51" s="18"/>
      <c r="E51" s="968"/>
      <c r="F51" s="956"/>
      <c r="G51" s="956"/>
      <c r="H51" s="956"/>
      <c r="I51" s="977"/>
      <c r="J51" s="956"/>
      <c r="K51" s="956"/>
      <c r="L51" s="956"/>
      <c r="M51" s="956"/>
      <c r="N51" s="956"/>
      <c r="O51" s="958"/>
      <c r="P51" s="958"/>
      <c r="Q51" s="958"/>
      <c r="R51" s="958"/>
      <c r="S51" s="958"/>
      <c r="T51" s="958"/>
      <c r="U51" s="958"/>
      <c r="V51" s="958"/>
      <c r="W51" s="958"/>
      <c r="X51" s="958"/>
      <c r="Y51" s="958"/>
      <c r="Z51" s="958"/>
    </row>
    <row r="52" ht="35.25" customHeight="1">
      <c r="A52" s="18"/>
      <c r="B52" s="976" t="s">
        <v>1348</v>
      </c>
      <c r="C52" s="622">
        <v>5.01066E7</v>
      </c>
      <c r="D52" s="18"/>
      <c r="E52" s="968"/>
      <c r="F52" s="956"/>
      <c r="G52" s="956"/>
      <c r="I52" s="956"/>
      <c r="J52" s="956"/>
      <c r="K52" s="956"/>
      <c r="L52" s="956"/>
      <c r="M52" s="956"/>
      <c r="N52" s="956"/>
      <c r="O52" s="958"/>
      <c r="P52" s="958"/>
      <c r="Q52" s="958"/>
      <c r="R52" s="958"/>
      <c r="S52" s="958"/>
      <c r="T52" s="958"/>
      <c r="U52" s="958"/>
      <c r="V52" s="958"/>
      <c r="W52" s="958"/>
      <c r="X52" s="958"/>
      <c r="Y52" s="958"/>
      <c r="Z52" s="958"/>
    </row>
    <row r="53" ht="35.25" customHeight="1">
      <c r="A53" s="18"/>
      <c r="B53" s="960"/>
      <c r="C53" s="622"/>
      <c r="D53" s="18"/>
      <c r="E53" s="968"/>
      <c r="F53" s="956"/>
      <c r="G53" s="956"/>
      <c r="H53" s="956"/>
      <c r="I53" s="956"/>
      <c r="J53" s="956"/>
      <c r="K53" s="956"/>
      <c r="L53" s="956"/>
      <c r="M53" s="956"/>
      <c r="N53" s="956"/>
      <c r="O53" s="958"/>
      <c r="P53" s="958"/>
      <c r="Q53" s="958"/>
      <c r="R53" s="958"/>
      <c r="S53" s="958"/>
      <c r="T53" s="958"/>
      <c r="U53" s="958"/>
      <c r="V53" s="958"/>
      <c r="W53" s="958"/>
      <c r="X53" s="958"/>
      <c r="Y53" s="958"/>
      <c r="Z53" s="958"/>
    </row>
    <row r="54" ht="35.25" customHeight="1">
      <c r="A54" s="975" t="s">
        <v>253</v>
      </c>
      <c r="B54" s="960" t="s">
        <v>1004</v>
      </c>
      <c r="C54" s="622">
        <f>33582500-650000      </f>
        <v>32932500</v>
      </c>
      <c r="D54" s="908">
        <f>SUM(C54:C60)</f>
        <v>95683000</v>
      </c>
      <c r="E54" s="961"/>
      <c r="F54" s="956"/>
      <c r="G54" s="956"/>
      <c r="H54" s="956"/>
      <c r="I54" s="956"/>
      <c r="J54" s="956"/>
      <c r="K54" s="956"/>
      <c r="L54" s="956"/>
      <c r="M54" s="956"/>
      <c r="N54" s="956"/>
      <c r="O54" s="958"/>
      <c r="P54" s="958"/>
      <c r="Q54" s="958"/>
      <c r="R54" s="958"/>
      <c r="S54" s="958"/>
      <c r="T54" s="958"/>
      <c r="U54" s="958"/>
      <c r="V54" s="958"/>
      <c r="W54" s="958"/>
      <c r="X54" s="958"/>
      <c r="Y54" s="958"/>
      <c r="Z54" s="958"/>
    </row>
    <row r="55" ht="35.25" customHeight="1">
      <c r="A55" s="18"/>
      <c r="B55" s="960" t="s">
        <v>1005</v>
      </c>
      <c r="C55" s="622">
        <v>6.27505E7</v>
      </c>
      <c r="D55" s="18"/>
      <c r="E55" s="961"/>
      <c r="F55" s="956"/>
      <c r="G55" s="956"/>
      <c r="H55" s="956"/>
      <c r="I55" s="956"/>
      <c r="J55" s="956"/>
      <c r="K55" s="956"/>
      <c r="L55" s="956"/>
      <c r="M55" s="956"/>
      <c r="N55" s="956"/>
      <c r="O55" s="958"/>
      <c r="P55" s="958"/>
      <c r="Q55" s="958"/>
      <c r="R55" s="958"/>
      <c r="S55" s="958"/>
      <c r="T55" s="958"/>
      <c r="U55" s="958"/>
      <c r="V55" s="958"/>
      <c r="W55" s="958"/>
      <c r="X55" s="958"/>
      <c r="Y55" s="958"/>
      <c r="Z55" s="958"/>
    </row>
    <row r="56" ht="35.25" customHeight="1">
      <c r="A56" s="18"/>
      <c r="B56" s="960"/>
      <c r="C56" s="622"/>
      <c r="D56" s="18"/>
      <c r="E56" s="977"/>
      <c r="F56" s="956"/>
      <c r="G56" s="956"/>
      <c r="H56" s="956"/>
      <c r="I56" s="956"/>
      <c r="J56" s="956"/>
      <c r="K56" s="956"/>
      <c r="L56" s="956"/>
      <c r="M56" s="956"/>
      <c r="N56" s="956"/>
      <c r="O56" s="958"/>
      <c r="P56" s="958"/>
      <c r="Q56" s="958"/>
      <c r="R56" s="958"/>
      <c r="S56" s="958"/>
      <c r="T56" s="958"/>
      <c r="U56" s="958"/>
      <c r="V56" s="958"/>
      <c r="W56" s="958"/>
      <c r="X56" s="958"/>
      <c r="Y56" s="958"/>
      <c r="Z56" s="958"/>
    </row>
    <row r="57" ht="35.25" customHeight="1">
      <c r="A57" s="18"/>
      <c r="B57" s="960"/>
      <c r="C57" s="622"/>
      <c r="D57" s="18"/>
      <c r="E57" s="977"/>
      <c r="F57" s="956"/>
      <c r="G57" s="956"/>
      <c r="H57" s="956"/>
      <c r="I57" s="956"/>
      <c r="J57" s="956"/>
      <c r="K57" s="956"/>
      <c r="L57" s="956"/>
      <c r="M57" s="956"/>
      <c r="N57" s="956"/>
      <c r="O57" s="958"/>
      <c r="P57" s="958"/>
      <c r="Q57" s="958"/>
      <c r="R57" s="958"/>
      <c r="S57" s="958"/>
      <c r="T57" s="958"/>
      <c r="U57" s="958"/>
      <c r="V57" s="958"/>
      <c r="W57" s="958"/>
      <c r="X57" s="958"/>
      <c r="Y57" s="958"/>
      <c r="Z57" s="958"/>
    </row>
    <row r="58" ht="35.25" customHeight="1">
      <c r="A58" s="18"/>
      <c r="B58" s="960"/>
      <c r="C58" s="622"/>
      <c r="D58" s="18"/>
      <c r="E58" s="961"/>
      <c r="F58" s="956"/>
      <c r="G58" s="956"/>
      <c r="H58" s="956"/>
      <c r="I58" s="956"/>
      <c r="J58" s="956"/>
      <c r="K58" s="956"/>
      <c r="L58" s="956"/>
      <c r="M58" s="956"/>
      <c r="N58" s="956"/>
      <c r="O58" s="958"/>
      <c r="P58" s="958"/>
      <c r="Q58" s="958"/>
      <c r="R58" s="958"/>
      <c r="S58" s="958"/>
      <c r="T58" s="958"/>
      <c r="U58" s="958"/>
      <c r="V58" s="958"/>
      <c r="W58" s="958"/>
      <c r="X58" s="958"/>
      <c r="Y58" s="958"/>
      <c r="Z58" s="958"/>
    </row>
    <row r="59" ht="35.25" customHeight="1">
      <c r="A59" s="18"/>
      <c r="B59" s="960"/>
      <c r="C59" s="622"/>
      <c r="D59" s="18"/>
      <c r="E59" s="961"/>
      <c r="F59" s="956"/>
      <c r="G59" s="956"/>
      <c r="H59" s="956"/>
      <c r="I59" s="956"/>
      <c r="J59" s="956"/>
      <c r="K59" s="956"/>
      <c r="L59" s="956"/>
      <c r="M59" s="956"/>
      <c r="N59" s="956"/>
      <c r="O59" s="958"/>
      <c r="P59" s="958"/>
      <c r="Q59" s="958"/>
      <c r="R59" s="958"/>
      <c r="S59" s="958"/>
      <c r="T59" s="958"/>
      <c r="U59" s="958"/>
      <c r="V59" s="958"/>
      <c r="W59" s="958"/>
      <c r="X59" s="958"/>
      <c r="Y59" s="958"/>
      <c r="Z59" s="958"/>
    </row>
    <row r="60" ht="35.25" customHeight="1">
      <c r="A60" s="18"/>
      <c r="B60" s="960"/>
      <c r="C60" s="622"/>
      <c r="D60" s="18"/>
      <c r="E60" s="961"/>
      <c r="F60" s="956"/>
      <c r="G60" s="956"/>
      <c r="H60" s="956"/>
      <c r="I60" s="956"/>
      <c r="J60" s="956"/>
      <c r="K60" s="956"/>
      <c r="L60" s="956"/>
      <c r="M60" s="956"/>
      <c r="N60" s="956"/>
      <c r="O60" s="958"/>
      <c r="P60" s="958"/>
      <c r="Q60" s="958"/>
      <c r="R60" s="958"/>
      <c r="S60" s="958"/>
      <c r="T60" s="958"/>
      <c r="U60" s="958"/>
      <c r="V60" s="958"/>
      <c r="W60" s="958"/>
      <c r="X60" s="958"/>
      <c r="Y60" s="958"/>
      <c r="Z60" s="958"/>
    </row>
    <row r="61" ht="35.25" customHeight="1">
      <c r="A61" s="966" t="s">
        <v>143</v>
      </c>
      <c r="B61" s="960" t="s">
        <v>1346</v>
      </c>
      <c r="C61" s="967">
        <v>4.8849E7</v>
      </c>
      <c r="D61" s="908">
        <f>SUM(C61:C66)</f>
        <v>87759100</v>
      </c>
      <c r="E61" s="961"/>
      <c r="F61" s="956"/>
      <c r="G61" s="956"/>
      <c r="H61" s="956"/>
      <c r="I61" s="956"/>
      <c r="J61" s="956"/>
      <c r="K61" s="956"/>
      <c r="L61" s="956"/>
      <c r="M61" s="956"/>
      <c r="N61" s="956"/>
      <c r="O61" s="958"/>
      <c r="P61" s="958"/>
      <c r="Q61" s="958"/>
      <c r="R61" s="958"/>
      <c r="S61" s="958"/>
      <c r="T61" s="958"/>
      <c r="U61" s="958"/>
      <c r="V61" s="958"/>
      <c r="W61" s="958"/>
      <c r="X61" s="958"/>
      <c r="Y61" s="958"/>
      <c r="Z61" s="958"/>
    </row>
    <row r="62" ht="35.25" customHeight="1">
      <c r="A62" s="18"/>
      <c r="B62" s="960" t="s">
        <v>1004</v>
      </c>
      <c r="C62" s="967">
        <v>1351100.0</v>
      </c>
      <c r="D62" s="18"/>
      <c r="E62" s="961"/>
      <c r="F62" s="956"/>
      <c r="G62" s="956"/>
      <c r="H62" s="968"/>
      <c r="I62" s="968"/>
      <c r="J62" s="956"/>
      <c r="K62" s="956"/>
      <c r="L62" s="956"/>
      <c r="M62" s="956"/>
      <c r="N62" s="956"/>
      <c r="O62" s="958"/>
      <c r="P62" s="958"/>
      <c r="Q62" s="958"/>
      <c r="R62" s="958"/>
      <c r="S62" s="958"/>
      <c r="T62" s="958"/>
      <c r="U62" s="958"/>
      <c r="V62" s="958"/>
      <c r="W62" s="958"/>
      <c r="X62" s="958"/>
      <c r="Y62" s="958"/>
      <c r="Z62" s="958"/>
    </row>
    <row r="63" ht="35.25" customHeight="1">
      <c r="A63" s="18"/>
      <c r="B63" s="960" t="s">
        <v>1005</v>
      </c>
      <c r="C63" s="967">
        <v>3.7559E7</v>
      </c>
      <c r="D63" s="18"/>
      <c r="E63" s="961" t="s">
        <v>788</v>
      </c>
      <c r="F63" s="956"/>
      <c r="G63" s="956"/>
      <c r="H63" s="968"/>
      <c r="I63" s="956"/>
      <c r="J63" s="956"/>
      <c r="K63" s="956"/>
      <c r="L63" s="956"/>
      <c r="M63" s="956"/>
      <c r="N63" s="956"/>
      <c r="O63" s="958"/>
      <c r="P63" s="958"/>
      <c r="Q63" s="958"/>
      <c r="R63" s="958"/>
      <c r="S63" s="958"/>
      <c r="T63" s="958"/>
      <c r="U63" s="958"/>
      <c r="V63" s="958"/>
      <c r="W63" s="958"/>
      <c r="X63" s="958"/>
      <c r="Y63" s="958"/>
      <c r="Z63" s="958"/>
    </row>
    <row r="64" ht="35.25" customHeight="1">
      <c r="A64" s="18"/>
      <c r="B64" s="960"/>
      <c r="C64" s="967"/>
      <c r="D64" s="18"/>
      <c r="E64" s="961"/>
      <c r="F64" s="956"/>
      <c r="G64" s="956"/>
      <c r="H64" s="968"/>
      <c r="I64" s="956"/>
      <c r="J64" s="956"/>
      <c r="K64" s="956"/>
      <c r="L64" s="956"/>
      <c r="M64" s="956"/>
      <c r="N64" s="956"/>
      <c r="O64" s="958"/>
      <c r="P64" s="958"/>
      <c r="Q64" s="958"/>
      <c r="R64" s="958"/>
      <c r="S64" s="958"/>
      <c r="T64" s="958"/>
      <c r="U64" s="958"/>
      <c r="V64" s="958"/>
      <c r="W64" s="958"/>
      <c r="X64" s="958"/>
      <c r="Y64" s="958"/>
      <c r="Z64" s="958"/>
    </row>
    <row r="65" ht="35.25" customHeight="1">
      <c r="A65" s="18"/>
      <c r="B65" s="960"/>
      <c r="C65" s="967"/>
      <c r="D65" s="18"/>
      <c r="E65" s="961"/>
      <c r="F65" s="956"/>
      <c r="G65" s="956"/>
      <c r="H65" s="968"/>
      <c r="I65" s="956"/>
      <c r="J65" s="956"/>
      <c r="K65" s="956"/>
      <c r="L65" s="956"/>
      <c r="M65" s="956"/>
      <c r="N65" s="956"/>
      <c r="O65" s="958"/>
      <c r="P65" s="958"/>
      <c r="Q65" s="958"/>
      <c r="R65" s="958"/>
      <c r="S65" s="958"/>
      <c r="T65" s="958"/>
      <c r="U65" s="958"/>
      <c r="V65" s="958"/>
      <c r="W65" s="958"/>
      <c r="X65" s="958"/>
      <c r="Y65" s="958"/>
      <c r="Z65" s="958"/>
    </row>
    <row r="66" ht="35.25" customHeight="1">
      <c r="A66" s="18"/>
      <c r="B66" s="960"/>
      <c r="C66" s="967"/>
      <c r="D66" s="18"/>
      <c r="E66" s="961"/>
      <c r="F66" s="956"/>
      <c r="G66" s="956"/>
      <c r="H66" s="968"/>
      <c r="I66" s="956"/>
      <c r="J66" s="956"/>
      <c r="K66" s="956"/>
      <c r="L66" s="956"/>
      <c r="M66" s="956"/>
      <c r="N66" s="956"/>
      <c r="O66" s="958"/>
      <c r="P66" s="958"/>
      <c r="Q66" s="958"/>
      <c r="R66" s="958"/>
      <c r="S66" s="958"/>
      <c r="T66" s="958"/>
      <c r="U66" s="958"/>
      <c r="V66" s="958"/>
      <c r="W66" s="958"/>
      <c r="X66" s="958"/>
      <c r="Y66" s="958"/>
      <c r="Z66" s="958"/>
    </row>
    <row r="67" ht="35.25" customHeight="1">
      <c r="A67" s="966" t="s">
        <v>145</v>
      </c>
      <c r="B67" s="976" t="s">
        <v>1011</v>
      </c>
      <c r="C67" s="622" t="s">
        <v>684</v>
      </c>
      <c r="D67" s="978">
        <f>SUM(C67:C73)</f>
        <v>113674200</v>
      </c>
      <c r="E67" s="968" t="s">
        <v>739</v>
      </c>
      <c r="F67" s="956"/>
      <c r="G67" s="956"/>
      <c r="H67" s="956"/>
      <c r="I67" s="956"/>
      <c r="J67" s="956"/>
      <c r="K67" s="956"/>
      <c r="L67" s="956"/>
      <c r="M67" s="956"/>
      <c r="N67" s="956"/>
      <c r="O67" s="958"/>
      <c r="P67" s="958"/>
      <c r="Q67" s="958"/>
      <c r="R67" s="958"/>
      <c r="S67" s="958"/>
      <c r="T67" s="958"/>
      <c r="U67" s="958"/>
      <c r="V67" s="958"/>
      <c r="W67" s="958"/>
      <c r="X67" s="958"/>
      <c r="Y67" s="958"/>
      <c r="Z67" s="958"/>
    </row>
    <row r="68" ht="33.75" customHeight="1">
      <c r="A68" s="18"/>
      <c r="B68" s="960" t="s">
        <v>1013</v>
      </c>
      <c r="C68" s="970" t="s">
        <v>684</v>
      </c>
      <c r="D68" s="18"/>
      <c r="E68" s="961"/>
      <c r="F68" s="956"/>
      <c r="G68" s="956"/>
      <c r="H68" s="956"/>
      <c r="I68" s="956"/>
      <c r="J68" s="956"/>
      <c r="K68" s="956"/>
      <c r="L68" s="956"/>
      <c r="M68" s="956"/>
      <c r="N68" s="956"/>
      <c r="O68" s="958"/>
      <c r="P68" s="958"/>
      <c r="Q68" s="958"/>
      <c r="R68" s="958"/>
      <c r="S68" s="958"/>
      <c r="T68" s="958"/>
      <c r="U68" s="958"/>
      <c r="V68" s="958"/>
      <c r="W68" s="958"/>
      <c r="X68" s="958"/>
      <c r="Y68" s="958"/>
      <c r="Z68" s="958"/>
    </row>
    <row r="69" ht="35.25" customHeight="1">
      <c r="A69" s="18"/>
      <c r="B69" s="976" t="s">
        <v>1006</v>
      </c>
      <c r="C69" s="622" t="s">
        <v>684</v>
      </c>
      <c r="D69" s="18"/>
      <c r="E69" s="961" t="s">
        <v>905</v>
      </c>
      <c r="F69" s="956"/>
      <c r="G69" s="956"/>
      <c r="H69" s="535"/>
      <c r="I69" s="956"/>
      <c r="J69" s="956"/>
      <c r="K69" s="956"/>
      <c r="L69" s="956"/>
      <c r="M69" s="956"/>
      <c r="N69" s="956"/>
      <c r="O69" s="958"/>
      <c r="P69" s="958"/>
      <c r="Q69" s="958"/>
      <c r="R69" s="958"/>
      <c r="S69" s="958"/>
      <c r="T69" s="958"/>
      <c r="U69" s="958"/>
      <c r="V69" s="958"/>
      <c r="W69" s="958"/>
      <c r="X69" s="958"/>
      <c r="Y69" s="958"/>
      <c r="Z69" s="958"/>
    </row>
    <row r="70" ht="35.25" customHeight="1">
      <c r="A70" s="18"/>
      <c r="B70" s="976" t="s">
        <v>1014</v>
      </c>
      <c r="C70" s="622" t="s">
        <v>684</v>
      </c>
      <c r="D70" s="18"/>
      <c r="E70" s="979"/>
      <c r="F70" s="956"/>
      <c r="G70" s="956"/>
      <c r="H70" s="968"/>
      <c r="I70" s="956"/>
      <c r="J70" s="956"/>
      <c r="K70" s="956"/>
      <c r="L70" s="956"/>
      <c r="M70" s="956"/>
      <c r="N70" s="956"/>
      <c r="O70" s="958"/>
      <c r="P70" s="958"/>
      <c r="Q70" s="958"/>
      <c r="R70" s="958"/>
      <c r="S70" s="958"/>
      <c r="T70" s="958"/>
      <c r="U70" s="958"/>
      <c r="V70" s="958"/>
      <c r="W70" s="958"/>
      <c r="X70" s="958"/>
      <c r="Y70" s="958"/>
      <c r="Z70" s="958"/>
    </row>
    <row r="71" ht="35.25" customHeight="1">
      <c r="A71" s="18"/>
      <c r="B71" s="976" t="s">
        <v>1346</v>
      </c>
      <c r="C71" s="622">
        <f>53695700-23695000</f>
        <v>30000700</v>
      </c>
      <c r="D71" s="18"/>
      <c r="E71" s="958"/>
      <c r="F71" s="956"/>
      <c r="G71" s="956"/>
      <c r="H71" s="968"/>
      <c r="I71" s="956"/>
      <c r="J71" s="956"/>
      <c r="K71" s="956"/>
      <c r="L71" s="956"/>
      <c r="M71" s="956"/>
      <c r="N71" s="956"/>
      <c r="O71" s="958"/>
      <c r="P71" s="958"/>
      <c r="Q71" s="958"/>
      <c r="R71" s="958"/>
      <c r="S71" s="958"/>
      <c r="T71" s="958"/>
      <c r="U71" s="958"/>
      <c r="V71" s="958"/>
      <c r="W71" s="958"/>
      <c r="X71" s="958"/>
      <c r="Y71" s="958"/>
      <c r="Z71" s="958"/>
    </row>
    <row r="72" ht="35.25" customHeight="1">
      <c r="A72" s="18"/>
      <c r="B72" s="976" t="s">
        <v>1004</v>
      </c>
      <c r="C72" s="622">
        <v>3.3912E7</v>
      </c>
      <c r="D72" s="18"/>
      <c r="E72" s="958"/>
      <c r="F72" s="956"/>
      <c r="G72" s="956"/>
      <c r="H72" s="956"/>
      <c r="I72" s="956"/>
      <c r="J72" s="956"/>
      <c r="K72" s="956"/>
      <c r="L72" s="956"/>
      <c r="M72" s="956"/>
      <c r="N72" s="956"/>
      <c r="O72" s="958"/>
      <c r="P72" s="958"/>
      <c r="Q72" s="958"/>
      <c r="R72" s="958"/>
      <c r="S72" s="958"/>
      <c r="T72" s="958"/>
      <c r="U72" s="958"/>
      <c r="V72" s="958"/>
      <c r="W72" s="958"/>
      <c r="X72" s="958"/>
      <c r="Y72" s="958"/>
      <c r="Z72" s="958"/>
    </row>
    <row r="73" ht="35.25" customHeight="1">
      <c r="A73" s="18"/>
      <c r="B73" s="976" t="s">
        <v>1005</v>
      </c>
      <c r="C73" s="622">
        <f>51347500-1150000-436000</f>
        <v>49761500</v>
      </c>
      <c r="D73" s="18"/>
      <c r="E73" s="958"/>
      <c r="F73" s="956"/>
      <c r="G73" s="956"/>
      <c r="H73" s="956"/>
      <c r="I73" s="956"/>
      <c r="J73" s="956"/>
      <c r="K73" s="956"/>
      <c r="L73" s="956"/>
      <c r="M73" s="956"/>
      <c r="N73" s="956"/>
      <c r="O73" s="958"/>
      <c r="P73" s="958"/>
      <c r="Q73" s="958"/>
      <c r="R73" s="958"/>
      <c r="S73" s="958"/>
      <c r="T73" s="958"/>
      <c r="U73" s="958"/>
      <c r="V73" s="958"/>
      <c r="W73" s="958"/>
      <c r="X73" s="958"/>
      <c r="Y73" s="958"/>
      <c r="Z73" s="958"/>
    </row>
    <row r="74" ht="35.25" customHeight="1">
      <c r="A74" s="966" t="s">
        <v>148</v>
      </c>
      <c r="B74" s="960" t="s">
        <v>1011</v>
      </c>
      <c r="C74" s="980" t="s">
        <v>684</v>
      </c>
      <c r="D74" s="978">
        <f>SUM(C74:C77)</f>
        <v>159689000</v>
      </c>
      <c r="E74" s="961"/>
      <c r="F74" s="956"/>
      <c r="G74" s="956"/>
      <c r="H74" s="956"/>
      <c r="I74" s="956"/>
      <c r="J74" s="956"/>
      <c r="K74" s="956"/>
      <c r="L74" s="956"/>
      <c r="M74" s="956"/>
      <c r="N74" s="956"/>
      <c r="O74" s="958"/>
      <c r="P74" s="958"/>
      <c r="Q74" s="958"/>
      <c r="R74" s="958"/>
      <c r="S74" s="958"/>
      <c r="T74" s="958"/>
      <c r="U74" s="958"/>
      <c r="V74" s="958"/>
      <c r="W74" s="958"/>
      <c r="X74" s="958"/>
      <c r="Y74" s="958"/>
      <c r="Z74" s="958"/>
    </row>
    <row r="75" ht="35.25" customHeight="1">
      <c r="A75" s="18"/>
      <c r="B75" s="960" t="s">
        <v>1013</v>
      </c>
      <c r="C75" s="980" t="s">
        <v>684</v>
      </c>
      <c r="D75" s="18"/>
      <c r="E75" s="961"/>
      <c r="F75" s="956"/>
      <c r="G75" s="956"/>
      <c r="H75" s="956"/>
      <c r="I75" s="956"/>
      <c r="J75" s="956"/>
      <c r="K75" s="956"/>
      <c r="L75" s="956"/>
      <c r="M75" s="956"/>
      <c r="N75" s="956"/>
      <c r="O75" s="958"/>
      <c r="P75" s="958"/>
      <c r="Q75" s="958"/>
      <c r="R75" s="958"/>
      <c r="S75" s="958"/>
      <c r="T75" s="958"/>
      <c r="U75" s="958"/>
      <c r="V75" s="958"/>
      <c r="W75" s="958"/>
      <c r="X75" s="958"/>
      <c r="Y75" s="958"/>
      <c r="Z75" s="958"/>
    </row>
    <row r="76" ht="35.25" customHeight="1">
      <c r="A76" s="18"/>
      <c r="B76" s="960" t="s">
        <v>73</v>
      </c>
      <c r="C76" s="980">
        <f>158839000+650000+200000</f>
        <v>159689000</v>
      </c>
      <c r="D76" s="18"/>
      <c r="E76" s="961"/>
      <c r="F76" s="956"/>
      <c r="G76" s="956"/>
      <c r="H76" s="956"/>
      <c r="I76" s="956"/>
      <c r="J76" s="956"/>
      <c r="K76" s="956"/>
      <c r="L76" s="956"/>
      <c r="M76" s="956"/>
      <c r="N76" s="956"/>
      <c r="O76" s="958"/>
      <c r="P76" s="958"/>
      <c r="Q76" s="958"/>
      <c r="R76" s="958"/>
      <c r="S76" s="958"/>
      <c r="T76" s="958"/>
      <c r="U76" s="958"/>
      <c r="V76" s="958"/>
      <c r="W76" s="958"/>
      <c r="X76" s="958"/>
      <c r="Y76" s="958"/>
      <c r="Z76" s="958"/>
    </row>
    <row r="77" ht="35.25" customHeight="1">
      <c r="A77" s="18"/>
      <c r="B77" s="960"/>
      <c r="C77" s="980"/>
      <c r="D77" s="18"/>
      <c r="E77" s="961" t="s">
        <v>1349</v>
      </c>
      <c r="F77" s="956"/>
      <c r="G77" s="956"/>
      <c r="H77" s="956"/>
      <c r="I77" s="956"/>
      <c r="J77" s="956"/>
      <c r="K77" s="956"/>
      <c r="L77" s="956"/>
      <c r="M77" s="956"/>
      <c r="N77" s="956"/>
      <c r="O77" s="958"/>
      <c r="P77" s="958"/>
      <c r="Q77" s="958"/>
      <c r="R77" s="958"/>
      <c r="S77" s="958"/>
      <c r="T77" s="958"/>
      <c r="U77" s="958"/>
      <c r="V77" s="958"/>
      <c r="W77" s="958"/>
      <c r="X77" s="958"/>
      <c r="Y77" s="958"/>
      <c r="Z77" s="958"/>
    </row>
    <row r="78" ht="35.25" customHeight="1">
      <c r="A78" s="975" t="s">
        <v>149</v>
      </c>
      <c r="B78" s="976" t="s">
        <v>1350</v>
      </c>
      <c r="C78" s="967" t="s">
        <v>684</v>
      </c>
      <c r="D78" s="908">
        <f>SUM(C78:C85)</f>
        <v>97804700</v>
      </c>
      <c r="E78" s="977"/>
      <c r="F78" s="956"/>
      <c r="G78" s="956"/>
      <c r="H78" s="968"/>
      <c r="I78" s="956"/>
      <c r="J78" s="956"/>
      <c r="K78" s="956"/>
      <c r="L78" s="956"/>
      <c r="M78" s="956"/>
      <c r="N78" s="956"/>
      <c r="O78" s="958"/>
      <c r="P78" s="958"/>
      <c r="Q78" s="958"/>
      <c r="R78" s="958"/>
      <c r="S78" s="958"/>
      <c r="T78" s="958"/>
      <c r="U78" s="958"/>
      <c r="V78" s="958"/>
      <c r="W78" s="958"/>
      <c r="X78" s="958"/>
      <c r="Y78" s="958"/>
      <c r="Z78" s="958"/>
    </row>
    <row r="79" ht="35.25" customHeight="1">
      <c r="A79" s="18"/>
      <c r="B79" s="976" t="s">
        <v>1351</v>
      </c>
      <c r="C79" s="967">
        <v>1.28357E7</v>
      </c>
      <c r="D79" s="18"/>
      <c r="E79" s="977">
        <v>3.28357E7</v>
      </c>
      <c r="F79" s="956"/>
      <c r="G79" s="956"/>
      <c r="H79" s="977">
        <f>E79-20000000</f>
        <v>12835700</v>
      </c>
      <c r="I79" s="956"/>
      <c r="J79" s="956"/>
      <c r="K79" s="956"/>
      <c r="L79" s="956"/>
      <c r="M79" s="956"/>
      <c r="N79" s="956"/>
      <c r="O79" s="958"/>
      <c r="P79" s="958"/>
      <c r="Q79" s="958"/>
      <c r="R79" s="958"/>
      <c r="S79" s="958"/>
      <c r="T79" s="958"/>
      <c r="U79" s="958"/>
      <c r="V79" s="958"/>
      <c r="W79" s="958"/>
      <c r="X79" s="958"/>
      <c r="Y79" s="958"/>
      <c r="Z79" s="958"/>
    </row>
    <row r="80" ht="35.25" customHeight="1">
      <c r="A80" s="18"/>
      <c r="B80" s="976" t="s">
        <v>1011</v>
      </c>
      <c r="C80" s="967">
        <v>1.0705E7</v>
      </c>
      <c r="D80" s="18"/>
      <c r="E80" s="961"/>
      <c r="F80" s="956"/>
      <c r="G80" s="956"/>
      <c r="H80" s="956"/>
      <c r="I80" s="956"/>
      <c r="J80" s="956"/>
      <c r="K80" s="956"/>
      <c r="L80" s="956"/>
      <c r="M80" s="956"/>
      <c r="N80" s="956"/>
      <c r="O80" s="958"/>
      <c r="P80" s="958"/>
      <c r="Q80" s="958"/>
      <c r="R80" s="958"/>
      <c r="S80" s="958"/>
      <c r="T80" s="958"/>
      <c r="U80" s="958"/>
      <c r="V80" s="958"/>
      <c r="W80" s="958"/>
      <c r="X80" s="958"/>
      <c r="Y80" s="958"/>
      <c r="Z80" s="958"/>
    </row>
    <row r="81" ht="35.25" customHeight="1">
      <c r="A81" s="18"/>
      <c r="B81" s="976" t="s">
        <v>1006</v>
      </c>
      <c r="C81" s="967">
        <v>1.9527E7</v>
      </c>
      <c r="D81" s="18"/>
      <c r="E81" s="961"/>
      <c r="F81" s="956"/>
      <c r="G81" s="956"/>
      <c r="H81" s="956"/>
      <c r="I81" s="956"/>
      <c r="J81" s="956"/>
      <c r="K81" s="956"/>
      <c r="L81" s="956"/>
      <c r="M81" s="956"/>
      <c r="N81" s="956"/>
      <c r="O81" s="958"/>
      <c r="P81" s="958"/>
      <c r="Q81" s="958"/>
      <c r="R81" s="958"/>
      <c r="S81" s="958"/>
      <c r="T81" s="958"/>
      <c r="U81" s="958"/>
      <c r="V81" s="958"/>
      <c r="W81" s="958"/>
      <c r="X81" s="958"/>
      <c r="Y81" s="958"/>
      <c r="Z81" s="958"/>
    </row>
    <row r="82" ht="35.25" customHeight="1">
      <c r="A82" s="18"/>
      <c r="B82" s="976" t="s">
        <v>1346</v>
      </c>
      <c r="C82" s="967">
        <v>2.216E7</v>
      </c>
      <c r="D82" s="18"/>
      <c r="E82" s="961"/>
      <c r="F82" s="956"/>
      <c r="G82" s="956"/>
      <c r="H82" s="956"/>
      <c r="I82" s="956"/>
      <c r="J82" s="956"/>
      <c r="K82" s="956"/>
      <c r="L82" s="956"/>
      <c r="M82" s="956"/>
      <c r="N82" s="956"/>
      <c r="O82" s="958"/>
      <c r="P82" s="958"/>
      <c r="Q82" s="958"/>
      <c r="R82" s="958"/>
      <c r="S82" s="958"/>
      <c r="T82" s="958"/>
      <c r="U82" s="958"/>
      <c r="V82" s="958"/>
      <c r="W82" s="958"/>
      <c r="X82" s="958"/>
      <c r="Y82" s="958"/>
      <c r="Z82" s="958"/>
    </row>
    <row r="83" ht="35.25" customHeight="1">
      <c r="A83" s="18"/>
      <c r="B83" s="976" t="s">
        <v>1004</v>
      </c>
      <c r="C83" s="967">
        <v>1.3122E7</v>
      </c>
      <c r="D83" s="18"/>
      <c r="E83" s="961"/>
      <c r="F83" s="956"/>
      <c r="G83" s="956"/>
      <c r="H83" s="956"/>
      <c r="I83" s="956"/>
      <c r="J83" s="956"/>
      <c r="K83" s="956"/>
      <c r="L83" s="956"/>
      <c r="M83" s="956"/>
      <c r="N83" s="956"/>
      <c r="O83" s="958"/>
      <c r="P83" s="958"/>
      <c r="Q83" s="958"/>
      <c r="R83" s="958"/>
      <c r="S83" s="958"/>
      <c r="T83" s="958"/>
      <c r="U83" s="958"/>
      <c r="V83" s="958"/>
      <c r="W83" s="958"/>
      <c r="X83" s="958"/>
      <c r="Y83" s="958"/>
      <c r="Z83" s="958"/>
    </row>
    <row r="84" ht="35.25" customHeight="1">
      <c r="A84" s="18"/>
      <c r="B84" s="976" t="s">
        <v>1005</v>
      </c>
      <c r="C84" s="967">
        <v>1.9455E7</v>
      </c>
      <c r="D84" s="18"/>
      <c r="E84" s="961"/>
      <c r="F84" s="956"/>
      <c r="G84" s="956"/>
      <c r="H84" s="956"/>
      <c r="I84" s="956"/>
      <c r="J84" s="956"/>
      <c r="K84" s="956"/>
      <c r="L84" s="956"/>
      <c r="M84" s="956"/>
      <c r="N84" s="956"/>
      <c r="O84" s="958"/>
      <c r="P84" s="958"/>
      <c r="Q84" s="958"/>
      <c r="R84" s="958"/>
      <c r="S84" s="958"/>
      <c r="T84" s="958"/>
      <c r="U84" s="958"/>
      <c r="V84" s="958"/>
      <c r="W84" s="958"/>
      <c r="X84" s="958"/>
      <c r="Y84" s="958"/>
      <c r="Z84" s="958"/>
    </row>
    <row r="85" ht="35.25" customHeight="1">
      <c r="A85" s="22"/>
      <c r="B85" s="976"/>
      <c r="C85" s="967"/>
      <c r="D85" s="22"/>
      <c r="E85" s="961"/>
      <c r="F85" s="956"/>
      <c r="G85" s="956"/>
      <c r="H85" s="956"/>
      <c r="I85" s="956"/>
      <c r="J85" s="956"/>
      <c r="K85" s="956"/>
      <c r="L85" s="956"/>
      <c r="M85" s="956"/>
      <c r="N85" s="956"/>
      <c r="O85" s="958"/>
      <c r="P85" s="958"/>
      <c r="Q85" s="958"/>
      <c r="R85" s="958"/>
      <c r="S85" s="958"/>
      <c r="T85" s="958"/>
      <c r="U85" s="958"/>
      <c r="V85" s="958"/>
      <c r="W85" s="958"/>
      <c r="X85" s="958"/>
      <c r="Y85" s="958"/>
      <c r="Z85" s="958"/>
    </row>
    <row r="86" ht="35.25" customHeight="1">
      <c r="A86" s="966" t="s">
        <v>150</v>
      </c>
      <c r="B86" s="960" t="s">
        <v>1014</v>
      </c>
      <c r="C86" s="967" t="s">
        <v>684</v>
      </c>
      <c r="D86" s="978">
        <f>SUM(C86:C93)</f>
        <v>151236200</v>
      </c>
      <c r="E86" s="964"/>
      <c r="F86" s="956"/>
      <c r="G86" s="956"/>
      <c r="H86" s="981"/>
      <c r="I86" s="956"/>
      <c r="J86" s="956"/>
      <c r="K86" s="956"/>
      <c r="L86" s="956"/>
      <c r="M86" s="956"/>
      <c r="N86" s="956"/>
      <c r="O86" s="958"/>
      <c r="P86" s="958"/>
      <c r="Q86" s="958"/>
      <c r="R86" s="958"/>
      <c r="S86" s="958"/>
      <c r="T86" s="958"/>
      <c r="U86" s="958"/>
      <c r="V86" s="958"/>
      <c r="W86" s="958"/>
      <c r="X86" s="958"/>
      <c r="Y86" s="958"/>
      <c r="Z86" s="958"/>
    </row>
    <row r="87" ht="35.25" customHeight="1">
      <c r="A87" s="18"/>
      <c r="B87" s="960" t="s">
        <v>1346</v>
      </c>
      <c r="C87" s="967">
        <v>8.0363E7</v>
      </c>
      <c r="D87" s="18"/>
      <c r="E87" s="961"/>
      <c r="F87" s="956"/>
      <c r="G87" s="956"/>
      <c r="H87" s="956"/>
      <c r="I87" s="956"/>
      <c r="J87" s="956"/>
      <c r="K87" s="956"/>
      <c r="L87" s="956"/>
      <c r="M87" s="956"/>
      <c r="N87" s="956"/>
      <c r="O87" s="958"/>
      <c r="P87" s="958"/>
      <c r="Q87" s="958"/>
      <c r="R87" s="958"/>
      <c r="S87" s="958"/>
      <c r="T87" s="958"/>
      <c r="U87" s="958"/>
      <c r="V87" s="958"/>
      <c r="W87" s="958"/>
      <c r="X87" s="958"/>
      <c r="Y87" s="958"/>
      <c r="Z87" s="958"/>
    </row>
    <row r="88" ht="35.25" customHeight="1">
      <c r="A88" s="18"/>
      <c r="B88" s="960" t="s">
        <v>1004</v>
      </c>
      <c r="C88" s="967">
        <v>3.76845E7</v>
      </c>
      <c r="D88" s="18"/>
      <c r="E88" s="961"/>
      <c r="F88" s="956"/>
      <c r="G88" s="956"/>
      <c r="H88" s="968"/>
      <c r="I88" s="956"/>
      <c r="J88" s="956"/>
      <c r="K88" s="956"/>
      <c r="L88" s="956"/>
      <c r="M88" s="956"/>
      <c r="N88" s="956"/>
      <c r="O88" s="958"/>
      <c r="P88" s="958"/>
      <c r="Q88" s="958"/>
      <c r="R88" s="958"/>
      <c r="S88" s="958"/>
      <c r="T88" s="958"/>
      <c r="U88" s="958"/>
      <c r="V88" s="958"/>
      <c r="W88" s="958"/>
      <c r="X88" s="958"/>
      <c r="Y88" s="958"/>
      <c r="Z88" s="958"/>
    </row>
    <row r="89" ht="35.25" customHeight="1">
      <c r="A89" s="18"/>
      <c r="B89" s="960" t="s">
        <v>1005</v>
      </c>
      <c r="C89" s="967">
        <f>33245700-57000</f>
        <v>33188700</v>
      </c>
      <c r="D89" s="18"/>
      <c r="E89" s="961"/>
      <c r="F89" s="956"/>
      <c r="G89" s="956"/>
      <c r="H89" s="968" t="s">
        <v>1352</v>
      </c>
      <c r="I89" s="956">
        <f>19*3000</f>
        <v>57000</v>
      </c>
      <c r="J89" s="956"/>
      <c r="K89" s="956"/>
      <c r="L89" s="956"/>
      <c r="M89" s="956"/>
      <c r="N89" s="956"/>
      <c r="O89" s="958"/>
      <c r="P89" s="958"/>
      <c r="Q89" s="958"/>
      <c r="R89" s="958"/>
      <c r="S89" s="958"/>
      <c r="T89" s="958"/>
      <c r="U89" s="958"/>
      <c r="V89" s="958"/>
      <c r="W89" s="958"/>
      <c r="X89" s="958"/>
      <c r="Y89" s="958"/>
      <c r="Z89" s="958"/>
    </row>
    <row r="90" ht="35.25" customHeight="1">
      <c r="A90" s="18"/>
      <c r="B90" s="960"/>
      <c r="C90" s="967"/>
      <c r="D90" s="18"/>
      <c r="E90" s="961"/>
      <c r="F90" s="956"/>
      <c r="G90" s="956"/>
      <c r="H90" s="964"/>
      <c r="I90" s="958"/>
      <c r="J90" s="956"/>
      <c r="K90" s="956"/>
      <c r="L90" s="956"/>
      <c r="M90" s="956"/>
      <c r="N90" s="956"/>
      <c r="O90" s="958"/>
      <c r="P90" s="958"/>
      <c r="Q90" s="958"/>
      <c r="R90" s="958"/>
      <c r="S90" s="958"/>
      <c r="T90" s="958"/>
      <c r="U90" s="958"/>
      <c r="V90" s="958"/>
      <c r="W90" s="958"/>
      <c r="X90" s="958"/>
      <c r="Y90" s="958"/>
      <c r="Z90" s="958"/>
    </row>
    <row r="91" ht="35.25" customHeight="1">
      <c r="A91" s="18"/>
      <c r="B91" s="960"/>
      <c r="C91" s="967"/>
      <c r="D91" s="18"/>
      <c r="E91" s="961"/>
      <c r="F91" s="956"/>
      <c r="G91" s="956"/>
      <c r="H91" s="982"/>
      <c r="I91" s="983"/>
      <c r="J91" s="956"/>
      <c r="K91" s="956"/>
      <c r="L91" s="956"/>
      <c r="M91" s="956"/>
      <c r="N91" s="956"/>
      <c r="O91" s="958"/>
      <c r="P91" s="958"/>
      <c r="Q91" s="958"/>
      <c r="R91" s="958"/>
      <c r="S91" s="958"/>
      <c r="T91" s="958"/>
      <c r="U91" s="958"/>
      <c r="V91" s="958"/>
      <c r="W91" s="958"/>
      <c r="X91" s="958"/>
      <c r="Y91" s="958"/>
      <c r="Z91" s="958"/>
    </row>
    <row r="92" ht="35.25" customHeight="1">
      <c r="A92" s="18"/>
      <c r="B92" s="960"/>
      <c r="C92" s="967"/>
      <c r="D92" s="18"/>
      <c r="E92" s="961"/>
      <c r="F92" s="956"/>
      <c r="G92" s="956"/>
      <c r="H92" s="982"/>
      <c r="I92" s="983"/>
      <c r="J92" s="956"/>
      <c r="K92" s="956"/>
      <c r="L92" s="956"/>
      <c r="M92" s="956"/>
      <c r="N92" s="956"/>
      <c r="O92" s="958"/>
      <c r="P92" s="958"/>
      <c r="Q92" s="958"/>
      <c r="R92" s="958"/>
      <c r="S92" s="958"/>
      <c r="T92" s="958"/>
      <c r="U92" s="958"/>
      <c r="V92" s="958"/>
      <c r="W92" s="958"/>
      <c r="X92" s="958"/>
      <c r="Y92" s="958"/>
      <c r="Z92" s="958"/>
    </row>
    <row r="93" ht="35.25" customHeight="1">
      <c r="A93" s="18"/>
      <c r="B93" s="960"/>
      <c r="C93" s="967"/>
      <c r="D93" s="22"/>
      <c r="E93" s="961"/>
      <c r="F93" s="956"/>
      <c r="G93" s="956"/>
      <c r="H93" s="982"/>
      <c r="I93" s="983"/>
      <c r="J93" s="956"/>
      <c r="K93" s="956"/>
      <c r="L93" s="956"/>
      <c r="M93" s="956"/>
      <c r="N93" s="956"/>
      <c r="O93" s="958"/>
      <c r="P93" s="958"/>
      <c r="Q93" s="958"/>
      <c r="R93" s="958"/>
      <c r="S93" s="958"/>
      <c r="T93" s="958"/>
      <c r="U93" s="958"/>
      <c r="V93" s="958"/>
      <c r="W93" s="958"/>
      <c r="X93" s="958"/>
      <c r="Y93" s="958"/>
      <c r="Z93" s="958"/>
    </row>
    <row r="94" ht="35.25" customHeight="1">
      <c r="A94" s="966" t="s">
        <v>153</v>
      </c>
      <c r="B94" s="960" t="s">
        <v>1014</v>
      </c>
      <c r="C94" s="970" t="s">
        <v>684</v>
      </c>
      <c r="D94" s="908">
        <f>SUM(C94:C99)</f>
        <v>140243500</v>
      </c>
      <c r="E94" s="961"/>
      <c r="F94" s="956"/>
      <c r="G94" s="956"/>
      <c r="H94" s="956"/>
      <c r="I94" s="956"/>
      <c r="J94" s="956"/>
      <c r="K94" s="956"/>
      <c r="L94" s="956"/>
      <c r="M94" s="956"/>
      <c r="N94" s="956"/>
      <c r="O94" s="958"/>
      <c r="P94" s="958"/>
      <c r="Q94" s="958"/>
      <c r="R94" s="958"/>
      <c r="S94" s="958"/>
      <c r="T94" s="958"/>
      <c r="U94" s="958"/>
      <c r="V94" s="958"/>
      <c r="W94" s="958"/>
      <c r="X94" s="958"/>
      <c r="Y94" s="958"/>
      <c r="Z94" s="958"/>
    </row>
    <row r="95" ht="35.25" customHeight="1">
      <c r="A95" s="18"/>
      <c r="B95" s="960" t="s">
        <v>1346</v>
      </c>
      <c r="C95" s="970" t="s">
        <v>684</v>
      </c>
      <c r="D95" s="18"/>
      <c r="E95" s="961"/>
      <c r="F95" s="956"/>
      <c r="G95" s="956"/>
      <c r="H95" s="956"/>
      <c r="I95" s="956"/>
      <c r="J95" s="956"/>
      <c r="K95" s="956"/>
      <c r="L95" s="956"/>
      <c r="M95" s="956"/>
      <c r="N95" s="956"/>
      <c r="O95" s="958"/>
      <c r="P95" s="958"/>
      <c r="Q95" s="958"/>
      <c r="R95" s="958"/>
      <c r="S95" s="958"/>
      <c r="T95" s="958"/>
      <c r="U95" s="958"/>
      <c r="V95" s="958"/>
      <c r="W95" s="958"/>
      <c r="X95" s="958"/>
      <c r="Y95" s="958"/>
      <c r="Z95" s="958"/>
    </row>
    <row r="96" ht="35.25" customHeight="1">
      <c r="A96" s="18"/>
      <c r="B96" s="976" t="s">
        <v>1004</v>
      </c>
      <c r="C96" s="984" t="s">
        <v>684</v>
      </c>
      <c r="D96" s="18"/>
      <c r="E96" s="961"/>
      <c r="F96" s="956"/>
      <c r="G96" s="956"/>
      <c r="H96" s="968"/>
      <c r="I96" s="956"/>
      <c r="J96" s="956"/>
      <c r="K96" s="956"/>
      <c r="L96" s="956"/>
      <c r="M96" s="956"/>
      <c r="N96" s="956"/>
      <c r="O96" s="958"/>
      <c r="P96" s="958"/>
      <c r="Q96" s="958"/>
      <c r="R96" s="958"/>
      <c r="S96" s="958"/>
      <c r="T96" s="958"/>
      <c r="U96" s="958"/>
      <c r="V96" s="958"/>
      <c r="W96" s="958"/>
      <c r="X96" s="958"/>
      <c r="Y96" s="958"/>
      <c r="Z96" s="958"/>
    </row>
    <row r="97" ht="35.25" customHeight="1">
      <c r="A97" s="18"/>
      <c r="B97" s="976" t="s">
        <v>1005</v>
      </c>
      <c r="C97" s="984">
        <v>1.402435E8</v>
      </c>
      <c r="D97" s="18"/>
      <c r="E97" s="961"/>
      <c r="F97" s="956"/>
      <c r="G97" s="956"/>
      <c r="H97" s="958"/>
      <c r="I97" s="956"/>
      <c r="J97" s="956"/>
      <c r="K97" s="956"/>
      <c r="L97" s="956"/>
      <c r="M97" s="956"/>
      <c r="N97" s="956"/>
      <c r="O97" s="958"/>
      <c r="P97" s="958"/>
      <c r="Q97" s="958"/>
      <c r="R97" s="958"/>
      <c r="S97" s="958"/>
      <c r="T97" s="958"/>
      <c r="U97" s="958"/>
      <c r="V97" s="958"/>
      <c r="W97" s="958"/>
      <c r="X97" s="958"/>
      <c r="Y97" s="958"/>
      <c r="Z97" s="958"/>
    </row>
    <row r="98" ht="35.25" customHeight="1">
      <c r="A98" s="18"/>
      <c r="B98" s="960"/>
      <c r="C98" s="970"/>
      <c r="D98" s="18"/>
      <c r="E98" s="961"/>
      <c r="F98" s="956"/>
      <c r="G98" s="956"/>
      <c r="H98" s="958"/>
      <c r="I98" s="956"/>
      <c r="J98" s="956"/>
      <c r="K98" s="956"/>
      <c r="L98" s="956"/>
      <c r="M98" s="956"/>
      <c r="N98" s="956"/>
      <c r="O98" s="958"/>
      <c r="P98" s="958"/>
      <c r="Q98" s="958"/>
      <c r="R98" s="958"/>
      <c r="S98" s="958"/>
      <c r="T98" s="958"/>
      <c r="U98" s="958"/>
      <c r="V98" s="958"/>
      <c r="W98" s="958"/>
      <c r="X98" s="958"/>
      <c r="Y98" s="958"/>
      <c r="Z98" s="958"/>
    </row>
    <row r="99" ht="35.25" customHeight="1">
      <c r="A99" s="18"/>
      <c r="B99" s="960"/>
      <c r="C99" s="970"/>
      <c r="D99" s="18"/>
      <c r="E99" s="961"/>
      <c r="F99" s="956"/>
      <c r="G99" s="956"/>
      <c r="H99" s="958"/>
      <c r="I99" s="956"/>
      <c r="J99" s="956"/>
      <c r="K99" s="956"/>
      <c r="L99" s="956"/>
      <c r="M99" s="956"/>
      <c r="N99" s="956"/>
      <c r="O99" s="958"/>
      <c r="P99" s="958"/>
      <c r="Q99" s="958"/>
      <c r="R99" s="958"/>
      <c r="S99" s="958"/>
      <c r="T99" s="958"/>
      <c r="U99" s="958"/>
      <c r="V99" s="958"/>
      <c r="W99" s="958"/>
      <c r="X99" s="958"/>
      <c r="Y99" s="958"/>
      <c r="Z99" s="958"/>
    </row>
    <row r="100" ht="35.25" customHeight="1">
      <c r="A100" s="975" t="s">
        <v>154</v>
      </c>
      <c r="B100" s="976" t="s">
        <v>1346</v>
      </c>
      <c r="C100" s="622" t="s">
        <v>684</v>
      </c>
      <c r="D100" s="908">
        <f>SUM(C100:C106)</f>
        <v>111181500</v>
      </c>
      <c r="E100" s="961">
        <f>94223500+67205800</f>
        <v>161429300</v>
      </c>
      <c r="F100" s="956"/>
      <c r="G100" s="956"/>
      <c r="H100" s="956"/>
      <c r="I100" s="956"/>
      <c r="J100" s="956"/>
      <c r="K100" s="956"/>
      <c r="L100" s="956"/>
      <c r="M100" s="956"/>
      <c r="N100" s="956"/>
      <c r="O100" s="958"/>
      <c r="P100" s="958"/>
      <c r="Q100" s="958"/>
      <c r="R100" s="958"/>
      <c r="S100" s="958"/>
      <c r="T100" s="958"/>
      <c r="U100" s="958"/>
      <c r="V100" s="958"/>
      <c r="W100" s="958"/>
      <c r="X100" s="958"/>
      <c r="Y100" s="958"/>
      <c r="Z100" s="958"/>
    </row>
    <row r="101" ht="35.25" customHeight="1">
      <c r="A101" s="18"/>
      <c r="B101" s="976" t="s">
        <v>1004</v>
      </c>
      <c r="C101" s="984">
        <f>54070000-1020000</f>
        <v>53050000</v>
      </c>
      <c r="D101" s="18"/>
      <c r="E101" s="961"/>
      <c r="F101" s="956"/>
      <c r="G101" s="956"/>
      <c r="H101" s="956"/>
      <c r="I101" s="956"/>
      <c r="J101" s="956"/>
      <c r="K101" s="956"/>
      <c r="L101" s="956"/>
      <c r="M101" s="956"/>
      <c r="N101" s="956"/>
      <c r="O101" s="958"/>
      <c r="P101" s="958"/>
      <c r="Q101" s="958"/>
      <c r="R101" s="958"/>
      <c r="S101" s="958"/>
      <c r="T101" s="958"/>
      <c r="U101" s="958"/>
      <c r="V101" s="958"/>
      <c r="W101" s="958"/>
      <c r="X101" s="958"/>
      <c r="Y101" s="958"/>
      <c r="Z101" s="958"/>
    </row>
    <row r="102" ht="35.25" customHeight="1">
      <c r="A102" s="18"/>
      <c r="B102" s="960" t="s">
        <v>1005</v>
      </c>
      <c r="C102" s="598">
        <v>5.81315E7</v>
      </c>
      <c r="D102" s="18"/>
      <c r="E102" s="961"/>
      <c r="F102" s="956"/>
      <c r="G102" s="956"/>
      <c r="H102" s="977"/>
      <c r="I102" s="956"/>
      <c r="J102" s="956"/>
      <c r="K102" s="956"/>
      <c r="L102" s="956"/>
      <c r="M102" s="956"/>
      <c r="N102" s="956"/>
      <c r="O102" s="958"/>
      <c r="P102" s="958"/>
      <c r="Q102" s="958"/>
      <c r="R102" s="958"/>
      <c r="S102" s="958"/>
      <c r="T102" s="958"/>
      <c r="U102" s="958"/>
      <c r="V102" s="958"/>
      <c r="W102" s="958"/>
      <c r="X102" s="958"/>
      <c r="Y102" s="958"/>
      <c r="Z102" s="958"/>
    </row>
    <row r="103" ht="35.25" customHeight="1">
      <c r="A103" s="18"/>
      <c r="B103" s="960"/>
      <c r="C103" s="598"/>
      <c r="D103" s="18"/>
      <c r="E103" s="961"/>
      <c r="F103" s="956"/>
      <c r="G103" s="956"/>
      <c r="H103" s="535"/>
      <c r="I103" s="956"/>
      <c r="J103" s="956"/>
      <c r="K103" s="956"/>
      <c r="L103" s="956"/>
      <c r="M103" s="956"/>
      <c r="N103" s="956"/>
      <c r="O103" s="958"/>
      <c r="P103" s="958"/>
      <c r="Q103" s="958"/>
      <c r="R103" s="958"/>
      <c r="S103" s="958"/>
      <c r="T103" s="958"/>
      <c r="U103" s="958"/>
      <c r="V103" s="958"/>
      <c r="W103" s="958"/>
      <c r="X103" s="958"/>
      <c r="Y103" s="958"/>
      <c r="Z103" s="958"/>
    </row>
    <row r="104" ht="35.25" customHeight="1">
      <c r="A104" s="18"/>
      <c r="B104" s="960"/>
      <c r="C104" s="598"/>
      <c r="D104" s="18"/>
      <c r="E104" s="961"/>
      <c r="F104" s="956"/>
      <c r="G104" s="956"/>
      <c r="H104" s="968"/>
      <c r="I104" s="956"/>
      <c r="J104" s="956"/>
      <c r="K104" s="956"/>
      <c r="L104" s="956"/>
      <c r="M104" s="956"/>
      <c r="N104" s="956"/>
      <c r="O104" s="958"/>
      <c r="P104" s="958"/>
      <c r="Q104" s="958"/>
      <c r="R104" s="958"/>
      <c r="S104" s="958"/>
      <c r="T104" s="958"/>
      <c r="U104" s="958"/>
      <c r="V104" s="958"/>
      <c r="W104" s="958"/>
      <c r="X104" s="958"/>
      <c r="Y104" s="958"/>
      <c r="Z104" s="958"/>
    </row>
    <row r="105" ht="35.25" customHeight="1">
      <c r="A105" s="18"/>
      <c r="B105" s="960"/>
      <c r="C105" s="598"/>
      <c r="D105" s="18"/>
      <c r="E105" s="961"/>
      <c r="F105" s="956"/>
      <c r="G105" s="956"/>
      <c r="H105" s="956"/>
      <c r="I105" s="956"/>
      <c r="J105" s="956"/>
      <c r="K105" s="956"/>
      <c r="L105" s="956"/>
      <c r="M105" s="956"/>
      <c r="N105" s="956"/>
      <c r="O105" s="958"/>
      <c r="P105" s="958"/>
      <c r="Q105" s="958"/>
      <c r="R105" s="958"/>
      <c r="S105" s="958"/>
      <c r="T105" s="958"/>
      <c r="U105" s="958"/>
      <c r="V105" s="958"/>
      <c r="W105" s="958"/>
      <c r="X105" s="958"/>
      <c r="Y105" s="958"/>
      <c r="Z105" s="958"/>
    </row>
    <row r="106" ht="35.25" customHeight="1">
      <c r="A106" s="18"/>
      <c r="B106" s="974"/>
      <c r="C106" s="974"/>
      <c r="D106" s="22"/>
      <c r="E106" s="961"/>
      <c r="F106" s="956"/>
      <c r="G106" s="956"/>
      <c r="H106" s="968"/>
      <c r="I106" s="956"/>
      <c r="J106" s="956"/>
      <c r="K106" s="956"/>
      <c r="L106" s="956"/>
      <c r="M106" s="956"/>
      <c r="N106" s="956"/>
      <c r="O106" s="958"/>
      <c r="P106" s="958"/>
      <c r="Q106" s="958"/>
      <c r="R106" s="958"/>
      <c r="S106" s="958"/>
      <c r="T106" s="958"/>
      <c r="U106" s="958"/>
      <c r="V106" s="958"/>
      <c r="W106" s="958"/>
      <c r="X106" s="958"/>
      <c r="Y106" s="958"/>
      <c r="Z106" s="958"/>
    </row>
    <row r="107" ht="35.25" customHeight="1">
      <c r="A107" s="975" t="s">
        <v>156</v>
      </c>
      <c r="B107" s="960" t="s">
        <v>1012</v>
      </c>
      <c r="C107" s="970">
        <v>2.2765E7</v>
      </c>
      <c r="D107" s="908">
        <f>SUM(C107:C116)</f>
        <v>185143500</v>
      </c>
      <c r="E107" s="961"/>
      <c r="F107" s="956"/>
      <c r="G107" s="956"/>
      <c r="H107" s="956"/>
      <c r="I107" s="956"/>
      <c r="J107" s="956"/>
      <c r="K107" s="956"/>
      <c r="L107" s="956"/>
      <c r="M107" s="956"/>
      <c r="N107" s="956"/>
      <c r="O107" s="958"/>
      <c r="P107" s="958"/>
      <c r="Q107" s="958"/>
      <c r="R107" s="958"/>
      <c r="S107" s="958"/>
      <c r="T107" s="958"/>
      <c r="U107" s="958"/>
      <c r="V107" s="958"/>
      <c r="W107" s="958"/>
      <c r="X107" s="958"/>
      <c r="Y107" s="958"/>
      <c r="Z107" s="958"/>
    </row>
    <row r="108" ht="35.25" customHeight="1">
      <c r="A108" s="18"/>
      <c r="B108" s="960" t="s">
        <v>1013</v>
      </c>
      <c r="C108" s="970">
        <f>26745000-4400000</f>
        <v>22345000</v>
      </c>
      <c r="D108" s="18"/>
      <c r="E108" s="961"/>
      <c r="F108" s="956"/>
      <c r="G108" s="956"/>
      <c r="H108" s="956"/>
      <c r="I108" s="956"/>
      <c r="J108" s="956"/>
      <c r="K108" s="956"/>
      <c r="L108" s="956"/>
      <c r="M108" s="956"/>
      <c r="N108" s="956"/>
      <c r="O108" s="958"/>
      <c r="P108" s="958"/>
      <c r="Q108" s="958"/>
      <c r="R108" s="958"/>
      <c r="S108" s="958"/>
      <c r="T108" s="958"/>
      <c r="U108" s="958"/>
      <c r="V108" s="958"/>
      <c r="W108" s="958"/>
      <c r="X108" s="958"/>
      <c r="Y108" s="958"/>
      <c r="Z108" s="958"/>
    </row>
    <row r="109" ht="35.25" customHeight="1">
      <c r="A109" s="18"/>
      <c r="B109" s="960" t="s">
        <v>1006</v>
      </c>
      <c r="C109" s="970">
        <v>2.5535E7</v>
      </c>
      <c r="D109" s="18"/>
      <c r="E109" s="961"/>
      <c r="F109" s="956"/>
      <c r="G109" s="956"/>
      <c r="H109" s="968"/>
      <c r="I109" s="956"/>
      <c r="J109" s="956"/>
      <c r="K109" s="956"/>
      <c r="L109" s="956"/>
      <c r="M109" s="956"/>
      <c r="N109" s="956"/>
      <c r="O109" s="958"/>
      <c r="P109" s="958"/>
      <c r="Q109" s="958"/>
      <c r="R109" s="958"/>
      <c r="S109" s="958"/>
      <c r="T109" s="958"/>
      <c r="U109" s="958"/>
      <c r="V109" s="958"/>
      <c r="W109" s="958"/>
      <c r="X109" s="958"/>
      <c r="Y109" s="958"/>
      <c r="Z109" s="958"/>
    </row>
    <row r="110" ht="35.25" customHeight="1">
      <c r="A110" s="18"/>
      <c r="B110" s="960" t="s">
        <v>1014</v>
      </c>
      <c r="C110" s="970">
        <v>3.1845E7</v>
      </c>
      <c r="D110" s="18"/>
      <c r="E110" s="977"/>
      <c r="F110" s="956"/>
      <c r="G110" s="956"/>
      <c r="H110" s="956"/>
      <c r="I110" s="956"/>
      <c r="J110" s="956"/>
      <c r="K110" s="956"/>
      <c r="L110" s="956"/>
      <c r="M110" s="956"/>
      <c r="N110" s="956"/>
      <c r="O110" s="958"/>
      <c r="P110" s="958"/>
      <c r="Q110" s="958"/>
      <c r="R110" s="958"/>
      <c r="S110" s="958"/>
      <c r="T110" s="958"/>
      <c r="U110" s="958"/>
      <c r="V110" s="958"/>
      <c r="W110" s="958"/>
      <c r="X110" s="958"/>
      <c r="Y110" s="958"/>
      <c r="Z110" s="958"/>
    </row>
    <row r="111" ht="35.25" customHeight="1">
      <c r="A111" s="18"/>
      <c r="B111" s="960" t="s">
        <v>1346</v>
      </c>
      <c r="C111" s="970">
        <v>3.1476E7</v>
      </c>
      <c r="D111" s="18"/>
      <c r="E111" s="961"/>
      <c r="F111" s="956"/>
      <c r="G111" s="956"/>
      <c r="H111" s="968"/>
      <c r="I111" s="985"/>
      <c r="J111" s="956"/>
      <c r="K111" s="956"/>
      <c r="L111" s="956"/>
      <c r="M111" s="956"/>
      <c r="N111" s="956"/>
      <c r="O111" s="958"/>
      <c r="P111" s="958"/>
      <c r="Q111" s="958"/>
      <c r="R111" s="958"/>
      <c r="S111" s="958"/>
      <c r="T111" s="958"/>
      <c r="U111" s="958"/>
      <c r="V111" s="958"/>
      <c r="W111" s="958"/>
      <c r="X111" s="958"/>
      <c r="Y111" s="958"/>
      <c r="Z111" s="958"/>
    </row>
    <row r="112" ht="35.25" customHeight="1">
      <c r="A112" s="18"/>
      <c r="B112" s="960" t="s">
        <v>1004</v>
      </c>
      <c r="C112" s="970">
        <v>1.8735E7</v>
      </c>
      <c r="D112" s="18"/>
      <c r="E112" s="961" t="s">
        <v>794</v>
      </c>
      <c r="F112" s="956"/>
      <c r="G112" s="956"/>
      <c r="H112" s="968"/>
      <c r="I112" s="956"/>
      <c r="J112" s="956"/>
      <c r="K112" s="956"/>
      <c r="L112" s="956"/>
      <c r="M112" s="956"/>
      <c r="N112" s="956"/>
      <c r="O112" s="958"/>
      <c r="P112" s="958"/>
      <c r="Q112" s="958"/>
      <c r="R112" s="958"/>
      <c r="S112" s="958"/>
      <c r="T112" s="958"/>
      <c r="U112" s="958"/>
      <c r="V112" s="958"/>
      <c r="W112" s="958"/>
      <c r="X112" s="958"/>
      <c r="Y112" s="958"/>
      <c r="Z112" s="958"/>
    </row>
    <row r="113" ht="35.25" customHeight="1">
      <c r="A113" s="18"/>
      <c r="B113" s="960" t="s">
        <v>1005</v>
      </c>
      <c r="C113" s="970">
        <f>32562500-120000</f>
        <v>32442500</v>
      </c>
      <c r="D113" s="18"/>
      <c r="E113" s="961"/>
      <c r="F113" s="956"/>
      <c r="G113" s="956"/>
      <c r="H113" s="968"/>
      <c r="I113" s="956"/>
      <c r="J113" s="956"/>
      <c r="K113" s="956"/>
      <c r="L113" s="956"/>
      <c r="M113" s="956"/>
      <c r="N113" s="956"/>
      <c r="O113" s="958"/>
      <c r="P113" s="958"/>
      <c r="Q113" s="958"/>
      <c r="R113" s="958"/>
      <c r="S113" s="958"/>
      <c r="T113" s="958"/>
      <c r="U113" s="958"/>
      <c r="V113" s="958"/>
      <c r="W113" s="958"/>
      <c r="X113" s="958"/>
      <c r="Y113" s="958"/>
      <c r="Z113" s="958"/>
    </row>
    <row r="114" ht="35.25" customHeight="1">
      <c r="A114" s="18"/>
      <c r="B114" s="960"/>
      <c r="C114" s="970"/>
      <c r="D114" s="18"/>
      <c r="E114" s="961"/>
      <c r="F114" s="956"/>
      <c r="G114" s="956"/>
      <c r="H114" s="964"/>
      <c r="I114" s="958"/>
      <c r="J114" s="956"/>
      <c r="K114" s="956"/>
      <c r="L114" s="956"/>
      <c r="M114" s="956"/>
      <c r="N114" s="956"/>
      <c r="O114" s="958"/>
      <c r="P114" s="958"/>
      <c r="Q114" s="958"/>
      <c r="R114" s="958"/>
      <c r="S114" s="958"/>
      <c r="T114" s="958"/>
      <c r="U114" s="958"/>
      <c r="V114" s="958"/>
      <c r="W114" s="958"/>
      <c r="X114" s="958"/>
      <c r="Y114" s="958"/>
      <c r="Z114" s="958"/>
    </row>
    <row r="115" ht="35.25" customHeight="1">
      <c r="A115" s="18"/>
      <c r="B115" s="960"/>
      <c r="C115" s="970"/>
      <c r="D115" s="18"/>
      <c r="E115" s="961"/>
      <c r="F115" s="956"/>
      <c r="G115" s="956"/>
      <c r="H115" s="964"/>
      <c r="I115" s="958"/>
      <c r="J115" s="956"/>
      <c r="K115" s="956"/>
      <c r="L115" s="956"/>
      <c r="M115" s="956"/>
      <c r="N115" s="956"/>
      <c r="O115" s="958"/>
      <c r="P115" s="958"/>
      <c r="Q115" s="958"/>
      <c r="R115" s="958"/>
      <c r="S115" s="958"/>
      <c r="T115" s="958"/>
      <c r="U115" s="958"/>
      <c r="V115" s="958"/>
      <c r="W115" s="958"/>
      <c r="X115" s="958"/>
      <c r="Y115" s="958"/>
      <c r="Z115" s="958"/>
    </row>
    <row r="116" ht="35.25" customHeight="1">
      <c r="A116" s="18"/>
      <c r="B116" s="960"/>
      <c r="C116" s="967"/>
      <c r="D116" s="18"/>
      <c r="E116" s="961"/>
      <c r="F116" s="956"/>
      <c r="G116" s="956"/>
      <c r="H116" s="964"/>
      <c r="I116" s="958"/>
      <c r="J116" s="956"/>
      <c r="K116" s="956"/>
      <c r="L116" s="956"/>
      <c r="M116" s="956"/>
      <c r="N116" s="956"/>
      <c r="O116" s="958"/>
      <c r="P116" s="958"/>
      <c r="Q116" s="958"/>
      <c r="R116" s="958"/>
      <c r="S116" s="958"/>
      <c r="T116" s="958"/>
      <c r="U116" s="958"/>
      <c r="V116" s="958"/>
      <c r="W116" s="958"/>
      <c r="X116" s="958"/>
      <c r="Y116" s="958"/>
      <c r="Z116" s="958"/>
    </row>
    <row r="117" ht="35.25" customHeight="1">
      <c r="A117" s="966" t="s">
        <v>158</v>
      </c>
      <c r="B117" s="960" t="s">
        <v>1004</v>
      </c>
      <c r="C117" s="598">
        <v>3.55195E7</v>
      </c>
      <c r="D117" s="908">
        <f>SUM(C117:C124)</f>
        <v>63221500</v>
      </c>
      <c r="E117" s="961"/>
      <c r="F117" s="956"/>
      <c r="G117" s="956"/>
      <c r="H117" s="968"/>
      <c r="I117" s="956"/>
      <c r="J117" s="956"/>
      <c r="K117" s="956"/>
      <c r="L117" s="956"/>
      <c r="M117" s="956"/>
      <c r="N117" s="956"/>
      <c r="O117" s="958"/>
      <c r="P117" s="958"/>
      <c r="Q117" s="958"/>
      <c r="R117" s="958"/>
      <c r="S117" s="958"/>
      <c r="T117" s="958"/>
      <c r="U117" s="958"/>
      <c r="V117" s="958"/>
      <c r="W117" s="958"/>
      <c r="X117" s="958"/>
      <c r="Y117" s="958"/>
      <c r="Z117" s="958"/>
    </row>
    <row r="118" ht="35.25" customHeight="1">
      <c r="A118" s="18"/>
      <c r="B118" s="960" t="s">
        <v>1005</v>
      </c>
      <c r="C118" s="598">
        <v>2.7702E7</v>
      </c>
      <c r="D118" s="18"/>
      <c r="E118" s="961"/>
      <c r="F118" s="956"/>
      <c r="G118" s="956"/>
      <c r="H118" s="968"/>
      <c r="I118" s="956"/>
      <c r="J118" s="956"/>
      <c r="K118" s="956"/>
      <c r="L118" s="956"/>
      <c r="M118" s="956"/>
      <c r="N118" s="956"/>
      <c r="O118" s="958"/>
      <c r="P118" s="958"/>
      <c r="Q118" s="958"/>
      <c r="R118" s="958"/>
      <c r="S118" s="958"/>
      <c r="T118" s="958"/>
      <c r="U118" s="958"/>
      <c r="V118" s="958"/>
      <c r="W118" s="958"/>
      <c r="X118" s="958"/>
      <c r="Y118" s="958"/>
      <c r="Z118" s="958"/>
    </row>
    <row r="119" ht="35.25" customHeight="1">
      <c r="A119" s="18"/>
      <c r="B119" s="960"/>
      <c r="C119" s="598"/>
      <c r="D119" s="18"/>
      <c r="E119" s="961"/>
      <c r="F119" s="956"/>
      <c r="G119" s="956"/>
      <c r="H119" s="956"/>
      <c r="I119" s="956"/>
      <c r="J119" s="956"/>
      <c r="K119" s="956"/>
      <c r="L119" s="956"/>
      <c r="M119" s="956"/>
      <c r="N119" s="956"/>
      <c r="O119" s="958"/>
      <c r="P119" s="958"/>
      <c r="Q119" s="958"/>
      <c r="R119" s="958"/>
      <c r="S119" s="958"/>
      <c r="T119" s="958"/>
      <c r="U119" s="958"/>
      <c r="V119" s="958"/>
      <c r="W119" s="958"/>
      <c r="X119" s="958"/>
      <c r="Y119" s="958"/>
      <c r="Z119" s="958"/>
    </row>
    <row r="120" ht="35.25" customHeight="1">
      <c r="A120" s="18"/>
      <c r="B120" s="960"/>
      <c r="C120" s="598"/>
      <c r="D120" s="18"/>
      <c r="E120" s="961"/>
      <c r="F120" s="956"/>
      <c r="G120" s="956"/>
      <c r="H120" s="968"/>
      <c r="I120" s="956"/>
      <c r="J120" s="956"/>
      <c r="K120" s="956"/>
      <c r="L120" s="956"/>
      <c r="M120" s="956"/>
      <c r="N120" s="956"/>
      <c r="O120" s="958"/>
      <c r="P120" s="958"/>
      <c r="Q120" s="958"/>
      <c r="R120" s="958"/>
      <c r="S120" s="958"/>
      <c r="T120" s="958"/>
      <c r="U120" s="958"/>
      <c r="V120" s="958"/>
      <c r="W120" s="958"/>
      <c r="X120" s="958"/>
      <c r="Y120" s="958"/>
      <c r="Z120" s="958"/>
    </row>
    <row r="121" ht="35.25" customHeight="1">
      <c r="A121" s="18"/>
      <c r="B121" s="960"/>
      <c r="C121" s="598"/>
      <c r="D121" s="18"/>
      <c r="E121" s="961"/>
      <c r="F121" s="956"/>
      <c r="G121" s="956"/>
      <c r="H121" s="968"/>
      <c r="I121" s="956"/>
      <c r="J121" s="956"/>
      <c r="K121" s="956"/>
      <c r="L121" s="956"/>
      <c r="M121" s="956"/>
      <c r="N121" s="956"/>
      <c r="O121" s="958"/>
      <c r="P121" s="958"/>
      <c r="Q121" s="958"/>
      <c r="R121" s="958"/>
      <c r="S121" s="958"/>
      <c r="T121" s="958"/>
      <c r="U121" s="958"/>
      <c r="V121" s="958"/>
      <c r="W121" s="958"/>
      <c r="X121" s="958"/>
      <c r="Y121" s="958"/>
      <c r="Z121" s="958"/>
    </row>
    <row r="122" ht="35.25" customHeight="1">
      <c r="A122" s="18"/>
      <c r="B122" s="960"/>
      <c r="C122" s="598"/>
      <c r="D122" s="18"/>
      <c r="E122" s="961"/>
      <c r="F122" s="956"/>
      <c r="G122" s="956"/>
      <c r="H122" s="968"/>
      <c r="I122" s="956"/>
      <c r="J122" s="956"/>
      <c r="K122" s="956"/>
      <c r="L122" s="956"/>
      <c r="M122" s="956"/>
      <c r="N122" s="956"/>
      <c r="O122" s="958"/>
      <c r="P122" s="958"/>
      <c r="Q122" s="958"/>
      <c r="R122" s="958"/>
      <c r="S122" s="958"/>
      <c r="T122" s="958"/>
      <c r="U122" s="958"/>
      <c r="V122" s="958"/>
      <c r="W122" s="958"/>
      <c r="X122" s="958"/>
      <c r="Y122" s="958"/>
      <c r="Z122" s="958"/>
    </row>
    <row r="123" ht="35.25" customHeight="1">
      <c r="A123" s="18"/>
      <c r="B123" s="960"/>
      <c r="C123" s="598"/>
      <c r="D123" s="18"/>
      <c r="E123" s="961"/>
      <c r="F123" s="956"/>
      <c r="G123" s="956"/>
      <c r="H123" s="968"/>
      <c r="I123" s="956"/>
      <c r="J123" s="956"/>
      <c r="K123" s="956"/>
      <c r="L123" s="956"/>
      <c r="M123" s="956"/>
      <c r="N123" s="956"/>
      <c r="O123" s="958"/>
      <c r="P123" s="958"/>
      <c r="Q123" s="958"/>
      <c r="R123" s="958"/>
      <c r="S123" s="958"/>
      <c r="T123" s="958"/>
      <c r="U123" s="958"/>
      <c r="V123" s="958"/>
      <c r="W123" s="958"/>
      <c r="X123" s="958"/>
      <c r="Y123" s="958"/>
      <c r="Z123" s="958"/>
    </row>
    <row r="124" ht="35.25" customHeight="1">
      <c r="A124" s="22"/>
      <c r="B124" s="960"/>
      <c r="C124" s="598"/>
      <c r="D124" s="22"/>
      <c r="E124" s="961"/>
      <c r="F124" s="956"/>
      <c r="G124" s="956"/>
      <c r="H124" s="968"/>
      <c r="I124" s="956"/>
      <c r="J124" s="956"/>
      <c r="K124" s="956"/>
      <c r="L124" s="956"/>
      <c r="M124" s="956"/>
      <c r="N124" s="956"/>
      <c r="O124" s="958"/>
      <c r="P124" s="958"/>
      <c r="Q124" s="958"/>
      <c r="R124" s="958"/>
      <c r="S124" s="958"/>
      <c r="T124" s="958"/>
      <c r="U124" s="958"/>
      <c r="V124" s="958"/>
      <c r="W124" s="958"/>
      <c r="X124" s="958"/>
      <c r="Y124" s="958"/>
      <c r="Z124" s="958"/>
    </row>
    <row r="125" ht="35.25" hidden="1" customHeight="1">
      <c r="A125" s="986" t="s">
        <v>167</v>
      </c>
      <c r="B125" s="987" t="s">
        <v>10</v>
      </c>
      <c r="C125" s="988">
        <v>2.714E7</v>
      </c>
      <c r="D125" s="753">
        <f>SUM(C125:C126)</f>
        <v>63160000</v>
      </c>
      <c r="E125" s="961"/>
      <c r="F125" s="956"/>
      <c r="G125" s="956"/>
      <c r="H125" s="956"/>
      <c r="I125" s="956"/>
      <c r="J125" s="956"/>
      <c r="K125" s="956"/>
      <c r="L125" s="956"/>
      <c r="M125" s="956"/>
      <c r="N125" s="956"/>
      <c r="O125" s="958"/>
      <c r="P125" s="958"/>
      <c r="Q125" s="958"/>
      <c r="R125" s="958"/>
      <c r="S125" s="958"/>
      <c r="T125" s="958"/>
      <c r="U125" s="958"/>
      <c r="V125" s="958"/>
      <c r="W125" s="958"/>
      <c r="X125" s="958"/>
      <c r="Y125" s="958"/>
      <c r="Z125" s="958"/>
    </row>
    <row r="126" ht="35.25" hidden="1" customHeight="1">
      <c r="A126" s="754"/>
      <c r="B126" s="989" t="s">
        <v>1120</v>
      </c>
      <c r="C126" s="990">
        <v>3.602E7</v>
      </c>
      <c r="D126" s="755"/>
      <c r="E126" s="961"/>
      <c r="F126" s="956"/>
      <c r="G126" s="956"/>
      <c r="H126" s="956"/>
      <c r="I126" s="956"/>
      <c r="J126" s="956"/>
      <c r="K126" s="956"/>
      <c r="L126" s="956"/>
      <c r="M126" s="956"/>
      <c r="N126" s="956"/>
      <c r="O126" s="958"/>
      <c r="P126" s="958"/>
      <c r="Q126" s="958"/>
      <c r="R126" s="958"/>
      <c r="S126" s="958"/>
      <c r="T126" s="958"/>
      <c r="U126" s="958"/>
      <c r="V126" s="958"/>
      <c r="W126" s="958"/>
      <c r="X126" s="958"/>
      <c r="Y126" s="958"/>
      <c r="Z126" s="958"/>
    </row>
    <row r="127" ht="35.25" hidden="1" customHeight="1">
      <c r="A127" s="754"/>
      <c r="B127" s="989"/>
      <c r="C127" s="990"/>
      <c r="D127" s="755"/>
      <c r="E127" s="961"/>
      <c r="F127" s="956"/>
      <c r="G127" s="956"/>
      <c r="H127" s="956"/>
      <c r="I127" s="956"/>
      <c r="J127" s="956"/>
      <c r="K127" s="956"/>
      <c r="L127" s="956"/>
      <c r="M127" s="956"/>
      <c r="N127" s="956"/>
      <c r="O127" s="958"/>
      <c r="P127" s="958"/>
      <c r="Q127" s="958"/>
      <c r="R127" s="958"/>
      <c r="S127" s="958"/>
      <c r="T127" s="958"/>
      <c r="U127" s="958"/>
      <c r="V127" s="958"/>
      <c r="W127" s="958"/>
      <c r="X127" s="958"/>
      <c r="Y127" s="958"/>
      <c r="Z127" s="958"/>
    </row>
    <row r="128" ht="35.25" hidden="1" customHeight="1">
      <c r="A128" s="754"/>
      <c r="B128" s="989"/>
      <c r="C128" s="990"/>
      <c r="D128" s="755"/>
      <c r="E128" s="961" t="s">
        <v>797</v>
      </c>
      <c r="F128" s="956"/>
      <c r="G128" s="956"/>
      <c r="H128" s="956"/>
      <c r="I128" s="956"/>
      <c r="J128" s="956"/>
      <c r="K128" s="956"/>
      <c r="L128" s="956"/>
      <c r="M128" s="956"/>
      <c r="N128" s="956"/>
      <c r="O128" s="958"/>
      <c r="P128" s="958"/>
      <c r="Q128" s="958"/>
      <c r="R128" s="958"/>
      <c r="S128" s="958"/>
      <c r="T128" s="958"/>
      <c r="U128" s="958"/>
      <c r="V128" s="958"/>
      <c r="W128" s="958"/>
      <c r="X128" s="958"/>
      <c r="Y128" s="958"/>
      <c r="Z128" s="958"/>
    </row>
    <row r="129" ht="35.25" hidden="1" customHeight="1">
      <c r="A129" s="754"/>
      <c r="B129" s="989"/>
      <c r="C129" s="990"/>
      <c r="D129" s="755"/>
      <c r="E129" s="961"/>
      <c r="F129" s="956"/>
      <c r="G129" s="956"/>
      <c r="H129" s="956"/>
      <c r="I129" s="956"/>
      <c r="J129" s="956"/>
      <c r="K129" s="956"/>
      <c r="L129" s="956"/>
      <c r="M129" s="956"/>
      <c r="N129" s="956"/>
      <c r="O129" s="958"/>
      <c r="P129" s="958"/>
      <c r="Q129" s="958"/>
      <c r="R129" s="958"/>
      <c r="S129" s="958"/>
      <c r="T129" s="958"/>
      <c r="U129" s="958"/>
      <c r="V129" s="958"/>
      <c r="W129" s="958"/>
      <c r="X129" s="958"/>
      <c r="Y129" s="958"/>
      <c r="Z129" s="958"/>
    </row>
    <row r="130" ht="35.25" hidden="1" customHeight="1">
      <c r="A130" s="757"/>
      <c r="B130" s="991"/>
      <c r="C130" s="991"/>
      <c r="D130" s="758"/>
      <c r="E130" s="961"/>
      <c r="F130" s="956"/>
      <c r="G130" s="956"/>
      <c r="H130" s="956"/>
      <c r="I130" s="956"/>
      <c r="J130" s="956"/>
      <c r="K130" s="956"/>
      <c r="L130" s="956"/>
      <c r="M130" s="956"/>
      <c r="N130" s="956"/>
      <c r="O130" s="958"/>
      <c r="P130" s="958"/>
      <c r="Q130" s="958"/>
      <c r="R130" s="958"/>
      <c r="S130" s="958"/>
      <c r="T130" s="958"/>
      <c r="U130" s="958"/>
      <c r="V130" s="958"/>
      <c r="W130" s="958"/>
      <c r="X130" s="958"/>
      <c r="Y130" s="958"/>
      <c r="Z130" s="958"/>
    </row>
    <row r="131" ht="35.25" hidden="1" customHeight="1">
      <c r="A131" s="992" t="s">
        <v>178</v>
      </c>
      <c r="B131" s="993" t="s">
        <v>913</v>
      </c>
      <c r="C131" s="994" t="s">
        <v>684</v>
      </c>
      <c r="D131" s="924">
        <f>SUM(C131:C139)</f>
        <v>277216000</v>
      </c>
      <c r="E131" s="961"/>
      <c r="F131" s="956"/>
      <c r="G131" s="956"/>
      <c r="H131" s="956"/>
      <c r="I131" s="956"/>
      <c r="J131" s="956"/>
      <c r="K131" s="956"/>
      <c r="L131" s="956"/>
      <c r="M131" s="956"/>
      <c r="N131" s="956"/>
      <c r="O131" s="958"/>
      <c r="P131" s="958"/>
      <c r="Q131" s="958"/>
      <c r="R131" s="958"/>
      <c r="S131" s="958"/>
      <c r="T131" s="958"/>
      <c r="U131" s="958"/>
      <c r="V131" s="958"/>
      <c r="W131" s="958"/>
      <c r="X131" s="958"/>
      <c r="Y131" s="958"/>
      <c r="Z131" s="958"/>
    </row>
    <row r="132" ht="35.25" hidden="1" customHeight="1">
      <c r="A132" s="775"/>
      <c r="B132" s="993" t="s">
        <v>914</v>
      </c>
      <c r="C132" s="994" t="s">
        <v>684</v>
      </c>
      <c r="D132" s="776"/>
      <c r="E132" s="961"/>
      <c r="F132" s="956"/>
      <c r="G132" s="956"/>
      <c r="H132" s="956"/>
      <c r="I132" s="956"/>
      <c r="J132" s="956"/>
      <c r="K132" s="956"/>
      <c r="L132" s="956"/>
      <c r="M132" s="956"/>
      <c r="N132" s="956"/>
      <c r="O132" s="958"/>
      <c r="P132" s="958"/>
      <c r="Q132" s="958"/>
      <c r="R132" s="958"/>
      <c r="S132" s="958"/>
      <c r="T132" s="958"/>
      <c r="U132" s="958"/>
      <c r="V132" s="958"/>
      <c r="W132" s="958"/>
      <c r="X132" s="958"/>
      <c r="Y132" s="958"/>
      <c r="Z132" s="958"/>
    </row>
    <row r="133" ht="35.25" hidden="1" customHeight="1">
      <c r="A133" s="775"/>
      <c r="B133" s="993" t="s">
        <v>915</v>
      </c>
      <c r="C133" s="994" t="s">
        <v>684</v>
      </c>
      <c r="D133" s="776"/>
      <c r="E133" s="961"/>
      <c r="F133" s="956"/>
      <c r="G133" s="956"/>
      <c r="H133" s="956"/>
      <c r="I133" s="956"/>
      <c r="J133" s="956"/>
      <c r="K133" s="956"/>
      <c r="L133" s="956"/>
      <c r="M133" s="956"/>
      <c r="N133" s="956"/>
      <c r="O133" s="958"/>
      <c r="P133" s="958"/>
      <c r="Q133" s="958"/>
      <c r="R133" s="958"/>
      <c r="S133" s="958"/>
      <c r="T133" s="958"/>
      <c r="U133" s="958"/>
      <c r="V133" s="958"/>
      <c r="W133" s="958"/>
      <c r="X133" s="958"/>
      <c r="Y133" s="958"/>
      <c r="Z133" s="958"/>
    </row>
    <row r="134" ht="35.25" hidden="1" customHeight="1">
      <c r="A134" s="775"/>
      <c r="B134" s="993" t="s">
        <v>916</v>
      </c>
      <c r="C134" s="994" t="s">
        <v>684</v>
      </c>
      <c r="D134" s="776"/>
      <c r="E134" s="961"/>
      <c r="F134" s="956"/>
      <c r="G134" s="956"/>
      <c r="H134" s="956"/>
      <c r="I134" s="956"/>
      <c r="J134" s="956"/>
      <c r="K134" s="956"/>
      <c r="L134" s="956"/>
      <c r="M134" s="956"/>
      <c r="N134" s="956"/>
      <c r="O134" s="958"/>
      <c r="P134" s="958"/>
      <c r="Q134" s="958"/>
      <c r="R134" s="958"/>
      <c r="S134" s="958"/>
      <c r="T134" s="958"/>
      <c r="U134" s="958"/>
      <c r="V134" s="958"/>
      <c r="W134" s="958"/>
      <c r="X134" s="958"/>
      <c r="Y134" s="958"/>
      <c r="Z134" s="958"/>
    </row>
    <row r="135" ht="35.25" hidden="1" customHeight="1">
      <c r="A135" s="775"/>
      <c r="B135" s="995" t="s">
        <v>6</v>
      </c>
      <c r="C135" s="996">
        <v>4.1324E7</v>
      </c>
      <c r="D135" s="776"/>
      <c r="E135" s="961" t="s">
        <v>800</v>
      </c>
      <c r="F135" s="956"/>
      <c r="G135" s="956"/>
      <c r="H135" s="956"/>
      <c r="I135" s="956"/>
      <c r="J135" s="956"/>
      <c r="K135" s="956"/>
      <c r="L135" s="956"/>
      <c r="M135" s="956"/>
      <c r="N135" s="956"/>
      <c r="O135" s="958"/>
      <c r="P135" s="958"/>
      <c r="Q135" s="958"/>
      <c r="R135" s="958"/>
      <c r="S135" s="958"/>
      <c r="T135" s="958"/>
      <c r="U135" s="958"/>
      <c r="V135" s="958"/>
      <c r="W135" s="958"/>
      <c r="X135" s="958"/>
      <c r="Y135" s="958"/>
      <c r="Z135" s="958"/>
    </row>
    <row r="136" ht="35.25" hidden="1" customHeight="1">
      <c r="A136" s="775"/>
      <c r="B136" s="993" t="s">
        <v>8</v>
      </c>
      <c r="C136" s="994">
        <v>4.684E7</v>
      </c>
      <c r="D136" s="776"/>
      <c r="E136" s="961"/>
      <c r="F136" s="956"/>
      <c r="G136" s="956"/>
      <c r="H136" s="956"/>
      <c r="I136" s="956"/>
      <c r="J136" s="956"/>
      <c r="K136" s="956"/>
      <c r="L136" s="956"/>
      <c r="M136" s="956"/>
      <c r="N136" s="956"/>
      <c r="O136" s="958"/>
      <c r="P136" s="958"/>
      <c r="Q136" s="958"/>
      <c r="R136" s="958"/>
      <c r="S136" s="958"/>
      <c r="T136" s="958"/>
      <c r="U136" s="958"/>
      <c r="V136" s="958"/>
      <c r="W136" s="958"/>
      <c r="X136" s="958"/>
      <c r="Y136" s="958"/>
      <c r="Z136" s="958"/>
    </row>
    <row r="137" ht="35.25" hidden="1" customHeight="1">
      <c r="A137" s="775"/>
      <c r="B137" s="993" t="s">
        <v>9</v>
      </c>
      <c r="C137" s="994">
        <v>6.8104E7</v>
      </c>
      <c r="D137" s="776"/>
      <c r="E137" s="961"/>
      <c r="F137" s="956"/>
      <c r="G137" s="956"/>
      <c r="H137" s="956"/>
      <c r="I137" s="956"/>
      <c r="J137" s="956"/>
      <c r="K137" s="956"/>
      <c r="L137" s="956"/>
      <c r="M137" s="956"/>
      <c r="N137" s="956"/>
      <c r="O137" s="958"/>
      <c r="P137" s="958"/>
      <c r="Q137" s="958"/>
      <c r="R137" s="958"/>
      <c r="S137" s="958"/>
      <c r="T137" s="958"/>
      <c r="U137" s="958"/>
      <c r="V137" s="958"/>
      <c r="W137" s="958"/>
      <c r="X137" s="958"/>
      <c r="Y137" s="958"/>
      <c r="Z137" s="958"/>
    </row>
    <row r="138" ht="35.25" hidden="1" customHeight="1">
      <c r="A138" s="775"/>
      <c r="B138" s="993" t="s">
        <v>10</v>
      </c>
      <c r="C138" s="994">
        <v>4.813E7</v>
      </c>
      <c r="D138" s="776"/>
      <c r="E138" s="961"/>
      <c r="F138" s="956"/>
      <c r="G138" s="956"/>
      <c r="H138" s="956"/>
      <c r="I138" s="956"/>
      <c r="J138" s="956"/>
      <c r="K138" s="956"/>
      <c r="L138" s="956"/>
      <c r="M138" s="956"/>
      <c r="N138" s="956"/>
      <c r="O138" s="958"/>
      <c r="P138" s="958"/>
      <c r="Q138" s="958"/>
      <c r="R138" s="958"/>
      <c r="S138" s="958"/>
      <c r="T138" s="958"/>
      <c r="U138" s="958"/>
      <c r="V138" s="958"/>
      <c r="W138" s="958"/>
      <c r="X138" s="958"/>
      <c r="Y138" s="958"/>
      <c r="Z138" s="958"/>
    </row>
    <row r="139" ht="35.25" hidden="1" customHeight="1">
      <c r="A139" s="775"/>
      <c r="B139" s="989" t="s">
        <v>1120</v>
      </c>
      <c r="C139" s="994">
        <v>7.2818E7</v>
      </c>
      <c r="D139" s="776"/>
      <c r="E139" s="961"/>
      <c r="F139" s="956"/>
      <c r="G139" s="956"/>
      <c r="H139" s="956"/>
      <c r="I139" s="956"/>
      <c r="J139" s="956"/>
      <c r="K139" s="956"/>
      <c r="L139" s="956"/>
      <c r="M139" s="956"/>
      <c r="N139" s="956"/>
      <c r="O139" s="958"/>
      <c r="P139" s="958"/>
      <c r="Q139" s="958"/>
      <c r="R139" s="958"/>
      <c r="S139" s="958"/>
      <c r="T139" s="958"/>
      <c r="U139" s="958"/>
      <c r="V139" s="958"/>
      <c r="W139" s="958"/>
      <c r="X139" s="958"/>
      <c r="Y139" s="958"/>
      <c r="Z139" s="958"/>
    </row>
    <row r="140" ht="35.25" hidden="1" customHeight="1">
      <c r="A140" s="775"/>
      <c r="B140" s="997"/>
      <c r="C140" s="997"/>
      <c r="D140" s="776"/>
      <c r="E140" s="961"/>
      <c r="F140" s="956"/>
      <c r="G140" s="956"/>
      <c r="H140" s="956"/>
      <c r="I140" s="956"/>
      <c r="J140" s="956"/>
      <c r="K140" s="956"/>
      <c r="L140" s="956"/>
      <c r="M140" s="956"/>
      <c r="N140" s="956"/>
      <c r="O140" s="958"/>
      <c r="P140" s="958"/>
      <c r="Q140" s="958"/>
      <c r="R140" s="958"/>
      <c r="S140" s="958"/>
      <c r="T140" s="958"/>
      <c r="U140" s="958"/>
      <c r="V140" s="958"/>
      <c r="W140" s="958"/>
      <c r="X140" s="958"/>
      <c r="Y140" s="958"/>
      <c r="Z140" s="958"/>
    </row>
    <row r="141" ht="35.25" hidden="1" customHeight="1">
      <c r="A141" s="927"/>
      <c r="B141" s="997"/>
      <c r="C141" s="997"/>
      <c r="D141" s="928"/>
      <c r="E141" s="961"/>
      <c r="F141" s="956"/>
      <c r="G141" s="956"/>
      <c r="H141" s="956"/>
      <c r="I141" s="956"/>
      <c r="J141" s="956"/>
      <c r="K141" s="956"/>
      <c r="L141" s="956"/>
      <c r="M141" s="956"/>
      <c r="N141" s="956"/>
      <c r="O141" s="958"/>
      <c r="P141" s="958"/>
      <c r="Q141" s="958"/>
      <c r="R141" s="958"/>
      <c r="S141" s="958"/>
      <c r="T141" s="958"/>
      <c r="U141" s="958"/>
      <c r="V141" s="958"/>
      <c r="W141" s="958"/>
      <c r="X141" s="958"/>
      <c r="Y141" s="958"/>
      <c r="Z141" s="958"/>
    </row>
    <row r="142" ht="35.25" hidden="1" customHeight="1">
      <c r="A142" s="998" t="s">
        <v>182</v>
      </c>
      <c r="B142" s="993" t="s">
        <v>914</v>
      </c>
      <c r="C142" s="999" t="s">
        <v>684</v>
      </c>
      <c r="D142" s="774">
        <f>SUM(C143:C149)</f>
        <v>218796100</v>
      </c>
      <c r="E142" s="961"/>
      <c r="F142" s="956"/>
      <c r="G142" s="956"/>
      <c r="H142" s="956"/>
      <c r="I142" s="956"/>
      <c r="J142" s="956"/>
      <c r="K142" s="956"/>
      <c r="L142" s="956"/>
      <c r="M142" s="956"/>
      <c r="N142" s="956"/>
      <c r="O142" s="958"/>
      <c r="P142" s="958"/>
      <c r="Q142" s="958"/>
      <c r="R142" s="958"/>
      <c r="S142" s="958"/>
      <c r="T142" s="958"/>
      <c r="U142" s="958"/>
      <c r="V142" s="958"/>
      <c r="W142" s="958"/>
      <c r="X142" s="958"/>
      <c r="Y142" s="958"/>
      <c r="Z142" s="958"/>
    </row>
    <row r="143" ht="35.25" hidden="1" customHeight="1">
      <c r="A143" s="775"/>
      <c r="B143" s="993" t="s">
        <v>915</v>
      </c>
      <c r="C143" s="999">
        <v>1.90293E7</v>
      </c>
      <c r="D143" s="776"/>
      <c r="E143" s="961"/>
      <c r="F143" s="956"/>
      <c r="G143" s="956"/>
      <c r="H143" s="956"/>
      <c r="I143" s="956"/>
      <c r="J143" s="956"/>
      <c r="K143" s="956"/>
      <c r="L143" s="956"/>
      <c r="M143" s="956"/>
      <c r="N143" s="956"/>
      <c r="O143" s="958"/>
      <c r="P143" s="958"/>
      <c r="Q143" s="958"/>
      <c r="R143" s="958"/>
      <c r="S143" s="958"/>
      <c r="T143" s="958"/>
      <c r="U143" s="958"/>
      <c r="V143" s="958"/>
      <c r="W143" s="958"/>
      <c r="X143" s="958"/>
      <c r="Y143" s="958"/>
      <c r="Z143" s="958"/>
    </row>
    <row r="144" ht="35.25" hidden="1" customHeight="1">
      <c r="A144" s="775"/>
      <c r="B144" s="993" t="s">
        <v>916</v>
      </c>
      <c r="C144" s="999">
        <v>2.96348E7</v>
      </c>
      <c r="D144" s="776"/>
      <c r="E144" s="961"/>
      <c r="F144" s="956"/>
      <c r="G144" s="956"/>
      <c r="H144" s="956"/>
      <c r="I144" s="956"/>
      <c r="J144" s="956"/>
      <c r="K144" s="956"/>
      <c r="L144" s="956"/>
      <c r="M144" s="956"/>
      <c r="N144" s="956"/>
      <c r="O144" s="958"/>
      <c r="P144" s="958"/>
      <c r="Q144" s="958"/>
      <c r="R144" s="958"/>
      <c r="S144" s="958"/>
      <c r="T144" s="958"/>
      <c r="U144" s="958"/>
      <c r="V144" s="958"/>
      <c r="W144" s="958"/>
      <c r="X144" s="958"/>
      <c r="Y144" s="958"/>
      <c r="Z144" s="958"/>
    </row>
    <row r="145" ht="35.25" hidden="1" customHeight="1">
      <c r="A145" s="775"/>
      <c r="B145" s="993" t="s">
        <v>6</v>
      </c>
      <c r="C145" s="999">
        <v>2.33702E7</v>
      </c>
      <c r="D145" s="776"/>
      <c r="E145" s="961"/>
      <c r="F145" s="956"/>
      <c r="G145" s="956"/>
      <c r="H145" s="956"/>
      <c r="I145" s="956"/>
      <c r="J145" s="956"/>
      <c r="K145" s="956"/>
      <c r="L145" s="956"/>
      <c r="M145" s="956"/>
      <c r="N145" s="956"/>
      <c r="O145" s="958"/>
      <c r="P145" s="958"/>
      <c r="Q145" s="958"/>
      <c r="R145" s="958"/>
      <c r="S145" s="958"/>
      <c r="T145" s="958"/>
      <c r="U145" s="958"/>
      <c r="V145" s="958"/>
      <c r="W145" s="958"/>
      <c r="X145" s="958"/>
      <c r="Y145" s="958"/>
      <c r="Z145" s="958"/>
    </row>
    <row r="146" ht="35.25" hidden="1" customHeight="1">
      <c r="A146" s="775"/>
      <c r="B146" s="993" t="s">
        <v>8</v>
      </c>
      <c r="C146" s="999">
        <v>2.7115E7</v>
      </c>
      <c r="D146" s="776"/>
      <c r="E146" s="961" t="s">
        <v>801</v>
      </c>
      <c r="F146" s="956"/>
      <c r="G146" s="956"/>
      <c r="H146" s="956"/>
      <c r="I146" s="956"/>
      <c r="J146" s="956"/>
      <c r="K146" s="956"/>
      <c r="L146" s="956"/>
      <c r="M146" s="956"/>
      <c r="N146" s="956"/>
      <c r="O146" s="958"/>
      <c r="P146" s="958"/>
      <c r="Q146" s="958"/>
      <c r="R146" s="958"/>
      <c r="S146" s="958"/>
      <c r="T146" s="958"/>
      <c r="U146" s="958"/>
      <c r="V146" s="958"/>
      <c r="W146" s="958"/>
      <c r="X146" s="958"/>
      <c r="Y146" s="958"/>
      <c r="Z146" s="958"/>
    </row>
    <row r="147" ht="35.25" hidden="1" customHeight="1">
      <c r="A147" s="775"/>
      <c r="B147" s="993" t="s">
        <v>9</v>
      </c>
      <c r="C147" s="999">
        <v>4.51226E7</v>
      </c>
      <c r="D147" s="776"/>
      <c r="E147" s="961"/>
      <c r="F147" s="956"/>
      <c r="G147" s="956"/>
      <c r="H147" s="956"/>
      <c r="I147" s="956"/>
      <c r="J147" s="956"/>
      <c r="K147" s="956"/>
      <c r="L147" s="956"/>
      <c r="M147" s="956"/>
      <c r="N147" s="956"/>
      <c r="O147" s="958"/>
      <c r="P147" s="958"/>
      <c r="Q147" s="958"/>
      <c r="R147" s="958"/>
      <c r="S147" s="958"/>
      <c r="T147" s="958"/>
      <c r="U147" s="958"/>
      <c r="V147" s="958"/>
      <c r="W147" s="958"/>
      <c r="X147" s="958"/>
      <c r="Y147" s="958"/>
      <c r="Z147" s="958"/>
    </row>
    <row r="148" ht="35.25" hidden="1" customHeight="1">
      <c r="A148" s="775"/>
      <c r="B148" s="993" t="s">
        <v>10</v>
      </c>
      <c r="C148" s="999">
        <v>2.65832E7</v>
      </c>
      <c r="D148" s="776"/>
      <c r="E148" s="961"/>
      <c r="F148" s="956"/>
      <c r="G148" s="956"/>
      <c r="H148" s="956"/>
      <c r="I148" s="956"/>
      <c r="J148" s="956"/>
      <c r="K148" s="956"/>
      <c r="L148" s="956"/>
      <c r="M148" s="956"/>
      <c r="N148" s="956"/>
      <c r="O148" s="958"/>
      <c r="P148" s="958"/>
      <c r="Q148" s="958"/>
      <c r="R148" s="958"/>
      <c r="S148" s="958"/>
      <c r="T148" s="958"/>
      <c r="U148" s="958"/>
      <c r="V148" s="958"/>
      <c r="W148" s="958"/>
      <c r="X148" s="958"/>
      <c r="Y148" s="958"/>
      <c r="Z148" s="958"/>
    </row>
    <row r="149" ht="35.25" hidden="1" customHeight="1">
      <c r="A149" s="775"/>
      <c r="B149" s="989" t="s">
        <v>1120</v>
      </c>
      <c r="C149" s="999">
        <v>4.7941E7</v>
      </c>
      <c r="D149" s="776"/>
      <c r="E149" s="961" t="s">
        <v>1121</v>
      </c>
      <c r="F149" s="956"/>
      <c r="G149" s="956"/>
      <c r="H149" s="956"/>
      <c r="I149" s="956"/>
      <c r="J149" s="956"/>
      <c r="K149" s="956"/>
      <c r="L149" s="956"/>
      <c r="M149" s="956"/>
      <c r="N149" s="956"/>
      <c r="O149" s="958"/>
      <c r="P149" s="958"/>
      <c r="Q149" s="958"/>
      <c r="R149" s="958"/>
      <c r="S149" s="958"/>
      <c r="T149" s="958"/>
      <c r="U149" s="958"/>
      <c r="V149" s="958"/>
      <c r="W149" s="958"/>
      <c r="X149" s="958"/>
      <c r="Y149" s="958"/>
      <c r="Z149" s="958"/>
    </row>
    <row r="150" ht="35.25" hidden="1" customHeight="1">
      <c r="A150" s="775"/>
      <c r="B150" s="991"/>
      <c r="C150" s="991"/>
      <c r="D150" s="776"/>
      <c r="E150" s="961"/>
      <c r="F150" s="956"/>
      <c r="G150" s="956"/>
      <c r="H150" s="956"/>
      <c r="I150" s="956"/>
      <c r="J150" s="956"/>
      <c r="K150" s="956"/>
      <c r="L150" s="956"/>
      <c r="M150" s="956"/>
      <c r="N150" s="956"/>
      <c r="O150" s="958"/>
      <c r="P150" s="958"/>
      <c r="Q150" s="958"/>
      <c r="R150" s="958"/>
      <c r="S150" s="958"/>
      <c r="T150" s="958"/>
      <c r="U150" s="958"/>
      <c r="V150" s="958"/>
      <c r="W150" s="958"/>
      <c r="X150" s="958"/>
      <c r="Y150" s="958"/>
      <c r="Z150" s="958"/>
    </row>
    <row r="151" ht="35.25" hidden="1" customHeight="1">
      <c r="A151" s="775"/>
      <c r="B151" s="991"/>
      <c r="C151" s="991"/>
      <c r="D151" s="776"/>
      <c r="E151" s="961"/>
      <c r="F151" s="956"/>
      <c r="G151" s="956"/>
      <c r="H151" s="956"/>
      <c r="I151" s="956"/>
      <c r="J151" s="956"/>
      <c r="K151" s="956"/>
      <c r="L151" s="956"/>
      <c r="M151" s="956"/>
      <c r="N151" s="956"/>
      <c r="O151" s="958"/>
      <c r="P151" s="958"/>
      <c r="Q151" s="958"/>
      <c r="R151" s="958"/>
      <c r="S151" s="958"/>
      <c r="T151" s="958"/>
      <c r="U151" s="958"/>
      <c r="V151" s="958"/>
      <c r="W151" s="958"/>
      <c r="X151" s="958"/>
      <c r="Y151" s="958"/>
      <c r="Z151" s="958"/>
    </row>
    <row r="152" ht="35.25" hidden="1" customHeight="1">
      <c r="A152" s="779"/>
      <c r="B152" s="997"/>
      <c r="C152" s="997"/>
      <c r="D152" s="781"/>
      <c r="E152" s="961"/>
      <c r="F152" s="956"/>
      <c r="G152" s="956"/>
      <c r="H152" s="956"/>
      <c r="I152" s="956"/>
      <c r="J152" s="956"/>
      <c r="K152" s="956"/>
      <c r="L152" s="956"/>
      <c r="M152" s="956"/>
      <c r="N152" s="956"/>
      <c r="O152" s="958"/>
      <c r="P152" s="958"/>
      <c r="Q152" s="958"/>
      <c r="R152" s="958"/>
      <c r="S152" s="958"/>
      <c r="T152" s="958"/>
      <c r="U152" s="958"/>
      <c r="V152" s="958"/>
      <c r="W152" s="958"/>
      <c r="X152" s="958"/>
      <c r="Y152" s="958"/>
      <c r="Z152" s="958"/>
    </row>
    <row r="153" ht="35.25" hidden="1" customHeight="1">
      <c r="A153" s="1000" t="s">
        <v>184</v>
      </c>
      <c r="B153" s="1001" t="s">
        <v>904</v>
      </c>
      <c r="C153" s="1002" t="s">
        <v>684</v>
      </c>
      <c r="D153" s="774">
        <f>SUM(C153:C162)</f>
        <v>188468000</v>
      </c>
      <c r="E153" s="961"/>
      <c r="F153" s="956"/>
      <c r="G153" s="956"/>
      <c r="H153" s="956"/>
      <c r="I153" s="956"/>
      <c r="J153" s="956"/>
      <c r="K153" s="956"/>
      <c r="L153" s="956"/>
      <c r="M153" s="956"/>
      <c r="N153" s="956"/>
      <c r="O153" s="958"/>
      <c r="P153" s="958"/>
      <c r="Q153" s="958"/>
      <c r="R153" s="958"/>
      <c r="S153" s="958"/>
      <c r="T153" s="958"/>
      <c r="U153" s="958"/>
      <c r="V153" s="958"/>
      <c r="W153" s="958"/>
      <c r="X153" s="958"/>
      <c r="Y153" s="958"/>
      <c r="Z153" s="958"/>
    </row>
    <row r="154" ht="35.25" hidden="1" customHeight="1">
      <c r="A154" s="775"/>
      <c r="B154" s="993" t="s">
        <v>219</v>
      </c>
      <c r="C154" s="999" t="s">
        <v>684</v>
      </c>
      <c r="D154" s="776"/>
      <c r="E154" s="961"/>
      <c r="F154" s="956"/>
      <c r="G154" s="956"/>
      <c r="H154" s="956"/>
      <c r="I154" s="956"/>
      <c r="J154" s="956"/>
      <c r="K154" s="956"/>
      <c r="L154" s="956"/>
      <c r="M154" s="956"/>
      <c r="N154" s="956"/>
      <c r="O154" s="958"/>
      <c r="P154" s="958"/>
      <c r="Q154" s="958"/>
      <c r="R154" s="958"/>
      <c r="S154" s="958"/>
      <c r="T154" s="958"/>
      <c r="U154" s="958"/>
      <c r="V154" s="958"/>
      <c r="W154" s="958"/>
      <c r="X154" s="958"/>
      <c r="Y154" s="958"/>
      <c r="Z154" s="958"/>
    </row>
    <row r="155" ht="35.25" hidden="1" customHeight="1">
      <c r="A155" s="775"/>
      <c r="B155" s="993" t="s">
        <v>220</v>
      </c>
      <c r="C155" s="999">
        <v>2.7336E7</v>
      </c>
      <c r="D155" s="776"/>
      <c r="E155" s="961"/>
      <c r="F155" s="956"/>
      <c r="G155" s="956"/>
      <c r="H155" s="956"/>
      <c r="I155" s="956"/>
      <c r="J155" s="956"/>
      <c r="K155" s="956"/>
      <c r="L155" s="956"/>
      <c r="M155" s="956"/>
      <c r="N155" s="956"/>
      <c r="O155" s="958"/>
      <c r="P155" s="958"/>
      <c r="Q155" s="958"/>
      <c r="R155" s="958"/>
      <c r="S155" s="958"/>
      <c r="T155" s="958"/>
      <c r="U155" s="958"/>
      <c r="V155" s="958"/>
      <c r="W155" s="958"/>
      <c r="X155" s="958"/>
      <c r="Y155" s="958"/>
      <c r="Z155" s="958"/>
    </row>
    <row r="156" ht="35.25" hidden="1" customHeight="1">
      <c r="A156" s="775"/>
      <c r="B156" s="993" t="s">
        <v>913</v>
      </c>
      <c r="C156" s="999">
        <v>4.24085E7</v>
      </c>
      <c r="D156" s="776"/>
      <c r="E156" s="961"/>
      <c r="F156" s="956"/>
      <c r="G156" s="956"/>
      <c r="H156" s="956"/>
      <c r="I156" s="956"/>
      <c r="J156" s="956"/>
      <c r="K156" s="956"/>
      <c r="L156" s="956"/>
      <c r="M156" s="956"/>
      <c r="N156" s="956"/>
      <c r="O156" s="958"/>
      <c r="P156" s="958"/>
      <c r="Q156" s="958"/>
      <c r="R156" s="958"/>
      <c r="S156" s="958"/>
      <c r="T156" s="958"/>
      <c r="U156" s="958"/>
      <c r="V156" s="958"/>
      <c r="W156" s="958"/>
      <c r="X156" s="958"/>
      <c r="Y156" s="958"/>
      <c r="Z156" s="958"/>
    </row>
    <row r="157" ht="35.25" hidden="1" customHeight="1">
      <c r="A157" s="775"/>
      <c r="B157" s="995" t="s">
        <v>915</v>
      </c>
      <c r="C157" s="1003">
        <v>3.5785E7</v>
      </c>
      <c r="D157" s="776"/>
      <c r="E157" s="961"/>
      <c r="F157" s="956"/>
      <c r="G157" s="956"/>
      <c r="H157" s="956"/>
      <c r="I157" s="956"/>
      <c r="J157" s="956"/>
      <c r="K157" s="956"/>
      <c r="L157" s="956"/>
      <c r="M157" s="956"/>
      <c r="N157" s="956"/>
      <c r="O157" s="958"/>
      <c r="P157" s="958"/>
      <c r="Q157" s="958"/>
      <c r="R157" s="958"/>
      <c r="S157" s="958"/>
      <c r="T157" s="958"/>
      <c r="U157" s="958"/>
      <c r="V157" s="958"/>
      <c r="W157" s="958"/>
      <c r="X157" s="958"/>
      <c r="Y157" s="958"/>
      <c r="Z157" s="958"/>
    </row>
    <row r="158" ht="35.25" hidden="1" customHeight="1">
      <c r="A158" s="775"/>
      <c r="B158" s="989" t="s">
        <v>916</v>
      </c>
      <c r="C158" s="1003">
        <v>1.9509E7</v>
      </c>
      <c r="D158" s="776"/>
      <c r="E158" s="961"/>
      <c r="F158" s="956"/>
      <c r="G158" s="956"/>
      <c r="H158" s="956"/>
      <c r="I158" s="956"/>
      <c r="J158" s="956"/>
      <c r="K158" s="956"/>
      <c r="L158" s="956"/>
      <c r="M158" s="956"/>
      <c r="N158" s="956"/>
      <c r="O158" s="958"/>
      <c r="P158" s="958"/>
      <c r="Q158" s="958"/>
      <c r="R158" s="958"/>
      <c r="S158" s="958"/>
      <c r="T158" s="958"/>
      <c r="U158" s="958"/>
      <c r="V158" s="958"/>
      <c r="W158" s="958"/>
      <c r="X158" s="958"/>
      <c r="Y158" s="958"/>
      <c r="Z158" s="958"/>
    </row>
    <row r="159" ht="35.25" hidden="1" customHeight="1">
      <c r="A159" s="775"/>
      <c r="B159" s="993" t="s">
        <v>6</v>
      </c>
      <c r="C159" s="1003">
        <v>0.0</v>
      </c>
      <c r="D159" s="776"/>
      <c r="E159" s="961"/>
      <c r="F159" s="956"/>
      <c r="G159" s="956"/>
      <c r="H159" s="956"/>
      <c r="I159" s="956"/>
      <c r="J159" s="956"/>
      <c r="K159" s="956"/>
      <c r="L159" s="956"/>
      <c r="M159" s="956"/>
      <c r="N159" s="956"/>
      <c r="O159" s="958"/>
      <c r="P159" s="958"/>
      <c r="Q159" s="958"/>
      <c r="R159" s="958"/>
      <c r="S159" s="958"/>
      <c r="T159" s="958"/>
      <c r="U159" s="958"/>
      <c r="V159" s="958"/>
      <c r="W159" s="958"/>
      <c r="X159" s="958"/>
      <c r="Y159" s="958"/>
      <c r="Z159" s="958"/>
    </row>
    <row r="160" ht="35.25" hidden="1" customHeight="1">
      <c r="A160" s="775"/>
      <c r="B160" s="993" t="s">
        <v>8</v>
      </c>
      <c r="C160" s="1003">
        <v>2.70725E7</v>
      </c>
      <c r="D160" s="776"/>
      <c r="E160" s="961"/>
      <c r="F160" s="956"/>
      <c r="G160" s="956"/>
      <c r="H160" s="956"/>
      <c r="I160" s="956"/>
      <c r="J160" s="956"/>
      <c r="K160" s="956"/>
      <c r="L160" s="956"/>
      <c r="M160" s="956"/>
      <c r="N160" s="956"/>
      <c r="O160" s="958"/>
      <c r="P160" s="958"/>
      <c r="Q160" s="958"/>
      <c r="R160" s="958"/>
      <c r="S160" s="958"/>
      <c r="T160" s="958"/>
      <c r="U160" s="958"/>
      <c r="V160" s="958"/>
      <c r="W160" s="958"/>
      <c r="X160" s="958"/>
      <c r="Y160" s="958"/>
      <c r="Z160" s="958"/>
    </row>
    <row r="161" ht="35.25" hidden="1" customHeight="1">
      <c r="A161" s="775"/>
      <c r="B161" s="993" t="s">
        <v>9</v>
      </c>
      <c r="C161" s="1003">
        <v>0.0</v>
      </c>
      <c r="D161" s="776"/>
      <c r="E161" s="961"/>
      <c r="F161" s="956"/>
      <c r="G161" s="956"/>
      <c r="H161" s="956"/>
      <c r="I161" s="956"/>
      <c r="J161" s="956"/>
      <c r="K161" s="956"/>
      <c r="L161" s="956"/>
      <c r="M161" s="956"/>
      <c r="N161" s="956"/>
      <c r="O161" s="958"/>
      <c r="P161" s="958"/>
      <c r="Q161" s="958"/>
      <c r="R161" s="958"/>
      <c r="S161" s="958"/>
      <c r="T161" s="958"/>
      <c r="U161" s="958"/>
      <c r="V161" s="958"/>
      <c r="W161" s="958"/>
      <c r="X161" s="958"/>
      <c r="Y161" s="958"/>
      <c r="Z161" s="958"/>
    </row>
    <row r="162" ht="35.25" hidden="1" customHeight="1">
      <c r="A162" s="775"/>
      <c r="B162" s="993" t="s">
        <v>10</v>
      </c>
      <c r="C162" s="1003">
        <v>3.6357E7</v>
      </c>
      <c r="D162" s="776"/>
      <c r="E162" s="961"/>
      <c r="F162" s="956"/>
      <c r="G162" s="956"/>
      <c r="H162" s="956"/>
      <c r="I162" s="956"/>
      <c r="J162" s="956"/>
      <c r="K162" s="956"/>
      <c r="L162" s="956"/>
      <c r="M162" s="956"/>
      <c r="N162" s="956"/>
      <c r="O162" s="958"/>
      <c r="P162" s="958"/>
      <c r="Q162" s="958"/>
      <c r="R162" s="958"/>
      <c r="S162" s="958"/>
      <c r="T162" s="958"/>
      <c r="U162" s="958"/>
      <c r="V162" s="958"/>
      <c r="W162" s="958"/>
      <c r="X162" s="958"/>
      <c r="Y162" s="958"/>
      <c r="Z162" s="958"/>
    </row>
    <row r="163" ht="35.25" hidden="1" customHeight="1">
      <c r="A163" s="779"/>
      <c r="B163" s="989" t="s">
        <v>1120</v>
      </c>
      <c r="C163" s="1003">
        <v>0.0</v>
      </c>
      <c r="D163" s="781"/>
      <c r="E163" s="961"/>
      <c r="F163" s="956"/>
      <c r="G163" s="956"/>
      <c r="H163" s="956"/>
      <c r="I163" s="956"/>
      <c r="J163" s="956"/>
      <c r="K163" s="956"/>
      <c r="L163" s="956"/>
      <c r="M163" s="956"/>
      <c r="N163" s="956"/>
      <c r="O163" s="958"/>
      <c r="P163" s="958"/>
      <c r="Q163" s="958"/>
      <c r="R163" s="958"/>
      <c r="S163" s="958"/>
      <c r="T163" s="958"/>
      <c r="U163" s="958"/>
      <c r="V163" s="958"/>
      <c r="W163" s="958"/>
      <c r="X163" s="958"/>
      <c r="Y163" s="958"/>
      <c r="Z163" s="958"/>
    </row>
    <row r="164" ht="35.25" hidden="1" customHeight="1">
      <c r="A164" s="998" t="s">
        <v>367</v>
      </c>
      <c r="B164" s="993" t="s">
        <v>6</v>
      </c>
      <c r="C164" s="1004">
        <v>9.36097E7</v>
      </c>
      <c r="D164" s="774">
        <f>SUM(C164:C173)</f>
        <v>662307500</v>
      </c>
      <c r="E164" s="961"/>
      <c r="F164" s="956"/>
      <c r="G164" s="956"/>
      <c r="H164" s="956"/>
      <c r="I164" s="956"/>
      <c r="J164" s="956"/>
      <c r="K164" s="956"/>
      <c r="L164" s="956"/>
      <c r="M164" s="956"/>
      <c r="N164" s="956"/>
      <c r="O164" s="958"/>
      <c r="P164" s="958"/>
      <c r="Q164" s="958"/>
      <c r="R164" s="958"/>
      <c r="S164" s="958"/>
      <c r="T164" s="958"/>
      <c r="U164" s="958"/>
      <c r="V164" s="958"/>
      <c r="W164" s="958"/>
      <c r="X164" s="958"/>
      <c r="Y164" s="958"/>
      <c r="Z164" s="958"/>
    </row>
    <row r="165" ht="35.25" hidden="1" customHeight="1">
      <c r="A165" s="775"/>
      <c r="B165" s="993" t="s">
        <v>8</v>
      </c>
      <c r="C165" s="1005">
        <v>7.73087E7</v>
      </c>
      <c r="D165" s="776"/>
      <c r="E165" s="961">
        <f>SUM(C164:C168)</f>
        <v>393184200</v>
      </c>
      <c r="F165" s="956"/>
      <c r="G165" s="956"/>
      <c r="H165" s="956"/>
      <c r="I165" s="956"/>
      <c r="J165" s="956"/>
      <c r="K165" s="956"/>
      <c r="L165" s="956"/>
      <c r="M165" s="956"/>
      <c r="N165" s="956"/>
      <c r="O165" s="958"/>
      <c r="P165" s="958"/>
      <c r="Q165" s="958"/>
      <c r="R165" s="958"/>
      <c r="S165" s="958"/>
      <c r="T165" s="958"/>
      <c r="U165" s="958"/>
      <c r="V165" s="958"/>
      <c r="W165" s="958"/>
      <c r="X165" s="958"/>
      <c r="Y165" s="958"/>
      <c r="Z165" s="958"/>
    </row>
    <row r="166" ht="35.25" hidden="1" customHeight="1">
      <c r="A166" s="775"/>
      <c r="B166" s="993" t="s">
        <v>9</v>
      </c>
      <c r="C166" s="1005">
        <v>7.54675E7</v>
      </c>
      <c r="D166" s="776"/>
      <c r="E166" s="961"/>
      <c r="F166" s="956"/>
      <c r="G166" s="956"/>
      <c r="H166" s="956"/>
      <c r="I166" s="956"/>
      <c r="J166" s="956"/>
      <c r="K166" s="956"/>
      <c r="L166" s="956"/>
      <c r="M166" s="956"/>
      <c r="N166" s="956"/>
      <c r="O166" s="958"/>
      <c r="P166" s="958"/>
      <c r="Q166" s="958"/>
      <c r="R166" s="958"/>
      <c r="S166" s="958"/>
      <c r="T166" s="958"/>
      <c r="U166" s="958"/>
      <c r="V166" s="958"/>
      <c r="W166" s="958"/>
      <c r="X166" s="958"/>
      <c r="Y166" s="958"/>
      <c r="Z166" s="958"/>
    </row>
    <row r="167" ht="35.25" hidden="1" customHeight="1">
      <c r="A167" s="775"/>
      <c r="B167" s="993" t="s">
        <v>10</v>
      </c>
      <c r="C167" s="1005">
        <v>8.66958E7</v>
      </c>
      <c r="D167" s="776"/>
      <c r="E167" s="961"/>
      <c r="F167" s="956"/>
      <c r="G167" s="956"/>
      <c r="H167" s="956"/>
      <c r="I167" s="956"/>
      <c r="J167" s="956"/>
      <c r="K167" s="956"/>
      <c r="L167" s="956"/>
      <c r="M167" s="956"/>
      <c r="N167" s="956"/>
      <c r="O167" s="958"/>
      <c r="P167" s="958"/>
      <c r="Q167" s="958"/>
      <c r="R167" s="958"/>
      <c r="S167" s="958"/>
      <c r="T167" s="958"/>
      <c r="U167" s="958"/>
      <c r="V167" s="958"/>
      <c r="W167" s="958"/>
      <c r="X167" s="958"/>
      <c r="Y167" s="958"/>
      <c r="Z167" s="958"/>
    </row>
    <row r="168" ht="35.25" hidden="1" customHeight="1">
      <c r="A168" s="775"/>
      <c r="B168" s="989" t="s">
        <v>1120</v>
      </c>
      <c r="C168" s="1005">
        <v>6.01025E7</v>
      </c>
      <c r="D168" s="776"/>
      <c r="E168" s="961"/>
      <c r="F168" s="956"/>
      <c r="G168" s="956"/>
      <c r="H168" s="956"/>
      <c r="I168" s="956"/>
      <c r="J168" s="956"/>
      <c r="K168" s="956"/>
      <c r="L168" s="956"/>
      <c r="M168" s="956"/>
      <c r="N168" s="956"/>
      <c r="O168" s="958"/>
      <c r="P168" s="958"/>
      <c r="Q168" s="958"/>
      <c r="R168" s="958"/>
      <c r="S168" s="958"/>
      <c r="T168" s="958"/>
      <c r="U168" s="958"/>
      <c r="V168" s="958"/>
      <c r="W168" s="958"/>
      <c r="X168" s="958"/>
      <c r="Y168" s="958"/>
      <c r="Z168" s="958"/>
    </row>
    <row r="169" ht="35.25" hidden="1" customHeight="1">
      <c r="A169" s="775"/>
      <c r="B169" s="989" t="s">
        <v>1106</v>
      </c>
      <c r="C169" s="1005">
        <f>3769000+2975000</f>
        <v>6744000</v>
      </c>
      <c r="D169" s="776"/>
      <c r="E169" s="961"/>
      <c r="F169" s="956"/>
      <c r="G169" s="956"/>
      <c r="H169" s="956"/>
      <c r="I169" s="956"/>
      <c r="J169" s="956"/>
      <c r="K169" s="956"/>
      <c r="L169" s="956"/>
      <c r="M169" s="956"/>
      <c r="N169" s="956"/>
      <c r="O169" s="958"/>
      <c r="P169" s="958"/>
      <c r="Q169" s="958"/>
      <c r="R169" s="958"/>
      <c r="S169" s="958"/>
      <c r="T169" s="958"/>
      <c r="U169" s="958"/>
      <c r="V169" s="958"/>
      <c r="W169" s="958"/>
      <c r="X169" s="958"/>
      <c r="Y169" s="958"/>
      <c r="Z169" s="958"/>
    </row>
    <row r="170" ht="35.25" hidden="1" customHeight="1">
      <c r="A170" s="775"/>
      <c r="B170" s="989" t="s">
        <v>1109</v>
      </c>
      <c r="C170" s="1005">
        <v>9.48463E7</v>
      </c>
      <c r="D170" s="776"/>
      <c r="E170" s="961"/>
      <c r="F170" s="956"/>
      <c r="G170" s="956"/>
      <c r="H170" s="956"/>
      <c r="I170" s="956"/>
      <c r="J170" s="956"/>
      <c r="K170" s="956"/>
      <c r="L170" s="956"/>
      <c r="M170" s="956"/>
      <c r="N170" s="956"/>
      <c r="O170" s="958"/>
      <c r="P170" s="958"/>
      <c r="Q170" s="958"/>
      <c r="R170" s="958"/>
      <c r="S170" s="958"/>
      <c r="T170" s="958"/>
      <c r="U170" s="958"/>
      <c r="V170" s="958"/>
      <c r="W170" s="958"/>
      <c r="X170" s="958"/>
      <c r="Y170" s="958"/>
      <c r="Z170" s="958"/>
    </row>
    <row r="171" ht="35.25" hidden="1" customHeight="1">
      <c r="A171" s="775"/>
      <c r="B171" s="989" t="s">
        <v>1111</v>
      </c>
      <c r="C171" s="1005">
        <v>8.40035E7</v>
      </c>
      <c r="D171" s="776"/>
      <c r="E171" s="961"/>
      <c r="F171" s="956"/>
      <c r="G171" s="956"/>
      <c r="H171" s="956"/>
      <c r="I171" s="956"/>
      <c r="J171" s="956"/>
      <c r="K171" s="956"/>
      <c r="L171" s="956"/>
      <c r="M171" s="956"/>
      <c r="N171" s="956"/>
      <c r="O171" s="958"/>
      <c r="P171" s="958"/>
      <c r="Q171" s="958"/>
      <c r="R171" s="958"/>
      <c r="S171" s="958"/>
      <c r="T171" s="958"/>
      <c r="U171" s="958"/>
      <c r="V171" s="958"/>
      <c r="W171" s="958"/>
      <c r="X171" s="958"/>
      <c r="Y171" s="958"/>
      <c r="Z171" s="958"/>
    </row>
    <row r="172" ht="35.25" hidden="1" customHeight="1">
      <c r="A172" s="775"/>
      <c r="B172" s="989" t="s">
        <v>323</v>
      </c>
      <c r="C172" s="1005">
        <v>8.35295E7</v>
      </c>
      <c r="D172" s="776"/>
      <c r="E172" s="961"/>
      <c r="F172" s="956"/>
      <c r="G172" s="956"/>
      <c r="H172" s="956"/>
      <c r="I172" s="956"/>
      <c r="J172" s="956"/>
      <c r="K172" s="956"/>
      <c r="L172" s="956"/>
      <c r="M172" s="956"/>
      <c r="N172" s="956"/>
      <c r="O172" s="958"/>
      <c r="P172" s="958"/>
      <c r="Q172" s="958"/>
      <c r="R172" s="958"/>
      <c r="S172" s="958"/>
      <c r="T172" s="958"/>
      <c r="U172" s="958"/>
      <c r="V172" s="958"/>
      <c r="W172" s="958"/>
      <c r="X172" s="958"/>
      <c r="Y172" s="958"/>
      <c r="Z172" s="958"/>
    </row>
    <row r="173" ht="35.25" hidden="1" customHeight="1">
      <c r="A173" s="779"/>
      <c r="B173" s="997"/>
      <c r="C173" s="997"/>
      <c r="D173" s="781"/>
      <c r="E173" s="961"/>
      <c r="F173" s="956"/>
      <c r="G173" s="956"/>
      <c r="H173" s="956"/>
      <c r="I173" s="956"/>
      <c r="J173" s="956"/>
      <c r="K173" s="956"/>
      <c r="L173" s="956"/>
      <c r="M173" s="956"/>
      <c r="N173" s="956"/>
      <c r="O173" s="958"/>
      <c r="P173" s="958"/>
      <c r="Q173" s="958"/>
      <c r="R173" s="958"/>
      <c r="S173" s="958"/>
      <c r="T173" s="958"/>
      <c r="U173" s="958"/>
      <c r="V173" s="958"/>
      <c r="W173" s="958"/>
      <c r="X173" s="958"/>
      <c r="Y173" s="958"/>
      <c r="Z173" s="958"/>
    </row>
    <row r="174" ht="35.25" hidden="1" customHeight="1">
      <c r="A174" s="1000" t="s">
        <v>205</v>
      </c>
      <c r="B174" s="993" t="s">
        <v>8</v>
      </c>
      <c r="C174" s="1006" t="s">
        <v>684</v>
      </c>
      <c r="D174" s="774">
        <f>sum(C176)</f>
        <v>0</v>
      </c>
      <c r="E174" s="961"/>
      <c r="F174" s="956"/>
      <c r="G174" s="956"/>
      <c r="H174" s="956"/>
      <c r="I174" s="956"/>
      <c r="J174" s="956"/>
      <c r="K174" s="956"/>
      <c r="L174" s="956"/>
      <c r="M174" s="956"/>
      <c r="N174" s="956"/>
      <c r="O174" s="958"/>
      <c r="P174" s="958"/>
      <c r="Q174" s="958"/>
      <c r="R174" s="958"/>
      <c r="S174" s="958"/>
      <c r="T174" s="958"/>
      <c r="U174" s="958"/>
      <c r="V174" s="958"/>
      <c r="W174" s="958"/>
      <c r="X174" s="958"/>
      <c r="Y174" s="958"/>
      <c r="Z174" s="958"/>
    </row>
    <row r="175" ht="35.25" hidden="1" customHeight="1">
      <c r="A175" s="775"/>
      <c r="B175" s="993" t="s">
        <v>9</v>
      </c>
      <c r="C175" s="1006" t="s">
        <v>684</v>
      </c>
      <c r="D175" s="776"/>
      <c r="E175" s="961"/>
      <c r="F175" s="1007"/>
      <c r="G175" s="1007"/>
      <c r="H175" s="1007"/>
      <c r="I175" s="1007"/>
      <c r="J175" s="1007"/>
      <c r="K175" s="1007"/>
      <c r="L175" s="1007"/>
      <c r="M175" s="1007"/>
      <c r="N175" s="1007"/>
      <c r="O175" s="958"/>
      <c r="P175" s="958"/>
      <c r="Q175" s="958"/>
      <c r="R175" s="958"/>
      <c r="S175" s="958"/>
      <c r="T175" s="958"/>
      <c r="U175" s="958"/>
      <c r="V175" s="958"/>
      <c r="W175" s="958"/>
      <c r="X175" s="958"/>
      <c r="Y175" s="958"/>
      <c r="Z175" s="958"/>
    </row>
    <row r="176" ht="35.25" hidden="1" customHeight="1">
      <c r="A176" s="775"/>
      <c r="B176" s="993" t="s">
        <v>10</v>
      </c>
      <c r="C176" s="999" t="s">
        <v>684</v>
      </c>
      <c r="D176" s="776"/>
      <c r="E176" s="961" t="s">
        <v>813</v>
      </c>
      <c r="F176" s="1007"/>
      <c r="G176" s="1007"/>
      <c r="H176" s="1007"/>
      <c r="I176" s="1007"/>
      <c r="J176" s="1007"/>
      <c r="K176" s="1007"/>
      <c r="L176" s="1007"/>
      <c r="M176" s="1007"/>
      <c r="N176" s="1007"/>
      <c r="O176" s="958"/>
      <c r="P176" s="958"/>
      <c r="Q176" s="958"/>
      <c r="R176" s="958"/>
      <c r="S176" s="958"/>
      <c r="T176" s="958"/>
      <c r="U176" s="958"/>
      <c r="V176" s="958"/>
      <c r="W176" s="958"/>
      <c r="X176" s="958"/>
      <c r="Y176" s="958"/>
      <c r="Z176" s="958"/>
    </row>
    <row r="177" ht="35.25" hidden="1" customHeight="1">
      <c r="A177" s="775"/>
      <c r="B177" s="989" t="s">
        <v>1120</v>
      </c>
      <c r="C177" s="999">
        <v>3.44463E7</v>
      </c>
      <c r="D177" s="776"/>
      <c r="E177" s="961"/>
      <c r="F177" s="1007"/>
      <c r="G177" s="1007"/>
      <c r="H177" s="1007"/>
      <c r="I177" s="1007"/>
      <c r="J177" s="1007"/>
      <c r="K177" s="1007"/>
      <c r="L177" s="1007"/>
      <c r="M177" s="1007"/>
      <c r="N177" s="1007"/>
      <c r="O177" s="958"/>
      <c r="P177" s="958"/>
      <c r="Q177" s="958"/>
      <c r="R177" s="958"/>
      <c r="S177" s="958"/>
      <c r="T177" s="958"/>
      <c r="U177" s="958"/>
      <c r="V177" s="958"/>
      <c r="W177" s="958"/>
      <c r="X177" s="958"/>
      <c r="Y177" s="958"/>
      <c r="Z177" s="958"/>
    </row>
    <row r="178" ht="35.25" hidden="1" customHeight="1">
      <c r="A178" s="775"/>
      <c r="B178" s="993"/>
      <c r="C178" s="1005"/>
      <c r="D178" s="776"/>
      <c r="E178" s="961"/>
      <c r="F178" s="1007"/>
      <c r="G178" s="1007"/>
      <c r="H178" s="1007"/>
      <c r="I178" s="1007"/>
      <c r="J178" s="1007"/>
      <c r="K178" s="1007"/>
      <c r="L178" s="1007"/>
      <c r="M178" s="1007"/>
      <c r="N178" s="1007"/>
      <c r="O178" s="958"/>
      <c r="P178" s="958"/>
      <c r="Q178" s="958"/>
      <c r="R178" s="958"/>
      <c r="S178" s="958"/>
      <c r="T178" s="958"/>
      <c r="U178" s="958"/>
      <c r="V178" s="958"/>
      <c r="W178" s="958"/>
      <c r="X178" s="958"/>
      <c r="Y178" s="958"/>
      <c r="Z178" s="958"/>
    </row>
    <row r="179" ht="35.25" hidden="1" customHeight="1">
      <c r="A179" s="779"/>
      <c r="B179" s="997"/>
      <c r="C179" s="997"/>
      <c r="D179" s="781"/>
      <c r="E179" s="961"/>
      <c r="F179" s="1007"/>
      <c r="G179" s="1007"/>
      <c r="H179" s="1007"/>
      <c r="I179" s="1007"/>
      <c r="J179" s="1007"/>
      <c r="K179" s="1007"/>
      <c r="L179" s="1007"/>
      <c r="M179" s="1007"/>
      <c r="N179" s="1007"/>
      <c r="O179" s="958"/>
      <c r="P179" s="958"/>
      <c r="Q179" s="958"/>
      <c r="R179" s="958"/>
      <c r="S179" s="958"/>
      <c r="T179" s="958"/>
      <c r="U179" s="958"/>
      <c r="V179" s="958"/>
      <c r="W179" s="958"/>
      <c r="X179" s="958"/>
      <c r="Y179" s="958"/>
      <c r="Z179" s="958"/>
    </row>
    <row r="180" ht="35.25" hidden="1" customHeight="1">
      <c r="A180" s="998" t="s">
        <v>292</v>
      </c>
      <c r="B180" s="993" t="s">
        <v>6</v>
      </c>
      <c r="C180" s="999" t="s">
        <v>684</v>
      </c>
      <c r="D180" s="774">
        <f>sum(C181:C183)</f>
        <v>224975500</v>
      </c>
      <c r="E180" s="961"/>
      <c r="F180" s="956"/>
      <c r="G180" s="956"/>
      <c r="H180" s="956"/>
      <c r="I180" s="956"/>
      <c r="J180" s="956"/>
      <c r="K180" s="956"/>
      <c r="L180" s="956"/>
      <c r="M180" s="956"/>
      <c r="N180" s="956"/>
      <c r="O180" s="958"/>
      <c r="P180" s="958"/>
      <c r="Q180" s="958"/>
      <c r="R180" s="958"/>
      <c r="S180" s="958"/>
      <c r="T180" s="958"/>
      <c r="U180" s="958"/>
      <c r="V180" s="958"/>
      <c r="W180" s="958"/>
      <c r="X180" s="958"/>
      <c r="Y180" s="958"/>
      <c r="Z180" s="958"/>
    </row>
    <row r="181" ht="35.25" hidden="1" customHeight="1">
      <c r="A181" s="775"/>
      <c r="B181" s="993" t="s">
        <v>8</v>
      </c>
      <c r="C181" s="999">
        <v>5.5977E7</v>
      </c>
      <c r="D181" s="776"/>
      <c r="E181" s="961"/>
      <c r="F181" s="956"/>
      <c r="G181" s="956"/>
      <c r="H181" s="956"/>
      <c r="I181" s="956"/>
      <c r="J181" s="956"/>
      <c r="K181" s="956"/>
      <c r="L181" s="956"/>
      <c r="M181" s="956"/>
      <c r="N181" s="956"/>
      <c r="O181" s="958"/>
      <c r="P181" s="958"/>
      <c r="Q181" s="958"/>
      <c r="R181" s="958"/>
      <c r="S181" s="958"/>
      <c r="T181" s="958"/>
      <c r="U181" s="958"/>
      <c r="V181" s="958"/>
      <c r="W181" s="958"/>
      <c r="X181" s="958"/>
      <c r="Y181" s="958"/>
      <c r="Z181" s="958"/>
    </row>
    <row r="182" ht="35.25" hidden="1" customHeight="1">
      <c r="A182" s="775"/>
      <c r="B182" s="993" t="s">
        <v>9</v>
      </c>
      <c r="C182" s="999">
        <v>6.4635E7</v>
      </c>
      <c r="D182" s="776"/>
      <c r="E182" s="961" t="s">
        <v>815</v>
      </c>
      <c r="F182" s="956"/>
      <c r="G182" s="956"/>
      <c r="H182" s="956"/>
      <c r="I182" s="956"/>
      <c r="J182" s="956"/>
      <c r="K182" s="956"/>
      <c r="L182" s="956"/>
      <c r="M182" s="956"/>
      <c r="N182" s="956"/>
      <c r="O182" s="958"/>
      <c r="P182" s="958"/>
      <c r="Q182" s="958"/>
      <c r="R182" s="958"/>
      <c r="S182" s="958"/>
      <c r="T182" s="958"/>
      <c r="U182" s="958"/>
      <c r="V182" s="958"/>
      <c r="W182" s="958"/>
      <c r="X182" s="958"/>
      <c r="Y182" s="958"/>
      <c r="Z182" s="958"/>
    </row>
    <row r="183" ht="35.25" hidden="1" customHeight="1">
      <c r="A183" s="775"/>
      <c r="B183" s="993" t="s">
        <v>10</v>
      </c>
      <c r="C183" s="999">
        <f>104408500-45000</f>
        <v>104363500</v>
      </c>
      <c r="D183" s="776"/>
      <c r="E183" s="961"/>
      <c r="F183" s="956"/>
      <c r="G183" s="956"/>
      <c r="H183" s="956"/>
      <c r="I183" s="956"/>
      <c r="J183" s="956"/>
      <c r="K183" s="956"/>
      <c r="L183" s="956"/>
      <c r="M183" s="956"/>
      <c r="N183" s="956"/>
      <c r="O183" s="958"/>
      <c r="P183" s="958"/>
      <c r="Q183" s="958"/>
      <c r="R183" s="958"/>
      <c r="S183" s="958"/>
      <c r="T183" s="958"/>
      <c r="U183" s="958"/>
      <c r="V183" s="958"/>
      <c r="W183" s="958"/>
      <c r="X183" s="958"/>
      <c r="Y183" s="958"/>
      <c r="Z183" s="958"/>
    </row>
    <row r="184" ht="35.25" hidden="1" customHeight="1">
      <c r="A184" s="775"/>
      <c r="B184" s="989" t="s">
        <v>1122</v>
      </c>
      <c r="C184" s="997"/>
      <c r="D184" s="776"/>
      <c r="E184" s="961"/>
      <c r="F184" s="956"/>
      <c r="G184" s="956"/>
      <c r="H184" s="956"/>
      <c r="I184" s="956"/>
      <c r="J184" s="956"/>
      <c r="K184" s="956"/>
      <c r="L184" s="956"/>
      <c r="M184" s="956"/>
      <c r="N184" s="956"/>
      <c r="O184" s="958"/>
      <c r="P184" s="958"/>
      <c r="Q184" s="958"/>
      <c r="R184" s="958"/>
      <c r="S184" s="958"/>
      <c r="T184" s="958"/>
      <c r="U184" s="958"/>
      <c r="V184" s="958"/>
      <c r="W184" s="958"/>
      <c r="X184" s="958"/>
      <c r="Y184" s="958"/>
      <c r="Z184" s="958"/>
    </row>
    <row r="185" ht="35.25" hidden="1" customHeight="1">
      <c r="A185" s="779"/>
      <c r="B185" s="997"/>
      <c r="C185" s="997"/>
      <c r="D185" s="781"/>
      <c r="E185" s="961"/>
      <c r="F185" s="956"/>
      <c r="G185" s="956"/>
      <c r="H185" s="956"/>
      <c r="I185" s="956"/>
      <c r="J185" s="956"/>
      <c r="K185" s="956"/>
      <c r="L185" s="956"/>
      <c r="M185" s="956"/>
      <c r="N185" s="956"/>
      <c r="O185" s="958"/>
      <c r="P185" s="958"/>
      <c r="Q185" s="958"/>
      <c r="R185" s="958"/>
      <c r="S185" s="958"/>
      <c r="T185" s="958"/>
      <c r="U185" s="958"/>
      <c r="V185" s="958"/>
      <c r="W185" s="958"/>
      <c r="X185" s="958"/>
      <c r="Y185" s="958"/>
      <c r="Z185" s="958"/>
    </row>
    <row r="186" ht="35.25" hidden="1" customHeight="1">
      <c r="A186" s="998" t="s">
        <v>296</v>
      </c>
      <c r="B186" s="993" t="s">
        <v>8</v>
      </c>
      <c r="C186" s="999" t="s">
        <v>684</v>
      </c>
      <c r="D186" s="774">
        <f>sum(C189)</f>
        <v>57119000</v>
      </c>
      <c r="E186" s="961"/>
      <c r="F186" s="956"/>
      <c r="G186" s="956"/>
      <c r="H186" s="956"/>
      <c r="I186" s="956"/>
      <c r="J186" s="956"/>
      <c r="K186" s="956"/>
      <c r="L186" s="956"/>
      <c r="M186" s="956"/>
      <c r="N186" s="956"/>
      <c r="O186" s="958"/>
      <c r="P186" s="958"/>
      <c r="Q186" s="958"/>
      <c r="R186" s="958"/>
      <c r="S186" s="958"/>
      <c r="T186" s="958"/>
      <c r="U186" s="958"/>
      <c r="V186" s="958"/>
      <c r="W186" s="958"/>
      <c r="X186" s="958"/>
      <c r="Y186" s="958"/>
      <c r="Z186" s="958"/>
    </row>
    <row r="187" ht="35.25" hidden="1" customHeight="1">
      <c r="A187" s="775"/>
      <c r="B187" s="993" t="s">
        <v>9</v>
      </c>
      <c r="C187" s="999" t="s">
        <v>684</v>
      </c>
      <c r="D187" s="776"/>
      <c r="E187" s="961"/>
      <c r="F187" s="956"/>
      <c r="G187" s="956"/>
      <c r="H187" s="956"/>
      <c r="I187" s="956"/>
      <c r="J187" s="956"/>
      <c r="K187" s="956"/>
      <c r="L187" s="956"/>
      <c r="M187" s="956"/>
      <c r="N187" s="956"/>
      <c r="O187" s="958"/>
      <c r="P187" s="958"/>
      <c r="Q187" s="958"/>
      <c r="R187" s="958"/>
      <c r="S187" s="958"/>
      <c r="T187" s="958"/>
      <c r="U187" s="958"/>
      <c r="V187" s="958"/>
      <c r="W187" s="958"/>
      <c r="X187" s="958"/>
      <c r="Y187" s="958"/>
      <c r="Z187" s="958"/>
    </row>
    <row r="188" ht="35.25" hidden="1" customHeight="1">
      <c r="A188" s="775"/>
      <c r="B188" s="993" t="s">
        <v>10</v>
      </c>
      <c r="C188" s="999" t="s">
        <v>684</v>
      </c>
      <c r="D188" s="776"/>
      <c r="E188" s="961" t="s">
        <v>816</v>
      </c>
      <c r="F188" s="956"/>
      <c r="G188" s="956"/>
      <c r="H188" s="956"/>
      <c r="I188" s="956"/>
      <c r="J188" s="956"/>
      <c r="K188" s="956"/>
      <c r="L188" s="956"/>
      <c r="M188" s="956"/>
      <c r="N188" s="956"/>
      <c r="O188" s="958"/>
      <c r="P188" s="958"/>
      <c r="Q188" s="958"/>
      <c r="R188" s="958"/>
      <c r="S188" s="958"/>
      <c r="T188" s="958"/>
      <c r="U188" s="958"/>
      <c r="V188" s="958"/>
      <c r="W188" s="958"/>
      <c r="X188" s="958"/>
      <c r="Y188" s="958"/>
      <c r="Z188" s="958"/>
    </row>
    <row r="189" ht="35.25" hidden="1" customHeight="1">
      <c r="A189" s="775"/>
      <c r="B189" s="989" t="s">
        <v>1120</v>
      </c>
      <c r="C189" s="999">
        <v>5.7119E7</v>
      </c>
      <c r="D189" s="776"/>
      <c r="E189" s="961"/>
      <c r="F189" s="956"/>
      <c r="G189" s="956"/>
      <c r="H189" s="956"/>
      <c r="I189" s="956"/>
      <c r="J189" s="956"/>
      <c r="K189" s="956"/>
      <c r="L189" s="956"/>
      <c r="M189" s="956"/>
      <c r="N189" s="956"/>
      <c r="O189" s="958"/>
      <c r="P189" s="958"/>
      <c r="Q189" s="958"/>
      <c r="R189" s="958"/>
      <c r="S189" s="958"/>
      <c r="T189" s="958"/>
      <c r="U189" s="958"/>
      <c r="V189" s="958"/>
      <c r="W189" s="958"/>
      <c r="X189" s="958"/>
      <c r="Y189" s="958"/>
      <c r="Z189" s="958"/>
    </row>
    <row r="190" ht="35.25" hidden="1" customHeight="1">
      <c r="A190" s="775"/>
      <c r="B190" s="993"/>
      <c r="C190" s="999"/>
      <c r="D190" s="776"/>
      <c r="E190" s="961"/>
      <c r="F190" s="956"/>
      <c r="G190" s="956"/>
      <c r="H190" s="956"/>
      <c r="I190" s="956"/>
      <c r="J190" s="956"/>
      <c r="K190" s="956"/>
      <c r="L190" s="956"/>
      <c r="M190" s="956"/>
      <c r="N190" s="956"/>
      <c r="O190" s="958"/>
      <c r="P190" s="958"/>
      <c r="Q190" s="958"/>
      <c r="R190" s="958"/>
      <c r="S190" s="958"/>
      <c r="T190" s="958"/>
      <c r="U190" s="958"/>
      <c r="V190" s="958"/>
      <c r="W190" s="958"/>
      <c r="X190" s="958"/>
      <c r="Y190" s="958"/>
      <c r="Z190" s="958"/>
    </row>
    <row r="191" ht="35.25" hidden="1" customHeight="1">
      <c r="A191" s="779"/>
      <c r="B191" s="997"/>
      <c r="C191" s="997"/>
      <c r="D191" s="781"/>
      <c r="E191" s="961"/>
      <c r="F191" s="956"/>
      <c r="G191" s="956"/>
      <c r="H191" s="956"/>
      <c r="I191" s="956"/>
      <c r="J191" s="956"/>
      <c r="K191" s="956"/>
      <c r="L191" s="956"/>
      <c r="M191" s="956"/>
      <c r="N191" s="956"/>
      <c r="O191" s="958"/>
      <c r="P191" s="958"/>
      <c r="Q191" s="958"/>
      <c r="R191" s="958"/>
      <c r="S191" s="958"/>
      <c r="T191" s="958"/>
      <c r="U191" s="958"/>
      <c r="V191" s="958"/>
      <c r="W191" s="958"/>
      <c r="X191" s="958"/>
      <c r="Y191" s="958"/>
      <c r="Z191" s="958"/>
    </row>
    <row r="192" ht="35.25" hidden="1" customHeight="1">
      <c r="A192" s="1008" t="s">
        <v>207</v>
      </c>
      <c r="B192" s="993"/>
      <c r="C192" s="999"/>
      <c r="D192" s="933">
        <f>sum(C193:C195)</f>
        <v>56479000</v>
      </c>
      <c r="E192" s="961"/>
      <c r="F192" s="956"/>
      <c r="G192" s="956"/>
      <c r="H192" s="956"/>
      <c r="I192" s="956"/>
      <c r="J192" s="956"/>
      <c r="K192" s="956"/>
      <c r="L192" s="956"/>
      <c r="M192" s="956"/>
      <c r="N192" s="956"/>
      <c r="O192" s="958"/>
      <c r="P192" s="958"/>
      <c r="Q192" s="958"/>
      <c r="R192" s="958"/>
      <c r="S192" s="958"/>
      <c r="T192" s="958"/>
      <c r="U192" s="958"/>
      <c r="V192" s="958"/>
      <c r="W192" s="958"/>
      <c r="X192" s="958"/>
      <c r="Y192" s="958"/>
      <c r="Z192" s="958"/>
    </row>
    <row r="193" ht="35.25" hidden="1" customHeight="1">
      <c r="A193" s="817"/>
      <c r="B193" s="993" t="s">
        <v>9</v>
      </c>
      <c r="C193" s="999">
        <v>2.0014E7</v>
      </c>
      <c r="D193" s="817"/>
      <c r="E193" s="961" t="s">
        <v>819</v>
      </c>
      <c r="F193" s="956"/>
      <c r="G193" s="956"/>
      <c r="H193" s="956"/>
      <c r="I193" s="956"/>
      <c r="J193" s="956"/>
      <c r="K193" s="956"/>
      <c r="L193" s="956"/>
      <c r="M193" s="956"/>
      <c r="N193" s="956"/>
      <c r="O193" s="958"/>
      <c r="P193" s="958"/>
      <c r="Q193" s="958"/>
      <c r="R193" s="958"/>
      <c r="S193" s="958"/>
      <c r="T193" s="958"/>
      <c r="U193" s="958"/>
      <c r="V193" s="958"/>
      <c r="W193" s="958"/>
      <c r="X193" s="958"/>
      <c r="Y193" s="958"/>
      <c r="Z193" s="958"/>
    </row>
    <row r="194" ht="35.25" hidden="1" customHeight="1">
      <c r="A194" s="817"/>
      <c r="B194" s="993" t="s">
        <v>10</v>
      </c>
      <c r="C194" s="999">
        <v>1.776E7</v>
      </c>
      <c r="D194" s="817"/>
      <c r="E194" s="961"/>
      <c r="F194" s="956"/>
      <c r="G194" s="956"/>
      <c r="H194" s="956"/>
      <c r="I194" s="956"/>
      <c r="J194" s="956"/>
      <c r="K194" s="956"/>
      <c r="L194" s="956"/>
      <c r="M194" s="956"/>
      <c r="N194" s="956"/>
      <c r="O194" s="958"/>
      <c r="P194" s="958"/>
      <c r="Q194" s="958"/>
      <c r="R194" s="958"/>
      <c r="S194" s="958"/>
      <c r="T194" s="958"/>
      <c r="U194" s="958"/>
      <c r="V194" s="958"/>
      <c r="W194" s="958"/>
      <c r="X194" s="958"/>
      <c r="Y194" s="958"/>
      <c r="Z194" s="958"/>
    </row>
    <row r="195" ht="35.25" hidden="1" customHeight="1">
      <c r="A195" s="817"/>
      <c r="B195" s="989" t="s">
        <v>1120</v>
      </c>
      <c r="C195" s="999">
        <v>1.8705E7</v>
      </c>
      <c r="D195" s="817"/>
      <c r="E195" s="961"/>
      <c r="F195" s="956"/>
      <c r="G195" s="956"/>
      <c r="H195" s="956"/>
      <c r="I195" s="956"/>
      <c r="J195" s="956"/>
      <c r="K195" s="956"/>
      <c r="L195" s="956"/>
      <c r="M195" s="956"/>
      <c r="N195" s="956"/>
      <c r="O195" s="958"/>
      <c r="P195" s="958"/>
      <c r="Q195" s="958"/>
      <c r="R195" s="958"/>
      <c r="S195" s="958"/>
      <c r="T195" s="958"/>
      <c r="U195" s="958"/>
      <c r="V195" s="958"/>
      <c r="W195" s="958"/>
      <c r="X195" s="958"/>
      <c r="Y195" s="958"/>
      <c r="Z195" s="958"/>
    </row>
    <row r="196" ht="35.25" hidden="1" customHeight="1">
      <c r="A196" s="817"/>
      <c r="B196" s="991"/>
      <c r="C196" s="991"/>
      <c r="D196" s="817"/>
      <c r="E196" s="961"/>
      <c r="F196" s="956"/>
      <c r="G196" s="956"/>
      <c r="H196" s="956"/>
      <c r="I196" s="956"/>
      <c r="J196" s="956"/>
      <c r="K196" s="956"/>
      <c r="L196" s="956"/>
      <c r="M196" s="956"/>
      <c r="N196" s="956"/>
      <c r="O196" s="958"/>
      <c r="P196" s="958"/>
      <c r="Q196" s="958"/>
      <c r="R196" s="958"/>
      <c r="S196" s="958"/>
      <c r="T196" s="958"/>
      <c r="U196" s="958"/>
      <c r="V196" s="958"/>
      <c r="W196" s="958"/>
      <c r="X196" s="958"/>
      <c r="Y196" s="958"/>
      <c r="Z196" s="958"/>
    </row>
    <row r="197" ht="35.25" hidden="1" customHeight="1">
      <c r="A197" s="817"/>
      <c r="B197" s="991"/>
      <c r="C197" s="991"/>
      <c r="D197" s="817"/>
      <c r="E197" s="961"/>
      <c r="F197" s="956"/>
      <c r="G197" s="956"/>
      <c r="H197" s="956"/>
      <c r="I197" s="956"/>
      <c r="J197" s="956"/>
      <c r="K197" s="956"/>
      <c r="L197" s="956"/>
      <c r="M197" s="956"/>
      <c r="N197" s="956"/>
      <c r="O197" s="958"/>
      <c r="P197" s="958"/>
      <c r="Q197" s="958"/>
      <c r="R197" s="958"/>
      <c r="S197" s="958"/>
      <c r="T197" s="958"/>
      <c r="U197" s="958"/>
      <c r="V197" s="958"/>
      <c r="W197" s="958"/>
      <c r="X197" s="958"/>
      <c r="Y197" s="958"/>
      <c r="Z197" s="958"/>
    </row>
    <row r="198" ht="35.25" hidden="1" customHeight="1">
      <c r="A198" s="818"/>
      <c r="B198" s="997"/>
      <c r="C198" s="997"/>
      <c r="D198" s="818"/>
      <c r="E198" s="961"/>
      <c r="F198" s="956"/>
      <c r="G198" s="956"/>
      <c r="H198" s="956"/>
      <c r="I198" s="956"/>
      <c r="J198" s="956"/>
      <c r="K198" s="956"/>
      <c r="L198" s="956"/>
      <c r="M198" s="956"/>
      <c r="N198" s="956"/>
      <c r="O198" s="958"/>
      <c r="P198" s="958"/>
      <c r="Q198" s="958"/>
      <c r="R198" s="958"/>
      <c r="S198" s="958"/>
      <c r="T198" s="958"/>
      <c r="U198" s="958"/>
      <c r="V198" s="958"/>
      <c r="W198" s="958"/>
      <c r="X198" s="958"/>
      <c r="Y198" s="958"/>
      <c r="Z198" s="958"/>
    </row>
    <row r="199" ht="35.25" hidden="1" customHeight="1">
      <c r="A199" s="1009" t="s">
        <v>302</v>
      </c>
      <c r="B199" s="993" t="s">
        <v>6</v>
      </c>
      <c r="C199" s="1004">
        <v>3.3085E7</v>
      </c>
      <c r="D199" s="935">
        <f>sum(C199:C203)</f>
        <v>191555000</v>
      </c>
      <c r="E199" s="961"/>
      <c r="F199" s="956"/>
      <c r="G199" s="956"/>
      <c r="H199" s="956"/>
      <c r="I199" s="956"/>
      <c r="J199" s="956"/>
      <c r="K199" s="956"/>
      <c r="L199" s="956"/>
      <c r="M199" s="956"/>
      <c r="N199" s="956"/>
      <c r="O199" s="958"/>
      <c r="P199" s="958"/>
      <c r="Q199" s="958"/>
      <c r="R199" s="958"/>
      <c r="S199" s="958"/>
      <c r="T199" s="958"/>
      <c r="U199" s="958"/>
      <c r="V199" s="958"/>
      <c r="W199" s="958"/>
      <c r="X199" s="958"/>
      <c r="Y199" s="958"/>
      <c r="Z199" s="958"/>
    </row>
    <row r="200" ht="35.25" hidden="1" customHeight="1">
      <c r="A200" s="775"/>
      <c r="B200" s="993" t="s">
        <v>8</v>
      </c>
      <c r="C200" s="1004">
        <v>4.806E7</v>
      </c>
      <c r="D200" s="776"/>
      <c r="E200" s="961" t="s">
        <v>917</v>
      </c>
      <c r="F200" s="956"/>
      <c r="G200" s="956"/>
      <c r="H200" s="956"/>
      <c r="I200" s="956"/>
      <c r="J200" s="956"/>
      <c r="K200" s="956"/>
      <c r="L200" s="956"/>
      <c r="M200" s="956"/>
      <c r="N200" s="956"/>
      <c r="O200" s="958"/>
      <c r="P200" s="958"/>
      <c r="Q200" s="958"/>
      <c r="R200" s="958"/>
      <c r="S200" s="958"/>
      <c r="T200" s="958"/>
      <c r="U200" s="958"/>
      <c r="V200" s="958"/>
      <c r="W200" s="958"/>
      <c r="X200" s="958"/>
      <c r="Y200" s="958"/>
      <c r="Z200" s="958"/>
    </row>
    <row r="201" ht="35.25" hidden="1" customHeight="1">
      <c r="A201" s="775"/>
      <c r="B201" s="993" t="s">
        <v>9</v>
      </c>
      <c r="C201" s="1004">
        <v>2.7453E7</v>
      </c>
      <c r="D201" s="776"/>
      <c r="E201" s="961"/>
      <c r="F201" s="956"/>
      <c r="G201" s="956"/>
      <c r="H201" s="956"/>
      <c r="I201" s="956"/>
      <c r="J201" s="956"/>
      <c r="K201" s="956"/>
      <c r="L201" s="956"/>
      <c r="M201" s="956"/>
      <c r="N201" s="956"/>
      <c r="O201" s="958"/>
      <c r="P201" s="958"/>
      <c r="Q201" s="958"/>
      <c r="R201" s="958"/>
      <c r="S201" s="958"/>
      <c r="T201" s="958"/>
      <c r="U201" s="958"/>
      <c r="V201" s="958"/>
      <c r="W201" s="958"/>
      <c r="X201" s="958"/>
      <c r="Y201" s="958"/>
      <c r="Z201" s="958"/>
    </row>
    <row r="202" ht="35.25" hidden="1" customHeight="1">
      <c r="A202" s="775"/>
      <c r="B202" s="993" t="s">
        <v>10</v>
      </c>
      <c r="C202" s="1004">
        <v>4.355E7</v>
      </c>
      <c r="D202" s="776"/>
      <c r="E202" s="1007"/>
      <c r="F202" s="956"/>
      <c r="G202" s="956"/>
      <c r="H202" s="956"/>
      <c r="I202" s="956"/>
      <c r="J202" s="956"/>
      <c r="K202" s="956"/>
      <c r="L202" s="956"/>
      <c r="M202" s="956"/>
      <c r="N202" s="956"/>
      <c r="O202" s="958"/>
      <c r="P202" s="958"/>
      <c r="Q202" s="958"/>
      <c r="R202" s="958"/>
      <c r="S202" s="958"/>
      <c r="T202" s="958"/>
      <c r="U202" s="958"/>
      <c r="V202" s="958"/>
      <c r="W202" s="958"/>
      <c r="X202" s="958"/>
      <c r="Y202" s="958"/>
      <c r="Z202" s="958"/>
    </row>
    <row r="203" ht="35.25" hidden="1" customHeight="1">
      <c r="A203" s="775"/>
      <c r="B203" s="989" t="s">
        <v>1120</v>
      </c>
      <c r="C203" s="1004">
        <v>3.9407E7</v>
      </c>
      <c r="D203" s="776"/>
      <c r="E203" s="1007"/>
      <c r="F203" s="956"/>
      <c r="G203" s="956"/>
      <c r="H203" s="956"/>
      <c r="I203" s="956"/>
      <c r="J203" s="956"/>
      <c r="K203" s="956"/>
      <c r="L203" s="956"/>
      <c r="M203" s="956"/>
      <c r="N203" s="956"/>
      <c r="O203" s="958"/>
      <c r="P203" s="958"/>
      <c r="Q203" s="958"/>
      <c r="R203" s="958"/>
      <c r="S203" s="958"/>
      <c r="T203" s="958"/>
      <c r="U203" s="958"/>
      <c r="V203" s="958"/>
      <c r="W203" s="958"/>
      <c r="X203" s="958"/>
      <c r="Y203" s="958"/>
      <c r="Z203" s="958"/>
    </row>
    <row r="204" ht="35.25" hidden="1" customHeight="1">
      <c r="A204" s="775"/>
      <c r="B204" s="991"/>
      <c r="C204" s="991"/>
      <c r="D204" s="776"/>
      <c r="E204" s="1007"/>
      <c r="F204" s="956"/>
      <c r="G204" s="956"/>
      <c r="H204" s="956"/>
      <c r="I204" s="956"/>
      <c r="J204" s="956"/>
      <c r="K204" s="956"/>
      <c r="L204" s="956"/>
      <c r="M204" s="956"/>
      <c r="N204" s="956"/>
      <c r="O204" s="958"/>
      <c r="P204" s="958"/>
      <c r="Q204" s="958"/>
      <c r="R204" s="958"/>
      <c r="S204" s="958"/>
      <c r="T204" s="958"/>
      <c r="U204" s="958"/>
      <c r="V204" s="958"/>
      <c r="W204" s="958"/>
      <c r="X204" s="958"/>
      <c r="Y204" s="958"/>
      <c r="Z204" s="958"/>
    </row>
    <row r="205" ht="35.25" hidden="1" customHeight="1">
      <c r="A205" s="775"/>
      <c r="B205" s="991"/>
      <c r="C205" s="991"/>
      <c r="D205" s="776"/>
      <c r="E205" s="1007"/>
      <c r="F205" s="956"/>
      <c r="G205" s="956"/>
      <c r="H205" s="956"/>
      <c r="I205" s="956"/>
      <c r="J205" s="956"/>
      <c r="K205" s="956"/>
      <c r="L205" s="956"/>
      <c r="M205" s="956"/>
      <c r="N205" s="956"/>
      <c r="O205" s="958"/>
      <c r="P205" s="958"/>
      <c r="Q205" s="958"/>
      <c r="R205" s="958"/>
      <c r="S205" s="958"/>
      <c r="T205" s="958"/>
      <c r="U205" s="958"/>
      <c r="V205" s="958"/>
      <c r="W205" s="958"/>
      <c r="X205" s="958"/>
      <c r="Y205" s="958"/>
      <c r="Z205" s="958"/>
    </row>
    <row r="206" ht="35.25" hidden="1" customHeight="1">
      <c r="A206" s="779"/>
      <c r="B206" s="991"/>
      <c r="C206" s="991"/>
      <c r="D206" s="781"/>
      <c r="E206" s="1007"/>
      <c r="F206" s="956"/>
      <c r="G206" s="956"/>
      <c r="H206" s="956"/>
      <c r="I206" s="956"/>
      <c r="J206" s="956"/>
      <c r="K206" s="956"/>
      <c r="L206" s="956"/>
      <c r="M206" s="956"/>
      <c r="N206" s="956"/>
      <c r="O206" s="958"/>
      <c r="P206" s="958"/>
      <c r="Q206" s="958"/>
      <c r="R206" s="958"/>
      <c r="S206" s="958"/>
      <c r="T206" s="958"/>
      <c r="U206" s="958"/>
      <c r="V206" s="958"/>
      <c r="W206" s="958"/>
      <c r="X206" s="958"/>
      <c r="Y206" s="958"/>
      <c r="Z206" s="958"/>
    </row>
    <row r="207" ht="35.25" hidden="1" customHeight="1">
      <c r="A207" s="1000" t="s">
        <v>215</v>
      </c>
      <c r="B207" s="993" t="s">
        <v>6</v>
      </c>
      <c r="C207" s="1003">
        <v>1.55875E7</v>
      </c>
      <c r="D207" s="774">
        <f>sum(C207:C211)</f>
        <v>56322500</v>
      </c>
      <c r="E207" s="968" t="s">
        <v>918</v>
      </c>
      <c r="F207" s="956"/>
      <c r="G207" s="956"/>
      <c r="H207" s="956"/>
      <c r="I207" s="956"/>
      <c r="J207" s="956"/>
      <c r="K207" s="956"/>
      <c r="L207" s="956"/>
      <c r="M207" s="956"/>
      <c r="N207" s="956"/>
      <c r="O207" s="958"/>
      <c r="P207" s="958"/>
      <c r="Q207" s="958"/>
      <c r="R207" s="958"/>
      <c r="S207" s="958"/>
      <c r="T207" s="958"/>
      <c r="U207" s="958"/>
      <c r="V207" s="958"/>
      <c r="W207" s="958"/>
      <c r="X207" s="958"/>
      <c r="Y207" s="958"/>
      <c r="Z207" s="958"/>
    </row>
    <row r="208" ht="35.25" hidden="1" customHeight="1">
      <c r="A208" s="775"/>
      <c r="B208" s="993" t="s">
        <v>8</v>
      </c>
      <c r="C208" s="1003">
        <v>5559000.0</v>
      </c>
      <c r="D208" s="776"/>
      <c r="E208" s="956"/>
      <c r="F208" s="956"/>
      <c r="G208" s="956"/>
      <c r="H208" s="956"/>
      <c r="I208" s="956"/>
      <c r="J208" s="956"/>
      <c r="K208" s="956"/>
      <c r="L208" s="956"/>
      <c r="M208" s="956"/>
      <c r="N208" s="956"/>
      <c r="O208" s="958"/>
      <c r="P208" s="958"/>
      <c r="Q208" s="958"/>
      <c r="R208" s="958"/>
      <c r="S208" s="958"/>
      <c r="T208" s="958"/>
      <c r="U208" s="958"/>
      <c r="V208" s="958"/>
      <c r="W208" s="958"/>
      <c r="X208" s="958"/>
      <c r="Y208" s="958"/>
      <c r="Z208" s="958"/>
    </row>
    <row r="209" ht="35.25" hidden="1" customHeight="1">
      <c r="A209" s="775"/>
      <c r="B209" s="993" t="s">
        <v>9</v>
      </c>
      <c r="C209" s="999">
        <v>5319000.0</v>
      </c>
      <c r="D209" s="776"/>
      <c r="E209" s="644" t="s">
        <v>820</v>
      </c>
      <c r="F209" s="956"/>
      <c r="G209" s="956"/>
      <c r="H209" s="956"/>
      <c r="I209" s="956"/>
      <c r="J209" s="956"/>
      <c r="K209" s="956"/>
      <c r="L209" s="956"/>
      <c r="M209" s="956"/>
      <c r="N209" s="956"/>
      <c r="O209" s="958"/>
      <c r="P209" s="958"/>
      <c r="Q209" s="958"/>
      <c r="R209" s="958"/>
      <c r="S209" s="958"/>
      <c r="T209" s="958"/>
      <c r="U209" s="958"/>
      <c r="V209" s="958"/>
      <c r="W209" s="958"/>
      <c r="X209" s="958"/>
      <c r="Y209" s="958"/>
      <c r="Z209" s="958"/>
    </row>
    <row r="210" ht="35.25" hidden="1" customHeight="1">
      <c r="A210" s="775"/>
      <c r="B210" s="993" t="s">
        <v>10</v>
      </c>
      <c r="C210" s="999">
        <v>2250000.0</v>
      </c>
      <c r="D210" s="776"/>
      <c r="E210" s="968"/>
      <c r="F210" s="956"/>
      <c r="G210" s="956"/>
      <c r="H210" s="956"/>
      <c r="I210" s="956"/>
      <c r="J210" s="956"/>
      <c r="K210" s="956"/>
      <c r="L210" s="956"/>
      <c r="M210" s="956"/>
      <c r="N210" s="956"/>
      <c r="O210" s="958"/>
      <c r="P210" s="958"/>
      <c r="Q210" s="958"/>
      <c r="R210" s="958"/>
      <c r="S210" s="958"/>
      <c r="T210" s="958"/>
      <c r="U210" s="958"/>
      <c r="V210" s="958"/>
      <c r="W210" s="958"/>
      <c r="X210" s="958"/>
      <c r="Y210" s="958"/>
      <c r="Z210" s="958"/>
    </row>
    <row r="211" ht="35.25" hidden="1" customHeight="1">
      <c r="A211" s="775"/>
      <c r="B211" s="989" t="s">
        <v>1120</v>
      </c>
      <c r="C211" s="999">
        <v>2.7607E7</v>
      </c>
      <c r="D211" s="776"/>
      <c r="E211" s="968"/>
      <c r="F211" s="956"/>
      <c r="G211" s="956"/>
      <c r="H211" s="956"/>
      <c r="I211" s="956"/>
      <c r="J211" s="956"/>
      <c r="K211" s="956"/>
      <c r="L211" s="956"/>
      <c r="M211" s="956"/>
      <c r="N211" s="956"/>
      <c r="O211" s="958"/>
      <c r="P211" s="958"/>
      <c r="Q211" s="958"/>
      <c r="R211" s="958"/>
      <c r="S211" s="958"/>
      <c r="T211" s="958"/>
      <c r="U211" s="958"/>
      <c r="V211" s="958"/>
      <c r="W211" s="958"/>
      <c r="X211" s="958"/>
      <c r="Y211" s="958"/>
      <c r="Z211" s="958"/>
    </row>
    <row r="212" ht="35.25" hidden="1" customHeight="1">
      <c r="A212" s="775"/>
      <c r="B212" s="995"/>
      <c r="C212" s="1003"/>
      <c r="D212" s="776"/>
      <c r="E212" s="968"/>
      <c r="F212" s="956"/>
      <c r="G212" s="956"/>
      <c r="H212" s="956"/>
      <c r="I212" s="956"/>
      <c r="J212" s="956"/>
      <c r="K212" s="956"/>
      <c r="L212" s="956"/>
      <c r="M212" s="956"/>
      <c r="N212" s="956"/>
      <c r="O212" s="958"/>
      <c r="P212" s="958"/>
      <c r="Q212" s="958"/>
      <c r="R212" s="958"/>
      <c r="S212" s="958"/>
      <c r="T212" s="958"/>
      <c r="U212" s="958"/>
      <c r="V212" s="958"/>
      <c r="W212" s="958"/>
      <c r="X212" s="958"/>
      <c r="Y212" s="958"/>
      <c r="Z212" s="958"/>
    </row>
    <row r="213" ht="35.25" hidden="1" customHeight="1">
      <c r="A213" s="779"/>
      <c r="B213" s="995"/>
      <c r="C213" s="1003"/>
      <c r="D213" s="781"/>
      <c r="E213" s="968"/>
      <c r="F213" s="956"/>
      <c r="G213" s="956"/>
      <c r="H213" s="956"/>
      <c r="I213" s="956"/>
      <c r="J213" s="956"/>
      <c r="K213" s="956"/>
      <c r="L213" s="956"/>
      <c r="M213" s="956"/>
      <c r="N213" s="956"/>
      <c r="O213" s="958"/>
      <c r="P213" s="958"/>
      <c r="Q213" s="958"/>
      <c r="R213" s="958"/>
      <c r="S213" s="958"/>
      <c r="T213" s="958"/>
      <c r="U213" s="958"/>
      <c r="V213" s="958"/>
      <c r="W213" s="958"/>
      <c r="X213" s="958"/>
      <c r="Y213" s="958"/>
      <c r="Z213" s="958"/>
    </row>
    <row r="214" ht="35.25" hidden="1" customHeight="1">
      <c r="A214" s="998" t="s">
        <v>216</v>
      </c>
      <c r="B214" s="993" t="s">
        <v>8</v>
      </c>
      <c r="C214" s="999" t="s">
        <v>684</v>
      </c>
      <c r="D214" s="774">
        <f>sum(C214:C218)</f>
        <v>164373000</v>
      </c>
      <c r="E214" s="956"/>
      <c r="F214" s="956"/>
      <c r="G214" s="956"/>
      <c r="H214" s="956"/>
      <c r="I214" s="956"/>
      <c r="J214" s="956"/>
      <c r="K214" s="956"/>
      <c r="L214" s="956"/>
      <c r="M214" s="956"/>
      <c r="N214" s="956"/>
      <c r="O214" s="958"/>
      <c r="P214" s="958"/>
      <c r="Q214" s="958"/>
      <c r="R214" s="958"/>
      <c r="S214" s="958"/>
      <c r="T214" s="958"/>
      <c r="U214" s="958"/>
      <c r="V214" s="958"/>
      <c r="W214" s="958"/>
      <c r="X214" s="958"/>
      <c r="Y214" s="958"/>
      <c r="Z214" s="958"/>
    </row>
    <row r="215" ht="35.25" hidden="1" customHeight="1">
      <c r="A215" s="775"/>
      <c r="B215" s="993" t="s">
        <v>9</v>
      </c>
      <c r="C215" s="999">
        <v>5.78405E7</v>
      </c>
      <c r="D215" s="776"/>
      <c r="E215" s="956"/>
      <c r="F215" s="956"/>
      <c r="G215" s="956"/>
      <c r="H215" s="956"/>
      <c r="I215" s="956"/>
      <c r="J215" s="956"/>
      <c r="K215" s="956"/>
      <c r="L215" s="956"/>
      <c r="M215" s="956"/>
      <c r="N215" s="956"/>
      <c r="O215" s="958"/>
      <c r="P215" s="958"/>
      <c r="Q215" s="958"/>
      <c r="R215" s="958"/>
      <c r="S215" s="958"/>
      <c r="T215" s="958"/>
      <c r="U215" s="958"/>
      <c r="V215" s="958"/>
      <c r="W215" s="958"/>
      <c r="X215" s="958"/>
      <c r="Y215" s="958"/>
      <c r="Z215" s="958"/>
    </row>
    <row r="216" ht="35.25" hidden="1" customHeight="1">
      <c r="A216" s="775"/>
      <c r="B216" s="993" t="s">
        <v>10</v>
      </c>
      <c r="C216" s="999">
        <v>6.2665E7</v>
      </c>
      <c r="D216" s="776"/>
      <c r="E216" s="956"/>
      <c r="F216" s="956"/>
      <c r="G216" s="956"/>
      <c r="H216" s="956"/>
      <c r="I216" s="956"/>
      <c r="J216" s="956"/>
      <c r="K216" s="956"/>
      <c r="L216" s="956"/>
      <c r="M216" s="956"/>
      <c r="N216" s="956"/>
      <c r="O216" s="958"/>
      <c r="P216" s="958"/>
      <c r="Q216" s="958"/>
      <c r="R216" s="958"/>
      <c r="S216" s="958"/>
      <c r="T216" s="958"/>
      <c r="U216" s="958"/>
      <c r="V216" s="958"/>
      <c r="W216" s="958"/>
      <c r="X216" s="958"/>
      <c r="Y216" s="958"/>
      <c r="Z216" s="958"/>
    </row>
    <row r="217" ht="35.25" hidden="1" customHeight="1">
      <c r="A217" s="775"/>
      <c r="B217" s="989" t="s">
        <v>1120</v>
      </c>
      <c r="C217" s="999">
        <v>4.38675E7</v>
      </c>
      <c r="D217" s="776"/>
      <c r="E217" s="956"/>
      <c r="F217" s="956"/>
      <c r="G217" s="956"/>
      <c r="H217" s="956"/>
      <c r="I217" s="956"/>
      <c r="J217" s="956"/>
      <c r="K217" s="956"/>
      <c r="L217" s="956"/>
      <c r="M217" s="956"/>
      <c r="N217" s="956"/>
      <c r="O217" s="958"/>
      <c r="P217" s="958"/>
      <c r="Q217" s="958"/>
      <c r="R217" s="958"/>
      <c r="S217" s="958"/>
      <c r="T217" s="958"/>
      <c r="U217" s="958"/>
      <c r="V217" s="958"/>
      <c r="W217" s="958"/>
      <c r="X217" s="958"/>
      <c r="Y217" s="958"/>
      <c r="Z217" s="958"/>
    </row>
    <row r="218" ht="35.25" hidden="1" customHeight="1">
      <c r="A218" s="775"/>
      <c r="B218" s="993"/>
      <c r="C218" s="999"/>
      <c r="D218" s="776"/>
      <c r="E218" s="956"/>
      <c r="F218" s="956"/>
      <c r="G218" s="956"/>
      <c r="H218" s="956"/>
      <c r="I218" s="956"/>
      <c r="J218" s="956"/>
      <c r="K218" s="956"/>
      <c r="L218" s="956"/>
      <c r="M218" s="956"/>
      <c r="N218" s="956"/>
      <c r="O218" s="958"/>
      <c r="P218" s="958"/>
      <c r="Q218" s="958"/>
      <c r="R218" s="958"/>
      <c r="S218" s="958"/>
      <c r="T218" s="958"/>
      <c r="U218" s="958"/>
      <c r="V218" s="958"/>
      <c r="W218" s="958"/>
      <c r="X218" s="958"/>
      <c r="Y218" s="958"/>
      <c r="Z218" s="958"/>
    </row>
    <row r="219" ht="35.25" hidden="1" customHeight="1">
      <c r="A219" s="779"/>
      <c r="B219" s="991"/>
      <c r="C219" s="991"/>
      <c r="D219" s="781"/>
      <c r="E219" s="956"/>
      <c r="F219" s="956"/>
      <c r="G219" s="956"/>
      <c r="H219" s="956"/>
      <c r="I219" s="956"/>
      <c r="J219" s="956"/>
      <c r="K219" s="956"/>
      <c r="L219" s="956"/>
      <c r="M219" s="956"/>
      <c r="N219" s="956"/>
      <c r="O219" s="958"/>
      <c r="P219" s="958"/>
      <c r="Q219" s="958"/>
      <c r="R219" s="958"/>
      <c r="S219" s="958"/>
      <c r="T219" s="958"/>
      <c r="U219" s="958"/>
      <c r="V219" s="958"/>
      <c r="W219" s="958"/>
      <c r="X219" s="958"/>
      <c r="Y219" s="958"/>
      <c r="Z219" s="958"/>
    </row>
    <row r="220" ht="35.25" hidden="1" customHeight="1">
      <c r="A220" s="1010" t="s">
        <v>510</v>
      </c>
      <c r="B220" s="993" t="s">
        <v>6</v>
      </c>
      <c r="C220" s="999">
        <v>3.09935E7</v>
      </c>
      <c r="D220" s="774">
        <f>sum(C220:C223)</f>
        <v>77164800</v>
      </c>
      <c r="E220" s="1011"/>
      <c r="F220" s="956"/>
      <c r="G220" s="956"/>
      <c r="H220" s="956"/>
      <c r="I220" s="956"/>
      <c r="J220" s="956"/>
      <c r="K220" s="956"/>
      <c r="L220" s="956"/>
      <c r="M220" s="956"/>
      <c r="N220" s="956"/>
      <c r="O220" s="958"/>
      <c r="P220" s="958"/>
      <c r="Q220" s="958"/>
      <c r="R220" s="958"/>
      <c r="S220" s="958"/>
      <c r="T220" s="958"/>
      <c r="U220" s="958"/>
      <c r="V220" s="958"/>
      <c r="W220" s="958"/>
      <c r="X220" s="958"/>
      <c r="Y220" s="958"/>
      <c r="Z220" s="958"/>
    </row>
    <row r="221" ht="35.25" hidden="1" customHeight="1">
      <c r="A221" s="775"/>
      <c r="B221" s="993" t="s">
        <v>8</v>
      </c>
      <c r="C221" s="999">
        <v>2505000.0</v>
      </c>
      <c r="D221" s="776"/>
      <c r="E221" s="1011"/>
      <c r="F221" s="956"/>
      <c r="G221" s="956"/>
      <c r="H221" s="956"/>
      <c r="I221" s="956"/>
      <c r="J221" s="956"/>
      <c r="K221" s="956"/>
      <c r="L221" s="956"/>
      <c r="M221" s="956"/>
      <c r="N221" s="956"/>
      <c r="O221" s="958"/>
      <c r="P221" s="958"/>
      <c r="Q221" s="958"/>
      <c r="R221" s="958"/>
      <c r="S221" s="958"/>
      <c r="T221" s="958"/>
      <c r="U221" s="958"/>
      <c r="V221" s="958"/>
      <c r="W221" s="958"/>
      <c r="X221" s="958"/>
      <c r="Y221" s="958"/>
      <c r="Z221" s="958"/>
    </row>
    <row r="222" ht="35.25" hidden="1" customHeight="1">
      <c r="A222" s="775"/>
      <c r="B222" s="993" t="s">
        <v>9</v>
      </c>
      <c r="C222" s="999">
        <v>2.65983E7</v>
      </c>
      <c r="D222" s="776"/>
      <c r="E222" s="968" t="s">
        <v>919</v>
      </c>
      <c r="F222" s="956"/>
      <c r="G222" s="956"/>
      <c r="H222" s="956"/>
      <c r="I222" s="956"/>
      <c r="J222" s="956"/>
      <c r="K222" s="956"/>
      <c r="L222" s="956"/>
      <c r="M222" s="956"/>
      <c r="N222" s="956"/>
      <c r="O222" s="958"/>
      <c r="P222" s="958"/>
      <c r="Q222" s="958"/>
      <c r="R222" s="958"/>
      <c r="S222" s="958"/>
      <c r="T222" s="958"/>
      <c r="U222" s="958"/>
      <c r="V222" s="958"/>
      <c r="W222" s="958"/>
      <c r="X222" s="958"/>
      <c r="Y222" s="958"/>
      <c r="Z222" s="958"/>
    </row>
    <row r="223" ht="35.25" hidden="1" customHeight="1">
      <c r="A223" s="775"/>
      <c r="B223" s="993" t="s">
        <v>10</v>
      </c>
      <c r="C223" s="999">
        <f>17098000-30000</f>
        <v>17068000</v>
      </c>
      <c r="D223" s="776"/>
      <c r="E223" s="968"/>
      <c r="F223" s="956"/>
      <c r="G223" s="956"/>
      <c r="H223" s="956"/>
      <c r="I223" s="956"/>
      <c r="J223" s="956"/>
      <c r="K223" s="956"/>
      <c r="L223" s="956"/>
      <c r="M223" s="956"/>
      <c r="N223" s="956"/>
      <c r="O223" s="958"/>
      <c r="P223" s="958"/>
      <c r="Q223" s="958"/>
      <c r="R223" s="958"/>
      <c r="S223" s="958"/>
      <c r="T223" s="958"/>
      <c r="U223" s="958"/>
      <c r="V223" s="958"/>
      <c r="W223" s="958"/>
      <c r="X223" s="958"/>
      <c r="Y223" s="958"/>
      <c r="Z223" s="958"/>
    </row>
    <row r="224" ht="35.25" hidden="1" customHeight="1">
      <c r="A224" s="779"/>
      <c r="B224" s="989" t="s">
        <v>1120</v>
      </c>
      <c r="C224" s="999" t="s">
        <v>1123</v>
      </c>
      <c r="D224" s="781"/>
      <c r="E224" s="956"/>
      <c r="F224" s="956"/>
      <c r="G224" s="956"/>
      <c r="H224" s="956"/>
      <c r="I224" s="956"/>
      <c r="J224" s="956"/>
      <c r="K224" s="956"/>
      <c r="L224" s="956"/>
      <c r="M224" s="956"/>
      <c r="N224" s="956"/>
      <c r="O224" s="958"/>
      <c r="P224" s="958"/>
      <c r="Q224" s="958"/>
      <c r="R224" s="958"/>
      <c r="S224" s="958"/>
      <c r="T224" s="958"/>
      <c r="U224" s="958"/>
      <c r="V224" s="958"/>
      <c r="W224" s="958"/>
      <c r="X224" s="958"/>
      <c r="Y224" s="958"/>
      <c r="Z224" s="958"/>
    </row>
    <row r="225" ht="35.25" hidden="1" customHeight="1">
      <c r="A225" s="998" t="s">
        <v>513</v>
      </c>
      <c r="B225" s="993" t="s">
        <v>6</v>
      </c>
      <c r="C225" s="999">
        <v>4.6131E7</v>
      </c>
      <c r="D225" s="774">
        <f>sum(C225:C228)</f>
        <v>220662600</v>
      </c>
      <c r="E225" s="956"/>
      <c r="F225" s="956"/>
      <c r="G225" s="956"/>
      <c r="H225" s="956"/>
      <c r="I225" s="956"/>
      <c r="J225" s="956"/>
      <c r="K225" s="956"/>
      <c r="L225" s="956"/>
      <c r="M225" s="956"/>
      <c r="N225" s="956"/>
      <c r="O225" s="958"/>
      <c r="P225" s="958"/>
      <c r="Q225" s="958"/>
      <c r="R225" s="958"/>
      <c r="S225" s="958"/>
      <c r="T225" s="958"/>
      <c r="U225" s="958"/>
      <c r="V225" s="958"/>
      <c r="W225" s="958"/>
      <c r="X225" s="958"/>
      <c r="Y225" s="958"/>
      <c r="Z225" s="958"/>
    </row>
    <row r="226" ht="35.25" hidden="1" customHeight="1">
      <c r="A226" s="775"/>
      <c r="B226" s="993" t="s">
        <v>8</v>
      </c>
      <c r="C226" s="999">
        <v>6.02815E7</v>
      </c>
      <c r="D226" s="776"/>
      <c r="E226" s="644">
        <f>SUM(C225:C228)</f>
        <v>220662600</v>
      </c>
      <c r="F226" s="956"/>
      <c r="G226" s="956"/>
      <c r="H226" s="956"/>
      <c r="I226" s="956"/>
      <c r="J226" s="956"/>
      <c r="K226" s="956"/>
      <c r="L226" s="956"/>
      <c r="M226" s="956"/>
      <c r="N226" s="956"/>
      <c r="O226" s="958"/>
      <c r="P226" s="958"/>
      <c r="Q226" s="958"/>
      <c r="R226" s="958"/>
      <c r="S226" s="958"/>
      <c r="T226" s="958"/>
      <c r="U226" s="958"/>
      <c r="V226" s="958"/>
      <c r="W226" s="958"/>
      <c r="X226" s="958"/>
      <c r="Y226" s="958"/>
      <c r="Z226" s="958"/>
    </row>
    <row r="227" ht="35.25" hidden="1" customHeight="1">
      <c r="A227" s="775"/>
      <c r="B227" s="993" t="s">
        <v>9</v>
      </c>
      <c r="C227" s="1003">
        <v>4.26165E7</v>
      </c>
      <c r="D227" s="776"/>
      <c r="E227" s="1011"/>
      <c r="F227" s="956"/>
      <c r="G227" s="956"/>
      <c r="H227" s="956"/>
      <c r="I227" s="956"/>
      <c r="J227" s="956"/>
      <c r="K227" s="956"/>
      <c r="L227" s="956"/>
      <c r="M227" s="956"/>
      <c r="N227" s="956"/>
      <c r="O227" s="958"/>
      <c r="P227" s="958"/>
      <c r="Q227" s="958"/>
      <c r="R227" s="958"/>
      <c r="S227" s="958"/>
      <c r="T227" s="958"/>
      <c r="U227" s="958"/>
      <c r="V227" s="958"/>
      <c r="W227" s="958"/>
      <c r="X227" s="958"/>
      <c r="Y227" s="958"/>
      <c r="Z227" s="958"/>
    </row>
    <row r="228" ht="35.25" hidden="1" customHeight="1">
      <c r="A228" s="775"/>
      <c r="B228" s="993" t="s">
        <v>10</v>
      </c>
      <c r="C228" s="999">
        <v>7.16336E7</v>
      </c>
      <c r="D228" s="776"/>
      <c r="E228" s="956"/>
      <c r="F228" s="956"/>
      <c r="G228" s="956"/>
      <c r="H228" s="956"/>
      <c r="I228" s="956"/>
      <c r="J228" s="956"/>
      <c r="K228" s="956"/>
      <c r="L228" s="956"/>
      <c r="M228" s="956"/>
      <c r="N228" s="956"/>
      <c r="O228" s="958"/>
      <c r="P228" s="958"/>
      <c r="Q228" s="958"/>
      <c r="R228" s="958"/>
      <c r="S228" s="958"/>
      <c r="T228" s="958"/>
      <c r="U228" s="958"/>
      <c r="V228" s="958"/>
      <c r="W228" s="958"/>
      <c r="X228" s="958"/>
      <c r="Y228" s="958"/>
      <c r="Z228" s="958"/>
    </row>
    <row r="229" ht="35.25" hidden="1" customHeight="1">
      <c r="A229" s="779"/>
      <c r="B229" s="989" t="s">
        <v>1120</v>
      </c>
      <c r="C229" s="1012" t="s">
        <v>1123</v>
      </c>
      <c r="D229" s="781"/>
      <c r="E229" s="956"/>
      <c r="F229" s="956"/>
      <c r="G229" s="956"/>
      <c r="H229" s="956"/>
      <c r="I229" s="956"/>
      <c r="J229" s="956"/>
      <c r="K229" s="956"/>
      <c r="L229" s="956"/>
      <c r="M229" s="956"/>
      <c r="N229" s="956"/>
      <c r="O229" s="958"/>
      <c r="P229" s="958"/>
      <c r="Q229" s="958"/>
      <c r="R229" s="958"/>
      <c r="S229" s="958"/>
      <c r="T229" s="958"/>
      <c r="U229" s="958"/>
      <c r="V229" s="958"/>
      <c r="W229" s="958"/>
      <c r="X229" s="958"/>
      <c r="Y229" s="958"/>
      <c r="Z229" s="958"/>
    </row>
    <row r="230" ht="35.25" hidden="1" customHeight="1">
      <c r="A230" s="1013" t="s">
        <v>634</v>
      </c>
      <c r="B230" s="1014" t="s">
        <v>88</v>
      </c>
      <c r="C230" s="598">
        <v>2.7793E7</v>
      </c>
      <c r="D230" s="808">
        <f>SUM(C230:C234)</f>
        <v>113799500</v>
      </c>
      <c r="E230" s="956"/>
      <c r="F230" s="956"/>
      <c r="G230" s="956"/>
      <c r="H230" s="956"/>
      <c r="I230" s="956"/>
      <c r="J230" s="956"/>
      <c r="K230" s="956"/>
      <c r="L230" s="956"/>
      <c r="M230" s="956"/>
      <c r="N230" s="956"/>
      <c r="O230" s="958"/>
      <c r="P230" s="958"/>
      <c r="Q230" s="958"/>
      <c r="R230" s="958"/>
      <c r="S230" s="958"/>
      <c r="T230" s="958"/>
      <c r="U230" s="958"/>
      <c r="V230" s="958"/>
      <c r="W230" s="958"/>
      <c r="X230" s="958"/>
      <c r="Y230" s="958"/>
      <c r="Z230" s="958"/>
    </row>
    <row r="231" ht="35.25" hidden="1" customHeight="1">
      <c r="A231" s="18"/>
      <c r="B231" s="960" t="s">
        <v>219</v>
      </c>
      <c r="C231" s="598">
        <v>2.99965E7</v>
      </c>
      <c r="D231" s="18"/>
      <c r="E231" s="968" t="s">
        <v>920</v>
      </c>
      <c r="F231" s="956"/>
      <c r="G231" s="956"/>
      <c r="H231" s="956"/>
      <c r="I231" s="956"/>
      <c r="J231" s="956"/>
      <c r="K231" s="956"/>
      <c r="L231" s="956"/>
      <c r="M231" s="956"/>
      <c r="N231" s="956"/>
      <c r="O231" s="958"/>
      <c r="P231" s="958"/>
      <c r="Q231" s="958"/>
      <c r="R231" s="958"/>
      <c r="S231" s="958"/>
      <c r="T231" s="958"/>
      <c r="U231" s="958"/>
      <c r="V231" s="958"/>
      <c r="W231" s="958"/>
      <c r="X231" s="958"/>
      <c r="Y231" s="958"/>
      <c r="Z231" s="958"/>
    </row>
    <row r="232" ht="35.25" hidden="1" customHeight="1">
      <c r="A232" s="18"/>
      <c r="B232" s="960" t="s">
        <v>89</v>
      </c>
      <c r="C232" s="598">
        <v>1.6204E7</v>
      </c>
      <c r="D232" s="18"/>
      <c r="E232" s="956"/>
      <c r="F232" s="956"/>
      <c r="G232" s="956"/>
      <c r="H232" s="956"/>
      <c r="I232" s="956"/>
      <c r="J232" s="956"/>
      <c r="K232" s="956"/>
      <c r="L232" s="956"/>
      <c r="M232" s="956"/>
      <c r="N232" s="956"/>
      <c r="O232" s="958"/>
      <c r="P232" s="958"/>
      <c r="Q232" s="958"/>
      <c r="R232" s="958"/>
      <c r="S232" s="958"/>
      <c r="T232" s="958"/>
      <c r="U232" s="958"/>
      <c r="V232" s="958"/>
      <c r="W232" s="958"/>
      <c r="X232" s="958"/>
      <c r="Y232" s="958"/>
      <c r="Z232" s="958"/>
    </row>
    <row r="233" ht="35.25" hidden="1" customHeight="1">
      <c r="A233" s="18"/>
      <c r="B233" s="960" t="s">
        <v>220</v>
      </c>
      <c r="C233" s="598">
        <v>2.4671E7</v>
      </c>
      <c r="D233" s="18"/>
      <c r="E233" s="956"/>
      <c r="F233" s="956"/>
      <c r="G233" s="956"/>
      <c r="H233" s="956"/>
      <c r="I233" s="956"/>
      <c r="J233" s="956"/>
      <c r="K233" s="956"/>
      <c r="L233" s="956"/>
      <c r="M233" s="956"/>
      <c r="N233" s="956"/>
      <c r="O233" s="958"/>
      <c r="P233" s="958"/>
      <c r="Q233" s="958"/>
      <c r="R233" s="958"/>
      <c r="S233" s="958"/>
      <c r="T233" s="958"/>
      <c r="U233" s="958"/>
      <c r="V233" s="958"/>
      <c r="W233" s="958"/>
      <c r="X233" s="958"/>
      <c r="Y233" s="958"/>
      <c r="Z233" s="958"/>
    </row>
    <row r="234" ht="35.25" hidden="1" customHeight="1">
      <c r="A234" s="22"/>
      <c r="B234" s="960" t="s">
        <v>697</v>
      </c>
      <c r="C234" s="598">
        <v>1.5135E7</v>
      </c>
      <c r="D234" s="22"/>
      <c r="E234" s="956"/>
      <c r="F234" s="956"/>
      <c r="G234" s="956"/>
      <c r="H234" s="956"/>
      <c r="I234" s="956"/>
      <c r="J234" s="956"/>
      <c r="K234" s="956"/>
      <c r="L234" s="956"/>
      <c r="M234" s="956"/>
      <c r="N234" s="956"/>
      <c r="O234" s="958"/>
      <c r="P234" s="958"/>
      <c r="Q234" s="958"/>
      <c r="R234" s="958"/>
      <c r="S234" s="958"/>
      <c r="T234" s="958"/>
      <c r="U234" s="958"/>
      <c r="V234" s="958"/>
      <c r="W234" s="958"/>
      <c r="X234" s="958"/>
      <c r="Y234" s="958"/>
      <c r="Z234" s="958"/>
    </row>
    <row r="235" ht="35.25" hidden="1" customHeight="1">
      <c r="A235" s="1015" t="s">
        <v>635</v>
      </c>
      <c r="B235" s="960" t="s">
        <v>88</v>
      </c>
      <c r="C235" s="598">
        <v>0.0</v>
      </c>
      <c r="D235" s="680">
        <f>SUM(C235:C238)</f>
        <v>69599000</v>
      </c>
      <c r="E235" s="956"/>
      <c r="F235" s="956"/>
      <c r="G235" s="956"/>
      <c r="H235" s="956"/>
      <c r="I235" s="956"/>
      <c r="J235" s="956"/>
      <c r="K235" s="956"/>
      <c r="L235" s="956"/>
      <c r="M235" s="956"/>
      <c r="N235" s="956"/>
      <c r="O235" s="958"/>
      <c r="P235" s="958"/>
      <c r="Q235" s="958"/>
      <c r="R235" s="958"/>
      <c r="S235" s="958"/>
      <c r="T235" s="958"/>
      <c r="U235" s="958"/>
      <c r="V235" s="958"/>
      <c r="W235" s="958"/>
      <c r="X235" s="958"/>
      <c r="Y235" s="958"/>
      <c r="Z235" s="958"/>
    </row>
    <row r="236" ht="35.25" hidden="1" customHeight="1">
      <c r="A236" s="18"/>
      <c r="B236" s="960" t="s">
        <v>219</v>
      </c>
      <c r="C236" s="598">
        <v>3.8769E7</v>
      </c>
      <c r="D236" s="18"/>
      <c r="E236" s="956"/>
      <c r="F236" s="956"/>
      <c r="G236" s="956"/>
      <c r="H236" s="956"/>
      <c r="I236" s="956"/>
      <c r="J236" s="956"/>
      <c r="K236" s="956"/>
      <c r="L236" s="956"/>
      <c r="M236" s="956"/>
      <c r="N236" s="956"/>
      <c r="O236" s="958"/>
      <c r="P236" s="958"/>
      <c r="Q236" s="958"/>
      <c r="R236" s="958"/>
      <c r="S236" s="958"/>
      <c r="T236" s="958"/>
      <c r="U236" s="958"/>
      <c r="V236" s="958"/>
      <c r="W236" s="958"/>
      <c r="X236" s="958"/>
      <c r="Y236" s="958"/>
      <c r="Z236" s="958"/>
    </row>
    <row r="237" ht="35.25" hidden="1" customHeight="1">
      <c r="A237" s="18"/>
      <c r="B237" s="960" t="s">
        <v>89</v>
      </c>
      <c r="C237" s="598">
        <v>0.0</v>
      </c>
      <c r="D237" s="18"/>
      <c r="E237" s="968" t="s">
        <v>921</v>
      </c>
      <c r="F237" s="956"/>
      <c r="G237" s="956"/>
      <c r="H237" s="956"/>
      <c r="I237" s="956"/>
      <c r="J237" s="956"/>
      <c r="K237" s="956"/>
      <c r="L237" s="956"/>
      <c r="M237" s="956"/>
      <c r="N237" s="956"/>
      <c r="O237" s="958"/>
      <c r="P237" s="958"/>
      <c r="Q237" s="958"/>
      <c r="R237" s="958"/>
      <c r="S237" s="958"/>
      <c r="T237" s="958"/>
      <c r="U237" s="958"/>
      <c r="V237" s="958"/>
      <c r="W237" s="958"/>
      <c r="X237" s="958"/>
      <c r="Y237" s="958"/>
      <c r="Z237" s="958"/>
    </row>
    <row r="238" ht="35.25" hidden="1" customHeight="1">
      <c r="A238" s="22"/>
      <c r="B238" s="960" t="s">
        <v>220</v>
      </c>
      <c r="C238" s="598">
        <v>3.083E7</v>
      </c>
      <c r="D238" s="22"/>
      <c r="E238" s="956"/>
      <c r="F238" s="956"/>
      <c r="G238" s="956"/>
      <c r="H238" s="956"/>
      <c r="I238" s="956"/>
      <c r="J238" s="956"/>
      <c r="K238" s="956"/>
      <c r="L238" s="956"/>
      <c r="M238" s="956"/>
      <c r="N238" s="956"/>
      <c r="O238" s="958"/>
      <c r="P238" s="958"/>
      <c r="Q238" s="958"/>
      <c r="R238" s="958"/>
      <c r="S238" s="958"/>
      <c r="T238" s="958"/>
      <c r="U238" s="958"/>
      <c r="V238" s="958"/>
      <c r="W238" s="958"/>
      <c r="X238" s="958"/>
      <c r="Y238" s="958"/>
      <c r="Z238" s="958"/>
    </row>
    <row r="239" ht="35.25" hidden="1" customHeight="1">
      <c r="A239" s="1015" t="s">
        <v>636</v>
      </c>
      <c r="B239" s="1016" t="s">
        <v>1124</v>
      </c>
      <c r="C239" s="707">
        <v>1.38425E8</v>
      </c>
      <c r="D239" s="680">
        <f>SUM(C239:C241)</f>
        <v>138425000</v>
      </c>
      <c r="E239" s="956"/>
      <c r="F239" s="956"/>
      <c r="G239" s="956"/>
      <c r="H239" s="956"/>
      <c r="I239" s="956"/>
      <c r="J239" s="956"/>
      <c r="K239" s="956"/>
      <c r="L239" s="956"/>
      <c r="M239" s="956"/>
      <c r="N239" s="956"/>
      <c r="O239" s="958"/>
      <c r="P239" s="958"/>
      <c r="Q239" s="958"/>
      <c r="R239" s="958"/>
      <c r="S239" s="958"/>
      <c r="T239" s="958"/>
      <c r="U239" s="958"/>
      <c r="V239" s="958"/>
      <c r="W239" s="958"/>
      <c r="X239" s="958"/>
      <c r="Y239" s="958"/>
      <c r="Z239" s="958"/>
    </row>
    <row r="240" ht="35.25" hidden="1" customHeight="1">
      <c r="A240" s="18"/>
      <c r="B240" s="960"/>
      <c r="C240" s="598"/>
      <c r="D240" s="18"/>
      <c r="E240" s="968" t="s">
        <v>924</v>
      </c>
      <c r="F240" s="956"/>
      <c r="G240" s="956"/>
      <c r="H240" s="956"/>
      <c r="I240" s="956"/>
      <c r="J240" s="956"/>
      <c r="K240" s="956"/>
      <c r="L240" s="956"/>
      <c r="M240" s="956"/>
      <c r="N240" s="956"/>
      <c r="O240" s="958"/>
      <c r="P240" s="958"/>
      <c r="Q240" s="958"/>
      <c r="R240" s="958"/>
      <c r="S240" s="958"/>
      <c r="T240" s="958"/>
      <c r="U240" s="958"/>
      <c r="V240" s="958"/>
      <c r="W240" s="958"/>
      <c r="X240" s="958"/>
      <c r="Y240" s="958"/>
      <c r="Z240" s="958"/>
    </row>
    <row r="241" ht="35.25" hidden="1" customHeight="1">
      <c r="A241" s="22"/>
      <c r="B241" s="960"/>
      <c r="C241" s="598"/>
      <c r="D241" s="22"/>
      <c r="E241" s="956"/>
      <c r="F241" s="956"/>
      <c r="G241" s="956"/>
      <c r="H241" s="956"/>
      <c r="I241" s="956"/>
      <c r="J241" s="956"/>
      <c r="K241" s="956"/>
      <c r="L241" s="956"/>
      <c r="M241" s="956"/>
      <c r="N241" s="956"/>
      <c r="O241" s="958"/>
      <c r="P241" s="958"/>
      <c r="Q241" s="958"/>
      <c r="R241" s="958"/>
      <c r="S241" s="958"/>
      <c r="T241" s="958"/>
      <c r="U241" s="958"/>
      <c r="V241" s="958"/>
      <c r="W241" s="958"/>
      <c r="X241" s="958"/>
      <c r="Y241" s="958"/>
      <c r="Z241" s="958"/>
    </row>
    <row r="242" ht="35.25" hidden="1" customHeight="1">
      <c r="A242" s="1015" t="s">
        <v>643</v>
      </c>
      <c r="B242" s="1014" t="s">
        <v>88</v>
      </c>
      <c r="C242" s="598">
        <f>34871000-66000</f>
        <v>34805000</v>
      </c>
      <c r="D242" s="680">
        <f>SUM(C242:C246)</f>
        <v>157142500</v>
      </c>
      <c r="E242" s="968"/>
      <c r="F242" s="956"/>
      <c r="G242" s="956"/>
      <c r="H242" s="956"/>
      <c r="I242" s="956"/>
      <c r="J242" s="956"/>
      <c r="K242" s="956"/>
      <c r="L242" s="956"/>
      <c r="M242" s="956"/>
      <c r="N242" s="956"/>
      <c r="O242" s="958"/>
      <c r="P242" s="958"/>
      <c r="Q242" s="958"/>
      <c r="R242" s="958"/>
      <c r="S242" s="958"/>
      <c r="T242" s="958"/>
      <c r="U242" s="958"/>
      <c r="V242" s="958"/>
      <c r="W242" s="958"/>
      <c r="X242" s="958"/>
      <c r="Y242" s="958"/>
      <c r="Z242" s="958"/>
    </row>
    <row r="243" ht="35.25" hidden="1" customHeight="1">
      <c r="A243" s="18"/>
      <c r="B243" s="960" t="s">
        <v>219</v>
      </c>
      <c r="C243" s="598">
        <f>31477000-60000</f>
        <v>31417000</v>
      </c>
      <c r="D243" s="18"/>
      <c r="E243" s="968" t="s">
        <v>926</v>
      </c>
      <c r="F243" s="956"/>
      <c r="G243" s="956"/>
      <c r="H243" s="956"/>
      <c r="I243" s="956"/>
      <c r="J243" s="956"/>
      <c r="K243" s="956"/>
      <c r="L243" s="956"/>
      <c r="M243" s="956"/>
      <c r="N243" s="956"/>
      <c r="O243" s="958"/>
      <c r="P243" s="958"/>
      <c r="Q243" s="958"/>
      <c r="R243" s="958"/>
      <c r="S243" s="958"/>
      <c r="T243" s="958"/>
      <c r="U243" s="958"/>
      <c r="V243" s="958"/>
      <c r="W243" s="958"/>
      <c r="X243" s="958"/>
      <c r="Y243" s="958"/>
      <c r="Z243" s="958"/>
    </row>
    <row r="244" ht="35.25" hidden="1" customHeight="1">
      <c r="A244" s="18"/>
      <c r="B244" s="960" t="s">
        <v>89</v>
      </c>
      <c r="C244" s="598">
        <f>22808000-45000</f>
        <v>22763000</v>
      </c>
      <c r="D244" s="18"/>
      <c r="E244" s="968"/>
      <c r="F244" s="956"/>
      <c r="G244" s="956"/>
      <c r="H244" s="956"/>
      <c r="I244" s="956"/>
      <c r="J244" s="956"/>
      <c r="K244" s="956"/>
      <c r="L244" s="956"/>
      <c r="M244" s="956"/>
      <c r="N244" s="956"/>
      <c r="O244" s="958"/>
      <c r="P244" s="958"/>
      <c r="Q244" s="958"/>
      <c r="R244" s="958"/>
      <c r="S244" s="958"/>
      <c r="T244" s="958"/>
      <c r="U244" s="958"/>
      <c r="V244" s="958"/>
      <c r="W244" s="958"/>
      <c r="X244" s="958"/>
      <c r="Y244" s="958"/>
      <c r="Z244" s="958"/>
    </row>
    <row r="245" ht="35.25" hidden="1" customHeight="1">
      <c r="A245" s="18"/>
      <c r="B245" s="960" t="s">
        <v>220</v>
      </c>
      <c r="C245" s="598">
        <f>37049500-16*3000-70000</f>
        <v>36931500</v>
      </c>
      <c r="D245" s="18"/>
      <c r="E245" s="968"/>
      <c r="F245" s="956"/>
      <c r="G245" s="956"/>
      <c r="H245" s="956"/>
      <c r="I245" s="956"/>
      <c r="J245" s="956"/>
      <c r="K245" s="956"/>
      <c r="L245" s="956"/>
      <c r="M245" s="956"/>
      <c r="N245" s="956"/>
      <c r="O245" s="958"/>
      <c r="P245" s="958"/>
      <c r="Q245" s="958"/>
      <c r="R245" s="958"/>
      <c r="S245" s="958"/>
      <c r="T245" s="958"/>
      <c r="U245" s="958"/>
      <c r="V245" s="958"/>
      <c r="W245" s="958"/>
      <c r="X245" s="958"/>
      <c r="Y245" s="958"/>
      <c r="Z245" s="958"/>
    </row>
    <row r="246" ht="35.25" hidden="1" customHeight="1">
      <c r="A246" s="22"/>
      <c r="B246" s="960" t="s">
        <v>697</v>
      </c>
      <c r="C246" s="598">
        <f>32443000-1217000</f>
        <v>31226000</v>
      </c>
      <c r="D246" s="22"/>
      <c r="E246" s="968">
        <f>1080+95+42</f>
        <v>1217</v>
      </c>
      <c r="F246" s="956"/>
      <c r="G246" s="956"/>
      <c r="H246" s="956"/>
      <c r="I246" s="956"/>
      <c r="J246" s="956"/>
      <c r="K246" s="956"/>
      <c r="L246" s="956"/>
      <c r="M246" s="956"/>
      <c r="N246" s="956"/>
      <c r="O246" s="958"/>
      <c r="P246" s="958"/>
      <c r="Q246" s="958"/>
      <c r="R246" s="958"/>
      <c r="S246" s="958"/>
      <c r="T246" s="958"/>
      <c r="U246" s="958"/>
      <c r="V246" s="958"/>
      <c r="W246" s="958"/>
      <c r="X246" s="958"/>
      <c r="Y246" s="958"/>
      <c r="Z246" s="958"/>
    </row>
    <row r="247" ht="35.25" hidden="1" customHeight="1">
      <c r="A247" s="1015" t="s">
        <v>60</v>
      </c>
      <c r="B247" s="1014" t="s">
        <v>1125</v>
      </c>
      <c r="C247" s="598" t="s">
        <v>7</v>
      </c>
      <c r="D247" s="680">
        <f>sum(C247:C251)</f>
        <v>157097500</v>
      </c>
      <c r="E247" s="968"/>
      <c r="F247" s="956"/>
      <c r="G247" s="956"/>
      <c r="H247" s="956"/>
      <c r="I247" s="956"/>
      <c r="J247" s="956"/>
      <c r="K247" s="956"/>
      <c r="L247" s="956"/>
      <c r="M247" s="956"/>
      <c r="N247" s="956"/>
      <c r="O247" s="958"/>
      <c r="P247" s="958"/>
      <c r="Q247" s="958"/>
      <c r="R247" s="958"/>
      <c r="S247" s="958"/>
      <c r="T247" s="958"/>
      <c r="U247" s="958"/>
      <c r="V247" s="958"/>
      <c r="W247" s="958"/>
      <c r="X247" s="958"/>
      <c r="Y247" s="958"/>
      <c r="Z247" s="958"/>
    </row>
    <row r="248" ht="35.25" hidden="1" customHeight="1">
      <c r="A248" s="18"/>
      <c r="B248" s="960" t="s">
        <v>219</v>
      </c>
      <c r="C248" s="598" t="s">
        <v>7</v>
      </c>
      <c r="D248" s="18"/>
      <c r="E248" s="968"/>
      <c r="F248" s="956"/>
      <c r="G248" s="956"/>
      <c r="H248" s="956"/>
      <c r="I248" s="956"/>
      <c r="J248" s="956"/>
      <c r="K248" s="956"/>
      <c r="L248" s="956"/>
      <c r="M248" s="956"/>
      <c r="N248" s="956"/>
      <c r="O248" s="958"/>
      <c r="P248" s="958"/>
      <c r="Q248" s="958"/>
      <c r="R248" s="958"/>
      <c r="S248" s="958"/>
      <c r="T248" s="958"/>
      <c r="U248" s="958"/>
      <c r="V248" s="958"/>
      <c r="W248" s="958"/>
      <c r="X248" s="958"/>
      <c r="Y248" s="958"/>
      <c r="Z248" s="958"/>
    </row>
    <row r="249" ht="35.25" hidden="1" customHeight="1">
      <c r="A249" s="18"/>
      <c r="B249" s="960" t="s">
        <v>89</v>
      </c>
      <c r="C249" s="598" t="s">
        <v>7</v>
      </c>
      <c r="D249" s="18"/>
      <c r="E249" s="968" t="s">
        <v>927</v>
      </c>
      <c r="F249" s="956"/>
      <c r="G249" s="956"/>
      <c r="H249" s="956"/>
      <c r="I249" s="956"/>
      <c r="J249" s="956"/>
      <c r="K249" s="956"/>
      <c r="L249" s="956"/>
      <c r="M249" s="956"/>
      <c r="N249" s="956"/>
      <c r="O249" s="958"/>
      <c r="P249" s="958"/>
      <c r="Q249" s="958"/>
      <c r="R249" s="958"/>
      <c r="S249" s="958"/>
      <c r="T249" s="958"/>
      <c r="U249" s="958"/>
      <c r="V249" s="958"/>
      <c r="W249" s="958"/>
      <c r="X249" s="958"/>
      <c r="Y249" s="958"/>
      <c r="Z249" s="958"/>
    </row>
    <row r="250" ht="35.25" hidden="1" customHeight="1">
      <c r="A250" s="18"/>
      <c r="B250" s="960" t="s">
        <v>220</v>
      </c>
      <c r="C250" s="598">
        <f>57052500-180000</f>
        <v>56872500</v>
      </c>
      <c r="D250" s="18"/>
      <c r="E250" s="968"/>
      <c r="F250" s="956"/>
      <c r="G250" s="956"/>
      <c r="H250" s="956"/>
      <c r="I250" s="956"/>
      <c r="J250" s="956"/>
      <c r="K250" s="956"/>
      <c r="L250" s="956"/>
      <c r="M250" s="956"/>
      <c r="N250" s="956"/>
      <c r="O250" s="958"/>
      <c r="P250" s="958"/>
      <c r="Q250" s="958"/>
      <c r="R250" s="958"/>
      <c r="S250" s="958"/>
      <c r="T250" s="958"/>
      <c r="U250" s="958"/>
      <c r="V250" s="958"/>
      <c r="W250" s="958"/>
      <c r="X250" s="958"/>
      <c r="Y250" s="958"/>
      <c r="Z250" s="958"/>
    </row>
    <row r="251" ht="35.25" hidden="1" customHeight="1">
      <c r="A251" s="22"/>
      <c r="B251" s="1016" t="s">
        <v>1124</v>
      </c>
      <c r="C251" s="707">
        <v>1.00225E8</v>
      </c>
      <c r="D251" s="22"/>
      <c r="E251" s="968"/>
      <c r="F251" s="956"/>
      <c r="G251" s="956"/>
      <c r="H251" s="956"/>
      <c r="I251" s="956"/>
      <c r="J251" s="956"/>
      <c r="K251" s="956"/>
      <c r="L251" s="956"/>
      <c r="M251" s="956"/>
      <c r="N251" s="956"/>
      <c r="O251" s="958"/>
      <c r="P251" s="958"/>
      <c r="Q251" s="958"/>
      <c r="R251" s="958"/>
      <c r="S251" s="958"/>
      <c r="T251" s="958"/>
      <c r="U251" s="958"/>
      <c r="V251" s="958"/>
      <c r="W251" s="958"/>
      <c r="X251" s="958"/>
      <c r="Y251" s="958"/>
      <c r="Z251" s="958"/>
    </row>
    <row r="252" ht="35.25" hidden="1" customHeight="1">
      <c r="A252" s="1015" t="s">
        <v>714</v>
      </c>
      <c r="B252" s="960" t="s">
        <v>220</v>
      </c>
      <c r="C252" s="598">
        <f>17968000-102000</f>
        <v>17866000</v>
      </c>
      <c r="D252" s="680">
        <f>SUM(C252:C255)</f>
        <v>82641000</v>
      </c>
      <c r="E252" s="968"/>
      <c r="F252" s="956"/>
      <c r="G252" s="956"/>
      <c r="H252" s="956"/>
      <c r="I252" s="956"/>
      <c r="J252" s="956"/>
      <c r="K252" s="956"/>
      <c r="L252" s="956"/>
      <c r="M252" s="956"/>
      <c r="N252" s="956"/>
      <c r="O252" s="958"/>
      <c r="P252" s="958"/>
      <c r="Q252" s="958"/>
      <c r="R252" s="958"/>
      <c r="S252" s="958"/>
      <c r="T252" s="958"/>
      <c r="U252" s="958"/>
      <c r="V252" s="958"/>
      <c r="W252" s="958"/>
      <c r="X252" s="958"/>
      <c r="Y252" s="958"/>
      <c r="Z252" s="958"/>
    </row>
    <row r="253" ht="35.25" hidden="1" customHeight="1">
      <c r="A253" s="18"/>
      <c r="B253" s="1016" t="s">
        <v>1124</v>
      </c>
      <c r="C253" s="707">
        <v>6.4775E7</v>
      </c>
      <c r="D253" s="18"/>
      <c r="E253" s="968" t="s">
        <v>928</v>
      </c>
      <c r="F253" s="956"/>
      <c r="G253" s="956"/>
      <c r="H253" s="956"/>
      <c r="I253" s="956"/>
      <c r="J253" s="956"/>
      <c r="K253" s="956"/>
      <c r="L253" s="956"/>
      <c r="M253" s="956"/>
      <c r="N253" s="956"/>
      <c r="O253" s="958"/>
      <c r="P253" s="958"/>
      <c r="Q253" s="958"/>
      <c r="R253" s="958"/>
      <c r="S253" s="958"/>
      <c r="T253" s="958"/>
      <c r="U253" s="958"/>
      <c r="V253" s="958"/>
      <c r="W253" s="958"/>
      <c r="X253" s="958"/>
      <c r="Y253" s="958"/>
      <c r="Z253" s="958"/>
    </row>
    <row r="254" ht="35.25" hidden="1" customHeight="1">
      <c r="A254" s="18"/>
      <c r="B254" s="960"/>
      <c r="C254" s="598"/>
      <c r="D254" s="18"/>
      <c r="E254" s="968">
        <f>14*3+50</f>
        <v>92</v>
      </c>
      <c r="F254" s="956"/>
      <c r="G254" s="956"/>
      <c r="H254" s="956"/>
      <c r="I254" s="956"/>
      <c r="J254" s="956"/>
      <c r="K254" s="956"/>
      <c r="L254" s="956"/>
      <c r="M254" s="956"/>
      <c r="N254" s="956"/>
      <c r="O254" s="958"/>
      <c r="P254" s="958"/>
      <c r="Q254" s="958"/>
      <c r="R254" s="958"/>
      <c r="S254" s="958"/>
      <c r="T254" s="958"/>
      <c r="U254" s="958"/>
      <c r="V254" s="958"/>
      <c r="W254" s="958"/>
      <c r="X254" s="958"/>
      <c r="Y254" s="958"/>
      <c r="Z254" s="958"/>
    </row>
    <row r="255" ht="35.25" hidden="1" customHeight="1">
      <c r="A255" s="18"/>
      <c r="B255" s="960"/>
      <c r="C255" s="598"/>
      <c r="D255" s="18"/>
      <c r="E255" s="968"/>
      <c r="F255" s="956"/>
      <c r="G255" s="956"/>
      <c r="H255" s="956"/>
      <c r="I255" s="956"/>
      <c r="J255" s="956"/>
      <c r="K255" s="956"/>
      <c r="L255" s="956"/>
      <c r="M255" s="956"/>
      <c r="N255" s="956"/>
      <c r="O255" s="958"/>
      <c r="P255" s="958"/>
      <c r="Q255" s="958"/>
      <c r="R255" s="958"/>
      <c r="S255" s="958"/>
      <c r="T255" s="958"/>
      <c r="U255" s="958"/>
      <c r="V255" s="958"/>
      <c r="W255" s="958"/>
      <c r="X255" s="958"/>
      <c r="Y255" s="958"/>
      <c r="Z255" s="958"/>
    </row>
    <row r="256" ht="35.25" hidden="1" customHeight="1">
      <c r="A256" s="1015" t="s">
        <v>716</v>
      </c>
      <c r="B256" s="960" t="s">
        <v>88</v>
      </c>
      <c r="C256" s="598">
        <v>7.76445E7</v>
      </c>
      <c r="D256" s="680">
        <f>SUM(C256:C259)</f>
        <v>279906000</v>
      </c>
      <c r="E256" s="968"/>
      <c r="F256" s="956"/>
      <c r="G256" s="956"/>
      <c r="H256" s="956"/>
      <c r="I256" s="956"/>
      <c r="J256" s="956"/>
      <c r="K256" s="956"/>
      <c r="L256" s="956"/>
      <c r="M256" s="956"/>
      <c r="N256" s="956"/>
      <c r="O256" s="958"/>
      <c r="P256" s="958"/>
      <c r="Q256" s="958"/>
      <c r="R256" s="958"/>
      <c r="S256" s="958"/>
      <c r="T256" s="958"/>
      <c r="U256" s="958"/>
      <c r="V256" s="958"/>
      <c r="W256" s="958"/>
      <c r="X256" s="958"/>
      <c r="Y256" s="958"/>
      <c r="Z256" s="958"/>
    </row>
    <row r="257" ht="35.25" hidden="1" customHeight="1">
      <c r="A257" s="18"/>
      <c r="B257" s="960" t="s">
        <v>219</v>
      </c>
      <c r="C257" s="598">
        <v>1.02754E8</v>
      </c>
      <c r="D257" s="18"/>
      <c r="E257" s="968"/>
      <c r="F257" s="956"/>
      <c r="G257" s="956"/>
      <c r="H257" s="956"/>
      <c r="I257" s="956"/>
      <c r="J257" s="956"/>
      <c r="K257" s="956"/>
      <c r="L257" s="956"/>
      <c r="M257" s="956"/>
      <c r="N257" s="956"/>
      <c r="O257" s="958"/>
      <c r="P257" s="958"/>
      <c r="Q257" s="958"/>
      <c r="R257" s="958"/>
      <c r="S257" s="958"/>
      <c r="T257" s="958"/>
      <c r="U257" s="958"/>
      <c r="V257" s="958"/>
      <c r="W257" s="958"/>
      <c r="X257" s="958"/>
      <c r="Y257" s="958"/>
      <c r="Z257" s="958"/>
    </row>
    <row r="258" ht="35.25" hidden="1" customHeight="1">
      <c r="A258" s="18"/>
      <c r="B258" s="960" t="s">
        <v>89</v>
      </c>
      <c r="C258" s="598">
        <f>62087500-90000</f>
        <v>61997500</v>
      </c>
      <c r="D258" s="18"/>
      <c r="E258" s="968" t="s">
        <v>929</v>
      </c>
      <c r="F258" s="956"/>
      <c r="G258" s="956"/>
      <c r="H258" s="956"/>
      <c r="I258" s="956"/>
      <c r="J258" s="956"/>
      <c r="K258" s="956"/>
      <c r="L258" s="956"/>
      <c r="M258" s="956"/>
      <c r="N258" s="956"/>
      <c r="O258" s="958"/>
      <c r="P258" s="958"/>
      <c r="Q258" s="958"/>
      <c r="R258" s="958"/>
      <c r="S258" s="958"/>
      <c r="T258" s="958"/>
      <c r="U258" s="958"/>
      <c r="V258" s="958"/>
      <c r="W258" s="958"/>
      <c r="X258" s="958"/>
      <c r="Y258" s="958"/>
      <c r="Z258" s="958"/>
    </row>
    <row r="259" ht="35.25" hidden="1" customHeight="1">
      <c r="A259" s="22"/>
      <c r="B259" s="960" t="s">
        <v>220</v>
      </c>
      <c r="C259" s="598">
        <v>3.751E7</v>
      </c>
      <c r="D259" s="22"/>
      <c r="E259" s="968"/>
      <c r="F259" s="956"/>
      <c r="G259" s="956"/>
      <c r="H259" s="956"/>
      <c r="I259" s="956"/>
      <c r="J259" s="956"/>
      <c r="K259" s="956"/>
      <c r="L259" s="956"/>
      <c r="M259" s="956"/>
      <c r="N259" s="956"/>
      <c r="O259" s="958"/>
      <c r="P259" s="958"/>
      <c r="Q259" s="958"/>
      <c r="R259" s="958"/>
      <c r="S259" s="958"/>
      <c r="T259" s="958"/>
      <c r="U259" s="958"/>
      <c r="V259" s="958"/>
      <c r="W259" s="958"/>
      <c r="X259" s="958"/>
      <c r="Y259" s="958"/>
      <c r="Z259" s="958"/>
    </row>
    <row r="260" ht="35.25" hidden="1" customHeight="1">
      <c r="A260" s="1015" t="s">
        <v>718</v>
      </c>
      <c r="B260" s="1014" t="s">
        <v>88</v>
      </c>
      <c r="C260" s="598">
        <v>3.272E7</v>
      </c>
      <c r="D260" s="680">
        <f>SUM(C260:C264)</f>
        <v>101676000</v>
      </c>
      <c r="E260" s="968"/>
      <c r="F260" s="956"/>
      <c r="G260" s="956"/>
      <c r="H260" s="956"/>
      <c r="I260" s="956"/>
      <c r="J260" s="956"/>
      <c r="K260" s="956"/>
      <c r="L260" s="956"/>
      <c r="M260" s="956"/>
      <c r="N260" s="956"/>
      <c r="O260" s="958"/>
      <c r="P260" s="958"/>
      <c r="Q260" s="958"/>
      <c r="R260" s="958"/>
      <c r="S260" s="958"/>
      <c r="T260" s="958"/>
      <c r="U260" s="958"/>
      <c r="V260" s="958"/>
      <c r="W260" s="958"/>
      <c r="X260" s="958"/>
      <c r="Y260" s="958"/>
      <c r="Z260" s="958"/>
    </row>
    <row r="261" ht="35.25" hidden="1" customHeight="1">
      <c r="A261" s="18"/>
      <c r="B261" s="960" t="s">
        <v>219</v>
      </c>
      <c r="C261" s="598">
        <v>1.7585E7</v>
      </c>
      <c r="D261" s="18"/>
      <c r="E261" s="968" t="s">
        <v>930</v>
      </c>
      <c r="F261" s="956"/>
      <c r="G261" s="956"/>
      <c r="H261" s="956"/>
      <c r="I261" s="956"/>
      <c r="J261" s="956"/>
      <c r="K261" s="956"/>
      <c r="L261" s="956"/>
      <c r="M261" s="956"/>
      <c r="N261" s="956"/>
      <c r="O261" s="958"/>
      <c r="P261" s="958"/>
      <c r="Q261" s="958"/>
      <c r="R261" s="958"/>
      <c r="S261" s="958"/>
      <c r="T261" s="958"/>
      <c r="U261" s="958"/>
      <c r="V261" s="958"/>
      <c r="W261" s="958"/>
      <c r="X261" s="958"/>
      <c r="Y261" s="958"/>
      <c r="Z261" s="958"/>
    </row>
    <row r="262" ht="35.25" hidden="1" customHeight="1">
      <c r="A262" s="18"/>
      <c r="B262" s="960" t="s">
        <v>89</v>
      </c>
      <c r="C262" s="598">
        <f>13845000-120000</f>
        <v>13725000</v>
      </c>
      <c r="D262" s="18"/>
      <c r="E262" s="968"/>
      <c r="F262" s="956"/>
      <c r="G262" s="956"/>
      <c r="H262" s="956"/>
      <c r="I262" s="956"/>
      <c r="J262" s="956"/>
      <c r="K262" s="956"/>
      <c r="L262" s="956"/>
      <c r="M262" s="956"/>
      <c r="N262" s="956"/>
      <c r="O262" s="958"/>
      <c r="P262" s="958"/>
      <c r="Q262" s="958"/>
      <c r="R262" s="958"/>
      <c r="S262" s="958"/>
      <c r="T262" s="958"/>
      <c r="U262" s="958"/>
      <c r="V262" s="958"/>
      <c r="W262" s="958"/>
      <c r="X262" s="958"/>
      <c r="Y262" s="958"/>
      <c r="Z262" s="958"/>
    </row>
    <row r="263" ht="35.25" hidden="1" customHeight="1">
      <c r="A263" s="18"/>
      <c r="B263" s="960" t="s">
        <v>220</v>
      </c>
      <c r="C263" s="598">
        <v>1.8891E7</v>
      </c>
      <c r="D263" s="18"/>
      <c r="E263" s="968"/>
      <c r="F263" s="956"/>
      <c r="G263" s="956"/>
      <c r="H263" s="956"/>
      <c r="I263" s="956"/>
      <c r="J263" s="956"/>
      <c r="K263" s="956"/>
      <c r="L263" s="956"/>
      <c r="M263" s="956"/>
      <c r="N263" s="956"/>
      <c r="O263" s="958"/>
      <c r="P263" s="958"/>
      <c r="Q263" s="958"/>
      <c r="R263" s="958"/>
      <c r="S263" s="958"/>
      <c r="T263" s="958"/>
      <c r="U263" s="958"/>
      <c r="V263" s="958"/>
      <c r="W263" s="958"/>
      <c r="X263" s="958"/>
      <c r="Y263" s="958"/>
      <c r="Z263" s="958"/>
    </row>
    <row r="264" ht="35.25" hidden="1" customHeight="1">
      <c r="A264" s="22"/>
      <c r="B264" s="960" t="s">
        <v>697</v>
      </c>
      <c r="C264" s="598">
        <v>1.8755E7</v>
      </c>
      <c r="D264" s="22"/>
      <c r="E264" s="968"/>
      <c r="F264" s="956"/>
      <c r="G264" s="956"/>
      <c r="H264" s="956"/>
      <c r="I264" s="956"/>
      <c r="J264" s="956"/>
      <c r="K264" s="956"/>
      <c r="L264" s="956"/>
      <c r="M264" s="956"/>
      <c r="N264" s="956"/>
      <c r="O264" s="958"/>
      <c r="P264" s="958"/>
      <c r="Q264" s="958"/>
      <c r="R264" s="958"/>
      <c r="S264" s="958"/>
      <c r="T264" s="958"/>
      <c r="U264" s="958"/>
      <c r="V264" s="958"/>
      <c r="W264" s="958"/>
      <c r="X264" s="958"/>
      <c r="Y264" s="958"/>
      <c r="Z264" s="958"/>
    </row>
    <row r="265" ht="35.25" hidden="1" customHeight="1">
      <c r="A265" s="1015" t="s">
        <v>719</v>
      </c>
      <c r="B265" s="960" t="s">
        <v>228</v>
      </c>
      <c r="C265" s="598">
        <v>2200000.0</v>
      </c>
      <c r="D265" s="680">
        <f>SUM(C265:C268)</f>
        <v>43158000</v>
      </c>
      <c r="E265" s="968"/>
      <c r="F265" s="956"/>
      <c r="G265" s="956"/>
      <c r="H265" s="956"/>
      <c r="I265" s="956"/>
      <c r="J265" s="956"/>
      <c r="K265" s="956"/>
      <c r="L265" s="956"/>
      <c r="M265" s="956"/>
      <c r="N265" s="956"/>
      <c r="O265" s="958"/>
      <c r="P265" s="958"/>
      <c r="Q265" s="958"/>
      <c r="R265" s="958"/>
      <c r="S265" s="958"/>
      <c r="T265" s="958"/>
      <c r="U265" s="958"/>
      <c r="V265" s="958"/>
      <c r="W265" s="958"/>
      <c r="X265" s="958"/>
      <c r="Y265" s="958"/>
      <c r="Z265" s="958"/>
    </row>
    <row r="266" ht="35.25" hidden="1" customHeight="1">
      <c r="A266" s="18"/>
      <c r="B266" s="960" t="s">
        <v>697</v>
      </c>
      <c r="C266" s="598">
        <v>4.0958E7</v>
      </c>
      <c r="D266" s="18"/>
      <c r="E266" s="968" t="s">
        <v>931</v>
      </c>
      <c r="F266" s="956"/>
      <c r="G266" s="956"/>
      <c r="H266" s="956"/>
      <c r="I266" s="956"/>
      <c r="J266" s="956"/>
      <c r="K266" s="956"/>
      <c r="L266" s="956"/>
      <c r="M266" s="956"/>
      <c r="N266" s="956"/>
      <c r="O266" s="958"/>
      <c r="P266" s="958"/>
      <c r="Q266" s="958"/>
      <c r="R266" s="958"/>
      <c r="S266" s="958"/>
      <c r="T266" s="958"/>
      <c r="U266" s="958"/>
      <c r="V266" s="958"/>
      <c r="W266" s="958"/>
      <c r="X266" s="958"/>
      <c r="Y266" s="958"/>
      <c r="Z266" s="958"/>
    </row>
    <row r="267" ht="35.25" hidden="1" customHeight="1">
      <c r="A267" s="18"/>
      <c r="B267" s="960"/>
      <c r="C267" s="598"/>
      <c r="D267" s="18"/>
      <c r="E267" s="968"/>
      <c r="F267" s="956"/>
      <c r="G267" s="956"/>
      <c r="H267" s="956"/>
      <c r="I267" s="956"/>
      <c r="J267" s="956"/>
      <c r="K267" s="956"/>
      <c r="L267" s="956"/>
      <c r="M267" s="956"/>
      <c r="N267" s="956"/>
      <c r="O267" s="958"/>
      <c r="P267" s="958"/>
      <c r="Q267" s="958"/>
      <c r="R267" s="958"/>
      <c r="S267" s="958"/>
      <c r="T267" s="958"/>
      <c r="U267" s="958"/>
      <c r="V267" s="958"/>
      <c r="W267" s="958"/>
      <c r="X267" s="958"/>
      <c r="Y267" s="958"/>
      <c r="Z267" s="958"/>
    </row>
    <row r="268" ht="35.25" hidden="1" customHeight="1">
      <c r="A268" s="22"/>
      <c r="B268" s="960"/>
      <c r="C268" s="598"/>
      <c r="D268" s="22"/>
      <c r="E268" s="968"/>
      <c r="F268" s="956"/>
      <c r="G268" s="956"/>
      <c r="H268" s="956"/>
      <c r="I268" s="956"/>
      <c r="J268" s="956"/>
      <c r="K268" s="956"/>
      <c r="L268" s="956"/>
      <c r="M268" s="956"/>
      <c r="N268" s="956"/>
      <c r="O268" s="958"/>
      <c r="P268" s="958"/>
      <c r="Q268" s="958"/>
      <c r="R268" s="958"/>
      <c r="S268" s="958"/>
      <c r="T268" s="958"/>
      <c r="U268" s="958"/>
      <c r="V268" s="958"/>
      <c r="W268" s="958"/>
      <c r="X268" s="958"/>
      <c r="Y268" s="958"/>
      <c r="Z268" s="958"/>
    </row>
    <row r="269" ht="37.5" hidden="1" customHeight="1">
      <c r="A269" s="1015" t="s">
        <v>743</v>
      </c>
      <c r="B269" s="960" t="s">
        <v>697</v>
      </c>
      <c r="C269" s="598">
        <v>3.78885E7</v>
      </c>
      <c r="D269" s="680">
        <f>SUM(C269:C272)</f>
        <v>37888500</v>
      </c>
      <c r="E269" s="968"/>
      <c r="F269" s="956"/>
      <c r="G269" s="956"/>
      <c r="H269" s="956"/>
      <c r="I269" s="956"/>
      <c r="J269" s="956"/>
      <c r="K269" s="956"/>
      <c r="L269" s="956"/>
      <c r="M269" s="956"/>
      <c r="N269" s="956"/>
      <c r="O269" s="958"/>
      <c r="P269" s="958"/>
      <c r="Q269" s="958"/>
      <c r="R269" s="958"/>
      <c r="S269" s="958"/>
      <c r="T269" s="958"/>
      <c r="U269" s="958"/>
      <c r="V269" s="958"/>
      <c r="W269" s="958"/>
      <c r="X269" s="958"/>
      <c r="Y269" s="958"/>
      <c r="Z269" s="958"/>
    </row>
    <row r="270" ht="37.5" hidden="1" customHeight="1">
      <c r="A270" s="18"/>
      <c r="B270" s="960"/>
      <c r="C270" s="598"/>
      <c r="D270" s="18"/>
      <c r="E270" s="968" t="s">
        <v>932</v>
      </c>
      <c r="F270" s="956"/>
      <c r="G270" s="956"/>
      <c r="H270" s="956"/>
      <c r="I270" s="956"/>
      <c r="J270" s="956"/>
      <c r="K270" s="956"/>
      <c r="L270" s="956"/>
      <c r="M270" s="956"/>
      <c r="N270" s="956"/>
      <c r="O270" s="958"/>
      <c r="P270" s="958"/>
      <c r="Q270" s="958"/>
      <c r="R270" s="958"/>
      <c r="S270" s="958"/>
      <c r="T270" s="958"/>
      <c r="U270" s="958"/>
      <c r="V270" s="958"/>
      <c r="W270" s="958"/>
      <c r="X270" s="958"/>
      <c r="Y270" s="958"/>
      <c r="Z270" s="958"/>
    </row>
    <row r="271" ht="37.5" hidden="1" customHeight="1">
      <c r="A271" s="18"/>
      <c r="B271" s="960"/>
      <c r="C271" s="598"/>
      <c r="D271" s="18"/>
      <c r="E271" s="968"/>
      <c r="F271" s="956"/>
      <c r="G271" s="956"/>
      <c r="H271" s="956"/>
      <c r="I271" s="956"/>
      <c r="J271" s="956"/>
      <c r="K271" s="956"/>
      <c r="L271" s="956"/>
      <c r="M271" s="956"/>
      <c r="N271" s="956"/>
      <c r="O271" s="958"/>
      <c r="P271" s="958"/>
      <c r="Q271" s="958"/>
      <c r="R271" s="958"/>
      <c r="S271" s="958"/>
      <c r="T271" s="958"/>
      <c r="U271" s="958"/>
      <c r="V271" s="958"/>
      <c r="W271" s="958"/>
      <c r="X271" s="958"/>
      <c r="Y271" s="958"/>
      <c r="Z271" s="958"/>
    </row>
    <row r="272" ht="37.5" hidden="1" customHeight="1">
      <c r="A272" s="18"/>
      <c r="B272" s="960"/>
      <c r="C272" s="598"/>
      <c r="D272" s="18"/>
      <c r="E272" s="968"/>
      <c r="F272" s="956"/>
      <c r="G272" s="956"/>
      <c r="H272" s="956"/>
      <c r="I272" s="956"/>
      <c r="J272" s="956"/>
      <c r="K272" s="956"/>
      <c r="L272" s="956"/>
      <c r="M272" s="956"/>
      <c r="N272" s="956"/>
      <c r="O272" s="958"/>
      <c r="P272" s="958"/>
      <c r="Q272" s="958"/>
      <c r="R272" s="958"/>
      <c r="S272" s="958"/>
      <c r="T272" s="958"/>
      <c r="U272" s="958"/>
      <c r="V272" s="958"/>
      <c r="W272" s="958"/>
      <c r="X272" s="958"/>
      <c r="Y272" s="958"/>
      <c r="Z272" s="958"/>
    </row>
    <row r="273" ht="35.25" hidden="1" customHeight="1">
      <c r="A273" s="1015" t="s">
        <v>744</v>
      </c>
      <c r="B273" s="960" t="s">
        <v>1126</v>
      </c>
      <c r="C273" s="598" t="s">
        <v>7</v>
      </c>
      <c r="D273" s="680">
        <f>SUM(C273:C277)</f>
        <v>94774000</v>
      </c>
      <c r="E273" s="968"/>
      <c r="F273" s="956"/>
      <c r="G273" s="956"/>
      <c r="H273" s="956"/>
      <c r="I273" s="956"/>
      <c r="J273" s="956"/>
      <c r="K273" s="956"/>
      <c r="L273" s="956"/>
      <c r="M273" s="956"/>
      <c r="N273" s="956"/>
      <c r="O273" s="958"/>
      <c r="P273" s="958"/>
      <c r="Q273" s="958"/>
      <c r="R273" s="958"/>
      <c r="S273" s="958"/>
      <c r="T273" s="958"/>
      <c r="U273" s="958"/>
      <c r="V273" s="958"/>
      <c r="W273" s="958"/>
      <c r="X273" s="958"/>
      <c r="Y273" s="958"/>
      <c r="Z273" s="958"/>
    </row>
    <row r="274" ht="35.25" hidden="1" customHeight="1">
      <c r="A274" s="18"/>
      <c r="B274" s="960" t="s">
        <v>219</v>
      </c>
      <c r="C274" s="598" t="s">
        <v>7</v>
      </c>
      <c r="D274" s="18"/>
      <c r="E274" s="968"/>
      <c r="F274" s="956"/>
      <c r="G274" s="956"/>
      <c r="H274" s="956"/>
      <c r="I274" s="956"/>
      <c r="J274" s="956"/>
      <c r="K274" s="956"/>
      <c r="L274" s="956"/>
      <c r="M274" s="956"/>
      <c r="N274" s="956"/>
      <c r="O274" s="958"/>
      <c r="P274" s="958"/>
      <c r="Q274" s="958"/>
      <c r="R274" s="958"/>
      <c r="S274" s="958"/>
      <c r="T274" s="958"/>
      <c r="U274" s="958"/>
      <c r="V274" s="958"/>
      <c r="W274" s="958"/>
      <c r="X274" s="958"/>
      <c r="Y274" s="958"/>
      <c r="Z274" s="958"/>
    </row>
    <row r="275" ht="35.25" hidden="1" customHeight="1">
      <c r="A275" s="18"/>
      <c r="B275" s="960" t="s">
        <v>89</v>
      </c>
      <c r="C275" s="598" t="s">
        <v>7</v>
      </c>
      <c r="D275" s="18"/>
      <c r="E275" s="968"/>
      <c r="F275" s="956"/>
      <c r="G275" s="956"/>
      <c r="H275" s="956"/>
      <c r="I275" s="956"/>
      <c r="J275" s="956"/>
      <c r="K275" s="956"/>
      <c r="L275" s="956"/>
      <c r="M275" s="956"/>
      <c r="N275" s="956"/>
      <c r="O275" s="958"/>
      <c r="P275" s="958"/>
      <c r="Q275" s="958"/>
      <c r="R275" s="958"/>
      <c r="S275" s="958"/>
      <c r="T275" s="958"/>
      <c r="U275" s="958"/>
      <c r="V275" s="958"/>
      <c r="W275" s="958"/>
      <c r="X275" s="958"/>
      <c r="Y275" s="958"/>
      <c r="Z275" s="958"/>
    </row>
    <row r="276" ht="35.25" hidden="1" customHeight="1">
      <c r="A276" s="18"/>
      <c r="B276" s="960" t="s">
        <v>220</v>
      </c>
      <c r="C276" s="598">
        <v>2.1722E7</v>
      </c>
      <c r="D276" s="18"/>
      <c r="E276" s="968"/>
      <c r="F276" s="956"/>
      <c r="G276" s="956"/>
      <c r="H276" s="956"/>
      <c r="I276" s="956"/>
      <c r="J276" s="956"/>
      <c r="K276" s="956"/>
      <c r="L276" s="956"/>
      <c r="M276" s="956"/>
      <c r="N276" s="956"/>
      <c r="O276" s="958"/>
      <c r="P276" s="958"/>
      <c r="Q276" s="958"/>
      <c r="R276" s="958"/>
      <c r="S276" s="958"/>
      <c r="T276" s="958"/>
      <c r="U276" s="958"/>
      <c r="V276" s="958"/>
      <c r="W276" s="958"/>
      <c r="X276" s="958"/>
      <c r="Y276" s="958"/>
      <c r="Z276" s="958"/>
    </row>
    <row r="277" ht="35.25" hidden="1" customHeight="1">
      <c r="A277" s="22"/>
      <c r="B277" s="1016" t="s">
        <v>1124</v>
      </c>
      <c r="C277" s="707">
        <v>7.3052E7</v>
      </c>
      <c r="D277" s="22"/>
      <c r="E277" s="968"/>
      <c r="F277" s="956"/>
      <c r="G277" s="956"/>
      <c r="H277" s="956"/>
      <c r="I277" s="956"/>
      <c r="J277" s="956"/>
      <c r="K277" s="956"/>
      <c r="L277" s="956"/>
      <c r="M277" s="956"/>
      <c r="N277" s="956"/>
      <c r="O277" s="958"/>
      <c r="P277" s="958"/>
      <c r="Q277" s="958"/>
      <c r="R277" s="958"/>
      <c r="S277" s="958"/>
      <c r="T277" s="958"/>
      <c r="U277" s="958"/>
      <c r="V277" s="958"/>
      <c r="W277" s="958"/>
      <c r="X277" s="958"/>
      <c r="Y277" s="958"/>
      <c r="Z277" s="958"/>
    </row>
    <row r="278" ht="36.75" hidden="1" customHeight="1">
      <c r="A278" s="1015" t="s">
        <v>750</v>
      </c>
      <c r="B278" s="960" t="s">
        <v>88</v>
      </c>
      <c r="C278" s="598">
        <v>7.72863E7</v>
      </c>
      <c r="D278" s="680">
        <f>SUM(C278:C282)</f>
        <v>321620700</v>
      </c>
      <c r="E278" s="968" t="s">
        <v>933</v>
      </c>
      <c r="F278" s="956"/>
      <c r="G278" s="956"/>
      <c r="H278" s="956"/>
      <c r="I278" s="956"/>
      <c r="J278" s="956"/>
      <c r="K278" s="956"/>
      <c r="L278" s="956"/>
      <c r="M278" s="956"/>
      <c r="N278" s="956"/>
      <c r="O278" s="958"/>
      <c r="P278" s="958"/>
      <c r="Q278" s="958"/>
      <c r="R278" s="958"/>
      <c r="S278" s="958"/>
      <c r="T278" s="958"/>
      <c r="U278" s="958"/>
      <c r="V278" s="958"/>
      <c r="W278" s="958"/>
      <c r="X278" s="958"/>
      <c r="Y278" s="958"/>
      <c r="Z278" s="958"/>
    </row>
    <row r="279" ht="33.75" hidden="1" customHeight="1">
      <c r="A279" s="18"/>
      <c r="B279" s="960" t="s">
        <v>219</v>
      </c>
      <c r="C279" s="598">
        <v>7.47056E7</v>
      </c>
      <c r="D279" s="18"/>
      <c r="E279" s="968"/>
      <c r="F279" s="956"/>
      <c r="G279" s="956"/>
      <c r="H279" s="956"/>
      <c r="I279" s="956"/>
      <c r="J279" s="956"/>
      <c r="K279" s="956"/>
      <c r="L279" s="956"/>
      <c r="M279" s="956"/>
      <c r="N279" s="956"/>
      <c r="O279" s="958"/>
      <c r="P279" s="958"/>
      <c r="Q279" s="958"/>
      <c r="R279" s="958"/>
      <c r="S279" s="958"/>
      <c r="T279" s="958"/>
      <c r="U279" s="958"/>
      <c r="V279" s="958"/>
      <c r="W279" s="958"/>
      <c r="X279" s="958"/>
      <c r="Y279" s="958"/>
      <c r="Z279" s="958"/>
    </row>
    <row r="280" ht="33.75" hidden="1" customHeight="1">
      <c r="A280" s="18"/>
      <c r="B280" s="960" t="s">
        <v>89</v>
      </c>
      <c r="C280" s="598">
        <v>6.40501E7</v>
      </c>
      <c r="D280" s="18"/>
      <c r="E280" s="968"/>
      <c r="F280" s="956"/>
      <c r="G280" s="956"/>
      <c r="H280" s="956"/>
      <c r="I280" s="956"/>
      <c r="J280" s="956"/>
      <c r="K280" s="956"/>
      <c r="L280" s="956"/>
      <c r="M280" s="956"/>
      <c r="N280" s="956"/>
      <c r="O280" s="958"/>
      <c r="P280" s="958"/>
      <c r="Q280" s="958"/>
      <c r="R280" s="958"/>
      <c r="S280" s="958"/>
      <c r="T280" s="958"/>
      <c r="U280" s="958"/>
      <c r="V280" s="958"/>
      <c r="W280" s="958"/>
      <c r="X280" s="958"/>
      <c r="Y280" s="958"/>
      <c r="Z280" s="958"/>
    </row>
    <row r="281" ht="33.75" hidden="1" customHeight="1">
      <c r="A281" s="18"/>
      <c r="B281" s="960" t="s">
        <v>220</v>
      </c>
      <c r="C281" s="598">
        <v>6.22025E7</v>
      </c>
      <c r="D281" s="18"/>
      <c r="E281" s="968"/>
      <c r="F281" s="956"/>
      <c r="G281" s="956"/>
      <c r="H281" s="956"/>
      <c r="I281" s="956"/>
      <c r="J281" s="956"/>
      <c r="K281" s="956"/>
      <c r="L281" s="956"/>
      <c r="M281" s="956"/>
      <c r="N281" s="956"/>
      <c r="O281" s="958"/>
      <c r="P281" s="958"/>
      <c r="Q281" s="958"/>
      <c r="R281" s="958"/>
      <c r="S281" s="958"/>
      <c r="T281" s="958"/>
      <c r="U281" s="958"/>
      <c r="V281" s="958"/>
      <c r="W281" s="958"/>
      <c r="X281" s="958"/>
      <c r="Y281" s="958"/>
      <c r="Z281" s="958"/>
    </row>
    <row r="282" ht="33.75" hidden="1" customHeight="1">
      <c r="A282" s="22"/>
      <c r="B282" s="960" t="s">
        <v>697</v>
      </c>
      <c r="C282" s="598">
        <v>4.33762E7</v>
      </c>
      <c r="D282" s="22"/>
      <c r="E282" s="968"/>
      <c r="F282" s="956"/>
      <c r="G282" s="956"/>
      <c r="H282" s="956"/>
      <c r="I282" s="956"/>
      <c r="J282" s="956"/>
      <c r="K282" s="956"/>
      <c r="L282" s="956"/>
      <c r="M282" s="956"/>
      <c r="N282" s="956"/>
      <c r="O282" s="958"/>
      <c r="P282" s="958"/>
      <c r="Q282" s="958"/>
      <c r="R282" s="958"/>
      <c r="S282" s="958"/>
      <c r="T282" s="958"/>
      <c r="U282" s="958"/>
      <c r="V282" s="958"/>
      <c r="W282" s="958"/>
      <c r="X282" s="958"/>
      <c r="Y282" s="958"/>
      <c r="Z282" s="958"/>
    </row>
    <row r="283" ht="35.25" hidden="1" customHeight="1">
      <c r="A283" s="1015" t="s">
        <v>752</v>
      </c>
      <c r="B283" s="1014" t="s">
        <v>88</v>
      </c>
      <c r="C283" s="598" t="s">
        <v>7</v>
      </c>
      <c r="D283" s="680">
        <f>SUM(C283:C288)</f>
        <v>191610500</v>
      </c>
      <c r="E283" s="968"/>
      <c r="F283" s="956"/>
      <c r="G283" s="956"/>
      <c r="H283" s="956"/>
      <c r="I283" s="956"/>
      <c r="J283" s="956"/>
      <c r="K283" s="956"/>
      <c r="L283" s="956"/>
      <c r="M283" s="956"/>
      <c r="N283" s="956"/>
      <c r="O283" s="958"/>
      <c r="P283" s="958"/>
      <c r="Q283" s="958"/>
      <c r="R283" s="958"/>
      <c r="S283" s="958"/>
      <c r="T283" s="958"/>
      <c r="U283" s="958"/>
      <c r="V283" s="958"/>
      <c r="W283" s="958"/>
      <c r="X283" s="958"/>
      <c r="Y283" s="958"/>
      <c r="Z283" s="958"/>
    </row>
    <row r="284" ht="32.25" hidden="1" customHeight="1">
      <c r="A284" s="18"/>
      <c r="B284" s="960" t="s">
        <v>219</v>
      </c>
      <c r="C284" s="598" t="s">
        <v>7</v>
      </c>
      <c r="D284" s="18"/>
      <c r="E284" s="968" t="s">
        <v>934</v>
      </c>
      <c r="F284" s="956"/>
      <c r="G284" s="956"/>
      <c r="H284" s="956"/>
      <c r="I284" s="956"/>
      <c r="J284" s="956"/>
      <c r="K284" s="956"/>
      <c r="L284" s="956"/>
      <c r="M284" s="956"/>
      <c r="N284" s="956"/>
      <c r="O284" s="958"/>
      <c r="P284" s="958"/>
      <c r="Q284" s="958"/>
      <c r="R284" s="958"/>
      <c r="S284" s="958"/>
      <c r="T284" s="958"/>
      <c r="U284" s="958"/>
      <c r="V284" s="958"/>
      <c r="W284" s="958"/>
      <c r="X284" s="958"/>
      <c r="Y284" s="958"/>
      <c r="Z284" s="958"/>
    </row>
    <row r="285" ht="35.25" hidden="1" customHeight="1">
      <c r="A285" s="18"/>
      <c r="B285" s="960" t="s">
        <v>89</v>
      </c>
      <c r="C285" s="598">
        <v>4.87495E7</v>
      </c>
      <c r="D285" s="18"/>
      <c r="E285" s="968"/>
      <c r="F285" s="956"/>
      <c r="G285" s="956"/>
      <c r="H285" s="956"/>
      <c r="I285" s="956"/>
      <c r="J285" s="956"/>
      <c r="K285" s="956"/>
      <c r="L285" s="956"/>
      <c r="M285" s="956"/>
      <c r="N285" s="956"/>
      <c r="O285" s="958"/>
      <c r="P285" s="958"/>
      <c r="Q285" s="958"/>
      <c r="R285" s="958"/>
      <c r="S285" s="958"/>
      <c r="T285" s="958"/>
      <c r="U285" s="958"/>
      <c r="V285" s="958"/>
      <c r="W285" s="958"/>
      <c r="X285" s="958"/>
      <c r="Y285" s="958"/>
      <c r="Z285" s="958"/>
    </row>
    <row r="286" ht="35.25" hidden="1" customHeight="1">
      <c r="A286" s="18"/>
      <c r="B286" s="960" t="s">
        <v>220</v>
      </c>
      <c r="C286" s="598">
        <v>3.3986E7</v>
      </c>
      <c r="D286" s="18"/>
      <c r="E286" s="968"/>
      <c r="F286" s="956"/>
      <c r="G286" s="956"/>
      <c r="H286" s="956"/>
      <c r="I286" s="956"/>
      <c r="J286" s="956"/>
      <c r="K286" s="956"/>
      <c r="L286" s="956"/>
      <c r="M286" s="956"/>
      <c r="N286" s="956"/>
      <c r="O286" s="958"/>
      <c r="P286" s="958"/>
      <c r="Q286" s="958"/>
      <c r="R286" s="958"/>
      <c r="S286" s="958"/>
      <c r="T286" s="958"/>
      <c r="U286" s="958"/>
      <c r="V286" s="958"/>
      <c r="W286" s="958"/>
      <c r="X286" s="958"/>
      <c r="Y286" s="958"/>
      <c r="Z286" s="958"/>
    </row>
    <row r="287" ht="35.25" hidden="1" customHeight="1">
      <c r="A287" s="18"/>
      <c r="B287" s="960" t="s">
        <v>697</v>
      </c>
      <c r="C287" s="598">
        <v>3.8625E7</v>
      </c>
      <c r="D287" s="18"/>
      <c r="E287" s="968"/>
      <c r="F287" s="956"/>
      <c r="G287" s="956"/>
      <c r="H287" s="956"/>
      <c r="I287" s="956"/>
      <c r="J287" s="956"/>
      <c r="K287" s="956"/>
      <c r="L287" s="956"/>
      <c r="M287" s="956"/>
      <c r="N287" s="956"/>
      <c r="O287" s="958"/>
      <c r="P287" s="958"/>
      <c r="Q287" s="958"/>
      <c r="R287" s="958"/>
      <c r="S287" s="958"/>
      <c r="T287" s="958"/>
      <c r="U287" s="958"/>
      <c r="V287" s="958"/>
      <c r="W287" s="958"/>
      <c r="X287" s="958"/>
      <c r="Y287" s="958"/>
      <c r="Z287" s="958"/>
    </row>
    <row r="288" ht="35.25" hidden="1" customHeight="1">
      <c r="A288" s="22"/>
      <c r="B288" s="1016" t="s">
        <v>1124</v>
      </c>
      <c r="C288" s="707">
        <v>7.025E7</v>
      </c>
      <c r="D288" s="22"/>
      <c r="E288" s="968"/>
      <c r="F288" s="956"/>
      <c r="G288" s="956"/>
      <c r="H288" s="956"/>
      <c r="I288" s="956"/>
      <c r="J288" s="956"/>
      <c r="K288" s="956"/>
      <c r="L288" s="956"/>
      <c r="M288" s="956"/>
      <c r="N288" s="956"/>
      <c r="O288" s="958"/>
      <c r="P288" s="958"/>
      <c r="Q288" s="958"/>
      <c r="R288" s="958"/>
      <c r="S288" s="958"/>
      <c r="T288" s="958"/>
      <c r="U288" s="958"/>
      <c r="V288" s="958"/>
      <c r="W288" s="958"/>
      <c r="X288" s="958"/>
      <c r="Y288" s="958"/>
      <c r="Z288" s="958"/>
    </row>
    <row r="289" ht="38.25" hidden="1" customHeight="1">
      <c r="A289" s="1015" t="s">
        <v>753</v>
      </c>
      <c r="B289" s="960" t="s">
        <v>697</v>
      </c>
      <c r="C289" s="598">
        <f>51670000-380000</f>
        <v>51290000</v>
      </c>
      <c r="D289" s="680">
        <f>SUM(C289:C292)</f>
        <v>51290000</v>
      </c>
      <c r="E289" s="968" t="s">
        <v>935</v>
      </c>
      <c r="F289" s="956"/>
      <c r="G289" s="956"/>
      <c r="H289" s="956"/>
      <c r="I289" s="956"/>
      <c r="J289" s="956"/>
      <c r="K289" s="956"/>
      <c r="L289" s="956"/>
      <c r="M289" s="956"/>
      <c r="N289" s="956"/>
      <c r="O289" s="958"/>
      <c r="P289" s="958"/>
      <c r="Q289" s="958"/>
      <c r="R289" s="958"/>
      <c r="S289" s="958"/>
      <c r="T289" s="958"/>
      <c r="U289" s="958"/>
      <c r="V289" s="958"/>
      <c r="W289" s="958"/>
      <c r="X289" s="958"/>
      <c r="Y289" s="958"/>
      <c r="Z289" s="958"/>
    </row>
    <row r="290" ht="38.25" hidden="1" customHeight="1">
      <c r="A290" s="18"/>
      <c r="B290" s="960"/>
      <c r="C290" s="598"/>
      <c r="D290" s="18"/>
      <c r="E290" s="968"/>
      <c r="F290" s="956"/>
      <c r="G290" s="956"/>
      <c r="H290" s="956"/>
      <c r="I290" s="956"/>
      <c r="J290" s="956"/>
      <c r="K290" s="956"/>
      <c r="L290" s="956"/>
      <c r="M290" s="956"/>
      <c r="N290" s="956"/>
      <c r="O290" s="958"/>
      <c r="P290" s="958"/>
      <c r="Q290" s="958"/>
      <c r="R290" s="958"/>
      <c r="S290" s="958"/>
      <c r="T290" s="958"/>
      <c r="U290" s="958"/>
      <c r="V290" s="958"/>
      <c r="W290" s="958"/>
      <c r="X290" s="958"/>
      <c r="Y290" s="958"/>
      <c r="Z290" s="958"/>
    </row>
    <row r="291" ht="38.25" hidden="1" customHeight="1">
      <c r="A291" s="18"/>
      <c r="B291" s="960"/>
      <c r="C291" s="598"/>
      <c r="D291" s="18"/>
      <c r="E291" s="968"/>
      <c r="F291" s="956"/>
      <c r="G291" s="956"/>
      <c r="H291" s="956"/>
      <c r="I291" s="956"/>
      <c r="J291" s="956"/>
      <c r="K291" s="956"/>
      <c r="L291" s="956"/>
      <c r="M291" s="956"/>
      <c r="N291" s="956"/>
      <c r="O291" s="958"/>
      <c r="P291" s="958"/>
      <c r="Q291" s="958"/>
      <c r="R291" s="958"/>
      <c r="S291" s="958"/>
      <c r="T291" s="958"/>
      <c r="U291" s="958"/>
      <c r="V291" s="958"/>
      <c r="W291" s="958"/>
      <c r="X291" s="958"/>
      <c r="Y291" s="958"/>
      <c r="Z291" s="958"/>
    </row>
    <row r="292" ht="38.25" hidden="1" customHeight="1">
      <c r="A292" s="22"/>
      <c r="B292" s="960"/>
      <c r="C292" s="598"/>
      <c r="D292" s="22"/>
      <c r="E292" s="968"/>
      <c r="F292" s="956"/>
      <c r="G292" s="956"/>
      <c r="H292" s="956"/>
      <c r="I292" s="956"/>
      <c r="J292" s="956"/>
      <c r="K292" s="956"/>
      <c r="L292" s="956"/>
      <c r="M292" s="956"/>
      <c r="N292" s="956"/>
      <c r="O292" s="958"/>
      <c r="P292" s="958"/>
      <c r="Q292" s="958"/>
      <c r="R292" s="958"/>
      <c r="S292" s="958"/>
      <c r="T292" s="958"/>
      <c r="U292" s="958"/>
      <c r="V292" s="958"/>
      <c r="W292" s="958"/>
      <c r="X292" s="958"/>
      <c r="Y292" s="958"/>
      <c r="Z292" s="958"/>
    </row>
    <row r="293" ht="35.25" hidden="1" customHeight="1">
      <c r="A293" s="1015" t="s">
        <v>936</v>
      </c>
      <c r="B293" s="960" t="s">
        <v>89</v>
      </c>
      <c r="C293" s="598">
        <v>6.9028E7</v>
      </c>
      <c r="D293" s="680">
        <f>SUM(C293:C296)</f>
        <v>300650000</v>
      </c>
      <c r="E293" s="956">
        <f>27*3000+40000</f>
        <v>121000</v>
      </c>
      <c r="F293" s="956"/>
      <c r="G293" s="956"/>
      <c r="H293" s="956"/>
      <c r="I293" s="956"/>
      <c r="J293" s="956"/>
      <c r="K293" s="956"/>
      <c r="L293" s="956"/>
      <c r="M293" s="956"/>
      <c r="N293" s="956"/>
      <c r="O293" s="958"/>
      <c r="P293" s="958"/>
      <c r="Q293" s="958"/>
      <c r="R293" s="958"/>
      <c r="S293" s="958"/>
      <c r="T293" s="958"/>
      <c r="U293" s="958"/>
      <c r="V293" s="958"/>
      <c r="W293" s="958"/>
      <c r="X293" s="958"/>
      <c r="Y293" s="958"/>
      <c r="Z293" s="958"/>
    </row>
    <row r="294" ht="35.25" hidden="1" customHeight="1">
      <c r="A294" s="18"/>
      <c r="B294" s="960" t="s">
        <v>220</v>
      </c>
      <c r="C294" s="598">
        <f>64831200-651000</f>
        <v>64180200</v>
      </c>
      <c r="D294" s="18"/>
      <c r="E294" s="956">
        <f>50+480+121</f>
        <v>651</v>
      </c>
      <c r="F294" s="956"/>
      <c r="G294" s="956"/>
      <c r="H294" s="956"/>
      <c r="I294" s="956"/>
      <c r="J294" s="956"/>
      <c r="K294" s="956"/>
      <c r="L294" s="956"/>
      <c r="M294" s="956"/>
      <c r="N294" s="956"/>
      <c r="O294" s="958"/>
      <c r="P294" s="958"/>
      <c r="Q294" s="958"/>
      <c r="R294" s="958"/>
      <c r="S294" s="958"/>
      <c r="T294" s="958"/>
      <c r="U294" s="958"/>
      <c r="V294" s="958"/>
      <c r="W294" s="958"/>
      <c r="X294" s="958"/>
      <c r="Y294" s="958"/>
      <c r="Z294" s="958"/>
    </row>
    <row r="295" ht="35.25" hidden="1" customHeight="1">
      <c r="A295" s="18"/>
      <c r="B295" s="960" t="s">
        <v>697</v>
      </c>
      <c r="C295" s="598">
        <f>37581800-78000-60000</f>
        <v>37443800</v>
      </c>
      <c r="D295" s="18"/>
      <c r="E295" s="968" t="s">
        <v>937</v>
      </c>
      <c r="F295" s="956"/>
      <c r="G295" s="956"/>
      <c r="H295" s="956"/>
      <c r="I295" s="956"/>
      <c r="J295" s="956"/>
      <c r="K295" s="956"/>
      <c r="L295" s="956"/>
      <c r="M295" s="956"/>
      <c r="N295" s="956"/>
      <c r="O295" s="958"/>
      <c r="P295" s="958"/>
      <c r="Q295" s="958"/>
      <c r="R295" s="958"/>
      <c r="S295" s="958"/>
      <c r="T295" s="958"/>
      <c r="U295" s="958"/>
      <c r="V295" s="958"/>
      <c r="W295" s="958"/>
      <c r="X295" s="958"/>
      <c r="Y295" s="958"/>
      <c r="Z295" s="958"/>
    </row>
    <row r="296" ht="35.25" hidden="1" customHeight="1">
      <c r="A296" s="22"/>
      <c r="B296" s="1016" t="s">
        <v>1124</v>
      </c>
      <c r="C296" s="707">
        <v>1.29998E8</v>
      </c>
      <c r="D296" s="22"/>
      <c r="E296" s="968"/>
      <c r="F296" s="956"/>
      <c r="G296" s="956"/>
      <c r="H296" s="956"/>
      <c r="I296" s="956"/>
      <c r="J296" s="956"/>
      <c r="K296" s="956"/>
      <c r="L296" s="956"/>
      <c r="M296" s="956"/>
      <c r="N296" s="956"/>
      <c r="O296" s="958"/>
      <c r="P296" s="958"/>
      <c r="Q296" s="958"/>
      <c r="R296" s="958"/>
      <c r="S296" s="958"/>
      <c r="T296" s="958"/>
      <c r="U296" s="958"/>
      <c r="V296" s="958"/>
      <c r="W296" s="958"/>
      <c r="X296" s="958"/>
      <c r="Y296" s="958"/>
      <c r="Z296" s="958"/>
    </row>
    <row r="297" ht="35.25" hidden="1" customHeight="1">
      <c r="A297" s="1015" t="s">
        <v>944</v>
      </c>
      <c r="B297" s="960" t="s">
        <v>228</v>
      </c>
      <c r="C297" s="598">
        <v>1.88149E8</v>
      </c>
      <c r="D297" s="680">
        <f>SUM(C297:C302)</f>
        <v>341508500</v>
      </c>
      <c r="E297" s="956"/>
      <c r="F297" s="956"/>
      <c r="G297" s="956"/>
      <c r="H297" s="956"/>
      <c r="I297" s="956"/>
      <c r="J297" s="956"/>
      <c r="K297" s="956"/>
      <c r="L297" s="956"/>
      <c r="M297" s="956"/>
      <c r="N297" s="956"/>
      <c r="O297" s="958"/>
      <c r="P297" s="958"/>
      <c r="Q297" s="958"/>
      <c r="R297" s="958"/>
      <c r="S297" s="958"/>
      <c r="T297" s="958"/>
      <c r="U297" s="958"/>
      <c r="V297" s="958"/>
      <c r="W297" s="958"/>
      <c r="X297" s="958"/>
      <c r="Y297" s="958"/>
      <c r="Z297" s="958"/>
    </row>
    <row r="298" ht="35.25" hidden="1" customHeight="1">
      <c r="A298" s="18"/>
      <c r="B298" s="960" t="s">
        <v>88</v>
      </c>
      <c r="C298" s="598">
        <v>2.6726E7</v>
      </c>
      <c r="D298" s="18"/>
      <c r="E298" s="956"/>
      <c r="F298" s="956"/>
      <c r="G298" s="956"/>
      <c r="H298" s="968">
        <v>-190000.0</v>
      </c>
      <c r="I298" s="956"/>
      <c r="J298" s="956"/>
      <c r="K298" s="956"/>
      <c r="L298" s="956"/>
      <c r="M298" s="956"/>
      <c r="N298" s="956"/>
      <c r="O298" s="958"/>
      <c r="P298" s="958"/>
      <c r="Q298" s="958"/>
      <c r="R298" s="958"/>
      <c r="S298" s="958"/>
      <c r="T298" s="958"/>
      <c r="U298" s="958"/>
      <c r="V298" s="958"/>
      <c r="W298" s="958"/>
      <c r="X298" s="958"/>
      <c r="Y298" s="958"/>
      <c r="Z298" s="958"/>
    </row>
    <row r="299" ht="35.25" hidden="1" customHeight="1">
      <c r="A299" s="18"/>
      <c r="B299" s="960" t="s">
        <v>219</v>
      </c>
      <c r="C299" s="598">
        <v>3.17565E7</v>
      </c>
      <c r="D299" s="18"/>
      <c r="E299" s="956"/>
      <c r="F299" s="956"/>
      <c r="G299" s="956"/>
      <c r="H299" s="968">
        <v>28858.0</v>
      </c>
      <c r="I299" s="956"/>
      <c r="J299" s="956"/>
      <c r="K299" s="956"/>
      <c r="L299" s="956"/>
      <c r="M299" s="956"/>
      <c r="N299" s="956"/>
      <c r="O299" s="958"/>
      <c r="P299" s="958"/>
      <c r="Q299" s="958"/>
      <c r="R299" s="958"/>
      <c r="S299" s="958"/>
      <c r="T299" s="958"/>
      <c r="U299" s="958"/>
      <c r="V299" s="958"/>
      <c r="W299" s="958"/>
      <c r="X299" s="958"/>
      <c r="Y299" s="958"/>
      <c r="Z299" s="958"/>
    </row>
    <row r="300" ht="35.25" hidden="1" customHeight="1">
      <c r="A300" s="18"/>
      <c r="B300" s="960" t="s">
        <v>89</v>
      </c>
      <c r="C300" s="598">
        <v>3.45985E7</v>
      </c>
      <c r="D300" s="18"/>
      <c r="E300" s="956"/>
      <c r="F300" s="956"/>
      <c r="G300" s="956"/>
      <c r="H300" s="968">
        <v>42176.0</v>
      </c>
      <c r="I300" s="956"/>
      <c r="J300" s="956"/>
      <c r="K300" s="956"/>
      <c r="L300" s="956"/>
      <c r="M300" s="956"/>
      <c r="N300" s="956"/>
      <c r="O300" s="958"/>
      <c r="P300" s="958"/>
      <c r="Q300" s="958"/>
      <c r="R300" s="958"/>
      <c r="S300" s="958"/>
      <c r="T300" s="958"/>
      <c r="U300" s="958"/>
      <c r="V300" s="958"/>
      <c r="W300" s="958"/>
      <c r="X300" s="958"/>
      <c r="Y300" s="958"/>
      <c r="Z300" s="958"/>
    </row>
    <row r="301" ht="35.25" hidden="1" customHeight="1">
      <c r="A301" s="18"/>
      <c r="B301" s="960" t="s">
        <v>220</v>
      </c>
      <c r="C301" s="598">
        <v>3.2687E7</v>
      </c>
      <c r="D301" s="18"/>
      <c r="E301" s="956"/>
      <c r="F301" s="956"/>
      <c r="G301" s="956"/>
      <c r="H301" s="968"/>
      <c r="I301" s="956"/>
      <c r="J301" s="956"/>
      <c r="K301" s="956"/>
      <c r="L301" s="956"/>
      <c r="M301" s="956"/>
      <c r="N301" s="956"/>
      <c r="O301" s="958"/>
      <c r="P301" s="958"/>
      <c r="Q301" s="958"/>
      <c r="R301" s="958"/>
      <c r="S301" s="958"/>
      <c r="T301" s="958"/>
      <c r="U301" s="958"/>
      <c r="V301" s="958"/>
      <c r="W301" s="958"/>
      <c r="X301" s="958"/>
      <c r="Y301" s="958"/>
      <c r="Z301" s="958"/>
    </row>
    <row r="302" ht="35.25" hidden="1" customHeight="1">
      <c r="A302" s="22"/>
      <c r="B302" s="960" t="s">
        <v>697</v>
      </c>
      <c r="C302" s="598">
        <v>2.75915E7</v>
      </c>
      <c r="D302" s="22"/>
      <c r="E302" s="956"/>
      <c r="F302" s="956"/>
      <c r="G302" s="956"/>
      <c r="H302" s="968">
        <v>43441.0</v>
      </c>
      <c r="I302" s="956"/>
      <c r="J302" s="956"/>
      <c r="K302" s="956"/>
      <c r="L302" s="956"/>
      <c r="M302" s="956"/>
      <c r="N302" s="956"/>
      <c r="O302" s="958"/>
      <c r="P302" s="958"/>
      <c r="Q302" s="958"/>
      <c r="R302" s="958"/>
      <c r="S302" s="958"/>
      <c r="T302" s="958"/>
      <c r="U302" s="958"/>
      <c r="V302" s="958"/>
      <c r="W302" s="958"/>
      <c r="X302" s="958"/>
      <c r="Y302" s="958"/>
      <c r="Z302" s="958"/>
    </row>
    <row r="303" ht="35.25" hidden="1" customHeight="1">
      <c r="A303" s="1015" t="s">
        <v>938</v>
      </c>
      <c r="B303" s="960" t="s">
        <v>89</v>
      </c>
      <c r="C303" s="598">
        <v>3.0955E7</v>
      </c>
      <c r="D303" s="680">
        <f>SUM(C303:C306)</f>
        <v>296666400</v>
      </c>
      <c r="E303" s="956"/>
      <c r="F303" s="956"/>
      <c r="G303" s="956"/>
      <c r="H303" s="968">
        <v>46764.0</v>
      </c>
      <c r="I303" s="956"/>
      <c r="J303" s="956"/>
      <c r="K303" s="956"/>
      <c r="L303" s="956"/>
      <c r="M303" s="956"/>
      <c r="N303" s="956"/>
      <c r="O303" s="958"/>
      <c r="P303" s="958"/>
      <c r="Q303" s="958"/>
      <c r="R303" s="958"/>
      <c r="S303" s="958"/>
      <c r="T303" s="958"/>
      <c r="U303" s="958"/>
      <c r="V303" s="958"/>
      <c r="W303" s="958"/>
      <c r="X303" s="958"/>
      <c r="Y303" s="958"/>
      <c r="Z303" s="958"/>
    </row>
    <row r="304" ht="35.25" hidden="1" customHeight="1">
      <c r="A304" s="18"/>
      <c r="B304" s="960" t="s">
        <v>220</v>
      </c>
      <c r="C304" s="598">
        <v>3.5001E7</v>
      </c>
      <c r="D304" s="18"/>
      <c r="E304" s="1017" t="s">
        <v>939</v>
      </c>
      <c r="F304" s="956"/>
      <c r="G304" s="956"/>
      <c r="H304" s="968">
        <v>55365.0</v>
      </c>
      <c r="I304" s="956"/>
      <c r="J304" s="956"/>
      <c r="K304" s="956"/>
      <c r="L304" s="956"/>
      <c r="M304" s="956"/>
      <c r="N304" s="956"/>
      <c r="O304" s="958"/>
      <c r="P304" s="958"/>
      <c r="Q304" s="958"/>
      <c r="R304" s="958"/>
      <c r="S304" s="958"/>
      <c r="T304" s="958"/>
      <c r="U304" s="958"/>
      <c r="V304" s="958"/>
      <c r="W304" s="958"/>
      <c r="X304" s="958"/>
      <c r="Y304" s="958"/>
      <c r="Z304" s="958"/>
    </row>
    <row r="305" ht="35.25" hidden="1" customHeight="1">
      <c r="A305" s="18"/>
      <c r="B305" s="960" t="s">
        <v>697</v>
      </c>
      <c r="C305" s="598">
        <v>3.71344E7</v>
      </c>
      <c r="D305" s="18"/>
      <c r="E305" s="956"/>
      <c r="F305" s="956"/>
      <c r="G305" s="956"/>
      <c r="H305" s="956">
        <f>SUM(H298:H304)</f>
        <v>26604</v>
      </c>
      <c r="I305" s="956"/>
      <c r="J305" s="956"/>
      <c r="K305" s="956"/>
      <c r="L305" s="956"/>
      <c r="M305" s="956"/>
      <c r="N305" s="956"/>
      <c r="O305" s="958"/>
      <c r="P305" s="958"/>
      <c r="Q305" s="958"/>
      <c r="R305" s="958"/>
      <c r="S305" s="958"/>
      <c r="T305" s="958"/>
      <c r="U305" s="958"/>
      <c r="V305" s="958"/>
      <c r="W305" s="958"/>
      <c r="X305" s="958"/>
      <c r="Y305" s="958"/>
      <c r="Z305" s="958"/>
    </row>
    <row r="306" ht="35.25" hidden="1" customHeight="1">
      <c r="A306" s="22"/>
      <c r="B306" s="1016" t="s">
        <v>1124</v>
      </c>
      <c r="C306" s="707">
        <v>1.93576E8</v>
      </c>
      <c r="D306" s="22"/>
      <c r="E306" s="956"/>
      <c r="F306" s="956"/>
      <c r="G306" s="956"/>
      <c r="H306" s="956"/>
      <c r="I306" s="956"/>
      <c r="J306" s="956"/>
      <c r="K306" s="956"/>
      <c r="L306" s="956"/>
      <c r="M306" s="956"/>
      <c r="N306" s="956"/>
      <c r="O306" s="958"/>
      <c r="P306" s="958"/>
      <c r="Q306" s="958"/>
      <c r="R306" s="958"/>
      <c r="S306" s="958"/>
      <c r="T306" s="958"/>
      <c r="U306" s="958"/>
      <c r="V306" s="958"/>
      <c r="W306" s="958"/>
      <c r="X306" s="958"/>
      <c r="Y306" s="958"/>
      <c r="Z306" s="958"/>
    </row>
    <row r="307" ht="35.25" hidden="1" customHeight="1">
      <c r="A307" s="1015" t="s">
        <v>940</v>
      </c>
      <c r="B307" s="960" t="s">
        <v>220</v>
      </c>
      <c r="C307" s="598">
        <v>2.81995E7</v>
      </c>
      <c r="D307" s="680">
        <f>SUM(C307:C310)</f>
        <v>28199500</v>
      </c>
      <c r="E307" s="956"/>
      <c r="F307" s="956"/>
      <c r="G307" s="956"/>
      <c r="H307" s="956"/>
      <c r="I307" s="956"/>
      <c r="J307" s="956"/>
      <c r="K307" s="956"/>
      <c r="L307" s="956"/>
      <c r="M307" s="956"/>
      <c r="N307" s="956"/>
      <c r="O307" s="958"/>
      <c r="P307" s="958"/>
      <c r="Q307" s="958"/>
      <c r="R307" s="958"/>
      <c r="S307" s="958"/>
      <c r="T307" s="958"/>
      <c r="U307" s="958"/>
      <c r="V307" s="958"/>
      <c r="W307" s="958"/>
      <c r="X307" s="958"/>
      <c r="Y307" s="958"/>
      <c r="Z307" s="958"/>
    </row>
    <row r="308" ht="35.25" hidden="1" customHeight="1">
      <c r="A308" s="18"/>
      <c r="B308" s="960"/>
      <c r="C308" s="598"/>
      <c r="D308" s="18"/>
      <c r="E308" s="968" t="s">
        <v>941</v>
      </c>
      <c r="F308" s="956"/>
      <c r="G308" s="956"/>
      <c r="H308" s="956"/>
      <c r="I308" s="956"/>
      <c r="J308" s="956"/>
      <c r="K308" s="956"/>
      <c r="L308" s="956"/>
      <c r="M308" s="956"/>
      <c r="N308" s="956"/>
      <c r="O308" s="958"/>
      <c r="P308" s="958"/>
      <c r="Q308" s="958"/>
      <c r="R308" s="958"/>
      <c r="S308" s="958"/>
      <c r="T308" s="958"/>
      <c r="U308" s="958"/>
      <c r="V308" s="958"/>
      <c r="W308" s="958"/>
      <c r="X308" s="958"/>
      <c r="Y308" s="958"/>
      <c r="Z308" s="958"/>
    </row>
    <row r="309" ht="35.25" hidden="1" customHeight="1">
      <c r="A309" s="18"/>
      <c r="B309" s="960"/>
      <c r="C309" s="598"/>
      <c r="D309" s="18"/>
      <c r="E309" s="956"/>
      <c r="F309" s="956"/>
      <c r="G309" s="956"/>
      <c r="H309" s="956"/>
      <c r="I309" s="956"/>
      <c r="J309" s="956"/>
      <c r="K309" s="956"/>
      <c r="L309" s="956"/>
      <c r="M309" s="956"/>
      <c r="N309" s="956"/>
      <c r="O309" s="958"/>
      <c r="P309" s="958"/>
      <c r="Q309" s="958"/>
      <c r="R309" s="958"/>
      <c r="S309" s="958"/>
      <c r="T309" s="958"/>
      <c r="U309" s="958"/>
      <c r="V309" s="958"/>
      <c r="W309" s="958"/>
      <c r="X309" s="958"/>
      <c r="Y309" s="958"/>
      <c r="Z309" s="958"/>
    </row>
    <row r="310" ht="35.25" hidden="1" customHeight="1">
      <c r="A310" s="22"/>
      <c r="B310" s="960"/>
      <c r="C310" s="598"/>
      <c r="D310" s="22"/>
      <c r="E310" s="956"/>
      <c r="F310" s="956"/>
      <c r="G310" s="956"/>
      <c r="H310" s="956"/>
      <c r="I310" s="956"/>
      <c r="J310" s="956"/>
      <c r="K310" s="956"/>
      <c r="L310" s="956"/>
      <c r="M310" s="956"/>
      <c r="N310" s="956"/>
      <c r="O310" s="958"/>
      <c r="P310" s="958"/>
      <c r="Q310" s="958"/>
      <c r="R310" s="958"/>
      <c r="S310" s="958"/>
      <c r="T310" s="958"/>
      <c r="U310" s="958"/>
      <c r="V310" s="958"/>
      <c r="W310" s="958"/>
      <c r="X310" s="958"/>
      <c r="Y310" s="958"/>
      <c r="Z310" s="958"/>
    </row>
    <row r="311" ht="35.25" hidden="1" customHeight="1">
      <c r="A311" s="1015" t="s">
        <v>942</v>
      </c>
      <c r="B311" s="960" t="s">
        <v>228</v>
      </c>
      <c r="C311" s="598">
        <v>2.738625E8</v>
      </c>
      <c r="D311" s="680">
        <f>SUM(C311:C315)</f>
        <v>440617000</v>
      </c>
      <c r="E311" s="956"/>
      <c r="F311" s="956"/>
      <c r="G311" s="956"/>
      <c r="H311" s="956"/>
      <c r="I311" s="956"/>
      <c r="J311" s="956"/>
      <c r="K311" s="956"/>
      <c r="L311" s="956"/>
      <c r="M311" s="956"/>
      <c r="N311" s="956"/>
      <c r="O311" s="958"/>
      <c r="P311" s="958"/>
      <c r="Q311" s="958"/>
      <c r="R311" s="958"/>
      <c r="S311" s="958"/>
      <c r="T311" s="958"/>
      <c r="U311" s="958"/>
      <c r="V311" s="958"/>
      <c r="W311" s="958"/>
      <c r="X311" s="958"/>
      <c r="Y311" s="958"/>
      <c r="Z311" s="958"/>
    </row>
    <row r="312" ht="35.25" hidden="1" customHeight="1">
      <c r="A312" s="18"/>
      <c r="B312" s="1014" t="s">
        <v>88</v>
      </c>
      <c r="C312" s="598">
        <v>3500000.0</v>
      </c>
      <c r="D312" s="18"/>
      <c r="E312" s="956"/>
      <c r="F312" s="956"/>
      <c r="G312" s="956"/>
      <c r="H312" s="956"/>
      <c r="I312" s="956"/>
      <c r="J312" s="956"/>
      <c r="K312" s="956"/>
      <c r="L312" s="956"/>
      <c r="M312" s="956"/>
      <c r="N312" s="956"/>
      <c r="O312" s="958"/>
      <c r="P312" s="958"/>
      <c r="Q312" s="958"/>
      <c r="R312" s="958"/>
      <c r="S312" s="958"/>
      <c r="T312" s="958"/>
      <c r="U312" s="958"/>
      <c r="V312" s="958"/>
      <c r="W312" s="958"/>
      <c r="X312" s="958"/>
      <c r="Y312" s="958"/>
      <c r="Z312" s="958"/>
    </row>
    <row r="313" ht="35.25" hidden="1" customHeight="1">
      <c r="A313" s="18"/>
      <c r="B313" s="960" t="s">
        <v>219</v>
      </c>
      <c r="C313" s="598">
        <v>5.6065E7</v>
      </c>
      <c r="D313" s="18"/>
      <c r="E313" s="956"/>
      <c r="F313" s="956"/>
      <c r="G313" s="956"/>
      <c r="H313" s="956"/>
      <c r="I313" s="956"/>
      <c r="J313" s="956"/>
      <c r="K313" s="956"/>
      <c r="L313" s="956"/>
      <c r="M313" s="956"/>
      <c r="N313" s="956"/>
      <c r="O313" s="958"/>
      <c r="P313" s="958"/>
      <c r="Q313" s="958"/>
      <c r="R313" s="958"/>
      <c r="S313" s="958"/>
      <c r="T313" s="958"/>
      <c r="U313" s="958"/>
      <c r="V313" s="958"/>
      <c r="W313" s="958"/>
      <c r="X313" s="958"/>
      <c r="Y313" s="958"/>
      <c r="Z313" s="958"/>
    </row>
    <row r="314" ht="35.25" hidden="1" customHeight="1">
      <c r="A314" s="18"/>
      <c r="B314" s="960" t="s">
        <v>89</v>
      </c>
      <c r="C314" s="598">
        <v>5.4915E7</v>
      </c>
      <c r="D314" s="18"/>
      <c r="E314" s="956"/>
      <c r="F314" s="956"/>
      <c r="G314" s="956"/>
      <c r="H314" s="956"/>
      <c r="I314" s="956"/>
      <c r="J314" s="956"/>
      <c r="K314" s="956"/>
      <c r="L314" s="956"/>
      <c r="M314" s="956"/>
      <c r="N314" s="956"/>
      <c r="O314" s="958"/>
      <c r="P314" s="958"/>
      <c r="Q314" s="958"/>
      <c r="R314" s="958"/>
      <c r="S314" s="958"/>
      <c r="T314" s="958"/>
      <c r="U314" s="958"/>
      <c r="V314" s="958"/>
      <c r="W314" s="958"/>
      <c r="X314" s="958"/>
      <c r="Y314" s="958"/>
      <c r="Z314" s="958"/>
    </row>
    <row r="315" ht="35.25" hidden="1" customHeight="1">
      <c r="A315" s="22"/>
      <c r="B315" s="960" t="s">
        <v>220</v>
      </c>
      <c r="C315" s="598">
        <v>5.22745E7</v>
      </c>
      <c r="D315" s="22"/>
      <c r="E315" s="956"/>
      <c r="F315" s="956"/>
      <c r="G315" s="956"/>
      <c r="H315" s="956"/>
      <c r="I315" s="956"/>
      <c r="J315" s="956"/>
      <c r="K315" s="956"/>
      <c r="L315" s="956"/>
      <c r="M315" s="956"/>
      <c r="N315" s="956"/>
      <c r="O315" s="958"/>
      <c r="P315" s="958"/>
      <c r="Q315" s="958"/>
      <c r="R315" s="958"/>
      <c r="S315" s="958"/>
      <c r="T315" s="958"/>
      <c r="U315" s="958"/>
      <c r="V315" s="958"/>
      <c r="W315" s="958"/>
      <c r="X315" s="958"/>
      <c r="Y315" s="958"/>
      <c r="Z315" s="958"/>
    </row>
    <row r="316" ht="35.25" hidden="1" customHeight="1">
      <c r="A316" s="1015" t="s">
        <v>946</v>
      </c>
      <c r="B316" s="960" t="s">
        <v>1127</v>
      </c>
      <c r="C316" s="598">
        <v>3.6396E7</v>
      </c>
      <c r="D316" s="680">
        <f>SUM(C316:C322)</f>
        <v>175969000</v>
      </c>
      <c r="E316" s="956"/>
      <c r="F316" s="956"/>
      <c r="G316" s="956"/>
      <c r="H316" s="956"/>
      <c r="I316" s="956"/>
      <c r="J316" s="956"/>
      <c r="K316" s="956"/>
      <c r="L316" s="956"/>
      <c r="M316" s="956"/>
      <c r="N316" s="956"/>
      <c r="O316" s="958"/>
      <c r="P316" s="958"/>
      <c r="Q316" s="958"/>
      <c r="R316" s="958"/>
      <c r="S316" s="958"/>
      <c r="T316" s="958"/>
      <c r="U316" s="958"/>
      <c r="V316" s="958"/>
      <c r="W316" s="958"/>
      <c r="X316" s="958"/>
      <c r="Y316" s="958"/>
      <c r="Z316" s="958"/>
    </row>
    <row r="317" ht="35.25" hidden="1" customHeight="1">
      <c r="A317" s="18"/>
      <c r="B317" s="960" t="s">
        <v>1128</v>
      </c>
      <c r="C317" s="598">
        <v>3.8753E7</v>
      </c>
      <c r="D317" s="18"/>
      <c r="E317" s="956"/>
      <c r="F317" s="956"/>
      <c r="G317" s="956"/>
      <c r="H317" s="956"/>
      <c r="I317" s="956"/>
      <c r="J317" s="956"/>
      <c r="K317" s="956"/>
      <c r="L317" s="956"/>
      <c r="M317" s="956"/>
      <c r="N317" s="956"/>
      <c r="O317" s="958"/>
      <c r="P317" s="958"/>
      <c r="Q317" s="958"/>
      <c r="R317" s="958"/>
      <c r="S317" s="958"/>
      <c r="T317" s="958"/>
      <c r="U317" s="958"/>
      <c r="V317" s="958"/>
      <c r="W317" s="958"/>
      <c r="X317" s="958"/>
      <c r="Y317" s="958"/>
      <c r="Z317" s="958"/>
    </row>
    <row r="318" ht="35.25" hidden="1" customHeight="1">
      <c r="A318" s="18"/>
      <c r="B318" s="960" t="s">
        <v>1129</v>
      </c>
      <c r="C318" s="1018">
        <v>2200000.0</v>
      </c>
      <c r="D318" s="18"/>
      <c r="E318" s="956"/>
      <c r="F318" s="956"/>
      <c r="G318" s="956"/>
      <c r="H318" s="956"/>
      <c r="I318" s="956"/>
      <c r="J318" s="956"/>
      <c r="K318" s="956"/>
      <c r="L318" s="956"/>
      <c r="M318" s="956"/>
      <c r="N318" s="956"/>
      <c r="O318" s="958"/>
      <c r="P318" s="958"/>
      <c r="Q318" s="958"/>
      <c r="R318" s="958"/>
      <c r="S318" s="958"/>
      <c r="T318" s="958"/>
      <c r="U318" s="958"/>
      <c r="V318" s="958"/>
      <c r="W318" s="958"/>
      <c r="X318" s="958"/>
      <c r="Y318" s="958"/>
      <c r="Z318" s="958"/>
    </row>
    <row r="319" ht="35.25" hidden="1" customHeight="1">
      <c r="A319" s="18"/>
      <c r="B319" s="960" t="s">
        <v>1130</v>
      </c>
      <c r="C319" s="1018">
        <v>4.062E7</v>
      </c>
      <c r="D319" s="18"/>
      <c r="E319" s="956"/>
      <c r="F319" s="956"/>
      <c r="G319" s="956"/>
      <c r="H319" s="956"/>
      <c r="I319" s="956"/>
      <c r="J319" s="956"/>
      <c r="K319" s="956"/>
      <c r="L319" s="956"/>
      <c r="M319" s="956"/>
      <c r="N319" s="956"/>
      <c r="O319" s="958"/>
      <c r="P319" s="958"/>
      <c r="Q319" s="958"/>
      <c r="R319" s="958"/>
      <c r="S319" s="958"/>
      <c r="T319" s="958"/>
      <c r="U319" s="958"/>
      <c r="V319" s="958"/>
      <c r="W319" s="958"/>
      <c r="X319" s="958"/>
      <c r="Y319" s="958"/>
      <c r="Z319" s="958"/>
    </row>
    <row r="320" ht="35.25" hidden="1" customHeight="1">
      <c r="A320" s="18"/>
      <c r="B320" s="960" t="s">
        <v>1131</v>
      </c>
      <c r="C320" s="1018">
        <v>5.2E7</v>
      </c>
      <c r="D320" s="18"/>
      <c r="E320" s="956"/>
      <c r="F320" s="956"/>
      <c r="G320" s="956"/>
      <c r="H320" s="956"/>
      <c r="I320" s="956"/>
      <c r="J320" s="956"/>
      <c r="K320" s="956"/>
      <c r="L320" s="956"/>
      <c r="M320" s="956"/>
      <c r="N320" s="956"/>
      <c r="O320" s="958"/>
      <c r="P320" s="958"/>
      <c r="Q320" s="958"/>
      <c r="R320" s="958"/>
      <c r="S320" s="958"/>
      <c r="T320" s="958"/>
      <c r="U320" s="958"/>
      <c r="V320" s="958"/>
      <c r="W320" s="958"/>
      <c r="X320" s="958"/>
      <c r="Y320" s="958"/>
      <c r="Z320" s="958"/>
    </row>
    <row r="321" ht="35.25" hidden="1" customHeight="1">
      <c r="A321" s="18"/>
      <c r="B321" s="960" t="s">
        <v>1132</v>
      </c>
      <c r="C321" s="1018">
        <v>6000000.0</v>
      </c>
      <c r="D321" s="18"/>
      <c r="E321" s="956"/>
      <c r="F321" s="956"/>
      <c r="G321" s="956"/>
      <c r="H321" s="956"/>
      <c r="I321" s="956"/>
      <c r="J321" s="956"/>
      <c r="K321" s="956"/>
      <c r="L321" s="956"/>
      <c r="M321" s="956"/>
      <c r="N321" s="956"/>
      <c r="O321" s="958"/>
      <c r="P321" s="958"/>
      <c r="Q321" s="958"/>
      <c r="R321" s="958"/>
      <c r="S321" s="958"/>
      <c r="T321" s="958"/>
      <c r="U321" s="958"/>
      <c r="V321" s="958"/>
      <c r="W321" s="958"/>
      <c r="X321" s="958"/>
      <c r="Y321" s="958"/>
      <c r="Z321" s="958"/>
    </row>
    <row r="322" ht="35.25" hidden="1" customHeight="1">
      <c r="A322" s="22"/>
      <c r="B322" s="960"/>
      <c r="C322" s="1018"/>
      <c r="D322" s="22"/>
      <c r="E322" s="956"/>
      <c r="F322" s="956"/>
      <c r="G322" s="956"/>
      <c r="H322" s="956"/>
      <c r="I322" s="956"/>
      <c r="J322" s="956"/>
      <c r="K322" s="956"/>
      <c r="L322" s="956"/>
      <c r="M322" s="956"/>
      <c r="N322" s="956"/>
      <c r="O322" s="958"/>
      <c r="P322" s="958"/>
      <c r="Q322" s="958"/>
      <c r="R322" s="958"/>
      <c r="S322" s="958"/>
      <c r="T322" s="958"/>
      <c r="U322" s="958"/>
      <c r="V322" s="958"/>
      <c r="W322" s="958"/>
      <c r="X322" s="958"/>
      <c r="Y322" s="958"/>
      <c r="Z322" s="958"/>
    </row>
    <row r="323" ht="35.25" hidden="1" customHeight="1">
      <c r="A323" s="1015" t="s">
        <v>947</v>
      </c>
      <c r="B323" s="960" t="s">
        <v>88</v>
      </c>
      <c r="C323" s="598" t="s">
        <v>7</v>
      </c>
      <c r="D323" s="680">
        <f>SUM(C323:C326)</f>
        <v>99468000</v>
      </c>
      <c r="E323" s="956"/>
      <c r="F323" s="956"/>
      <c r="G323" s="956"/>
      <c r="H323" s="956"/>
      <c r="I323" s="956"/>
      <c r="J323" s="956"/>
      <c r="K323" s="956"/>
      <c r="L323" s="956"/>
      <c r="M323" s="956"/>
      <c r="N323" s="956"/>
      <c r="O323" s="958"/>
      <c r="P323" s="958"/>
      <c r="Q323" s="958"/>
      <c r="R323" s="958"/>
      <c r="S323" s="958"/>
      <c r="T323" s="958"/>
      <c r="U323" s="958"/>
      <c r="V323" s="958"/>
      <c r="W323" s="958"/>
      <c r="X323" s="958"/>
      <c r="Y323" s="958"/>
      <c r="Z323" s="958"/>
    </row>
    <row r="324" ht="35.25" hidden="1" customHeight="1">
      <c r="A324" s="18"/>
      <c r="B324" s="960" t="s">
        <v>219</v>
      </c>
      <c r="C324" s="598" t="s">
        <v>7</v>
      </c>
      <c r="D324" s="18"/>
      <c r="E324" s="956"/>
      <c r="F324" s="956"/>
      <c r="G324" s="956"/>
      <c r="H324" s="956"/>
      <c r="I324" s="956"/>
      <c r="J324" s="956"/>
      <c r="K324" s="956"/>
      <c r="L324" s="956"/>
      <c r="M324" s="956"/>
      <c r="N324" s="956"/>
      <c r="O324" s="958"/>
      <c r="P324" s="958"/>
      <c r="Q324" s="958"/>
      <c r="R324" s="958"/>
      <c r="S324" s="958"/>
      <c r="T324" s="958"/>
      <c r="U324" s="958"/>
      <c r="V324" s="958"/>
      <c r="W324" s="958"/>
      <c r="X324" s="958"/>
      <c r="Y324" s="958"/>
      <c r="Z324" s="958"/>
    </row>
    <row r="325" ht="35.25" hidden="1" customHeight="1">
      <c r="A325" s="18"/>
      <c r="B325" s="960" t="s">
        <v>89</v>
      </c>
      <c r="C325" s="598">
        <v>4.4878E7</v>
      </c>
      <c r="D325" s="18"/>
      <c r="E325" s="956"/>
      <c r="F325" s="956"/>
      <c r="G325" s="956"/>
      <c r="H325" s="956"/>
      <c r="I325" s="956"/>
      <c r="J325" s="956"/>
      <c r="K325" s="956"/>
      <c r="L325" s="956"/>
      <c r="M325" s="956"/>
      <c r="N325" s="956"/>
      <c r="O325" s="958"/>
      <c r="P325" s="958"/>
      <c r="Q325" s="958"/>
      <c r="R325" s="958"/>
      <c r="S325" s="958"/>
      <c r="T325" s="958"/>
      <c r="U325" s="958"/>
      <c r="V325" s="958"/>
      <c r="W325" s="958"/>
      <c r="X325" s="958"/>
      <c r="Y325" s="958"/>
      <c r="Z325" s="958"/>
    </row>
    <row r="326" ht="35.25" hidden="1" customHeight="1">
      <c r="A326" s="22"/>
      <c r="B326" s="960" t="s">
        <v>220</v>
      </c>
      <c r="C326" s="598">
        <v>5.459E7</v>
      </c>
      <c r="D326" s="22"/>
      <c r="E326" s="956"/>
      <c r="F326" s="956"/>
      <c r="G326" s="956"/>
      <c r="H326" s="956"/>
      <c r="I326" s="956"/>
      <c r="J326" s="956"/>
      <c r="K326" s="956"/>
      <c r="L326" s="956"/>
      <c r="M326" s="956"/>
      <c r="N326" s="956"/>
      <c r="O326" s="958"/>
      <c r="P326" s="958"/>
      <c r="Q326" s="958"/>
      <c r="R326" s="958"/>
      <c r="S326" s="958"/>
      <c r="T326" s="958"/>
      <c r="U326" s="958"/>
      <c r="V326" s="958"/>
      <c r="W326" s="958"/>
      <c r="X326" s="958"/>
      <c r="Y326" s="958"/>
      <c r="Z326" s="958"/>
    </row>
    <row r="327" ht="35.25" hidden="1" customHeight="1">
      <c r="A327" s="1015" t="s">
        <v>1000</v>
      </c>
      <c r="B327" s="960" t="s">
        <v>88</v>
      </c>
      <c r="C327" s="598">
        <v>2.78125E7</v>
      </c>
      <c r="D327" s="680">
        <f>SUM(C327:C330)</f>
        <v>86858500</v>
      </c>
      <c r="E327" s="956"/>
      <c r="F327" s="956"/>
      <c r="G327" s="956"/>
      <c r="H327" s="956"/>
      <c r="I327" s="956"/>
      <c r="J327" s="956"/>
      <c r="K327" s="956"/>
      <c r="L327" s="956"/>
      <c r="M327" s="956"/>
      <c r="N327" s="956"/>
      <c r="O327" s="958"/>
      <c r="P327" s="958"/>
      <c r="Q327" s="958"/>
      <c r="R327" s="958"/>
      <c r="S327" s="958"/>
      <c r="T327" s="958"/>
      <c r="U327" s="958"/>
      <c r="V327" s="958"/>
      <c r="W327" s="958"/>
      <c r="X327" s="958"/>
      <c r="Y327" s="958"/>
      <c r="Z327" s="958"/>
    </row>
    <row r="328" ht="35.25" hidden="1" customHeight="1">
      <c r="A328" s="18"/>
      <c r="B328" s="960" t="s">
        <v>219</v>
      </c>
      <c r="C328" s="598">
        <v>2.4536E7</v>
      </c>
      <c r="D328" s="18"/>
      <c r="E328" s="956"/>
      <c r="F328" s="956"/>
      <c r="G328" s="956"/>
      <c r="H328" s="956"/>
      <c r="I328" s="956"/>
      <c r="J328" s="956"/>
      <c r="K328" s="956"/>
      <c r="L328" s="956"/>
      <c r="M328" s="956"/>
      <c r="N328" s="956"/>
      <c r="O328" s="958"/>
      <c r="P328" s="958"/>
      <c r="Q328" s="958"/>
      <c r="R328" s="958"/>
      <c r="S328" s="958"/>
      <c r="T328" s="958"/>
      <c r="U328" s="958"/>
      <c r="V328" s="958"/>
      <c r="W328" s="958"/>
      <c r="X328" s="958"/>
      <c r="Y328" s="958"/>
      <c r="Z328" s="958"/>
    </row>
    <row r="329" ht="35.25" hidden="1" customHeight="1">
      <c r="A329" s="18"/>
      <c r="B329" s="960" t="s">
        <v>89</v>
      </c>
      <c r="C329" s="598">
        <f>18389000-48*3000</f>
        <v>18245000</v>
      </c>
      <c r="D329" s="18"/>
      <c r="E329" s="956">
        <f>48*3</f>
        <v>144</v>
      </c>
      <c r="F329" s="956"/>
      <c r="G329" s="956"/>
      <c r="H329" s="956"/>
      <c r="I329" s="956"/>
      <c r="J329" s="956"/>
      <c r="K329" s="956"/>
      <c r="L329" s="956"/>
      <c r="M329" s="956"/>
      <c r="N329" s="956"/>
      <c r="O329" s="958"/>
      <c r="P329" s="958"/>
      <c r="Q329" s="958"/>
      <c r="R329" s="958"/>
      <c r="S329" s="958"/>
      <c r="T329" s="958"/>
      <c r="U329" s="958"/>
      <c r="V329" s="958"/>
      <c r="W329" s="958"/>
      <c r="X329" s="958"/>
      <c r="Y329" s="958"/>
      <c r="Z329" s="958"/>
    </row>
    <row r="330" ht="35.25" hidden="1" customHeight="1">
      <c r="A330" s="22"/>
      <c r="B330" s="960" t="s">
        <v>220</v>
      </c>
      <c r="C330" s="598">
        <f>16604000-339000</f>
        <v>16265000</v>
      </c>
      <c r="D330" s="22"/>
      <c r="E330" s="956">
        <f>300+13*3</f>
        <v>339</v>
      </c>
      <c r="F330" s="956"/>
      <c r="G330" s="956"/>
      <c r="H330" s="956"/>
      <c r="I330" s="956"/>
      <c r="J330" s="956"/>
      <c r="K330" s="956"/>
      <c r="L330" s="956"/>
      <c r="M330" s="956"/>
      <c r="N330" s="956"/>
      <c r="O330" s="958"/>
      <c r="P330" s="958"/>
      <c r="Q330" s="958"/>
      <c r="R330" s="958"/>
      <c r="S330" s="958"/>
      <c r="T330" s="958"/>
      <c r="U330" s="958"/>
      <c r="V330" s="958"/>
      <c r="W330" s="958"/>
      <c r="X330" s="958"/>
      <c r="Y330" s="958"/>
      <c r="Z330" s="958"/>
    </row>
    <row r="331" ht="35.25" hidden="1" customHeight="1">
      <c r="A331" s="1015" t="s">
        <v>943</v>
      </c>
      <c r="B331" s="960" t="s">
        <v>88</v>
      </c>
      <c r="C331" s="598">
        <v>5710000.0</v>
      </c>
      <c r="D331" s="680">
        <f>SUM(C331:C334)</f>
        <v>23467500</v>
      </c>
      <c r="E331" s="956"/>
      <c r="F331" s="956"/>
      <c r="G331" s="956"/>
      <c r="H331" s="956"/>
      <c r="I331" s="956"/>
      <c r="J331" s="956"/>
      <c r="K331" s="956"/>
      <c r="L331" s="956"/>
      <c r="M331" s="956"/>
      <c r="N331" s="956"/>
      <c r="O331" s="958"/>
      <c r="P331" s="958"/>
      <c r="Q331" s="958"/>
      <c r="R331" s="958"/>
      <c r="S331" s="958"/>
      <c r="T331" s="958"/>
      <c r="U331" s="958"/>
      <c r="V331" s="958"/>
      <c r="W331" s="958"/>
      <c r="X331" s="958"/>
      <c r="Y331" s="958"/>
      <c r="Z331" s="958"/>
    </row>
    <row r="332" ht="35.25" hidden="1" customHeight="1">
      <c r="A332" s="18"/>
      <c r="B332" s="960" t="s">
        <v>219</v>
      </c>
      <c r="C332" s="598">
        <v>1.07575E7</v>
      </c>
      <c r="D332" s="18"/>
      <c r="E332" s="956"/>
      <c r="F332" s="956"/>
      <c r="G332" s="956"/>
      <c r="H332" s="956"/>
      <c r="I332" s="956"/>
      <c r="J332" s="956"/>
      <c r="K332" s="956"/>
      <c r="L332" s="956"/>
      <c r="M332" s="956"/>
      <c r="N332" s="956"/>
      <c r="O332" s="958"/>
      <c r="P332" s="958"/>
      <c r="Q332" s="958"/>
      <c r="R332" s="958"/>
      <c r="S332" s="958"/>
      <c r="T332" s="958"/>
      <c r="U332" s="958"/>
      <c r="V332" s="958"/>
      <c r="W332" s="958"/>
      <c r="X332" s="958"/>
      <c r="Y332" s="958"/>
      <c r="Z332" s="958"/>
    </row>
    <row r="333" ht="35.25" hidden="1" customHeight="1">
      <c r="A333" s="18"/>
      <c r="B333" s="960" t="s">
        <v>89</v>
      </c>
      <c r="C333" s="598">
        <v>7000000.0</v>
      </c>
      <c r="D333" s="18"/>
      <c r="E333" s="956"/>
      <c r="F333" s="956"/>
      <c r="G333" s="956"/>
      <c r="H333" s="956"/>
      <c r="I333" s="956"/>
      <c r="J333" s="956"/>
      <c r="K333" s="956"/>
      <c r="L333" s="956"/>
      <c r="M333" s="956"/>
      <c r="N333" s="956"/>
      <c r="O333" s="958"/>
      <c r="P333" s="958"/>
      <c r="Q333" s="958"/>
      <c r="R333" s="958"/>
      <c r="S333" s="958"/>
      <c r="T333" s="958"/>
      <c r="U333" s="958"/>
      <c r="V333" s="958"/>
      <c r="W333" s="958"/>
      <c r="X333" s="958"/>
      <c r="Y333" s="958"/>
      <c r="Z333" s="958"/>
    </row>
    <row r="334" ht="35.25" hidden="1" customHeight="1">
      <c r="A334" s="22"/>
      <c r="B334" s="960" t="s">
        <v>220</v>
      </c>
      <c r="C334" s="598"/>
      <c r="D334" s="22"/>
      <c r="E334" s="956"/>
      <c r="F334" s="956"/>
      <c r="G334" s="956"/>
      <c r="H334" s="956"/>
      <c r="I334" s="956"/>
      <c r="J334" s="956"/>
      <c r="K334" s="956"/>
      <c r="L334" s="956"/>
      <c r="M334" s="956"/>
      <c r="N334" s="956"/>
      <c r="O334" s="958"/>
      <c r="P334" s="958"/>
      <c r="Q334" s="958"/>
      <c r="R334" s="958"/>
      <c r="S334" s="958"/>
      <c r="T334" s="958"/>
      <c r="U334" s="958"/>
      <c r="V334" s="958"/>
      <c r="W334" s="958"/>
      <c r="X334" s="958"/>
      <c r="Y334" s="958"/>
      <c r="Z334" s="958"/>
    </row>
    <row r="335" ht="35.25" hidden="1" customHeight="1">
      <c r="A335" s="1015" t="s">
        <v>1001</v>
      </c>
      <c r="B335" s="1014" t="s">
        <v>88</v>
      </c>
      <c r="C335" s="598">
        <v>5.34335E7</v>
      </c>
      <c r="D335" s="680">
        <f>SUM(C335:C338)</f>
        <v>124789500</v>
      </c>
      <c r="E335" s="956"/>
      <c r="F335" s="956"/>
      <c r="G335" s="956"/>
      <c r="H335" s="956"/>
      <c r="I335" s="956"/>
      <c r="J335" s="956"/>
      <c r="K335" s="956"/>
      <c r="L335" s="956"/>
      <c r="M335" s="956"/>
      <c r="N335" s="956"/>
      <c r="O335" s="958"/>
      <c r="P335" s="958"/>
      <c r="Q335" s="958"/>
      <c r="R335" s="958"/>
      <c r="S335" s="958"/>
      <c r="T335" s="958"/>
      <c r="U335" s="958"/>
      <c r="V335" s="958"/>
      <c r="W335" s="958"/>
      <c r="X335" s="958"/>
      <c r="Y335" s="958"/>
      <c r="Z335" s="958"/>
    </row>
    <row r="336" ht="35.25" hidden="1" customHeight="1">
      <c r="A336" s="18"/>
      <c r="B336" s="960" t="s">
        <v>219</v>
      </c>
      <c r="C336" s="598">
        <v>1.9002E7</v>
      </c>
      <c r="D336" s="18"/>
      <c r="E336" s="956"/>
      <c r="F336" s="956"/>
      <c r="G336" s="956"/>
      <c r="H336" s="956"/>
      <c r="I336" s="956"/>
      <c r="J336" s="956"/>
      <c r="K336" s="956"/>
      <c r="L336" s="956"/>
      <c r="M336" s="956"/>
      <c r="N336" s="956"/>
      <c r="O336" s="958"/>
      <c r="P336" s="958"/>
      <c r="Q336" s="958"/>
      <c r="R336" s="958"/>
      <c r="S336" s="958"/>
      <c r="T336" s="958"/>
      <c r="U336" s="958"/>
      <c r="V336" s="958"/>
      <c r="W336" s="958"/>
      <c r="X336" s="958"/>
      <c r="Y336" s="958"/>
      <c r="Z336" s="958"/>
    </row>
    <row r="337" ht="35.25" hidden="1" customHeight="1">
      <c r="A337" s="18"/>
      <c r="B337" s="960" t="s">
        <v>89</v>
      </c>
      <c r="C337" s="598">
        <v>2.54525E7</v>
      </c>
      <c r="D337" s="18"/>
      <c r="E337" s="956"/>
      <c r="F337" s="956"/>
      <c r="G337" s="956"/>
      <c r="H337" s="956"/>
      <c r="I337" s="956"/>
      <c r="J337" s="956"/>
      <c r="K337" s="956"/>
      <c r="L337" s="956"/>
      <c r="M337" s="956"/>
      <c r="N337" s="956"/>
      <c r="O337" s="958"/>
      <c r="P337" s="958"/>
      <c r="Q337" s="958"/>
      <c r="R337" s="958"/>
      <c r="S337" s="958"/>
      <c r="T337" s="958"/>
      <c r="U337" s="958"/>
      <c r="V337" s="958"/>
      <c r="W337" s="958"/>
      <c r="X337" s="958"/>
      <c r="Y337" s="958"/>
      <c r="Z337" s="958"/>
    </row>
    <row r="338" ht="35.25" hidden="1" customHeight="1">
      <c r="A338" s="22"/>
      <c r="B338" s="960" t="s">
        <v>220</v>
      </c>
      <c r="C338" s="598">
        <v>2.69015E7</v>
      </c>
      <c r="D338" s="22"/>
      <c r="E338" s="956"/>
      <c r="F338" s="956"/>
      <c r="G338" s="956"/>
      <c r="H338" s="956"/>
      <c r="I338" s="956"/>
      <c r="J338" s="956"/>
      <c r="K338" s="956"/>
      <c r="L338" s="956"/>
      <c r="M338" s="956"/>
      <c r="N338" s="956"/>
      <c r="O338" s="958"/>
      <c r="P338" s="958"/>
      <c r="Q338" s="958"/>
      <c r="R338" s="958"/>
      <c r="S338" s="958"/>
      <c r="T338" s="958"/>
      <c r="U338" s="958"/>
      <c r="V338" s="958"/>
      <c r="W338" s="958"/>
      <c r="X338" s="958"/>
      <c r="Y338" s="958"/>
      <c r="Z338" s="958"/>
    </row>
    <row r="339" ht="35.25" hidden="1" customHeight="1">
      <c r="A339" s="1015" t="s">
        <v>1002</v>
      </c>
      <c r="B339" s="960" t="s">
        <v>228</v>
      </c>
      <c r="C339" s="598">
        <f>190657500-41555000-37758000-64355000</f>
        <v>46989500</v>
      </c>
      <c r="D339" s="680">
        <f>SUM(C339:C343)</f>
        <v>224266000</v>
      </c>
      <c r="E339" s="956"/>
      <c r="F339" s="956"/>
      <c r="G339" s="956"/>
      <c r="H339" s="956"/>
      <c r="I339" s="956"/>
      <c r="J339" s="956"/>
      <c r="K339" s="956"/>
      <c r="L339" s="956"/>
      <c r="M339" s="956"/>
      <c r="N339" s="956"/>
      <c r="O339" s="958"/>
      <c r="P339" s="958"/>
      <c r="Q339" s="958"/>
      <c r="R339" s="958"/>
      <c r="S339" s="958"/>
      <c r="T339" s="958"/>
      <c r="U339" s="958"/>
      <c r="V339" s="958"/>
      <c r="W339" s="958"/>
      <c r="X339" s="958"/>
      <c r="Y339" s="958"/>
      <c r="Z339" s="958"/>
    </row>
    <row r="340" ht="35.25" hidden="1" customHeight="1">
      <c r="A340" s="18"/>
      <c r="B340" s="1014" t="s">
        <v>88</v>
      </c>
      <c r="C340" s="598">
        <v>3.3115E7</v>
      </c>
      <c r="D340" s="18"/>
      <c r="E340" s="956"/>
      <c r="F340" s="956"/>
      <c r="G340" s="956"/>
      <c r="H340" s="956"/>
      <c r="I340" s="956"/>
      <c r="J340" s="956"/>
      <c r="K340" s="956"/>
      <c r="L340" s="956"/>
      <c r="M340" s="956"/>
      <c r="N340" s="956"/>
      <c r="O340" s="958"/>
      <c r="P340" s="958"/>
      <c r="Q340" s="958"/>
      <c r="R340" s="958"/>
      <c r="S340" s="958"/>
      <c r="T340" s="958"/>
      <c r="U340" s="958"/>
      <c r="V340" s="958"/>
      <c r="W340" s="958"/>
      <c r="X340" s="958"/>
      <c r="Y340" s="958"/>
      <c r="Z340" s="958"/>
    </row>
    <row r="341" ht="35.25" hidden="1" customHeight="1">
      <c r="A341" s="18"/>
      <c r="B341" s="960" t="s">
        <v>219</v>
      </c>
      <c r="C341" s="598">
        <f>51807500-153000</f>
        <v>51654500</v>
      </c>
      <c r="D341" s="18"/>
      <c r="E341" s="956"/>
      <c r="F341" s="956"/>
      <c r="G341" s="956"/>
      <c r="H341" s="956"/>
      <c r="I341" s="956"/>
      <c r="J341" s="956"/>
      <c r="K341" s="956"/>
      <c r="L341" s="956"/>
      <c r="M341" s="956"/>
      <c r="N341" s="956"/>
      <c r="O341" s="958"/>
      <c r="P341" s="958"/>
      <c r="Q341" s="958"/>
      <c r="R341" s="958"/>
      <c r="S341" s="958"/>
      <c r="T341" s="958"/>
      <c r="U341" s="958"/>
      <c r="V341" s="958"/>
      <c r="W341" s="958"/>
      <c r="X341" s="958"/>
      <c r="Y341" s="958"/>
      <c r="Z341" s="958"/>
    </row>
    <row r="342" ht="35.25" hidden="1" customHeight="1">
      <c r="A342" s="18"/>
      <c r="B342" s="960" t="s">
        <v>89</v>
      </c>
      <c r="C342" s="598">
        <v>4.803E7</v>
      </c>
      <c r="D342" s="18"/>
      <c r="E342" s="956"/>
      <c r="F342" s="956"/>
      <c r="G342" s="956"/>
      <c r="H342" s="956"/>
      <c r="I342" s="956"/>
      <c r="J342" s="956"/>
      <c r="K342" s="956"/>
      <c r="L342" s="956"/>
      <c r="M342" s="956"/>
      <c r="N342" s="956"/>
      <c r="O342" s="958"/>
      <c r="P342" s="958"/>
      <c r="Q342" s="958"/>
      <c r="R342" s="958"/>
      <c r="S342" s="958"/>
      <c r="T342" s="958"/>
      <c r="U342" s="958"/>
      <c r="V342" s="958"/>
      <c r="W342" s="958"/>
      <c r="X342" s="958"/>
      <c r="Y342" s="958"/>
      <c r="Z342" s="958"/>
    </row>
    <row r="343" ht="35.25" hidden="1" customHeight="1">
      <c r="A343" s="22"/>
      <c r="B343" s="960" t="s">
        <v>220</v>
      </c>
      <c r="C343" s="598">
        <f>44630000-153000</f>
        <v>44477000</v>
      </c>
      <c r="D343" s="22"/>
      <c r="E343" s="956">
        <f>51*3000</f>
        <v>153000</v>
      </c>
      <c r="F343" s="956"/>
      <c r="G343" s="956"/>
      <c r="H343" s="956"/>
      <c r="I343" s="956"/>
      <c r="J343" s="956"/>
      <c r="K343" s="956"/>
      <c r="L343" s="956"/>
      <c r="M343" s="956"/>
      <c r="N343" s="956"/>
      <c r="O343" s="958"/>
      <c r="P343" s="958"/>
      <c r="Q343" s="958"/>
      <c r="R343" s="958"/>
      <c r="S343" s="958"/>
      <c r="T343" s="958"/>
      <c r="U343" s="958"/>
      <c r="V343" s="958"/>
      <c r="W343" s="958"/>
      <c r="X343" s="958"/>
      <c r="Y343" s="958"/>
      <c r="Z343" s="958"/>
    </row>
    <row r="344" ht="35.25" hidden="1" customHeight="1">
      <c r="A344" s="1015" t="s">
        <v>1003</v>
      </c>
      <c r="B344" s="1014" t="s">
        <v>88</v>
      </c>
      <c r="C344" s="598">
        <v>5.7829E7</v>
      </c>
      <c r="D344" s="680">
        <f>SUM(C344:C347)</f>
        <v>160619500</v>
      </c>
      <c r="E344" s="956"/>
      <c r="F344" s="956"/>
      <c r="G344" s="956"/>
      <c r="H344" s="956"/>
      <c r="I344" s="956"/>
      <c r="J344" s="956"/>
      <c r="K344" s="956"/>
      <c r="L344" s="956"/>
      <c r="M344" s="956"/>
      <c r="N344" s="956"/>
      <c r="O344" s="958"/>
      <c r="P344" s="958"/>
      <c r="Q344" s="958"/>
      <c r="R344" s="958"/>
      <c r="S344" s="958"/>
      <c r="T344" s="958"/>
      <c r="U344" s="958"/>
      <c r="V344" s="958"/>
      <c r="W344" s="958"/>
      <c r="X344" s="958"/>
      <c r="Y344" s="958"/>
      <c r="Z344" s="958"/>
    </row>
    <row r="345" ht="35.25" hidden="1" customHeight="1">
      <c r="A345" s="18"/>
      <c r="B345" s="960" t="s">
        <v>219</v>
      </c>
      <c r="C345" s="598">
        <v>2.82435E7</v>
      </c>
      <c r="D345" s="18"/>
      <c r="E345" s="956"/>
      <c r="F345" s="956"/>
      <c r="G345" s="956"/>
      <c r="H345" s="956"/>
      <c r="I345" s="956"/>
      <c r="J345" s="956"/>
      <c r="K345" s="956"/>
      <c r="L345" s="956"/>
      <c r="M345" s="956"/>
      <c r="N345" s="956"/>
      <c r="O345" s="958"/>
      <c r="P345" s="958"/>
      <c r="Q345" s="958"/>
      <c r="R345" s="958"/>
      <c r="S345" s="958"/>
      <c r="T345" s="958"/>
      <c r="U345" s="958"/>
      <c r="V345" s="958"/>
      <c r="W345" s="958"/>
      <c r="X345" s="958"/>
      <c r="Y345" s="958"/>
      <c r="Z345" s="958"/>
    </row>
    <row r="346" ht="35.25" hidden="1" customHeight="1">
      <c r="A346" s="18"/>
      <c r="B346" s="960" t="s">
        <v>89</v>
      </c>
      <c r="C346" s="598">
        <v>4.78095E7</v>
      </c>
      <c r="D346" s="18"/>
      <c r="E346" s="956"/>
      <c r="F346" s="956"/>
      <c r="G346" s="956"/>
      <c r="H346" s="956"/>
      <c r="I346" s="956"/>
      <c r="J346" s="956"/>
      <c r="K346" s="956"/>
      <c r="L346" s="956"/>
      <c r="M346" s="956"/>
      <c r="N346" s="956"/>
      <c r="O346" s="958"/>
      <c r="P346" s="958"/>
      <c r="Q346" s="958"/>
      <c r="R346" s="958"/>
      <c r="S346" s="958"/>
      <c r="T346" s="958"/>
      <c r="U346" s="958"/>
      <c r="V346" s="958"/>
      <c r="W346" s="958"/>
      <c r="X346" s="958"/>
      <c r="Y346" s="958"/>
      <c r="Z346" s="958"/>
    </row>
    <row r="347" ht="35.25" hidden="1" customHeight="1">
      <c r="A347" s="22"/>
      <c r="B347" s="960" t="s">
        <v>220</v>
      </c>
      <c r="C347" s="598">
        <f>27227500-490000</f>
        <v>26737500</v>
      </c>
      <c r="D347" s="22"/>
      <c r="E347" s="956"/>
      <c r="F347" s="956"/>
      <c r="G347" s="956"/>
      <c r="H347" s="956"/>
      <c r="I347" s="956"/>
      <c r="J347" s="956"/>
      <c r="K347" s="956"/>
      <c r="L347" s="956"/>
      <c r="M347" s="956"/>
      <c r="N347" s="956"/>
      <c r="O347" s="958"/>
      <c r="P347" s="958"/>
      <c r="Q347" s="958"/>
      <c r="R347" s="958"/>
      <c r="S347" s="958"/>
      <c r="T347" s="958"/>
      <c r="U347" s="958"/>
      <c r="V347" s="958"/>
      <c r="W347" s="958"/>
      <c r="X347" s="958"/>
      <c r="Y347" s="958"/>
      <c r="Z347" s="958"/>
    </row>
    <row r="348" ht="35.25" hidden="1" customHeight="1">
      <c r="A348" s="1015" t="s">
        <v>1024</v>
      </c>
      <c r="B348" s="960" t="s">
        <v>228</v>
      </c>
      <c r="C348" s="598">
        <f>210975000-140950000</f>
        <v>70025000</v>
      </c>
      <c r="D348" s="680">
        <f>SUM(C348:C352)</f>
        <v>145834500</v>
      </c>
      <c r="E348" s="956"/>
      <c r="F348" s="956"/>
      <c r="G348" s="956"/>
      <c r="H348" s="956"/>
      <c r="I348" s="956"/>
      <c r="J348" s="956"/>
      <c r="K348" s="956"/>
      <c r="L348" s="956"/>
      <c r="M348" s="956"/>
      <c r="N348" s="956"/>
      <c r="O348" s="958"/>
      <c r="P348" s="958"/>
      <c r="Q348" s="958"/>
      <c r="R348" s="958"/>
      <c r="S348" s="958"/>
      <c r="T348" s="958"/>
      <c r="U348" s="958"/>
      <c r="V348" s="958"/>
      <c r="W348" s="958"/>
      <c r="X348" s="958"/>
      <c r="Y348" s="958"/>
      <c r="Z348" s="958"/>
    </row>
    <row r="349" ht="35.25" hidden="1" customHeight="1">
      <c r="A349" s="18"/>
      <c r="B349" s="960" t="s">
        <v>88</v>
      </c>
      <c r="C349" s="598">
        <f>24032000-52000</f>
        <v>23980000</v>
      </c>
      <c r="D349" s="18"/>
      <c r="E349" s="956"/>
      <c r="F349" s="956"/>
      <c r="G349" s="956"/>
      <c r="H349" s="956"/>
      <c r="I349" s="956"/>
      <c r="J349" s="956"/>
      <c r="K349" s="956"/>
      <c r="L349" s="956"/>
      <c r="M349" s="956"/>
      <c r="N349" s="956"/>
      <c r="O349" s="958"/>
      <c r="P349" s="958"/>
      <c r="Q349" s="958"/>
      <c r="R349" s="958"/>
      <c r="S349" s="958"/>
      <c r="T349" s="958"/>
      <c r="U349" s="958"/>
      <c r="V349" s="958"/>
      <c r="W349" s="958"/>
      <c r="X349" s="958"/>
      <c r="Y349" s="958"/>
      <c r="Z349" s="958"/>
    </row>
    <row r="350" ht="35.25" hidden="1" customHeight="1">
      <c r="A350" s="18"/>
      <c r="B350" s="960" t="s">
        <v>219</v>
      </c>
      <c r="C350" s="598">
        <v>2.7197E7</v>
      </c>
      <c r="D350" s="18"/>
      <c r="E350" s="956"/>
      <c r="F350" s="956"/>
      <c r="G350" s="956"/>
      <c r="H350" s="956"/>
      <c r="I350" s="956"/>
      <c r="J350" s="956"/>
      <c r="K350" s="956"/>
      <c r="L350" s="956"/>
      <c r="M350" s="956"/>
      <c r="N350" s="956"/>
      <c r="O350" s="958"/>
      <c r="P350" s="958"/>
      <c r="Q350" s="958"/>
      <c r="R350" s="958"/>
      <c r="S350" s="958"/>
      <c r="T350" s="958"/>
      <c r="U350" s="958"/>
      <c r="V350" s="958"/>
      <c r="W350" s="958"/>
      <c r="X350" s="958"/>
      <c r="Y350" s="958"/>
      <c r="Z350" s="958"/>
    </row>
    <row r="351" ht="35.25" hidden="1" customHeight="1">
      <c r="A351" s="18"/>
      <c r="B351" s="960" t="s">
        <v>89</v>
      </c>
      <c r="C351" s="598">
        <v>2.46325E7</v>
      </c>
      <c r="D351" s="18"/>
      <c r="E351" s="956"/>
      <c r="F351" s="956"/>
      <c r="G351" s="956"/>
      <c r="H351" s="956"/>
      <c r="I351" s="956"/>
      <c r="J351" s="956"/>
      <c r="K351" s="956"/>
      <c r="L351" s="956"/>
      <c r="M351" s="956"/>
      <c r="N351" s="956"/>
      <c r="O351" s="958"/>
      <c r="P351" s="958"/>
      <c r="Q351" s="958"/>
      <c r="R351" s="958"/>
      <c r="S351" s="958"/>
      <c r="T351" s="958"/>
      <c r="U351" s="958"/>
      <c r="V351" s="958"/>
      <c r="W351" s="958"/>
      <c r="X351" s="958"/>
      <c r="Y351" s="958"/>
      <c r="Z351" s="958"/>
    </row>
    <row r="352" ht="35.25" hidden="1" customHeight="1">
      <c r="A352" s="22"/>
      <c r="B352" s="960" t="s">
        <v>220</v>
      </c>
      <c r="C352" s="598"/>
      <c r="D352" s="22"/>
      <c r="E352" s="956"/>
      <c r="F352" s="956"/>
      <c r="G352" s="956"/>
      <c r="H352" s="956"/>
      <c r="I352" s="956"/>
      <c r="J352" s="956"/>
      <c r="K352" s="956"/>
      <c r="L352" s="956"/>
      <c r="M352" s="956"/>
      <c r="N352" s="956"/>
      <c r="O352" s="958"/>
      <c r="P352" s="958"/>
      <c r="Q352" s="958"/>
      <c r="R352" s="958"/>
      <c r="S352" s="958"/>
      <c r="T352" s="958"/>
      <c r="U352" s="958"/>
      <c r="V352" s="958"/>
      <c r="W352" s="958"/>
      <c r="X352" s="958"/>
      <c r="Y352" s="958"/>
      <c r="Z352" s="958"/>
    </row>
    <row r="353" ht="35.25" hidden="1" customHeight="1">
      <c r="A353" s="1015" t="s">
        <v>1133</v>
      </c>
      <c r="B353" s="960" t="s">
        <v>88</v>
      </c>
      <c r="C353" s="598">
        <v>1.47487E8</v>
      </c>
      <c r="D353" s="680">
        <f>SUM(C353:C356)</f>
        <v>448827500</v>
      </c>
      <c r="E353" s="956"/>
      <c r="F353" s="956"/>
      <c r="G353" s="956"/>
      <c r="H353" s="956"/>
      <c r="I353" s="956"/>
      <c r="J353" s="956"/>
      <c r="K353" s="956"/>
      <c r="L353" s="956"/>
      <c r="M353" s="956"/>
      <c r="N353" s="956"/>
      <c r="O353" s="958"/>
      <c r="P353" s="958"/>
      <c r="Q353" s="958"/>
      <c r="R353" s="958"/>
      <c r="S353" s="958"/>
      <c r="T353" s="958"/>
      <c r="U353" s="958"/>
      <c r="V353" s="958"/>
      <c r="W353" s="958"/>
      <c r="X353" s="958"/>
      <c r="Y353" s="958"/>
      <c r="Z353" s="958"/>
    </row>
    <row r="354" ht="35.25" hidden="1" customHeight="1">
      <c r="A354" s="18"/>
      <c r="B354" s="960" t="s">
        <v>219</v>
      </c>
      <c r="C354" s="598">
        <v>1.549465E8</v>
      </c>
      <c r="D354" s="18"/>
      <c r="E354" s="956"/>
      <c r="F354" s="956"/>
      <c r="G354" s="956"/>
      <c r="H354" s="956"/>
      <c r="I354" s="956"/>
      <c r="J354" s="956"/>
      <c r="K354" s="956"/>
      <c r="L354" s="956"/>
      <c r="M354" s="956"/>
      <c r="N354" s="956"/>
      <c r="O354" s="958"/>
      <c r="P354" s="958"/>
      <c r="Q354" s="958"/>
      <c r="R354" s="958"/>
      <c r="S354" s="958"/>
      <c r="T354" s="958"/>
      <c r="U354" s="958"/>
      <c r="V354" s="958"/>
      <c r="W354" s="958"/>
      <c r="X354" s="958"/>
      <c r="Y354" s="958"/>
      <c r="Z354" s="958"/>
    </row>
    <row r="355" ht="35.25" hidden="1" customHeight="1">
      <c r="A355" s="18"/>
      <c r="B355" s="960" t="s">
        <v>89</v>
      </c>
      <c r="C355" s="598">
        <v>1.46394E8</v>
      </c>
      <c r="D355" s="18"/>
      <c r="E355" s="956"/>
      <c r="F355" s="956"/>
      <c r="G355" s="956"/>
      <c r="H355" s="956"/>
      <c r="I355" s="956"/>
      <c r="J355" s="956"/>
      <c r="K355" s="956"/>
      <c r="L355" s="956"/>
      <c r="M355" s="956"/>
      <c r="N355" s="956"/>
      <c r="O355" s="958"/>
      <c r="P355" s="958"/>
      <c r="Q355" s="958"/>
      <c r="R355" s="958"/>
      <c r="S355" s="958"/>
      <c r="T355" s="958"/>
      <c r="U355" s="958"/>
      <c r="V355" s="958"/>
      <c r="W355" s="958"/>
      <c r="X355" s="958"/>
      <c r="Y355" s="958"/>
      <c r="Z355" s="958"/>
    </row>
    <row r="356" ht="35.25" hidden="1" customHeight="1">
      <c r="A356" s="22"/>
      <c r="B356" s="960" t="s">
        <v>220</v>
      </c>
      <c r="C356" s="598"/>
      <c r="D356" s="22"/>
      <c r="E356" s="956"/>
      <c r="F356" s="956"/>
      <c r="G356" s="956"/>
      <c r="H356" s="956"/>
      <c r="I356" s="956"/>
      <c r="J356" s="956"/>
      <c r="K356" s="956"/>
      <c r="L356" s="956"/>
      <c r="M356" s="956"/>
      <c r="N356" s="956"/>
      <c r="O356" s="958"/>
      <c r="P356" s="958"/>
      <c r="Q356" s="958"/>
      <c r="R356" s="958"/>
      <c r="S356" s="958"/>
      <c r="T356" s="958"/>
      <c r="U356" s="958"/>
      <c r="V356" s="958"/>
      <c r="W356" s="958"/>
      <c r="X356" s="958"/>
      <c r="Y356" s="958"/>
      <c r="Z356" s="958"/>
    </row>
    <row r="357" ht="35.25" hidden="1" customHeight="1">
      <c r="A357" s="1015" t="s">
        <v>1134</v>
      </c>
      <c r="B357" s="960" t="s">
        <v>88</v>
      </c>
      <c r="C357" s="598">
        <v>0.0</v>
      </c>
      <c r="D357" s="680">
        <f>SUM(C357:C360)</f>
        <v>15609000</v>
      </c>
      <c r="E357" s="956"/>
      <c r="F357" s="956"/>
      <c r="G357" s="956"/>
      <c r="H357" s="956"/>
      <c r="I357" s="956"/>
      <c r="J357" s="956"/>
      <c r="K357" s="956"/>
      <c r="L357" s="956"/>
      <c r="M357" s="956"/>
      <c r="N357" s="956"/>
      <c r="O357" s="958"/>
      <c r="P357" s="958"/>
      <c r="Q357" s="958"/>
      <c r="R357" s="958"/>
      <c r="S357" s="958"/>
      <c r="T357" s="958"/>
      <c r="U357" s="958"/>
      <c r="V357" s="958"/>
      <c r="W357" s="958"/>
      <c r="X357" s="958"/>
      <c r="Y357" s="958"/>
      <c r="Z357" s="958"/>
    </row>
    <row r="358" ht="35.25" hidden="1" customHeight="1">
      <c r="A358" s="18"/>
      <c r="B358" s="960" t="s">
        <v>219</v>
      </c>
      <c r="C358" s="598">
        <v>0.0</v>
      </c>
      <c r="D358" s="18"/>
      <c r="E358" s="956"/>
      <c r="F358" s="956"/>
      <c r="G358" s="956"/>
      <c r="H358" s="956"/>
      <c r="I358" s="956"/>
      <c r="J358" s="956"/>
      <c r="K358" s="956"/>
      <c r="L358" s="956"/>
      <c r="M358" s="956"/>
      <c r="N358" s="956"/>
      <c r="O358" s="958"/>
      <c r="P358" s="958"/>
      <c r="Q358" s="958"/>
      <c r="R358" s="958"/>
      <c r="S358" s="958"/>
      <c r="T358" s="958"/>
      <c r="U358" s="958"/>
      <c r="V358" s="958"/>
      <c r="W358" s="958"/>
      <c r="X358" s="958"/>
      <c r="Y358" s="958"/>
      <c r="Z358" s="958"/>
    </row>
    <row r="359" ht="35.25" hidden="1" customHeight="1">
      <c r="A359" s="18"/>
      <c r="B359" s="960" t="s">
        <v>89</v>
      </c>
      <c r="C359" s="598">
        <v>1.5609E7</v>
      </c>
      <c r="D359" s="18"/>
      <c r="E359" s="956"/>
      <c r="F359" s="956"/>
      <c r="G359" s="956"/>
      <c r="H359" s="956"/>
      <c r="I359" s="956"/>
      <c r="J359" s="956"/>
      <c r="K359" s="956"/>
      <c r="L359" s="956"/>
      <c r="M359" s="956"/>
      <c r="N359" s="956"/>
      <c r="O359" s="958"/>
      <c r="P359" s="958"/>
      <c r="Q359" s="958"/>
      <c r="R359" s="958"/>
      <c r="S359" s="958"/>
      <c r="T359" s="958"/>
      <c r="U359" s="958"/>
      <c r="V359" s="958"/>
      <c r="W359" s="958"/>
      <c r="X359" s="958"/>
      <c r="Y359" s="958"/>
      <c r="Z359" s="958"/>
    </row>
    <row r="360" ht="35.25" hidden="1" customHeight="1">
      <c r="A360" s="22"/>
      <c r="B360" s="960" t="s">
        <v>220</v>
      </c>
      <c r="C360" s="598"/>
      <c r="D360" s="22"/>
      <c r="E360" s="956"/>
      <c r="F360" s="956"/>
      <c r="G360" s="956"/>
      <c r="H360" s="956"/>
      <c r="I360" s="956"/>
      <c r="J360" s="956"/>
      <c r="K360" s="956"/>
      <c r="L360" s="956"/>
      <c r="M360" s="956"/>
      <c r="N360" s="956"/>
      <c r="O360" s="958"/>
      <c r="P360" s="958"/>
      <c r="Q360" s="958"/>
      <c r="R360" s="958"/>
      <c r="S360" s="958"/>
      <c r="T360" s="958"/>
      <c r="U360" s="958"/>
      <c r="V360" s="958"/>
      <c r="W360" s="958"/>
      <c r="X360" s="958"/>
      <c r="Y360" s="958"/>
      <c r="Z360" s="958"/>
    </row>
    <row r="361" ht="35.25" customHeight="1">
      <c r="A361" s="1019"/>
      <c r="B361" s="956"/>
      <c r="C361" s="956"/>
      <c r="D361" s="957"/>
      <c r="E361" s="956"/>
      <c r="F361" s="956"/>
      <c r="G361" s="956"/>
      <c r="H361" s="958"/>
      <c r="I361" s="956"/>
      <c r="J361" s="956"/>
      <c r="K361" s="956"/>
      <c r="L361" s="956"/>
      <c r="M361" s="956"/>
      <c r="N361" s="956"/>
      <c r="O361" s="958"/>
      <c r="P361" s="958"/>
      <c r="Q361" s="958"/>
      <c r="R361" s="958"/>
      <c r="S361" s="958"/>
      <c r="T361" s="958"/>
      <c r="U361" s="958"/>
      <c r="V361" s="958"/>
      <c r="W361" s="958"/>
      <c r="X361" s="958"/>
      <c r="Y361" s="958"/>
      <c r="Z361" s="958"/>
    </row>
    <row r="362" ht="35.25" customHeight="1">
      <c r="A362" s="1019"/>
      <c r="B362" s="956"/>
      <c r="C362" s="956"/>
      <c r="D362" s="957"/>
      <c r="E362" s="956"/>
      <c r="F362" s="956"/>
      <c r="G362" s="956"/>
      <c r="H362" s="956"/>
      <c r="I362" s="956"/>
      <c r="J362" s="956"/>
      <c r="K362" s="956"/>
      <c r="L362" s="956"/>
      <c r="M362" s="956"/>
      <c r="N362" s="956"/>
      <c r="O362" s="958"/>
      <c r="P362" s="958"/>
      <c r="Q362" s="958"/>
      <c r="R362" s="958"/>
      <c r="S362" s="958"/>
      <c r="T362" s="958"/>
      <c r="U362" s="958"/>
      <c r="V362" s="958"/>
      <c r="W362" s="958"/>
      <c r="X362" s="958"/>
      <c r="Y362" s="958"/>
      <c r="Z362" s="958"/>
    </row>
    <row r="363" ht="35.25" customHeight="1">
      <c r="A363" s="1019"/>
      <c r="B363" s="956"/>
      <c r="C363" s="956"/>
      <c r="D363" s="957"/>
      <c r="E363" s="956"/>
      <c r="F363" s="956"/>
      <c r="G363" s="956"/>
      <c r="H363" s="956"/>
      <c r="I363" s="956"/>
      <c r="J363" s="956"/>
      <c r="K363" s="956"/>
      <c r="L363" s="956"/>
      <c r="M363" s="956"/>
      <c r="N363" s="956"/>
      <c r="O363" s="958"/>
      <c r="P363" s="958"/>
      <c r="Q363" s="958"/>
      <c r="R363" s="958"/>
      <c r="S363" s="958"/>
      <c r="T363" s="958"/>
      <c r="U363" s="958"/>
      <c r="V363" s="958"/>
      <c r="W363" s="958"/>
      <c r="X363" s="958"/>
      <c r="Y363" s="958"/>
      <c r="Z363" s="958"/>
    </row>
    <row r="364" ht="35.25" customHeight="1">
      <c r="A364" s="1019"/>
      <c r="B364" s="956"/>
      <c r="C364" s="956"/>
      <c r="D364" s="957"/>
      <c r="E364" s="956"/>
      <c r="F364" s="956"/>
      <c r="G364" s="956"/>
      <c r="H364" s="956"/>
      <c r="I364" s="956"/>
      <c r="J364" s="956"/>
      <c r="K364" s="956"/>
      <c r="L364" s="956"/>
      <c r="M364" s="956"/>
      <c r="N364" s="956"/>
      <c r="O364" s="958"/>
      <c r="P364" s="958"/>
      <c r="Q364" s="958"/>
      <c r="R364" s="958"/>
      <c r="S364" s="958"/>
      <c r="T364" s="958"/>
      <c r="U364" s="958"/>
      <c r="V364" s="958"/>
      <c r="W364" s="958"/>
      <c r="X364" s="958"/>
      <c r="Y364" s="958"/>
      <c r="Z364" s="958"/>
    </row>
    <row r="365" ht="35.25" customHeight="1">
      <c r="A365" s="1019"/>
      <c r="B365" s="956"/>
      <c r="C365" s="956"/>
      <c r="D365" s="957"/>
      <c r="E365" s="956"/>
      <c r="F365" s="956"/>
      <c r="G365" s="956"/>
      <c r="H365" s="956"/>
      <c r="I365" s="956"/>
      <c r="J365" s="956"/>
      <c r="K365" s="956"/>
      <c r="L365" s="956"/>
      <c r="M365" s="956"/>
      <c r="N365" s="956"/>
      <c r="O365" s="958"/>
      <c r="P365" s="958"/>
      <c r="Q365" s="958"/>
      <c r="R365" s="958"/>
      <c r="S365" s="958"/>
      <c r="T365" s="958"/>
      <c r="U365" s="958"/>
      <c r="V365" s="958"/>
      <c r="W365" s="958"/>
      <c r="X365" s="958"/>
      <c r="Y365" s="958"/>
      <c r="Z365" s="958"/>
    </row>
    <row r="366" ht="35.25" customHeight="1">
      <c r="A366" s="1019"/>
      <c r="B366" s="956"/>
      <c r="C366" s="956"/>
      <c r="D366" s="957"/>
      <c r="E366" s="956"/>
      <c r="F366" s="956"/>
      <c r="G366" s="956"/>
      <c r="H366" s="956"/>
      <c r="I366" s="956"/>
      <c r="J366" s="956"/>
      <c r="K366" s="956"/>
      <c r="L366" s="956"/>
      <c r="M366" s="956"/>
      <c r="N366" s="956"/>
      <c r="O366" s="958"/>
      <c r="P366" s="958"/>
      <c r="Q366" s="958"/>
      <c r="R366" s="958"/>
      <c r="S366" s="958"/>
      <c r="T366" s="958"/>
      <c r="U366" s="958"/>
      <c r="V366" s="958"/>
      <c r="W366" s="958"/>
      <c r="X366" s="958"/>
      <c r="Y366" s="958"/>
      <c r="Z366" s="958"/>
    </row>
    <row r="367" ht="35.25" customHeight="1">
      <c r="A367" s="1019"/>
      <c r="B367" s="956"/>
      <c r="C367" s="956"/>
      <c r="D367" s="957"/>
      <c r="E367" s="956"/>
      <c r="F367" s="956"/>
      <c r="G367" s="956"/>
      <c r="H367" s="956"/>
      <c r="I367" s="956"/>
      <c r="J367" s="956"/>
      <c r="K367" s="956"/>
      <c r="L367" s="956"/>
      <c r="M367" s="956"/>
      <c r="N367" s="956"/>
      <c r="O367" s="958"/>
      <c r="P367" s="958"/>
      <c r="Q367" s="958"/>
      <c r="R367" s="958"/>
      <c r="S367" s="958"/>
      <c r="T367" s="958"/>
      <c r="U367" s="958"/>
      <c r="V367" s="958"/>
      <c r="W367" s="958"/>
      <c r="X367" s="958"/>
      <c r="Y367" s="958"/>
      <c r="Z367" s="958"/>
    </row>
    <row r="368" ht="35.25" customHeight="1">
      <c r="A368" s="1019"/>
      <c r="B368" s="956"/>
      <c r="C368" s="956"/>
      <c r="D368" s="957"/>
      <c r="E368" s="956"/>
      <c r="F368" s="956"/>
      <c r="G368" s="956"/>
      <c r="H368" s="956"/>
      <c r="I368" s="956"/>
      <c r="J368" s="956"/>
      <c r="K368" s="956"/>
      <c r="L368" s="956"/>
      <c r="M368" s="956"/>
      <c r="N368" s="956"/>
      <c r="O368" s="958"/>
      <c r="P368" s="958"/>
      <c r="Q368" s="958"/>
      <c r="R368" s="958"/>
      <c r="S368" s="958"/>
      <c r="T368" s="958"/>
      <c r="U368" s="958"/>
      <c r="V368" s="958"/>
      <c r="W368" s="958"/>
      <c r="X368" s="958"/>
      <c r="Y368" s="958"/>
      <c r="Z368" s="958"/>
    </row>
    <row r="369" ht="35.25" customHeight="1">
      <c r="A369" s="1019"/>
      <c r="B369" s="956"/>
      <c r="C369" s="956"/>
      <c r="D369" s="957"/>
      <c r="E369" s="956"/>
      <c r="F369" s="956"/>
      <c r="G369" s="956"/>
      <c r="H369" s="956"/>
      <c r="I369" s="956"/>
      <c r="J369" s="956"/>
      <c r="K369" s="956"/>
      <c r="L369" s="956"/>
      <c r="M369" s="956"/>
      <c r="N369" s="956"/>
      <c r="O369" s="958"/>
      <c r="P369" s="958"/>
      <c r="Q369" s="958"/>
      <c r="R369" s="958"/>
      <c r="S369" s="958"/>
      <c r="T369" s="958"/>
      <c r="U369" s="958"/>
      <c r="V369" s="958"/>
      <c r="W369" s="958"/>
      <c r="X369" s="958"/>
      <c r="Y369" s="958"/>
      <c r="Z369" s="958"/>
    </row>
    <row r="370" ht="35.25" customHeight="1">
      <c r="A370" s="1019"/>
      <c r="B370" s="956"/>
      <c r="C370" s="956"/>
      <c r="D370" s="957"/>
      <c r="E370" s="956"/>
      <c r="F370" s="956"/>
      <c r="G370" s="956"/>
      <c r="H370" s="956"/>
      <c r="I370" s="956"/>
      <c r="J370" s="956"/>
      <c r="K370" s="956"/>
      <c r="L370" s="956"/>
      <c r="M370" s="956"/>
      <c r="N370" s="956"/>
      <c r="O370" s="958"/>
      <c r="P370" s="958"/>
      <c r="Q370" s="958"/>
      <c r="R370" s="958"/>
      <c r="S370" s="958"/>
      <c r="T370" s="958"/>
      <c r="U370" s="958"/>
      <c r="V370" s="958"/>
      <c r="W370" s="958"/>
      <c r="X370" s="958"/>
      <c r="Y370" s="958"/>
      <c r="Z370" s="958"/>
    </row>
    <row r="371" ht="35.25" customHeight="1">
      <c r="A371" s="1019"/>
      <c r="B371" s="956"/>
      <c r="C371" s="956"/>
      <c r="D371" s="957"/>
      <c r="E371" s="956"/>
      <c r="F371" s="956"/>
      <c r="G371" s="956"/>
      <c r="H371" s="956"/>
      <c r="I371" s="956"/>
      <c r="J371" s="956"/>
      <c r="K371" s="956"/>
      <c r="L371" s="956"/>
      <c r="M371" s="956"/>
      <c r="N371" s="956"/>
      <c r="O371" s="958"/>
      <c r="P371" s="958"/>
      <c r="Q371" s="958"/>
      <c r="R371" s="958"/>
      <c r="S371" s="958"/>
      <c r="T371" s="958"/>
      <c r="U371" s="958"/>
      <c r="V371" s="958"/>
      <c r="W371" s="958"/>
      <c r="X371" s="958"/>
      <c r="Y371" s="958"/>
      <c r="Z371" s="958"/>
    </row>
    <row r="372" ht="35.25" customHeight="1">
      <c r="A372" s="1019"/>
      <c r="B372" s="956"/>
      <c r="C372" s="956"/>
      <c r="D372" s="957"/>
      <c r="E372" s="956"/>
      <c r="F372" s="956"/>
      <c r="G372" s="956"/>
      <c r="H372" s="956"/>
      <c r="I372" s="956"/>
      <c r="J372" s="956"/>
      <c r="K372" s="956"/>
      <c r="L372" s="956"/>
      <c r="M372" s="956"/>
      <c r="N372" s="956"/>
      <c r="O372" s="958"/>
      <c r="P372" s="958"/>
      <c r="Q372" s="958"/>
      <c r="R372" s="958"/>
      <c r="S372" s="958"/>
      <c r="T372" s="958"/>
      <c r="U372" s="958"/>
      <c r="V372" s="958"/>
      <c r="W372" s="958"/>
      <c r="X372" s="958"/>
      <c r="Y372" s="958"/>
      <c r="Z372" s="958"/>
    </row>
    <row r="373" ht="35.25" customHeight="1">
      <c r="A373" s="1019"/>
      <c r="B373" s="956"/>
      <c r="C373" s="956"/>
      <c r="D373" s="957"/>
      <c r="E373" s="956"/>
      <c r="F373" s="956"/>
      <c r="G373" s="956"/>
      <c r="H373" s="956"/>
      <c r="I373" s="956"/>
      <c r="J373" s="956"/>
      <c r="K373" s="956"/>
      <c r="L373" s="956"/>
      <c r="M373" s="956"/>
      <c r="N373" s="956"/>
      <c r="O373" s="958"/>
      <c r="P373" s="958"/>
      <c r="Q373" s="958"/>
      <c r="R373" s="958"/>
      <c r="S373" s="958"/>
      <c r="T373" s="958"/>
      <c r="U373" s="958"/>
      <c r="V373" s="958"/>
      <c r="W373" s="958"/>
      <c r="X373" s="958"/>
      <c r="Y373" s="958"/>
      <c r="Z373" s="958"/>
    </row>
    <row r="374" ht="35.25" customHeight="1">
      <c r="A374" s="1019"/>
      <c r="B374" s="956"/>
      <c r="C374" s="956"/>
      <c r="D374" s="957"/>
      <c r="E374" s="956"/>
      <c r="F374" s="956"/>
      <c r="G374" s="956"/>
      <c r="H374" s="956"/>
      <c r="I374" s="956"/>
      <c r="J374" s="956"/>
      <c r="K374" s="956"/>
      <c r="L374" s="956"/>
      <c r="M374" s="956"/>
      <c r="N374" s="956"/>
      <c r="O374" s="958"/>
      <c r="P374" s="958"/>
      <c r="Q374" s="958"/>
      <c r="R374" s="958"/>
      <c r="S374" s="958"/>
      <c r="T374" s="958"/>
      <c r="U374" s="958"/>
      <c r="V374" s="958"/>
      <c r="W374" s="958"/>
      <c r="X374" s="958"/>
      <c r="Y374" s="958"/>
      <c r="Z374" s="958"/>
    </row>
    <row r="375" ht="35.25" customHeight="1">
      <c r="A375" s="1019"/>
      <c r="B375" s="956"/>
      <c r="C375" s="956"/>
      <c r="D375" s="957"/>
      <c r="E375" s="956"/>
      <c r="F375" s="956"/>
      <c r="G375" s="956"/>
      <c r="H375" s="956"/>
      <c r="I375" s="956"/>
      <c r="J375" s="956"/>
      <c r="K375" s="956"/>
      <c r="L375" s="956"/>
      <c r="M375" s="956"/>
      <c r="N375" s="956"/>
      <c r="O375" s="958"/>
      <c r="P375" s="958"/>
      <c r="Q375" s="958"/>
      <c r="R375" s="958"/>
      <c r="S375" s="958"/>
      <c r="T375" s="958"/>
      <c r="U375" s="958"/>
      <c r="V375" s="958"/>
      <c r="W375" s="958"/>
      <c r="X375" s="958"/>
      <c r="Y375" s="958"/>
      <c r="Z375" s="958"/>
    </row>
    <row r="376" ht="35.25" customHeight="1">
      <c r="A376" s="1019"/>
      <c r="B376" s="956"/>
      <c r="C376" s="956"/>
      <c r="D376" s="957"/>
      <c r="E376" s="956"/>
      <c r="F376" s="956"/>
      <c r="G376" s="956"/>
      <c r="H376" s="956"/>
      <c r="I376" s="956"/>
      <c r="J376" s="956"/>
      <c r="K376" s="956"/>
      <c r="L376" s="956"/>
      <c r="M376" s="956"/>
      <c r="N376" s="956"/>
      <c r="O376" s="958"/>
      <c r="P376" s="958"/>
      <c r="Q376" s="958"/>
      <c r="R376" s="958"/>
      <c r="S376" s="958"/>
      <c r="T376" s="958"/>
      <c r="U376" s="958"/>
      <c r="V376" s="958"/>
      <c r="W376" s="958"/>
      <c r="X376" s="958"/>
      <c r="Y376" s="958"/>
      <c r="Z376" s="958"/>
    </row>
    <row r="377" ht="35.25" customHeight="1">
      <c r="A377" s="1019"/>
      <c r="B377" s="956"/>
      <c r="C377" s="956"/>
      <c r="D377" s="957"/>
      <c r="E377" s="956"/>
      <c r="F377" s="956"/>
      <c r="G377" s="956"/>
      <c r="H377" s="956"/>
      <c r="I377" s="956"/>
      <c r="J377" s="956"/>
      <c r="K377" s="956"/>
      <c r="L377" s="956"/>
      <c r="M377" s="956"/>
      <c r="N377" s="956"/>
      <c r="O377" s="958"/>
      <c r="P377" s="958"/>
      <c r="Q377" s="958"/>
      <c r="R377" s="958"/>
      <c r="S377" s="958"/>
      <c r="T377" s="958"/>
      <c r="U377" s="958"/>
      <c r="V377" s="958"/>
      <c r="W377" s="958"/>
      <c r="X377" s="958"/>
      <c r="Y377" s="958"/>
      <c r="Z377" s="958"/>
    </row>
    <row r="378" ht="35.25" customHeight="1">
      <c r="A378" s="1019"/>
      <c r="B378" s="956"/>
      <c r="C378" s="956"/>
      <c r="D378" s="957"/>
      <c r="E378" s="956"/>
      <c r="F378" s="956"/>
      <c r="G378" s="956"/>
      <c r="H378" s="956"/>
      <c r="I378" s="956"/>
      <c r="J378" s="956"/>
      <c r="K378" s="956"/>
      <c r="L378" s="956"/>
      <c r="M378" s="956"/>
      <c r="N378" s="956"/>
      <c r="O378" s="958"/>
      <c r="P378" s="958"/>
      <c r="Q378" s="958"/>
      <c r="R378" s="958"/>
      <c r="S378" s="958"/>
      <c r="T378" s="958"/>
      <c r="U378" s="958"/>
      <c r="V378" s="958"/>
      <c r="W378" s="958"/>
      <c r="X378" s="958"/>
      <c r="Y378" s="958"/>
      <c r="Z378" s="958"/>
    </row>
    <row r="379" ht="35.25" customHeight="1">
      <c r="A379" s="1019"/>
      <c r="B379" s="956"/>
      <c r="C379" s="956"/>
      <c r="D379" s="957"/>
      <c r="E379" s="956"/>
      <c r="F379" s="956"/>
      <c r="G379" s="956"/>
      <c r="H379" s="956"/>
      <c r="I379" s="956"/>
      <c r="J379" s="956"/>
      <c r="K379" s="956"/>
      <c r="L379" s="956"/>
      <c r="M379" s="956"/>
      <c r="N379" s="956"/>
      <c r="O379" s="958"/>
      <c r="P379" s="958"/>
      <c r="Q379" s="958"/>
      <c r="R379" s="958"/>
      <c r="S379" s="958"/>
      <c r="T379" s="958"/>
      <c r="U379" s="958"/>
      <c r="V379" s="958"/>
      <c r="W379" s="958"/>
      <c r="X379" s="958"/>
      <c r="Y379" s="958"/>
      <c r="Z379" s="958"/>
    </row>
    <row r="380" ht="35.25" customHeight="1">
      <c r="A380" s="1019"/>
      <c r="B380" s="956"/>
      <c r="C380" s="956"/>
      <c r="D380" s="957"/>
      <c r="E380" s="956"/>
      <c r="F380" s="956"/>
      <c r="G380" s="956"/>
      <c r="H380" s="956"/>
      <c r="I380" s="956"/>
      <c r="J380" s="956"/>
      <c r="K380" s="956"/>
      <c r="L380" s="956"/>
      <c r="M380" s="956"/>
      <c r="N380" s="956"/>
      <c r="O380" s="958"/>
      <c r="P380" s="958"/>
      <c r="Q380" s="958"/>
      <c r="R380" s="958"/>
      <c r="S380" s="958"/>
      <c r="T380" s="958"/>
      <c r="U380" s="958"/>
      <c r="V380" s="958"/>
      <c r="W380" s="958"/>
      <c r="X380" s="958"/>
      <c r="Y380" s="958"/>
      <c r="Z380" s="958"/>
    </row>
    <row r="381" ht="35.25" customHeight="1">
      <c r="A381" s="1019"/>
      <c r="B381" s="956"/>
      <c r="C381" s="956"/>
      <c r="D381" s="957"/>
      <c r="E381" s="956"/>
      <c r="F381" s="956"/>
      <c r="G381" s="956"/>
      <c r="H381" s="956"/>
      <c r="I381" s="956"/>
      <c r="J381" s="956"/>
      <c r="K381" s="956"/>
      <c r="L381" s="956"/>
      <c r="M381" s="956"/>
      <c r="N381" s="956"/>
      <c r="O381" s="958"/>
      <c r="P381" s="958"/>
      <c r="Q381" s="958"/>
      <c r="R381" s="958"/>
      <c r="S381" s="958"/>
      <c r="T381" s="958"/>
      <c r="U381" s="958"/>
      <c r="V381" s="958"/>
      <c r="W381" s="958"/>
      <c r="X381" s="958"/>
      <c r="Y381" s="958"/>
      <c r="Z381" s="958"/>
    </row>
    <row r="382" ht="35.25" customHeight="1">
      <c r="A382" s="1019"/>
      <c r="B382" s="956"/>
      <c r="C382" s="956"/>
      <c r="D382" s="957"/>
      <c r="E382" s="956"/>
      <c r="F382" s="956"/>
      <c r="G382" s="956"/>
      <c r="H382" s="956"/>
      <c r="I382" s="956"/>
      <c r="J382" s="956"/>
      <c r="K382" s="956"/>
      <c r="L382" s="956"/>
      <c r="M382" s="956"/>
      <c r="N382" s="956"/>
      <c r="O382" s="958"/>
      <c r="P382" s="958"/>
      <c r="Q382" s="958"/>
      <c r="R382" s="958"/>
      <c r="S382" s="958"/>
      <c r="T382" s="958"/>
      <c r="U382" s="958"/>
      <c r="V382" s="958"/>
      <c r="W382" s="958"/>
      <c r="X382" s="958"/>
      <c r="Y382" s="958"/>
      <c r="Z382" s="958"/>
    </row>
    <row r="383" ht="35.25" customHeight="1">
      <c r="A383" s="1019"/>
      <c r="B383" s="956"/>
      <c r="C383" s="956"/>
      <c r="D383" s="957"/>
      <c r="E383" s="956"/>
      <c r="F383" s="956"/>
      <c r="G383" s="956"/>
      <c r="H383" s="956"/>
      <c r="I383" s="956"/>
      <c r="J383" s="956"/>
      <c r="K383" s="956"/>
      <c r="L383" s="956"/>
      <c r="M383" s="956"/>
      <c r="N383" s="956"/>
      <c r="O383" s="958"/>
      <c r="P383" s="958"/>
      <c r="Q383" s="958"/>
      <c r="R383" s="958"/>
      <c r="S383" s="958"/>
      <c r="T383" s="958"/>
      <c r="U383" s="958"/>
      <c r="V383" s="958"/>
      <c r="W383" s="958"/>
      <c r="X383" s="958"/>
      <c r="Y383" s="958"/>
      <c r="Z383" s="958"/>
    </row>
    <row r="384" ht="35.25" customHeight="1">
      <c r="A384" s="1019"/>
      <c r="B384" s="956"/>
      <c r="C384" s="956"/>
      <c r="D384" s="957"/>
      <c r="E384" s="956"/>
      <c r="F384" s="956"/>
      <c r="G384" s="956"/>
      <c r="H384" s="956"/>
      <c r="I384" s="956"/>
      <c r="J384" s="956"/>
      <c r="K384" s="956"/>
      <c r="L384" s="956"/>
      <c r="M384" s="956"/>
      <c r="N384" s="956"/>
      <c r="O384" s="958"/>
      <c r="P384" s="958"/>
      <c r="Q384" s="958"/>
      <c r="R384" s="958"/>
      <c r="S384" s="958"/>
      <c r="T384" s="958"/>
      <c r="U384" s="958"/>
      <c r="V384" s="958"/>
      <c r="W384" s="958"/>
      <c r="X384" s="958"/>
      <c r="Y384" s="958"/>
      <c r="Z384" s="958"/>
    </row>
    <row r="385" ht="35.25" customHeight="1">
      <c r="A385" s="1019"/>
      <c r="B385" s="956"/>
      <c r="C385" s="956"/>
      <c r="D385" s="957"/>
      <c r="E385" s="956"/>
      <c r="F385" s="956"/>
      <c r="G385" s="956"/>
      <c r="H385" s="956"/>
      <c r="I385" s="956"/>
      <c r="J385" s="956"/>
      <c r="K385" s="956"/>
      <c r="L385" s="956"/>
      <c r="M385" s="956"/>
      <c r="N385" s="956"/>
      <c r="O385" s="958"/>
      <c r="P385" s="958"/>
      <c r="Q385" s="958"/>
      <c r="R385" s="958"/>
      <c r="S385" s="958"/>
      <c r="T385" s="958"/>
      <c r="U385" s="958"/>
      <c r="V385" s="958"/>
      <c r="W385" s="958"/>
      <c r="X385" s="958"/>
      <c r="Y385" s="958"/>
      <c r="Z385" s="958"/>
    </row>
    <row r="386" ht="35.25" customHeight="1">
      <c r="A386" s="1019"/>
      <c r="B386" s="956"/>
      <c r="C386" s="956"/>
      <c r="D386" s="957"/>
      <c r="E386" s="956"/>
      <c r="F386" s="956"/>
      <c r="G386" s="956"/>
      <c r="H386" s="956"/>
      <c r="I386" s="956"/>
      <c r="J386" s="956"/>
      <c r="K386" s="956"/>
      <c r="L386" s="956"/>
      <c r="M386" s="956"/>
      <c r="N386" s="956"/>
      <c r="O386" s="958"/>
      <c r="P386" s="958"/>
      <c r="Q386" s="958"/>
      <c r="R386" s="958"/>
      <c r="S386" s="958"/>
      <c r="T386" s="958"/>
      <c r="U386" s="958"/>
      <c r="V386" s="958"/>
      <c r="W386" s="958"/>
      <c r="X386" s="958"/>
      <c r="Y386" s="958"/>
      <c r="Z386" s="958"/>
    </row>
    <row r="387" ht="35.25" customHeight="1">
      <c r="A387" s="1019"/>
      <c r="B387" s="956"/>
      <c r="C387" s="956"/>
      <c r="D387" s="957"/>
      <c r="E387" s="956"/>
      <c r="F387" s="956"/>
      <c r="G387" s="956"/>
      <c r="H387" s="956"/>
      <c r="I387" s="956"/>
      <c r="J387" s="956"/>
      <c r="K387" s="956"/>
      <c r="L387" s="956"/>
      <c r="M387" s="956"/>
      <c r="N387" s="956"/>
      <c r="O387" s="958"/>
      <c r="P387" s="958"/>
      <c r="Q387" s="958"/>
      <c r="R387" s="958"/>
      <c r="S387" s="958"/>
      <c r="T387" s="958"/>
      <c r="U387" s="958"/>
      <c r="V387" s="958"/>
      <c r="W387" s="958"/>
      <c r="X387" s="958"/>
      <c r="Y387" s="958"/>
      <c r="Z387" s="958"/>
    </row>
    <row r="388" ht="35.25" customHeight="1">
      <c r="A388" s="1019"/>
      <c r="B388" s="956"/>
      <c r="C388" s="956"/>
      <c r="D388" s="957"/>
      <c r="E388" s="956"/>
      <c r="F388" s="956"/>
      <c r="G388" s="956"/>
      <c r="H388" s="956"/>
      <c r="I388" s="956"/>
      <c r="J388" s="956"/>
      <c r="K388" s="956"/>
      <c r="L388" s="956"/>
      <c r="M388" s="956"/>
      <c r="N388" s="956"/>
      <c r="O388" s="958"/>
      <c r="P388" s="958"/>
      <c r="Q388" s="958"/>
      <c r="R388" s="958"/>
      <c r="S388" s="958"/>
      <c r="T388" s="958"/>
      <c r="U388" s="958"/>
      <c r="V388" s="958"/>
      <c r="W388" s="958"/>
      <c r="X388" s="958"/>
      <c r="Y388" s="958"/>
      <c r="Z388" s="958"/>
    </row>
    <row r="389" ht="35.25" customHeight="1">
      <c r="A389" s="1019"/>
      <c r="B389" s="956"/>
      <c r="C389" s="956"/>
      <c r="D389" s="957"/>
      <c r="E389" s="956"/>
      <c r="F389" s="956"/>
      <c r="G389" s="956"/>
      <c r="H389" s="956"/>
      <c r="I389" s="956"/>
      <c r="J389" s="956"/>
      <c r="K389" s="956"/>
      <c r="L389" s="956"/>
      <c r="M389" s="956"/>
      <c r="N389" s="956"/>
      <c r="O389" s="958"/>
      <c r="P389" s="958"/>
      <c r="Q389" s="958"/>
      <c r="R389" s="958"/>
      <c r="S389" s="958"/>
      <c r="T389" s="958"/>
      <c r="U389" s="958"/>
      <c r="V389" s="958"/>
      <c r="W389" s="958"/>
      <c r="X389" s="958"/>
      <c r="Y389" s="958"/>
      <c r="Z389" s="958"/>
    </row>
    <row r="390" ht="35.25" customHeight="1">
      <c r="A390" s="1019"/>
      <c r="B390" s="956"/>
      <c r="C390" s="956"/>
      <c r="D390" s="957"/>
      <c r="E390" s="956"/>
      <c r="F390" s="956"/>
      <c r="G390" s="956"/>
      <c r="H390" s="956"/>
      <c r="I390" s="956"/>
      <c r="J390" s="956"/>
      <c r="K390" s="956"/>
      <c r="L390" s="956"/>
      <c r="M390" s="956"/>
      <c r="N390" s="956"/>
      <c r="O390" s="958"/>
      <c r="P390" s="958"/>
      <c r="Q390" s="958"/>
      <c r="R390" s="958"/>
      <c r="S390" s="958"/>
      <c r="T390" s="958"/>
      <c r="U390" s="958"/>
      <c r="V390" s="958"/>
      <c r="W390" s="958"/>
      <c r="X390" s="958"/>
      <c r="Y390" s="958"/>
      <c r="Z390" s="958"/>
    </row>
    <row r="391" ht="35.25" customHeight="1">
      <c r="A391" s="1019"/>
      <c r="B391" s="956"/>
      <c r="C391" s="956"/>
      <c r="D391" s="957"/>
      <c r="E391" s="956"/>
      <c r="F391" s="956"/>
      <c r="G391" s="956"/>
      <c r="H391" s="956"/>
      <c r="I391" s="956"/>
      <c r="J391" s="956"/>
      <c r="K391" s="956"/>
      <c r="L391" s="956"/>
      <c r="M391" s="956"/>
      <c r="N391" s="956"/>
      <c r="O391" s="958"/>
      <c r="P391" s="958"/>
      <c r="Q391" s="958"/>
      <c r="R391" s="958"/>
      <c r="S391" s="958"/>
      <c r="T391" s="958"/>
      <c r="U391" s="958"/>
      <c r="V391" s="958"/>
      <c r="W391" s="958"/>
      <c r="X391" s="958"/>
      <c r="Y391" s="958"/>
      <c r="Z391" s="958"/>
    </row>
    <row r="392" ht="35.25" customHeight="1">
      <c r="A392" s="1019"/>
      <c r="B392" s="956"/>
      <c r="C392" s="956"/>
      <c r="D392" s="957"/>
      <c r="E392" s="956"/>
      <c r="F392" s="956"/>
      <c r="G392" s="956"/>
      <c r="H392" s="956"/>
      <c r="I392" s="956"/>
      <c r="J392" s="956"/>
      <c r="K392" s="956"/>
      <c r="L392" s="956"/>
      <c r="M392" s="956"/>
      <c r="N392" s="956"/>
      <c r="O392" s="958"/>
      <c r="P392" s="958"/>
      <c r="Q392" s="958"/>
      <c r="R392" s="958"/>
      <c r="S392" s="958"/>
      <c r="T392" s="958"/>
      <c r="U392" s="958"/>
      <c r="V392" s="958"/>
      <c r="W392" s="958"/>
      <c r="X392" s="958"/>
      <c r="Y392" s="958"/>
      <c r="Z392" s="958"/>
    </row>
    <row r="393" ht="35.25" customHeight="1">
      <c r="A393" s="1019"/>
      <c r="B393" s="956"/>
      <c r="C393" s="956"/>
      <c r="D393" s="957"/>
      <c r="E393" s="956"/>
      <c r="F393" s="956"/>
      <c r="G393" s="956"/>
      <c r="H393" s="956"/>
      <c r="I393" s="956"/>
      <c r="J393" s="956"/>
      <c r="K393" s="956"/>
      <c r="L393" s="956"/>
      <c r="M393" s="956"/>
      <c r="N393" s="956"/>
      <c r="O393" s="958"/>
      <c r="P393" s="958"/>
      <c r="Q393" s="958"/>
      <c r="R393" s="958"/>
      <c r="S393" s="958"/>
      <c r="T393" s="958"/>
      <c r="U393" s="958"/>
      <c r="V393" s="958"/>
      <c r="W393" s="958"/>
      <c r="X393" s="958"/>
      <c r="Y393" s="958"/>
      <c r="Z393" s="958"/>
    </row>
    <row r="394" ht="35.25" customHeight="1">
      <c r="A394" s="1019"/>
      <c r="B394" s="956"/>
      <c r="C394" s="956"/>
      <c r="D394" s="957"/>
      <c r="E394" s="956"/>
      <c r="F394" s="956"/>
      <c r="G394" s="956"/>
      <c r="H394" s="956"/>
      <c r="I394" s="956"/>
      <c r="J394" s="956"/>
      <c r="K394" s="956"/>
      <c r="L394" s="956"/>
      <c r="M394" s="956"/>
      <c r="N394" s="956"/>
      <c r="O394" s="958"/>
      <c r="P394" s="958"/>
      <c r="Q394" s="958"/>
      <c r="R394" s="958"/>
      <c r="S394" s="958"/>
      <c r="T394" s="958"/>
      <c r="U394" s="958"/>
      <c r="V394" s="958"/>
      <c r="W394" s="958"/>
      <c r="X394" s="958"/>
      <c r="Y394" s="958"/>
      <c r="Z394" s="958"/>
    </row>
    <row r="395" ht="35.25" customHeight="1">
      <c r="A395" s="1019"/>
      <c r="B395" s="956"/>
      <c r="C395" s="956"/>
      <c r="D395" s="957"/>
      <c r="E395" s="956"/>
      <c r="F395" s="956"/>
      <c r="G395" s="956"/>
      <c r="H395" s="956"/>
      <c r="I395" s="956"/>
      <c r="J395" s="956"/>
      <c r="K395" s="956"/>
      <c r="L395" s="956"/>
      <c r="M395" s="956"/>
      <c r="N395" s="956"/>
      <c r="O395" s="958"/>
      <c r="P395" s="958"/>
      <c r="Q395" s="958"/>
      <c r="R395" s="958"/>
      <c r="S395" s="958"/>
      <c r="T395" s="958"/>
      <c r="U395" s="958"/>
      <c r="V395" s="958"/>
      <c r="W395" s="958"/>
      <c r="X395" s="958"/>
      <c r="Y395" s="958"/>
      <c r="Z395" s="958"/>
    </row>
    <row r="396" ht="35.25" customHeight="1">
      <c r="A396" s="1019"/>
      <c r="B396" s="956"/>
      <c r="C396" s="956"/>
      <c r="D396" s="957"/>
      <c r="E396" s="956"/>
      <c r="F396" s="956"/>
      <c r="G396" s="956"/>
      <c r="H396" s="956"/>
      <c r="I396" s="956"/>
      <c r="J396" s="956"/>
      <c r="K396" s="956"/>
      <c r="L396" s="956"/>
      <c r="M396" s="956"/>
      <c r="N396" s="956"/>
      <c r="O396" s="958"/>
      <c r="P396" s="958"/>
      <c r="Q396" s="958"/>
      <c r="R396" s="958"/>
      <c r="S396" s="958"/>
      <c r="T396" s="958"/>
      <c r="U396" s="958"/>
      <c r="V396" s="958"/>
      <c r="W396" s="958"/>
      <c r="X396" s="958"/>
      <c r="Y396" s="958"/>
      <c r="Z396" s="958"/>
    </row>
    <row r="397" ht="35.25" customHeight="1">
      <c r="A397" s="1019"/>
      <c r="B397" s="956"/>
      <c r="C397" s="956"/>
      <c r="D397" s="957"/>
      <c r="E397" s="956"/>
      <c r="F397" s="956"/>
      <c r="G397" s="956"/>
      <c r="H397" s="956"/>
      <c r="I397" s="956"/>
      <c r="J397" s="956"/>
      <c r="K397" s="956"/>
      <c r="L397" s="956"/>
      <c r="M397" s="956"/>
      <c r="N397" s="956"/>
      <c r="O397" s="958"/>
      <c r="P397" s="958"/>
      <c r="Q397" s="958"/>
      <c r="R397" s="958"/>
      <c r="S397" s="958"/>
      <c r="T397" s="958"/>
      <c r="U397" s="958"/>
      <c r="V397" s="958"/>
      <c r="W397" s="958"/>
      <c r="X397" s="958"/>
      <c r="Y397" s="958"/>
      <c r="Z397" s="958"/>
    </row>
    <row r="398" ht="35.25" customHeight="1">
      <c r="A398" s="1019"/>
      <c r="B398" s="956"/>
      <c r="C398" s="956"/>
      <c r="D398" s="957"/>
      <c r="E398" s="956"/>
      <c r="F398" s="956"/>
      <c r="G398" s="956"/>
      <c r="H398" s="956"/>
      <c r="I398" s="956"/>
      <c r="J398" s="956"/>
      <c r="K398" s="956"/>
      <c r="L398" s="956"/>
      <c r="M398" s="956"/>
      <c r="N398" s="956"/>
      <c r="O398" s="958"/>
      <c r="P398" s="958"/>
      <c r="Q398" s="958"/>
      <c r="R398" s="958"/>
      <c r="S398" s="958"/>
      <c r="T398" s="958"/>
      <c r="U398" s="958"/>
      <c r="V398" s="958"/>
      <c r="W398" s="958"/>
      <c r="X398" s="958"/>
      <c r="Y398" s="958"/>
      <c r="Z398" s="958"/>
    </row>
    <row r="399" ht="35.25" customHeight="1">
      <c r="A399" s="1019"/>
      <c r="B399" s="956"/>
      <c r="C399" s="956"/>
      <c r="D399" s="957"/>
      <c r="E399" s="956"/>
      <c r="F399" s="956"/>
      <c r="G399" s="956"/>
      <c r="H399" s="956"/>
      <c r="I399" s="956"/>
      <c r="J399" s="956"/>
      <c r="K399" s="956"/>
      <c r="L399" s="956"/>
      <c r="M399" s="956"/>
      <c r="N399" s="956"/>
      <c r="O399" s="958"/>
      <c r="P399" s="958"/>
      <c r="Q399" s="958"/>
      <c r="R399" s="958"/>
      <c r="S399" s="958"/>
      <c r="T399" s="958"/>
      <c r="U399" s="958"/>
      <c r="V399" s="958"/>
      <c r="W399" s="958"/>
      <c r="X399" s="958"/>
      <c r="Y399" s="958"/>
      <c r="Z399" s="958"/>
    </row>
    <row r="400" ht="35.25" customHeight="1">
      <c r="A400" s="1019"/>
      <c r="B400" s="956"/>
      <c r="C400" s="956"/>
      <c r="D400" s="957"/>
      <c r="E400" s="956"/>
      <c r="F400" s="956"/>
      <c r="G400" s="956"/>
      <c r="H400" s="956"/>
      <c r="I400" s="956"/>
      <c r="J400" s="956"/>
      <c r="K400" s="956"/>
      <c r="L400" s="956"/>
      <c r="M400" s="956"/>
      <c r="N400" s="956"/>
      <c r="O400" s="958"/>
      <c r="P400" s="958"/>
      <c r="Q400" s="958"/>
      <c r="R400" s="958"/>
      <c r="S400" s="958"/>
      <c r="T400" s="958"/>
      <c r="U400" s="958"/>
      <c r="V400" s="958"/>
      <c r="W400" s="958"/>
      <c r="X400" s="958"/>
      <c r="Y400" s="958"/>
      <c r="Z400" s="958"/>
    </row>
    <row r="401" ht="35.25" customHeight="1">
      <c r="A401" s="1019"/>
      <c r="B401" s="956"/>
      <c r="C401" s="956"/>
      <c r="D401" s="957"/>
      <c r="E401" s="956"/>
      <c r="F401" s="956"/>
      <c r="G401" s="956"/>
      <c r="H401" s="956"/>
      <c r="I401" s="956"/>
      <c r="J401" s="956"/>
      <c r="K401" s="956"/>
      <c r="L401" s="956"/>
      <c r="M401" s="956"/>
      <c r="N401" s="956"/>
      <c r="O401" s="958"/>
      <c r="P401" s="958"/>
      <c r="Q401" s="958"/>
      <c r="R401" s="958"/>
      <c r="S401" s="958"/>
      <c r="T401" s="958"/>
      <c r="U401" s="958"/>
      <c r="V401" s="958"/>
      <c r="W401" s="958"/>
      <c r="X401" s="958"/>
      <c r="Y401" s="958"/>
      <c r="Z401" s="958"/>
    </row>
    <row r="402" ht="35.25" customHeight="1">
      <c r="A402" s="1019"/>
      <c r="B402" s="956"/>
      <c r="C402" s="956"/>
      <c r="D402" s="957"/>
      <c r="E402" s="956"/>
      <c r="F402" s="956"/>
      <c r="G402" s="956"/>
      <c r="H402" s="956"/>
      <c r="I402" s="956"/>
      <c r="J402" s="956"/>
      <c r="K402" s="956"/>
      <c r="L402" s="956"/>
      <c r="M402" s="956"/>
      <c r="N402" s="956"/>
      <c r="O402" s="958"/>
      <c r="P402" s="958"/>
      <c r="Q402" s="958"/>
      <c r="R402" s="958"/>
      <c r="S402" s="958"/>
      <c r="T402" s="958"/>
      <c r="U402" s="958"/>
      <c r="V402" s="958"/>
      <c r="W402" s="958"/>
      <c r="X402" s="958"/>
      <c r="Y402" s="958"/>
      <c r="Z402" s="958"/>
    </row>
    <row r="403" ht="35.25" customHeight="1">
      <c r="A403" s="1019"/>
      <c r="B403" s="956"/>
      <c r="C403" s="956"/>
      <c r="D403" s="957"/>
      <c r="E403" s="956"/>
      <c r="F403" s="956"/>
      <c r="G403" s="956"/>
      <c r="H403" s="956"/>
      <c r="I403" s="956"/>
      <c r="J403" s="956"/>
      <c r="K403" s="956"/>
      <c r="L403" s="956"/>
      <c r="M403" s="956"/>
      <c r="N403" s="956"/>
      <c r="O403" s="958"/>
      <c r="P403" s="958"/>
      <c r="Q403" s="958"/>
      <c r="R403" s="958"/>
      <c r="S403" s="958"/>
      <c r="T403" s="958"/>
      <c r="U403" s="958"/>
      <c r="V403" s="958"/>
      <c r="W403" s="958"/>
      <c r="X403" s="958"/>
      <c r="Y403" s="958"/>
      <c r="Z403" s="958"/>
    </row>
    <row r="404" ht="35.25" customHeight="1">
      <c r="A404" s="1019"/>
      <c r="B404" s="956"/>
      <c r="C404" s="956"/>
      <c r="D404" s="957"/>
      <c r="E404" s="956"/>
      <c r="F404" s="956"/>
      <c r="G404" s="956"/>
      <c r="H404" s="956"/>
      <c r="I404" s="956"/>
      <c r="J404" s="956"/>
      <c r="K404" s="956"/>
      <c r="L404" s="956"/>
      <c r="M404" s="956"/>
      <c r="N404" s="956"/>
      <c r="O404" s="958"/>
      <c r="P404" s="958"/>
      <c r="Q404" s="958"/>
      <c r="R404" s="958"/>
      <c r="S404" s="958"/>
      <c r="T404" s="958"/>
      <c r="U404" s="958"/>
      <c r="V404" s="958"/>
      <c r="W404" s="958"/>
      <c r="X404" s="958"/>
      <c r="Y404" s="958"/>
      <c r="Z404" s="958"/>
    </row>
    <row r="405" ht="35.25" customHeight="1">
      <c r="A405" s="1019"/>
      <c r="B405" s="956"/>
      <c r="C405" s="956"/>
      <c r="D405" s="957"/>
      <c r="E405" s="956"/>
      <c r="F405" s="956"/>
      <c r="G405" s="956"/>
      <c r="H405" s="956"/>
      <c r="I405" s="956"/>
      <c r="J405" s="956"/>
      <c r="K405" s="956"/>
      <c r="L405" s="956"/>
      <c r="M405" s="956"/>
      <c r="N405" s="956"/>
      <c r="O405" s="958"/>
      <c r="P405" s="958"/>
      <c r="Q405" s="958"/>
      <c r="R405" s="958"/>
      <c r="S405" s="958"/>
      <c r="T405" s="958"/>
      <c r="U405" s="958"/>
      <c r="V405" s="958"/>
      <c r="W405" s="958"/>
      <c r="X405" s="958"/>
      <c r="Y405" s="958"/>
      <c r="Z405" s="958"/>
    </row>
    <row r="406" ht="35.25" customHeight="1">
      <c r="A406" s="1019"/>
      <c r="B406" s="956"/>
      <c r="C406" s="956"/>
      <c r="D406" s="957"/>
      <c r="E406" s="956"/>
      <c r="F406" s="956"/>
      <c r="G406" s="956"/>
      <c r="H406" s="956"/>
      <c r="I406" s="956"/>
      <c r="J406" s="956"/>
      <c r="K406" s="956"/>
      <c r="L406" s="956"/>
      <c r="M406" s="956"/>
      <c r="N406" s="956"/>
      <c r="O406" s="958"/>
      <c r="P406" s="958"/>
      <c r="Q406" s="958"/>
      <c r="R406" s="958"/>
      <c r="S406" s="958"/>
      <c r="T406" s="958"/>
      <c r="U406" s="958"/>
      <c r="V406" s="958"/>
      <c r="W406" s="958"/>
      <c r="X406" s="958"/>
      <c r="Y406" s="958"/>
      <c r="Z406" s="958"/>
    </row>
    <row r="407" ht="35.25" customHeight="1">
      <c r="A407" s="1019"/>
      <c r="B407" s="956"/>
      <c r="C407" s="956"/>
      <c r="D407" s="957"/>
      <c r="E407" s="956"/>
      <c r="F407" s="956"/>
      <c r="G407" s="956"/>
      <c r="H407" s="956"/>
      <c r="I407" s="956"/>
      <c r="J407" s="956"/>
      <c r="K407" s="956"/>
      <c r="L407" s="956"/>
      <c r="M407" s="956"/>
      <c r="N407" s="956"/>
      <c r="O407" s="958"/>
      <c r="P407" s="958"/>
      <c r="Q407" s="958"/>
      <c r="R407" s="958"/>
      <c r="S407" s="958"/>
      <c r="T407" s="958"/>
      <c r="U407" s="958"/>
      <c r="V407" s="958"/>
      <c r="W407" s="958"/>
      <c r="X407" s="958"/>
      <c r="Y407" s="958"/>
      <c r="Z407" s="958"/>
    </row>
    <row r="408" ht="35.25" customHeight="1">
      <c r="A408" s="1019"/>
      <c r="B408" s="956"/>
      <c r="C408" s="956"/>
      <c r="D408" s="957"/>
      <c r="E408" s="956"/>
      <c r="F408" s="956"/>
      <c r="G408" s="956"/>
      <c r="H408" s="956"/>
      <c r="I408" s="956"/>
      <c r="J408" s="956"/>
      <c r="K408" s="956"/>
      <c r="L408" s="956"/>
      <c r="M408" s="956"/>
      <c r="N408" s="956"/>
      <c r="O408" s="958"/>
      <c r="P408" s="958"/>
      <c r="Q408" s="958"/>
      <c r="R408" s="958"/>
      <c r="S408" s="958"/>
      <c r="T408" s="958"/>
      <c r="U408" s="958"/>
      <c r="V408" s="958"/>
      <c r="W408" s="958"/>
      <c r="X408" s="958"/>
      <c r="Y408" s="958"/>
      <c r="Z408" s="958"/>
    </row>
    <row r="409" ht="35.25" customHeight="1">
      <c r="A409" s="1019"/>
      <c r="B409" s="956"/>
      <c r="C409" s="956"/>
      <c r="D409" s="957"/>
      <c r="E409" s="956"/>
      <c r="F409" s="956"/>
      <c r="G409" s="956"/>
      <c r="H409" s="956"/>
      <c r="I409" s="956"/>
      <c r="J409" s="956"/>
      <c r="K409" s="956"/>
      <c r="L409" s="956"/>
      <c r="M409" s="956"/>
      <c r="N409" s="956"/>
      <c r="O409" s="958"/>
      <c r="P409" s="958"/>
      <c r="Q409" s="958"/>
      <c r="R409" s="958"/>
      <c r="S409" s="958"/>
      <c r="T409" s="958"/>
      <c r="U409" s="958"/>
      <c r="V409" s="958"/>
      <c r="W409" s="958"/>
      <c r="X409" s="958"/>
      <c r="Y409" s="958"/>
      <c r="Z409" s="958"/>
    </row>
    <row r="410" ht="35.25" customHeight="1">
      <c r="A410" s="1019"/>
      <c r="B410" s="956"/>
      <c r="C410" s="956"/>
      <c r="D410" s="957"/>
      <c r="E410" s="956"/>
      <c r="F410" s="956"/>
      <c r="G410" s="956"/>
      <c r="H410" s="956"/>
      <c r="I410" s="956"/>
      <c r="J410" s="956"/>
      <c r="K410" s="956"/>
      <c r="L410" s="956"/>
      <c r="M410" s="956"/>
      <c r="N410" s="956"/>
      <c r="O410" s="958"/>
      <c r="P410" s="958"/>
      <c r="Q410" s="958"/>
      <c r="R410" s="958"/>
      <c r="S410" s="958"/>
      <c r="T410" s="958"/>
      <c r="U410" s="958"/>
      <c r="V410" s="958"/>
      <c r="W410" s="958"/>
      <c r="X410" s="958"/>
      <c r="Y410" s="958"/>
      <c r="Z410" s="958"/>
    </row>
    <row r="411" ht="35.25" customHeight="1">
      <c r="A411" s="1019"/>
      <c r="B411" s="956"/>
      <c r="C411" s="956"/>
      <c r="D411" s="957"/>
      <c r="E411" s="956"/>
      <c r="F411" s="956"/>
      <c r="G411" s="956"/>
      <c r="H411" s="956"/>
      <c r="I411" s="956"/>
      <c r="J411" s="956"/>
      <c r="K411" s="956"/>
      <c r="L411" s="956"/>
      <c r="M411" s="956"/>
      <c r="N411" s="956"/>
      <c r="O411" s="958"/>
      <c r="P411" s="958"/>
      <c r="Q411" s="958"/>
      <c r="R411" s="958"/>
      <c r="S411" s="958"/>
      <c r="T411" s="958"/>
      <c r="U411" s="958"/>
      <c r="V411" s="958"/>
      <c r="W411" s="958"/>
      <c r="X411" s="958"/>
      <c r="Y411" s="958"/>
      <c r="Z411" s="958"/>
    </row>
    <row r="412" ht="35.25" customHeight="1">
      <c r="A412" s="1019"/>
      <c r="B412" s="956"/>
      <c r="C412" s="956"/>
      <c r="D412" s="957"/>
      <c r="E412" s="956"/>
      <c r="F412" s="956"/>
      <c r="G412" s="956"/>
      <c r="H412" s="956"/>
      <c r="I412" s="956"/>
      <c r="J412" s="956"/>
      <c r="K412" s="956"/>
      <c r="L412" s="956"/>
      <c r="M412" s="956"/>
      <c r="N412" s="956"/>
      <c r="O412" s="958"/>
      <c r="P412" s="958"/>
      <c r="Q412" s="958"/>
      <c r="R412" s="958"/>
      <c r="S412" s="958"/>
      <c r="T412" s="958"/>
      <c r="U412" s="958"/>
      <c r="V412" s="958"/>
      <c r="W412" s="958"/>
      <c r="X412" s="958"/>
      <c r="Y412" s="958"/>
      <c r="Z412" s="958"/>
    </row>
    <row r="413" ht="35.25" customHeight="1">
      <c r="A413" s="1019"/>
      <c r="B413" s="956"/>
      <c r="C413" s="956"/>
      <c r="D413" s="957"/>
      <c r="E413" s="956"/>
      <c r="F413" s="956"/>
      <c r="G413" s="956"/>
      <c r="H413" s="956"/>
      <c r="I413" s="956"/>
      <c r="J413" s="956"/>
      <c r="K413" s="956"/>
      <c r="L413" s="956"/>
      <c r="M413" s="956"/>
      <c r="N413" s="956"/>
      <c r="O413" s="958"/>
      <c r="P413" s="958"/>
      <c r="Q413" s="958"/>
      <c r="R413" s="958"/>
      <c r="S413" s="958"/>
      <c r="T413" s="958"/>
      <c r="U413" s="958"/>
      <c r="V413" s="958"/>
      <c r="W413" s="958"/>
      <c r="X413" s="958"/>
      <c r="Y413" s="958"/>
      <c r="Z413" s="958"/>
    </row>
    <row r="414" ht="35.25" customHeight="1">
      <c r="A414" s="1019"/>
      <c r="B414" s="956"/>
      <c r="C414" s="956"/>
      <c r="D414" s="957"/>
      <c r="E414" s="956"/>
      <c r="F414" s="956"/>
      <c r="G414" s="956"/>
      <c r="H414" s="956"/>
      <c r="I414" s="956"/>
      <c r="J414" s="956"/>
      <c r="K414" s="956"/>
      <c r="L414" s="956"/>
      <c r="M414" s="956"/>
      <c r="N414" s="956"/>
      <c r="O414" s="958"/>
      <c r="P414" s="958"/>
      <c r="Q414" s="958"/>
      <c r="R414" s="958"/>
      <c r="S414" s="958"/>
      <c r="T414" s="958"/>
      <c r="U414" s="958"/>
      <c r="V414" s="958"/>
      <c r="W414" s="958"/>
      <c r="X414" s="958"/>
      <c r="Y414" s="958"/>
      <c r="Z414" s="958"/>
    </row>
    <row r="415" ht="35.25" customHeight="1">
      <c r="A415" s="1019"/>
      <c r="B415" s="956"/>
      <c r="C415" s="956"/>
      <c r="D415" s="957"/>
      <c r="E415" s="956"/>
      <c r="F415" s="956"/>
      <c r="G415" s="956"/>
      <c r="H415" s="956"/>
      <c r="I415" s="956"/>
      <c r="J415" s="956"/>
      <c r="K415" s="956"/>
      <c r="L415" s="956"/>
      <c r="M415" s="956"/>
      <c r="N415" s="956"/>
      <c r="O415" s="958"/>
      <c r="P415" s="958"/>
      <c r="Q415" s="958"/>
      <c r="R415" s="958"/>
      <c r="S415" s="958"/>
      <c r="T415" s="958"/>
      <c r="U415" s="958"/>
      <c r="V415" s="958"/>
      <c r="W415" s="958"/>
      <c r="X415" s="958"/>
      <c r="Y415" s="958"/>
      <c r="Z415" s="958"/>
    </row>
    <row r="416" ht="35.25" customHeight="1">
      <c r="A416" s="1019"/>
      <c r="B416" s="956"/>
      <c r="C416" s="956"/>
      <c r="D416" s="957"/>
      <c r="E416" s="956"/>
      <c r="F416" s="956"/>
      <c r="G416" s="956"/>
      <c r="H416" s="956"/>
      <c r="I416" s="956"/>
      <c r="J416" s="956"/>
      <c r="K416" s="956"/>
      <c r="L416" s="956"/>
      <c r="M416" s="956"/>
      <c r="N416" s="956"/>
      <c r="O416" s="958"/>
      <c r="P416" s="958"/>
      <c r="Q416" s="958"/>
      <c r="R416" s="958"/>
      <c r="S416" s="958"/>
      <c r="T416" s="958"/>
      <c r="U416" s="958"/>
      <c r="V416" s="958"/>
      <c r="W416" s="958"/>
      <c r="X416" s="958"/>
      <c r="Y416" s="958"/>
      <c r="Z416" s="958"/>
    </row>
    <row r="417" ht="35.25" customHeight="1">
      <c r="A417" s="1019"/>
      <c r="B417" s="956"/>
      <c r="C417" s="956"/>
      <c r="D417" s="957"/>
      <c r="E417" s="956"/>
      <c r="F417" s="956"/>
      <c r="G417" s="956"/>
      <c r="H417" s="956"/>
      <c r="I417" s="956"/>
      <c r="J417" s="956"/>
      <c r="K417" s="956"/>
      <c r="L417" s="956"/>
      <c r="M417" s="956"/>
      <c r="N417" s="956"/>
      <c r="O417" s="958"/>
      <c r="P417" s="958"/>
      <c r="Q417" s="958"/>
      <c r="R417" s="958"/>
      <c r="S417" s="958"/>
      <c r="T417" s="958"/>
      <c r="U417" s="958"/>
      <c r="V417" s="958"/>
      <c r="W417" s="958"/>
      <c r="X417" s="958"/>
      <c r="Y417" s="958"/>
      <c r="Z417" s="958"/>
    </row>
    <row r="418" ht="35.25" customHeight="1">
      <c r="A418" s="1019"/>
      <c r="B418" s="956"/>
      <c r="C418" s="956"/>
      <c r="D418" s="957"/>
      <c r="E418" s="956"/>
      <c r="F418" s="956"/>
      <c r="G418" s="956"/>
      <c r="H418" s="956"/>
      <c r="I418" s="956"/>
      <c r="J418" s="956"/>
      <c r="K418" s="956"/>
      <c r="L418" s="956"/>
      <c r="M418" s="956"/>
      <c r="N418" s="956"/>
      <c r="O418" s="958"/>
      <c r="P418" s="958"/>
      <c r="Q418" s="958"/>
      <c r="R418" s="958"/>
      <c r="S418" s="958"/>
      <c r="T418" s="958"/>
      <c r="U418" s="958"/>
      <c r="V418" s="958"/>
      <c r="W418" s="958"/>
      <c r="X418" s="958"/>
      <c r="Y418" s="958"/>
      <c r="Z418" s="958"/>
    </row>
    <row r="419" ht="35.25" customHeight="1">
      <c r="A419" s="1019"/>
      <c r="B419" s="956"/>
      <c r="C419" s="956"/>
      <c r="D419" s="957"/>
      <c r="E419" s="956"/>
      <c r="F419" s="956"/>
      <c r="G419" s="956"/>
      <c r="H419" s="956"/>
      <c r="I419" s="956"/>
      <c r="J419" s="956"/>
      <c r="K419" s="956"/>
      <c r="L419" s="956"/>
      <c r="M419" s="956"/>
      <c r="N419" s="956"/>
      <c r="O419" s="958"/>
      <c r="P419" s="958"/>
      <c r="Q419" s="958"/>
      <c r="R419" s="958"/>
      <c r="S419" s="958"/>
      <c r="T419" s="958"/>
      <c r="U419" s="958"/>
      <c r="V419" s="958"/>
      <c r="W419" s="958"/>
      <c r="X419" s="958"/>
      <c r="Y419" s="958"/>
      <c r="Z419" s="958"/>
    </row>
    <row r="420" ht="35.25" customHeight="1">
      <c r="A420" s="1019"/>
      <c r="B420" s="956"/>
      <c r="C420" s="956"/>
      <c r="D420" s="957"/>
      <c r="E420" s="956"/>
      <c r="F420" s="956"/>
      <c r="G420" s="956"/>
      <c r="H420" s="956"/>
      <c r="I420" s="956"/>
      <c r="J420" s="956"/>
      <c r="K420" s="956"/>
      <c r="L420" s="956"/>
      <c r="M420" s="956"/>
      <c r="N420" s="956"/>
      <c r="O420" s="958"/>
      <c r="P420" s="958"/>
      <c r="Q420" s="958"/>
      <c r="R420" s="958"/>
      <c r="S420" s="958"/>
      <c r="T420" s="958"/>
      <c r="U420" s="958"/>
      <c r="V420" s="958"/>
      <c r="W420" s="958"/>
      <c r="X420" s="958"/>
      <c r="Y420" s="958"/>
      <c r="Z420" s="958"/>
    </row>
    <row r="421" ht="35.25" customHeight="1">
      <c r="A421" s="1019"/>
      <c r="B421" s="956"/>
      <c r="C421" s="956"/>
      <c r="D421" s="957"/>
      <c r="E421" s="956"/>
      <c r="F421" s="956"/>
      <c r="G421" s="956"/>
      <c r="H421" s="956"/>
      <c r="I421" s="956"/>
      <c r="J421" s="956"/>
      <c r="K421" s="956"/>
      <c r="L421" s="956"/>
      <c r="M421" s="956"/>
      <c r="N421" s="956"/>
      <c r="O421" s="958"/>
      <c r="P421" s="958"/>
      <c r="Q421" s="958"/>
      <c r="R421" s="958"/>
      <c r="S421" s="958"/>
      <c r="T421" s="958"/>
      <c r="U421" s="958"/>
      <c r="V421" s="958"/>
      <c r="W421" s="958"/>
      <c r="X421" s="958"/>
      <c r="Y421" s="958"/>
      <c r="Z421" s="958"/>
    </row>
    <row r="422" ht="35.25" customHeight="1">
      <c r="A422" s="1019"/>
      <c r="B422" s="956"/>
      <c r="C422" s="956"/>
      <c r="D422" s="957"/>
      <c r="E422" s="956"/>
      <c r="F422" s="956"/>
      <c r="G422" s="956"/>
      <c r="H422" s="956"/>
      <c r="I422" s="956"/>
      <c r="J422" s="956"/>
      <c r="K422" s="956"/>
      <c r="L422" s="956"/>
      <c r="M422" s="956"/>
      <c r="N422" s="956"/>
      <c r="O422" s="958"/>
      <c r="P422" s="958"/>
      <c r="Q422" s="958"/>
      <c r="R422" s="958"/>
      <c r="S422" s="958"/>
      <c r="T422" s="958"/>
      <c r="U422" s="958"/>
      <c r="V422" s="958"/>
      <c r="W422" s="958"/>
      <c r="X422" s="958"/>
      <c r="Y422" s="958"/>
      <c r="Z422" s="958"/>
    </row>
    <row r="423" ht="35.25" customHeight="1">
      <c r="A423" s="1019"/>
      <c r="B423" s="956"/>
      <c r="C423" s="956"/>
      <c r="D423" s="957"/>
      <c r="E423" s="956"/>
      <c r="F423" s="956"/>
      <c r="G423" s="956"/>
      <c r="H423" s="956"/>
      <c r="I423" s="956"/>
      <c r="J423" s="956"/>
      <c r="K423" s="956"/>
      <c r="L423" s="956"/>
      <c r="M423" s="956"/>
      <c r="N423" s="956"/>
      <c r="O423" s="958"/>
      <c r="P423" s="958"/>
      <c r="Q423" s="958"/>
      <c r="R423" s="958"/>
      <c r="S423" s="958"/>
      <c r="T423" s="958"/>
      <c r="U423" s="958"/>
      <c r="V423" s="958"/>
      <c r="W423" s="958"/>
      <c r="X423" s="958"/>
      <c r="Y423" s="958"/>
      <c r="Z423" s="958"/>
    </row>
    <row r="424" ht="35.25" customHeight="1">
      <c r="A424" s="1019"/>
      <c r="B424" s="956"/>
      <c r="C424" s="956"/>
      <c r="D424" s="957"/>
      <c r="E424" s="956"/>
      <c r="F424" s="956"/>
      <c r="G424" s="956"/>
      <c r="H424" s="956"/>
      <c r="I424" s="956"/>
      <c r="J424" s="956"/>
      <c r="K424" s="956"/>
      <c r="L424" s="956"/>
      <c r="M424" s="956"/>
      <c r="N424" s="956"/>
      <c r="O424" s="958"/>
      <c r="P424" s="958"/>
      <c r="Q424" s="958"/>
      <c r="R424" s="958"/>
      <c r="S424" s="958"/>
      <c r="T424" s="958"/>
      <c r="U424" s="958"/>
      <c r="V424" s="958"/>
      <c r="W424" s="958"/>
      <c r="X424" s="958"/>
      <c r="Y424" s="958"/>
      <c r="Z424" s="958"/>
    </row>
    <row r="425" ht="35.25" customHeight="1">
      <c r="A425" s="1019"/>
      <c r="B425" s="956"/>
      <c r="C425" s="956"/>
      <c r="D425" s="957"/>
      <c r="E425" s="956"/>
      <c r="F425" s="956"/>
      <c r="G425" s="956"/>
      <c r="H425" s="956"/>
      <c r="I425" s="956"/>
      <c r="J425" s="956"/>
      <c r="K425" s="956"/>
      <c r="L425" s="956"/>
      <c r="M425" s="956"/>
      <c r="N425" s="956"/>
      <c r="O425" s="958"/>
      <c r="P425" s="958"/>
      <c r="Q425" s="958"/>
      <c r="R425" s="958"/>
      <c r="S425" s="958"/>
      <c r="T425" s="958"/>
      <c r="U425" s="958"/>
      <c r="V425" s="958"/>
      <c r="W425" s="958"/>
      <c r="X425" s="958"/>
      <c r="Y425" s="958"/>
      <c r="Z425" s="958"/>
    </row>
    <row r="426" ht="35.25" customHeight="1">
      <c r="A426" s="1019"/>
      <c r="B426" s="956"/>
      <c r="C426" s="956"/>
      <c r="D426" s="957"/>
      <c r="E426" s="956"/>
      <c r="F426" s="956"/>
      <c r="G426" s="956"/>
      <c r="H426" s="956"/>
      <c r="I426" s="956"/>
      <c r="J426" s="956"/>
      <c r="K426" s="956"/>
      <c r="L426" s="956"/>
      <c r="M426" s="956"/>
      <c r="N426" s="956"/>
      <c r="O426" s="958"/>
      <c r="P426" s="958"/>
      <c r="Q426" s="958"/>
      <c r="R426" s="958"/>
      <c r="S426" s="958"/>
      <c r="T426" s="958"/>
      <c r="U426" s="958"/>
      <c r="V426" s="958"/>
      <c r="W426" s="958"/>
      <c r="X426" s="958"/>
      <c r="Y426" s="958"/>
      <c r="Z426" s="958"/>
    </row>
    <row r="427" ht="35.25" customHeight="1">
      <c r="A427" s="1019"/>
      <c r="B427" s="956"/>
      <c r="C427" s="956"/>
      <c r="D427" s="957"/>
      <c r="E427" s="956"/>
      <c r="F427" s="956"/>
      <c r="G427" s="956"/>
      <c r="H427" s="956"/>
      <c r="I427" s="956"/>
      <c r="J427" s="956"/>
      <c r="K427" s="956"/>
      <c r="L427" s="956"/>
      <c r="M427" s="956"/>
      <c r="N427" s="956"/>
      <c r="O427" s="958"/>
      <c r="P427" s="958"/>
      <c r="Q427" s="958"/>
      <c r="R427" s="958"/>
      <c r="S427" s="958"/>
      <c r="T427" s="958"/>
      <c r="U427" s="958"/>
      <c r="V427" s="958"/>
      <c r="W427" s="958"/>
      <c r="X427" s="958"/>
      <c r="Y427" s="958"/>
      <c r="Z427" s="958"/>
    </row>
    <row r="428" ht="35.25" customHeight="1">
      <c r="A428" s="1019"/>
      <c r="B428" s="956"/>
      <c r="C428" s="956"/>
      <c r="D428" s="957"/>
      <c r="E428" s="956"/>
      <c r="F428" s="956"/>
      <c r="G428" s="956"/>
      <c r="H428" s="956"/>
      <c r="I428" s="956"/>
      <c r="J428" s="956"/>
      <c r="K428" s="956"/>
      <c r="L428" s="956"/>
      <c r="M428" s="956"/>
      <c r="N428" s="956"/>
      <c r="O428" s="958"/>
      <c r="P428" s="958"/>
      <c r="Q428" s="958"/>
      <c r="R428" s="958"/>
      <c r="S428" s="958"/>
      <c r="T428" s="958"/>
      <c r="U428" s="958"/>
      <c r="V428" s="958"/>
      <c r="W428" s="958"/>
      <c r="X428" s="958"/>
      <c r="Y428" s="958"/>
      <c r="Z428" s="958"/>
    </row>
    <row r="429" ht="35.25" customHeight="1">
      <c r="A429" s="1019"/>
      <c r="B429" s="956"/>
      <c r="C429" s="956"/>
      <c r="D429" s="957"/>
      <c r="E429" s="956"/>
      <c r="F429" s="956"/>
      <c r="G429" s="956"/>
      <c r="H429" s="956"/>
      <c r="I429" s="956"/>
      <c r="J429" s="956"/>
      <c r="K429" s="956"/>
      <c r="L429" s="956"/>
      <c r="M429" s="956"/>
      <c r="N429" s="956"/>
      <c r="O429" s="958"/>
      <c r="P429" s="958"/>
      <c r="Q429" s="958"/>
      <c r="R429" s="958"/>
      <c r="S429" s="958"/>
      <c r="T429" s="958"/>
      <c r="U429" s="958"/>
      <c r="V429" s="958"/>
      <c r="W429" s="958"/>
      <c r="X429" s="958"/>
      <c r="Y429" s="958"/>
      <c r="Z429" s="958"/>
    </row>
    <row r="430" ht="35.25" customHeight="1">
      <c r="A430" s="1019"/>
      <c r="B430" s="956"/>
      <c r="C430" s="956"/>
      <c r="D430" s="957"/>
      <c r="E430" s="956"/>
      <c r="F430" s="956"/>
      <c r="G430" s="956"/>
      <c r="H430" s="956"/>
      <c r="I430" s="956"/>
      <c r="J430" s="956"/>
      <c r="K430" s="956"/>
      <c r="L430" s="956"/>
      <c r="M430" s="956"/>
      <c r="N430" s="956"/>
      <c r="O430" s="958"/>
      <c r="P430" s="958"/>
      <c r="Q430" s="958"/>
      <c r="R430" s="958"/>
      <c r="S430" s="958"/>
      <c r="T430" s="958"/>
      <c r="U430" s="958"/>
      <c r="V430" s="958"/>
      <c r="W430" s="958"/>
      <c r="X430" s="958"/>
      <c r="Y430" s="958"/>
      <c r="Z430" s="958"/>
    </row>
    <row r="431" ht="35.25" customHeight="1">
      <c r="A431" s="1019"/>
      <c r="B431" s="956"/>
      <c r="C431" s="956"/>
      <c r="D431" s="957"/>
      <c r="E431" s="956"/>
      <c r="F431" s="956"/>
      <c r="G431" s="956"/>
      <c r="H431" s="956"/>
      <c r="I431" s="956"/>
      <c r="J431" s="956"/>
      <c r="K431" s="956"/>
      <c r="L431" s="956"/>
      <c r="M431" s="956"/>
      <c r="N431" s="956"/>
      <c r="O431" s="958"/>
      <c r="P431" s="958"/>
      <c r="Q431" s="958"/>
      <c r="R431" s="958"/>
      <c r="S431" s="958"/>
      <c r="T431" s="958"/>
      <c r="U431" s="958"/>
      <c r="V431" s="958"/>
      <c r="W431" s="958"/>
      <c r="X431" s="958"/>
      <c r="Y431" s="958"/>
      <c r="Z431" s="958"/>
    </row>
    <row r="432" ht="35.25" customHeight="1">
      <c r="A432" s="1019"/>
      <c r="B432" s="956"/>
      <c r="C432" s="956"/>
      <c r="D432" s="957"/>
      <c r="E432" s="956"/>
      <c r="F432" s="956"/>
      <c r="G432" s="956"/>
      <c r="H432" s="956"/>
      <c r="I432" s="956"/>
      <c r="J432" s="956"/>
      <c r="K432" s="956"/>
      <c r="L432" s="956"/>
      <c r="M432" s="956"/>
      <c r="N432" s="956"/>
      <c r="O432" s="958"/>
      <c r="P432" s="958"/>
      <c r="Q432" s="958"/>
      <c r="R432" s="958"/>
      <c r="S432" s="958"/>
      <c r="T432" s="958"/>
      <c r="U432" s="958"/>
      <c r="V432" s="958"/>
      <c r="W432" s="958"/>
      <c r="X432" s="958"/>
      <c r="Y432" s="958"/>
      <c r="Z432" s="958"/>
    </row>
    <row r="433" ht="35.25" customHeight="1">
      <c r="A433" s="1019"/>
      <c r="B433" s="956"/>
      <c r="C433" s="956"/>
      <c r="D433" s="957"/>
      <c r="E433" s="956"/>
      <c r="F433" s="956"/>
      <c r="G433" s="956"/>
      <c r="H433" s="956"/>
      <c r="I433" s="956"/>
      <c r="J433" s="956"/>
      <c r="K433" s="956"/>
      <c r="L433" s="956"/>
      <c r="M433" s="956"/>
      <c r="N433" s="956"/>
      <c r="O433" s="958"/>
      <c r="P433" s="958"/>
      <c r="Q433" s="958"/>
      <c r="R433" s="958"/>
      <c r="S433" s="958"/>
      <c r="T433" s="958"/>
      <c r="U433" s="958"/>
      <c r="V433" s="958"/>
      <c r="W433" s="958"/>
      <c r="X433" s="958"/>
      <c r="Y433" s="958"/>
      <c r="Z433" s="958"/>
    </row>
    <row r="434" ht="35.25" customHeight="1">
      <c r="A434" s="1019"/>
      <c r="B434" s="956"/>
      <c r="C434" s="956"/>
      <c r="D434" s="957"/>
      <c r="E434" s="956"/>
      <c r="F434" s="956"/>
      <c r="G434" s="956"/>
      <c r="H434" s="956"/>
      <c r="I434" s="956"/>
      <c r="J434" s="956"/>
      <c r="K434" s="956"/>
      <c r="L434" s="956"/>
      <c r="M434" s="956"/>
      <c r="N434" s="956"/>
      <c r="O434" s="958"/>
      <c r="P434" s="958"/>
      <c r="Q434" s="958"/>
      <c r="R434" s="958"/>
      <c r="S434" s="958"/>
      <c r="T434" s="958"/>
      <c r="U434" s="958"/>
      <c r="V434" s="958"/>
      <c r="W434" s="958"/>
      <c r="X434" s="958"/>
      <c r="Y434" s="958"/>
      <c r="Z434" s="958"/>
    </row>
    <row r="435" ht="35.25" customHeight="1">
      <c r="A435" s="1019"/>
      <c r="B435" s="956"/>
      <c r="C435" s="956"/>
      <c r="D435" s="957"/>
      <c r="E435" s="956"/>
      <c r="F435" s="956"/>
      <c r="G435" s="956"/>
      <c r="H435" s="956"/>
      <c r="I435" s="956"/>
      <c r="J435" s="956"/>
      <c r="K435" s="956"/>
      <c r="L435" s="956"/>
      <c r="M435" s="956"/>
      <c r="N435" s="956"/>
      <c r="O435" s="958"/>
      <c r="P435" s="958"/>
      <c r="Q435" s="958"/>
      <c r="R435" s="958"/>
      <c r="S435" s="958"/>
      <c r="T435" s="958"/>
      <c r="U435" s="958"/>
      <c r="V435" s="958"/>
      <c r="W435" s="958"/>
      <c r="X435" s="958"/>
      <c r="Y435" s="958"/>
      <c r="Z435" s="958"/>
    </row>
    <row r="436" ht="35.25" customHeight="1">
      <c r="A436" s="1019"/>
      <c r="B436" s="956"/>
      <c r="C436" s="956"/>
      <c r="D436" s="957"/>
      <c r="E436" s="956"/>
      <c r="F436" s="956"/>
      <c r="G436" s="956"/>
      <c r="H436" s="956"/>
      <c r="I436" s="956"/>
      <c r="J436" s="956"/>
      <c r="K436" s="956"/>
      <c r="L436" s="956"/>
      <c r="M436" s="956"/>
      <c r="N436" s="956"/>
      <c r="O436" s="958"/>
      <c r="P436" s="958"/>
      <c r="Q436" s="958"/>
      <c r="R436" s="958"/>
      <c r="S436" s="958"/>
      <c r="T436" s="958"/>
      <c r="U436" s="958"/>
      <c r="V436" s="958"/>
      <c r="W436" s="958"/>
      <c r="X436" s="958"/>
      <c r="Y436" s="958"/>
      <c r="Z436" s="958"/>
    </row>
    <row r="437" ht="35.25" customHeight="1">
      <c r="A437" s="1019"/>
      <c r="B437" s="956"/>
      <c r="C437" s="956"/>
      <c r="D437" s="957"/>
      <c r="E437" s="956"/>
      <c r="F437" s="956"/>
      <c r="G437" s="956"/>
      <c r="H437" s="956"/>
      <c r="I437" s="956"/>
      <c r="J437" s="956"/>
      <c r="K437" s="956"/>
      <c r="L437" s="956"/>
      <c r="M437" s="956"/>
      <c r="N437" s="956"/>
      <c r="O437" s="958"/>
      <c r="P437" s="958"/>
      <c r="Q437" s="958"/>
      <c r="R437" s="958"/>
      <c r="S437" s="958"/>
      <c r="T437" s="958"/>
      <c r="U437" s="958"/>
      <c r="V437" s="958"/>
      <c r="W437" s="958"/>
      <c r="X437" s="958"/>
      <c r="Y437" s="958"/>
      <c r="Z437" s="958"/>
    </row>
    <row r="438" ht="35.25" customHeight="1">
      <c r="A438" s="1019"/>
      <c r="B438" s="956"/>
      <c r="C438" s="956"/>
      <c r="D438" s="957"/>
      <c r="E438" s="956"/>
      <c r="F438" s="956"/>
      <c r="G438" s="956"/>
      <c r="H438" s="956"/>
      <c r="I438" s="956"/>
      <c r="J438" s="956"/>
      <c r="K438" s="956"/>
      <c r="L438" s="956"/>
      <c r="M438" s="956"/>
      <c r="N438" s="956"/>
      <c r="O438" s="958"/>
      <c r="P438" s="958"/>
      <c r="Q438" s="958"/>
      <c r="R438" s="958"/>
      <c r="S438" s="958"/>
      <c r="T438" s="958"/>
      <c r="U438" s="958"/>
      <c r="V438" s="958"/>
      <c r="W438" s="958"/>
      <c r="X438" s="958"/>
      <c r="Y438" s="958"/>
      <c r="Z438" s="958"/>
    </row>
    <row r="439" ht="35.25" customHeight="1">
      <c r="A439" s="1019"/>
      <c r="B439" s="956"/>
      <c r="C439" s="956"/>
      <c r="D439" s="957"/>
      <c r="E439" s="956"/>
      <c r="F439" s="956"/>
      <c r="G439" s="956"/>
      <c r="H439" s="956"/>
      <c r="I439" s="956"/>
      <c r="J439" s="956"/>
      <c r="K439" s="956"/>
      <c r="L439" s="956"/>
      <c r="M439" s="956"/>
      <c r="N439" s="956"/>
      <c r="O439" s="958"/>
      <c r="P439" s="958"/>
      <c r="Q439" s="958"/>
      <c r="R439" s="958"/>
      <c r="S439" s="958"/>
      <c r="T439" s="958"/>
      <c r="U439" s="958"/>
      <c r="V439" s="958"/>
      <c r="W439" s="958"/>
      <c r="X439" s="958"/>
      <c r="Y439" s="958"/>
      <c r="Z439" s="958"/>
    </row>
    <row r="440" ht="35.25" customHeight="1">
      <c r="A440" s="1019"/>
      <c r="B440" s="956"/>
      <c r="C440" s="956"/>
      <c r="D440" s="957"/>
      <c r="E440" s="956"/>
      <c r="F440" s="956"/>
      <c r="G440" s="956"/>
      <c r="H440" s="956"/>
      <c r="I440" s="956"/>
      <c r="J440" s="956"/>
      <c r="K440" s="956"/>
      <c r="L440" s="956"/>
      <c r="M440" s="956"/>
      <c r="N440" s="956"/>
      <c r="O440" s="958"/>
      <c r="P440" s="958"/>
      <c r="Q440" s="958"/>
      <c r="R440" s="958"/>
      <c r="S440" s="958"/>
      <c r="T440" s="958"/>
      <c r="U440" s="958"/>
      <c r="V440" s="958"/>
      <c r="W440" s="958"/>
      <c r="X440" s="958"/>
      <c r="Y440" s="958"/>
      <c r="Z440" s="958"/>
    </row>
    <row r="441" ht="35.25" customHeight="1">
      <c r="A441" s="1019"/>
      <c r="B441" s="956"/>
      <c r="C441" s="956"/>
      <c r="D441" s="957"/>
      <c r="E441" s="956"/>
      <c r="F441" s="956"/>
      <c r="G441" s="956"/>
      <c r="H441" s="956"/>
      <c r="I441" s="956"/>
      <c r="J441" s="956"/>
      <c r="K441" s="956"/>
      <c r="L441" s="956"/>
      <c r="M441" s="956"/>
      <c r="N441" s="956"/>
      <c r="O441" s="958"/>
      <c r="P441" s="958"/>
      <c r="Q441" s="958"/>
      <c r="R441" s="958"/>
      <c r="S441" s="958"/>
      <c r="T441" s="958"/>
      <c r="U441" s="958"/>
      <c r="V441" s="958"/>
      <c r="W441" s="958"/>
      <c r="X441" s="958"/>
      <c r="Y441" s="958"/>
      <c r="Z441" s="958"/>
    </row>
    <row r="442" ht="35.25" customHeight="1">
      <c r="A442" s="1019"/>
      <c r="B442" s="956"/>
      <c r="C442" s="956"/>
      <c r="D442" s="957"/>
      <c r="E442" s="956"/>
      <c r="F442" s="956"/>
      <c r="G442" s="956"/>
      <c r="H442" s="956"/>
      <c r="I442" s="956"/>
      <c r="J442" s="956"/>
      <c r="K442" s="956"/>
      <c r="L442" s="956"/>
      <c r="M442" s="956"/>
      <c r="N442" s="956"/>
      <c r="O442" s="958"/>
      <c r="P442" s="958"/>
      <c r="Q442" s="958"/>
      <c r="R442" s="958"/>
      <c r="S442" s="958"/>
      <c r="T442" s="958"/>
      <c r="U442" s="958"/>
      <c r="V442" s="958"/>
      <c r="W442" s="958"/>
      <c r="X442" s="958"/>
      <c r="Y442" s="958"/>
      <c r="Z442" s="958"/>
    </row>
    <row r="443" ht="35.25" customHeight="1">
      <c r="A443" s="1019"/>
      <c r="B443" s="956"/>
      <c r="C443" s="956"/>
      <c r="D443" s="957"/>
      <c r="E443" s="956"/>
      <c r="F443" s="956"/>
      <c r="G443" s="956"/>
      <c r="H443" s="956"/>
      <c r="I443" s="956"/>
      <c r="J443" s="956"/>
      <c r="K443" s="956"/>
      <c r="L443" s="956"/>
      <c r="M443" s="956"/>
      <c r="N443" s="956"/>
      <c r="O443" s="958"/>
      <c r="P443" s="958"/>
      <c r="Q443" s="958"/>
      <c r="R443" s="958"/>
      <c r="S443" s="958"/>
      <c r="T443" s="958"/>
      <c r="U443" s="958"/>
      <c r="V443" s="958"/>
      <c r="W443" s="958"/>
      <c r="X443" s="958"/>
      <c r="Y443" s="958"/>
      <c r="Z443" s="958"/>
    </row>
    <row r="444" ht="35.25" customHeight="1">
      <c r="A444" s="1019"/>
      <c r="B444" s="956"/>
      <c r="C444" s="956"/>
      <c r="D444" s="957"/>
      <c r="E444" s="956"/>
      <c r="F444" s="956"/>
      <c r="G444" s="956"/>
      <c r="H444" s="956"/>
      <c r="I444" s="956"/>
      <c r="J444" s="956"/>
      <c r="K444" s="956"/>
      <c r="L444" s="956"/>
      <c r="M444" s="956"/>
      <c r="N444" s="956"/>
      <c r="O444" s="958"/>
      <c r="P444" s="958"/>
      <c r="Q444" s="958"/>
      <c r="R444" s="958"/>
      <c r="S444" s="958"/>
      <c r="T444" s="958"/>
      <c r="U444" s="958"/>
      <c r="V444" s="958"/>
      <c r="W444" s="958"/>
      <c r="X444" s="958"/>
      <c r="Y444" s="958"/>
      <c r="Z444" s="958"/>
    </row>
    <row r="445" ht="35.25" customHeight="1">
      <c r="A445" s="1019"/>
      <c r="B445" s="956"/>
      <c r="C445" s="956"/>
      <c r="D445" s="957"/>
      <c r="E445" s="956"/>
      <c r="F445" s="956"/>
      <c r="G445" s="956"/>
      <c r="H445" s="956"/>
      <c r="I445" s="956"/>
      <c r="J445" s="956"/>
      <c r="K445" s="956"/>
      <c r="L445" s="956"/>
      <c r="M445" s="956"/>
      <c r="N445" s="956"/>
      <c r="O445" s="958"/>
      <c r="P445" s="958"/>
      <c r="Q445" s="958"/>
      <c r="R445" s="958"/>
      <c r="S445" s="958"/>
      <c r="T445" s="958"/>
      <c r="U445" s="958"/>
      <c r="V445" s="958"/>
      <c r="W445" s="958"/>
      <c r="X445" s="958"/>
      <c r="Y445" s="958"/>
      <c r="Z445" s="958"/>
    </row>
    <row r="446" ht="35.25" customHeight="1">
      <c r="A446" s="1019"/>
      <c r="B446" s="956"/>
      <c r="C446" s="956"/>
      <c r="D446" s="957"/>
      <c r="E446" s="956"/>
      <c r="F446" s="956"/>
      <c r="G446" s="956"/>
      <c r="H446" s="956"/>
      <c r="I446" s="956"/>
      <c r="J446" s="956"/>
      <c r="K446" s="956"/>
      <c r="L446" s="956"/>
      <c r="M446" s="956"/>
      <c r="N446" s="956"/>
      <c r="O446" s="958"/>
      <c r="P446" s="958"/>
      <c r="Q446" s="958"/>
      <c r="R446" s="958"/>
      <c r="S446" s="958"/>
      <c r="T446" s="958"/>
      <c r="U446" s="958"/>
      <c r="V446" s="958"/>
      <c r="W446" s="958"/>
      <c r="X446" s="958"/>
      <c r="Y446" s="958"/>
      <c r="Z446" s="958"/>
    </row>
    <row r="447" ht="35.25" customHeight="1">
      <c r="A447" s="1019"/>
      <c r="B447" s="956"/>
      <c r="C447" s="956"/>
      <c r="D447" s="957"/>
      <c r="E447" s="956"/>
      <c r="F447" s="956"/>
      <c r="G447" s="956"/>
      <c r="H447" s="956"/>
      <c r="I447" s="956"/>
      <c r="J447" s="956"/>
      <c r="K447" s="956"/>
      <c r="L447" s="956"/>
      <c r="M447" s="956"/>
      <c r="N447" s="956"/>
      <c r="O447" s="958"/>
      <c r="P447" s="958"/>
      <c r="Q447" s="958"/>
      <c r="R447" s="958"/>
      <c r="S447" s="958"/>
      <c r="T447" s="958"/>
      <c r="U447" s="958"/>
      <c r="V447" s="958"/>
      <c r="W447" s="958"/>
      <c r="X447" s="958"/>
      <c r="Y447" s="958"/>
      <c r="Z447" s="958"/>
    </row>
    <row r="448" ht="35.25" customHeight="1">
      <c r="A448" s="1019"/>
      <c r="B448" s="956"/>
      <c r="C448" s="956"/>
      <c r="D448" s="957"/>
      <c r="E448" s="956"/>
      <c r="F448" s="956"/>
      <c r="G448" s="956"/>
      <c r="H448" s="956"/>
      <c r="I448" s="956"/>
      <c r="J448" s="956"/>
      <c r="K448" s="956"/>
      <c r="L448" s="956"/>
      <c r="M448" s="956"/>
      <c r="N448" s="956"/>
      <c r="O448" s="958"/>
      <c r="P448" s="958"/>
      <c r="Q448" s="958"/>
      <c r="R448" s="958"/>
      <c r="S448" s="958"/>
      <c r="T448" s="958"/>
      <c r="U448" s="958"/>
      <c r="V448" s="958"/>
      <c r="W448" s="958"/>
      <c r="X448" s="958"/>
      <c r="Y448" s="958"/>
      <c r="Z448" s="958"/>
    </row>
    <row r="449" ht="35.25" customHeight="1">
      <c r="A449" s="1019"/>
      <c r="B449" s="956"/>
      <c r="C449" s="956"/>
      <c r="D449" s="957"/>
      <c r="E449" s="956"/>
      <c r="F449" s="956"/>
      <c r="G449" s="956"/>
      <c r="H449" s="956"/>
      <c r="I449" s="956"/>
      <c r="J449" s="956"/>
      <c r="K449" s="956"/>
      <c r="L449" s="956"/>
      <c r="M449" s="956"/>
      <c r="N449" s="956"/>
      <c r="O449" s="958"/>
      <c r="P449" s="958"/>
      <c r="Q449" s="958"/>
      <c r="R449" s="958"/>
      <c r="S449" s="958"/>
      <c r="T449" s="958"/>
      <c r="U449" s="958"/>
      <c r="V449" s="958"/>
      <c r="W449" s="958"/>
      <c r="X449" s="958"/>
      <c r="Y449" s="958"/>
      <c r="Z449" s="958"/>
    </row>
    <row r="450" ht="35.25" customHeight="1">
      <c r="A450" s="1019"/>
      <c r="B450" s="956"/>
      <c r="C450" s="956"/>
      <c r="D450" s="957"/>
      <c r="E450" s="956"/>
      <c r="F450" s="956"/>
      <c r="G450" s="956"/>
      <c r="H450" s="956"/>
      <c r="I450" s="956"/>
      <c r="J450" s="956"/>
      <c r="K450" s="956"/>
      <c r="L450" s="956"/>
      <c r="M450" s="956"/>
      <c r="N450" s="956"/>
      <c r="O450" s="958"/>
      <c r="P450" s="958"/>
      <c r="Q450" s="958"/>
      <c r="R450" s="958"/>
      <c r="S450" s="958"/>
      <c r="T450" s="958"/>
      <c r="U450" s="958"/>
      <c r="V450" s="958"/>
      <c r="W450" s="958"/>
      <c r="X450" s="958"/>
      <c r="Y450" s="958"/>
      <c r="Z450" s="958"/>
    </row>
    <row r="451" ht="35.25" customHeight="1">
      <c r="A451" s="1019"/>
      <c r="B451" s="956"/>
      <c r="C451" s="956"/>
      <c r="D451" s="957"/>
      <c r="E451" s="956"/>
      <c r="F451" s="956"/>
      <c r="G451" s="956"/>
      <c r="H451" s="956"/>
      <c r="I451" s="956"/>
      <c r="J451" s="956"/>
      <c r="K451" s="956"/>
      <c r="L451" s="956"/>
      <c r="M451" s="956"/>
      <c r="N451" s="956"/>
      <c r="O451" s="958"/>
      <c r="P451" s="958"/>
      <c r="Q451" s="958"/>
      <c r="R451" s="958"/>
      <c r="S451" s="958"/>
      <c r="T451" s="958"/>
      <c r="U451" s="958"/>
      <c r="V451" s="958"/>
      <c r="W451" s="958"/>
      <c r="X451" s="958"/>
      <c r="Y451" s="958"/>
      <c r="Z451" s="958"/>
    </row>
    <row r="452" ht="35.25" customHeight="1">
      <c r="A452" s="1019"/>
      <c r="B452" s="956"/>
      <c r="C452" s="956"/>
      <c r="D452" s="957"/>
      <c r="E452" s="956"/>
      <c r="F452" s="956"/>
      <c r="G452" s="956"/>
      <c r="H452" s="956"/>
      <c r="I452" s="956"/>
      <c r="J452" s="956"/>
      <c r="K452" s="956"/>
      <c r="L452" s="956"/>
      <c r="M452" s="956"/>
      <c r="N452" s="956"/>
      <c r="O452" s="958"/>
      <c r="P452" s="958"/>
      <c r="Q452" s="958"/>
      <c r="R452" s="958"/>
      <c r="S452" s="958"/>
      <c r="T452" s="958"/>
      <c r="U452" s="958"/>
      <c r="V452" s="958"/>
      <c r="W452" s="958"/>
      <c r="X452" s="958"/>
      <c r="Y452" s="958"/>
      <c r="Z452" s="958"/>
    </row>
    <row r="453" ht="35.25" customHeight="1">
      <c r="A453" s="1019"/>
      <c r="B453" s="956"/>
      <c r="C453" s="956"/>
      <c r="D453" s="957"/>
      <c r="E453" s="956"/>
      <c r="F453" s="956"/>
      <c r="G453" s="956"/>
      <c r="H453" s="956"/>
      <c r="I453" s="956"/>
      <c r="J453" s="956"/>
      <c r="K453" s="956"/>
      <c r="L453" s="956"/>
      <c r="M453" s="956"/>
      <c r="N453" s="956"/>
      <c r="O453" s="958"/>
      <c r="P453" s="958"/>
      <c r="Q453" s="958"/>
      <c r="R453" s="958"/>
      <c r="S453" s="958"/>
      <c r="T453" s="958"/>
      <c r="U453" s="958"/>
      <c r="V453" s="958"/>
      <c r="W453" s="958"/>
      <c r="X453" s="958"/>
      <c r="Y453" s="958"/>
      <c r="Z453" s="958"/>
    </row>
    <row r="454" ht="35.25" customHeight="1">
      <c r="A454" s="1019"/>
      <c r="B454" s="956"/>
      <c r="C454" s="956"/>
      <c r="D454" s="957"/>
      <c r="E454" s="956"/>
      <c r="F454" s="956"/>
      <c r="G454" s="956"/>
      <c r="H454" s="956"/>
      <c r="I454" s="956"/>
      <c r="J454" s="956"/>
      <c r="K454" s="956"/>
      <c r="L454" s="956"/>
      <c r="M454" s="956"/>
      <c r="N454" s="956"/>
      <c r="O454" s="958"/>
      <c r="P454" s="958"/>
      <c r="Q454" s="958"/>
      <c r="R454" s="958"/>
      <c r="S454" s="958"/>
      <c r="T454" s="958"/>
      <c r="U454" s="958"/>
      <c r="V454" s="958"/>
      <c r="W454" s="958"/>
      <c r="X454" s="958"/>
      <c r="Y454" s="958"/>
      <c r="Z454" s="958"/>
    </row>
    <row r="455" ht="35.25" customHeight="1">
      <c r="A455" s="1019"/>
      <c r="B455" s="956"/>
      <c r="C455" s="956"/>
      <c r="D455" s="957"/>
      <c r="E455" s="956"/>
      <c r="F455" s="956"/>
      <c r="G455" s="956"/>
      <c r="H455" s="956"/>
      <c r="I455" s="956"/>
      <c r="J455" s="956"/>
      <c r="K455" s="956"/>
      <c r="L455" s="956"/>
      <c r="M455" s="956"/>
      <c r="N455" s="956"/>
      <c r="O455" s="958"/>
      <c r="P455" s="958"/>
      <c r="Q455" s="958"/>
      <c r="R455" s="958"/>
      <c r="S455" s="958"/>
      <c r="T455" s="958"/>
      <c r="U455" s="958"/>
      <c r="V455" s="958"/>
      <c r="W455" s="958"/>
      <c r="X455" s="958"/>
      <c r="Y455" s="958"/>
      <c r="Z455" s="958"/>
    </row>
    <row r="456" ht="35.25" customHeight="1">
      <c r="A456" s="1019"/>
      <c r="B456" s="956"/>
      <c r="C456" s="956"/>
      <c r="D456" s="957"/>
      <c r="E456" s="956"/>
      <c r="F456" s="956"/>
      <c r="G456" s="956"/>
      <c r="H456" s="956"/>
      <c r="I456" s="956"/>
      <c r="J456" s="956"/>
      <c r="K456" s="956"/>
      <c r="L456" s="956"/>
      <c r="M456" s="956"/>
      <c r="N456" s="956"/>
      <c r="O456" s="958"/>
      <c r="P456" s="958"/>
      <c r="Q456" s="958"/>
      <c r="R456" s="958"/>
      <c r="S456" s="958"/>
      <c r="T456" s="958"/>
      <c r="U456" s="958"/>
      <c r="V456" s="958"/>
      <c r="W456" s="958"/>
      <c r="X456" s="958"/>
      <c r="Y456" s="958"/>
      <c r="Z456" s="958"/>
    </row>
    <row r="457" ht="35.25" customHeight="1">
      <c r="A457" s="1019"/>
      <c r="B457" s="956"/>
      <c r="C457" s="956"/>
      <c r="D457" s="957"/>
      <c r="E457" s="956"/>
      <c r="F457" s="956"/>
      <c r="G457" s="956"/>
      <c r="H457" s="956"/>
      <c r="I457" s="956"/>
      <c r="J457" s="956"/>
      <c r="K457" s="956"/>
      <c r="L457" s="956"/>
      <c r="M457" s="956"/>
      <c r="N457" s="956"/>
      <c r="O457" s="958"/>
      <c r="P457" s="958"/>
      <c r="Q457" s="958"/>
      <c r="R457" s="958"/>
      <c r="S457" s="958"/>
      <c r="T457" s="958"/>
      <c r="U457" s="958"/>
      <c r="V457" s="958"/>
      <c r="W457" s="958"/>
      <c r="X457" s="958"/>
      <c r="Y457" s="958"/>
      <c r="Z457" s="958"/>
    </row>
    <row r="458" ht="35.25" customHeight="1">
      <c r="A458" s="1019"/>
      <c r="B458" s="956"/>
      <c r="C458" s="956"/>
      <c r="D458" s="957"/>
      <c r="E458" s="956"/>
      <c r="F458" s="956"/>
      <c r="G458" s="956"/>
      <c r="H458" s="956"/>
      <c r="I458" s="956"/>
      <c r="J458" s="956"/>
      <c r="K458" s="956"/>
      <c r="L458" s="956"/>
      <c r="M458" s="956"/>
      <c r="N458" s="956"/>
      <c r="O458" s="958"/>
      <c r="P458" s="958"/>
      <c r="Q458" s="958"/>
      <c r="R458" s="958"/>
      <c r="S458" s="958"/>
      <c r="T458" s="958"/>
      <c r="U458" s="958"/>
      <c r="V458" s="958"/>
      <c r="W458" s="958"/>
      <c r="X458" s="958"/>
      <c r="Y458" s="958"/>
      <c r="Z458" s="958"/>
    </row>
    <row r="459" ht="35.25" customHeight="1">
      <c r="A459" s="1019"/>
      <c r="B459" s="956"/>
      <c r="C459" s="956"/>
      <c r="D459" s="957"/>
      <c r="E459" s="956"/>
      <c r="F459" s="956"/>
      <c r="G459" s="956"/>
      <c r="H459" s="956"/>
      <c r="I459" s="956"/>
      <c r="J459" s="956"/>
      <c r="K459" s="956"/>
      <c r="L459" s="956"/>
      <c r="M459" s="956"/>
      <c r="N459" s="956"/>
      <c r="O459" s="958"/>
      <c r="P459" s="958"/>
      <c r="Q459" s="958"/>
      <c r="R459" s="958"/>
      <c r="S459" s="958"/>
      <c r="T459" s="958"/>
      <c r="U459" s="958"/>
      <c r="V459" s="958"/>
      <c r="W459" s="958"/>
      <c r="X459" s="958"/>
      <c r="Y459" s="958"/>
      <c r="Z459" s="958"/>
    </row>
    <row r="460" ht="35.25" customHeight="1">
      <c r="A460" s="1019"/>
      <c r="B460" s="956"/>
      <c r="C460" s="956"/>
      <c r="D460" s="957"/>
      <c r="E460" s="956"/>
      <c r="F460" s="956"/>
      <c r="G460" s="956"/>
      <c r="H460" s="956"/>
      <c r="I460" s="956"/>
      <c r="J460" s="956"/>
      <c r="K460" s="956"/>
      <c r="L460" s="956"/>
      <c r="M460" s="956"/>
      <c r="N460" s="956"/>
      <c r="O460" s="958"/>
      <c r="P460" s="958"/>
      <c r="Q460" s="958"/>
      <c r="R460" s="958"/>
      <c r="S460" s="958"/>
      <c r="T460" s="958"/>
      <c r="U460" s="958"/>
      <c r="V460" s="958"/>
      <c r="W460" s="958"/>
      <c r="X460" s="958"/>
      <c r="Y460" s="958"/>
      <c r="Z460" s="958"/>
    </row>
    <row r="461" ht="35.25" customHeight="1">
      <c r="A461" s="1019"/>
      <c r="B461" s="956"/>
      <c r="C461" s="956"/>
      <c r="D461" s="957"/>
      <c r="E461" s="956"/>
      <c r="F461" s="956"/>
      <c r="G461" s="956"/>
      <c r="H461" s="956"/>
      <c r="I461" s="956"/>
      <c r="J461" s="956"/>
      <c r="K461" s="956"/>
      <c r="L461" s="956"/>
      <c r="M461" s="956"/>
      <c r="N461" s="956"/>
      <c r="O461" s="958"/>
      <c r="P461" s="958"/>
      <c r="Q461" s="958"/>
      <c r="R461" s="958"/>
      <c r="S461" s="958"/>
      <c r="T461" s="958"/>
      <c r="U461" s="958"/>
      <c r="V461" s="958"/>
      <c r="W461" s="958"/>
      <c r="X461" s="958"/>
      <c r="Y461" s="958"/>
      <c r="Z461" s="958"/>
    </row>
    <row r="462" ht="35.25" customHeight="1">
      <c r="A462" s="1019"/>
      <c r="B462" s="956"/>
      <c r="C462" s="956"/>
      <c r="D462" s="957"/>
      <c r="E462" s="956"/>
      <c r="F462" s="956"/>
      <c r="G462" s="956"/>
      <c r="H462" s="956"/>
      <c r="I462" s="956"/>
      <c r="J462" s="956"/>
      <c r="K462" s="956"/>
      <c r="L462" s="956"/>
      <c r="M462" s="956"/>
      <c r="N462" s="956"/>
      <c r="O462" s="958"/>
      <c r="P462" s="958"/>
      <c r="Q462" s="958"/>
      <c r="R462" s="958"/>
      <c r="S462" s="958"/>
      <c r="T462" s="958"/>
      <c r="U462" s="958"/>
      <c r="V462" s="958"/>
      <c r="W462" s="958"/>
      <c r="X462" s="958"/>
      <c r="Y462" s="958"/>
      <c r="Z462" s="958"/>
    </row>
    <row r="463" ht="35.25" customHeight="1">
      <c r="A463" s="1019"/>
      <c r="B463" s="956"/>
      <c r="C463" s="956"/>
      <c r="D463" s="957"/>
      <c r="E463" s="956"/>
      <c r="F463" s="956"/>
      <c r="G463" s="956"/>
      <c r="H463" s="956"/>
      <c r="I463" s="956"/>
      <c r="J463" s="956"/>
      <c r="K463" s="956"/>
      <c r="L463" s="956"/>
      <c r="M463" s="956"/>
      <c r="N463" s="956"/>
      <c r="O463" s="958"/>
      <c r="P463" s="958"/>
      <c r="Q463" s="958"/>
      <c r="R463" s="958"/>
      <c r="S463" s="958"/>
      <c r="T463" s="958"/>
      <c r="U463" s="958"/>
      <c r="V463" s="958"/>
      <c r="W463" s="958"/>
      <c r="X463" s="958"/>
      <c r="Y463" s="958"/>
      <c r="Z463" s="958"/>
    </row>
    <row r="464" ht="35.25" customHeight="1">
      <c r="A464" s="1019"/>
      <c r="B464" s="956"/>
      <c r="C464" s="956"/>
      <c r="D464" s="957"/>
      <c r="E464" s="956"/>
      <c r="F464" s="956"/>
      <c r="G464" s="956"/>
      <c r="H464" s="956"/>
      <c r="I464" s="956"/>
      <c r="J464" s="956"/>
      <c r="K464" s="956"/>
      <c r="L464" s="956"/>
      <c r="M464" s="956"/>
      <c r="N464" s="956"/>
      <c r="O464" s="958"/>
      <c r="P464" s="958"/>
      <c r="Q464" s="958"/>
      <c r="R464" s="958"/>
      <c r="S464" s="958"/>
      <c r="T464" s="958"/>
      <c r="U464" s="958"/>
      <c r="V464" s="958"/>
      <c r="W464" s="958"/>
      <c r="X464" s="958"/>
      <c r="Y464" s="958"/>
      <c r="Z464" s="958"/>
    </row>
    <row r="465" ht="35.25" customHeight="1">
      <c r="A465" s="1019"/>
      <c r="B465" s="956"/>
      <c r="C465" s="956"/>
      <c r="D465" s="957"/>
      <c r="E465" s="956"/>
      <c r="F465" s="956"/>
      <c r="G465" s="956"/>
      <c r="H465" s="956"/>
      <c r="I465" s="956"/>
      <c r="J465" s="956"/>
      <c r="K465" s="956"/>
      <c r="L465" s="956"/>
      <c r="M465" s="956"/>
      <c r="N465" s="956"/>
      <c r="O465" s="958"/>
      <c r="P465" s="958"/>
      <c r="Q465" s="958"/>
      <c r="R465" s="958"/>
      <c r="S465" s="958"/>
      <c r="T465" s="958"/>
      <c r="U465" s="958"/>
      <c r="V465" s="958"/>
      <c r="W465" s="958"/>
      <c r="X465" s="958"/>
      <c r="Y465" s="958"/>
      <c r="Z465" s="958"/>
    </row>
    <row r="466" ht="35.25" customHeight="1">
      <c r="A466" s="1019"/>
      <c r="B466" s="956"/>
      <c r="C466" s="956"/>
      <c r="D466" s="957"/>
      <c r="E466" s="956"/>
      <c r="F466" s="956"/>
      <c r="G466" s="956"/>
      <c r="H466" s="956"/>
      <c r="I466" s="956"/>
      <c r="J466" s="956"/>
      <c r="K466" s="956"/>
      <c r="L466" s="956"/>
      <c r="M466" s="956"/>
      <c r="N466" s="956"/>
      <c r="O466" s="958"/>
      <c r="P466" s="958"/>
      <c r="Q466" s="958"/>
      <c r="R466" s="958"/>
      <c r="S466" s="958"/>
      <c r="T466" s="958"/>
      <c r="U466" s="958"/>
      <c r="V466" s="958"/>
      <c r="W466" s="958"/>
      <c r="X466" s="958"/>
      <c r="Y466" s="958"/>
      <c r="Z466" s="958"/>
    </row>
    <row r="467" ht="35.25" customHeight="1">
      <c r="A467" s="1019"/>
      <c r="B467" s="956"/>
      <c r="C467" s="956"/>
      <c r="D467" s="957"/>
      <c r="E467" s="956"/>
      <c r="F467" s="956"/>
      <c r="G467" s="956"/>
      <c r="H467" s="956"/>
      <c r="I467" s="956"/>
      <c r="J467" s="956"/>
      <c r="K467" s="956"/>
      <c r="L467" s="956"/>
      <c r="M467" s="956"/>
      <c r="N467" s="956"/>
      <c r="O467" s="958"/>
      <c r="P467" s="958"/>
      <c r="Q467" s="958"/>
      <c r="R467" s="958"/>
      <c r="S467" s="958"/>
      <c r="T467" s="958"/>
      <c r="U467" s="958"/>
      <c r="V467" s="958"/>
      <c r="W467" s="958"/>
      <c r="X467" s="958"/>
      <c r="Y467" s="958"/>
      <c r="Z467" s="958"/>
    </row>
    <row r="468" ht="35.25" customHeight="1">
      <c r="A468" s="1019"/>
      <c r="B468" s="956"/>
      <c r="C468" s="956"/>
      <c r="D468" s="957"/>
      <c r="E468" s="956"/>
      <c r="F468" s="956"/>
      <c r="G468" s="956"/>
      <c r="H468" s="956"/>
      <c r="I468" s="956"/>
      <c r="J468" s="956"/>
      <c r="K468" s="956"/>
      <c r="L468" s="956"/>
      <c r="M468" s="956"/>
      <c r="N468" s="956"/>
      <c r="O468" s="958"/>
      <c r="P468" s="958"/>
      <c r="Q468" s="958"/>
      <c r="R468" s="958"/>
      <c r="S468" s="958"/>
      <c r="T468" s="958"/>
      <c r="U468" s="958"/>
      <c r="V468" s="958"/>
      <c r="W468" s="958"/>
      <c r="X468" s="958"/>
      <c r="Y468" s="958"/>
      <c r="Z468" s="958"/>
    </row>
    <row r="469" ht="35.25" customHeight="1">
      <c r="A469" s="1019"/>
      <c r="B469" s="956"/>
      <c r="C469" s="956"/>
      <c r="D469" s="957"/>
      <c r="E469" s="956"/>
      <c r="F469" s="956"/>
      <c r="G469" s="956"/>
      <c r="H469" s="956"/>
      <c r="I469" s="956"/>
      <c r="J469" s="956"/>
      <c r="K469" s="956"/>
      <c r="L469" s="956"/>
      <c r="M469" s="956"/>
      <c r="N469" s="956"/>
      <c r="O469" s="958"/>
      <c r="P469" s="958"/>
      <c r="Q469" s="958"/>
      <c r="R469" s="958"/>
      <c r="S469" s="958"/>
      <c r="T469" s="958"/>
      <c r="U469" s="958"/>
      <c r="V469" s="958"/>
      <c r="W469" s="958"/>
      <c r="X469" s="958"/>
      <c r="Y469" s="958"/>
      <c r="Z469" s="958"/>
    </row>
    <row r="470" ht="35.25" customHeight="1">
      <c r="A470" s="1019"/>
      <c r="B470" s="956"/>
      <c r="C470" s="956"/>
      <c r="D470" s="957"/>
      <c r="E470" s="956"/>
      <c r="F470" s="956"/>
      <c r="G470" s="956"/>
      <c r="H470" s="956"/>
      <c r="I470" s="956"/>
      <c r="J470" s="956"/>
      <c r="K470" s="956"/>
      <c r="L470" s="956"/>
      <c r="M470" s="956"/>
      <c r="N470" s="956"/>
      <c r="O470" s="958"/>
      <c r="P470" s="958"/>
      <c r="Q470" s="958"/>
      <c r="R470" s="958"/>
      <c r="S470" s="958"/>
      <c r="T470" s="958"/>
      <c r="U470" s="958"/>
      <c r="V470" s="958"/>
      <c r="W470" s="958"/>
      <c r="X470" s="958"/>
      <c r="Y470" s="958"/>
      <c r="Z470" s="958"/>
    </row>
    <row r="471" ht="35.25" customHeight="1">
      <c r="A471" s="1019"/>
      <c r="B471" s="956"/>
      <c r="C471" s="956"/>
      <c r="D471" s="957"/>
      <c r="E471" s="956"/>
      <c r="F471" s="956"/>
      <c r="G471" s="956"/>
      <c r="H471" s="956"/>
      <c r="I471" s="956"/>
      <c r="J471" s="956"/>
      <c r="K471" s="956"/>
      <c r="L471" s="956"/>
      <c r="M471" s="956"/>
      <c r="N471" s="956"/>
      <c r="O471" s="958"/>
      <c r="P471" s="958"/>
      <c r="Q471" s="958"/>
      <c r="R471" s="958"/>
      <c r="S471" s="958"/>
      <c r="T471" s="958"/>
      <c r="U471" s="958"/>
      <c r="V471" s="958"/>
      <c r="W471" s="958"/>
      <c r="X471" s="958"/>
      <c r="Y471" s="958"/>
      <c r="Z471" s="958"/>
    </row>
    <row r="472" ht="35.25" customHeight="1">
      <c r="A472" s="1019"/>
      <c r="B472" s="956"/>
      <c r="C472" s="956"/>
      <c r="D472" s="957"/>
      <c r="E472" s="956"/>
      <c r="F472" s="956"/>
      <c r="G472" s="956"/>
      <c r="H472" s="956"/>
      <c r="I472" s="956"/>
      <c r="J472" s="956"/>
      <c r="K472" s="956"/>
      <c r="L472" s="956"/>
      <c r="M472" s="956"/>
      <c r="N472" s="956"/>
      <c r="O472" s="958"/>
      <c r="P472" s="958"/>
      <c r="Q472" s="958"/>
      <c r="R472" s="958"/>
      <c r="S472" s="958"/>
      <c r="T472" s="958"/>
      <c r="U472" s="958"/>
      <c r="V472" s="958"/>
      <c r="W472" s="958"/>
      <c r="X472" s="958"/>
      <c r="Y472" s="958"/>
      <c r="Z472" s="958"/>
    </row>
    <row r="473" ht="35.25" customHeight="1">
      <c r="A473" s="1019"/>
      <c r="B473" s="956"/>
      <c r="C473" s="956"/>
      <c r="D473" s="957"/>
      <c r="E473" s="956"/>
      <c r="F473" s="956"/>
      <c r="G473" s="956"/>
      <c r="H473" s="956"/>
      <c r="I473" s="956"/>
      <c r="J473" s="956"/>
      <c r="K473" s="956"/>
      <c r="L473" s="956"/>
      <c r="M473" s="956"/>
      <c r="N473" s="956"/>
      <c r="O473" s="958"/>
      <c r="P473" s="958"/>
      <c r="Q473" s="958"/>
      <c r="R473" s="958"/>
      <c r="S473" s="958"/>
      <c r="T473" s="958"/>
      <c r="U473" s="958"/>
      <c r="V473" s="958"/>
      <c r="W473" s="958"/>
      <c r="X473" s="958"/>
      <c r="Y473" s="958"/>
      <c r="Z473" s="958"/>
    </row>
    <row r="474" ht="35.25" customHeight="1">
      <c r="A474" s="1019"/>
      <c r="B474" s="956"/>
      <c r="C474" s="956"/>
      <c r="D474" s="957"/>
      <c r="E474" s="956"/>
      <c r="F474" s="956"/>
      <c r="G474" s="956"/>
      <c r="H474" s="956"/>
      <c r="I474" s="956"/>
      <c r="J474" s="956"/>
      <c r="K474" s="956"/>
      <c r="L474" s="956"/>
      <c r="M474" s="956"/>
      <c r="N474" s="956"/>
      <c r="O474" s="958"/>
      <c r="P474" s="958"/>
      <c r="Q474" s="958"/>
      <c r="R474" s="958"/>
      <c r="S474" s="958"/>
      <c r="T474" s="958"/>
      <c r="U474" s="958"/>
      <c r="V474" s="958"/>
      <c r="W474" s="958"/>
      <c r="X474" s="958"/>
      <c r="Y474" s="958"/>
      <c r="Z474" s="958"/>
    </row>
    <row r="475" ht="35.25" customHeight="1">
      <c r="A475" s="1019"/>
      <c r="B475" s="956"/>
      <c r="C475" s="956"/>
      <c r="D475" s="957"/>
      <c r="E475" s="956"/>
      <c r="F475" s="956"/>
      <c r="G475" s="956"/>
      <c r="H475" s="956"/>
      <c r="I475" s="956"/>
      <c r="J475" s="956"/>
      <c r="K475" s="956"/>
      <c r="L475" s="956"/>
      <c r="M475" s="956"/>
      <c r="N475" s="956"/>
      <c r="O475" s="958"/>
      <c r="P475" s="958"/>
      <c r="Q475" s="958"/>
      <c r="R475" s="958"/>
      <c r="S475" s="958"/>
      <c r="T475" s="958"/>
      <c r="U475" s="958"/>
      <c r="V475" s="958"/>
      <c r="W475" s="958"/>
      <c r="X475" s="958"/>
      <c r="Y475" s="958"/>
      <c r="Z475" s="958"/>
    </row>
    <row r="476" ht="35.25" customHeight="1">
      <c r="A476" s="1019"/>
      <c r="B476" s="956"/>
      <c r="C476" s="956"/>
      <c r="D476" s="957"/>
      <c r="E476" s="956"/>
      <c r="F476" s="956"/>
      <c r="G476" s="956"/>
      <c r="H476" s="956"/>
      <c r="I476" s="956"/>
      <c r="J476" s="956"/>
      <c r="K476" s="956"/>
      <c r="L476" s="956"/>
      <c r="M476" s="956"/>
      <c r="N476" s="956"/>
      <c r="O476" s="958"/>
      <c r="P476" s="958"/>
      <c r="Q476" s="958"/>
      <c r="R476" s="958"/>
      <c r="S476" s="958"/>
      <c r="T476" s="958"/>
      <c r="U476" s="958"/>
      <c r="V476" s="958"/>
      <c r="W476" s="958"/>
      <c r="X476" s="958"/>
      <c r="Y476" s="958"/>
      <c r="Z476" s="958"/>
    </row>
    <row r="477" ht="35.25" customHeight="1">
      <c r="A477" s="1019"/>
      <c r="B477" s="956"/>
      <c r="C477" s="956"/>
      <c r="D477" s="957"/>
      <c r="E477" s="956"/>
      <c r="F477" s="956"/>
      <c r="G477" s="956"/>
      <c r="H477" s="956"/>
      <c r="I477" s="956"/>
      <c r="J477" s="956"/>
      <c r="K477" s="956"/>
      <c r="L477" s="956"/>
      <c r="M477" s="956"/>
      <c r="N477" s="956"/>
      <c r="O477" s="958"/>
      <c r="P477" s="958"/>
      <c r="Q477" s="958"/>
      <c r="R477" s="958"/>
      <c r="S477" s="958"/>
      <c r="T477" s="958"/>
      <c r="U477" s="958"/>
      <c r="V477" s="958"/>
      <c r="W477" s="958"/>
      <c r="X477" s="958"/>
      <c r="Y477" s="958"/>
      <c r="Z477" s="958"/>
    </row>
    <row r="478" ht="35.25" customHeight="1">
      <c r="A478" s="1019"/>
      <c r="B478" s="956"/>
      <c r="C478" s="956"/>
      <c r="D478" s="957"/>
      <c r="E478" s="956"/>
      <c r="F478" s="956"/>
      <c r="G478" s="956"/>
      <c r="H478" s="956"/>
      <c r="I478" s="956"/>
      <c r="J478" s="956"/>
      <c r="K478" s="956"/>
      <c r="L478" s="956"/>
      <c r="M478" s="956"/>
      <c r="N478" s="956"/>
      <c r="O478" s="958"/>
      <c r="P478" s="958"/>
      <c r="Q478" s="958"/>
      <c r="R478" s="958"/>
      <c r="S478" s="958"/>
      <c r="T478" s="958"/>
      <c r="U478" s="958"/>
      <c r="V478" s="958"/>
      <c r="W478" s="958"/>
      <c r="X478" s="958"/>
      <c r="Y478" s="958"/>
      <c r="Z478" s="958"/>
    </row>
    <row r="479" ht="35.25" customHeight="1">
      <c r="A479" s="1019"/>
      <c r="B479" s="956"/>
      <c r="C479" s="956"/>
      <c r="D479" s="957"/>
      <c r="E479" s="956"/>
      <c r="F479" s="956"/>
      <c r="G479" s="956"/>
      <c r="H479" s="956"/>
      <c r="I479" s="956"/>
      <c r="J479" s="956"/>
      <c r="K479" s="956"/>
      <c r="L479" s="956"/>
      <c r="M479" s="956"/>
      <c r="N479" s="956"/>
      <c r="O479" s="958"/>
      <c r="P479" s="958"/>
      <c r="Q479" s="958"/>
      <c r="R479" s="958"/>
      <c r="S479" s="958"/>
      <c r="T479" s="958"/>
      <c r="U479" s="958"/>
      <c r="V479" s="958"/>
      <c r="W479" s="958"/>
      <c r="X479" s="958"/>
      <c r="Y479" s="958"/>
      <c r="Z479" s="958"/>
    </row>
    <row r="480" ht="35.25" customHeight="1">
      <c r="A480" s="1019"/>
      <c r="B480" s="956"/>
      <c r="C480" s="956"/>
      <c r="D480" s="957"/>
      <c r="E480" s="956"/>
      <c r="F480" s="956"/>
      <c r="G480" s="956"/>
      <c r="H480" s="956"/>
      <c r="I480" s="956"/>
      <c r="J480" s="956"/>
      <c r="K480" s="956"/>
      <c r="L480" s="956"/>
      <c r="M480" s="956"/>
      <c r="N480" s="956"/>
      <c r="O480" s="958"/>
      <c r="P480" s="958"/>
      <c r="Q480" s="958"/>
      <c r="R480" s="958"/>
      <c r="S480" s="958"/>
      <c r="T480" s="958"/>
      <c r="U480" s="958"/>
      <c r="V480" s="958"/>
      <c r="W480" s="958"/>
      <c r="X480" s="958"/>
      <c r="Y480" s="958"/>
      <c r="Z480" s="958"/>
    </row>
    <row r="481" ht="35.25" customHeight="1">
      <c r="A481" s="1019"/>
      <c r="B481" s="956"/>
      <c r="C481" s="956"/>
      <c r="D481" s="957"/>
      <c r="E481" s="956"/>
      <c r="F481" s="956"/>
      <c r="G481" s="956"/>
      <c r="H481" s="956"/>
      <c r="I481" s="956"/>
      <c r="J481" s="956"/>
      <c r="K481" s="956"/>
      <c r="L481" s="956"/>
      <c r="M481" s="956"/>
      <c r="N481" s="956"/>
      <c r="O481" s="958"/>
      <c r="P481" s="958"/>
      <c r="Q481" s="958"/>
      <c r="R481" s="958"/>
      <c r="S481" s="958"/>
      <c r="T481" s="958"/>
      <c r="U481" s="958"/>
      <c r="V481" s="958"/>
      <c r="W481" s="958"/>
      <c r="X481" s="958"/>
      <c r="Y481" s="958"/>
      <c r="Z481" s="958"/>
    </row>
    <row r="482" ht="35.25" customHeight="1">
      <c r="A482" s="1019"/>
      <c r="B482" s="956"/>
      <c r="C482" s="956"/>
      <c r="D482" s="957"/>
      <c r="E482" s="956"/>
      <c r="F482" s="956"/>
      <c r="G482" s="956"/>
      <c r="H482" s="956"/>
      <c r="I482" s="956"/>
      <c r="J482" s="956"/>
      <c r="K482" s="956"/>
      <c r="L482" s="956"/>
      <c r="M482" s="956"/>
      <c r="N482" s="956"/>
      <c r="O482" s="958"/>
      <c r="P482" s="958"/>
      <c r="Q482" s="958"/>
      <c r="R482" s="958"/>
      <c r="S482" s="958"/>
      <c r="T482" s="958"/>
      <c r="U482" s="958"/>
      <c r="V482" s="958"/>
      <c r="W482" s="958"/>
      <c r="X482" s="958"/>
      <c r="Y482" s="958"/>
      <c r="Z482" s="958"/>
    </row>
    <row r="483" ht="35.25" customHeight="1">
      <c r="A483" s="1019"/>
      <c r="B483" s="956"/>
      <c r="C483" s="956"/>
      <c r="D483" s="957"/>
      <c r="E483" s="956"/>
      <c r="F483" s="956"/>
      <c r="G483" s="956"/>
      <c r="H483" s="956"/>
      <c r="I483" s="956"/>
      <c r="J483" s="956"/>
      <c r="K483" s="956"/>
      <c r="L483" s="956"/>
      <c r="M483" s="956"/>
      <c r="N483" s="956"/>
      <c r="O483" s="958"/>
      <c r="P483" s="958"/>
      <c r="Q483" s="958"/>
      <c r="R483" s="958"/>
      <c r="S483" s="958"/>
      <c r="T483" s="958"/>
      <c r="U483" s="958"/>
      <c r="V483" s="958"/>
      <c r="W483" s="958"/>
      <c r="X483" s="958"/>
      <c r="Y483" s="958"/>
      <c r="Z483" s="958"/>
    </row>
    <row r="484" ht="35.25" customHeight="1">
      <c r="A484" s="1019"/>
      <c r="B484" s="956"/>
      <c r="C484" s="956"/>
      <c r="D484" s="957"/>
      <c r="E484" s="956"/>
      <c r="F484" s="956"/>
      <c r="G484" s="956"/>
      <c r="H484" s="956"/>
      <c r="I484" s="956"/>
      <c r="J484" s="956"/>
      <c r="K484" s="956"/>
      <c r="L484" s="956"/>
      <c r="M484" s="956"/>
      <c r="N484" s="956"/>
      <c r="O484" s="958"/>
      <c r="P484" s="958"/>
      <c r="Q484" s="958"/>
      <c r="R484" s="958"/>
      <c r="S484" s="958"/>
      <c r="T484" s="958"/>
      <c r="U484" s="958"/>
      <c r="V484" s="958"/>
      <c r="W484" s="958"/>
      <c r="X484" s="958"/>
      <c r="Y484" s="958"/>
      <c r="Z484" s="958"/>
    </row>
    <row r="485" ht="35.25" customHeight="1">
      <c r="A485" s="1019"/>
      <c r="B485" s="956"/>
      <c r="C485" s="956"/>
      <c r="D485" s="957"/>
      <c r="E485" s="956"/>
      <c r="F485" s="956"/>
      <c r="G485" s="956"/>
      <c r="H485" s="956"/>
      <c r="I485" s="956"/>
      <c r="J485" s="956"/>
      <c r="K485" s="956"/>
      <c r="L485" s="956"/>
      <c r="M485" s="956"/>
      <c r="N485" s="956"/>
      <c r="O485" s="958"/>
      <c r="P485" s="958"/>
      <c r="Q485" s="958"/>
      <c r="R485" s="958"/>
      <c r="S485" s="958"/>
      <c r="T485" s="958"/>
      <c r="U485" s="958"/>
      <c r="V485" s="958"/>
      <c r="W485" s="958"/>
      <c r="X485" s="958"/>
      <c r="Y485" s="958"/>
      <c r="Z485" s="958"/>
    </row>
    <row r="486" ht="35.25" customHeight="1">
      <c r="A486" s="1019"/>
      <c r="B486" s="956"/>
      <c r="C486" s="956"/>
      <c r="D486" s="957"/>
      <c r="E486" s="956"/>
      <c r="F486" s="956"/>
      <c r="G486" s="956"/>
      <c r="H486" s="956"/>
      <c r="I486" s="956"/>
      <c r="J486" s="956"/>
      <c r="K486" s="956"/>
      <c r="L486" s="956"/>
      <c r="M486" s="956"/>
      <c r="N486" s="956"/>
      <c r="O486" s="958"/>
      <c r="P486" s="958"/>
      <c r="Q486" s="958"/>
      <c r="R486" s="958"/>
      <c r="S486" s="958"/>
      <c r="T486" s="958"/>
      <c r="U486" s="958"/>
      <c r="V486" s="958"/>
      <c r="W486" s="958"/>
      <c r="X486" s="958"/>
      <c r="Y486" s="958"/>
      <c r="Z486" s="958"/>
    </row>
    <row r="487" ht="35.25" customHeight="1">
      <c r="A487" s="1019"/>
      <c r="B487" s="956"/>
      <c r="C487" s="956"/>
      <c r="D487" s="957"/>
      <c r="E487" s="956"/>
      <c r="F487" s="956"/>
      <c r="G487" s="956"/>
      <c r="H487" s="956"/>
      <c r="I487" s="956"/>
      <c r="J487" s="956"/>
      <c r="K487" s="956"/>
      <c r="L487" s="956"/>
      <c r="M487" s="956"/>
      <c r="N487" s="956"/>
      <c r="O487" s="958"/>
      <c r="P487" s="958"/>
      <c r="Q487" s="958"/>
      <c r="R487" s="958"/>
      <c r="S487" s="958"/>
      <c r="T487" s="958"/>
      <c r="U487" s="958"/>
      <c r="V487" s="958"/>
      <c r="W487" s="958"/>
      <c r="X487" s="958"/>
      <c r="Y487" s="958"/>
      <c r="Z487" s="958"/>
    </row>
    <row r="488" ht="35.25" customHeight="1">
      <c r="A488" s="1019"/>
      <c r="B488" s="956"/>
      <c r="C488" s="956"/>
      <c r="D488" s="957"/>
      <c r="E488" s="956"/>
      <c r="F488" s="956"/>
      <c r="G488" s="956"/>
      <c r="H488" s="956"/>
      <c r="I488" s="956"/>
      <c r="J488" s="956"/>
      <c r="K488" s="956"/>
      <c r="L488" s="956"/>
      <c r="M488" s="956"/>
      <c r="N488" s="956"/>
      <c r="O488" s="958"/>
      <c r="P488" s="958"/>
      <c r="Q488" s="958"/>
      <c r="R488" s="958"/>
      <c r="S488" s="958"/>
      <c r="T488" s="958"/>
      <c r="U488" s="958"/>
      <c r="V488" s="958"/>
      <c r="W488" s="958"/>
      <c r="X488" s="958"/>
      <c r="Y488" s="958"/>
      <c r="Z488" s="958"/>
    </row>
    <row r="489" ht="35.25" customHeight="1">
      <c r="A489" s="1019"/>
      <c r="B489" s="956"/>
      <c r="C489" s="956"/>
      <c r="D489" s="957"/>
      <c r="E489" s="956"/>
      <c r="F489" s="956"/>
      <c r="G489" s="956"/>
      <c r="H489" s="956"/>
      <c r="I489" s="956"/>
      <c r="J489" s="956"/>
      <c r="K489" s="956"/>
      <c r="L489" s="956"/>
      <c r="M489" s="956"/>
      <c r="N489" s="956"/>
      <c r="O489" s="958"/>
      <c r="P489" s="958"/>
      <c r="Q489" s="958"/>
      <c r="R489" s="958"/>
      <c r="S489" s="958"/>
      <c r="T489" s="958"/>
      <c r="U489" s="958"/>
      <c r="V489" s="958"/>
      <c r="W489" s="958"/>
      <c r="X489" s="958"/>
      <c r="Y489" s="958"/>
      <c r="Z489" s="958"/>
    </row>
    <row r="490" ht="35.25" customHeight="1">
      <c r="A490" s="1019"/>
      <c r="B490" s="956"/>
      <c r="C490" s="956"/>
      <c r="D490" s="957"/>
      <c r="E490" s="956"/>
      <c r="F490" s="956"/>
      <c r="G490" s="956"/>
      <c r="H490" s="956"/>
      <c r="I490" s="956"/>
      <c r="J490" s="956"/>
      <c r="K490" s="956"/>
      <c r="L490" s="956"/>
      <c r="M490" s="956"/>
      <c r="N490" s="956"/>
      <c r="O490" s="958"/>
      <c r="P490" s="958"/>
      <c r="Q490" s="958"/>
      <c r="R490" s="958"/>
      <c r="S490" s="958"/>
      <c r="T490" s="958"/>
      <c r="U490" s="958"/>
      <c r="V490" s="958"/>
      <c r="W490" s="958"/>
      <c r="X490" s="958"/>
      <c r="Y490" s="958"/>
      <c r="Z490" s="958"/>
    </row>
    <row r="491" ht="35.25" customHeight="1">
      <c r="A491" s="1019"/>
      <c r="B491" s="956"/>
      <c r="C491" s="956"/>
      <c r="D491" s="957"/>
      <c r="E491" s="956"/>
      <c r="F491" s="956"/>
      <c r="G491" s="956"/>
      <c r="H491" s="956"/>
      <c r="I491" s="956"/>
      <c r="J491" s="956"/>
      <c r="K491" s="956"/>
      <c r="L491" s="956"/>
      <c r="M491" s="956"/>
      <c r="N491" s="956"/>
      <c r="O491" s="958"/>
      <c r="P491" s="958"/>
      <c r="Q491" s="958"/>
      <c r="R491" s="958"/>
      <c r="S491" s="958"/>
      <c r="T491" s="958"/>
      <c r="U491" s="958"/>
      <c r="V491" s="958"/>
      <c r="W491" s="958"/>
      <c r="X491" s="958"/>
      <c r="Y491" s="958"/>
      <c r="Z491" s="958"/>
    </row>
    <row r="492" ht="35.25" customHeight="1">
      <c r="A492" s="1019"/>
      <c r="B492" s="956"/>
      <c r="C492" s="956"/>
      <c r="D492" s="957"/>
      <c r="E492" s="956"/>
      <c r="F492" s="956"/>
      <c r="G492" s="956"/>
      <c r="H492" s="956"/>
      <c r="I492" s="956"/>
      <c r="J492" s="956"/>
      <c r="K492" s="956"/>
      <c r="L492" s="956"/>
      <c r="M492" s="956"/>
      <c r="N492" s="956"/>
      <c r="O492" s="958"/>
      <c r="P492" s="958"/>
      <c r="Q492" s="958"/>
      <c r="R492" s="958"/>
      <c r="S492" s="958"/>
      <c r="T492" s="958"/>
      <c r="U492" s="958"/>
      <c r="V492" s="958"/>
      <c r="W492" s="958"/>
      <c r="X492" s="958"/>
      <c r="Y492" s="958"/>
      <c r="Z492" s="958"/>
    </row>
    <row r="493" ht="35.25" customHeight="1">
      <c r="A493" s="1019"/>
      <c r="B493" s="956"/>
      <c r="C493" s="956"/>
      <c r="D493" s="957"/>
      <c r="E493" s="956"/>
      <c r="F493" s="956"/>
      <c r="G493" s="956"/>
      <c r="H493" s="956"/>
      <c r="I493" s="956"/>
      <c r="J493" s="956"/>
      <c r="K493" s="956"/>
      <c r="L493" s="956"/>
      <c r="M493" s="956"/>
      <c r="N493" s="956"/>
      <c r="O493" s="958"/>
      <c r="P493" s="958"/>
      <c r="Q493" s="958"/>
      <c r="R493" s="958"/>
      <c r="S493" s="958"/>
      <c r="T493" s="958"/>
      <c r="U493" s="958"/>
      <c r="V493" s="958"/>
      <c r="W493" s="958"/>
      <c r="X493" s="958"/>
      <c r="Y493" s="958"/>
      <c r="Z493" s="958"/>
    </row>
    <row r="494" ht="35.25" customHeight="1">
      <c r="A494" s="1019"/>
      <c r="B494" s="956"/>
      <c r="C494" s="956"/>
      <c r="D494" s="957"/>
      <c r="E494" s="956"/>
      <c r="F494" s="956"/>
      <c r="G494" s="956"/>
      <c r="H494" s="956"/>
      <c r="I494" s="956"/>
      <c r="J494" s="956"/>
      <c r="K494" s="956"/>
      <c r="L494" s="956"/>
      <c r="M494" s="956"/>
      <c r="N494" s="956"/>
      <c r="O494" s="958"/>
      <c r="P494" s="958"/>
      <c r="Q494" s="958"/>
      <c r="R494" s="958"/>
      <c r="S494" s="958"/>
      <c r="T494" s="958"/>
      <c r="U494" s="958"/>
      <c r="V494" s="958"/>
      <c r="W494" s="958"/>
      <c r="X494" s="958"/>
      <c r="Y494" s="958"/>
      <c r="Z494" s="958"/>
    </row>
    <row r="495" ht="35.25" customHeight="1">
      <c r="A495" s="1019"/>
      <c r="B495" s="956"/>
      <c r="C495" s="956"/>
      <c r="D495" s="957"/>
      <c r="E495" s="956"/>
      <c r="F495" s="956"/>
      <c r="G495" s="956"/>
      <c r="H495" s="956"/>
      <c r="I495" s="956"/>
      <c r="J495" s="956"/>
      <c r="K495" s="956"/>
      <c r="L495" s="956"/>
      <c r="M495" s="956"/>
      <c r="N495" s="956"/>
      <c r="O495" s="958"/>
      <c r="P495" s="958"/>
      <c r="Q495" s="958"/>
      <c r="R495" s="958"/>
      <c r="S495" s="958"/>
      <c r="T495" s="958"/>
      <c r="U495" s="958"/>
      <c r="V495" s="958"/>
      <c r="W495" s="958"/>
      <c r="X495" s="958"/>
      <c r="Y495" s="958"/>
      <c r="Z495" s="958"/>
    </row>
    <row r="496" ht="35.25" customHeight="1">
      <c r="A496" s="1019"/>
      <c r="B496" s="956"/>
      <c r="C496" s="956"/>
      <c r="D496" s="957"/>
      <c r="E496" s="956"/>
      <c r="F496" s="956"/>
      <c r="G496" s="956"/>
      <c r="H496" s="956"/>
      <c r="I496" s="956"/>
      <c r="J496" s="956"/>
      <c r="K496" s="956"/>
      <c r="L496" s="956"/>
      <c r="M496" s="956"/>
      <c r="N496" s="956"/>
      <c r="O496" s="958"/>
      <c r="P496" s="958"/>
      <c r="Q496" s="958"/>
      <c r="R496" s="958"/>
      <c r="S496" s="958"/>
      <c r="T496" s="958"/>
      <c r="U496" s="958"/>
      <c r="V496" s="958"/>
      <c r="W496" s="958"/>
      <c r="X496" s="958"/>
      <c r="Y496" s="958"/>
      <c r="Z496" s="958"/>
    </row>
    <row r="497" ht="35.25" customHeight="1">
      <c r="A497" s="1019"/>
      <c r="B497" s="956"/>
      <c r="C497" s="956"/>
      <c r="D497" s="957"/>
      <c r="E497" s="956"/>
      <c r="F497" s="956"/>
      <c r="G497" s="956"/>
      <c r="H497" s="956"/>
      <c r="I497" s="956"/>
      <c r="J497" s="956"/>
      <c r="K497" s="956"/>
      <c r="L497" s="956"/>
      <c r="M497" s="956"/>
      <c r="N497" s="956"/>
      <c r="O497" s="958"/>
      <c r="P497" s="958"/>
      <c r="Q497" s="958"/>
      <c r="R497" s="958"/>
      <c r="S497" s="958"/>
      <c r="T497" s="958"/>
      <c r="U497" s="958"/>
      <c r="V497" s="958"/>
      <c r="W497" s="958"/>
      <c r="X497" s="958"/>
      <c r="Y497" s="958"/>
      <c r="Z497" s="958"/>
    </row>
    <row r="498" ht="35.25" customHeight="1">
      <c r="A498" s="1019"/>
      <c r="B498" s="956"/>
      <c r="C498" s="956"/>
      <c r="D498" s="957"/>
      <c r="E498" s="956"/>
      <c r="F498" s="956"/>
      <c r="G498" s="956"/>
      <c r="H498" s="956"/>
      <c r="I498" s="956"/>
      <c r="J498" s="956"/>
      <c r="K498" s="956"/>
      <c r="L498" s="956"/>
      <c r="M498" s="956"/>
      <c r="N498" s="956"/>
      <c r="O498" s="958"/>
      <c r="P498" s="958"/>
      <c r="Q498" s="958"/>
      <c r="R498" s="958"/>
      <c r="S498" s="958"/>
      <c r="T498" s="958"/>
      <c r="U498" s="958"/>
      <c r="V498" s="958"/>
      <c r="W498" s="958"/>
      <c r="X498" s="958"/>
      <c r="Y498" s="958"/>
      <c r="Z498" s="958"/>
    </row>
    <row r="499" ht="35.25" customHeight="1">
      <c r="A499" s="1019"/>
      <c r="B499" s="956"/>
      <c r="C499" s="956"/>
      <c r="D499" s="957"/>
      <c r="E499" s="956"/>
      <c r="F499" s="956"/>
      <c r="G499" s="956"/>
      <c r="H499" s="956"/>
      <c r="I499" s="956"/>
      <c r="J499" s="956"/>
      <c r="K499" s="956"/>
      <c r="L499" s="956"/>
      <c r="M499" s="956"/>
      <c r="N499" s="956"/>
      <c r="O499" s="958"/>
      <c r="P499" s="958"/>
      <c r="Q499" s="958"/>
      <c r="R499" s="958"/>
      <c r="S499" s="958"/>
      <c r="T499" s="958"/>
      <c r="U499" s="958"/>
      <c r="V499" s="958"/>
      <c r="W499" s="958"/>
      <c r="X499" s="958"/>
      <c r="Y499" s="958"/>
      <c r="Z499" s="958"/>
    </row>
    <row r="500" ht="35.25" customHeight="1">
      <c r="A500" s="1019"/>
      <c r="B500" s="956"/>
      <c r="C500" s="956"/>
      <c r="D500" s="957"/>
      <c r="E500" s="956"/>
      <c r="F500" s="956"/>
      <c r="G500" s="956"/>
      <c r="H500" s="956"/>
      <c r="I500" s="956"/>
      <c r="J500" s="956"/>
      <c r="K500" s="956"/>
      <c r="L500" s="956"/>
      <c r="M500" s="956"/>
      <c r="N500" s="956"/>
      <c r="O500" s="958"/>
      <c r="P500" s="958"/>
      <c r="Q500" s="958"/>
      <c r="R500" s="958"/>
      <c r="S500" s="958"/>
      <c r="T500" s="958"/>
      <c r="U500" s="958"/>
      <c r="V500" s="958"/>
      <c r="W500" s="958"/>
      <c r="X500" s="958"/>
      <c r="Y500" s="958"/>
      <c r="Z500" s="958"/>
    </row>
    <row r="501" ht="35.25" customHeight="1">
      <c r="A501" s="1019"/>
      <c r="B501" s="956"/>
      <c r="C501" s="956"/>
      <c r="D501" s="957"/>
      <c r="E501" s="956"/>
      <c r="F501" s="956"/>
      <c r="G501" s="956"/>
      <c r="H501" s="956"/>
      <c r="I501" s="956"/>
      <c r="J501" s="956"/>
      <c r="K501" s="956"/>
      <c r="L501" s="956"/>
      <c r="M501" s="956"/>
      <c r="N501" s="956"/>
      <c r="O501" s="958"/>
      <c r="P501" s="958"/>
      <c r="Q501" s="958"/>
      <c r="R501" s="958"/>
      <c r="S501" s="958"/>
      <c r="T501" s="958"/>
      <c r="U501" s="958"/>
      <c r="V501" s="958"/>
      <c r="W501" s="958"/>
      <c r="X501" s="958"/>
      <c r="Y501" s="958"/>
      <c r="Z501" s="958"/>
    </row>
    <row r="502" ht="35.25" customHeight="1">
      <c r="A502" s="1019"/>
      <c r="B502" s="956"/>
      <c r="C502" s="956"/>
      <c r="D502" s="957"/>
      <c r="E502" s="956"/>
      <c r="F502" s="956"/>
      <c r="G502" s="956"/>
      <c r="H502" s="956"/>
      <c r="I502" s="956"/>
      <c r="J502" s="956"/>
      <c r="K502" s="956"/>
      <c r="L502" s="956"/>
      <c r="M502" s="956"/>
      <c r="N502" s="956"/>
      <c r="O502" s="958"/>
      <c r="P502" s="958"/>
      <c r="Q502" s="958"/>
      <c r="R502" s="958"/>
      <c r="S502" s="958"/>
      <c r="T502" s="958"/>
      <c r="U502" s="958"/>
      <c r="V502" s="958"/>
      <c r="W502" s="958"/>
      <c r="X502" s="958"/>
      <c r="Y502" s="958"/>
      <c r="Z502" s="958"/>
    </row>
    <row r="503" ht="35.25" customHeight="1">
      <c r="A503" s="1019"/>
      <c r="B503" s="956"/>
      <c r="C503" s="956"/>
      <c r="D503" s="957"/>
      <c r="E503" s="956"/>
      <c r="F503" s="956"/>
      <c r="G503" s="956"/>
      <c r="H503" s="956"/>
      <c r="I503" s="956"/>
      <c r="J503" s="956"/>
      <c r="K503" s="956"/>
      <c r="L503" s="956"/>
      <c r="M503" s="956"/>
      <c r="N503" s="956"/>
      <c r="O503" s="958"/>
      <c r="P503" s="958"/>
      <c r="Q503" s="958"/>
      <c r="R503" s="958"/>
      <c r="S503" s="958"/>
      <c r="T503" s="958"/>
      <c r="U503" s="958"/>
      <c r="V503" s="958"/>
      <c r="W503" s="958"/>
      <c r="X503" s="958"/>
      <c r="Y503" s="958"/>
      <c r="Z503" s="958"/>
    </row>
    <row r="504" ht="35.25" customHeight="1">
      <c r="A504" s="1019"/>
      <c r="B504" s="956"/>
      <c r="C504" s="956"/>
      <c r="D504" s="957"/>
      <c r="E504" s="956"/>
      <c r="F504" s="956"/>
      <c r="G504" s="956"/>
      <c r="H504" s="956"/>
      <c r="I504" s="956"/>
      <c r="J504" s="956"/>
      <c r="K504" s="956"/>
      <c r="L504" s="956"/>
      <c r="M504" s="956"/>
      <c r="N504" s="956"/>
      <c r="O504" s="958"/>
      <c r="P504" s="958"/>
      <c r="Q504" s="958"/>
      <c r="R504" s="958"/>
      <c r="S504" s="958"/>
      <c r="T504" s="958"/>
      <c r="U504" s="958"/>
      <c r="V504" s="958"/>
      <c r="W504" s="958"/>
      <c r="X504" s="958"/>
      <c r="Y504" s="958"/>
      <c r="Z504" s="958"/>
    </row>
    <row r="505" ht="35.25" customHeight="1">
      <c r="A505" s="1019"/>
      <c r="B505" s="956"/>
      <c r="C505" s="956"/>
      <c r="D505" s="957"/>
      <c r="E505" s="956"/>
      <c r="F505" s="956"/>
      <c r="G505" s="956"/>
      <c r="H505" s="956"/>
      <c r="I505" s="956"/>
      <c r="J505" s="956"/>
      <c r="K505" s="956"/>
      <c r="L505" s="956"/>
      <c r="M505" s="956"/>
      <c r="N505" s="956"/>
      <c r="O505" s="958"/>
      <c r="P505" s="958"/>
      <c r="Q505" s="958"/>
      <c r="R505" s="958"/>
      <c r="S505" s="958"/>
      <c r="T505" s="958"/>
      <c r="U505" s="958"/>
      <c r="V505" s="958"/>
      <c r="W505" s="958"/>
      <c r="X505" s="958"/>
      <c r="Y505" s="958"/>
      <c r="Z505" s="958"/>
    </row>
    <row r="506" ht="35.25" customHeight="1">
      <c r="A506" s="1019"/>
      <c r="B506" s="956"/>
      <c r="C506" s="956"/>
      <c r="D506" s="957"/>
      <c r="E506" s="956"/>
      <c r="F506" s="956"/>
      <c r="G506" s="956"/>
      <c r="H506" s="956"/>
      <c r="I506" s="956"/>
      <c r="J506" s="956"/>
      <c r="K506" s="956"/>
      <c r="L506" s="956"/>
      <c r="M506" s="956"/>
      <c r="N506" s="956"/>
      <c r="O506" s="958"/>
      <c r="P506" s="958"/>
      <c r="Q506" s="958"/>
      <c r="R506" s="958"/>
      <c r="S506" s="958"/>
      <c r="T506" s="958"/>
      <c r="U506" s="958"/>
      <c r="V506" s="958"/>
      <c r="W506" s="958"/>
      <c r="X506" s="958"/>
      <c r="Y506" s="958"/>
      <c r="Z506" s="958"/>
    </row>
    <row r="507" ht="35.25" customHeight="1">
      <c r="A507" s="1019"/>
      <c r="B507" s="956"/>
      <c r="C507" s="956"/>
      <c r="D507" s="957"/>
      <c r="E507" s="956"/>
      <c r="F507" s="956"/>
      <c r="G507" s="956"/>
      <c r="H507" s="956"/>
      <c r="I507" s="956"/>
      <c r="J507" s="956"/>
      <c r="K507" s="956"/>
      <c r="L507" s="956"/>
      <c r="M507" s="956"/>
      <c r="N507" s="956"/>
      <c r="O507" s="958"/>
      <c r="P507" s="958"/>
      <c r="Q507" s="958"/>
      <c r="R507" s="958"/>
      <c r="S507" s="958"/>
      <c r="T507" s="958"/>
      <c r="U507" s="958"/>
      <c r="V507" s="958"/>
      <c r="W507" s="958"/>
      <c r="X507" s="958"/>
      <c r="Y507" s="958"/>
      <c r="Z507" s="958"/>
    </row>
    <row r="508" ht="35.25" customHeight="1">
      <c r="A508" s="1019"/>
      <c r="B508" s="956"/>
      <c r="C508" s="956"/>
      <c r="D508" s="957"/>
      <c r="E508" s="956"/>
      <c r="F508" s="956"/>
      <c r="G508" s="956"/>
      <c r="H508" s="956"/>
      <c r="I508" s="956"/>
      <c r="J508" s="956"/>
      <c r="K508" s="956"/>
      <c r="L508" s="956"/>
      <c r="M508" s="956"/>
      <c r="N508" s="956"/>
      <c r="O508" s="958"/>
      <c r="P508" s="958"/>
      <c r="Q508" s="958"/>
      <c r="R508" s="958"/>
      <c r="S508" s="958"/>
      <c r="T508" s="958"/>
      <c r="U508" s="958"/>
      <c r="V508" s="958"/>
      <c r="W508" s="958"/>
      <c r="X508" s="958"/>
      <c r="Y508" s="958"/>
      <c r="Z508" s="958"/>
    </row>
    <row r="509" ht="35.25" customHeight="1">
      <c r="A509" s="1019"/>
      <c r="B509" s="956"/>
      <c r="C509" s="956"/>
      <c r="D509" s="957"/>
      <c r="E509" s="956"/>
      <c r="F509" s="956"/>
      <c r="G509" s="956"/>
      <c r="H509" s="956"/>
      <c r="I509" s="956"/>
      <c r="J509" s="956"/>
      <c r="K509" s="956"/>
      <c r="L509" s="956"/>
      <c r="M509" s="956"/>
      <c r="N509" s="956"/>
      <c r="O509" s="958"/>
      <c r="P509" s="958"/>
      <c r="Q509" s="958"/>
      <c r="R509" s="958"/>
      <c r="S509" s="958"/>
      <c r="T509" s="958"/>
      <c r="U509" s="958"/>
      <c r="V509" s="958"/>
      <c r="W509" s="958"/>
      <c r="X509" s="958"/>
      <c r="Y509" s="958"/>
      <c r="Z509" s="958"/>
    </row>
    <row r="510" ht="35.25" customHeight="1">
      <c r="A510" s="1019"/>
      <c r="B510" s="956"/>
      <c r="C510" s="956"/>
      <c r="D510" s="957"/>
      <c r="E510" s="956"/>
      <c r="F510" s="956"/>
      <c r="G510" s="956"/>
      <c r="H510" s="956"/>
      <c r="I510" s="956"/>
      <c r="J510" s="956"/>
      <c r="K510" s="956"/>
      <c r="L510" s="956"/>
      <c r="M510" s="956"/>
      <c r="N510" s="956"/>
      <c r="O510" s="958"/>
      <c r="P510" s="958"/>
      <c r="Q510" s="958"/>
      <c r="R510" s="958"/>
      <c r="S510" s="958"/>
      <c r="T510" s="958"/>
      <c r="U510" s="958"/>
      <c r="V510" s="958"/>
      <c r="W510" s="958"/>
      <c r="X510" s="958"/>
      <c r="Y510" s="958"/>
      <c r="Z510" s="958"/>
    </row>
    <row r="511" ht="35.25" customHeight="1">
      <c r="A511" s="1019"/>
      <c r="B511" s="956"/>
      <c r="C511" s="956"/>
      <c r="D511" s="957"/>
      <c r="E511" s="956"/>
      <c r="F511" s="956"/>
      <c r="G511" s="956"/>
      <c r="H511" s="956"/>
      <c r="I511" s="956"/>
      <c r="J511" s="956"/>
      <c r="K511" s="956"/>
      <c r="L511" s="956"/>
      <c r="M511" s="956"/>
      <c r="N511" s="956"/>
      <c r="O511" s="958"/>
      <c r="P511" s="958"/>
      <c r="Q511" s="958"/>
      <c r="R511" s="958"/>
      <c r="S511" s="958"/>
      <c r="T511" s="958"/>
      <c r="U511" s="958"/>
      <c r="V511" s="958"/>
      <c r="W511" s="958"/>
      <c r="X511" s="958"/>
      <c r="Y511" s="958"/>
      <c r="Z511" s="958"/>
    </row>
    <row r="512" ht="35.25" customHeight="1">
      <c r="A512" s="1019"/>
      <c r="B512" s="956"/>
      <c r="C512" s="956"/>
      <c r="D512" s="957"/>
      <c r="E512" s="956"/>
      <c r="F512" s="956"/>
      <c r="G512" s="956"/>
      <c r="H512" s="956"/>
      <c r="I512" s="956"/>
      <c r="J512" s="956"/>
      <c r="K512" s="956"/>
      <c r="L512" s="956"/>
      <c r="M512" s="956"/>
      <c r="N512" s="956"/>
      <c r="O512" s="958"/>
      <c r="P512" s="958"/>
      <c r="Q512" s="958"/>
      <c r="R512" s="958"/>
      <c r="S512" s="958"/>
      <c r="T512" s="958"/>
      <c r="U512" s="958"/>
      <c r="V512" s="958"/>
      <c r="W512" s="958"/>
      <c r="X512" s="958"/>
      <c r="Y512" s="958"/>
      <c r="Z512" s="958"/>
    </row>
    <row r="513" ht="35.25" customHeight="1">
      <c r="A513" s="1019"/>
      <c r="B513" s="956"/>
      <c r="C513" s="956"/>
      <c r="D513" s="957"/>
      <c r="E513" s="956"/>
      <c r="F513" s="956"/>
      <c r="G513" s="956"/>
      <c r="H513" s="956"/>
      <c r="I513" s="956"/>
      <c r="J513" s="956"/>
      <c r="K513" s="956"/>
      <c r="L513" s="956"/>
      <c r="M513" s="956"/>
      <c r="N513" s="956"/>
      <c r="O513" s="958"/>
      <c r="P513" s="958"/>
      <c r="Q513" s="958"/>
      <c r="R513" s="958"/>
      <c r="S513" s="958"/>
      <c r="T513" s="958"/>
      <c r="U513" s="958"/>
      <c r="V513" s="958"/>
      <c r="W513" s="958"/>
      <c r="X513" s="958"/>
      <c r="Y513" s="958"/>
      <c r="Z513" s="958"/>
    </row>
    <row r="514" ht="35.25" customHeight="1">
      <c r="A514" s="1019"/>
      <c r="B514" s="956"/>
      <c r="C514" s="956"/>
      <c r="D514" s="957"/>
      <c r="E514" s="956"/>
      <c r="F514" s="956"/>
      <c r="G514" s="956"/>
      <c r="H514" s="956"/>
      <c r="I514" s="956"/>
      <c r="J514" s="956"/>
      <c r="K514" s="956"/>
      <c r="L514" s="956"/>
      <c r="M514" s="956"/>
      <c r="N514" s="956"/>
      <c r="O514" s="958"/>
      <c r="P514" s="958"/>
      <c r="Q514" s="958"/>
      <c r="R514" s="958"/>
      <c r="S514" s="958"/>
      <c r="T514" s="958"/>
      <c r="U514" s="958"/>
      <c r="V514" s="958"/>
      <c r="W514" s="958"/>
      <c r="X514" s="958"/>
      <c r="Y514" s="958"/>
      <c r="Z514" s="958"/>
    </row>
    <row r="515" ht="35.25" customHeight="1">
      <c r="A515" s="1019"/>
      <c r="B515" s="956"/>
      <c r="C515" s="956"/>
      <c r="D515" s="957"/>
      <c r="E515" s="956"/>
      <c r="F515" s="956"/>
      <c r="G515" s="956"/>
      <c r="H515" s="956"/>
      <c r="I515" s="956"/>
      <c r="J515" s="956"/>
      <c r="K515" s="956"/>
      <c r="L515" s="956"/>
      <c r="M515" s="956"/>
      <c r="N515" s="956"/>
      <c r="O515" s="958"/>
      <c r="P515" s="958"/>
      <c r="Q515" s="958"/>
      <c r="R515" s="958"/>
      <c r="S515" s="958"/>
      <c r="T515" s="958"/>
      <c r="U515" s="958"/>
      <c r="V515" s="958"/>
      <c r="W515" s="958"/>
      <c r="X515" s="958"/>
      <c r="Y515" s="958"/>
      <c r="Z515" s="958"/>
    </row>
    <row r="516" ht="35.25" customHeight="1">
      <c r="A516" s="1019"/>
      <c r="B516" s="956"/>
      <c r="C516" s="956"/>
      <c r="D516" s="957"/>
      <c r="E516" s="956"/>
      <c r="F516" s="956"/>
      <c r="G516" s="956"/>
      <c r="H516" s="956"/>
      <c r="I516" s="956"/>
      <c r="J516" s="956"/>
      <c r="K516" s="956"/>
      <c r="L516" s="956"/>
      <c r="M516" s="956"/>
      <c r="N516" s="956"/>
      <c r="O516" s="958"/>
      <c r="P516" s="958"/>
      <c r="Q516" s="958"/>
      <c r="R516" s="958"/>
      <c r="S516" s="958"/>
      <c r="T516" s="958"/>
      <c r="U516" s="958"/>
      <c r="V516" s="958"/>
      <c r="W516" s="958"/>
      <c r="X516" s="958"/>
      <c r="Y516" s="958"/>
      <c r="Z516" s="958"/>
    </row>
    <row r="517" ht="35.25" customHeight="1">
      <c r="A517" s="1019"/>
      <c r="B517" s="956"/>
      <c r="C517" s="956"/>
      <c r="D517" s="957"/>
      <c r="E517" s="956"/>
      <c r="F517" s="956"/>
      <c r="G517" s="956"/>
      <c r="H517" s="956"/>
      <c r="I517" s="956"/>
      <c r="J517" s="956"/>
      <c r="K517" s="956"/>
      <c r="L517" s="956"/>
      <c r="M517" s="956"/>
      <c r="N517" s="956"/>
      <c r="O517" s="958"/>
      <c r="P517" s="958"/>
      <c r="Q517" s="958"/>
      <c r="R517" s="958"/>
      <c r="S517" s="958"/>
      <c r="T517" s="958"/>
      <c r="U517" s="958"/>
      <c r="V517" s="958"/>
      <c r="W517" s="958"/>
      <c r="X517" s="958"/>
      <c r="Y517" s="958"/>
      <c r="Z517" s="958"/>
    </row>
    <row r="518" ht="35.25" customHeight="1">
      <c r="A518" s="1019"/>
      <c r="B518" s="956"/>
      <c r="C518" s="956"/>
      <c r="D518" s="957"/>
      <c r="E518" s="956"/>
      <c r="F518" s="956"/>
      <c r="G518" s="956"/>
      <c r="H518" s="956"/>
      <c r="I518" s="956"/>
      <c r="J518" s="956"/>
      <c r="K518" s="956"/>
      <c r="L518" s="956"/>
      <c r="M518" s="956"/>
      <c r="N518" s="956"/>
      <c r="O518" s="958"/>
      <c r="P518" s="958"/>
      <c r="Q518" s="958"/>
      <c r="R518" s="958"/>
      <c r="S518" s="958"/>
      <c r="T518" s="958"/>
      <c r="U518" s="958"/>
      <c r="V518" s="958"/>
      <c r="W518" s="958"/>
      <c r="X518" s="958"/>
      <c r="Y518" s="958"/>
      <c r="Z518" s="958"/>
    </row>
    <row r="519" ht="35.25" customHeight="1">
      <c r="A519" s="1019"/>
      <c r="B519" s="956"/>
      <c r="C519" s="956"/>
      <c r="D519" s="957"/>
      <c r="E519" s="956"/>
      <c r="F519" s="956"/>
      <c r="G519" s="956"/>
      <c r="H519" s="956"/>
      <c r="I519" s="956"/>
      <c r="J519" s="956"/>
      <c r="K519" s="956"/>
      <c r="L519" s="956"/>
      <c r="M519" s="956"/>
      <c r="N519" s="956"/>
      <c r="O519" s="958"/>
      <c r="P519" s="958"/>
      <c r="Q519" s="958"/>
      <c r="R519" s="958"/>
      <c r="S519" s="958"/>
      <c r="T519" s="958"/>
      <c r="U519" s="958"/>
      <c r="V519" s="958"/>
      <c r="W519" s="958"/>
      <c r="X519" s="958"/>
      <c r="Y519" s="958"/>
      <c r="Z519" s="958"/>
    </row>
    <row r="520" ht="35.25" customHeight="1">
      <c r="A520" s="1019"/>
      <c r="B520" s="956"/>
      <c r="C520" s="956"/>
      <c r="D520" s="957"/>
      <c r="E520" s="956"/>
      <c r="F520" s="956"/>
      <c r="G520" s="956"/>
      <c r="H520" s="956"/>
      <c r="I520" s="956"/>
      <c r="J520" s="956"/>
      <c r="K520" s="956"/>
      <c r="L520" s="956"/>
      <c r="M520" s="956"/>
      <c r="N520" s="956"/>
      <c r="O520" s="958"/>
      <c r="P520" s="958"/>
      <c r="Q520" s="958"/>
      <c r="R520" s="958"/>
      <c r="S520" s="958"/>
      <c r="T520" s="958"/>
      <c r="U520" s="958"/>
      <c r="V520" s="958"/>
      <c r="W520" s="958"/>
      <c r="X520" s="958"/>
      <c r="Y520" s="958"/>
      <c r="Z520" s="958"/>
    </row>
    <row r="521" ht="35.25" customHeight="1">
      <c r="A521" s="1019"/>
      <c r="B521" s="956"/>
      <c r="C521" s="956"/>
      <c r="D521" s="957"/>
      <c r="E521" s="956"/>
      <c r="F521" s="956"/>
      <c r="G521" s="956"/>
      <c r="H521" s="956"/>
      <c r="I521" s="956"/>
      <c r="J521" s="956"/>
      <c r="K521" s="956"/>
      <c r="L521" s="956"/>
      <c r="M521" s="956"/>
      <c r="N521" s="956"/>
      <c r="O521" s="958"/>
      <c r="P521" s="958"/>
      <c r="Q521" s="958"/>
      <c r="R521" s="958"/>
      <c r="S521" s="958"/>
      <c r="T521" s="958"/>
      <c r="U521" s="958"/>
      <c r="V521" s="958"/>
      <c r="W521" s="958"/>
      <c r="X521" s="958"/>
      <c r="Y521" s="958"/>
      <c r="Z521" s="958"/>
    </row>
    <row r="522" ht="35.25" customHeight="1">
      <c r="A522" s="1019"/>
      <c r="B522" s="956"/>
      <c r="C522" s="956"/>
      <c r="D522" s="957"/>
      <c r="E522" s="956"/>
      <c r="F522" s="956"/>
      <c r="G522" s="956"/>
      <c r="H522" s="956"/>
      <c r="I522" s="956"/>
      <c r="J522" s="956"/>
      <c r="K522" s="956"/>
      <c r="L522" s="956"/>
      <c r="M522" s="956"/>
      <c r="N522" s="956"/>
      <c r="O522" s="958"/>
      <c r="P522" s="958"/>
      <c r="Q522" s="958"/>
      <c r="R522" s="958"/>
      <c r="S522" s="958"/>
      <c r="T522" s="958"/>
      <c r="U522" s="958"/>
      <c r="V522" s="958"/>
      <c r="W522" s="958"/>
      <c r="X522" s="958"/>
      <c r="Y522" s="958"/>
      <c r="Z522" s="958"/>
    </row>
    <row r="523" ht="35.25" customHeight="1">
      <c r="A523" s="1019"/>
      <c r="B523" s="956"/>
      <c r="C523" s="956"/>
      <c r="D523" s="957"/>
      <c r="E523" s="956"/>
      <c r="F523" s="956"/>
      <c r="G523" s="956"/>
      <c r="H523" s="956"/>
      <c r="I523" s="956"/>
      <c r="J523" s="956"/>
      <c r="K523" s="956"/>
      <c r="L523" s="956"/>
      <c r="M523" s="956"/>
      <c r="N523" s="956"/>
      <c r="O523" s="958"/>
      <c r="P523" s="958"/>
      <c r="Q523" s="958"/>
      <c r="R523" s="958"/>
      <c r="S523" s="958"/>
      <c r="T523" s="958"/>
      <c r="U523" s="958"/>
      <c r="V523" s="958"/>
      <c r="W523" s="958"/>
      <c r="X523" s="958"/>
      <c r="Y523" s="958"/>
      <c r="Z523" s="958"/>
    </row>
    <row r="524" ht="35.25" customHeight="1">
      <c r="A524" s="1019"/>
      <c r="B524" s="956"/>
      <c r="C524" s="956"/>
      <c r="D524" s="957"/>
      <c r="E524" s="956"/>
      <c r="F524" s="956"/>
      <c r="G524" s="956"/>
      <c r="H524" s="956"/>
      <c r="I524" s="956"/>
      <c r="J524" s="956"/>
      <c r="K524" s="956"/>
      <c r="L524" s="956"/>
      <c r="M524" s="956"/>
      <c r="N524" s="956"/>
      <c r="O524" s="958"/>
      <c r="P524" s="958"/>
      <c r="Q524" s="958"/>
      <c r="R524" s="958"/>
      <c r="S524" s="958"/>
      <c r="T524" s="958"/>
      <c r="U524" s="958"/>
      <c r="V524" s="958"/>
      <c r="W524" s="958"/>
      <c r="X524" s="958"/>
      <c r="Y524" s="958"/>
      <c r="Z524" s="958"/>
    </row>
    <row r="525" ht="35.25" customHeight="1">
      <c r="A525" s="1019"/>
      <c r="B525" s="956"/>
      <c r="C525" s="956"/>
      <c r="D525" s="957"/>
      <c r="E525" s="956"/>
      <c r="F525" s="956"/>
      <c r="G525" s="956"/>
      <c r="H525" s="956"/>
      <c r="I525" s="956"/>
      <c r="J525" s="956"/>
      <c r="K525" s="956"/>
      <c r="L525" s="956"/>
      <c r="M525" s="956"/>
      <c r="N525" s="956"/>
      <c r="O525" s="958"/>
      <c r="P525" s="958"/>
      <c r="Q525" s="958"/>
      <c r="R525" s="958"/>
      <c r="S525" s="958"/>
      <c r="T525" s="958"/>
      <c r="U525" s="958"/>
      <c r="V525" s="958"/>
      <c r="W525" s="958"/>
      <c r="X525" s="958"/>
      <c r="Y525" s="958"/>
      <c r="Z525" s="958"/>
    </row>
    <row r="526" ht="35.25" customHeight="1">
      <c r="A526" s="1019"/>
      <c r="B526" s="956"/>
      <c r="C526" s="956"/>
      <c r="D526" s="957"/>
      <c r="E526" s="956"/>
      <c r="F526" s="956"/>
      <c r="G526" s="956"/>
      <c r="H526" s="956"/>
      <c r="I526" s="956"/>
      <c r="J526" s="956"/>
      <c r="K526" s="956"/>
      <c r="L526" s="956"/>
      <c r="M526" s="956"/>
      <c r="N526" s="956"/>
      <c r="O526" s="958"/>
      <c r="P526" s="958"/>
      <c r="Q526" s="958"/>
      <c r="R526" s="958"/>
      <c r="S526" s="958"/>
      <c r="T526" s="958"/>
      <c r="U526" s="958"/>
      <c r="V526" s="958"/>
      <c r="W526" s="958"/>
      <c r="X526" s="958"/>
      <c r="Y526" s="958"/>
      <c r="Z526" s="958"/>
    </row>
    <row r="527" ht="35.25" customHeight="1">
      <c r="A527" s="1019"/>
      <c r="B527" s="956"/>
      <c r="C527" s="956"/>
      <c r="D527" s="957"/>
      <c r="E527" s="956"/>
      <c r="F527" s="956"/>
      <c r="G527" s="956"/>
      <c r="H527" s="956"/>
      <c r="I527" s="956"/>
      <c r="J527" s="956"/>
      <c r="K527" s="956"/>
      <c r="L527" s="956"/>
      <c r="M527" s="956"/>
      <c r="N527" s="956"/>
      <c r="O527" s="958"/>
      <c r="P527" s="958"/>
      <c r="Q527" s="958"/>
      <c r="R527" s="958"/>
      <c r="S527" s="958"/>
      <c r="T527" s="958"/>
      <c r="U527" s="958"/>
      <c r="V527" s="958"/>
      <c r="W527" s="958"/>
      <c r="X527" s="958"/>
      <c r="Y527" s="958"/>
      <c r="Z527" s="958"/>
    </row>
    <row r="528" ht="35.25" customHeight="1">
      <c r="A528" s="1019"/>
      <c r="B528" s="956"/>
      <c r="C528" s="956"/>
      <c r="D528" s="957"/>
      <c r="E528" s="956"/>
      <c r="F528" s="956"/>
      <c r="G528" s="956"/>
      <c r="H528" s="956"/>
      <c r="I528" s="956"/>
      <c r="J528" s="956"/>
      <c r="K528" s="956"/>
      <c r="L528" s="956"/>
      <c r="M528" s="956"/>
      <c r="N528" s="956"/>
      <c r="O528" s="958"/>
      <c r="P528" s="958"/>
      <c r="Q528" s="958"/>
      <c r="R528" s="958"/>
      <c r="S528" s="958"/>
      <c r="T528" s="958"/>
      <c r="U528" s="958"/>
      <c r="V528" s="958"/>
      <c r="W528" s="958"/>
      <c r="X528" s="958"/>
      <c r="Y528" s="958"/>
      <c r="Z528" s="958"/>
    </row>
    <row r="529" ht="35.25" customHeight="1">
      <c r="A529" s="1019"/>
      <c r="B529" s="956"/>
      <c r="C529" s="956"/>
      <c r="D529" s="957"/>
      <c r="E529" s="956"/>
      <c r="F529" s="956"/>
      <c r="G529" s="956"/>
      <c r="H529" s="956"/>
      <c r="I529" s="956"/>
      <c r="J529" s="956"/>
      <c r="K529" s="956"/>
      <c r="L529" s="956"/>
      <c r="M529" s="956"/>
      <c r="N529" s="956"/>
      <c r="O529" s="958"/>
      <c r="P529" s="958"/>
      <c r="Q529" s="958"/>
      <c r="R529" s="958"/>
      <c r="S529" s="958"/>
      <c r="T529" s="958"/>
      <c r="U529" s="958"/>
      <c r="V529" s="958"/>
      <c r="W529" s="958"/>
      <c r="X529" s="958"/>
      <c r="Y529" s="958"/>
      <c r="Z529" s="958"/>
    </row>
    <row r="530" ht="35.25" customHeight="1">
      <c r="A530" s="1019"/>
      <c r="B530" s="956"/>
      <c r="C530" s="956"/>
      <c r="D530" s="957"/>
      <c r="E530" s="956"/>
      <c r="F530" s="956"/>
      <c r="G530" s="956"/>
      <c r="H530" s="956"/>
      <c r="I530" s="956"/>
      <c r="J530" s="956"/>
      <c r="K530" s="956"/>
      <c r="L530" s="956"/>
      <c r="M530" s="956"/>
      <c r="N530" s="956"/>
      <c r="O530" s="958"/>
      <c r="P530" s="958"/>
      <c r="Q530" s="958"/>
      <c r="R530" s="958"/>
      <c r="S530" s="958"/>
      <c r="T530" s="958"/>
      <c r="U530" s="958"/>
      <c r="V530" s="958"/>
      <c r="W530" s="958"/>
      <c r="X530" s="958"/>
      <c r="Y530" s="958"/>
      <c r="Z530" s="958"/>
    </row>
    <row r="531" ht="35.25" customHeight="1">
      <c r="A531" s="1019"/>
      <c r="B531" s="956"/>
      <c r="C531" s="956"/>
      <c r="D531" s="957"/>
      <c r="E531" s="956"/>
      <c r="F531" s="956"/>
      <c r="G531" s="956"/>
      <c r="H531" s="956"/>
      <c r="I531" s="956"/>
      <c r="J531" s="956"/>
      <c r="K531" s="956"/>
      <c r="L531" s="956"/>
      <c r="M531" s="956"/>
      <c r="N531" s="956"/>
      <c r="O531" s="958"/>
      <c r="P531" s="958"/>
      <c r="Q531" s="958"/>
      <c r="R531" s="958"/>
      <c r="S531" s="958"/>
      <c r="T531" s="958"/>
      <c r="U531" s="958"/>
      <c r="V531" s="958"/>
      <c r="W531" s="958"/>
      <c r="X531" s="958"/>
      <c r="Y531" s="958"/>
      <c r="Z531" s="958"/>
    </row>
    <row r="532" ht="35.25" customHeight="1">
      <c r="A532" s="1019"/>
      <c r="B532" s="956"/>
      <c r="C532" s="956"/>
      <c r="D532" s="957"/>
      <c r="E532" s="956"/>
      <c r="F532" s="956"/>
      <c r="G532" s="956"/>
      <c r="H532" s="956"/>
      <c r="I532" s="956"/>
      <c r="J532" s="956"/>
      <c r="K532" s="956"/>
      <c r="L532" s="956"/>
      <c r="M532" s="956"/>
      <c r="N532" s="956"/>
      <c r="O532" s="958"/>
      <c r="P532" s="958"/>
      <c r="Q532" s="958"/>
      <c r="R532" s="958"/>
      <c r="S532" s="958"/>
      <c r="T532" s="958"/>
      <c r="U532" s="958"/>
      <c r="V532" s="958"/>
      <c r="W532" s="958"/>
      <c r="X532" s="958"/>
      <c r="Y532" s="958"/>
      <c r="Z532" s="958"/>
    </row>
    <row r="533" ht="35.25" customHeight="1">
      <c r="A533" s="1019"/>
      <c r="B533" s="956"/>
      <c r="C533" s="956"/>
      <c r="D533" s="957"/>
      <c r="E533" s="956"/>
      <c r="F533" s="956"/>
      <c r="G533" s="956"/>
      <c r="H533" s="956"/>
      <c r="I533" s="956"/>
      <c r="J533" s="956"/>
      <c r="K533" s="956"/>
      <c r="L533" s="956"/>
      <c r="M533" s="956"/>
      <c r="N533" s="956"/>
      <c r="O533" s="958"/>
      <c r="P533" s="958"/>
      <c r="Q533" s="958"/>
      <c r="R533" s="958"/>
      <c r="S533" s="958"/>
      <c r="T533" s="958"/>
      <c r="U533" s="958"/>
      <c r="V533" s="958"/>
      <c r="W533" s="958"/>
      <c r="X533" s="958"/>
      <c r="Y533" s="958"/>
      <c r="Z533" s="958"/>
    </row>
    <row r="534" ht="35.25" customHeight="1">
      <c r="A534" s="1019"/>
      <c r="B534" s="956"/>
      <c r="C534" s="956"/>
      <c r="D534" s="957"/>
      <c r="E534" s="956"/>
      <c r="F534" s="956"/>
      <c r="G534" s="956"/>
      <c r="H534" s="956"/>
      <c r="I534" s="956"/>
      <c r="J534" s="956"/>
      <c r="K534" s="956"/>
      <c r="L534" s="956"/>
      <c r="M534" s="956"/>
      <c r="N534" s="956"/>
      <c r="O534" s="958"/>
      <c r="P534" s="958"/>
      <c r="Q534" s="958"/>
      <c r="R534" s="958"/>
      <c r="S534" s="958"/>
      <c r="T534" s="958"/>
      <c r="U534" s="958"/>
      <c r="V534" s="958"/>
      <c r="W534" s="958"/>
      <c r="X534" s="958"/>
      <c r="Y534" s="958"/>
      <c r="Z534" s="958"/>
    </row>
    <row r="535" ht="35.25" customHeight="1">
      <c r="A535" s="1019"/>
      <c r="B535" s="956"/>
      <c r="C535" s="956"/>
      <c r="D535" s="957"/>
      <c r="E535" s="956"/>
      <c r="F535" s="956"/>
      <c r="G535" s="956"/>
      <c r="H535" s="956"/>
      <c r="I535" s="956"/>
      <c r="J535" s="956"/>
      <c r="K535" s="956"/>
      <c r="L535" s="956"/>
      <c r="M535" s="956"/>
      <c r="N535" s="956"/>
      <c r="O535" s="958"/>
      <c r="P535" s="958"/>
      <c r="Q535" s="958"/>
      <c r="R535" s="958"/>
      <c r="S535" s="958"/>
      <c r="T535" s="958"/>
      <c r="U535" s="958"/>
      <c r="V535" s="958"/>
      <c r="W535" s="958"/>
      <c r="X535" s="958"/>
      <c r="Y535" s="958"/>
      <c r="Z535" s="958"/>
    </row>
    <row r="536" ht="35.25" customHeight="1">
      <c r="A536" s="1019"/>
      <c r="B536" s="956"/>
      <c r="C536" s="956"/>
      <c r="D536" s="957"/>
      <c r="E536" s="956"/>
      <c r="F536" s="956"/>
      <c r="G536" s="956"/>
      <c r="H536" s="956"/>
      <c r="I536" s="956"/>
      <c r="J536" s="956"/>
      <c r="K536" s="956"/>
      <c r="L536" s="956"/>
      <c r="M536" s="956"/>
      <c r="N536" s="956"/>
      <c r="O536" s="958"/>
      <c r="P536" s="958"/>
      <c r="Q536" s="958"/>
      <c r="R536" s="958"/>
      <c r="S536" s="958"/>
      <c r="T536" s="958"/>
      <c r="U536" s="958"/>
      <c r="V536" s="958"/>
      <c r="W536" s="958"/>
      <c r="X536" s="958"/>
      <c r="Y536" s="958"/>
      <c r="Z536" s="958"/>
    </row>
    <row r="537" ht="35.25" customHeight="1">
      <c r="A537" s="1019"/>
      <c r="B537" s="956"/>
      <c r="C537" s="956"/>
      <c r="D537" s="957"/>
      <c r="E537" s="956"/>
      <c r="F537" s="956"/>
      <c r="G537" s="956"/>
      <c r="H537" s="956"/>
      <c r="I537" s="956"/>
      <c r="J537" s="956"/>
      <c r="K537" s="956"/>
      <c r="L537" s="956"/>
      <c r="M537" s="956"/>
      <c r="N537" s="956"/>
      <c r="O537" s="958"/>
      <c r="P537" s="958"/>
      <c r="Q537" s="958"/>
      <c r="R537" s="958"/>
      <c r="S537" s="958"/>
      <c r="T537" s="958"/>
      <c r="U537" s="958"/>
      <c r="V537" s="958"/>
      <c r="W537" s="958"/>
      <c r="X537" s="958"/>
      <c r="Y537" s="958"/>
      <c r="Z537" s="958"/>
    </row>
    <row r="538" ht="35.25" customHeight="1">
      <c r="A538" s="1019"/>
      <c r="B538" s="956"/>
      <c r="C538" s="956"/>
      <c r="D538" s="957"/>
      <c r="E538" s="956"/>
      <c r="F538" s="956"/>
      <c r="G538" s="956"/>
      <c r="H538" s="956"/>
      <c r="I538" s="956"/>
      <c r="J538" s="956"/>
      <c r="K538" s="956"/>
      <c r="L538" s="956"/>
      <c r="M538" s="956"/>
      <c r="N538" s="956"/>
      <c r="O538" s="958"/>
      <c r="P538" s="958"/>
      <c r="Q538" s="958"/>
      <c r="R538" s="958"/>
      <c r="S538" s="958"/>
      <c r="T538" s="958"/>
      <c r="U538" s="958"/>
      <c r="V538" s="958"/>
      <c r="W538" s="958"/>
      <c r="X538" s="958"/>
      <c r="Y538" s="958"/>
      <c r="Z538" s="958"/>
    </row>
    <row r="539" ht="35.25" customHeight="1">
      <c r="A539" s="1019"/>
      <c r="B539" s="956"/>
      <c r="C539" s="956"/>
      <c r="D539" s="957"/>
      <c r="E539" s="956"/>
      <c r="F539" s="956"/>
      <c r="G539" s="956"/>
      <c r="H539" s="956"/>
      <c r="I539" s="956"/>
      <c r="J539" s="956"/>
      <c r="K539" s="956"/>
      <c r="L539" s="956"/>
      <c r="M539" s="956"/>
      <c r="N539" s="956"/>
      <c r="O539" s="958"/>
      <c r="P539" s="958"/>
      <c r="Q539" s="958"/>
      <c r="R539" s="958"/>
      <c r="S539" s="958"/>
      <c r="T539" s="958"/>
      <c r="U539" s="958"/>
      <c r="V539" s="958"/>
      <c r="W539" s="958"/>
      <c r="X539" s="958"/>
      <c r="Y539" s="958"/>
      <c r="Z539" s="958"/>
    </row>
    <row r="540" ht="35.25" customHeight="1">
      <c r="A540" s="1019"/>
      <c r="B540" s="956"/>
      <c r="C540" s="956"/>
      <c r="D540" s="957"/>
      <c r="E540" s="956"/>
      <c r="F540" s="956"/>
      <c r="G540" s="956"/>
      <c r="H540" s="956"/>
      <c r="I540" s="956"/>
      <c r="J540" s="956"/>
      <c r="K540" s="956"/>
      <c r="L540" s="956"/>
      <c r="M540" s="956"/>
      <c r="N540" s="956"/>
      <c r="O540" s="958"/>
      <c r="P540" s="958"/>
      <c r="Q540" s="958"/>
      <c r="R540" s="958"/>
      <c r="S540" s="958"/>
      <c r="T540" s="958"/>
      <c r="U540" s="958"/>
      <c r="V540" s="958"/>
      <c r="W540" s="958"/>
      <c r="X540" s="958"/>
      <c r="Y540" s="958"/>
      <c r="Z540" s="958"/>
    </row>
    <row r="541" ht="35.25" customHeight="1">
      <c r="A541" s="1019"/>
      <c r="B541" s="956"/>
      <c r="C541" s="956"/>
      <c r="D541" s="957"/>
      <c r="E541" s="956"/>
      <c r="F541" s="956"/>
      <c r="G541" s="956"/>
      <c r="H541" s="956"/>
      <c r="I541" s="956"/>
      <c r="J541" s="956"/>
      <c r="K541" s="956"/>
      <c r="L541" s="956"/>
      <c r="M541" s="956"/>
      <c r="N541" s="956"/>
      <c r="O541" s="958"/>
      <c r="P541" s="958"/>
      <c r="Q541" s="958"/>
      <c r="R541" s="958"/>
      <c r="S541" s="958"/>
      <c r="T541" s="958"/>
      <c r="U541" s="958"/>
      <c r="V541" s="958"/>
      <c r="W541" s="958"/>
      <c r="X541" s="958"/>
      <c r="Y541" s="958"/>
      <c r="Z541" s="958"/>
    </row>
    <row r="542" ht="35.25" customHeight="1">
      <c r="A542" s="1019"/>
      <c r="B542" s="956"/>
      <c r="C542" s="956"/>
      <c r="D542" s="957"/>
      <c r="E542" s="956"/>
      <c r="F542" s="956"/>
      <c r="G542" s="956"/>
      <c r="H542" s="956"/>
      <c r="I542" s="956"/>
      <c r="J542" s="956"/>
      <c r="K542" s="956"/>
      <c r="L542" s="956"/>
      <c r="M542" s="956"/>
      <c r="N542" s="956"/>
      <c r="O542" s="958"/>
      <c r="P542" s="958"/>
      <c r="Q542" s="958"/>
      <c r="R542" s="958"/>
      <c r="S542" s="958"/>
      <c r="T542" s="958"/>
      <c r="U542" s="958"/>
      <c r="V542" s="958"/>
      <c r="W542" s="958"/>
      <c r="X542" s="958"/>
      <c r="Y542" s="958"/>
      <c r="Z542" s="958"/>
    </row>
    <row r="543" ht="35.25" customHeight="1">
      <c r="A543" s="1019"/>
      <c r="B543" s="956"/>
      <c r="C543" s="956"/>
      <c r="D543" s="957"/>
      <c r="E543" s="956"/>
      <c r="F543" s="956"/>
      <c r="G543" s="956"/>
      <c r="H543" s="956"/>
      <c r="I543" s="956"/>
      <c r="J543" s="956"/>
      <c r="K543" s="956"/>
      <c r="L543" s="956"/>
      <c r="M543" s="956"/>
      <c r="N543" s="956"/>
      <c r="O543" s="958"/>
      <c r="P543" s="958"/>
      <c r="Q543" s="958"/>
      <c r="R543" s="958"/>
      <c r="S543" s="958"/>
      <c r="T543" s="958"/>
      <c r="U543" s="958"/>
      <c r="V543" s="958"/>
      <c r="W543" s="958"/>
      <c r="X543" s="958"/>
      <c r="Y543" s="958"/>
      <c r="Z543" s="958"/>
    </row>
    <row r="544" ht="35.25" customHeight="1">
      <c r="A544" s="1019"/>
      <c r="B544" s="956"/>
      <c r="C544" s="956"/>
      <c r="D544" s="957"/>
      <c r="E544" s="956"/>
      <c r="F544" s="956"/>
      <c r="G544" s="956"/>
      <c r="H544" s="956"/>
      <c r="I544" s="956"/>
      <c r="J544" s="956"/>
      <c r="K544" s="956"/>
      <c r="L544" s="956"/>
      <c r="M544" s="956"/>
      <c r="N544" s="956"/>
      <c r="O544" s="958"/>
      <c r="P544" s="958"/>
      <c r="Q544" s="958"/>
      <c r="R544" s="958"/>
      <c r="S544" s="958"/>
      <c r="T544" s="958"/>
      <c r="U544" s="958"/>
      <c r="V544" s="958"/>
      <c r="W544" s="958"/>
      <c r="X544" s="958"/>
      <c r="Y544" s="958"/>
      <c r="Z544" s="958"/>
    </row>
    <row r="545" ht="35.25" customHeight="1">
      <c r="A545" s="1019"/>
      <c r="B545" s="956"/>
      <c r="C545" s="956"/>
      <c r="D545" s="957"/>
      <c r="E545" s="956"/>
      <c r="F545" s="956"/>
      <c r="G545" s="956"/>
      <c r="H545" s="956"/>
      <c r="I545" s="956"/>
      <c r="J545" s="956"/>
      <c r="K545" s="956"/>
      <c r="L545" s="956"/>
      <c r="M545" s="956"/>
      <c r="N545" s="956"/>
      <c r="O545" s="958"/>
      <c r="P545" s="958"/>
      <c r="Q545" s="958"/>
      <c r="R545" s="958"/>
      <c r="S545" s="958"/>
      <c r="T545" s="958"/>
      <c r="U545" s="958"/>
      <c r="V545" s="958"/>
      <c r="W545" s="958"/>
      <c r="X545" s="958"/>
      <c r="Y545" s="958"/>
      <c r="Z545" s="958"/>
    </row>
    <row r="546" ht="35.25" customHeight="1">
      <c r="A546" s="1019"/>
      <c r="B546" s="956"/>
      <c r="C546" s="956"/>
      <c r="D546" s="957"/>
      <c r="E546" s="956"/>
      <c r="F546" s="956"/>
      <c r="G546" s="956"/>
      <c r="H546" s="956"/>
      <c r="I546" s="956"/>
      <c r="J546" s="956"/>
      <c r="K546" s="956"/>
      <c r="L546" s="956"/>
      <c r="M546" s="956"/>
      <c r="N546" s="956"/>
      <c r="O546" s="958"/>
      <c r="P546" s="958"/>
      <c r="Q546" s="958"/>
      <c r="R546" s="958"/>
      <c r="S546" s="958"/>
      <c r="T546" s="958"/>
      <c r="U546" s="958"/>
      <c r="V546" s="958"/>
      <c r="W546" s="958"/>
      <c r="X546" s="958"/>
      <c r="Y546" s="958"/>
      <c r="Z546" s="958"/>
    </row>
    <row r="547" ht="35.25" customHeight="1">
      <c r="A547" s="1019"/>
      <c r="B547" s="956"/>
      <c r="C547" s="956"/>
      <c r="D547" s="957"/>
      <c r="E547" s="956"/>
      <c r="F547" s="956"/>
      <c r="G547" s="956"/>
      <c r="H547" s="956"/>
      <c r="I547" s="956"/>
      <c r="J547" s="956"/>
      <c r="K547" s="956"/>
      <c r="L547" s="956"/>
      <c r="M547" s="956"/>
      <c r="N547" s="956"/>
      <c r="O547" s="958"/>
      <c r="P547" s="958"/>
      <c r="Q547" s="958"/>
      <c r="R547" s="958"/>
      <c r="S547" s="958"/>
      <c r="T547" s="958"/>
      <c r="U547" s="958"/>
      <c r="V547" s="958"/>
      <c r="W547" s="958"/>
      <c r="X547" s="958"/>
      <c r="Y547" s="958"/>
      <c r="Z547" s="958"/>
    </row>
    <row r="548" ht="35.25" customHeight="1">
      <c r="A548" s="1019"/>
      <c r="B548" s="956"/>
      <c r="C548" s="956"/>
      <c r="D548" s="957"/>
      <c r="E548" s="956"/>
      <c r="F548" s="956"/>
      <c r="G548" s="956"/>
      <c r="H548" s="956"/>
      <c r="I548" s="956"/>
      <c r="J548" s="956"/>
      <c r="K548" s="956"/>
      <c r="L548" s="956"/>
      <c r="M548" s="956"/>
      <c r="N548" s="956"/>
      <c r="O548" s="958"/>
      <c r="P548" s="958"/>
      <c r="Q548" s="958"/>
      <c r="R548" s="958"/>
      <c r="S548" s="958"/>
      <c r="T548" s="958"/>
      <c r="U548" s="958"/>
      <c r="V548" s="958"/>
      <c r="W548" s="958"/>
      <c r="X548" s="958"/>
      <c r="Y548" s="958"/>
      <c r="Z548" s="958"/>
    </row>
    <row r="549" ht="35.25" customHeight="1">
      <c r="A549" s="1019"/>
      <c r="B549" s="956"/>
      <c r="C549" s="956"/>
      <c r="D549" s="957"/>
      <c r="E549" s="956"/>
      <c r="F549" s="956"/>
      <c r="G549" s="956"/>
      <c r="H549" s="956"/>
      <c r="I549" s="956"/>
      <c r="J549" s="956"/>
      <c r="K549" s="956"/>
      <c r="L549" s="956"/>
      <c r="M549" s="956"/>
      <c r="N549" s="956"/>
      <c r="O549" s="958"/>
      <c r="P549" s="958"/>
      <c r="Q549" s="958"/>
      <c r="R549" s="958"/>
      <c r="S549" s="958"/>
      <c r="T549" s="958"/>
      <c r="U549" s="958"/>
      <c r="V549" s="958"/>
      <c r="W549" s="958"/>
      <c r="X549" s="958"/>
      <c r="Y549" s="958"/>
      <c r="Z549" s="958"/>
    </row>
    <row r="550" ht="35.25" customHeight="1">
      <c r="A550" s="1019"/>
      <c r="B550" s="956"/>
      <c r="C550" s="956"/>
      <c r="D550" s="957"/>
      <c r="E550" s="956"/>
      <c r="F550" s="956"/>
      <c r="G550" s="956"/>
      <c r="H550" s="956"/>
      <c r="I550" s="956"/>
      <c r="J550" s="956"/>
      <c r="K550" s="956"/>
      <c r="L550" s="956"/>
      <c r="M550" s="956"/>
      <c r="N550" s="956"/>
      <c r="O550" s="958"/>
      <c r="P550" s="958"/>
      <c r="Q550" s="958"/>
      <c r="R550" s="958"/>
      <c r="S550" s="958"/>
      <c r="T550" s="958"/>
      <c r="U550" s="958"/>
      <c r="V550" s="958"/>
      <c r="W550" s="958"/>
      <c r="X550" s="958"/>
      <c r="Y550" s="958"/>
      <c r="Z550" s="958"/>
    </row>
    <row r="551" ht="35.25" customHeight="1">
      <c r="A551" s="1019"/>
      <c r="B551" s="956"/>
      <c r="C551" s="956"/>
      <c r="D551" s="957"/>
      <c r="E551" s="956"/>
      <c r="F551" s="956"/>
      <c r="G551" s="956"/>
      <c r="H551" s="956"/>
      <c r="I551" s="956"/>
      <c r="J551" s="956"/>
      <c r="K551" s="956"/>
      <c r="L551" s="956"/>
      <c r="M551" s="956"/>
      <c r="N551" s="956"/>
      <c r="O551" s="958"/>
      <c r="P551" s="958"/>
      <c r="Q551" s="958"/>
      <c r="R551" s="958"/>
      <c r="S551" s="958"/>
      <c r="T551" s="958"/>
      <c r="U551" s="958"/>
      <c r="V551" s="958"/>
      <c r="W551" s="958"/>
      <c r="X551" s="958"/>
      <c r="Y551" s="958"/>
      <c r="Z551" s="958"/>
    </row>
    <row r="552" ht="35.25" customHeight="1">
      <c r="A552" s="1019"/>
      <c r="B552" s="956"/>
      <c r="C552" s="956"/>
      <c r="D552" s="957"/>
      <c r="E552" s="956"/>
      <c r="F552" s="956"/>
      <c r="G552" s="956"/>
      <c r="H552" s="956"/>
      <c r="I552" s="956"/>
      <c r="J552" s="956"/>
      <c r="K552" s="956"/>
      <c r="L552" s="956"/>
      <c r="M552" s="956"/>
      <c r="N552" s="956"/>
      <c r="O552" s="958"/>
      <c r="P552" s="958"/>
      <c r="Q552" s="958"/>
      <c r="R552" s="958"/>
      <c r="S552" s="958"/>
      <c r="T552" s="958"/>
      <c r="U552" s="958"/>
      <c r="V552" s="958"/>
      <c r="W552" s="958"/>
      <c r="X552" s="958"/>
      <c r="Y552" s="958"/>
      <c r="Z552" s="958"/>
    </row>
    <row r="553" ht="35.25" customHeight="1">
      <c r="A553" s="1019"/>
      <c r="B553" s="956"/>
      <c r="C553" s="956"/>
      <c r="D553" s="957"/>
      <c r="E553" s="956"/>
      <c r="F553" s="956"/>
      <c r="G553" s="956"/>
      <c r="H553" s="956"/>
      <c r="I553" s="956"/>
      <c r="J553" s="956"/>
      <c r="K553" s="956"/>
      <c r="L553" s="956"/>
      <c r="M553" s="956"/>
      <c r="N553" s="956"/>
      <c r="O553" s="958"/>
      <c r="P553" s="958"/>
      <c r="Q553" s="958"/>
      <c r="R553" s="958"/>
      <c r="S553" s="958"/>
      <c r="T553" s="958"/>
      <c r="U553" s="958"/>
      <c r="V553" s="958"/>
      <c r="W553" s="958"/>
      <c r="X553" s="958"/>
      <c r="Y553" s="958"/>
      <c r="Z553" s="958"/>
    </row>
    <row r="554" ht="35.25" customHeight="1">
      <c r="A554" s="1019"/>
      <c r="B554" s="956"/>
      <c r="C554" s="956"/>
      <c r="D554" s="957"/>
      <c r="E554" s="956"/>
      <c r="F554" s="956"/>
      <c r="G554" s="956"/>
      <c r="H554" s="956"/>
      <c r="I554" s="956"/>
      <c r="J554" s="956"/>
      <c r="K554" s="956"/>
      <c r="L554" s="956"/>
      <c r="M554" s="956"/>
      <c r="N554" s="956"/>
      <c r="O554" s="958"/>
      <c r="P554" s="958"/>
      <c r="Q554" s="958"/>
      <c r="R554" s="958"/>
      <c r="S554" s="958"/>
      <c r="T554" s="958"/>
      <c r="U554" s="958"/>
      <c r="V554" s="958"/>
      <c r="W554" s="958"/>
      <c r="X554" s="958"/>
      <c r="Y554" s="958"/>
      <c r="Z554" s="958"/>
    </row>
    <row r="555" ht="35.25" customHeight="1">
      <c r="A555" s="1019"/>
      <c r="B555" s="956"/>
      <c r="C555" s="956"/>
      <c r="D555" s="957"/>
      <c r="E555" s="956"/>
      <c r="F555" s="956"/>
      <c r="G555" s="956"/>
      <c r="H555" s="956"/>
      <c r="I555" s="956"/>
      <c r="J555" s="956"/>
      <c r="K555" s="956"/>
      <c r="L555" s="956"/>
      <c r="M555" s="956"/>
      <c r="N555" s="956"/>
      <c r="O555" s="958"/>
      <c r="P555" s="958"/>
      <c r="Q555" s="958"/>
      <c r="R555" s="958"/>
      <c r="S555" s="958"/>
      <c r="T555" s="958"/>
      <c r="U555" s="958"/>
      <c r="V555" s="958"/>
      <c r="W555" s="958"/>
      <c r="X555" s="958"/>
      <c r="Y555" s="958"/>
      <c r="Z555" s="958"/>
    </row>
    <row r="556" ht="35.25" customHeight="1">
      <c r="A556" s="1019"/>
      <c r="B556" s="956"/>
      <c r="C556" s="956"/>
      <c r="D556" s="957"/>
      <c r="E556" s="956"/>
      <c r="F556" s="956"/>
      <c r="G556" s="956"/>
      <c r="H556" s="956"/>
      <c r="I556" s="956"/>
      <c r="J556" s="956"/>
      <c r="K556" s="956"/>
      <c r="L556" s="956"/>
      <c r="M556" s="956"/>
      <c r="N556" s="956"/>
      <c r="O556" s="958"/>
      <c r="P556" s="958"/>
      <c r="Q556" s="958"/>
      <c r="R556" s="958"/>
      <c r="S556" s="958"/>
      <c r="T556" s="958"/>
      <c r="U556" s="958"/>
      <c r="V556" s="958"/>
      <c r="W556" s="958"/>
      <c r="X556" s="958"/>
      <c r="Y556" s="958"/>
      <c r="Z556" s="958"/>
    </row>
    <row r="557" ht="35.25" customHeight="1">
      <c r="A557" s="1019"/>
      <c r="B557" s="956"/>
      <c r="C557" s="956"/>
      <c r="D557" s="957"/>
      <c r="E557" s="956"/>
      <c r="F557" s="956"/>
      <c r="G557" s="956"/>
      <c r="H557" s="956"/>
      <c r="I557" s="956"/>
      <c r="J557" s="956"/>
      <c r="K557" s="956"/>
      <c r="L557" s="956"/>
      <c r="M557" s="956"/>
      <c r="N557" s="956"/>
      <c r="O557" s="958"/>
      <c r="P557" s="958"/>
      <c r="Q557" s="958"/>
      <c r="R557" s="958"/>
      <c r="S557" s="958"/>
      <c r="T557" s="958"/>
      <c r="U557" s="958"/>
      <c r="V557" s="958"/>
      <c r="W557" s="958"/>
      <c r="X557" s="958"/>
      <c r="Y557" s="958"/>
      <c r="Z557" s="958"/>
    </row>
    <row r="558" ht="35.25" customHeight="1">
      <c r="A558" s="1019"/>
      <c r="B558" s="956"/>
      <c r="C558" s="956"/>
      <c r="D558" s="957"/>
      <c r="E558" s="956"/>
      <c r="F558" s="956"/>
      <c r="G558" s="956"/>
      <c r="H558" s="956"/>
      <c r="I558" s="956"/>
      <c r="J558" s="956"/>
      <c r="K558" s="956"/>
      <c r="L558" s="956"/>
      <c r="M558" s="956"/>
      <c r="N558" s="956"/>
      <c r="O558" s="958"/>
      <c r="P558" s="958"/>
      <c r="Q558" s="958"/>
      <c r="R558" s="958"/>
      <c r="S558" s="958"/>
      <c r="T558" s="958"/>
      <c r="U558" s="958"/>
      <c r="V558" s="958"/>
      <c r="W558" s="958"/>
      <c r="X558" s="958"/>
      <c r="Y558" s="958"/>
      <c r="Z558" s="958"/>
    </row>
    <row r="559" ht="35.25" customHeight="1">
      <c r="A559" s="1019"/>
      <c r="B559" s="956"/>
      <c r="C559" s="956"/>
      <c r="D559" s="957"/>
      <c r="E559" s="956"/>
      <c r="F559" s="956"/>
      <c r="G559" s="956"/>
      <c r="H559" s="956"/>
      <c r="I559" s="956"/>
      <c r="J559" s="956"/>
      <c r="K559" s="956"/>
      <c r="L559" s="956"/>
      <c r="M559" s="956"/>
      <c r="N559" s="956"/>
      <c r="O559" s="958"/>
      <c r="P559" s="958"/>
      <c r="Q559" s="958"/>
      <c r="R559" s="958"/>
      <c r="S559" s="958"/>
      <c r="T559" s="958"/>
      <c r="U559" s="958"/>
      <c r="V559" s="958"/>
      <c r="W559" s="958"/>
      <c r="X559" s="958"/>
      <c r="Y559" s="958"/>
      <c r="Z559" s="958"/>
    </row>
    <row r="560" ht="35.25" customHeight="1">
      <c r="A560" s="1019"/>
      <c r="B560" s="956"/>
      <c r="C560" s="956"/>
      <c r="D560" s="957"/>
      <c r="E560" s="956"/>
      <c r="F560" s="956"/>
      <c r="G560" s="956"/>
      <c r="H560" s="956"/>
      <c r="I560" s="956"/>
      <c r="J560" s="956"/>
      <c r="K560" s="956"/>
      <c r="L560" s="956"/>
      <c r="M560" s="956"/>
      <c r="N560" s="956"/>
      <c r="O560" s="958"/>
      <c r="P560" s="958"/>
      <c r="Q560" s="958"/>
      <c r="R560" s="958"/>
      <c r="S560" s="958"/>
      <c r="T560" s="958"/>
      <c r="U560" s="958"/>
      <c r="V560" s="958"/>
      <c r="W560" s="958"/>
      <c r="X560" s="958"/>
      <c r="Y560" s="958"/>
      <c r="Z560" s="958"/>
    </row>
    <row r="561" ht="35.25" customHeight="1">
      <c r="A561" s="1019"/>
      <c r="B561" s="956"/>
      <c r="C561" s="956"/>
      <c r="D561" s="957"/>
      <c r="E561" s="956"/>
      <c r="F561" s="956"/>
      <c r="G561" s="956"/>
      <c r="H561" s="956"/>
      <c r="I561" s="956"/>
      <c r="J561" s="956"/>
      <c r="K561" s="956"/>
      <c r="L561" s="956"/>
      <c r="M561" s="956"/>
      <c r="N561" s="956"/>
      <c r="O561" s="958"/>
      <c r="P561" s="958"/>
      <c r="Q561" s="958"/>
      <c r="R561" s="958"/>
      <c r="S561" s="958"/>
      <c r="T561" s="958"/>
      <c r="U561" s="958"/>
      <c r="V561" s="958"/>
      <c r="W561" s="958"/>
      <c r="X561" s="958"/>
      <c r="Y561" s="958"/>
      <c r="Z561" s="958"/>
    </row>
    <row r="562" ht="35.25" customHeight="1">
      <c r="A562" s="1019"/>
      <c r="B562" s="956"/>
      <c r="C562" s="956"/>
      <c r="D562" s="957"/>
      <c r="E562" s="956"/>
      <c r="F562" s="956"/>
      <c r="G562" s="956"/>
      <c r="H562" s="956"/>
      <c r="I562" s="956"/>
      <c r="J562" s="956"/>
      <c r="K562" s="956"/>
      <c r="L562" s="956"/>
      <c r="M562" s="956"/>
      <c r="N562" s="956"/>
      <c r="O562" s="958"/>
      <c r="P562" s="958"/>
      <c r="Q562" s="958"/>
      <c r="R562" s="958"/>
      <c r="S562" s="958"/>
      <c r="T562" s="958"/>
      <c r="U562" s="958"/>
      <c r="V562" s="958"/>
      <c r="W562" s="958"/>
      <c r="X562" s="958"/>
      <c r="Y562" s="958"/>
      <c r="Z562" s="958"/>
    </row>
    <row r="563" ht="35.25" customHeight="1">
      <c r="A563" s="1019"/>
      <c r="B563" s="956"/>
      <c r="C563" s="956"/>
      <c r="D563" s="957"/>
      <c r="E563" s="956"/>
      <c r="F563" s="956"/>
      <c r="G563" s="956"/>
      <c r="H563" s="956"/>
      <c r="I563" s="956"/>
      <c r="J563" s="956"/>
      <c r="K563" s="956"/>
      <c r="L563" s="956"/>
      <c r="M563" s="956"/>
      <c r="N563" s="956"/>
      <c r="O563" s="958"/>
      <c r="P563" s="958"/>
      <c r="Q563" s="958"/>
      <c r="R563" s="958"/>
      <c r="S563" s="958"/>
      <c r="T563" s="958"/>
      <c r="U563" s="958"/>
      <c r="V563" s="958"/>
      <c r="W563" s="958"/>
      <c r="X563" s="958"/>
      <c r="Y563" s="958"/>
      <c r="Z563" s="958"/>
    </row>
    <row r="564" ht="35.25" customHeight="1">
      <c r="A564" s="1019"/>
      <c r="B564" s="956"/>
      <c r="C564" s="956"/>
      <c r="D564" s="957"/>
      <c r="E564" s="956"/>
      <c r="F564" s="956"/>
      <c r="G564" s="956"/>
      <c r="H564" s="956"/>
      <c r="I564" s="956"/>
      <c r="J564" s="956"/>
      <c r="K564" s="956"/>
      <c r="L564" s="956"/>
      <c r="M564" s="956"/>
      <c r="N564" s="956"/>
      <c r="O564" s="958"/>
      <c r="P564" s="958"/>
      <c r="Q564" s="958"/>
      <c r="R564" s="958"/>
      <c r="S564" s="958"/>
      <c r="T564" s="958"/>
      <c r="U564" s="958"/>
      <c r="V564" s="958"/>
      <c r="W564" s="958"/>
      <c r="X564" s="958"/>
      <c r="Y564" s="958"/>
      <c r="Z564" s="958"/>
    </row>
    <row r="565" ht="35.25" customHeight="1">
      <c r="A565" s="1019"/>
      <c r="B565" s="956"/>
      <c r="C565" s="956"/>
      <c r="D565" s="957"/>
      <c r="E565" s="956"/>
      <c r="F565" s="956"/>
      <c r="G565" s="956"/>
      <c r="H565" s="956"/>
      <c r="I565" s="956"/>
      <c r="J565" s="956"/>
      <c r="K565" s="956"/>
      <c r="L565" s="956"/>
      <c r="M565" s="956"/>
      <c r="N565" s="956"/>
      <c r="O565" s="958"/>
      <c r="P565" s="958"/>
      <c r="Q565" s="958"/>
      <c r="R565" s="958"/>
      <c r="S565" s="958"/>
      <c r="T565" s="958"/>
      <c r="U565" s="958"/>
      <c r="V565" s="958"/>
      <c r="W565" s="958"/>
      <c r="X565" s="958"/>
      <c r="Y565" s="958"/>
      <c r="Z565" s="958"/>
    </row>
    <row r="566" ht="35.25" customHeight="1">
      <c r="A566" s="1019"/>
      <c r="B566" s="956"/>
      <c r="C566" s="956"/>
      <c r="D566" s="957"/>
      <c r="E566" s="956"/>
      <c r="F566" s="956"/>
      <c r="G566" s="956"/>
      <c r="H566" s="956"/>
      <c r="I566" s="956"/>
      <c r="J566" s="956"/>
      <c r="K566" s="956"/>
      <c r="L566" s="956"/>
      <c r="M566" s="956"/>
      <c r="N566" s="956"/>
      <c r="O566" s="958"/>
      <c r="P566" s="958"/>
      <c r="Q566" s="958"/>
      <c r="R566" s="958"/>
      <c r="S566" s="958"/>
      <c r="T566" s="958"/>
      <c r="U566" s="958"/>
      <c r="V566" s="958"/>
      <c r="W566" s="958"/>
      <c r="X566" s="958"/>
      <c r="Y566" s="958"/>
      <c r="Z566" s="958"/>
    </row>
    <row r="567" ht="35.25" customHeight="1">
      <c r="A567" s="1019"/>
      <c r="B567" s="956"/>
      <c r="C567" s="956"/>
      <c r="D567" s="957"/>
      <c r="E567" s="956"/>
      <c r="F567" s="956"/>
      <c r="G567" s="956"/>
      <c r="H567" s="956"/>
      <c r="I567" s="956"/>
      <c r="J567" s="956"/>
      <c r="K567" s="956"/>
      <c r="L567" s="956"/>
      <c r="M567" s="956"/>
      <c r="N567" s="956"/>
      <c r="O567" s="958"/>
      <c r="P567" s="958"/>
      <c r="Q567" s="958"/>
      <c r="R567" s="958"/>
      <c r="S567" s="958"/>
      <c r="T567" s="958"/>
      <c r="U567" s="958"/>
      <c r="V567" s="958"/>
      <c r="W567" s="958"/>
      <c r="X567" s="958"/>
      <c r="Y567" s="958"/>
      <c r="Z567" s="958"/>
    </row>
    <row r="568" ht="35.25" customHeight="1">
      <c r="A568" s="1019"/>
      <c r="B568" s="956"/>
      <c r="C568" s="956"/>
      <c r="D568" s="957"/>
      <c r="E568" s="956"/>
      <c r="F568" s="956"/>
      <c r="G568" s="956"/>
      <c r="H568" s="956"/>
      <c r="I568" s="956"/>
      <c r="J568" s="956"/>
      <c r="K568" s="956"/>
      <c r="L568" s="956"/>
      <c r="M568" s="956"/>
      <c r="N568" s="956"/>
      <c r="O568" s="958"/>
      <c r="P568" s="958"/>
      <c r="Q568" s="958"/>
      <c r="R568" s="958"/>
      <c r="S568" s="958"/>
      <c r="T568" s="958"/>
      <c r="U568" s="958"/>
      <c r="V568" s="958"/>
      <c r="W568" s="958"/>
      <c r="X568" s="958"/>
      <c r="Y568" s="958"/>
      <c r="Z568" s="958"/>
    </row>
    <row r="569" ht="35.25" customHeight="1">
      <c r="A569" s="1019"/>
      <c r="B569" s="956"/>
      <c r="C569" s="956"/>
      <c r="D569" s="957"/>
      <c r="E569" s="956"/>
      <c r="F569" s="956"/>
      <c r="G569" s="956"/>
      <c r="H569" s="956"/>
      <c r="I569" s="956"/>
      <c r="J569" s="956"/>
      <c r="K569" s="956"/>
      <c r="L569" s="956"/>
      <c r="M569" s="956"/>
      <c r="N569" s="956"/>
      <c r="O569" s="958"/>
      <c r="P569" s="958"/>
      <c r="Q569" s="958"/>
      <c r="R569" s="958"/>
      <c r="S569" s="958"/>
      <c r="T569" s="958"/>
      <c r="U569" s="958"/>
      <c r="V569" s="958"/>
      <c r="W569" s="958"/>
      <c r="X569" s="958"/>
      <c r="Y569" s="958"/>
      <c r="Z569" s="958"/>
    </row>
    <row r="570" ht="35.25" customHeight="1">
      <c r="A570" s="1019"/>
      <c r="B570" s="956"/>
      <c r="C570" s="956"/>
      <c r="D570" s="957"/>
      <c r="E570" s="956"/>
      <c r="F570" s="956"/>
      <c r="G570" s="956"/>
      <c r="H570" s="956"/>
      <c r="I570" s="956"/>
      <c r="J570" s="956"/>
      <c r="K570" s="956"/>
      <c r="L570" s="956"/>
      <c r="M570" s="956"/>
      <c r="N570" s="956"/>
      <c r="O570" s="958"/>
      <c r="P570" s="958"/>
      <c r="Q570" s="958"/>
      <c r="R570" s="958"/>
      <c r="S570" s="958"/>
      <c r="T570" s="958"/>
      <c r="U570" s="958"/>
      <c r="V570" s="958"/>
      <c r="W570" s="958"/>
      <c r="X570" s="958"/>
      <c r="Y570" s="958"/>
      <c r="Z570" s="958"/>
    </row>
    <row r="571" ht="35.25" customHeight="1">
      <c r="A571" s="1019"/>
      <c r="B571" s="956"/>
      <c r="C571" s="956"/>
      <c r="D571" s="957"/>
      <c r="E571" s="956"/>
      <c r="F571" s="956"/>
      <c r="G571" s="956"/>
      <c r="H571" s="956"/>
      <c r="I571" s="956"/>
      <c r="J571" s="956"/>
      <c r="K571" s="956"/>
      <c r="L571" s="956"/>
      <c r="M571" s="956"/>
      <c r="N571" s="956"/>
      <c r="O571" s="958"/>
      <c r="P571" s="958"/>
      <c r="Q571" s="958"/>
      <c r="R571" s="958"/>
      <c r="S571" s="958"/>
      <c r="T571" s="958"/>
      <c r="U571" s="958"/>
      <c r="V571" s="958"/>
      <c r="W571" s="958"/>
      <c r="X571" s="958"/>
      <c r="Y571" s="958"/>
      <c r="Z571" s="958"/>
    </row>
    <row r="572" ht="35.25" customHeight="1">
      <c r="A572" s="1019"/>
      <c r="B572" s="956"/>
      <c r="C572" s="956"/>
      <c r="D572" s="957"/>
      <c r="E572" s="956"/>
      <c r="F572" s="956"/>
      <c r="G572" s="956"/>
      <c r="H572" s="956"/>
      <c r="I572" s="956"/>
      <c r="J572" s="956"/>
      <c r="K572" s="956"/>
      <c r="L572" s="956"/>
      <c r="M572" s="956"/>
      <c r="N572" s="956"/>
      <c r="O572" s="958"/>
      <c r="P572" s="958"/>
      <c r="Q572" s="958"/>
      <c r="R572" s="958"/>
      <c r="S572" s="958"/>
      <c r="T572" s="958"/>
      <c r="U572" s="958"/>
      <c r="V572" s="958"/>
      <c r="W572" s="958"/>
      <c r="X572" s="958"/>
      <c r="Y572" s="958"/>
      <c r="Z572" s="958"/>
    </row>
    <row r="573" ht="35.25" customHeight="1">
      <c r="A573" s="1019"/>
      <c r="B573" s="956"/>
      <c r="C573" s="956"/>
      <c r="D573" s="957"/>
      <c r="E573" s="956"/>
      <c r="F573" s="956"/>
      <c r="G573" s="956"/>
      <c r="H573" s="956"/>
      <c r="I573" s="956"/>
      <c r="J573" s="956"/>
      <c r="K573" s="956"/>
      <c r="L573" s="956"/>
      <c r="M573" s="956"/>
      <c r="N573" s="956"/>
      <c r="O573" s="958"/>
      <c r="P573" s="958"/>
      <c r="Q573" s="958"/>
      <c r="R573" s="958"/>
      <c r="S573" s="958"/>
      <c r="T573" s="958"/>
      <c r="U573" s="958"/>
      <c r="V573" s="958"/>
      <c r="W573" s="958"/>
      <c r="X573" s="958"/>
      <c r="Y573" s="958"/>
      <c r="Z573" s="958"/>
    </row>
    <row r="574" ht="35.25" customHeight="1">
      <c r="A574" s="1019"/>
      <c r="B574" s="956"/>
      <c r="C574" s="956"/>
      <c r="D574" s="957"/>
      <c r="E574" s="956"/>
      <c r="F574" s="956"/>
      <c r="G574" s="956"/>
      <c r="H574" s="956"/>
      <c r="I574" s="956"/>
      <c r="J574" s="956"/>
      <c r="K574" s="956"/>
      <c r="L574" s="956"/>
      <c r="M574" s="956"/>
      <c r="N574" s="956"/>
      <c r="O574" s="958"/>
      <c r="P574" s="958"/>
      <c r="Q574" s="958"/>
      <c r="R574" s="958"/>
      <c r="S574" s="958"/>
      <c r="T574" s="958"/>
      <c r="U574" s="958"/>
      <c r="V574" s="958"/>
      <c r="W574" s="958"/>
      <c r="X574" s="958"/>
      <c r="Y574" s="958"/>
      <c r="Z574" s="958"/>
    </row>
    <row r="575" ht="35.25" customHeight="1">
      <c r="A575" s="1019"/>
      <c r="B575" s="956"/>
      <c r="C575" s="956"/>
      <c r="D575" s="957"/>
      <c r="E575" s="956"/>
      <c r="F575" s="956"/>
      <c r="G575" s="956"/>
      <c r="H575" s="956"/>
      <c r="I575" s="956"/>
      <c r="J575" s="956"/>
      <c r="K575" s="956"/>
      <c r="L575" s="956"/>
      <c r="M575" s="956"/>
      <c r="N575" s="956"/>
      <c r="O575" s="958"/>
      <c r="P575" s="958"/>
      <c r="Q575" s="958"/>
      <c r="R575" s="958"/>
      <c r="S575" s="958"/>
      <c r="T575" s="958"/>
      <c r="U575" s="958"/>
      <c r="V575" s="958"/>
      <c r="W575" s="958"/>
      <c r="X575" s="958"/>
      <c r="Y575" s="958"/>
      <c r="Z575" s="958"/>
    </row>
    <row r="576" ht="35.25" customHeight="1">
      <c r="A576" s="1019"/>
      <c r="B576" s="956"/>
      <c r="C576" s="956"/>
      <c r="D576" s="957"/>
      <c r="E576" s="956"/>
      <c r="F576" s="956"/>
      <c r="G576" s="956"/>
      <c r="H576" s="956"/>
      <c r="I576" s="956"/>
      <c r="J576" s="956"/>
      <c r="K576" s="956"/>
      <c r="L576" s="956"/>
      <c r="M576" s="956"/>
      <c r="N576" s="956"/>
      <c r="O576" s="958"/>
      <c r="P576" s="958"/>
      <c r="Q576" s="958"/>
      <c r="R576" s="958"/>
      <c r="S576" s="958"/>
      <c r="T576" s="958"/>
      <c r="U576" s="958"/>
      <c r="V576" s="958"/>
      <c r="W576" s="958"/>
      <c r="X576" s="958"/>
      <c r="Y576" s="958"/>
      <c r="Z576" s="958"/>
    </row>
    <row r="577" ht="35.25" customHeight="1">
      <c r="A577" s="1019"/>
      <c r="B577" s="956"/>
      <c r="C577" s="956"/>
      <c r="D577" s="957"/>
      <c r="E577" s="956"/>
      <c r="F577" s="956"/>
      <c r="G577" s="956"/>
      <c r="H577" s="956"/>
      <c r="I577" s="956"/>
      <c r="J577" s="956"/>
      <c r="K577" s="956"/>
      <c r="L577" s="956"/>
      <c r="M577" s="956"/>
      <c r="N577" s="956"/>
      <c r="O577" s="958"/>
      <c r="P577" s="958"/>
      <c r="Q577" s="958"/>
      <c r="R577" s="958"/>
      <c r="S577" s="958"/>
      <c r="T577" s="958"/>
      <c r="U577" s="958"/>
      <c r="V577" s="958"/>
      <c r="W577" s="958"/>
      <c r="X577" s="958"/>
      <c r="Y577" s="958"/>
      <c r="Z577" s="958"/>
    </row>
    <row r="578" ht="35.25" customHeight="1">
      <c r="A578" s="1019"/>
      <c r="B578" s="956"/>
      <c r="C578" s="956"/>
      <c r="D578" s="957"/>
      <c r="E578" s="956"/>
      <c r="F578" s="956"/>
      <c r="G578" s="956"/>
      <c r="H578" s="956"/>
      <c r="I578" s="956"/>
      <c r="J578" s="956"/>
      <c r="K578" s="956"/>
      <c r="L578" s="956"/>
      <c r="M578" s="956"/>
      <c r="N578" s="956"/>
      <c r="O578" s="958"/>
      <c r="P578" s="958"/>
      <c r="Q578" s="958"/>
      <c r="R578" s="958"/>
      <c r="S578" s="958"/>
      <c r="T578" s="958"/>
      <c r="U578" s="958"/>
      <c r="V578" s="958"/>
      <c r="W578" s="958"/>
      <c r="X578" s="958"/>
      <c r="Y578" s="958"/>
      <c r="Z578" s="958"/>
    </row>
    <row r="579" ht="35.25" customHeight="1">
      <c r="A579" s="1019"/>
      <c r="B579" s="956"/>
      <c r="C579" s="956"/>
      <c r="D579" s="957"/>
      <c r="E579" s="956"/>
      <c r="F579" s="956"/>
      <c r="G579" s="956"/>
      <c r="H579" s="956"/>
      <c r="I579" s="956"/>
      <c r="J579" s="956"/>
      <c r="K579" s="956"/>
      <c r="L579" s="956"/>
      <c r="M579" s="956"/>
      <c r="N579" s="956"/>
      <c r="O579" s="958"/>
      <c r="P579" s="958"/>
      <c r="Q579" s="958"/>
      <c r="R579" s="958"/>
      <c r="S579" s="958"/>
      <c r="T579" s="958"/>
      <c r="U579" s="958"/>
      <c r="V579" s="958"/>
      <c r="W579" s="958"/>
      <c r="X579" s="958"/>
      <c r="Y579" s="958"/>
      <c r="Z579" s="958"/>
    </row>
    <row r="580" ht="35.25" customHeight="1">
      <c r="A580" s="1019"/>
      <c r="B580" s="956"/>
      <c r="C580" s="956"/>
      <c r="D580" s="957"/>
      <c r="E580" s="956"/>
      <c r="F580" s="956"/>
      <c r="G580" s="956"/>
      <c r="H580" s="956"/>
      <c r="I580" s="956"/>
      <c r="J580" s="956"/>
      <c r="K580" s="956"/>
      <c r="L580" s="956"/>
      <c r="M580" s="956"/>
      <c r="N580" s="956"/>
      <c r="O580" s="958"/>
      <c r="P580" s="958"/>
      <c r="Q580" s="958"/>
      <c r="R580" s="958"/>
      <c r="S580" s="958"/>
      <c r="T580" s="958"/>
      <c r="U580" s="958"/>
      <c r="V580" s="958"/>
      <c r="W580" s="958"/>
      <c r="X580" s="958"/>
      <c r="Y580" s="958"/>
      <c r="Z580" s="958"/>
    </row>
    <row r="581" ht="35.25" customHeight="1">
      <c r="A581" s="1019"/>
      <c r="B581" s="956"/>
      <c r="C581" s="956"/>
      <c r="D581" s="957"/>
      <c r="E581" s="956"/>
      <c r="F581" s="956"/>
      <c r="G581" s="956"/>
      <c r="H581" s="956"/>
      <c r="I581" s="956"/>
      <c r="J581" s="956"/>
      <c r="K581" s="956"/>
      <c r="L581" s="956"/>
      <c r="M581" s="956"/>
      <c r="N581" s="956"/>
      <c r="O581" s="958"/>
      <c r="P581" s="958"/>
      <c r="Q581" s="958"/>
      <c r="R581" s="958"/>
      <c r="S581" s="958"/>
      <c r="T581" s="958"/>
      <c r="U581" s="958"/>
      <c r="V581" s="958"/>
      <c r="W581" s="958"/>
      <c r="X581" s="958"/>
      <c r="Y581" s="958"/>
      <c r="Z581" s="958"/>
    </row>
    <row r="582" ht="35.25" customHeight="1">
      <c r="A582" s="1019"/>
      <c r="B582" s="956"/>
      <c r="C582" s="956"/>
      <c r="D582" s="957"/>
      <c r="E582" s="956"/>
      <c r="F582" s="956"/>
      <c r="G582" s="956"/>
      <c r="H582" s="956"/>
      <c r="I582" s="956"/>
      <c r="J582" s="956"/>
      <c r="K582" s="956"/>
      <c r="L582" s="956"/>
      <c r="M582" s="956"/>
      <c r="N582" s="956"/>
      <c r="O582" s="958"/>
      <c r="P582" s="958"/>
      <c r="Q582" s="958"/>
      <c r="R582" s="958"/>
      <c r="S582" s="958"/>
      <c r="T582" s="958"/>
      <c r="U582" s="958"/>
      <c r="V582" s="958"/>
      <c r="W582" s="958"/>
      <c r="X582" s="958"/>
      <c r="Y582" s="958"/>
      <c r="Z582" s="958"/>
    </row>
    <row r="583" ht="35.25" customHeight="1">
      <c r="A583" s="1019"/>
      <c r="B583" s="956"/>
      <c r="C583" s="956"/>
      <c r="D583" s="957"/>
      <c r="E583" s="956"/>
      <c r="F583" s="956"/>
      <c r="G583" s="956"/>
      <c r="H583" s="956"/>
      <c r="I583" s="956"/>
      <c r="J583" s="956"/>
      <c r="K583" s="956"/>
      <c r="L583" s="956"/>
      <c r="M583" s="956"/>
      <c r="N583" s="956"/>
      <c r="O583" s="958"/>
      <c r="P583" s="958"/>
      <c r="Q583" s="958"/>
      <c r="R583" s="958"/>
      <c r="S583" s="958"/>
      <c r="T583" s="958"/>
      <c r="U583" s="958"/>
      <c r="V583" s="958"/>
      <c r="W583" s="958"/>
      <c r="X583" s="958"/>
      <c r="Y583" s="958"/>
      <c r="Z583" s="958"/>
    </row>
    <row r="584" ht="35.25" customHeight="1">
      <c r="A584" s="1019"/>
      <c r="B584" s="956"/>
      <c r="C584" s="956"/>
      <c r="D584" s="957"/>
      <c r="E584" s="956"/>
      <c r="F584" s="956"/>
      <c r="G584" s="956"/>
      <c r="H584" s="956"/>
      <c r="I584" s="956"/>
      <c r="J584" s="956"/>
      <c r="K584" s="956"/>
      <c r="L584" s="956"/>
      <c r="M584" s="956"/>
      <c r="N584" s="956"/>
      <c r="O584" s="958"/>
      <c r="P584" s="958"/>
      <c r="Q584" s="958"/>
      <c r="R584" s="958"/>
      <c r="S584" s="958"/>
      <c r="T584" s="958"/>
      <c r="U584" s="958"/>
      <c r="V584" s="958"/>
      <c r="W584" s="958"/>
      <c r="X584" s="958"/>
      <c r="Y584" s="958"/>
      <c r="Z584" s="958"/>
    </row>
    <row r="585" ht="35.25" customHeight="1">
      <c r="A585" s="1019"/>
      <c r="B585" s="956"/>
      <c r="C585" s="956"/>
      <c r="D585" s="957"/>
      <c r="E585" s="956"/>
      <c r="F585" s="956"/>
      <c r="G585" s="956"/>
      <c r="H585" s="956"/>
      <c r="I585" s="956"/>
      <c r="J585" s="956"/>
      <c r="K585" s="956"/>
      <c r="L585" s="956"/>
      <c r="M585" s="956"/>
      <c r="N585" s="956"/>
      <c r="O585" s="958"/>
      <c r="P585" s="958"/>
      <c r="Q585" s="958"/>
      <c r="R585" s="958"/>
      <c r="S585" s="958"/>
      <c r="T585" s="958"/>
      <c r="U585" s="958"/>
      <c r="V585" s="958"/>
      <c r="W585" s="958"/>
      <c r="X585" s="958"/>
      <c r="Y585" s="958"/>
      <c r="Z585" s="958"/>
    </row>
    <row r="586" ht="35.25" customHeight="1">
      <c r="A586" s="1019"/>
      <c r="B586" s="956"/>
      <c r="C586" s="956"/>
      <c r="D586" s="957"/>
      <c r="E586" s="956"/>
      <c r="F586" s="956"/>
      <c r="G586" s="956"/>
      <c r="H586" s="956"/>
      <c r="I586" s="956"/>
      <c r="J586" s="956"/>
      <c r="K586" s="956"/>
      <c r="L586" s="956"/>
      <c r="M586" s="956"/>
      <c r="N586" s="956"/>
      <c r="O586" s="958"/>
      <c r="P586" s="958"/>
      <c r="Q586" s="958"/>
      <c r="R586" s="958"/>
      <c r="S586" s="958"/>
      <c r="T586" s="958"/>
      <c r="U586" s="958"/>
      <c r="V586" s="958"/>
      <c r="W586" s="958"/>
      <c r="X586" s="958"/>
      <c r="Y586" s="958"/>
      <c r="Z586" s="958"/>
    </row>
    <row r="587" ht="35.25" customHeight="1">
      <c r="A587" s="1019"/>
      <c r="B587" s="956"/>
      <c r="C587" s="956"/>
      <c r="D587" s="957"/>
      <c r="E587" s="956"/>
      <c r="F587" s="956"/>
      <c r="G587" s="956"/>
      <c r="H587" s="956"/>
      <c r="I587" s="956"/>
      <c r="J587" s="956"/>
      <c r="K587" s="956"/>
      <c r="L587" s="956"/>
      <c r="M587" s="956"/>
      <c r="N587" s="956"/>
      <c r="O587" s="958"/>
      <c r="P587" s="958"/>
      <c r="Q587" s="958"/>
      <c r="R587" s="958"/>
      <c r="S587" s="958"/>
      <c r="T587" s="958"/>
      <c r="U587" s="958"/>
      <c r="V587" s="958"/>
      <c r="W587" s="958"/>
      <c r="X587" s="958"/>
      <c r="Y587" s="958"/>
      <c r="Z587" s="958"/>
    </row>
    <row r="588" ht="35.25" customHeight="1">
      <c r="A588" s="1019"/>
      <c r="B588" s="956"/>
      <c r="C588" s="956"/>
      <c r="D588" s="957"/>
      <c r="E588" s="956"/>
      <c r="F588" s="956"/>
      <c r="G588" s="956"/>
      <c r="H588" s="956"/>
      <c r="I588" s="956"/>
      <c r="J588" s="956"/>
      <c r="K588" s="956"/>
      <c r="L588" s="956"/>
      <c r="M588" s="956"/>
      <c r="N588" s="956"/>
      <c r="O588" s="958"/>
      <c r="P588" s="958"/>
      <c r="Q588" s="958"/>
      <c r="R588" s="958"/>
      <c r="S588" s="958"/>
      <c r="T588" s="958"/>
      <c r="U588" s="958"/>
      <c r="V588" s="958"/>
      <c r="W588" s="958"/>
      <c r="X588" s="958"/>
      <c r="Y588" s="958"/>
      <c r="Z588" s="958"/>
    </row>
    <row r="589" ht="35.25" customHeight="1">
      <c r="A589" s="1019"/>
      <c r="B589" s="956"/>
      <c r="C589" s="956"/>
      <c r="D589" s="957"/>
      <c r="E589" s="956"/>
      <c r="F589" s="956"/>
      <c r="G589" s="956"/>
      <c r="H589" s="956"/>
      <c r="I589" s="956"/>
      <c r="J589" s="956"/>
      <c r="K589" s="956"/>
      <c r="L589" s="956"/>
      <c r="M589" s="956"/>
      <c r="N589" s="956"/>
      <c r="O589" s="958"/>
      <c r="P589" s="958"/>
      <c r="Q589" s="958"/>
      <c r="R589" s="958"/>
      <c r="S589" s="958"/>
      <c r="T589" s="958"/>
      <c r="U589" s="958"/>
      <c r="V589" s="958"/>
      <c r="W589" s="958"/>
      <c r="X589" s="958"/>
      <c r="Y589" s="958"/>
      <c r="Z589" s="958"/>
    </row>
    <row r="590" ht="35.25" customHeight="1">
      <c r="A590" s="1019"/>
      <c r="B590" s="956"/>
      <c r="C590" s="956"/>
      <c r="D590" s="957"/>
      <c r="E590" s="956"/>
      <c r="F590" s="956"/>
      <c r="G590" s="956"/>
      <c r="H590" s="956"/>
      <c r="I590" s="956"/>
      <c r="J590" s="956"/>
      <c r="K590" s="956"/>
      <c r="L590" s="956"/>
      <c r="M590" s="956"/>
      <c r="N590" s="956"/>
      <c r="O590" s="958"/>
      <c r="P590" s="958"/>
      <c r="Q590" s="958"/>
      <c r="R590" s="958"/>
      <c r="S590" s="958"/>
      <c r="T590" s="958"/>
      <c r="U590" s="958"/>
      <c r="V590" s="958"/>
      <c r="W590" s="958"/>
      <c r="X590" s="958"/>
      <c r="Y590" s="958"/>
      <c r="Z590" s="958"/>
    </row>
    <row r="591" ht="35.25" customHeight="1">
      <c r="A591" s="1019"/>
      <c r="B591" s="956"/>
      <c r="C591" s="956"/>
      <c r="D591" s="957"/>
      <c r="E591" s="956"/>
      <c r="F591" s="956"/>
      <c r="G591" s="956"/>
      <c r="H591" s="956"/>
      <c r="I591" s="956"/>
      <c r="J591" s="956"/>
      <c r="K591" s="956"/>
      <c r="L591" s="956"/>
      <c r="M591" s="956"/>
      <c r="N591" s="956"/>
      <c r="O591" s="958"/>
      <c r="P591" s="958"/>
      <c r="Q591" s="958"/>
      <c r="R591" s="958"/>
      <c r="S591" s="958"/>
      <c r="T591" s="958"/>
      <c r="U591" s="958"/>
      <c r="V591" s="958"/>
      <c r="W591" s="958"/>
      <c r="X591" s="958"/>
      <c r="Y591" s="958"/>
      <c r="Z591" s="958"/>
    </row>
    <row r="592" ht="35.25" customHeight="1">
      <c r="A592" s="1019"/>
      <c r="B592" s="956"/>
      <c r="C592" s="956"/>
      <c r="D592" s="957"/>
      <c r="E592" s="956"/>
      <c r="F592" s="956"/>
      <c r="G592" s="956"/>
      <c r="H592" s="956"/>
      <c r="I592" s="956"/>
      <c r="J592" s="956"/>
      <c r="K592" s="956"/>
      <c r="L592" s="956"/>
      <c r="M592" s="956"/>
      <c r="N592" s="956"/>
      <c r="O592" s="958"/>
      <c r="P592" s="958"/>
      <c r="Q592" s="958"/>
      <c r="R592" s="958"/>
      <c r="S592" s="958"/>
      <c r="T592" s="958"/>
      <c r="U592" s="958"/>
      <c r="V592" s="958"/>
      <c r="W592" s="958"/>
      <c r="X592" s="958"/>
      <c r="Y592" s="958"/>
      <c r="Z592" s="958"/>
    </row>
    <row r="593" ht="35.25" customHeight="1">
      <c r="A593" s="1019"/>
      <c r="B593" s="956"/>
      <c r="C593" s="956"/>
      <c r="D593" s="957"/>
      <c r="E593" s="956"/>
      <c r="F593" s="956"/>
      <c r="G593" s="956"/>
      <c r="H593" s="956"/>
      <c r="I593" s="956"/>
      <c r="J593" s="956"/>
      <c r="K593" s="956"/>
      <c r="L593" s="956"/>
      <c r="M593" s="956"/>
      <c r="N593" s="956"/>
      <c r="O593" s="958"/>
      <c r="P593" s="958"/>
      <c r="Q593" s="958"/>
      <c r="R593" s="958"/>
      <c r="S593" s="958"/>
      <c r="T593" s="958"/>
      <c r="U593" s="958"/>
      <c r="V593" s="958"/>
      <c r="W593" s="958"/>
      <c r="X593" s="958"/>
      <c r="Y593" s="958"/>
      <c r="Z593" s="958"/>
    </row>
    <row r="594" ht="35.25" customHeight="1">
      <c r="A594" s="1019"/>
      <c r="B594" s="956"/>
      <c r="C594" s="956"/>
      <c r="D594" s="957"/>
      <c r="E594" s="956"/>
      <c r="F594" s="956"/>
      <c r="G594" s="956"/>
      <c r="H594" s="956"/>
      <c r="I594" s="956"/>
      <c r="J594" s="956"/>
      <c r="K594" s="956"/>
      <c r="L594" s="956"/>
      <c r="M594" s="956"/>
      <c r="N594" s="956"/>
      <c r="O594" s="958"/>
      <c r="P594" s="958"/>
      <c r="Q594" s="958"/>
      <c r="R594" s="958"/>
      <c r="S594" s="958"/>
      <c r="T594" s="958"/>
      <c r="U594" s="958"/>
      <c r="V594" s="958"/>
      <c r="W594" s="958"/>
      <c r="X594" s="958"/>
      <c r="Y594" s="958"/>
      <c r="Z594" s="958"/>
    </row>
    <row r="595" ht="35.25" customHeight="1">
      <c r="A595" s="1019"/>
      <c r="B595" s="956"/>
      <c r="C595" s="956"/>
      <c r="D595" s="957"/>
      <c r="E595" s="956"/>
      <c r="F595" s="956"/>
      <c r="G595" s="956"/>
      <c r="H595" s="956"/>
      <c r="I595" s="956"/>
      <c r="J595" s="956"/>
      <c r="K595" s="956"/>
      <c r="L595" s="956"/>
      <c r="M595" s="956"/>
      <c r="N595" s="956"/>
      <c r="O595" s="958"/>
      <c r="P595" s="958"/>
      <c r="Q595" s="958"/>
      <c r="R595" s="958"/>
      <c r="S595" s="958"/>
      <c r="T595" s="958"/>
      <c r="U595" s="958"/>
      <c r="V595" s="958"/>
      <c r="W595" s="958"/>
      <c r="X595" s="958"/>
      <c r="Y595" s="958"/>
      <c r="Z595" s="958"/>
    </row>
    <row r="596" ht="35.25" customHeight="1">
      <c r="A596" s="1019"/>
      <c r="B596" s="956"/>
      <c r="C596" s="956"/>
      <c r="D596" s="957"/>
      <c r="E596" s="956"/>
      <c r="F596" s="956"/>
      <c r="G596" s="956"/>
      <c r="H596" s="956"/>
      <c r="I596" s="956"/>
      <c r="J596" s="956"/>
      <c r="K596" s="956"/>
      <c r="L596" s="956"/>
      <c r="M596" s="956"/>
      <c r="N596" s="956"/>
      <c r="O596" s="958"/>
      <c r="P596" s="958"/>
      <c r="Q596" s="958"/>
      <c r="R596" s="958"/>
      <c r="S596" s="958"/>
      <c r="T596" s="958"/>
      <c r="U596" s="958"/>
      <c r="V596" s="958"/>
      <c r="W596" s="958"/>
      <c r="X596" s="958"/>
      <c r="Y596" s="958"/>
      <c r="Z596" s="958"/>
    </row>
    <row r="597" ht="35.25" customHeight="1">
      <c r="A597" s="1019"/>
      <c r="B597" s="956"/>
      <c r="C597" s="956"/>
      <c r="D597" s="957"/>
      <c r="E597" s="956"/>
      <c r="F597" s="956"/>
      <c r="G597" s="956"/>
      <c r="H597" s="956"/>
      <c r="I597" s="956"/>
      <c r="J597" s="956"/>
      <c r="K597" s="956"/>
      <c r="L597" s="956"/>
      <c r="M597" s="956"/>
      <c r="N597" s="956"/>
      <c r="O597" s="958"/>
      <c r="P597" s="958"/>
      <c r="Q597" s="958"/>
      <c r="R597" s="958"/>
      <c r="S597" s="958"/>
      <c r="T597" s="958"/>
      <c r="U597" s="958"/>
      <c r="V597" s="958"/>
      <c r="W597" s="958"/>
      <c r="X597" s="958"/>
      <c r="Y597" s="958"/>
      <c r="Z597" s="958"/>
    </row>
    <row r="598" ht="35.25" customHeight="1">
      <c r="A598" s="1019"/>
      <c r="B598" s="956"/>
      <c r="C598" s="956"/>
      <c r="D598" s="957"/>
      <c r="E598" s="956"/>
      <c r="F598" s="956"/>
      <c r="G598" s="956"/>
      <c r="H598" s="956"/>
      <c r="I598" s="956"/>
      <c r="J598" s="956"/>
      <c r="K598" s="956"/>
      <c r="L598" s="956"/>
      <c r="M598" s="956"/>
      <c r="N598" s="956"/>
      <c r="O598" s="958"/>
      <c r="P598" s="958"/>
      <c r="Q598" s="958"/>
      <c r="R598" s="958"/>
      <c r="S598" s="958"/>
      <c r="T598" s="958"/>
      <c r="U598" s="958"/>
      <c r="V598" s="958"/>
      <c r="W598" s="958"/>
      <c r="X598" s="958"/>
      <c r="Y598" s="958"/>
      <c r="Z598" s="958"/>
    </row>
    <row r="599" ht="35.25" customHeight="1">
      <c r="A599" s="1019"/>
      <c r="B599" s="956"/>
      <c r="C599" s="956"/>
      <c r="D599" s="957"/>
      <c r="E599" s="956"/>
      <c r="F599" s="956"/>
      <c r="G599" s="956"/>
      <c r="H599" s="956"/>
      <c r="I599" s="956"/>
      <c r="J599" s="956"/>
      <c r="K599" s="956"/>
      <c r="L599" s="956"/>
      <c r="M599" s="956"/>
      <c r="N599" s="956"/>
      <c r="O599" s="958"/>
      <c r="P599" s="958"/>
      <c r="Q599" s="958"/>
      <c r="R599" s="958"/>
      <c r="S599" s="958"/>
      <c r="T599" s="958"/>
      <c r="U599" s="958"/>
      <c r="V599" s="958"/>
      <c r="W599" s="958"/>
      <c r="X599" s="958"/>
      <c r="Y599" s="958"/>
      <c r="Z599" s="958"/>
    </row>
    <row r="600" ht="35.25" customHeight="1">
      <c r="A600" s="1019"/>
      <c r="B600" s="956"/>
      <c r="C600" s="956"/>
      <c r="D600" s="957"/>
      <c r="E600" s="956"/>
      <c r="F600" s="956"/>
      <c r="G600" s="956"/>
      <c r="H600" s="956"/>
      <c r="I600" s="956"/>
      <c r="J600" s="956"/>
      <c r="K600" s="956"/>
      <c r="L600" s="956"/>
      <c r="M600" s="956"/>
      <c r="N600" s="956"/>
      <c r="O600" s="958"/>
      <c r="P600" s="958"/>
      <c r="Q600" s="958"/>
      <c r="R600" s="958"/>
      <c r="S600" s="958"/>
      <c r="T600" s="958"/>
      <c r="U600" s="958"/>
      <c r="V600" s="958"/>
      <c r="W600" s="958"/>
      <c r="X600" s="958"/>
      <c r="Y600" s="958"/>
      <c r="Z600" s="958"/>
    </row>
    <row r="601" ht="35.25" customHeight="1">
      <c r="A601" s="1019"/>
      <c r="B601" s="956"/>
      <c r="C601" s="956"/>
      <c r="D601" s="957"/>
      <c r="E601" s="956"/>
      <c r="F601" s="956"/>
      <c r="G601" s="956"/>
      <c r="H601" s="956"/>
      <c r="I601" s="956"/>
      <c r="J601" s="956"/>
      <c r="K601" s="956"/>
      <c r="L601" s="956"/>
      <c r="M601" s="956"/>
      <c r="N601" s="956"/>
      <c r="O601" s="958"/>
      <c r="P601" s="958"/>
      <c r="Q601" s="958"/>
      <c r="R601" s="958"/>
      <c r="S601" s="958"/>
      <c r="T601" s="958"/>
      <c r="U601" s="958"/>
      <c r="V601" s="958"/>
      <c r="W601" s="958"/>
      <c r="X601" s="958"/>
      <c r="Y601" s="958"/>
      <c r="Z601" s="958"/>
    </row>
    <row r="602" ht="35.25" customHeight="1">
      <c r="A602" s="1019"/>
      <c r="B602" s="956"/>
      <c r="C602" s="956"/>
      <c r="D602" s="957"/>
      <c r="E602" s="956"/>
      <c r="F602" s="956"/>
      <c r="G602" s="956"/>
      <c r="H602" s="956"/>
      <c r="I602" s="956"/>
      <c r="J602" s="956"/>
      <c r="K602" s="956"/>
      <c r="L602" s="956"/>
      <c r="M602" s="956"/>
      <c r="N602" s="956"/>
      <c r="O602" s="958"/>
      <c r="P602" s="958"/>
      <c r="Q602" s="958"/>
      <c r="R602" s="958"/>
      <c r="S602" s="958"/>
      <c r="T602" s="958"/>
      <c r="U602" s="958"/>
      <c r="V602" s="958"/>
      <c r="W602" s="958"/>
      <c r="X602" s="958"/>
      <c r="Y602" s="958"/>
      <c r="Z602" s="958"/>
    </row>
    <row r="603" ht="35.25" customHeight="1">
      <c r="A603" s="1019"/>
      <c r="B603" s="956"/>
      <c r="C603" s="956"/>
      <c r="D603" s="957"/>
      <c r="E603" s="956"/>
      <c r="F603" s="956"/>
      <c r="G603" s="956"/>
      <c r="H603" s="956"/>
      <c r="I603" s="956"/>
      <c r="J603" s="956"/>
      <c r="K603" s="956"/>
      <c r="L603" s="956"/>
      <c r="M603" s="956"/>
      <c r="N603" s="956"/>
      <c r="O603" s="958"/>
      <c r="P603" s="958"/>
      <c r="Q603" s="958"/>
      <c r="R603" s="958"/>
      <c r="S603" s="958"/>
      <c r="T603" s="958"/>
      <c r="U603" s="958"/>
      <c r="V603" s="958"/>
      <c r="W603" s="958"/>
      <c r="X603" s="958"/>
      <c r="Y603" s="958"/>
      <c r="Z603" s="958"/>
    </row>
    <row r="604" ht="35.25" customHeight="1">
      <c r="A604" s="1019"/>
      <c r="B604" s="956"/>
      <c r="C604" s="956"/>
      <c r="D604" s="957"/>
      <c r="E604" s="956"/>
      <c r="F604" s="956"/>
      <c r="G604" s="956"/>
      <c r="H604" s="956"/>
      <c r="I604" s="956"/>
      <c r="J604" s="956"/>
      <c r="K604" s="956"/>
      <c r="L604" s="956"/>
      <c r="M604" s="956"/>
      <c r="N604" s="956"/>
      <c r="O604" s="958"/>
      <c r="P604" s="958"/>
      <c r="Q604" s="958"/>
      <c r="R604" s="958"/>
      <c r="S604" s="958"/>
      <c r="T604" s="958"/>
      <c r="U604" s="958"/>
      <c r="V604" s="958"/>
      <c r="W604" s="958"/>
      <c r="X604" s="958"/>
      <c r="Y604" s="958"/>
      <c r="Z604" s="958"/>
    </row>
    <row r="605" ht="35.25" customHeight="1">
      <c r="A605" s="1019"/>
      <c r="B605" s="956"/>
      <c r="C605" s="956"/>
      <c r="D605" s="957"/>
      <c r="E605" s="956"/>
      <c r="F605" s="956"/>
      <c r="G605" s="956"/>
      <c r="H605" s="956"/>
      <c r="I605" s="956"/>
      <c r="J605" s="956"/>
      <c r="K605" s="956"/>
      <c r="L605" s="956"/>
      <c r="M605" s="956"/>
      <c r="N605" s="956"/>
      <c r="O605" s="958"/>
      <c r="P605" s="958"/>
      <c r="Q605" s="958"/>
      <c r="R605" s="958"/>
      <c r="S605" s="958"/>
      <c r="T605" s="958"/>
      <c r="U605" s="958"/>
      <c r="V605" s="958"/>
      <c r="W605" s="958"/>
      <c r="X605" s="958"/>
      <c r="Y605" s="958"/>
      <c r="Z605" s="958"/>
    </row>
    <row r="606" ht="35.25" customHeight="1">
      <c r="A606" s="1019"/>
      <c r="B606" s="956"/>
      <c r="C606" s="956"/>
      <c r="D606" s="957"/>
      <c r="E606" s="956"/>
      <c r="F606" s="956"/>
      <c r="G606" s="956"/>
      <c r="H606" s="956"/>
      <c r="I606" s="956"/>
      <c r="J606" s="956"/>
      <c r="K606" s="956"/>
      <c r="L606" s="956"/>
      <c r="M606" s="956"/>
      <c r="N606" s="956"/>
      <c r="O606" s="958"/>
      <c r="P606" s="958"/>
      <c r="Q606" s="958"/>
      <c r="R606" s="958"/>
      <c r="S606" s="958"/>
      <c r="T606" s="958"/>
      <c r="U606" s="958"/>
      <c r="V606" s="958"/>
      <c r="W606" s="958"/>
      <c r="X606" s="958"/>
      <c r="Y606" s="958"/>
      <c r="Z606" s="958"/>
    </row>
    <row r="607" ht="35.25" customHeight="1">
      <c r="A607" s="1019"/>
      <c r="B607" s="956"/>
      <c r="C607" s="956"/>
      <c r="D607" s="957"/>
      <c r="E607" s="956"/>
      <c r="F607" s="956"/>
      <c r="G607" s="956"/>
      <c r="H607" s="956"/>
      <c r="I607" s="956"/>
      <c r="J607" s="956"/>
      <c r="K607" s="956"/>
      <c r="L607" s="956"/>
      <c r="M607" s="956"/>
      <c r="N607" s="956"/>
      <c r="O607" s="958"/>
      <c r="P607" s="958"/>
      <c r="Q607" s="958"/>
      <c r="R607" s="958"/>
      <c r="S607" s="958"/>
      <c r="T607" s="958"/>
      <c r="U607" s="958"/>
      <c r="V607" s="958"/>
      <c r="W607" s="958"/>
      <c r="X607" s="958"/>
      <c r="Y607" s="958"/>
      <c r="Z607" s="958"/>
    </row>
    <row r="608" ht="35.25" customHeight="1">
      <c r="A608" s="1019"/>
      <c r="B608" s="956"/>
      <c r="C608" s="956"/>
      <c r="D608" s="957"/>
      <c r="E608" s="956"/>
      <c r="F608" s="956"/>
      <c r="G608" s="956"/>
      <c r="H608" s="956"/>
      <c r="I608" s="956"/>
      <c r="J608" s="956"/>
      <c r="K608" s="956"/>
      <c r="L608" s="956"/>
      <c r="M608" s="956"/>
      <c r="N608" s="956"/>
      <c r="O608" s="958"/>
      <c r="P608" s="958"/>
      <c r="Q608" s="958"/>
      <c r="R608" s="958"/>
      <c r="S608" s="958"/>
      <c r="T608" s="958"/>
      <c r="U608" s="958"/>
      <c r="V608" s="958"/>
      <c r="W608" s="958"/>
      <c r="X608" s="958"/>
      <c r="Y608" s="958"/>
      <c r="Z608" s="958"/>
    </row>
    <row r="609" ht="35.25" customHeight="1">
      <c r="A609" s="1019"/>
      <c r="B609" s="956"/>
      <c r="C609" s="956"/>
      <c r="D609" s="957"/>
      <c r="E609" s="956"/>
      <c r="F609" s="956"/>
      <c r="G609" s="956"/>
      <c r="H609" s="956"/>
      <c r="I609" s="956"/>
      <c r="J609" s="956"/>
      <c r="K609" s="956"/>
      <c r="L609" s="956"/>
      <c r="M609" s="956"/>
      <c r="N609" s="956"/>
      <c r="O609" s="958"/>
      <c r="P609" s="958"/>
      <c r="Q609" s="958"/>
      <c r="R609" s="958"/>
      <c r="S609" s="958"/>
      <c r="T609" s="958"/>
      <c r="U609" s="958"/>
      <c r="V609" s="958"/>
      <c r="W609" s="958"/>
      <c r="X609" s="958"/>
      <c r="Y609" s="958"/>
      <c r="Z609" s="958"/>
    </row>
    <row r="610" ht="35.25" customHeight="1">
      <c r="A610" s="1019"/>
      <c r="B610" s="956"/>
      <c r="C610" s="956"/>
      <c r="D610" s="957"/>
      <c r="E610" s="956"/>
      <c r="F610" s="956"/>
      <c r="G610" s="956"/>
      <c r="H610" s="956"/>
      <c r="I610" s="956"/>
      <c r="J610" s="956"/>
      <c r="K610" s="956"/>
      <c r="L610" s="956"/>
      <c r="M610" s="956"/>
      <c r="N610" s="956"/>
      <c r="O610" s="958"/>
      <c r="P610" s="958"/>
      <c r="Q610" s="958"/>
      <c r="R610" s="958"/>
      <c r="S610" s="958"/>
      <c r="T610" s="958"/>
      <c r="U610" s="958"/>
      <c r="V610" s="958"/>
      <c r="W610" s="958"/>
      <c r="X610" s="958"/>
      <c r="Y610" s="958"/>
      <c r="Z610" s="958"/>
    </row>
    <row r="611" ht="35.25" customHeight="1">
      <c r="A611" s="1019"/>
      <c r="B611" s="956"/>
      <c r="C611" s="956"/>
      <c r="D611" s="957"/>
      <c r="E611" s="956"/>
      <c r="F611" s="956"/>
      <c r="G611" s="956"/>
      <c r="H611" s="956"/>
      <c r="I611" s="956"/>
      <c r="J611" s="956"/>
      <c r="K611" s="956"/>
      <c r="L611" s="956"/>
      <c r="M611" s="956"/>
      <c r="N611" s="956"/>
      <c r="O611" s="958"/>
      <c r="P611" s="958"/>
      <c r="Q611" s="958"/>
      <c r="R611" s="958"/>
      <c r="S611" s="958"/>
      <c r="T611" s="958"/>
      <c r="U611" s="958"/>
      <c r="V611" s="958"/>
      <c r="W611" s="958"/>
      <c r="X611" s="958"/>
      <c r="Y611" s="958"/>
      <c r="Z611" s="958"/>
    </row>
    <row r="612" ht="35.25" customHeight="1">
      <c r="A612" s="1019"/>
      <c r="B612" s="956"/>
      <c r="C612" s="956"/>
      <c r="D612" s="957"/>
      <c r="E612" s="956"/>
      <c r="F612" s="956"/>
      <c r="G612" s="956"/>
      <c r="H612" s="956"/>
      <c r="I612" s="956"/>
      <c r="J612" s="956"/>
      <c r="K612" s="956"/>
      <c r="L612" s="956"/>
      <c r="M612" s="956"/>
      <c r="N612" s="956"/>
      <c r="O612" s="958"/>
      <c r="P612" s="958"/>
      <c r="Q612" s="958"/>
      <c r="R612" s="958"/>
      <c r="S612" s="958"/>
      <c r="T612" s="958"/>
      <c r="U612" s="958"/>
      <c r="V612" s="958"/>
      <c r="W612" s="958"/>
      <c r="X612" s="958"/>
      <c r="Y612" s="958"/>
      <c r="Z612" s="958"/>
    </row>
    <row r="613" ht="35.25" customHeight="1">
      <c r="A613" s="1019"/>
      <c r="B613" s="956"/>
      <c r="C613" s="956"/>
      <c r="D613" s="957"/>
      <c r="E613" s="956"/>
      <c r="F613" s="956"/>
      <c r="G613" s="956"/>
      <c r="H613" s="956"/>
      <c r="I613" s="956"/>
      <c r="J613" s="956"/>
      <c r="K613" s="956"/>
      <c r="L613" s="956"/>
      <c r="M613" s="956"/>
      <c r="N613" s="956"/>
      <c r="O613" s="958"/>
      <c r="P613" s="958"/>
      <c r="Q613" s="958"/>
      <c r="R613" s="958"/>
      <c r="S613" s="958"/>
      <c r="T613" s="958"/>
      <c r="U613" s="958"/>
      <c r="V613" s="958"/>
      <c r="W613" s="958"/>
      <c r="X613" s="958"/>
      <c r="Y613" s="958"/>
      <c r="Z613" s="958"/>
    </row>
    <row r="614" ht="35.25" customHeight="1">
      <c r="A614" s="1019"/>
      <c r="B614" s="956"/>
      <c r="C614" s="956"/>
      <c r="D614" s="957"/>
      <c r="E614" s="956"/>
      <c r="F614" s="956"/>
      <c r="G614" s="956"/>
      <c r="H614" s="956"/>
      <c r="I614" s="956"/>
      <c r="J614" s="956"/>
      <c r="K614" s="956"/>
      <c r="L614" s="956"/>
      <c r="M614" s="956"/>
      <c r="N614" s="956"/>
      <c r="O614" s="958"/>
      <c r="P614" s="958"/>
      <c r="Q614" s="958"/>
      <c r="R614" s="958"/>
      <c r="S614" s="958"/>
      <c r="T614" s="958"/>
      <c r="U614" s="958"/>
      <c r="V614" s="958"/>
      <c r="W614" s="958"/>
      <c r="X614" s="958"/>
      <c r="Y614" s="958"/>
      <c r="Z614" s="958"/>
    </row>
    <row r="615" ht="35.25" customHeight="1">
      <c r="A615" s="1019"/>
      <c r="B615" s="956"/>
      <c r="C615" s="956"/>
      <c r="D615" s="957"/>
      <c r="E615" s="956"/>
      <c r="F615" s="956"/>
      <c r="G615" s="956"/>
      <c r="H615" s="956"/>
      <c r="I615" s="956"/>
      <c r="J615" s="956"/>
      <c r="K615" s="956"/>
      <c r="L615" s="956"/>
      <c r="M615" s="956"/>
      <c r="N615" s="956"/>
      <c r="O615" s="958"/>
      <c r="P615" s="958"/>
      <c r="Q615" s="958"/>
      <c r="R615" s="958"/>
      <c r="S615" s="958"/>
      <c r="T615" s="958"/>
      <c r="U615" s="958"/>
      <c r="V615" s="958"/>
      <c r="W615" s="958"/>
      <c r="X615" s="958"/>
      <c r="Y615" s="958"/>
      <c r="Z615" s="958"/>
    </row>
    <row r="616" ht="35.25" customHeight="1">
      <c r="A616" s="1019"/>
      <c r="B616" s="956"/>
      <c r="C616" s="956"/>
      <c r="D616" s="957"/>
      <c r="E616" s="956"/>
      <c r="F616" s="956"/>
      <c r="G616" s="956"/>
      <c r="H616" s="956"/>
      <c r="I616" s="956"/>
      <c r="J616" s="956"/>
      <c r="K616" s="956"/>
      <c r="L616" s="956"/>
      <c r="M616" s="956"/>
      <c r="N616" s="956"/>
      <c r="O616" s="958"/>
      <c r="P616" s="958"/>
      <c r="Q616" s="958"/>
      <c r="R616" s="958"/>
      <c r="S616" s="958"/>
      <c r="T616" s="958"/>
      <c r="U616" s="958"/>
      <c r="V616" s="958"/>
      <c r="W616" s="958"/>
      <c r="X616" s="958"/>
      <c r="Y616" s="958"/>
      <c r="Z616" s="958"/>
    </row>
    <row r="617" ht="35.25" customHeight="1">
      <c r="A617" s="1019"/>
      <c r="B617" s="956"/>
      <c r="C617" s="956"/>
      <c r="D617" s="957"/>
      <c r="E617" s="956"/>
      <c r="F617" s="956"/>
      <c r="G617" s="956"/>
      <c r="H617" s="956"/>
      <c r="I617" s="956"/>
      <c r="J617" s="956"/>
      <c r="K617" s="956"/>
      <c r="L617" s="956"/>
      <c r="M617" s="956"/>
      <c r="N617" s="956"/>
      <c r="O617" s="958"/>
      <c r="P617" s="958"/>
      <c r="Q617" s="958"/>
      <c r="R617" s="958"/>
      <c r="S617" s="958"/>
      <c r="T617" s="958"/>
      <c r="U617" s="958"/>
      <c r="V617" s="958"/>
      <c r="W617" s="958"/>
      <c r="X617" s="958"/>
      <c r="Y617" s="958"/>
      <c r="Z617" s="958"/>
    </row>
    <row r="618" ht="35.25" customHeight="1">
      <c r="A618" s="1019"/>
      <c r="B618" s="956"/>
      <c r="C618" s="956"/>
      <c r="D618" s="957"/>
      <c r="E618" s="956"/>
      <c r="F618" s="956"/>
      <c r="G618" s="956"/>
      <c r="H618" s="956"/>
      <c r="I618" s="956"/>
      <c r="J618" s="956"/>
      <c r="K618" s="956"/>
      <c r="L618" s="956"/>
      <c r="M618" s="956"/>
      <c r="N618" s="956"/>
      <c r="O618" s="958"/>
      <c r="P618" s="958"/>
      <c r="Q618" s="958"/>
      <c r="R618" s="958"/>
      <c r="S618" s="958"/>
      <c r="T618" s="958"/>
      <c r="U618" s="958"/>
      <c r="V618" s="958"/>
      <c r="W618" s="958"/>
      <c r="X618" s="958"/>
      <c r="Y618" s="958"/>
      <c r="Z618" s="958"/>
    </row>
    <row r="619" ht="35.25" customHeight="1">
      <c r="A619" s="1019"/>
      <c r="B619" s="956"/>
      <c r="C619" s="956"/>
      <c r="D619" s="957"/>
      <c r="E619" s="956"/>
      <c r="F619" s="956"/>
      <c r="G619" s="956"/>
      <c r="H619" s="956"/>
      <c r="I619" s="956"/>
      <c r="J619" s="956"/>
      <c r="K619" s="956"/>
      <c r="L619" s="956"/>
      <c r="M619" s="956"/>
      <c r="N619" s="956"/>
      <c r="O619" s="958"/>
      <c r="P619" s="958"/>
      <c r="Q619" s="958"/>
      <c r="R619" s="958"/>
      <c r="S619" s="958"/>
      <c r="T619" s="958"/>
      <c r="U619" s="958"/>
      <c r="V619" s="958"/>
      <c r="W619" s="958"/>
      <c r="X619" s="958"/>
      <c r="Y619" s="958"/>
      <c r="Z619" s="958"/>
    </row>
    <row r="620" ht="35.25" customHeight="1">
      <c r="A620" s="1019"/>
      <c r="B620" s="956"/>
      <c r="C620" s="956"/>
      <c r="D620" s="957"/>
      <c r="E620" s="956"/>
      <c r="F620" s="956"/>
      <c r="G620" s="956"/>
      <c r="H620" s="956"/>
      <c r="I620" s="956"/>
      <c r="J620" s="956"/>
      <c r="K620" s="956"/>
      <c r="L620" s="956"/>
      <c r="M620" s="956"/>
      <c r="N620" s="956"/>
      <c r="O620" s="958"/>
      <c r="P620" s="958"/>
      <c r="Q620" s="958"/>
      <c r="R620" s="958"/>
      <c r="S620" s="958"/>
      <c r="T620" s="958"/>
      <c r="U620" s="958"/>
      <c r="V620" s="958"/>
      <c r="W620" s="958"/>
      <c r="X620" s="958"/>
      <c r="Y620" s="958"/>
      <c r="Z620" s="958"/>
    </row>
    <row r="621" ht="35.25" customHeight="1">
      <c r="A621" s="1019"/>
      <c r="B621" s="956"/>
      <c r="C621" s="956"/>
      <c r="D621" s="957"/>
      <c r="E621" s="956"/>
      <c r="F621" s="956"/>
      <c r="G621" s="956"/>
      <c r="H621" s="956"/>
      <c r="I621" s="956"/>
      <c r="J621" s="956"/>
      <c r="K621" s="956"/>
      <c r="L621" s="956"/>
      <c r="M621" s="956"/>
      <c r="N621" s="956"/>
      <c r="O621" s="958"/>
      <c r="P621" s="958"/>
      <c r="Q621" s="958"/>
      <c r="R621" s="958"/>
      <c r="S621" s="958"/>
      <c r="T621" s="958"/>
      <c r="U621" s="958"/>
      <c r="V621" s="958"/>
      <c r="W621" s="958"/>
      <c r="X621" s="958"/>
      <c r="Y621" s="958"/>
      <c r="Z621" s="958"/>
    </row>
    <row r="622" ht="35.25" customHeight="1">
      <c r="A622" s="1019"/>
      <c r="B622" s="956"/>
      <c r="C622" s="956"/>
      <c r="D622" s="957"/>
      <c r="E622" s="956"/>
      <c r="F622" s="956"/>
      <c r="G622" s="956"/>
      <c r="H622" s="956"/>
      <c r="I622" s="956"/>
      <c r="J622" s="956"/>
      <c r="K622" s="956"/>
      <c r="L622" s="956"/>
      <c r="M622" s="956"/>
      <c r="N622" s="956"/>
      <c r="O622" s="958"/>
      <c r="P622" s="958"/>
      <c r="Q622" s="958"/>
      <c r="R622" s="958"/>
      <c r="S622" s="958"/>
      <c r="T622" s="958"/>
      <c r="U622" s="958"/>
      <c r="V622" s="958"/>
      <c r="W622" s="958"/>
      <c r="X622" s="958"/>
      <c r="Y622" s="958"/>
      <c r="Z622" s="958"/>
    </row>
    <row r="623" ht="35.25" customHeight="1">
      <c r="A623" s="1019"/>
      <c r="B623" s="956"/>
      <c r="C623" s="956"/>
      <c r="D623" s="957"/>
      <c r="E623" s="956"/>
      <c r="F623" s="956"/>
      <c r="G623" s="956"/>
      <c r="H623" s="956"/>
      <c r="I623" s="956"/>
      <c r="J623" s="956"/>
      <c r="K623" s="956"/>
      <c r="L623" s="956"/>
      <c r="M623" s="956"/>
      <c r="N623" s="956"/>
      <c r="O623" s="958"/>
      <c r="P623" s="958"/>
      <c r="Q623" s="958"/>
      <c r="R623" s="958"/>
      <c r="S623" s="958"/>
      <c r="T623" s="958"/>
      <c r="U623" s="958"/>
      <c r="V623" s="958"/>
      <c r="W623" s="958"/>
      <c r="X623" s="958"/>
      <c r="Y623" s="958"/>
      <c r="Z623" s="958"/>
    </row>
    <row r="624" ht="35.25" customHeight="1">
      <c r="A624" s="1019"/>
      <c r="B624" s="956"/>
      <c r="C624" s="956"/>
      <c r="D624" s="957"/>
      <c r="E624" s="956"/>
      <c r="F624" s="956"/>
      <c r="G624" s="956"/>
      <c r="H624" s="956"/>
      <c r="I624" s="956"/>
      <c r="J624" s="956"/>
      <c r="K624" s="956"/>
      <c r="L624" s="956"/>
      <c r="M624" s="956"/>
      <c r="N624" s="956"/>
      <c r="O624" s="958"/>
      <c r="P624" s="958"/>
      <c r="Q624" s="958"/>
      <c r="R624" s="958"/>
      <c r="S624" s="958"/>
      <c r="T624" s="958"/>
      <c r="U624" s="958"/>
      <c r="V624" s="958"/>
      <c r="W624" s="958"/>
      <c r="X624" s="958"/>
      <c r="Y624" s="958"/>
      <c r="Z624" s="958"/>
    </row>
    <row r="625" ht="35.25" customHeight="1">
      <c r="A625" s="1019"/>
      <c r="B625" s="956"/>
      <c r="C625" s="956"/>
      <c r="D625" s="957"/>
      <c r="E625" s="956"/>
      <c r="F625" s="956"/>
      <c r="G625" s="956"/>
      <c r="H625" s="956"/>
      <c r="I625" s="956"/>
      <c r="J625" s="956"/>
      <c r="K625" s="956"/>
      <c r="L625" s="956"/>
      <c r="M625" s="956"/>
      <c r="N625" s="956"/>
      <c r="O625" s="958"/>
      <c r="P625" s="958"/>
      <c r="Q625" s="958"/>
      <c r="R625" s="958"/>
      <c r="S625" s="958"/>
      <c r="T625" s="958"/>
      <c r="U625" s="958"/>
      <c r="V625" s="958"/>
      <c r="W625" s="958"/>
      <c r="X625" s="958"/>
      <c r="Y625" s="958"/>
      <c r="Z625" s="958"/>
    </row>
    <row r="626" ht="35.25" customHeight="1">
      <c r="A626" s="1019"/>
      <c r="B626" s="956"/>
      <c r="C626" s="956"/>
      <c r="D626" s="957"/>
      <c r="E626" s="956"/>
      <c r="F626" s="956"/>
      <c r="G626" s="956"/>
      <c r="H626" s="956"/>
      <c r="I626" s="956"/>
      <c r="J626" s="956"/>
      <c r="K626" s="956"/>
      <c r="L626" s="956"/>
      <c r="M626" s="956"/>
      <c r="N626" s="956"/>
      <c r="O626" s="958"/>
      <c r="P626" s="958"/>
      <c r="Q626" s="958"/>
      <c r="R626" s="958"/>
      <c r="S626" s="958"/>
      <c r="T626" s="958"/>
      <c r="U626" s="958"/>
      <c r="V626" s="958"/>
      <c r="W626" s="958"/>
      <c r="X626" s="958"/>
      <c r="Y626" s="958"/>
      <c r="Z626" s="958"/>
    </row>
    <row r="627" ht="35.25" customHeight="1">
      <c r="A627" s="1019"/>
      <c r="B627" s="956"/>
      <c r="C627" s="956"/>
      <c r="D627" s="957"/>
      <c r="E627" s="956"/>
      <c r="F627" s="956"/>
      <c r="G627" s="956"/>
      <c r="H627" s="956"/>
      <c r="I627" s="956"/>
      <c r="J627" s="956"/>
      <c r="K627" s="956"/>
      <c r="L627" s="956"/>
      <c r="M627" s="956"/>
      <c r="N627" s="956"/>
      <c r="O627" s="958"/>
      <c r="P627" s="958"/>
      <c r="Q627" s="958"/>
      <c r="R627" s="958"/>
      <c r="S627" s="958"/>
      <c r="T627" s="958"/>
      <c r="U627" s="958"/>
      <c r="V627" s="958"/>
      <c r="W627" s="958"/>
      <c r="X627" s="958"/>
      <c r="Y627" s="958"/>
      <c r="Z627" s="958"/>
    </row>
    <row r="628" ht="35.25" customHeight="1">
      <c r="A628" s="1019"/>
      <c r="B628" s="956"/>
      <c r="C628" s="956"/>
      <c r="D628" s="957"/>
      <c r="E628" s="956"/>
      <c r="F628" s="956"/>
      <c r="G628" s="956"/>
      <c r="H628" s="956"/>
      <c r="I628" s="956"/>
      <c r="J628" s="956"/>
      <c r="K628" s="956"/>
      <c r="L628" s="956"/>
      <c r="M628" s="956"/>
      <c r="N628" s="956"/>
      <c r="O628" s="958"/>
      <c r="P628" s="958"/>
      <c r="Q628" s="958"/>
      <c r="R628" s="958"/>
      <c r="S628" s="958"/>
      <c r="T628" s="958"/>
      <c r="U628" s="958"/>
      <c r="V628" s="958"/>
      <c r="W628" s="958"/>
      <c r="X628" s="958"/>
      <c r="Y628" s="958"/>
      <c r="Z628" s="958"/>
    </row>
    <row r="629" ht="35.25" customHeight="1">
      <c r="A629" s="1019"/>
      <c r="B629" s="956"/>
      <c r="C629" s="956"/>
      <c r="D629" s="957"/>
      <c r="E629" s="956"/>
      <c r="F629" s="956"/>
      <c r="G629" s="956"/>
      <c r="H629" s="956"/>
      <c r="I629" s="956"/>
      <c r="J629" s="956"/>
      <c r="K629" s="956"/>
      <c r="L629" s="956"/>
      <c r="M629" s="956"/>
      <c r="N629" s="956"/>
      <c r="O629" s="958"/>
      <c r="P629" s="958"/>
      <c r="Q629" s="958"/>
      <c r="R629" s="958"/>
      <c r="S629" s="958"/>
      <c r="T629" s="958"/>
      <c r="U629" s="958"/>
      <c r="V629" s="958"/>
      <c r="W629" s="958"/>
      <c r="X629" s="958"/>
      <c r="Y629" s="958"/>
      <c r="Z629" s="958"/>
    </row>
    <row r="630" ht="35.25" customHeight="1">
      <c r="A630" s="1019"/>
      <c r="B630" s="956"/>
      <c r="C630" s="956"/>
      <c r="D630" s="957"/>
      <c r="E630" s="956"/>
      <c r="F630" s="956"/>
      <c r="G630" s="956"/>
      <c r="H630" s="956"/>
      <c r="I630" s="956"/>
      <c r="J630" s="956"/>
      <c r="K630" s="956"/>
      <c r="L630" s="956"/>
      <c r="M630" s="956"/>
      <c r="N630" s="956"/>
      <c r="O630" s="958"/>
      <c r="P630" s="958"/>
      <c r="Q630" s="958"/>
      <c r="R630" s="958"/>
      <c r="S630" s="958"/>
      <c r="T630" s="958"/>
      <c r="U630" s="958"/>
      <c r="V630" s="958"/>
      <c r="W630" s="958"/>
      <c r="X630" s="958"/>
      <c r="Y630" s="958"/>
      <c r="Z630" s="958"/>
    </row>
    <row r="631" ht="35.25" customHeight="1">
      <c r="A631" s="1019"/>
      <c r="B631" s="956"/>
      <c r="C631" s="956"/>
      <c r="D631" s="957"/>
      <c r="E631" s="956"/>
      <c r="F631" s="956"/>
      <c r="G631" s="956"/>
      <c r="H631" s="956"/>
      <c r="I631" s="956"/>
      <c r="J631" s="956"/>
      <c r="K631" s="956"/>
      <c r="L631" s="956"/>
      <c r="M631" s="956"/>
      <c r="N631" s="956"/>
      <c r="O631" s="958"/>
      <c r="P631" s="958"/>
      <c r="Q631" s="958"/>
      <c r="R631" s="958"/>
      <c r="S631" s="958"/>
      <c r="T631" s="958"/>
      <c r="U631" s="958"/>
      <c r="V631" s="958"/>
      <c r="W631" s="958"/>
      <c r="X631" s="958"/>
      <c r="Y631" s="958"/>
      <c r="Z631" s="958"/>
    </row>
    <row r="632" ht="35.25" customHeight="1">
      <c r="A632" s="1019"/>
      <c r="B632" s="956"/>
      <c r="C632" s="956"/>
      <c r="D632" s="957"/>
      <c r="E632" s="956"/>
      <c r="F632" s="956"/>
      <c r="G632" s="956"/>
      <c r="H632" s="956"/>
      <c r="I632" s="956"/>
      <c r="J632" s="956"/>
      <c r="K632" s="956"/>
      <c r="L632" s="956"/>
      <c r="M632" s="956"/>
      <c r="N632" s="956"/>
      <c r="O632" s="958"/>
      <c r="P632" s="958"/>
      <c r="Q632" s="958"/>
      <c r="R632" s="958"/>
      <c r="S632" s="958"/>
      <c r="T632" s="958"/>
      <c r="U632" s="958"/>
      <c r="V632" s="958"/>
      <c r="W632" s="958"/>
      <c r="X632" s="958"/>
      <c r="Y632" s="958"/>
      <c r="Z632" s="958"/>
    </row>
    <row r="633" ht="35.25" customHeight="1">
      <c r="A633" s="1019"/>
      <c r="B633" s="956"/>
      <c r="C633" s="956"/>
      <c r="D633" s="957"/>
      <c r="E633" s="956"/>
      <c r="F633" s="956"/>
      <c r="G633" s="956"/>
      <c r="H633" s="956"/>
      <c r="I633" s="956"/>
      <c r="J633" s="956"/>
      <c r="K633" s="956"/>
      <c r="L633" s="956"/>
      <c r="M633" s="956"/>
      <c r="N633" s="956"/>
      <c r="O633" s="958"/>
      <c r="P633" s="958"/>
      <c r="Q633" s="958"/>
      <c r="R633" s="958"/>
      <c r="S633" s="958"/>
      <c r="T633" s="958"/>
      <c r="U633" s="958"/>
      <c r="V633" s="958"/>
      <c r="W633" s="958"/>
      <c r="X633" s="958"/>
      <c r="Y633" s="958"/>
      <c r="Z633" s="958"/>
    </row>
    <row r="634" ht="35.25" customHeight="1">
      <c r="A634" s="1019"/>
      <c r="B634" s="956"/>
      <c r="C634" s="956"/>
      <c r="D634" s="957"/>
      <c r="E634" s="956"/>
      <c r="F634" s="956"/>
      <c r="G634" s="956"/>
      <c r="H634" s="956"/>
      <c r="I634" s="956"/>
      <c r="J634" s="956"/>
      <c r="K634" s="956"/>
      <c r="L634" s="956"/>
      <c r="M634" s="956"/>
      <c r="N634" s="956"/>
      <c r="O634" s="958"/>
      <c r="P634" s="958"/>
      <c r="Q634" s="958"/>
      <c r="R634" s="958"/>
      <c r="S634" s="958"/>
      <c r="T634" s="958"/>
      <c r="U634" s="958"/>
      <c r="V634" s="958"/>
      <c r="W634" s="958"/>
      <c r="X634" s="958"/>
      <c r="Y634" s="958"/>
      <c r="Z634" s="958"/>
    </row>
    <row r="635" ht="35.25" customHeight="1">
      <c r="A635" s="1019"/>
      <c r="B635" s="956"/>
      <c r="C635" s="956"/>
      <c r="D635" s="957"/>
      <c r="E635" s="956"/>
      <c r="F635" s="956"/>
      <c r="G635" s="956"/>
      <c r="H635" s="956"/>
      <c r="I635" s="956"/>
      <c r="J635" s="956"/>
      <c r="K635" s="956"/>
      <c r="L635" s="956"/>
      <c r="M635" s="956"/>
      <c r="N635" s="956"/>
      <c r="O635" s="958"/>
      <c r="P635" s="958"/>
      <c r="Q635" s="958"/>
      <c r="R635" s="958"/>
      <c r="S635" s="958"/>
      <c r="T635" s="958"/>
      <c r="U635" s="958"/>
      <c r="V635" s="958"/>
      <c r="W635" s="958"/>
      <c r="X635" s="958"/>
      <c r="Y635" s="958"/>
      <c r="Z635" s="958"/>
    </row>
    <row r="636" ht="35.25" customHeight="1">
      <c r="A636" s="1019"/>
      <c r="B636" s="956"/>
      <c r="C636" s="956"/>
      <c r="D636" s="957"/>
      <c r="E636" s="956"/>
      <c r="F636" s="956"/>
      <c r="G636" s="956"/>
      <c r="H636" s="956"/>
      <c r="I636" s="956"/>
      <c r="J636" s="956"/>
      <c r="K636" s="956"/>
      <c r="L636" s="956"/>
      <c r="M636" s="956"/>
      <c r="N636" s="956"/>
      <c r="O636" s="958"/>
      <c r="P636" s="958"/>
      <c r="Q636" s="958"/>
      <c r="R636" s="958"/>
      <c r="S636" s="958"/>
      <c r="T636" s="958"/>
      <c r="U636" s="958"/>
      <c r="V636" s="958"/>
      <c r="W636" s="958"/>
      <c r="X636" s="958"/>
      <c r="Y636" s="958"/>
      <c r="Z636" s="958"/>
    </row>
    <row r="637" ht="35.25" customHeight="1">
      <c r="A637" s="1019"/>
      <c r="B637" s="956"/>
      <c r="C637" s="956"/>
      <c r="D637" s="957"/>
      <c r="E637" s="956"/>
      <c r="F637" s="956"/>
      <c r="G637" s="956"/>
      <c r="H637" s="956"/>
      <c r="I637" s="956"/>
      <c r="J637" s="956"/>
      <c r="K637" s="956"/>
      <c r="L637" s="956"/>
      <c r="M637" s="956"/>
      <c r="N637" s="956"/>
      <c r="O637" s="958"/>
      <c r="P637" s="958"/>
      <c r="Q637" s="958"/>
      <c r="R637" s="958"/>
      <c r="S637" s="958"/>
      <c r="T637" s="958"/>
      <c r="U637" s="958"/>
      <c r="V637" s="958"/>
      <c r="W637" s="958"/>
      <c r="X637" s="958"/>
      <c r="Y637" s="958"/>
      <c r="Z637" s="958"/>
    </row>
    <row r="638" ht="35.25" customHeight="1">
      <c r="A638" s="1019"/>
      <c r="B638" s="956"/>
      <c r="C638" s="956"/>
      <c r="D638" s="957"/>
      <c r="E638" s="956"/>
      <c r="F638" s="956"/>
      <c r="G638" s="956"/>
      <c r="H638" s="956"/>
      <c r="I638" s="956"/>
      <c r="J638" s="956"/>
      <c r="K638" s="956"/>
      <c r="L638" s="956"/>
      <c r="M638" s="956"/>
      <c r="N638" s="956"/>
      <c r="O638" s="958"/>
      <c r="P638" s="958"/>
      <c r="Q638" s="958"/>
      <c r="R638" s="958"/>
      <c r="S638" s="958"/>
      <c r="T638" s="958"/>
      <c r="U638" s="958"/>
      <c r="V638" s="958"/>
      <c r="W638" s="958"/>
      <c r="X638" s="958"/>
      <c r="Y638" s="958"/>
      <c r="Z638" s="958"/>
    </row>
    <row r="639" ht="35.25" customHeight="1">
      <c r="A639" s="1019"/>
      <c r="B639" s="956"/>
      <c r="C639" s="956"/>
      <c r="D639" s="957"/>
      <c r="E639" s="956"/>
      <c r="F639" s="956"/>
      <c r="G639" s="956"/>
      <c r="H639" s="956"/>
      <c r="I639" s="956"/>
      <c r="J639" s="956"/>
      <c r="K639" s="956"/>
      <c r="L639" s="956"/>
      <c r="M639" s="956"/>
      <c r="N639" s="956"/>
      <c r="O639" s="958"/>
      <c r="P639" s="958"/>
      <c r="Q639" s="958"/>
      <c r="R639" s="958"/>
      <c r="S639" s="958"/>
      <c r="T639" s="958"/>
      <c r="U639" s="958"/>
      <c r="V639" s="958"/>
      <c r="W639" s="958"/>
      <c r="X639" s="958"/>
      <c r="Y639" s="958"/>
      <c r="Z639" s="958"/>
    </row>
    <row r="640" ht="35.25" customHeight="1">
      <c r="A640" s="1019"/>
      <c r="B640" s="956"/>
      <c r="C640" s="956"/>
      <c r="D640" s="957"/>
      <c r="E640" s="956"/>
      <c r="F640" s="956"/>
      <c r="G640" s="956"/>
      <c r="H640" s="956"/>
      <c r="I640" s="956"/>
      <c r="J640" s="956"/>
      <c r="K640" s="956"/>
      <c r="L640" s="956"/>
      <c r="M640" s="956"/>
      <c r="N640" s="956"/>
      <c r="O640" s="958"/>
      <c r="P640" s="958"/>
      <c r="Q640" s="958"/>
      <c r="R640" s="958"/>
      <c r="S640" s="958"/>
      <c r="T640" s="958"/>
      <c r="U640" s="958"/>
      <c r="V640" s="958"/>
      <c r="W640" s="958"/>
      <c r="X640" s="958"/>
      <c r="Y640" s="958"/>
      <c r="Z640" s="958"/>
    </row>
    <row r="641" ht="35.25" customHeight="1">
      <c r="A641" s="1019"/>
      <c r="B641" s="956"/>
      <c r="C641" s="956"/>
      <c r="D641" s="957"/>
      <c r="E641" s="956"/>
      <c r="F641" s="956"/>
      <c r="G641" s="956"/>
      <c r="H641" s="956"/>
      <c r="I641" s="956"/>
      <c r="J641" s="956"/>
      <c r="K641" s="956"/>
      <c r="L641" s="956"/>
      <c r="M641" s="956"/>
      <c r="N641" s="956"/>
      <c r="O641" s="958"/>
      <c r="P641" s="958"/>
      <c r="Q641" s="958"/>
      <c r="R641" s="958"/>
      <c r="S641" s="958"/>
      <c r="T641" s="958"/>
      <c r="U641" s="958"/>
      <c r="V641" s="958"/>
      <c r="W641" s="958"/>
      <c r="X641" s="958"/>
      <c r="Y641" s="958"/>
      <c r="Z641" s="958"/>
    </row>
    <row r="642" ht="35.25" customHeight="1">
      <c r="A642" s="1019"/>
      <c r="B642" s="956"/>
      <c r="C642" s="956"/>
      <c r="D642" s="957"/>
      <c r="E642" s="956"/>
      <c r="F642" s="956"/>
      <c r="G642" s="956"/>
      <c r="H642" s="956"/>
      <c r="I642" s="956"/>
      <c r="J642" s="956"/>
      <c r="K642" s="956"/>
      <c r="L642" s="956"/>
      <c r="M642" s="956"/>
      <c r="N642" s="956"/>
      <c r="O642" s="958"/>
      <c r="P642" s="958"/>
      <c r="Q642" s="958"/>
      <c r="R642" s="958"/>
      <c r="S642" s="958"/>
      <c r="T642" s="958"/>
      <c r="U642" s="958"/>
      <c r="V642" s="958"/>
      <c r="W642" s="958"/>
      <c r="X642" s="958"/>
      <c r="Y642" s="958"/>
      <c r="Z642" s="958"/>
    </row>
    <row r="643" ht="35.25" customHeight="1">
      <c r="A643" s="1019"/>
      <c r="B643" s="956"/>
      <c r="C643" s="956"/>
      <c r="D643" s="957"/>
      <c r="E643" s="956"/>
      <c r="F643" s="956"/>
      <c r="G643" s="956"/>
      <c r="H643" s="956"/>
      <c r="I643" s="956"/>
      <c r="J643" s="956"/>
      <c r="K643" s="956"/>
      <c r="L643" s="956"/>
      <c r="M643" s="956"/>
      <c r="N643" s="956"/>
      <c r="O643" s="958"/>
      <c r="P643" s="958"/>
      <c r="Q643" s="958"/>
      <c r="R643" s="958"/>
      <c r="S643" s="958"/>
      <c r="T643" s="958"/>
      <c r="U643" s="958"/>
      <c r="V643" s="958"/>
      <c r="W643" s="958"/>
      <c r="X643" s="958"/>
      <c r="Y643" s="958"/>
      <c r="Z643" s="958"/>
    </row>
    <row r="644" ht="35.25" customHeight="1">
      <c r="A644" s="1019"/>
      <c r="B644" s="956"/>
      <c r="C644" s="956"/>
      <c r="D644" s="957"/>
      <c r="E644" s="956"/>
      <c r="F644" s="956"/>
      <c r="G644" s="956"/>
      <c r="H644" s="956"/>
      <c r="I644" s="956"/>
      <c r="J644" s="956"/>
      <c r="K644" s="956"/>
      <c r="L644" s="956"/>
      <c r="M644" s="956"/>
      <c r="N644" s="956"/>
      <c r="O644" s="958"/>
      <c r="P644" s="958"/>
      <c r="Q644" s="958"/>
      <c r="R644" s="958"/>
      <c r="S644" s="958"/>
      <c r="T644" s="958"/>
      <c r="U644" s="958"/>
      <c r="V644" s="958"/>
      <c r="W644" s="958"/>
      <c r="X644" s="958"/>
      <c r="Y644" s="958"/>
      <c r="Z644" s="958"/>
    </row>
    <row r="645" ht="35.25" customHeight="1">
      <c r="A645" s="1019"/>
      <c r="B645" s="956"/>
      <c r="C645" s="956"/>
      <c r="D645" s="957"/>
      <c r="E645" s="956"/>
      <c r="F645" s="956"/>
      <c r="G645" s="956"/>
      <c r="H645" s="956"/>
      <c r="I645" s="956"/>
      <c r="J645" s="956"/>
      <c r="K645" s="956"/>
      <c r="L645" s="956"/>
      <c r="M645" s="956"/>
      <c r="N645" s="956"/>
      <c r="O645" s="958"/>
      <c r="P645" s="958"/>
      <c r="Q645" s="958"/>
      <c r="R645" s="958"/>
      <c r="S645" s="958"/>
      <c r="T645" s="958"/>
      <c r="U645" s="958"/>
      <c r="V645" s="958"/>
      <c r="W645" s="958"/>
      <c r="X645" s="958"/>
      <c r="Y645" s="958"/>
      <c r="Z645" s="958"/>
    </row>
    <row r="646" ht="35.25" customHeight="1">
      <c r="A646" s="1019"/>
      <c r="B646" s="956"/>
      <c r="C646" s="956"/>
      <c r="D646" s="957"/>
      <c r="E646" s="956"/>
      <c r="F646" s="956"/>
      <c r="G646" s="956"/>
      <c r="H646" s="956"/>
      <c r="I646" s="956"/>
      <c r="J646" s="956"/>
      <c r="K646" s="956"/>
      <c r="L646" s="956"/>
      <c r="M646" s="956"/>
      <c r="N646" s="956"/>
      <c r="O646" s="958"/>
      <c r="P646" s="958"/>
      <c r="Q646" s="958"/>
      <c r="R646" s="958"/>
      <c r="S646" s="958"/>
      <c r="T646" s="958"/>
      <c r="U646" s="958"/>
      <c r="V646" s="958"/>
      <c r="W646" s="958"/>
      <c r="X646" s="958"/>
      <c r="Y646" s="958"/>
      <c r="Z646" s="958"/>
    </row>
    <row r="647" ht="35.25" customHeight="1">
      <c r="A647" s="1019"/>
      <c r="B647" s="956"/>
      <c r="C647" s="956"/>
      <c r="D647" s="957"/>
      <c r="E647" s="956"/>
      <c r="F647" s="956"/>
      <c r="G647" s="956"/>
      <c r="H647" s="956"/>
      <c r="I647" s="956"/>
      <c r="J647" s="956"/>
      <c r="K647" s="956"/>
      <c r="L647" s="956"/>
      <c r="M647" s="956"/>
      <c r="N647" s="956"/>
      <c r="O647" s="958"/>
      <c r="P647" s="958"/>
      <c r="Q647" s="958"/>
      <c r="R647" s="958"/>
      <c r="S647" s="958"/>
      <c r="T647" s="958"/>
      <c r="U647" s="958"/>
      <c r="V647" s="958"/>
      <c r="W647" s="958"/>
      <c r="X647" s="958"/>
      <c r="Y647" s="958"/>
      <c r="Z647" s="958"/>
    </row>
    <row r="648" ht="35.25" customHeight="1">
      <c r="A648" s="1019"/>
      <c r="B648" s="956"/>
      <c r="C648" s="956"/>
      <c r="D648" s="957"/>
      <c r="E648" s="956"/>
      <c r="F648" s="956"/>
      <c r="G648" s="956"/>
      <c r="H648" s="956"/>
      <c r="I648" s="956"/>
      <c r="J648" s="956"/>
      <c r="K648" s="956"/>
      <c r="L648" s="956"/>
      <c r="M648" s="956"/>
      <c r="N648" s="956"/>
      <c r="O648" s="958"/>
      <c r="P648" s="958"/>
      <c r="Q648" s="958"/>
      <c r="R648" s="958"/>
      <c r="S648" s="958"/>
      <c r="T648" s="958"/>
      <c r="U648" s="958"/>
      <c r="V648" s="958"/>
      <c r="W648" s="958"/>
      <c r="X648" s="958"/>
      <c r="Y648" s="958"/>
      <c r="Z648" s="958"/>
    </row>
    <row r="649" ht="35.25" customHeight="1">
      <c r="A649" s="1019"/>
      <c r="B649" s="956"/>
      <c r="C649" s="956"/>
      <c r="D649" s="957"/>
      <c r="E649" s="956"/>
      <c r="F649" s="956"/>
      <c r="G649" s="956"/>
      <c r="H649" s="956"/>
      <c r="I649" s="956"/>
      <c r="J649" s="956"/>
      <c r="K649" s="956"/>
      <c r="L649" s="956"/>
      <c r="M649" s="956"/>
      <c r="N649" s="956"/>
      <c r="O649" s="958"/>
      <c r="P649" s="958"/>
      <c r="Q649" s="958"/>
      <c r="R649" s="958"/>
      <c r="S649" s="958"/>
      <c r="T649" s="958"/>
      <c r="U649" s="958"/>
      <c r="V649" s="958"/>
      <c r="W649" s="958"/>
      <c r="X649" s="958"/>
      <c r="Y649" s="958"/>
      <c r="Z649" s="958"/>
    </row>
    <row r="650" ht="35.25" customHeight="1">
      <c r="A650" s="1019"/>
      <c r="B650" s="956"/>
      <c r="C650" s="956"/>
      <c r="D650" s="957"/>
      <c r="E650" s="956"/>
      <c r="F650" s="956"/>
      <c r="G650" s="956"/>
      <c r="H650" s="956"/>
      <c r="I650" s="956"/>
      <c r="J650" s="956"/>
      <c r="K650" s="956"/>
      <c r="L650" s="956"/>
      <c r="M650" s="956"/>
      <c r="N650" s="956"/>
      <c r="O650" s="958"/>
      <c r="P650" s="958"/>
      <c r="Q650" s="958"/>
      <c r="R650" s="958"/>
      <c r="S650" s="958"/>
      <c r="T650" s="958"/>
      <c r="U650" s="958"/>
      <c r="V650" s="958"/>
      <c r="W650" s="958"/>
      <c r="X650" s="958"/>
      <c r="Y650" s="958"/>
      <c r="Z650" s="958"/>
    </row>
    <row r="651" ht="35.25" customHeight="1">
      <c r="A651" s="1019"/>
      <c r="B651" s="956"/>
      <c r="C651" s="956"/>
      <c r="D651" s="957"/>
      <c r="E651" s="956"/>
      <c r="F651" s="956"/>
      <c r="G651" s="956"/>
      <c r="H651" s="956"/>
      <c r="I651" s="956"/>
      <c r="J651" s="956"/>
      <c r="K651" s="956"/>
      <c r="L651" s="956"/>
      <c r="M651" s="956"/>
      <c r="N651" s="956"/>
      <c r="O651" s="958"/>
      <c r="P651" s="958"/>
      <c r="Q651" s="958"/>
      <c r="R651" s="958"/>
      <c r="S651" s="958"/>
      <c r="T651" s="958"/>
      <c r="U651" s="958"/>
      <c r="V651" s="958"/>
      <c r="W651" s="958"/>
      <c r="X651" s="958"/>
      <c r="Y651" s="958"/>
      <c r="Z651" s="958"/>
    </row>
    <row r="652" ht="35.25" customHeight="1">
      <c r="A652" s="1019"/>
      <c r="B652" s="956"/>
      <c r="C652" s="956"/>
      <c r="D652" s="957"/>
      <c r="E652" s="956"/>
      <c r="F652" s="956"/>
      <c r="G652" s="956"/>
      <c r="H652" s="956"/>
      <c r="I652" s="956"/>
      <c r="J652" s="956"/>
      <c r="K652" s="956"/>
      <c r="L652" s="956"/>
      <c r="M652" s="956"/>
      <c r="N652" s="956"/>
      <c r="O652" s="958"/>
      <c r="P652" s="958"/>
      <c r="Q652" s="958"/>
      <c r="R652" s="958"/>
      <c r="S652" s="958"/>
      <c r="T652" s="958"/>
      <c r="U652" s="958"/>
      <c r="V652" s="958"/>
      <c r="W652" s="958"/>
      <c r="X652" s="958"/>
      <c r="Y652" s="958"/>
      <c r="Z652" s="958"/>
    </row>
    <row r="653" ht="35.25" customHeight="1">
      <c r="A653" s="1019"/>
      <c r="B653" s="956"/>
      <c r="C653" s="956"/>
      <c r="D653" s="957"/>
      <c r="E653" s="956"/>
      <c r="F653" s="956"/>
      <c r="G653" s="956"/>
      <c r="H653" s="956"/>
      <c r="I653" s="956"/>
      <c r="J653" s="956"/>
      <c r="K653" s="956"/>
      <c r="L653" s="956"/>
      <c r="M653" s="956"/>
      <c r="N653" s="956"/>
      <c r="O653" s="958"/>
      <c r="P653" s="958"/>
      <c r="Q653" s="958"/>
      <c r="R653" s="958"/>
      <c r="S653" s="958"/>
      <c r="T653" s="958"/>
      <c r="U653" s="958"/>
      <c r="V653" s="958"/>
      <c r="W653" s="958"/>
      <c r="X653" s="958"/>
      <c r="Y653" s="958"/>
      <c r="Z653" s="958"/>
    </row>
    <row r="654" ht="35.25" customHeight="1">
      <c r="A654" s="1019"/>
      <c r="B654" s="956"/>
      <c r="C654" s="956"/>
      <c r="D654" s="957"/>
      <c r="E654" s="956"/>
      <c r="F654" s="956"/>
      <c r="G654" s="956"/>
      <c r="H654" s="956"/>
      <c r="I654" s="956"/>
      <c r="J654" s="956"/>
      <c r="K654" s="956"/>
      <c r="L654" s="956"/>
      <c r="M654" s="956"/>
      <c r="N654" s="956"/>
      <c r="O654" s="958"/>
      <c r="P654" s="958"/>
      <c r="Q654" s="958"/>
      <c r="R654" s="958"/>
      <c r="S654" s="958"/>
      <c r="T654" s="958"/>
      <c r="U654" s="958"/>
      <c r="V654" s="958"/>
      <c r="W654" s="958"/>
      <c r="X654" s="958"/>
      <c r="Y654" s="958"/>
      <c r="Z654" s="958"/>
    </row>
    <row r="655" ht="35.25" customHeight="1">
      <c r="A655" s="1019"/>
      <c r="B655" s="956"/>
      <c r="C655" s="956"/>
      <c r="D655" s="957"/>
      <c r="E655" s="956"/>
      <c r="F655" s="956"/>
      <c r="G655" s="956"/>
      <c r="H655" s="956"/>
      <c r="I655" s="956"/>
      <c r="J655" s="956"/>
      <c r="K655" s="956"/>
      <c r="L655" s="956"/>
      <c r="M655" s="956"/>
      <c r="N655" s="956"/>
      <c r="O655" s="958"/>
      <c r="P655" s="958"/>
      <c r="Q655" s="958"/>
      <c r="R655" s="958"/>
      <c r="S655" s="958"/>
      <c r="T655" s="958"/>
      <c r="U655" s="958"/>
      <c r="V655" s="958"/>
      <c r="W655" s="958"/>
      <c r="X655" s="958"/>
      <c r="Y655" s="958"/>
      <c r="Z655" s="958"/>
    </row>
    <row r="656" ht="35.25" customHeight="1">
      <c r="A656" s="1019"/>
      <c r="B656" s="956"/>
      <c r="C656" s="956"/>
      <c r="D656" s="957"/>
      <c r="E656" s="956"/>
      <c r="F656" s="956"/>
      <c r="G656" s="956"/>
      <c r="H656" s="956"/>
      <c r="I656" s="956"/>
      <c r="J656" s="956"/>
      <c r="K656" s="956"/>
      <c r="L656" s="956"/>
      <c r="M656" s="956"/>
      <c r="N656" s="956"/>
      <c r="O656" s="958"/>
      <c r="P656" s="958"/>
      <c r="Q656" s="958"/>
      <c r="R656" s="958"/>
      <c r="S656" s="958"/>
      <c r="T656" s="958"/>
      <c r="U656" s="958"/>
      <c r="V656" s="958"/>
      <c r="W656" s="958"/>
      <c r="X656" s="958"/>
      <c r="Y656" s="958"/>
      <c r="Z656" s="958"/>
    </row>
    <row r="657" ht="35.25" customHeight="1">
      <c r="A657" s="1019"/>
      <c r="B657" s="956"/>
      <c r="C657" s="956"/>
      <c r="D657" s="957"/>
      <c r="E657" s="956"/>
      <c r="F657" s="956"/>
      <c r="G657" s="956"/>
      <c r="H657" s="956"/>
      <c r="I657" s="956"/>
      <c r="J657" s="956"/>
      <c r="K657" s="956"/>
      <c r="L657" s="956"/>
      <c r="M657" s="956"/>
      <c r="N657" s="956"/>
      <c r="O657" s="958"/>
      <c r="P657" s="958"/>
      <c r="Q657" s="958"/>
      <c r="R657" s="958"/>
      <c r="S657" s="958"/>
      <c r="T657" s="958"/>
      <c r="U657" s="958"/>
      <c r="V657" s="958"/>
      <c r="W657" s="958"/>
      <c r="X657" s="958"/>
      <c r="Y657" s="958"/>
      <c r="Z657" s="958"/>
    </row>
    <row r="658" ht="35.25" customHeight="1">
      <c r="A658" s="1019"/>
      <c r="B658" s="956"/>
      <c r="C658" s="956"/>
      <c r="D658" s="957"/>
      <c r="E658" s="956"/>
      <c r="F658" s="956"/>
      <c r="G658" s="956"/>
      <c r="H658" s="956"/>
      <c r="I658" s="956"/>
      <c r="J658" s="956"/>
      <c r="K658" s="956"/>
      <c r="L658" s="956"/>
      <c r="M658" s="956"/>
      <c r="N658" s="956"/>
      <c r="O658" s="958"/>
      <c r="P658" s="958"/>
      <c r="Q658" s="958"/>
      <c r="R658" s="958"/>
      <c r="S658" s="958"/>
      <c r="T658" s="958"/>
      <c r="U658" s="958"/>
      <c r="V658" s="958"/>
      <c r="W658" s="958"/>
      <c r="X658" s="958"/>
      <c r="Y658" s="958"/>
      <c r="Z658" s="958"/>
    </row>
    <row r="659" ht="35.25" customHeight="1">
      <c r="A659" s="1019"/>
      <c r="B659" s="956"/>
      <c r="C659" s="956"/>
      <c r="D659" s="957"/>
      <c r="E659" s="956"/>
      <c r="F659" s="956"/>
      <c r="G659" s="956"/>
      <c r="H659" s="956"/>
      <c r="I659" s="956"/>
      <c r="J659" s="956"/>
      <c r="K659" s="956"/>
      <c r="L659" s="956"/>
      <c r="M659" s="956"/>
      <c r="N659" s="956"/>
      <c r="O659" s="958"/>
      <c r="P659" s="958"/>
      <c r="Q659" s="958"/>
      <c r="R659" s="958"/>
      <c r="S659" s="958"/>
      <c r="T659" s="958"/>
      <c r="U659" s="958"/>
      <c r="V659" s="958"/>
      <c r="W659" s="958"/>
      <c r="X659" s="958"/>
      <c r="Y659" s="958"/>
      <c r="Z659" s="958"/>
    </row>
    <row r="660" ht="35.25" customHeight="1">
      <c r="A660" s="1019"/>
      <c r="B660" s="956"/>
      <c r="C660" s="956"/>
      <c r="D660" s="957"/>
      <c r="E660" s="956"/>
      <c r="F660" s="956"/>
      <c r="G660" s="956"/>
      <c r="H660" s="956"/>
      <c r="I660" s="956"/>
      <c r="J660" s="956"/>
      <c r="K660" s="956"/>
      <c r="L660" s="956"/>
      <c r="M660" s="956"/>
      <c r="N660" s="956"/>
      <c r="O660" s="958"/>
      <c r="P660" s="958"/>
      <c r="Q660" s="958"/>
      <c r="R660" s="958"/>
      <c r="S660" s="958"/>
      <c r="T660" s="958"/>
      <c r="U660" s="958"/>
      <c r="V660" s="958"/>
      <c r="W660" s="958"/>
      <c r="X660" s="958"/>
      <c r="Y660" s="958"/>
      <c r="Z660" s="958"/>
    </row>
    <row r="661" ht="35.25" customHeight="1">
      <c r="A661" s="1019"/>
      <c r="B661" s="956"/>
      <c r="C661" s="956"/>
      <c r="D661" s="957"/>
      <c r="E661" s="956"/>
      <c r="F661" s="956"/>
      <c r="G661" s="956"/>
      <c r="H661" s="956"/>
      <c r="I661" s="956"/>
      <c r="J661" s="956"/>
      <c r="K661" s="956"/>
      <c r="L661" s="956"/>
      <c r="M661" s="956"/>
      <c r="N661" s="956"/>
      <c r="O661" s="958"/>
      <c r="P661" s="958"/>
      <c r="Q661" s="958"/>
      <c r="R661" s="958"/>
      <c r="S661" s="958"/>
      <c r="T661" s="958"/>
      <c r="U661" s="958"/>
      <c r="V661" s="958"/>
      <c r="W661" s="958"/>
      <c r="X661" s="958"/>
      <c r="Y661" s="958"/>
      <c r="Z661" s="958"/>
    </row>
    <row r="662" ht="35.25" customHeight="1">
      <c r="A662" s="1019"/>
      <c r="B662" s="956"/>
      <c r="C662" s="956"/>
      <c r="D662" s="957"/>
      <c r="E662" s="956"/>
      <c r="F662" s="956"/>
      <c r="G662" s="956"/>
      <c r="H662" s="956"/>
      <c r="I662" s="956"/>
      <c r="J662" s="956"/>
      <c r="K662" s="956"/>
      <c r="L662" s="956"/>
      <c r="M662" s="956"/>
      <c r="N662" s="956"/>
      <c r="O662" s="958"/>
      <c r="P662" s="958"/>
      <c r="Q662" s="958"/>
      <c r="R662" s="958"/>
      <c r="S662" s="958"/>
      <c r="T662" s="958"/>
      <c r="U662" s="958"/>
      <c r="V662" s="958"/>
      <c r="W662" s="958"/>
      <c r="X662" s="958"/>
      <c r="Y662" s="958"/>
      <c r="Z662" s="958"/>
    </row>
    <row r="663" ht="35.25" customHeight="1">
      <c r="A663" s="1019"/>
      <c r="B663" s="956"/>
      <c r="C663" s="956"/>
      <c r="D663" s="957"/>
      <c r="E663" s="956"/>
      <c r="F663" s="956"/>
      <c r="G663" s="956"/>
      <c r="H663" s="956"/>
      <c r="I663" s="956"/>
      <c r="J663" s="956"/>
      <c r="K663" s="956"/>
      <c r="L663" s="956"/>
      <c r="M663" s="956"/>
      <c r="N663" s="956"/>
      <c r="O663" s="958"/>
      <c r="P663" s="958"/>
      <c r="Q663" s="958"/>
      <c r="R663" s="958"/>
      <c r="S663" s="958"/>
      <c r="T663" s="958"/>
      <c r="U663" s="958"/>
      <c r="V663" s="958"/>
      <c r="W663" s="958"/>
      <c r="X663" s="958"/>
      <c r="Y663" s="958"/>
      <c r="Z663" s="958"/>
    </row>
    <row r="664" ht="35.25" customHeight="1">
      <c r="A664" s="1019"/>
      <c r="B664" s="956"/>
      <c r="C664" s="956"/>
      <c r="D664" s="957"/>
      <c r="E664" s="956"/>
      <c r="F664" s="956"/>
      <c r="G664" s="956"/>
      <c r="H664" s="956"/>
      <c r="I664" s="956"/>
      <c r="J664" s="956"/>
      <c r="K664" s="956"/>
      <c r="L664" s="956"/>
      <c r="M664" s="956"/>
      <c r="N664" s="956"/>
      <c r="O664" s="958"/>
      <c r="P664" s="958"/>
      <c r="Q664" s="958"/>
      <c r="R664" s="958"/>
      <c r="S664" s="958"/>
      <c r="T664" s="958"/>
      <c r="U664" s="958"/>
      <c r="V664" s="958"/>
      <c r="W664" s="958"/>
      <c r="X664" s="958"/>
      <c r="Y664" s="958"/>
      <c r="Z664" s="958"/>
    </row>
    <row r="665" ht="35.25" customHeight="1">
      <c r="A665" s="1019"/>
      <c r="B665" s="956"/>
      <c r="C665" s="956"/>
      <c r="D665" s="957"/>
      <c r="E665" s="956"/>
      <c r="F665" s="956"/>
      <c r="G665" s="956"/>
      <c r="H665" s="956"/>
      <c r="I665" s="956"/>
      <c r="J665" s="956"/>
      <c r="K665" s="956"/>
      <c r="L665" s="956"/>
      <c r="M665" s="956"/>
      <c r="N665" s="956"/>
      <c r="O665" s="958"/>
      <c r="P665" s="958"/>
      <c r="Q665" s="958"/>
      <c r="R665" s="958"/>
      <c r="S665" s="958"/>
      <c r="T665" s="958"/>
      <c r="U665" s="958"/>
      <c r="V665" s="958"/>
      <c r="W665" s="958"/>
      <c r="X665" s="958"/>
      <c r="Y665" s="958"/>
      <c r="Z665" s="958"/>
    </row>
    <row r="666" ht="35.25" customHeight="1">
      <c r="A666" s="1019"/>
      <c r="B666" s="956"/>
      <c r="C666" s="956"/>
      <c r="D666" s="957"/>
      <c r="E666" s="956"/>
      <c r="F666" s="956"/>
      <c r="G666" s="956"/>
      <c r="H666" s="956"/>
      <c r="I666" s="956"/>
      <c r="J666" s="956"/>
      <c r="K666" s="956"/>
      <c r="L666" s="956"/>
      <c r="M666" s="956"/>
      <c r="N666" s="956"/>
      <c r="O666" s="958"/>
      <c r="P666" s="958"/>
      <c r="Q666" s="958"/>
      <c r="R666" s="958"/>
      <c r="S666" s="958"/>
      <c r="T666" s="958"/>
      <c r="U666" s="958"/>
      <c r="V666" s="958"/>
      <c r="W666" s="958"/>
      <c r="X666" s="958"/>
      <c r="Y666" s="958"/>
      <c r="Z666" s="958"/>
    </row>
    <row r="667" ht="35.25" customHeight="1">
      <c r="A667" s="1019"/>
      <c r="B667" s="956"/>
      <c r="C667" s="956"/>
      <c r="D667" s="957"/>
      <c r="E667" s="956"/>
      <c r="F667" s="956"/>
      <c r="G667" s="956"/>
      <c r="H667" s="956"/>
      <c r="I667" s="956"/>
      <c r="J667" s="956"/>
      <c r="K667" s="956"/>
      <c r="L667" s="956"/>
      <c r="M667" s="956"/>
      <c r="N667" s="956"/>
      <c r="O667" s="958"/>
      <c r="P667" s="958"/>
      <c r="Q667" s="958"/>
      <c r="R667" s="958"/>
      <c r="S667" s="958"/>
      <c r="T667" s="958"/>
      <c r="U667" s="958"/>
      <c r="V667" s="958"/>
      <c r="W667" s="958"/>
      <c r="X667" s="958"/>
      <c r="Y667" s="958"/>
      <c r="Z667" s="958"/>
    </row>
    <row r="668" ht="35.25" customHeight="1">
      <c r="A668" s="1019"/>
      <c r="B668" s="956"/>
      <c r="C668" s="956"/>
      <c r="D668" s="957"/>
      <c r="E668" s="956"/>
      <c r="F668" s="956"/>
      <c r="G668" s="956"/>
      <c r="H668" s="956"/>
      <c r="I668" s="956"/>
      <c r="J668" s="956"/>
      <c r="K668" s="956"/>
      <c r="L668" s="956"/>
      <c r="M668" s="956"/>
      <c r="N668" s="956"/>
      <c r="O668" s="958"/>
      <c r="P668" s="958"/>
      <c r="Q668" s="958"/>
      <c r="R668" s="958"/>
      <c r="S668" s="958"/>
      <c r="T668" s="958"/>
      <c r="U668" s="958"/>
      <c r="V668" s="958"/>
      <c r="W668" s="958"/>
      <c r="X668" s="958"/>
      <c r="Y668" s="958"/>
      <c r="Z668" s="958"/>
    </row>
    <row r="669" ht="35.25" customHeight="1">
      <c r="A669" s="1019"/>
      <c r="B669" s="956"/>
      <c r="C669" s="956"/>
      <c r="D669" s="957"/>
      <c r="E669" s="956"/>
      <c r="F669" s="956"/>
      <c r="G669" s="956"/>
      <c r="H669" s="956"/>
      <c r="I669" s="956"/>
      <c r="J669" s="956"/>
      <c r="K669" s="956"/>
      <c r="L669" s="956"/>
      <c r="M669" s="956"/>
      <c r="N669" s="956"/>
      <c r="O669" s="958"/>
      <c r="P669" s="958"/>
      <c r="Q669" s="958"/>
      <c r="R669" s="958"/>
      <c r="S669" s="958"/>
      <c r="T669" s="958"/>
      <c r="U669" s="958"/>
      <c r="V669" s="958"/>
      <c r="W669" s="958"/>
      <c r="X669" s="958"/>
      <c r="Y669" s="958"/>
      <c r="Z669" s="958"/>
    </row>
    <row r="670" ht="35.25" customHeight="1">
      <c r="A670" s="1019"/>
      <c r="B670" s="956"/>
      <c r="C670" s="956"/>
      <c r="D670" s="957"/>
      <c r="E670" s="956"/>
      <c r="F670" s="956"/>
      <c r="G670" s="956"/>
      <c r="H670" s="956"/>
      <c r="I670" s="956"/>
      <c r="J670" s="956"/>
      <c r="K670" s="956"/>
      <c r="L670" s="956"/>
      <c r="M670" s="956"/>
      <c r="N670" s="956"/>
      <c r="O670" s="958"/>
      <c r="P670" s="958"/>
      <c r="Q670" s="958"/>
      <c r="R670" s="958"/>
      <c r="S670" s="958"/>
      <c r="T670" s="958"/>
      <c r="U670" s="958"/>
      <c r="V670" s="958"/>
      <c r="W670" s="958"/>
      <c r="X670" s="958"/>
      <c r="Y670" s="958"/>
      <c r="Z670" s="958"/>
    </row>
    <row r="671" ht="35.25" customHeight="1">
      <c r="A671" s="1019"/>
      <c r="B671" s="956"/>
      <c r="C671" s="956"/>
      <c r="D671" s="957"/>
      <c r="E671" s="956"/>
      <c r="F671" s="956"/>
      <c r="G671" s="956"/>
      <c r="H671" s="956"/>
      <c r="I671" s="956"/>
      <c r="J671" s="956"/>
      <c r="K671" s="956"/>
      <c r="L671" s="956"/>
      <c r="M671" s="956"/>
      <c r="N671" s="956"/>
      <c r="O671" s="958"/>
      <c r="P671" s="958"/>
      <c r="Q671" s="958"/>
      <c r="R671" s="958"/>
      <c r="S671" s="958"/>
      <c r="T671" s="958"/>
      <c r="U671" s="958"/>
      <c r="V671" s="958"/>
      <c r="W671" s="958"/>
      <c r="X671" s="958"/>
      <c r="Y671" s="958"/>
      <c r="Z671" s="958"/>
    </row>
    <row r="672" ht="35.25" customHeight="1">
      <c r="A672" s="1019"/>
      <c r="B672" s="956"/>
      <c r="C672" s="956"/>
      <c r="D672" s="957"/>
      <c r="E672" s="956"/>
      <c r="F672" s="956"/>
      <c r="G672" s="956"/>
      <c r="H672" s="956"/>
      <c r="I672" s="956"/>
      <c r="J672" s="956"/>
      <c r="K672" s="956"/>
      <c r="L672" s="956"/>
      <c r="M672" s="956"/>
      <c r="N672" s="956"/>
      <c r="O672" s="958"/>
      <c r="P672" s="958"/>
      <c r="Q672" s="958"/>
      <c r="R672" s="958"/>
      <c r="S672" s="958"/>
      <c r="T672" s="958"/>
      <c r="U672" s="958"/>
      <c r="V672" s="958"/>
      <c r="W672" s="958"/>
      <c r="X672" s="958"/>
      <c r="Y672" s="958"/>
      <c r="Z672" s="958"/>
    </row>
    <row r="673" ht="35.25" customHeight="1">
      <c r="A673" s="1019"/>
      <c r="B673" s="956"/>
      <c r="C673" s="956"/>
      <c r="D673" s="957"/>
      <c r="E673" s="956"/>
      <c r="F673" s="956"/>
      <c r="G673" s="956"/>
      <c r="H673" s="956"/>
      <c r="I673" s="956"/>
      <c r="J673" s="956"/>
      <c r="K673" s="956"/>
      <c r="L673" s="956"/>
      <c r="M673" s="956"/>
      <c r="N673" s="956"/>
      <c r="O673" s="958"/>
      <c r="P673" s="958"/>
      <c r="Q673" s="958"/>
      <c r="R673" s="958"/>
      <c r="S673" s="958"/>
      <c r="T673" s="958"/>
      <c r="U673" s="958"/>
      <c r="V673" s="958"/>
      <c r="W673" s="958"/>
      <c r="X673" s="958"/>
      <c r="Y673" s="958"/>
      <c r="Z673" s="958"/>
    </row>
    <row r="674" ht="35.25" customHeight="1">
      <c r="A674" s="1019"/>
      <c r="B674" s="956"/>
      <c r="C674" s="956"/>
      <c r="D674" s="957"/>
      <c r="E674" s="956"/>
      <c r="F674" s="956"/>
      <c r="G674" s="956"/>
      <c r="H674" s="956"/>
      <c r="I674" s="956"/>
      <c r="J674" s="956"/>
      <c r="K674" s="956"/>
      <c r="L674" s="956"/>
      <c r="M674" s="956"/>
      <c r="N674" s="956"/>
      <c r="O674" s="958"/>
      <c r="P674" s="958"/>
      <c r="Q674" s="958"/>
      <c r="R674" s="958"/>
      <c r="S674" s="958"/>
      <c r="T674" s="958"/>
      <c r="U674" s="958"/>
      <c r="V674" s="958"/>
      <c r="W674" s="958"/>
      <c r="X674" s="958"/>
      <c r="Y674" s="958"/>
      <c r="Z674" s="958"/>
    </row>
    <row r="675" ht="35.25" customHeight="1">
      <c r="A675" s="1019"/>
      <c r="B675" s="956"/>
      <c r="C675" s="956"/>
      <c r="D675" s="957"/>
      <c r="E675" s="956"/>
      <c r="F675" s="956"/>
      <c r="G675" s="956"/>
      <c r="H675" s="956"/>
      <c r="I675" s="956"/>
      <c r="J675" s="956"/>
      <c r="K675" s="956"/>
      <c r="L675" s="956"/>
      <c r="M675" s="956"/>
      <c r="N675" s="956"/>
      <c r="O675" s="958"/>
      <c r="P675" s="958"/>
      <c r="Q675" s="958"/>
      <c r="R675" s="958"/>
      <c r="S675" s="958"/>
      <c r="T675" s="958"/>
      <c r="U675" s="958"/>
      <c r="V675" s="958"/>
      <c r="W675" s="958"/>
      <c r="X675" s="958"/>
      <c r="Y675" s="958"/>
      <c r="Z675" s="958"/>
    </row>
    <row r="676" ht="35.25" customHeight="1">
      <c r="A676" s="1019"/>
      <c r="B676" s="956"/>
      <c r="C676" s="956"/>
      <c r="D676" s="957"/>
      <c r="E676" s="956"/>
      <c r="F676" s="956"/>
      <c r="G676" s="956"/>
      <c r="H676" s="956"/>
      <c r="I676" s="956"/>
      <c r="J676" s="956"/>
      <c r="K676" s="956"/>
      <c r="L676" s="956"/>
      <c r="M676" s="956"/>
      <c r="N676" s="956"/>
      <c r="O676" s="958"/>
      <c r="P676" s="958"/>
      <c r="Q676" s="958"/>
      <c r="R676" s="958"/>
      <c r="S676" s="958"/>
      <c r="T676" s="958"/>
      <c r="U676" s="958"/>
      <c r="V676" s="958"/>
      <c r="W676" s="958"/>
      <c r="X676" s="958"/>
      <c r="Y676" s="958"/>
      <c r="Z676" s="958"/>
    </row>
    <row r="677" ht="35.25" customHeight="1">
      <c r="A677" s="1019"/>
      <c r="B677" s="956"/>
      <c r="C677" s="956"/>
      <c r="D677" s="957"/>
      <c r="E677" s="956"/>
      <c r="F677" s="956"/>
      <c r="G677" s="956"/>
      <c r="H677" s="956"/>
      <c r="I677" s="956"/>
      <c r="J677" s="956"/>
      <c r="K677" s="956"/>
      <c r="L677" s="956"/>
      <c r="M677" s="956"/>
      <c r="N677" s="956"/>
      <c r="O677" s="958"/>
      <c r="P677" s="958"/>
      <c r="Q677" s="958"/>
      <c r="R677" s="958"/>
      <c r="S677" s="958"/>
      <c r="T677" s="958"/>
      <c r="U677" s="958"/>
      <c r="V677" s="958"/>
      <c r="W677" s="958"/>
      <c r="X677" s="958"/>
      <c r="Y677" s="958"/>
      <c r="Z677" s="958"/>
    </row>
    <row r="678" ht="35.25" customHeight="1">
      <c r="A678" s="1019"/>
      <c r="B678" s="956"/>
      <c r="C678" s="956"/>
      <c r="D678" s="957"/>
      <c r="E678" s="956"/>
      <c r="F678" s="956"/>
      <c r="G678" s="956"/>
      <c r="H678" s="956"/>
      <c r="I678" s="956"/>
      <c r="J678" s="956"/>
      <c r="K678" s="956"/>
      <c r="L678" s="956"/>
      <c r="M678" s="956"/>
      <c r="N678" s="956"/>
      <c r="O678" s="958"/>
      <c r="P678" s="958"/>
      <c r="Q678" s="958"/>
      <c r="R678" s="958"/>
      <c r="S678" s="958"/>
      <c r="T678" s="958"/>
      <c r="U678" s="958"/>
      <c r="V678" s="958"/>
      <c r="W678" s="958"/>
      <c r="X678" s="958"/>
      <c r="Y678" s="958"/>
      <c r="Z678" s="958"/>
    </row>
    <row r="679" ht="35.25" customHeight="1">
      <c r="A679" s="1019"/>
      <c r="B679" s="956"/>
      <c r="C679" s="956"/>
      <c r="D679" s="957"/>
      <c r="E679" s="956"/>
      <c r="F679" s="956"/>
      <c r="G679" s="956"/>
      <c r="H679" s="956"/>
      <c r="I679" s="956"/>
      <c r="J679" s="956"/>
      <c r="K679" s="956"/>
      <c r="L679" s="956"/>
      <c r="M679" s="956"/>
      <c r="N679" s="956"/>
      <c r="O679" s="958"/>
      <c r="P679" s="958"/>
      <c r="Q679" s="958"/>
      <c r="R679" s="958"/>
      <c r="S679" s="958"/>
      <c r="T679" s="958"/>
      <c r="U679" s="958"/>
      <c r="V679" s="958"/>
      <c r="W679" s="958"/>
      <c r="X679" s="958"/>
      <c r="Y679" s="958"/>
      <c r="Z679" s="958"/>
    </row>
    <row r="680" ht="35.25" customHeight="1">
      <c r="A680" s="1019"/>
      <c r="B680" s="956"/>
      <c r="C680" s="956"/>
      <c r="D680" s="957"/>
      <c r="E680" s="956"/>
      <c r="F680" s="956"/>
      <c r="G680" s="956"/>
      <c r="H680" s="956"/>
      <c r="I680" s="956"/>
      <c r="J680" s="956"/>
      <c r="K680" s="956"/>
      <c r="L680" s="956"/>
      <c r="M680" s="956"/>
      <c r="N680" s="956"/>
      <c r="O680" s="958"/>
      <c r="P680" s="958"/>
      <c r="Q680" s="958"/>
      <c r="R680" s="958"/>
      <c r="S680" s="958"/>
      <c r="T680" s="958"/>
      <c r="U680" s="958"/>
      <c r="V680" s="958"/>
      <c r="W680" s="958"/>
      <c r="X680" s="958"/>
      <c r="Y680" s="958"/>
      <c r="Z680" s="958"/>
    </row>
    <row r="681" ht="35.25" customHeight="1">
      <c r="A681" s="1019"/>
      <c r="B681" s="956"/>
      <c r="C681" s="956"/>
      <c r="D681" s="957"/>
      <c r="E681" s="956"/>
      <c r="F681" s="956"/>
      <c r="G681" s="956"/>
      <c r="H681" s="956"/>
      <c r="I681" s="956"/>
      <c r="J681" s="956"/>
      <c r="K681" s="956"/>
      <c r="L681" s="956"/>
      <c r="M681" s="956"/>
      <c r="N681" s="956"/>
      <c r="O681" s="958"/>
      <c r="P681" s="958"/>
      <c r="Q681" s="958"/>
      <c r="R681" s="958"/>
      <c r="S681" s="958"/>
      <c r="T681" s="958"/>
      <c r="U681" s="958"/>
      <c r="V681" s="958"/>
      <c r="W681" s="958"/>
      <c r="X681" s="958"/>
      <c r="Y681" s="958"/>
      <c r="Z681" s="958"/>
    </row>
    <row r="682" ht="35.25" customHeight="1">
      <c r="A682" s="1019"/>
      <c r="B682" s="956"/>
      <c r="C682" s="956"/>
      <c r="D682" s="957"/>
      <c r="E682" s="956"/>
      <c r="F682" s="956"/>
      <c r="G682" s="956"/>
      <c r="H682" s="956"/>
      <c r="I682" s="956"/>
      <c r="J682" s="956"/>
      <c r="K682" s="956"/>
      <c r="L682" s="956"/>
      <c r="M682" s="956"/>
      <c r="N682" s="956"/>
      <c r="O682" s="958"/>
      <c r="P682" s="958"/>
      <c r="Q682" s="958"/>
      <c r="R682" s="958"/>
      <c r="S682" s="958"/>
      <c r="T682" s="958"/>
      <c r="U682" s="958"/>
      <c r="V682" s="958"/>
      <c r="W682" s="958"/>
      <c r="X682" s="958"/>
      <c r="Y682" s="958"/>
      <c r="Z682" s="958"/>
    </row>
    <row r="683" ht="35.25" customHeight="1">
      <c r="A683" s="1019"/>
      <c r="B683" s="956"/>
      <c r="C683" s="956"/>
      <c r="D683" s="957"/>
      <c r="E683" s="956"/>
      <c r="F683" s="956"/>
      <c r="G683" s="956"/>
      <c r="H683" s="956"/>
      <c r="I683" s="956"/>
      <c r="J683" s="956"/>
      <c r="K683" s="956"/>
      <c r="L683" s="956"/>
      <c r="M683" s="956"/>
      <c r="N683" s="956"/>
      <c r="O683" s="958"/>
      <c r="P683" s="958"/>
      <c r="Q683" s="958"/>
      <c r="R683" s="958"/>
      <c r="S683" s="958"/>
      <c r="T683" s="958"/>
      <c r="U683" s="958"/>
      <c r="V683" s="958"/>
      <c r="W683" s="958"/>
      <c r="X683" s="958"/>
      <c r="Y683" s="958"/>
      <c r="Z683" s="958"/>
    </row>
    <row r="684" ht="35.25" customHeight="1">
      <c r="A684" s="1019"/>
      <c r="B684" s="956"/>
      <c r="C684" s="956"/>
      <c r="D684" s="957"/>
      <c r="E684" s="956"/>
      <c r="F684" s="956"/>
      <c r="G684" s="956"/>
      <c r="H684" s="956"/>
      <c r="I684" s="956"/>
      <c r="J684" s="956"/>
      <c r="K684" s="956"/>
      <c r="L684" s="956"/>
      <c r="M684" s="956"/>
      <c r="N684" s="956"/>
      <c r="O684" s="958"/>
      <c r="P684" s="958"/>
      <c r="Q684" s="958"/>
      <c r="R684" s="958"/>
      <c r="S684" s="958"/>
      <c r="T684" s="958"/>
      <c r="U684" s="958"/>
      <c r="V684" s="958"/>
      <c r="W684" s="958"/>
      <c r="X684" s="958"/>
      <c r="Y684" s="958"/>
      <c r="Z684" s="958"/>
    </row>
    <row r="685" ht="35.25" customHeight="1">
      <c r="A685" s="1019"/>
      <c r="B685" s="956"/>
      <c r="C685" s="956"/>
      <c r="D685" s="957"/>
      <c r="E685" s="956"/>
      <c r="F685" s="956"/>
      <c r="G685" s="956"/>
      <c r="H685" s="956"/>
      <c r="I685" s="956"/>
      <c r="J685" s="956"/>
      <c r="K685" s="956"/>
      <c r="L685" s="956"/>
      <c r="M685" s="956"/>
      <c r="N685" s="956"/>
      <c r="O685" s="958"/>
      <c r="P685" s="958"/>
      <c r="Q685" s="958"/>
      <c r="R685" s="958"/>
      <c r="S685" s="958"/>
      <c r="T685" s="958"/>
      <c r="U685" s="958"/>
      <c r="V685" s="958"/>
      <c r="W685" s="958"/>
      <c r="X685" s="958"/>
      <c r="Y685" s="958"/>
      <c r="Z685" s="958"/>
    </row>
    <row r="686" ht="35.25" customHeight="1">
      <c r="A686" s="1019"/>
      <c r="B686" s="956"/>
      <c r="C686" s="956"/>
      <c r="D686" s="957"/>
      <c r="E686" s="956"/>
      <c r="F686" s="956"/>
      <c r="G686" s="956"/>
      <c r="H686" s="956"/>
      <c r="I686" s="956"/>
      <c r="J686" s="956"/>
      <c r="K686" s="956"/>
      <c r="L686" s="956"/>
      <c r="M686" s="956"/>
      <c r="N686" s="956"/>
      <c r="O686" s="958"/>
      <c r="P686" s="958"/>
      <c r="Q686" s="958"/>
      <c r="R686" s="958"/>
      <c r="S686" s="958"/>
      <c r="T686" s="958"/>
      <c r="U686" s="958"/>
      <c r="V686" s="958"/>
      <c r="W686" s="958"/>
      <c r="X686" s="958"/>
      <c r="Y686" s="958"/>
      <c r="Z686" s="958"/>
    </row>
    <row r="687" ht="35.25" customHeight="1">
      <c r="A687" s="1019"/>
      <c r="B687" s="956"/>
      <c r="C687" s="956"/>
      <c r="D687" s="957"/>
      <c r="E687" s="956"/>
      <c r="F687" s="956"/>
      <c r="G687" s="956"/>
      <c r="H687" s="956"/>
      <c r="I687" s="956"/>
      <c r="J687" s="956"/>
      <c r="K687" s="956"/>
      <c r="L687" s="956"/>
      <c r="M687" s="956"/>
      <c r="N687" s="956"/>
      <c r="O687" s="958"/>
      <c r="P687" s="958"/>
      <c r="Q687" s="958"/>
      <c r="R687" s="958"/>
      <c r="S687" s="958"/>
      <c r="T687" s="958"/>
      <c r="U687" s="958"/>
      <c r="V687" s="958"/>
      <c r="W687" s="958"/>
      <c r="X687" s="958"/>
      <c r="Y687" s="958"/>
      <c r="Z687" s="958"/>
    </row>
    <row r="688" ht="35.25" customHeight="1">
      <c r="A688" s="1019"/>
      <c r="B688" s="956"/>
      <c r="C688" s="956"/>
      <c r="D688" s="957"/>
      <c r="E688" s="956"/>
      <c r="F688" s="956"/>
      <c r="G688" s="956"/>
      <c r="H688" s="956"/>
      <c r="I688" s="956"/>
      <c r="J688" s="956"/>
      <c r="K688" s="956"/>
      <c r="L688" s="956"/>
      <c r="M688" s="956"/>
      <c r="N688" s="956"/>
      <c r="O688" s="958"/>
      <c r="P688" s="958"/>
      <c r="Q688" s="958"/>
      <c r="R688" s="958"/>
      <c r="S688" s="958"/>
      <c r="T688" s="958"/>
      <c r="U688" s="958"/>
      <c r="V688" s="958"/>
      <c r="W688" s="958"/>
      <c r="X688" s="958"/>
      <c r="Y688" s="958"/>
      <c r="Z688" s="958"/>
    </row>
    <row r="689" ht="35.25" customHeight="1">
      <c r="A689" s="1019"/>
      <c r="B689" s="956"/>
      <c r="C689" s="956"/>
      <c r="D689" s="957"/>
      <c r="E689" s="956"/>
      <c r="F689" s="956"/>
      <c r="G689" s="956"/>
      <c r="H689" s="956"/>
      <c r="I689" s="956"/>
      <c r="J689" s="956"/>
      <c r="K689" s="956"/>
      <c r="L689" s="956"/>
      <c r="M689" s="956"/>
      <c r="N689" s="956"/>
      <c r="O689" s="958"/>
      <c r="P689" s="958"/>
      <c r="Q689" s="958"/>
      <c r="R689" s="958"/>
      <c r="S689" s="958"/>
      <c r="T689" s="958"/>
      <c r="U689" s="958"/>
      <c r="V689" s="958"/>
      <c r="W689" s="958"/>
      <c r="X689" s="958"/>
      <c r="Y689" s="958"/>
      <c r="Z689" s="958"/>
    </row>
    <row r="690" ht="35.25" customHeight="1">
      <c r="A690" s="1019"/>
      <c r="B690" s="956"/>
      <c r="C690" s="956"/>
      <c r="D690" s="957"/>
      <c r="E690" s="956"/>
      <c r="F690" s="956"/>
      <c r="G690" s="956"/>
      <c r="H690" s="956"/>
      <c r="I690" s="956"/>
      <c r="J690" s="956"/>
      <c r="K690" s="956"/>
      <c r="L690" s="956"/>
      <c r="M690" s="956"/>
      <c r="N690" s="956"/>
      <c r="O690" s="958"/>
      <c r="P690" s="958"/>
      <c r="Q690" s="958"/>
      <c r="R690" s="958"/>
      <c r="S690" s="958"/>
      <c r="T690" s="958"/>
      <c r="U690" s="958"/>
      <c r="V690" s="958"/>
      <c r="W690" s="958"/>
      <c r="X690" s="958"/>
      <c r="Y690" s="958"/>
      <c r="Z690" s="958"/>
    </row>
    <row r="691" ht="35.25" customHeight="1">
      <c r="A691" s="1019"/>
      <c r="B691" s="956"/>
      <c r="C691" s="956"/>
      <c r="D691" s="957"/>
      <c r="E691" s="956"/>
      <c r="F691" s="956"/>
      <c r="G691" s="956"/>
      <c r="H691" s="956"/>
      <c r="I691" s="956"/>
      <c r="J691" s="956"/>
      <c r="K691" s="956"/>
      <c r="L691" s="956"/>
      <c r="M691" s="956"/>
      <c r="N691" s="956"/>
      <c r="O691" s="958"/>
      <c r="P691" s="958"/>
      <c r="Q691" s="958"/>
      <c r="R691" s="958"/>
      <c r="S691" s="958"/>
      <c r="T691" s="958"/>
      <c r="U691" s="958"/>
      <c r="V691" s="958"/>
      <c r="W691" s="958"/>
      <c r="X691" s="958"/>
      <c r="Y691" s="958"/>
      <c r="Z691" s="958"/>
    </row>
    <row r="692" ht="35.25" customHeight="1">
      <c r="A692" s="1019"/>
      <c r="B692" s="956"/>
      <c r="C692" s="956"/>
      <c r="D692" s="957"/>
      <c r="E692" s="956"/>
      <c r="F692" s="956"/>
      <c r="G692" s="956"/>
      <c r="H692" s="956"/>
      <c r="I692" s="956"/>
      <c r="J692" s="956"/>
      <c r="K692" s="956"/>
      <c r="L692" s="956"/>
      <c r="M692" s="956"/>
      <c r="N692" s="956"/>
      <c r="O692" s="958"/>
      <c r="P692" s="958"/>
      <c r="Q692" s="958"/>
      <c r="R692" s="958"/>
      <c r="S692" s="958"/>
      <c r="T692" s="958"/>
      <c r="U692" s="958"/>
      <c r="V692" s="958"/>
      <c r="W692" s="958"/>
      <c r="X692" s="958"/>
      <c r="Y692" s="958"/>
      <c r="Z692" s="958"/>
    </row>
    <row r="693" ht="35.25" customHeight="1">
      <c r="A693" s="1019"/>
      <c r="B693" s="956"/>
      <c r="C693" s="956"/>
      <c r="D693" s="957"/>
      <c r="E693" s="956"/>
      <c r="F693" s="956"/>
      <c r="G693" s="956"/>
      <c r="H693" s="956"/>
      <c r="I693" s="956"/>
      <c r="J693" s="956"/>
      <c r="K693" s="956"/>
      <c r="L693" s="956"/>
      <c r="M693" s="956"/>
      <c r="N693" s="956"/>
      <c r="O693" s="958"/>
      <c r="P693" s="958"/>
      <c r="Q693" s="958"/>
      <c r="R693" s="958"/>
      <c r="S693" s="958"/>
      <c r="T693" s="958"/>
      <c r="U693" s="958"/>
      <c r="V693" s="958"/>
      <c r="W693" s="958"/>
      <c r="X693" s="958"/>
      <c r="Y693" s="958"/>
      <c r="Z693" s="958"/>
    </row>
    <row r="694" ht="35.25" customHeight="1">
      <c r="A694" s="1019"/>
      <c r="B694" s="956"/>
      <c r="C694" s="956"/>
      <c r="D694" s="957"/>
      <c r="E694" s="956"/>
      <c r="F694" s="956"/>
      <c r="G694" s="956"/>
      <c r="H694" s="956"/>
      <c r="I694" s="956"/>
      <c r="J694" s="956"/>
      <c r="K694" s="956"/>
      <c r="L694" s="956"/>
      <c r="M694" s="956"/>
      <c r="N694" s="956"/>
      <c r="O694" s="958"/>
      <c r="P694" s="958"/>
      <c r="Q694" s="958"/>
      <c r="R694" s="958"/>
      <c r="S694" s="958"/>
      <c r="T694" s="958"/>
      <c r="U694" s="958"/>
      <c r="V694" s="958"/>
      <c r="W694" s="958"/>
      <c r="X694" s="958"/>
      <c r="Y694" s="958"/>
      <c r="Z694" s="958"/>
    </row>
    <row r="695" ht="35.25" customHeight="1">
      <c r="A695" s="1019"/>
      <c r="B695" s="956"/>
      <c r="C695" s="956"/>
      <c r="D695" s="957"/>
      <c r="E695" s="956"/>
      <c r="F695" s="956"/>
      <c r="G695" s="956"/>
      <c r="H695" s="956"/>
      <c r="I695" s="956"/>
      <c r="J695" s="956"/>
      <c r="K695" s="956"/>
      <c r="L695" s="956"/>
      <c r="M695" s="956"/>
      <c r="N695" s="956"/>
      <c r="O695" s="958"/>
      <c r="P695" s="958"/>
      <c r="Q695" s="958"/>
      <c r="R695" s="958"/>
      <c r="S695" s="958"/>
      <c r="T695" s="958"/>
      <c r="U695" s="958"/>
      <c r="V695" s="958"/>
      <c r="W695" s="958"/>
      <c r="X695" s="958"/>
      <c r="Y695" s="958"/>
      <c r="Z695" s="958"/>
    </row>
    <row r="696" ht="35.25" customHeight="1">
      <c r="A696" s="1019"/>
      <c r="B696" s="956"/>
      <c r="C696" s="956"/>
      <c r="D696" s="957"/>
      <c r="E696" s="956"/>
      <c r="F696" s="956"/>
      <c r="G696" s="956"/>
      <c r="H696" s="956"/>
      <c r="I696" s="956"/>
      <c r="J696" s="956"/>
      <c r="K696" s="956"/>
      <c r="L696" s="956"/>
      <c r="M696" s="956"/>
      <c r="N696" s="956"/>
      <c r="O696" s="958"/>
      <c r="P696" s="958"/>
      <c r="Q696" s="958"/>
      <c r="R696" s="958"/>
      <c r="S696" s="958"/>
      <c r="T696" s="958"/>
      <c r="U696" s="958"/>
      <c r="V696" s="958"/>
      <c r="W696" s="958"/>
      <c r="X696" s="958"/>
      <c r="Y696" s="958"/>
      <c r="Z696" s="958"/>
    </row>
    <row r="697" ht="35.25" customHeight="1">
      <c r="A697" s="1019"/>
      <c r="B697" s="956"/>
      <c r="C697" s="956"/>
      <c r="D697" s="957"/>
      <c r="E697" s="956"/>
      <c r="F697" s="956"/>
      <c r="G697" s="956"/>
      <c r="H697" s="956"/>
      <c r="I697" s="956"/>
      <c r="J697" s="956"/>
      <c r="K697" s="956"/>
      <c r="L697" s="956"/>
      <c r="M697" s="956"/>
      <c r="N697" s="956"/>
      <c r="O697" s="958"/>
      <c r="P697" s="958"/>
      <c r="Q697" s="958"/>
      <c r="R697" s="958"/>
      <c r="S697" s="958"/>
      <c r="T697" s="958"/>
      <c r="U697" s="958"/>
      <c r="V697" s="958"/>
      <c r="W697" s="958"/>
      <c r="X697" s="958"/>
      <c r="Y697" s="958"/>
      <c r="Z697" s="958"/>
    </row>
    <row r="698" ht="35.25" customHeight="1">
      <c r="A698" s="1019"/>
      <c r="B698" s="956"/>
      <c r="C698" s="956"/>
      <c r="D698" s="957"/>
      <c r="E698" s="956"/>
      <c r="F698" s="956"/>
      <c r="G698" s="956"/>
      <c r="H698" s="956"/>
      <c r="I698" s="956"/>
      <c r="J698" s="956"/>
      <c r="K698" s="956"/>
      <c r="L698" s="956"/>
      <c r="M698" s="956"/>
      <c r="N698" s="956"/>
      <c r="O698" s="958"/>
      <c r="P698" s="958"/>
      <c r="Q698" s="958"/>
      <c r="R698" s="958"/>
      <c r="S698" s="958"/>
      <c r="T698" s="958"/>
      <c r="U698" s="958"/>
      <c r="V698" s="958"/>
      <c r="W698" s="958"/>
      <c r="X698" s="958"/>
      <c r="Y698" s="958"/>
      <c r="Z698" s="958"/>
    </row>
    <row r="699" ht="35.25" customHeight="1">
      <c r="A699" s="1019"/>
      <c r="B699" s="956"/>
      <c r="C699" s="956"/>
      <c r="D699" s="957"/>
      <c r="E699" s="956"/>
      <c r="F699" s="956"/>
      <c r="G699" s="956"/>
      <c r="H699" s="956"/>
      <c r="I699" s="956"/>
      <c r="J699" s="956"/>
      <c r="K699" s="956"/>
      <c r="L699" s="956"/>
      <c r="M699" s="956"/>
      <c r="N699" s="956"/>
      <c r="O699" s="958"/>
      <c r="P699" s="958"/>
      <c r="Q699" s="958"/>
      <c r="R699" s="958"/>
      <c r="S699" s="958"/>
      <c r="T699" s="958"/>
      <c r="U699" s="958"/>
      <c r="V699" s="958"/>
      <c r="W699" s="958"/>
      <c r="X699" s="958"/>
      <c r="Y699" s="958"/>
      <c r="Z699" s="958"/>
    </row>
    <row r="700" ht="35.25" customHeight="1">
      <c r="A700" s="1019"/>
      <c r="B700" s="956"/>
      <c r="C700" s="956"/>
      <c r="D700" s="957"/>
      <c r="E700" s="956"/>
      <c r="F700" s="956"/>
      <c r="G700" s="956"/>
      <c r="H700" s="956"/>
      <c r="I700" s="956"/>
      <c r="J700" s="956"/>
      <c r="K700" s="956"/>
      <c r="L700" s="956"/>
      <c r="M700" s="956"/>
      <c r="N700" s="956"/>
      <c r="O700" s="958"/>
      <c r="P700" s="958"/>
      <c r="Q700" s="958"/>
      <c r="R700" s="958"/>
      <c r="S700" s="958"/>
      <c r="T700" s="958"/>
      <c r="U700" s="958"/>
      <c r="V700" s="958"/>
      <c r="W700" s="958"/>
      <c r="X700" s="958"/>
      <c r="Y700" s="958"/>
      <c r="Z700" s="958"/>
    </row>
    <row r="701" ht="35.25" customHeight="1">
      <c r="A701" s="1019"/>
      <c r="B701" s="956"/>
      <c r="C701" s="956"/>
      <c r="D701" s="957"/>
      <c r="E701" s="956"/>
      <c r="F701" s="956"/>
      <c r="G701" s="956"/>
      <c r="H701" s="956"/>
      <c r="I701" s="956"/>
      <c r="J701" s="956"/>
      <c r="K701" s="956"/>
      <c r="L701" s="956"/>
      <c r="M701" s="956"/>
      <c r="N701" s="956"/>
      <c r="O701" s="958"/>
      <c r="P701" s="958"/>
      <c r="Q701" s="958"/>
      <c r="R701" s="958"/>
      <c r="S701" s="958"/>
      <c r="T701" s="958"/>
      <c r="U701" s="958"/>
      <c r="V701" s="958"/>
      <c r="W701" s="958"/>
      <c r="X701" s="958"/>
      <c r="Y701" s="958"/>
      <c r="Z701" s="958"/>
    </row>
    <row r="702" ht="35.25" customHeight="1">
      <c r="A702" s="1019"/>
      <c r="B702" s="956"/>
      <c r="C702" s="956"/>
      <c r="D702" s="957"/>
      <c r="E702" s="956"/>
      <c r="F702" s="956"/>
      <c r="G702" s="956"/>
      <c r="H702" s="956"/>
      <c r="I702" s="956"/>
      <c r="J702" s="956"/>
      <c r="K702" s="956"/>
      <c r="L702" s="956"/>
      <c r="M702" s="956"/>
      <c r="N702" s="956"/>
      <c r="O702" s="958"/>
      <c r="P702" s="958"/>
      <c r="Q702" s="958"/>
      <c r="R702" s="958"/>
      <c r="S702" s="958"/>
      <c r="T702" s="958"/>
      <c r="U702" s="958"/>
      <c r="V702" s="958"/>
      <c r="W702" s="958"/>
      <c r="X702" s="958"/>
      <c r="Y702" s="958"/>
      <c r="Z702" s="958"/>
    </row>
    <row r="703" ht="35.25" customHeight="1">
      <c r="A703" s="1019"/>
      <c r="B703" s="956"/>
      <c r="C703" s="956"/>
      <c r="D703" s="957"/>
      <c r="E703" s="956"/>
      <c r="F703" s="956"/>
      <c r="G703" s="956"/>
      <c r="H703" s="956"/>
      <c r="I703" s="956"/>
      <c r="J703" s="956"/>
      <c r="K703" s="956"/>
      <c r="L703" s="956"/>
      <c r="M703" s="956"/>
      <c r="N703" s="956"/>
      <c r="O703" s="958"/>
      <c r="P703" s="958"/>
      <c r="Q703" s="958"/>
      <c r="R703" s="958"/>
      <c r="S703" s="958"/>
      <c r="T703" s="958"/>
      <c r="U703" s="958"/>
      <c r="V703" s="958"/>
      <c r="W703" s="958"/>
      <c r="X703" s="958"/>
      <c r="Y703" s="958"/>
      <c r="Z703" s="958"/>
    </row>
    <row r="704" ht="35.25" customHeight="1">
      <c r="A704" s="1019"/>
      <c r="B704" s="956"/>
      <c r="C704" s="956"/>
      <c r="D704" s="957"/>
      <c r="E704" s="956"/>
      <c r="F704" s="956"/>
      <c r="G704" s="956"/>
      <c r="H704" s="956"/>
      <c r="I704" s="956"/>
      <c r="J704" s="956"/>
      <c r="K704" s="956"/>
      <c r="L704" s="956"/>
      <c r="M704" s="956"/>
      <c r="N704" s="956"/>
      <c r="O704" s="958"/>
      <c r="P704" s="958"/>
      <c r="Q704" s="958"/>
      <c r="R704" s="958"/>
      <c r="S704" s="958"/>
      <c r="T704" s="958"/>
      <c r="U704" s="958"/>
      <c r="V704" s="958"/>
      <c r="W704" s="958"/>
      <c r="X704" s="958"/>
      <c r="Y704" s="958"/>
      <c r="Z704" s="958"/>
    </row>
    <row r="705" ht="35.25" customHeight="1">
      <c r="A705" s="1019"/>
      <c r="B705" s="956"/>
      <c r="C705" s="956"/>
      <c r="D705" s="957"/>
      <c r="E705" s="956"/>
      <c r="F705" s="956"/>
      <c r="G705" s="956"/>
      <c r="H705" s="956"/>
      <c r="I705" s="956"/>
      <c r="J705" s="956"/>
      <c r="K705" s="956"/>
      <c r="L705" s="956"/>
      <c r="M705" s="956"/>
      <c r="N705" s="956"/>
      <c r="O705" s="958"/>
      <c r="P705" s="958"/>
      <c r="Q705" s="958"/>
      <c r="R705" s="958"/>
      <c r="S705" s="958"/>
      <c r="T705" s="958"/>
      <c r="U705" s="958"/>
      <c r="V705" s="958"/>
      <c r="W705" s="958"/>
      <c r="X705" s="958"/>
      <c r="Y705" s="958"/>
      <c r="Z705" s="958"/>
    </row>
    <row r="706" ht="35.25" customHeight="1">
      <c r="A706" s="1019"/>
      <c r="B706" s="956"/>
      <c r="C706" s="956"/>
      <c r="D706" s="957"/>
      <c r="E706" s="956"/>
      <c r="F706" s="956"/>
      <c r="G706" s="956"/>
      <c r="H706" s="956"/>
      <c r="I706" s="956"/>
      <c r="J706" s="956"/>
      <c r="K706" s="956"/>
      <c r="L706" s="956"/>
      <c r="M706" s="956"/>
      <c r="N706" s="956"/>
      <c r="O706" s="958"/>
      <c r="P706" s="958"/>
      <c r="Q706" s="958"/>
      <c r="R706" s="958"/>
      <c r="S706" s="958"/>
      <c r="T706" s="958"/>
      <c r="U706" s="958"/>
      <c r="V706" s="958"/>
      <c r="W706" s="958"/>
      <c r="X706" s="958"/>
      <c r="Y706" s="958"/>
      <c r="Z706" s="958"/>
    </row>
    <row r="707" ht="35.25" customHeight="1">
      <c r="A707" s="1019"/>
      <c r="B707" s="956"/>
      <c r="C707" s="956"/>
      <c r="D707" s="957"/>
      <c r="E707" s="956"/>
      <c r="F707" s="956"/>
      <c r="G707" s="956"/>
      <c r="H707" s="956"/>
      <c r="I707" s="956"/>
      <c r="J707" s="956"/>
      <c r="K707" s="956"/>
      <c r="L707" s="956"/>
      <c r="M707" s="956"/>
      <c r="N707" s="956"/>
      <c r="O707" s="958"/>
      <c r="P707" s="958"/>
      <c r="Q707" s="958"/>
      <c r="R707" s="958"/>
      <c r="S707" s="958"/>
      <c r="T707" s="958"/>
      <c r="U707" s="958"/>
      <c r="V707" s="958"/>
      <c r="W707" s="958"/>
      <c r="X707" s="958"/>
      <c r="Y707" s="958"/>
      <c r="Z707" s="958"/>
    </row>
    <row r="708" ht="35.25" customHeight="1">
      <c r="A708" s="1019"/>
      <c r="B708" s="956"/>
      <c r="C708" s="956"/>
      <c r="D708" s="957"/>
      <c r="E708" s="956"/>
      <c r="F708" s="956"/>
      <c r="G708" s="956"/>
      <c r="H708" s="956"/>
      <c r="I708" s="956"/>
      <c r="J708" s="956"/>
      <c r="K708" s="956"/>
      <c r="L708" s="956"/>
      <c r="M708" s="956"/>
      <c r="N708" s="956"/>
      <c r="O708" s="958"/>
      <c r="P708" s="958"/>
      <c r="Q708" s="958"/>
      <c r="R708" s="958"/>
      <c r="S708" s="958"/>
      <c r="T708" s="958"/>
      <c r="U708" s="958"/>
      <c r="V708" s="958"/>
      <c r="W708" s="958"/>
      <c r="X708" s="958"/>
      <c r="Y708" s="958"/>
      <c r="Z708" s="958"/>
    </row>
    <row r="709" ht="35.25" customHeight="1">
      <c r="A709" s="1019"/>
      <c r="B709" s="956"/>
      <c r="C709" s="956"/>
      <c r="D709" s="957"/>
      <c r="E709" s="956"/>
      <c r="F709" s="956"/>
      <c r="G709" s="956"/>
      <c r="H709" s="956"/>
      <c r="I709" s="956"/>
      <c r="J709" s="956"/>
      <c r="K709" s="956"/>
      <c r="L709" s="956"/>
      <c r="M709" s="956"/>
      <c r="N709" s="956"/>
      <c r="O709" s="958"/>
      <c r="P709" s="958"/>
      <c r="Q709" s="958"/>
      <c r="R709" s="958"/>
      <c r="S709" s="958"/>
      <c r="T709" s="958"/>
      <c r="U709" s="958"/>
      <c r="V709" s="958"/>
      <c r="W709" s="958"/>
      <c r="X709" s="958"/>
      <c r="Y709" s="958"/>
      <c r="Z709" s="958"/>
    </row>
    <row r="710" ht="35.25" customHeight="1">
      <c r="A710" s="1019"/>
      <c r="B710" s="956"/>
      <c r="C710" s="956"/>
      <c r="D710" s="957"/>
      <c r="E710" s="956"/>
      <c r="F710" s="956"/>
      <c r="G710" s="956"/>
      <c r="H710" s="956"/>
      <c r="I710" s="956"/>
      <c r="J710" s="956"/>
      <c r="K710" s="956"/>
      <c r="L710" s="956"/>
      <c r="M710" s="956"/>
      <c r="N710" s="956"/>
      <c r="O710" s="958"/>
      <c r="P710" s="958"/>
      <c r="Q710" s="958"/>
      <c r="R710" s="958"/>
      <c r="S710" s="958"/>
      <c r="T710" s="958"/>
      <c r="U710" s="958"/>
      <c r="V710" s="958"/>
      <c r="W710" s="958"/>
      <c r="X710" s="958"/>
      <c r="Y710" s="958"/>
      <c r="Z710" s="958"/>
    </row>
    <row r="711" ht="35.25" customHeight="1">
      <c r="A711" s="1019"/>
      <c r="B711" s="956"/>
      <c r="C711" s="956"/>
      <c r="D711" s="957"/>
      <c r="E711" s="956"/>
      <c r="F711" s="956"/>
      <c r="G711" s="956"/>
      <c r="H711" s="956"/>
      <c r="I711" s="956"/>
      <c r="J711" s="956"/>
      <c r="K711" s="956"/>
      <c r="L711" s="956"/>
      <c r="M711" s="956"/>
      <c r="N711" s="956"/>
      <c r="O711" s="958"/>
      <c r="P711" s="958"/>
      <c r="Q711" s="958"/>
      <c r="R711" s="958"/>
      <c r="S711" s="958"/>
      <c r="T711" s="958"/>
      <c r="U711" s="958"/>
      <c r="V711" s="958"/>
      <c r="W711" s="958"/>
      <c r="X711" s="958"/>
      <c r="Y711" s="958"/>
      <c r="Z711" s="958"/>
    </row>
    <row r="712" ht="35.25" customHeight="1">
      <c r="A712" s="1019"/>
      <c r="B712" s="956"/>
      <c r="C712" s="956"/>
      <c r="D712" s="957"/>
      <c r="E712" s="956"/>
      <c r="F712" s="956"/>
      <c r="G712" s="956"/>
      <c r="H712" s="956"/>
      <c r="I712" s="956"/>
      <c r="J712" s="956"/>
      <c r="K712" s="956"/>
      <c r="L712" s="956"/>
      <c r="M712" s="956"/>
      <c r="N712" s="956"/>
      <c r="O712" s="958"/>
      <c r="P712" s="958"/>
      <c r="Q712" s="958"/>
      <c r="R712" s="958"/>
      <c r="S712" s="958"/>
      <c r="T712" s="958"/>
      <c r="U712" s="958"/>
      <c r="V712" s="958"/>
      <c r="W712" s="958"/>
      <c r="X712" s="958"/>
      <c r="Y712" s="958"/>
      <c r="Z712" s="958"/>
    </row>
    <row r="713" ht="35.25" customHeight="1">
      <c r="A713" s="1019"/>
      <c r="B713" s="956"/>
      <c r="C713" s="956"/>
      <c r="D713" s="957"/>
      <c r="E713" s="956"/>
      <c r="F713" s="956"/>
      <c r="G713" s="956"/>
      <c r="H713" s="956"/>
      <c r="I713" s="956"/>
      <c r="J713" s="956"/>
      <c r="K713" s="956"/>
      <c r="L713" s="956"/>
      <c r="M713" s="956"/>
      <c r="N713" s="956"/>
      <c r="O713" s="958"/>
      <c r="P713" s="958"/>
      <c r="Q713" s="958"/>
      <c r="R713" s="958"/>
      <c r="S713" s="958"/>
      <c r="T713" s="958"/>
      <c r="U713" s="958"/>
      <c r="V713" s="958"/>
      <c r="W713" s="958"/>
      <c r="X713" s="958"/>
      <c r="Y713" s="958"/>
      <c r="Z713" s="958"/>
    </row>
    <row r="714" ht="35.25" customHeight="1">
      <c r="A714" s="1019"/>
      <c r="B714" s="956"/>
      <c r="C714" s="956"/>
      <c r="D714" s="957"/>
      <c r="E714" s="956"/>
      <c r="F714" s="956"/>
      <c r="G714" s="956"/>
      <c r="H714" s="956"/>
      <c r="I714" s="956"/>
      <c r="J714" s="956"/>
      <c r="K714" s="956"/>
      <c r="L714" s="956"/>
      <c r="M714" s="956"/>
      <c r="N714" s="956"/>
      <c r="O714" s="958"/>
      <c r="P714" s="958"/>
      <c r="Q714" s="958"/>
      <c r="R714" s="958"/>
      <c r="S714" s="958"/>
      <c r="T714" s="958"/>
      <c r="U714" s="958"/>
      <c r="V714" s="958"/>
      <c r="W714" s="958"/>
      <c r="X714" s="958"/>
      <c r="Y714" s="958"/>
      <c r="Z714" s="958"/>
    </row>
    <row r="715" ht="35.25" customHeight="1">
      <c r="A715" s="1019"/>
      <c r="B715" s="956"/>
      <c r="C715" s="956"/>
      <c r="D715" s="957"/>
      <c r="E715" s="956"/>
      <c r="F715" s="956"/>
      <c r="G715" s="956"/>
      <c r="H715" s="956"/>
      <c r="I715" s="956"/>
      <c r="J715" s="956"/>
      <c r="K715" s="956"/>
      <c r="L715" s="956"/>
      <c r="M715" s="956"/>
      <c r="N715" s="956"/>
      <c r="O715" s="958"/>
      <c r="P715" s="958"/>
      <c r="Q715" s="958"/>
      <c r="R715" s="958"/>
      <c r="S715" s="958"/>
      <c r="T715" s="958"/>
      <c r="U715" s="958"/>
      <c r="V715" s="958"/>
      <c r="W715" s="958"/>
      <c r="X715" s="958"/>
      <c r="Y715" s="958"/>
      <c r="Z715" s="958"/>
    </row>
    <row r="716" ht="35.25" customHeight="1">
      <c r="A716" s="1019"/>
      <c r="B716" s="956"/>
      <c r="C716" s="956"/>
      <c r="D716" s="957"/>
      <c r="E716" s="956"/>
      <c r="F716" s="956"/>
      <c r="G716" s="956"/>
      <c r="H716" s="956"/>
      <c r="I716" s="956"/>
      <c r="J716" s="956"/>
      <c r="K716" s="956"/>
      <c r="L716" s="956"/>
      <c r="M716" s="956"/>
      <c r="N716" s="956"/>
      <c r="O716" s="958"/>
      <c r="P716" s="958"/>
      <c r="Q716" s="958"/>
      <c r="R716" s="958"/>
      <c r="S716" s="958"/>
      <c r="T716" s="958"/>
      <c r="U716" s="958"/>
      <c r="V716" s="958"/>
      <c r="W716" s="958"/>
      <c r="X716" s="958"/>
      <c r="Y716" s="958"/>
      <c r="Z716" s="958"/>
    </row>
    <row r="717" ht="35.25" customHeight="1">
      <c r="A717" s="1019"/>
      <c r="B717" s="956"/>
      <c r="C717" s="956"/>
      <c r="D717" s="957"/>
      <c r="E717" s="956"/>
      <c r="F717" s="956"/>
      <c r="G717" s="956"/>
      <c r="H717" s="956"/>
      <c r="I717" s="956"/>
      <c r="J717" s="956"/>
      <c r="K717" s="956"/>
      <c r="L717" s="956"/>
      <c r="M717" s="956"/>
      <c r="N717" s="956"/>
      <c r="O717" s="958"/>
      <c r="P717" s="958"/>
      <c r="Q717" s="958"/>
      <c r="R717" s="958"/>
      <c r="S717" s="958"/>
      <c r="T717" s="958"/>
      <c r="U717" s="958"/>
      <c r="V717" s="958"/>
      <c r="W717" s="958"/>
      <c r="X717" s="958"/>
      <c r="Y717" s="958"/>
      <c r="Z717" s="958"/>
    </row>
    <row r="718" ht="35.25" customHeight="1">
      <c r="A718" s="1019"/>
      <c r="B718" s="956"/>
      <c r="C718" s="956"/>
      <c r="D718" s="957"/>
      <c r="E718" s="956"/>
      <c r="F718" s="956"/>
      <c r="G718" s="956"/>
      <c r="H718" s="956"/>
      <c r="I718" s="956"/>
      <c r="J718" s="956"/>
      <c r="K718" s="956"/>
      <c r="L718" s="956"/>
      <c r="M718" s="956"/>
      <c r="N718" s="956"/>
      <c r="O718" s="958"/>
      <c r="P718" s="958"/>
      <c r="Q718" s="958"/>
      <c r="R718" s="958"/>
      <c r="S718" s="958"/>
      <c r="T718" s="958"/>
      <c r="U718" s="958"/>
      <c r="V718" s="958"/>
      <c r="W718" s="958"/>
      <c r="X718" s="958"/>
      <c r="Y718" s="958"/>
      <c r="Z718" s="958"/>
    </row>
    <row r="719" ht="35.25" customHeight="1">
      <c r="A719" s="1019"/>
      <c r="B719" s="956"/>
      <c r="C719" s="956"/>
      <c r="D719" s="957"/>
      <c r="E719" s="956"/>
      <c r="F719" s="956"/>
      <c r="G719" s="956"/>
      <c r="H719" s="956"/>
      <c r="I719" s="956"/>
      <c r="J719" s="956"/>
      <c r="K719" s="956"/>
      <c r="L719" s="956"/>
      <c r="M719" s="956"/>
      <c r="N719" s="956"/>
      <c r="O719" s="958"/>
      <c r="P719" s="958"/>
      <c r="Q719" s="958"/>
      <c r="R719" s="958"/>
      <c r="S719" s="958"/>
      <c r="T719" s="958"/>
      <c r="U719" s="958"/>
      <c r="V719" s="958"/>
      <c r="W719" s="958"/>
      <c r="X719" s="958"/>
      <c r="Y719" s="958"/>
      <c r="Z719" s="958"/>
    </row>
    <row r="720" ht="35.25" customHeight="1">
      <c r="A720" s="1019"/>
      <c r="B720" s="956"/>
      <c r="C720" s="956"/>
      <c r="D720" s="957"/>
      <c r="E720" s="956"/>
      <c r="F720" s="956"/>
      <c r="G720" s="956"/>
      <c r="H720" s="956"/>
      <c r="I720" s="956"/>
      <c r="J720" s="956"/>
      <c r="K720" s="956"/>
      <c r="L720" s="956"/>
      <c r="M720" s="956"/>
      <c r="N720" s="956"/>
      <c r="O720" s="958"/>
      <c r="P720" s="958"/>
      <c r="Q720" s="958"/>
      <c r="R720" s="958"/>
      <c r="S720" s="958"/>
      <c r="T720" s="958"/>
      <c r="U720" s="958"/>
      <c r="V720" s="958"/>
      <c r="W720" s="958"/>
      <c r="X720" s="958"/>
      <c r="Y720" s="958"/>
      <c r="Z720" s="958"/>
    </row>
    <row r="721" ht="35.25" customHeight="1">
      <c r="A721" s="1019"/>
      <c r="B721" s="956"/>
      <c r="C721" s="956"/>
      <c r="D721" s="957"/>
      <c r="E721" s="956"/>
      <c r="F721" s="956"/>
      <c r="G721" s="956"/>
      <c r="H721" s="956"/>
      <c r="I721" s="956"/>
      <c r="J721" s="956"/>
      <c r="K721" s="956"/>
      <c r="L721" s="956"/>
      <c r="M721" s="956"/>
      <c r="N721" s="956"/>
      <c r="O721" s="958"/>
      <c r="P721" s="958"/>
      <c r="Q721" s="958"/>
      <c r="R721" s="958"/>
      <c r="S721" s="958"/>
      <c r="T721" s="958"/>
      <c r="U721" s="958"/>
      <c r="V721" s="958"/>
      <c r="W721" s="958"/>
      <c r="X721" s="958"/>
      <c r="Y721" s="958"/>
      <c r="Z721" s="958"/>
    </row>
    <row r="722" ht="35.25" customHeight="1">
      <c r="A722" s="1019"/>
      <c r="B722" s="956"/>
      <c r="C722" s="956"/>
      <c r="D722" s="957"/>
      <c r="E722" s="956"/>
      <c r="F722" s="956"/>
      <c r="G722" s="956"/>
      <c r="H722" s="956"/>
      <c r="I722" s="956"/>
      <c r="J722" s="956"/>
      <c r="K722" s="956"/>
      <c r="L722" s="956"/>
      <c r="M722" s="956"/>
      <c r="N722" s="956"/>
      <c r="O722" s="958"/>
      <c r="P722" s="958"/>
      <c r="Q722" s="958"/>
      <c r="R722" s="958"/>
      <c r="S722" s="958"/>
      <c r="T722" s="958"/>
      <c r="U722" s="958"/>
      <c r="V722" s="958"/>
      <c r="W722" s="958"/>
      <c r="X722" s="958"/>
      <c r="Y722" s="958"/>
      <c r="Z722" s="958"/>
    </row>
    <row r="723" ht="35.25" customHeight="1">
      <c r="A723" s="1019"/>
      <c r="B723" s="956"/>
      <c r="C723" s="956"/>
      <c r="D723" s="957"/>
      <c r="E723" s="956"/>
      <c r="F723" s="956"/>
      <c r="G723" s="956"/>
      <c r="H723" s="956"/>
      <c r="I723" s="956"/>
      <c r="J723" s="956"/>
      <c r="K723" s="956"/>
      <c r="L723" s="956"/>
      <c r="M723" s="956"/>
      <c r="N723" s="956"/>
      <c r="O723" s="958"/>
      <c r="P723" s="958"/>
      <c r="Q723" s="958"/>
      <c r="R723" s="958"/>
      <c r="S723" s="958"/>
      <c r="T723" s="958"/>
      <c r="U723" s="958"/>
      <c r="V723" s="958"/>
      <c r="W723" s="958"/>
      <c r="X723" s="958"/>
      <c r="Y723" s="958"/>
      <c r="Z723" s="958"/>
    </row>
    <row r="724" ht="35.25" customHeight="1">
      <c r="A724" s="1019"/>
      <c r="B724" s="956"/>
      <c r="C724" s="956"/>
      <c r="D724" s="957"/>
      <c r="E724" s="956"/>
      <c r="F724" s="956"/>
      <c r="G724" s="956"/>
      <c r="H724" s="956"/>
      <c r="I724" s="956"/>
      <c r="J724" s="956"/>
      <c r="K724" s="956"/>
      <c r="L724" s="956"/>
      <c r="M724" s="956"/>
      <c r="N724" s="956"/>
      <c r="O724" s="958"/>
      <c r="P724" s="958"/>
      <c r="Q724" s="958"/>
      <c r="R724" s="958"/>
      <c r="S724" s="958"/>
      <c r="T724" s="958"/>
      <c r="U724" s="958"/>
      <c r="V724" s="958"/>
      <c r="W724" s="958"/>
      <c r="X724" s="958"/>
      <c r="Y724" s="958"/>
      <c r="Z724" s="958"/>
    </row>
    <row r="725" ht="35.25" customHeight="1">
      <c r="A725" s="1019"/>
      <c r="B725" s="956"/>
      <c r="C725" s="956"/>
      <c r="D725" s="957"/>
      <c r="E725" s="956"/>
      <c r="F725" s="956"/>
      <c r="G725" s="956"/>
      <c r="H725" s="956"/>
      <c r="I725" s="956"/>
      <c r="J725" s="956"/>
      <c r="K725" s="956"/>
      <c r="L725" s="956"/>
      <c r="M725" s="956"/>
      <c r="N725" s="956"/>
      <c r="O725" s="958"/>
      <c r="P725" s="958"/>
      <c r="Q725" s="958"/>
      <c r="R725" s="958"/>
      <c r="S725" s="958"/>
      <c r="T725" s="958"/>
      <c r="U725" s="958"/>
      <c r="V725" s="958"/>
      <c r="W725" s="958"/>
      <c r="X725" s="958"/>
      <c r="Y725" s="958"/>
      <c r="Z725" s="958"/>
    </row>
    <row r="726" ht="35.25" customHeight="1">
      <c r="A726" s="1019"/>
      <c r="B726" s="956"/>
      <c r="C726" s="956"/>
      <c r="D726" s="957"/>
      <c r="E726" s="956"/>
      <c r="F726" s="956"/>
      <c r="G726" s="956"/>
      <c r="H726" s="956"/>
      <c r="I726" s="956"/>
      <c r="J726" s="956"/>
      <c r="K726" s="956"/>
      <c r="L726" s="956"/>
      <c r="M726" s="956"/>
      <c r="N726" s="956"/>
      <c r="O726" s="958"/>
      <c r="P726" s="958"/>
      <c r="Q726" s="958"/>
      <c r="R726" s="958"/>
      <c r="S726" s="958"/>
      <c r="T726" s="958"/>
      <c r="U726" s="958"/>
      <c r="V726" s="958"/>
      <c r="W726" s="958"/>
      <c r="X726" s="958"/>
      <c r="Y726" s="958"/>
      <c r="Z726" s="958"/>
    </row>
    <row r="727" ht="35.25" customHeight="1">
      <c r="A727" s="1019"/>
      <c r="B727" s="956"/>
      <c r="C727" s="956"/>
      <c r="D727" s="957"/>
      <c r="E727" s="956"/>
      <c r="F727" s="956"/>
      <c r="G727" s="956"/>
      <c r="H727" s="956"/>
      <c r="I727" s="956"/>
      <c r="J727" s="956"/>
      <c r="K727" s="956"/>
      <c r="L727" s="956"/>
      <c r="M727" s="956"/>
      <c r="N727" s="956"/>
      <c r="O727" s="958"/>
      <c r="P727" s="958"/>
      <c r="Q727" s="958"/>
      <c r="R727" s="958"/>
      <c r="S727" s="958"/>
      <c r="T727" s="958"/>
      <c r="U727" s="958"/>
      <c r="V727" s="958"/>
      <c r="W727" s="958"/>
      <c r="X727" s="958"/>
      <c r="Y727" s="958"/>
      <c r="Z727" s="958"/>
    </row>
    <row r="728" ht="35.25" customHeight="1">
      <c r="A728" s="1019"/>
      <c r="B728" s="956"/>
      <c r="C728" s="956"/>
      <c r="D728" s="957"/>
      <c r="E728" s="956"/>
      <c r="F728" s="956"/>
      <c r="G728" s="956"/>
      <c r="H728" s="956"/>
      <c r="I728" s="956"/>
      <c r="J728" s="956"/>
      <c r="K728" s="956"/>
      <c r="L728" s="956"/>
      <c r="M728" s="956"/>
      <c r="N728" s="956"/>
      <c r="O728" s="958"/>
      <c r="P728" s="958"/>
      <c r="Q728" s="958"/>
      <c r="R728" s="958"/>
      <c r="S728" s="958"/>
      <c r="T728" s="958"/>
      <c r="U728" s="958"/>
      <c r="V728" s="958"/>
      <c r="W728" s="958"/>
      <c r="X728" s="958"/>
      <c r="Y728" s="958"/>
      <c r="Z728" s="958"/>
    </row>
    <row r="729" ht="35.25" customHeight="1">
      <c r="A729" s="1019"/>
      <c r="B729" s="956"/>
      <c r="C729" s="956"/>
      <c r="D729" s="957"/>
      <c r="E729" s="956"/>
      <c r="F729" s="956"/>
      <c r="G729" s="956"/>
      <c r="H729" s="956"/>
      <c r="I729" s="956"/>
      <c r="J729" s="956"/>
      <c r="K729" s="956"/>
      <c r="L729" s="956"/>
      <c r="M729" s="956"/>
      <c r="N729" s="956"/>
      <c r="O729" s="958"/>
      <c r="P729" s="958"/>
      <c r="Q729" s="958"/>
      <c r="R729" s="958"/>
      <c r="S729" s="958"/>
      <c r="T729" s="958"/>
      <c r="U729" s="958"/>
      <c r="V729" s="958"/>
      <c r="W729" s="958"/>
      <c r="X729" s="958"/>
      <c r="Y729" s="958"/>
      <c r="Z729" s="958"/>
    </row>
    <row r="730" ht="35.25" customHeight="1">
      <c r="A730" s="1019"/>
      <c r="B730" s="956"/>
      <c r="C730" s="956"/>
      <c r="D730" s="957"/>
      <c r="E730" s="956"/>
      <c r="F730" s="956"/>
      <c r="G730" s="956"/>
      <c r="H730" s="956"/>
      <c r="I730" s="956"/>
      <c r="J730" s="956"/>
      <c r="K730" s="956"/>
      <c r="L730" s="956"/>
      <c r="M730" s="956"/>
      <c r="N730" s="956"/>
      <c r="O730" s="958"/>
      <c r="P730" s="958"/>
      <c r="Q730" s="958"/>
      <c r="R730" s="958"/>
      <c r="S730" s="958"/>
      <c r="T730" s="958"/>
      <c r="U730" s="958"/>
      <c r="V730" s="958"/>
      <c r="W730" s="958"/>
      <c r="X730" s="958"/>
      <c r="Y730" s="958"/>
      <c r="Z730" s="958"/>
    </row>
    <row r="731" ht="35.25" customHeight="1">
      <c r="A731" s="1019"/>
      <c r="B731" s="956"/>
      <c r="C731" s="956"/>
      <c r="D731" s="957"/>
      <c r="E731" s="956"/>
      <c r="F731" s="956"/>
      <c r="G731" s="956"/>
      <c r="H731" s="956"/>
      <c r="I731" s="956"/>
      <c r="J731" s="956"/>
      <c r="K731" s="956"/>
      <c r="L731" s="956"/>
      <c r="M731" s="956"/>
      <c r="N731" s="956"/>
      <c r="O731" s="958"/>
      <c r="P731" s="958"/>
      <c r="Q731" s="958"/>
      <c r="R731" s="958"/>
      <c r="S731" s="958"/>
      <c r="T731" s="958"/>
      <c r="U731" s="958"/>
      <c r="V731" s="958"/>
      <c r="W731" s="958"/>
      <c r="X731" s="958"/>
      <c r="Y731" s="958"/>
      <c r="Z731" s="958"/>
    </row>
    <row r="732" ht="35.25" customHeight="1">
      <c r="A732" s="1019"/>
      <c r="B732" s="956"/>
      <c r="C732" s="956"/>
      <c r="D732" s="957"/>
      <c r="E732" s="956"/>
      <c r="F732" s="956"/>
      <c r="G732" s="956"/>
      <c r="H732" s="956"/>
      <c r="I732" s="956"/>
      <c r="J732" s="956"/>
      <c r="K732" s="956"/>
      <c r="L732" s="956"/>
      <c r="M732" s="956"/>
      <c r="N732" s="956"/>
      <c r="O732" s="958"/>
      <c r="P732" s="958"/>
      <c r="Q732" s="958"/>
      <c r="R732" s="958"/>
      <c r="S732" s="958"/>
      <c r="T732" s="958"/>
      <c r="U732" s="958"/>
      <c r="V732" s="958"/>
      <c r="W732" s="958"/>
      <c r="X732" s="958"/>
      <c r="Y732" s="958"/>
      <c r="Z732" s="958"/>
    </row>
    <row r="733" ht="35.25" customHeight="1">
      <c r="A733" s="1019"/>
      <c r="B733" s="956"/>
      <c r="C733" s="956"/>
      <c r="D733" s="957"/>
      <c r="E733" s="956"/>
      <c r="F733" s="956"/>
      <c r="G733" s="956"/>
      <c r="H733" s="956"/>
      <c r="I733" s="956"/>
      <c r="J733" s="956"/>
      <c r="K733" s="956"/>
      <c r="L733" s="956"/>
      <c r="M733" s="956"/>
      <c r="N733" s="956"/>
      <c r="O733" s="958"/>
      <c r="P733" s="958"/>
      <c r="Q733" s="958"/>
      <c r="R733" s="958"/>
      <c r="S733" s="958"/>
      <c r="T733" s="958"/>
      <c r="U733" s="958"/>
      <c r="V733" s="958"/>
      <c r="W733" s="958"/>
      <c r="X733" s="958"/>
      <c r="Y733" s="958"/>
      <c r="Z733" s="958"/>
    </row>
    <row r="734" ht="35.25" customHeight="1">
      <c r="A734" s="1019"/>
      <c r="B734" s="956"/>
      <c r="C734" s="956"/>
      <c r="D734" s="957"/>
      <c r="E734" s="956"/>
      <c r="F734" s="956"/>
      <c r="G734" s="956"/>
      <c r="H734" s="956"/>
      <c r="I734" s="956"/>
      <c r="J734" s="956"/>
      <c r="K734" s="956"/>
      <c r="L734" s="956"/>
      <c r="M734" s="956"/>
      <c r="N734" s="956"/>
      <c r="O734" s="958"/>
      <c r="P734" s="958"/>
      <c r="Q734" s="958"/>
      <c r="R734" s="958"/>
      <c r="S734" s="958"/>
      <c r="T734" s="958"/>
      <c r="U734" s="958"/>
      <c r="V734" s="958"/>
      <c r="W734" s="958"/>
      <c r="X734" s="958"/>
      <c r="Y734" s="958"/>
      <c r="Z734" s="958"/>
    </row>
    <row r="735" ht="35.25" customHeight="1">
      <c r="A735" s="1019"/>
      <c r="B735" s="956"/>
      <c r="C735" s="956"/>
      <c r="D735" s="956"/>
      <c r="E735" s="956"/>
      <c r="F735" s="956"/>
      <c r="G735" s="956"/>
      <c r="H735" s="956"/>
      <c r="I735" s="956"/>
      <c r="J735" s="956"/>
      <c r="K735" s="956"/>
      <c r="L735" s="956"/>
      <c r="M735" s="956"/>
      <c r="N735" s="956"/>
      <c r="O735" s="958"/>
      <c r="P735" s="958"/>
      <c r="Q735" s="958"/>
      <c r="R735" s="958"/>
      <c r="S735" s="958"/>
      <c r="T735" s="958"/>
      <c r="U735" s="958"/>
      <c r="V735" s="958"/>
      <c r="W735" s="958"/>
      <c r="X735" s="958"/>
      <c r="Y735" s="958"/>
      <c r="Z735" s="958"/>
    </row>
    <row r="736" ht="35.25" customHeight="1">
      <c r="A736" s="1019"/>
      <c r="B736" s="956"/>
      <c r="C736" s="956"/>
      <c r="D736" s="956"/>
      <c r="E736" s="956"/>
      <c r="F736" s="956"/>
      <c r="G736" s="956"/>
      <c r="H736" s="956"/>
      <c r="I736" s="956"/>
      <c r="J736" s="956"/>
      <c r="K736" s="956"/>
      <c r="L736" s="956"/>
      <c r="M736" s="956"/>
      <c r="N736" s="956"/>
      <c r="O736" s="958"/>
      <c r="P736" s="958"/>
      <c r="Q736" s="958"/>
      <c r="R736" s="958"/>
      <c r="S736" s="958"/>
      <c r="T736" s="958"/>
      <c r="U736" s="958"/>
      <c r="V736" s="958"/>
      <c r="W736" s="958"/>
      <c r="X736" s="958"/>
      <c r="Y736" s="958"/>
      <c r="Z736" s="958"/>
    </row>
    <row r="737" ht="35.25" customHeight="1">
      <c r="A737" s="1019"/>
      <c r="B737" s="956"/>
      <c r="C737" s="956"/>
      <c r="D737" s="956"/>
      <c r="E737" s="956"/>
      <c r="F737" s="956"/>
      <c r="G737" s="956"/>
      <c r="H737" s="956"/>
      <c r="I737" s="956"/>
      <c r="J737" s="956"/>
      <c r="K737" s="956"/>
      <c r="L737" s="956"/>
      <c r="M737" s="956"/>
      <c r="N737" s="956"/>
      <c r="O737" s="958"/>
      <c r="P737" s="958"/>
      <c r="Q737" s="958"/>
      <c r="R737" s="958"/>
      <c r="S737" s="958"/>
      <c r="T737" s="958"/>
      <c r="U737" s="958"/>
      <c r="V737" s="958"/>
      <c r="W737" s="958"/>
      <c r="X737" s="958"/>
      <c r="Y737" s="958"/>
      <c r="Z737" s="958"/>
    </row>
    <row r="738" ht="35.25" customHeight="1">
      <c r="A738" s="1019"/>
      <c r="B738" s="956"/>
      <c r="C738" s="956"/>
      <c r="D738" s="956"/>
      <c r="E738" s="956"/>
      <c r="F738" s="956"/>
      <c r="G738" s="956"/>
      <c r="H738" s="956"/>
      <c r="I738" s="956"/>
      <c r="J738" s="956"/>
      <c r="K738" s="956"/>
      <c r="L738" s="956"/>
      <c r="M738" s="956"/>
      <c r="N738" s="956"/>
      <c r="O738" s="958"/>
      <c r="P738" s="958"/>
      <c r="Q738" s="958"/>
      <c r="R738" s="958"/>
      <c r="S738" s="958"/>
      <c r="T738" s="958"/>
      <c r="U738" s="958"/>
      <c r="V738" s="958"/>
      <c r="W738" s="958"/>
      <c r="X738" s="958"/>
      <c r="Y738" s="958"/>
      <c r="Z738" s="958"/>
    </row>
    <row r="739">
      <c r="A739" s="1020"/>
      <c r="B739" s="958"/>
      <c r="C739" s="958"/>
      <c r="D739" s="958"/>
      <c r="E739" s="958"/>
      <c r="F739" s="958"/>
      <c r="G739" s="958"/>
      <c r="H739" s="958"/>
      <c r="I739" s="958"/>
      <c r="J739" s="958"/>
      <c r="K739" s="958"/>
      <c r="L739" s="958"/>
      <c r="M739" s="958"/>
      <c r="N739" s="958"/>
      <c r="O739" s="958"/>
      <c r="P739" s="958"/>
      <c r="Q739" s="958"/>
      <c r="R739" s="958"/>
      <c r="S739" s="958"/>
      <c r="T739" s="958"/>
      <c r="U739" s="958"/>
      <c r="V739" s="958"/>
      <c r="W739" s="958"/>
      <c r="X739" s="958"/>
      <c r="Y739" s="958"/>
      <c r="Z739" s="958"/>
    </row>
    <row r="740">
      <c r="A740" s="1020"/>
      <c r="B740" s="958"/>
      <c r="C740" s="958"/>
      <c r="D740" s="958"/>
      <c r="E740" s="958"/>
      <c r="F740" s="958"/>
      <c r="G740" s="958"/>
      <c r="H740" s="958"/>
      <c r="I740" s="958"/>
      <c r="J740" s="958"/>
      <c r="K740" s="958"/>
      <c r="L740" s="958"/>
      <c r="M740" s="958"/>
      <c r="N740" s="958"/>
      <c r="O740" s="958"/>
      <c r="P740" s="958"/>
      <c r="Q740" s="958"/>
      <c r="R740" s="958"/>
      <c r="S740" s="958"/>
      <c r="T740" s="958"/>
      <c r="U740" s="958"/>
      <c r="V740" s="958"/>
      <c r="W740" s="958"/>
      <c r="X740" s="958"/>
      <c r="Y740" s="958"/>
      <c r="Z740" s="958"/>
    </row>
    <row r="741">
      <c r="A741" s="1020"/>
      <c r="B741" s="958"/>
      <c r="C741" s="958"/>
      <c r="D741" s="958"/>
      <c r="E741" s="958"/>
      <c r="F741" s="958"/>
      <c r="G741" s="958"/>
      <c r="H741" s="958"/>
      <c r="I741" s="958"/>
      <c r="J741" s="958"/>
      <c r="K741" s="958"/>
      <c r="L741" s="958"/>
      <c r="M741" s="958"/>
      <c r="N741" s="958"/>
      <c r="O741" s="958"/>
      <c r="P741" s="958"/>
      <c r="Q741" s="958"/>
      <c r="R741" s="958"/>
      <c r="S741" s="958"/>
      <c r="T741" s="958"/>
      <c r="U741" s="958"/>
      <c r="V741" s="958"/>
      <c r="W741" s="958"/>
      <c r="X741" s="958"/>
      <c r="Y741" s="958"/>
      <c r="Z741" s="958"/>
    </row>
    <row r="742">
      <c r="A742" s="1020"/>
      <c r="B742" s="958"/>
      <c r="C742" s="958"/>
      <c r="D742" s="958"/>
      <c r="E742" s="958"/>
      <c r="F742" s="958"/>
      <c r="G742" s="958"/>
      <c r="H742" s="958"/>
      <c r="I742" s="958"/>
      <c r="J742" s="958"/>
      <c r="K742" s="958"/>
      <c r="L742" s="958"/>
      <c r="M742" s="958"/>
      <c r="N742" s="958"/>
      <c r="O742" s="958"/>
      <c r="P742" s="958"/>
      <c r="Q742" s="958"/>
      <c r="R742" s="958"/>
      <c r="S742" s="958"/>
      <c r="T742" s="958"/>
      <c r="U742" s="958"/>
      <c r="V742" s="958"/>
      <c r="W742" s="958"/>
      <c r="X742" s="958"/>
      <c r="Y742" s="958"/>
      <c r="Z742" s="958"/>
    </row>
    <row r="743">
      <c r="A743" s="1020"/>
      <c r="B743" s="958"/>
      <c r="C743" s="958"/>
      <c r="D743" s="958"/>
      <c r="E743" s="958"/>
      <c r="F743" s="958"/>
      <c r="G743" s="958"/>
      <c r="H743" s="958"/>
      <c r="I743" s="958"/>
      <c r="J743" s="958"/>
      <c r="K743" s="958"/>
      <c r="L743" s="958"/>
      <c r="M743" s="958"/>
      <c r="N743" s="958"/>
      <c r="O743" s="958"/>
      <c r="P743" s="958"/>
      <c r="Q743" s="958"/>
      <c r="R743" s="958"/>
      <c r="S743" s="958"/>
      <c r="T743" s="958"/>
      <c r="U743" s="958"/>
      <c r="V743" s="958"/>
      <c r="W743" s="958"/>
      <c r="X743" s="958"/>
      <c r="Y743" s="958"/>
      <c r="Z743" s="958"/>
    </row>
  </sheetData>
  <autoFilter ref="$A$3:$D$124"/>
  <mergeCells count="125">
    <mergeCell ref="D153:D163"/>
    <mergeCell ref="D164:D173"/>
    <mergeCell ref="D94:D99"/>
    <mergeCell ref="D100:D106"/>
    <mergeCell ref="D107:D116"/>
    <mergeCell ref="D117:D124"/>
    <mergeCell ref="D125:D130"/>
    <mergeCell ref="D131:D141"/>
    <mergeCell ref="D142:D152"/>
    <mergeCell ref="A142:A152"/>
    <mergeCell ref="A153:A163"/>
    <mergeCell ref="A164:A173"/>
    <mergeCell ref="A174:A179"/>
    <mergeCell ref="A180:A185"/>
    <mergeCell ref="A186:A191"/>
    <mergeCell ref="A192:A198"/>
    <mergeCell ref="A199:A206"/>
    <mergeCell ref="A207:A213"/>
    <mergeCell ref="A214:A219"/>
    <mergeCell ref="A220:A224"/>
    <mergeCell ref="A225:A229"/>
    <mergeCell ref="A230:A234"/>
    <mergeCell ref="A235:A238"/>
    <mergeCell ref="A239:A241"/>
    <mergeCell ref="A242:A246"/>
    <mergeCell ref="A247:A251"/>
    <mergeCell ref="A252:A255"/>
    <mergeCell ref="A256:A259"/>
    <mergeCell ref="A260:A264"/>
    <mergeCell ref="A265:A268"/>
    <mergeCell ref="A269:A272"/>
    <mergeCell ref="A273:A277"/>
    <mergeCell ref="A278:A282"/>
    <mergeCell ref="A283:A288"/>
    <mergeCell ref="A289:A292"/>
    <mergeCell ref="A293:A296"/>
    <mergeCell ref="A297:A302"/>
    <mergeCell ref="A335:A338"/>
    <mergeCell ref="A339:A343"/>
    <mergeCell ref="A344:A347"/>
    <mergeCell ref="A348:A352"/>
    <mergeCell ref="A353:A356"/>
    <mergeCell ref="A357:A360"/>
    <mergeCell ref="A303:A306"/>
    <mergeCell ref="A307:A310"/>
    <mergeCell ref="A311:A315"/>
    <mergeCell ref="A316:A322"/>
    <mergeCell ref="A323:A326"/>
    <mergeCell ref="A327:A330"/>
    <mergeCell ref="A331:A334"/>
    <mergeCell ref="D220:D224"/>
    <mergeCell ref="D225:D229"/>
    <mergeCell ref="D230:D234"/>
    <mergeCell ref="D235:D238"/>
    <mergeCell ref="D239:D241"/>
    <mergeCell ref="D242:D246"/>
    <mergeCell ref="D247:D251"/>
    <mergeCell ref="D252:D255"/>
    <mergeCell ref="D256:D259"/>
    <mergeCell ref="D260:D264"/>
    <mergeCell ref="D265:D268"/>
    <mergeCell ref="D269:D272"/>
    <mergeCell ref="D273:D277"/>
    <mergeCell ref="D278:D282"/>
    <mergeCell ref="D283:D288"/>
    <mergeCell ref="D289:D292"/>
    <mergeCell ref="D293:D296"/>
    <mergeCell ref="D297:D302"/>
    <mergeCell ref="D303:D306"/>
    <mergeCell ref="D307:D310"/>
    <mergeCell ref="D311:D315"/>
    <mergeCell ref="D348:D352"/>
    <mergeCell ref="D353:D356"/>
    <mergeCell ref="D357:D360"/>
    <mergeCell ref="D316:D322"/>
    <mergeCell ref="D323:D326"/>
    <mergeCell ref="D327:D330"/>
    <mergeCell ref="D331:D334"/>
    <mergeCell ref="D335:D338"/>
    <mergeCell ref="D339:D343"/>
    <mergeCell ref="D344:D347"/>
    <mergeCell ref="D14:D18"/>
    <mergeCell ref="D19:D24"/>
    <mergeCell ref="A2:D2"/>
    <mergeCell ref="A4:A7"/>
    <mergeCell ref="D4:D7"/>
    <mergeCell ref="A8:A13"/>
    <mergeCell ref="D8:D13"/>
    <mergeCell ref="A14:A18"/>
    <mergeCell ref="A19:A24"/>
    <mergeCell ref="A25:A29"/>
    <mergeCell ref="D25:D29"/>
    <mergeCell ref="A30:A35"/>
    <mergeCell ref="D30:D35"/>
    <mergeCell ref="A36:A41"/>
    <mergeCell ref="D36:D41"/>
    <mergeCell ref="D42:D47"/>
    <mergeCell ref="A42:A47"/>
    <mergeCell ref="A48:A53"/>
    <mergeCell ref="A54:A60"/>
    <mergeCell ref="A61:A66"/>
    <mergeCell ref="A67:A73"/>
    <mergeCell ref="A74:A77"/>
    <mergeCell ref="A78:A85"/>
    <mergeCell ref="A86:A93"/>
    <mergeCell ref="A94:A99"/>
    <mergeCell ref="A100:A106"/>
    <mergeCell ref="A107:A116"/>
    <mergeCell ref="A117:A124"/>
    <mergeCell ref="A125:A130"/>
    <mergeCell ref="A131:A141"/>
    <mergeCell ref="D48:D53"/>
    <mergeCell ref="D54:D60"/>
    <mergeCell ref="D61:D66"/>
    <mergeCell ref="D67:D73"/>
    <mergeCell ref="D74:D77"/>
    <mergeCell ref="D78:D85"/>
    <mergeCell ref="D86:D93"/>
    <mergeCell ref="D174:D179"/>
    <mergeCell ref="D180:D185"/>
    <mergeCell ref="D186:D191"/>
    <mergeCell ref="D192:D198"/>
    <mergeCell ref="D199:D206"/>
    <mergeCell ref="D207:D213"/>
    <mergeCell ref="D214:D219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  <col customWidth="1" min="3" max="3" width="17.57"/>
    <col customWidth="1" min="8" max="8" width="65.14"/>
    <col customWidth="1" min="10" max="10" width="24.43"/>
  </cols>
  <sheetData>
    <row r="3" ht="22.5" customHeight="1">
      <c r="A3" s="334"/>
      <c r="B3" s="1021" t="s">
        <v>1353</v>
      </c>
      <c r="C3" s="4"/>
      <c r="D3" s="4"/>
      <c r="E3" s="5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 ht="22.5" customHeight="1">
      <c r="A4" s="334"/>
      <c r="B4" s="1022" t="s">
        <v>1354</v>
      </c>
      <c r="C4" s="1022" t="s">
        <v>1355</v>
      </c>
      <c r="D4" s="1022" t="s">
        <v>1356</v>
      </c>
      <c r="E4" s="1022" t="s">
        <v>1357</v>
      </c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</row>
    <row r="5" ht="22.5" customHeight="1">
      <c r="B5" s="169">
        <v>1.0</v>
      </c>
      <c r="C5" s="1023" t="s">
        <v>156</v>
      </c>
      <c r="D5" s="1024">
        <v>45665.0</v>
      </c>
      <c r="E5" s="1025"/>
      <c r="F5" s="134" t="s">
        <v>1358</v>
      </c>
    </row>
    <row r="6" ht="22.5" customHeight="1">
      <c r="B6" s="169">
        <v>2.0</v>
      </c>
      <c r="C6" s="169" t="s">
        <v>122</v>
      </c>
      <c r="D6" s="1026">
        <v>45669.0</v>
      </c>
      <c r="E6" s="1027">
        <v>45710.0</v>
      </c>
      <c r="F6" s="134" t="s">
        <v>1359</v>
      </c>
    </row>
    <row r="7" ht="22.5" customHeight="1">
      <c r="B7" s="169">
        <v>3.0</v>
      </c>
      <c r="C7" s="169" t="s">
        <v>1360</v>
      </c>
      <c r="D7" s="1026">
        <v>45670.0</v>
      </c>
      <c r="E7" s="169" t="s">
        <v>1361</v>
      </c>
    </row>
    <row r="8" ht="22.5" customHeight="1">
      <c r="B8" s="169">
        <v>4.0</v>
      </c>
      <c r="C8" s="1023" t="s">
        <v>79</v>
      </c>
      <c r="D8" s="1024">
        <v>45671.0</v>
      </c>
      <c r="E8" s="1023" t="s">
        <v>1358</v>
      </c>
      <c r="H8" s="127">
        <f>1200/30</f>
        <v>40</v>
      </c>
    </row>
    <row r="9" ht="22.5" customHeight="1">
      <c r="B9" s="169">
        <v>5.0</v>
      </c>
      <c r="C9" s="169" t="s">
        <v>1362</v>
      </c>
      <c r="D9" s="1026">
        <v>45672.0</v>
      </c>
      <c r="E9" s="1027">
        <v>45721.0</v>
      </c>
      <c r="H9" s="127">
        <f>40*10</f>
        <v>400</v>
      </c>
    </row>
    <row r="10" ht="22.5" customHeight="1">
      <c r="B10" s="169">
        <v>6.0</v>
      </c>
      <c r="C10" s="169" t="s">
        <v>1363</v>
      </c>
      <c r="D10" s="1026">
        <v>45675.0</v>
      </c>
      <c r="E10" s="157"/>
      <c r="H10" s="127">
        <f>1200+400</f>
        <v>1600</v>
      </c>
      <c r="J10" s="134" t="s">
        <v>1364</v>
      </c>
    </row>
    <row r="11" ht="22.5" customHeight="1">
      <c r="B11" s="169">
        <v>7.0</v>
      </c>
      <c r="C11" s="169" t="s">
        <v>1365</v>
      </c>
      <c r="D11" s="1026">
        <v>45675.0</v>
      </c>
      <c r="E11" s="1027">
        <v>45710.0</v>
      </c>
      <c r="F11" s="134" t="s">
        <v>1359</v>
      </c>
      <c r="J11" s="134" t="s">
        <v>1366</v>
      </c>
    </row>
    <row r="12" ht="22.5" customHeight="1">
      <c r="B12" s="169">
        <v>8.0</v>
      </c>
      <c r="C12" s="169" t="s">
        <v>1329</v>
      </c>
      <c r="D12" s="1027">
        <v>45677.0</v>
      </c>
      <c r="E12" s="1027">
        <v>45725.0</v>
      </c>
      <c r="F12" s="134" t="s">
        <v>1359</v>
      </c>
      <c r="J12" s="134" t="s">
        <v>1367</v>
      </c>
    </row>
    <row r="13" ht="22.5" customHeight="1">
      <c r="B13" s="169">
        <v>9.0</v>
      </c>
      <c r="C13" s="169" t="s">
        <v>1368</v>
      </c>
      <c r="D13" s="1027">
        <v>45677.0</v>
      </c>
      <c r="E13" s="1027">
        <v>45727.0</v>
      </c>
      <c r="F13" s="134" t="s">
        <v>1359</v>
      </c>
      <c r="J13" s="134" t="s">
        <v>1369</v>
      </c>
    </row>
    <row r="14" ht="22.5" customHeight="1">
      <c r="B14" s="169">
        <v>10.0</v>
      </c>
      <c r="C14" s="169" t="s">
        <v>990</v>
      </c>
      <c r="D14" s="1027">
        <v>45678.0</v>
      </c>
      <c r="E14" s="157"/>
      <c r="F14" s="134" t="s">
        <v>1359</v>
      </c>
      <c r="J14" s="134" t="s">
        <v>1370</v>
      </c>
    </row>
    <row r="15" ht="22.5" customHeight="1">
      <c r="B15" s="169">
        <v>11.0</v>
      </c>
      <c r="C15" s="157"/>
      <c r="D15" s="157"/>
      <c r="E15" s="157"/>
    </row>
    <row r="16" ht="22.5" customHeight="1">
      <c r="B16" s="169">
        <v>12.0</v>
      </c>
      <c r="C16" s="157"/>
      <c r="D16" s="157"/>
      <c r="E16" s="157"/>
    </row>
    <row r="17" ht="22.5" customHeight="1">
      <c r="B17" s="169">
        <v>13.0</v>
      </c>
      <c r="C17" s="157"/>
      <c r="D17" s="157"/>
      <c r="E17" s="157"/>
    </row>
    <row r="18" ht="22.5" customHeight="1">
      <c r="B18" s="169">
        <v>14.0</v>
      </c>
      <c r="C18" s="157"/>
      <c r="D18" s="157"/>
      <c r="E18" s="157"/>
    </row>
    <row r="19" ht="22.5" customHeight="1">
      <c r="B19" s="169">
        <v>15.0</v>
      </c>
      <c r="C19" s="157"/>
      <c r="D19" s="157"/>
      <c r="E19" s="157"/>
    </row>
    <row r="22">
      <c r="B22" s="1"/>
    </row>
    <row r="23" ht="30.75" customHeight="1">
      <c r="B23" s="6" t="s">
        <v>1</v>
      </c>
      <c r="C23" s="134" t="s">
        <v>1371</v>
      </c>
    </row>
    <row r="24" ht="30.75" customHeight="1">
      <c r="A24" s="1028"/>
      <c r="B24" s="1029" t="s">
        <v>5</v>
      </c>
      <c r="C24" s="1028"/>
      <c r="D24" s="1028"/>
      <c r="E24" s="1028"/>
      <c r="F24" s="1028"/>
      <c r="I24" s="1028"/>
      <c r="J24" s="1028"/>
      <c r="K24" s="1028"/>
      <c r="L24" s="1028"/>
      <c r="M24" s="1028"/>
      <c r="N24" s="1028"/>
      <c r="O24" s="1028"/>
      <c r="P24" s="1028"/>
      <c r="Q24" s="1028"/>
      <c r="R24" s="1028"/>
      <c r="S24" s="1028"/>
      <c r="T24" s="1028"/>
      <c r="U24" s="1028"/>
      <c r="V24" s="1028"/>
      <c r="W24" s="1028"/>
      <c r="X24" s="1028"/>
      <c r="Y24" s="1028"/>
    </row>
    <row r="25" ht="30.75" customHeight="1">
      <c r="A25" s="1030"/>
      <c r="B25" s="1031" t="s">
        <v>11</v>
      </c>
      <c r="C25" s="1030"/>
      <c r="D25" s="1030"/>
      <c r="E25" s="1030"/>
      <c r="F25" s="1030"/>
      <c r="I25" s="1030"/>
      <c r="J25" s="1030"/>
      <c r="K25" s="1030"/>
      <c r="L25" s="1030"/>
      <c r="M25" s="1030"/>
      <c r="N25" s="1030"/>
      <c r="O25" s="1030"/>
      <c r="P25" s="1030"/>
      <c r="Q25" s="1030"/>
      <c r="R25" s="1030"/>
      <c r="S25" s="1030"/>
      <c r="T25" s="1030"/>
      <c r="U25" s="1030"/>
      <c r="V25" s="1030"/>
      <c r="W25" s="1030"/>
      <c r="X25" s="1030"/>
      <c r="Y25" s="1030"/>
    </row>
    <row r="26" ht="30.75" customHeight="1">
      <c r="A26" s="1030"/>
      <c r="B26" s="1031" t="s">
        <v>16</v>
      </c>
      <c r="C26" s="1030"/>
      <c r="D26" s="1030"/>
      <c r="E26" s="1030"/>
      <c r="F26" s="1030"/>
      <c r="I26" s="1030"/>
      <c r="J26" s="1030"/>
      <c r="K26" s="1030"/>
      <c r="L26" s="1030"/>
      <c r="M26" s="1030"/>
      <c r="N26" s="1030"/>
      <c r="O26" s="1030"/>
      <c r="P26" s="1030"/>
      <c r="Q26" s="1030"/>
      <c r="R26" s="1030"/>
      <c r="S26" s="1030"/>
      <c r="T26" s="1030"/>
      <c r="U26" s="1030"/>
      <c r="V26" s="1030"/>
      <c r="W26" s="1030"/>
      <c r="X26" s="1030"/>
      <c r="Y26" s="1030"/>
    </row>
    <row r="27" ht="30.75" customHeight="1">
      <c r="A27" s="1028"/>
      <c r="B27" s="1029" t="s">
        <v>18</v>
      </c>
      <c r="C27" s="1028"/>
      <c r="D27" s="1028"/>
      <c r="E27" s="1028"/>
      <c r="F27" s="1028"/>
      <c r="I27" s="1028"/>
      <c r="J27" s="1028"/>
      <c r="K27" s="1028"/>
      <c r="L27" s="1028"/>
      <c r="M27" s="1028"/>
      <c r="N27" s="1028"/>
      <c r="O27" s="1028"/>
      <c r="P27" s="1028"/>
      <c r="Q27" s="1028"/>
      <c r="R27" s="1028"/>
      <c r="S27" s="1028"/>
      <c r="T27" s="1028"/>
      <c r="U27" s="1028"/>
      <c r="V27" s="1028"/>
      <c r="W27" s="1028"/>
      <c r="X27" s="1028"/>
      <c r="Y27" s="1028"/>
    </row>
    <row r="28" ht="30.75" customHeight="1">
      <c r="A28" s="12"/>
      <c r="B28" s="1029" t="s">
        <v>19</v>
      </c>
    </row>
    <row r="29" ht="30.75" customHeight="1">
      <c r="A29" s="12"/>
      <c r="B29" s="1029" t="s">
        <v>20</v>
      </c>
    </row>
    <row r="30" ht="30.75" customHeight="1">
      <c r="A30" s="12"/>
      <c r="B30" s="1029" t="s">
        <v>22</v>
      </c>
      <c r="C30" s="134" t="s">
        <v>1372</v>
      </c>
    </row>
    <row r="31" ht="30.75" customHeight="1">
      <c r="A31" s="12"/>
      <c r="B31" s="1029" t="s">
        <v>23</v>
      </c>
    </row>
    <row r="32" ht="30.75" customHeight="1">
      <c r="A32" s="12"/>
      <c r="B32" s="1029" t="s">
        <v>25</v>
      </c>
    </row>
    <row r="33" ht="30.75" customHeight="1">
      <c r="A33" s="12"/>
      <c r="B33" s="1029" t="s">
        <v>26</v>
      </c>
    </row>
    <row r="34" ht="30.75" customHeight="1">
      <c r="A34" s="12"/>
      <c r="B34" s="1029" t="s">
        <v>29</v>
      </c>
    </row>
    <row r="35" ht="30.75" customHeight="1">
      <c r="A35" s="12"/>
      <c r="B35" s="1029" t="s">
        <v>30</v>
      </c>
    </row>
    <row r="36" ht="30.75" customHeight="1">
      <c r="A36" s="12"/>
      <c r="B36" s="1029" t="s">
        <v>31</v>
      </c>
    </row>
    <row r="37" ht="30.75" customHeight="1">
      <c r="A37" s="12"/>
      <c r="B37" s="1029" t="s">
        <v>32</v>
      </c>
    </row>
    <row r="38" ht="30.75" customHeight="1">
      <c r="A38" s="12"/>
      <c r="B38" s="1029" t="s">
        <v>33</v>
      </c>
    </row>
    <row r="39" ht="30.75" customHeight="1">
      <c r="A39" s="1032"/>
      <c r="B39" s="1033" t="s">
        <v>46</v>
      </c>
      <c r="C39" s="1028"/>
      <c r="D39" s="1028"/>
      <c r="E39" s="1028"/>
      <c r="F39" s="1028"/>
      <c r="I39" s="1028"/>
      <c r="J39" s="1028"/>
      <c r="K39" s="1028"/>
      <c r="L39" s="1028"/>
      <c r="M39" s="1028"/>
      <c r="N39" s="1028"/>
      <c r="O39" s="1028"/>
      <c r="P39" s="1028"/>
      <c r="Q39" s="1028"/>
      <c r="R39" s="1028"/>
      <c r="S39" s="1028"/>
      <c r="T39" s="1028"/>
      <c r="U39" s="1028"/>
      <c r="V39" s="1028"/>
      <c r="W39" s="1028"/>
      <c r="X39" s="1028"/>
      <c r="Y39" s="1028"/>
    </row>
    <row r="40" ht="30.75" customHeight="1">
      <c r="A40" s="12"/>
      <c r="B40" s="1029" t="s">
        <v>35</v>
      </c>
      <c r="C40" s="134" t="s">
        <v>1373</v>
      </c>
    </row>
    <row r="41" ht="30.75" customHeight="1">
      <c r="A41" s="12"/>
      <c r="B41" s="1029" t="s">
        <v>40</v>
      </c>
    </row>
    <row r="42" ht="30.75" customHeight="1">
      <c r="A42" s="12"/>
      <c r="B42" s="1029" t="s">
        <v>41</v>
      </c>
    </row>
    <row r="43" ht="30.75" customHeight="1">
      <c r="A43" s="1032"/>
      <c r="B43" s="1033" t="s">
        <v>75</v>
      </c>
      <c r="C43" s="1028"/>
      <c r="D43" s="1028"/>
      <c r="E43" s="1028"/>
      <c r="F43" s="1028"/>
      <c r="I43" s="1028"/>
      <c r="J43" s="1028"/>
      <c r="K43" s="1028"/>
      <c r="L43" s="1028"/>
      <c r="M43" s="1028"/>
      <c r="N43" s="1028"/>
      <c r="O43" s="1028"/>
      <c r="P43" s="1028"/>
      <c r="Q43" s="1028"/>
      <c r="R43" s="1028"/>
      <c r="S43" s="1028"/>
      <c r="T43" s="1028"/>
      <c r="U43" s="1028"/>
      <c r="V43" s="1028"/>
      <c r="W43" s="1028"/>
      <c r="X43" s="1028"/>
      <c r="Y43" s="1028"/>
    </row>
    <row r="44" ht="30.75" customHeight="1">
      <c r="A44" s="1032"/>
      <c r="B44" s="1034" t="s">
        <v>79</v>
      </c>
      <c r="C44" s="1028"/>
      <c r="D44" s="1028"/>
      <c r="E44" s="1028"/>
      <c r="F44" s="1028"/>
      <c r="I44" s="1028"/>
      <c r="J44" s="1028"/>
      <c r="K44" s="1028"/>
      <c r="L44" s="1028"/>
      <c r="M44" s="1028"/>
      <c r="N44" s="1028"/>
      <c r="O44" s="1028"/>
      <c r="P44" s="1028"/>
      <c r="Q44" s="1028"/>
      <c r="R44" s="1028"/>
      <c r="S44" s="1028"/>
      <c r="T44" s="1028"/>
      <c r="U44" s="1028"/>
      <c r="V44" s="1028"/>
      <c r="W44" s="1028"/>
      <c r="X44" s="1028"/>
      <c r="Y44" s="1028"/>
    </row>
    <row r="45" ht="30.75" customHeight="1">
      <c r="A45" s="12"/>
      <c r="B45" s="1029" t="s">
        <v>80</v>
      </c>
    </row>
    <row r="46" ht="30.75" customHeight="1">
      <c r="A46" s="1032"/>
      <c r="B46" s="1029" t="s">
        <v>86</v>
      </c>
      <c r="C46" s="1028"/>
      <c r="D46" s="1028"/>
      <c r="E46" s="1028"/>
      <c r="F46" s="1028"/>
      <c r="I46" s="1028"/>
      <c r="J46" s="1028"/>
      <c r="K46" s="1028"/>
      <c r="L46" s="1028"/>
      <c r="M46" s="1028"/>
      <c r="N46" s="1028"/>
      <c r="O46" s="1028"/>
      <c r="P46" s="1028"/>
      <c r="Q46" s="1028"/>
      <c r="R46" s="1028"/>
      <c r="S46" s="1028"/>
      <c r="T46" s="1028"/>
      <c r="U46" s="1028"/>
      <c r="V46" s="1028"/>
      <c r="W46" s="1028"/>
      <c r="X46" s="1028"/>
      <c r="Y46" s="1028"/>
    </row>
    <row r="47" ht="30.75" customHeight="1">
      <c r="A47" s="12"/>
      <c r="B47" s="1029" t="s">
        <v>87</v>
      </c>
      <c r="C47" s="134" t="s">
        <v>1373</v>
      </c>
    </row>
    <row r="48" ht="30.75" customHeight="1">
      <c r="A48" s="1032"/>
      <c r="B48" s="1029" t="s">
        <v>90</v>
      </c>
      <c r="C48" s="1028"/>
      <c r="D48" s="1028"/>
      <c r="E48" s="1028"/>
      <c r="F48" s="1028"/>
      <c r="I48" s="1028"/>
      <c r="J48" s="1028"/>
      <c r="K48" s="1028"/>
      <c r="L48" s="1028"/>
      <c r="M48" s="1028"/>
      <c r="N48" s="1028"/>
      <c r="O48" s="1028"/>
      <c r="P48" s="1028"/>
      <c r="Q48" s="1028"/>
      <c r="R48" s="1028"/>
      <c r="S48" s="1028"/>
      <c r="T48" s="1028"/>
      <c r="U48" s="1028"/>
      <c r="V48" s="1028"/>
      <c r="W48" s="1028"/>
      <c r="X48" s="1028"/>
      <c r="Y48" s="1028"/>
    </row>
    <row r="49" ht="30.75" customHeight="1">
      <c r="A49" s="1032"/>
      <c r="B49" s="1031" t="s">
        <v>93</v>
      </c>
      <c r="C49" s="1028"/>
      <c r="D49" s="1028"/>
      <c r="E49" s="1028"/>
      <c r="F49" s="1028"/>
      <c r="I49" s="1028"/>
      <c r="J49" s="1028"/>
      <c r="K49" s="1028"/>
      <c r="L49" s="1028"/>
      <c r="M49" s="1028"/>
      <c r="N49" s="1028"/>
      <c r="O49" s="1028"/>
      <c r="P49" s="1028"/>
      <c r="Q49" s="1028"/>
      <c r="R49" s="1028"/>
      <c r="S49" s="1028"/>
      <c r="T49" s="1028"/>
      <c r="U49" s="1028"/>
      <c r="V49" s="1028"/>
      <c r="W49" s="1028"/>
      <c r="X49" s="1028"/>
      <c r="Y49" s="1028"/>
    </row>
    <row r="50" ht="30.75" customHeight="1">
      <c r="A50" s="1032"/>
      <c r="B50" s="1029" t="s">
        <v>100</v>
      </c>
      <c r="C50" s="1028"/>
      <c r="D50" s="1028"/>
      <c r="E50" s="1028"/>
      <c r="F50" s="1028"/>
      <c r="I50" s="1028"/>
      <c r="J50" s="1028"/>
      <c r="K50" s="1028"/>
      <c r="L50" s="1028"/>
      <c r="M50" s="1028"/>
      <c r="N50" s="1028"/>
      <c r="O50" s="1028"/>
      <c r="P50" s="1028"/>
      <c r="Q50" s="1028"/>
      <c r="R50" s="1028"/>
      <c r="S50" s="1028"/>
      <c r="T50" s="1028"/>
      <c r="U50" s="1028"/>
      <c r="V50" s="1028"/>
      <c r="W50" s="1028"/>
      <c r="X50" s="1028"/>
      <c r="Y50" s="1028"/>
    </row>
    <row r="51" ht="30.75" customHeight="1">
      <c r="A51" s="12"/>
      <c r="B51" s="1029" t="s">
        <v>101</v>
      </c>
    </row>
    <row r="52" ht="30.75" customHeight="1">
      <c r="A52" s="12"/>
      <c r="B52" s="1029" t="s">
        <v>107</v>
      </c>
    </row>
    <row r="53" ht="30.75" customHeight="1">
      <c r="A53" s="1032"/>
      <c r="B53" s="1029" t="s">
        <v>110</v>
      </c>
      <c r="C53" s="1028"/>
      <c r="D53" s="1028"/>
      <c r="E53" s="1028"/>
      <c r="F53" s="1028"/>
      <c r="I53" s="1028"/>
      <c r="J53" s="1028"/>
      <c r="K53" s="1028"/>
      <c r="L53" s="1028"/>
      <c r="M53" s="1028"/>
      <c r="N53" s="1028"/>
      <c r="O53" s="1028"/>
      <c r="P53" s="1028"/>
      <c r="Q53" s="1028"/>
      <c r="R53" s="1028"/>
      <c r="S53" s="1028"/>
      <c r="T53" s="1028"/>
      <c r="U53" s="1028"/>
      <c r="V53" s="1028"/>
      <c r="W53" s="1028"/>
      <c r="X53" s="1028"/>
      <c r="Y53" s="1028"/>
    </row>
    <row r="54" ht="30.75" customHeight="1">
      <c r="A54" s="1032"/>
      <c r="B54" s="1029" t="s">
        <v>112</v>
      </c>
      <c r="C54" s="1028"/>
      <c r="D54" s="1028"/>
      <c r="E54" s="1028"/>
      <c r="F54" s="1028"/>
      <c r="I54" s="1028"/>
      <c r="J54" s="1028"/>
      <c r="K54" s="1028"/>
      <c r="L54" s="1028"/>
      <c r="M54" s="1028"/>
      <c r="N54" s="1028"/>
      <c r="O54" s="1028"/>
      <c r="P54" s="1028"/>
      <c r="Q54" s="1028"/>
      <c r="R54" s="1028"/>
      <c r="S54" s="1028"/>
      <c r="T54" s="1028"/>
      <c r="U54" s="1028"/>
      <c r="V54" s="1028"/>
      <c r="W54" s="1028"/>
      <c r="X54" s="1028"/>
      <c r="Y54" s="1028"/>
    </row>
    <row r="55" ht="30.75" customHeight="1">
      <c r="A55" s="1032"/>
      <c r="B55" s="1029" t="s">
        <v>115</v>
      </c>
      <c r="C55" s="1028"/>
      <c r="D55" s="1028"/>
      <c r="E55" s="1028"/>
      <c r="F55" s="1028"/>
      <c r="I55" s="1028"/>
      <c r="J55" s="1028"/>
      <c r="K55" s="1028"/>
      <c r="L55" s="1028"/>
      <c r="M55" s="1028"/>
      <c r="N55" s="1028"/>
      <c r="O55" s="1028"/>
      <c r="P55" s="1028"/>
      <c r="Q55" s="1028"/>
      <c r="R55" s="1028"/>
      <c r="S55" s="1028"/>
      <c r="T55" s="1028"/>
      <c r="U55" s="1028"/>
      <c r="V55" s="1028"/>
      <c r="W55" s="1028"/>
      <c r="X55" s="1028"/>
      <c r="Y55" s="1028"/>
    </row>
    <row r="56" ht="30.75" customHeight="1">
      <c r="A56" s="12"/>
      <c r="B56" s="1029" t="s">
        <v>117</v>
      </c>
    </row>
    <row r="57" ht="30.75" customHeight="1">
      <c r="A57" s="1035"/>
      <c r="B57" s="1031" t="s">
        <v>118</v>
      </c>
      <c r="C57" s="1030"/>
      <c r="D57" s="1030"/>
      <c r="E57" s="1030"/>
      <c r="F57" s="1030"/>
      <c r="I57" s="1030"/>
      <c r="J57" s="1030"/>
      <c r="K57" s="1030"/>
      <c r="L57" s="1030"/>
      <c r="M57" s="1030"/>
      <c r="N57" s="1030"/>
      <c r="O57" s="1030"/>
      <c r="P57" s="1030"/>
      <c r="Q57" s="1030"/>
      <c r="R57" s="1030"/>
      <c r="S57" s="1030"/>
      <c r="T57" s="1030"/>
      <c r="U57" s="1030"/>
      <c r="V57" s="1030"/>
      <c r="W57" s="1030"/>
      <c r="X57" s="1030"/>
      <c r="Y57" s="1030"/>
    </row>
    <row r="58" ht="30.75" customHeight="1">
      <c r="A58" s="12"/>
      <c r="B58" s="1029" t="s">
        <v>119</v>
      </c>
    </row>
    <row r="59" ht="30.75" customHeight="1">
      <c r="A59" s="12"/>
      <c r="B59" s="1029" t="s">
        <v>120</v>
      </c>
    </row>
    <row r="60" ht="30.75" customHeight="1">
      <c r="A60" s="12"/>
      <c r="B60" s="1029" t="s">
        <v>121</v>
      </c>
    </row>
    <row r="61" ht="30.75" customHeight="1">
      <c r="A61" s="1032"/>
      <c r="B61" s="1029" t="s">
        <v>122</v>
      </c>
      <c r="C61" s="1028"/>
      <c r="D61" s="1028"/>
      <c r="E61" s="1028"/>
      <c r="F61" s="1028"/>
      <c r="I61" s="1028"/>
      <c r="J61" s="1028"/>
      <c r="K61" s="1028"/>
      <c r="L61" s="1028"/>
      <c r="M61" s="1028"/>
      <c r="N61" s="1028"/>
      <c r="O61" s="1028"/>
      <c r="P61" s="1028"/>
      <c r="Q61" s="1028"/>
      <c r="R61" s="1028"/>
      <c r="S61" s="1028"/>
      <c r="T61" s="1028"/>
      <c r="U61" s="1028"/>
      <c r="V61" s="1028"/>
      <c r="W61" s="1028"/>
      <c r="X61" s="1028"/>
      <c r="Y61" s="1028"/>
    </row>
    <row r="62" ht="30.75" customHeight="1">
      <c r="A62" s="1032"/>
      <c r="B62" s="1029" t="s">
        <v>123</v>
      </c>
      <c r="C62" s="1028"/>
      <c r="D62" s="1028"/>
      <c r="E62" s="1028"/>
      <c r="F62" s="1028"/>
      <c r="I62" s="1028"/>
      <c r="J62" s="1028"/>
      <c r="K62" s="1028"/>
      <c r="L62" s="1028"/>
      <c r="M62" s="1028"/>
      <c r="N62" s="1028"/>
      <c r="O62" s="1028"/>
      <c r="P62" s="1028"/>
      <c r="Q62" s="1028"/>
      <c r="R62" s="1028"/>
      <c r="S62" s="1028"/>
      <c r="T62" s="1028"/>
      <c r="U62" s="1028"/>
      <c r="V62" s="1028"/>
      <c r="W62" s="1028"/>
      <c r="X62" s="1028"/>
      <c r="Y62" s="1028"/>
    </row>
    <row r="63" ht="30.75" customHeight="1">
      <c r="A63" s="1032"/>
      <c r="B63" s="1029" t="s">
        <v>126</v>
      </c>
      <c r="C63" s="1028"/>
      <c r="D63" s="1028"/>
      <c r="E63" s="1028"/>
      <c r="F63" s="1028"/>
      <c r="I63" s="1028"/>
      <c r="J63" s="1028"/>
      <c r="K63" s="1028"/>
      <c r="L63" s="1028"/>
      <c r="M63" s="1028"/>
      <c r="N63" s="1028"/>
      <c r="O63" s="1028"/>
      <c r="P63" s="1028"/>
      <c r="Q63" s="1028"/>
      <c r="R63" s="1028"/>
      <c r="S63" s="1028"/>
      <c r="T63" s="1028"/>
      <c r="U63" s="1028"/>
      <c r="V63" s="1028"/>
      <c r="W63" s="1028"/>
      <c r="X63" s="1028"/>
      <c r="Y63" s="1028"/>
    </row>
    <row r="64" ht="30.75" customHeight="1">
      <c r="A64" s="12"/>
      <c r="B64" s="1029" t="s">
        <v>128</v>
      </c>
    </row>
    <row r="65" ht="30.75" customHeight="1">
      <c r="A65" s="12"/>
      <c r="B65" s="1029" t="s">
        <v>129</v>
      </c>
    </row>
    <row r="66" ht="30.75" customHeight="1">
      <c r="A66" s="1032"/>
      <c r="B66" s="1029" t="s">
        <v>131</v>
      </c>
      <c r="C66" s="1028"/>
      <c r="D66" s="1028"/>
      <c r="E66" s="1028"/>
      <c r="F66" s="1028"/>
      <c r="I66" s="1028"/>
      <c r="J66" s="1028"/>
      <c r="K66" s="1028"/>
      <c r="L66" s="1028"/>
      <c r="M66" s="1028"/>
      <c r="N66" s="1028"/>
      <c r="O66" s="1028"/>
      <c r="P66" s="1028"/>
      <c r="Q66" s="1028"/>
      <c r="R66" s="1028"/>
      <c r="S66" s="1028"/>
      <c r="T66" s="1028"/>
      <c r="U66" s="1028"/>
      <c r="V66" s="1028"/>
      <c r="W66" s="1028"/>
      <c r="X66" s="1028"/>
      <c r="Y66" s="1028"/>
    </row>
    <row r="67" ht="30.75" customHeight="1">
      <c r="A67" s="1032"/>
      <c r="B67" s="1029" t="s">
        <v>130</v>
      </c>
      <c r="C67" s="1028"/>
      <c r="D67" s="1028"/>
      <c r="E67" s="1028"/>
      <c r="F67" s="1028"/>
      <c r="I67" s="1028"/>
      <c r="J67" s="1028"/>
      <c r="K67" s="1028"/>
      <c r="L67" s="1028"/>
      <c r="M67" s="1028"/>
      <c r="N67" s="1028"/>
      <c r="O67" s="1028"/>
      <c r="P67" s="1028"/>
      <c r="Q67" s="1028"/>
      <c r="R67" s="1028"/>
      <c r="S67" s="1028"/>
      <c r="T67" s="1028"/>
      <c r="U67" s="1028"/>
      <c r="V67" s="1028"/>
      <c r="W67" s="1028"/>
      <c r="X67" s="1028"/>
      <c r="Y67" s="1028"/>
    </row>
    <row r="68" ht="30.75" customHeight="1">
      <c r="A68" s="12"/>
      <c r="B68" s="1029" t="s">
        <v>138</v>
      </c>
    </row>
    <row r="69" ht="30.75" customHeight="1">
      <c r="A69" s="1032"/>
      <c r="B69" s="1029" t="s">
        <v>139</v>
      </c>
      <c r="C69" s="1028"/>
      <c r="D69" s="1028"/>
      <c r="E69" s="1028"/>
      <c r="F69" s="1028"/>
      <c r="I69" s="1028"/>
      <c r="J69" s="1028"/>
      <c r="K69" s="1028"/>
      <c r="L69" s="1028"/>
      <c r="M69" s="1028"/>
      <c r="N69" s="1028"/>
      <c r="O69" s="1028"/>
      <c r="P69" s="1028"/>
      <c r="Q69" s="1028"/>
      <c r="R69" s="1028"/>
      <c r="S69" s="1028"/>
      <c r="T69" s="1028"/>
      <c r="U69" s="1028"/>
      <c r="V69" s="1028"/>
      <c r="W69" s="1028"/>
      <c r="X69" s="1028"/>
      <c r="Y69" s="1028"/>
    </row>
    <row r="70" ht="30.75" customHeight="1">
      <c r="A70" s="12"/>
      <c r="B70" s="1029" t="s">
        <v>140</v>
      </c>
    </row>
    <row r="71" ht="30.75" customHeight="1">
      <c r="A71" s="12"/>
      <c r="B71" s="1029" t="s">
        <v>141</v>
      </c>
    </row>
    <row r="72" ht="30.75" customHeight="1">
      <c r="A72" s="1032"/>
      <c r="B72" s="1029" t="s">
        <v>142</v>
      </c>
      <c r="C72" s="1028"/>
      <c r="D72" s="1028"/>
      <c r="E72" s="1028"/>
      <c r="F72" s="1028"/>
      <c r="I72" s="1028"/>
      <c r="J72" s="1028"/>
      <c r="K72" s="1028"/>
      <c r="L72" s="1028"/>
      <c r="M72" s="1028"/>
      <c r="N72" s="1028"/>
      <c r="O72" s="1028"/>
      <c r="P72" s="1028"/>
      <c r="Q72" s="1028"/>
      <c r="R72" s="1028"/>
      <c r="S72" s="1028"/>
      <c r="T72" s="1028"/>
      <c r="U72" s="1028"/>
      <c r="V72" s="1028"/>
      <c r="W72" s="1028"/>
      <c r="X72" s="1028"/>
      <c r="Y72" s="1028"/>
    </row>
    <row r="73" ht="30.75" customHeight="1">
      <c r="A73" s="1036"/>
      <c r="B73" s="1029" t="s">
        <v>143</v>
      </c>
      <c r="C73" s="1037"/>
      <c r="D73" s="1037"/>
      <c r="E73" s="1037"/>
      <c r="F73" s="1037"/>
      <c r="I73" s="1037"/>
      <c r="J73" s="1037"/>
      <c r="K73" s="1037"/>
      <c r="L73" s="1037"/>
      <c r="M73" s="1037"/>
      <c r="N73" s="1037"/>
      <c r="O73" s="1037"/>
      <c r="P73" s="1037"/>
      <c r="Q73" s="1037"/>
      <c r="R73" s="1037"/>
      <c r="S73" s="1037"/>
      <c r="T73" s="1037"/>
      <c r="U73" s="1037"/>
      <c r="V73" s="1037"/>
      <c r="W73" s="1037"/>
      <c r="X73" s="1037"/>
      <c r="Y73" s="1037"/>
    </row>
    <row r="74" ht="30.75" customHeight="1">
      <c r="A74" s="1032"/>
      <c r="B74" s="1029" t="s">
        <v>144</v>
      </c>
      <c r="C74" s="1028"/>
      <c r="D74" s="1028"/>
      <c r="E74" s="1028"/>
      <c r="F74" s="1028"/>
      <c r="I74" s="1028"/>
      <c r="J74" s="1028"/>
      <c r="K74" s="1028"/>
      <c r="L74" s="1028"/>
      <c r="M74" s="1028"/>
      <c r="N74" s="1028"/>
      <c r="O74" s="1028"/>
      <c r="P74" s="1028"/>
      <c r="Q74" s="1028"/>
      <c r="R74" s="1028"/>
      <c r="S74" s="1028"/>
      <c r="T74" s="1028"/>
      <c r="U74" s="1028"/>
      <c r="V74" s="1028"/>
      <c r="W74" s="1028"/>
      <c r="X74" s="1028"/>
      <c r="Y74" s="1028"/>
    </row>
    <row r="75" ht="30.75" customHeight="1">
      <c r="A75" s="12"/>
      <c r="B75" s="1029" t="s">
        <v>145</v>
      </c>
    </row>
    <row r="76" ht="30.75" customHeight="1">
      <c r="A76" s="12"/>
      <c r="B76" s="1029" t="s">
        <v>146</v>
      </c>
    </row>
    <row r="77" ht="30.75" customHeight="1">
      <c r="A77" s="1035"/>
      <c r="B77" s="1029" t="s">
        <v>148</v>
      </c>
      <c r="C77" s="1030"/>
      <c r="D77" s="1030"/>
      <c r="E77" s="1030"/>
      <c r="F77" s="1030"/>
      <c r="I77" s="1030"/>
      <c r="J77" s="1030"/>
      <c r="K77" s="1030"/>
      <c r="L77" s="1030"/>
      <c r="M77" s="1030"/>
      <c r="N77" s="1030"/>
      <c r="O77" s="1030"/>
      <c r="P77" s="1030"/>
      <c r="Q77" s="1030"/>
      <c r="R77" s="1030"/>
      <c r="S77" s="1030"/>
      <c r="T77" s="1030"/>
      <c r="U77" s="1030"/>
      <c r="V77" s="1030"/>
      <c r="W77" s="1030"/>
      <c r="X77" s="1030"/>
      <c r="Y77" s="1030"/>
    </row>
    <row r="78" ht="30.75" customHeight="1">
      <c r="A78" s="12"/>
      <c r="B78" s="1029" t="s">
        <v>149</v>
      </c>
    </row>
    <row r="79" ht="30.75" customHeight="1">
      <c r="A79" s="1032"/>
      <c r="B79" s="1029" t="s">
        <v>150</v>
      </c>
      <c r="C79" s="1028"/>
      <c r="D79" s="1028"/>
      <c r="E79" s="1028"/>
      <c r="F79" s="1028"/>
      <c r="I79" s="1028"/>
      <c r="J79" s="1028"/>
      <c r="K79" s="1028"/>
      <c r="L79" s="1028"/>
      <c r="M79" s="1028"/>
      <c r="N79" s="1028"/>
      <c r="O79" s="1028"/>
      <c r="P79" s="1028"/>
      <c r="Q79" s="1028"/>
      <c r="R79" s="1028"/>
      <c r="S79" s="1028"/>
      <c r="T79" s="1028"/>
      <c r="U79" s="1028"/>
      <c r="V79" s="1028"/>
      <c r="W79" s="1028"/>
      <c r="X79" s="1028"/>
      <c r="Y79" s="1028"/>
    </row>
    <row r="80" ht="30.75" customHeight="1">
      <c r="A80" s="1032"/>
      <c r="B80" s="1029" t="s">
        <v>153</v>
      </c>
      <c r="C80" s="1028"/>
      <c r="D80" s="1028"/>
      <c r="E80" s="1028"/>
      <c r="F80" s="1028"/>
      <c r="I80" s="1028"/>
      <c r="J80" s="1028"/>
      <c r="K80" s="1028"/>
      <c r="L80" s="1028"/>
      <c r="M80" s="1028"/>
      <c r="N80" s="1028"/>
      <c r="O80" s="1028"/>
      <c r="P80" s="1028"/>
      <c r="Q80" s="1028"/>
      <c r="R80" s="1028"/>
      <c r="S80" s="1028"/>
      <c r="T80" s="1028"/>
      <c r="U80" s="1028"/>
      <c r="V80" s="1028"/>
      <c r="W80" s="1028"/>
      <c r="X80" s="1028"/>
      <c r="Y80" s="1028"/>
    </row>
    <row r="81" ht="30.75" customHeight="1">
      <c r="A81" s="1032"/>
      <c r="B81" s="1029" t="s">
        <v>154</v>
      </c>
      <c r="C81" s="1028"/>
      <c r="D81" s="1028"/>
      <c r="E81" s="1028"/>
      <c r="F81" s="1028"/>
      <c r="I81" s="1028"/>
      <c r="J81" s="1028"/>
      <c r="K81" s="1028"/>
      <c r="L81" s="1028"/>
      <c r="M81" s="1028"/>
      <c r="N81" s="1028"/>
      <c r="O81" s="1028"/>
      <c r="P81" s="1028"/>
      <c r="Q81" s="1028"/>
      <c r="R81" s="1028"/>
      <c r="S81" s="1028"/>
      <c r="T81" s="1028"/>
      <c r="U81" s="1028"/>
      <c r="V81" s="1028"/>
      <c r="W81" s="1028"/>
      <c r="X81" s="1028"/>
      <c r="Y81" s="1028"/>
    </row>
    <row r="82" ht="30.75" customHeight="1">
      <c r="A82" s="1032"/>
      <c r="B82" s="1029" t="s">
        <v>155</v>
      </c>
      <c r="C82" s="1028"/>
      <c r="D82" s="1028"/>
      <c r="E82" s="1028"/>
      <c r="F82" s="1028"/>
      <c r="I82" s="1028"/>
      <c r="J82" s="1028"/>
      <c r="K82" s="1028"/>
      <c r="L82" s="1028"/>
      <c r="M82" s="1028"/>
      <c r="N82" s="1028"/>
      <c r="O82" s="1028"/>
      <c r="P82" s="1028"/>
      <c r="Q82" s="1028"/>
      <c r="R82" s="1028"/>
      <c r="S82" s="1028"/>
      <c r="T82" s="1028"/>
      <c r="U82" s="1028"/>
      <c r="V82" s="1028"/>
      <c r="W82" s="1028"/>
      <c r="X82" s="1028"/>
      <c r="Y82" s="1028"/>
    </row>
    <row r="83" ht="30.75" customHeight="1">
      <c r="A83" s="1035"/>
      <c r="B83" s="1029" t="s">
        <v>156</v>
      </c>
      <c r="C83" s="1030"/>
      <c r="D83" s="1030"/>
      <c r="E83" s="1030"/>
      <c r="F83" s="1030"/>
      <c r="I83" s="1030"/>
      <c r="J83" s="1030"/>
      <c r="K83" s="1030"/>
      <c r="L83" s="1030"/>
      <c r="M83" s="1030"/>
      <c r="N83" s="1030"/>
      <c r="O83" s="1030"/>
      <c r="P83" s="1030"/>
      <c r="Q83" s="1030"/>
      <c r="R83" s="1030"/>
      <c r="S83" s="1030"/>
      <c r="T83" s="1030"/>
      <c r="U83" s="1030"/>
      <c r="V83" s="1030"/>
      <c r="W83" s="1030"/>
      <c r="X83" s="1030"/>
      <c r="Y83" s="1030"/>
    </row>
    <row r="84" ht="30.75" customHeight="1">
      <c r="A84" s="1032"/>
      <c r="B84" s="1029" t="s">
        <v>158</v>
      </c>
      <c r="C84" s="1028"/>
      <c r="D84" s="1028"/>
      <c r="E84" s="1028"/>
      <c r="F84" s="1028"/>
      <c r="I84" s="1028"/>
      <c r="J84" s="1028"/>
      <c r="K84" s="1028"/>
      <c r="L84" s="1028"/>
      <c r="M84" s="1028"/>
      <c r="N84" s="1028"/>
      <c r="O84" s="1028"/>
      <c r="P84" s="1028"/>
      <c r="Q84" s="1028"/>
      <c r="R84" s="1028"/>
      <c r="S84" s="1028"/>
      <c r="T84" s="1028"/>
      <c r="U84" s="1028"/>
      <c r="V84" s="1028"/>
      <c r="W84" s="1028"/>
      <c r="X84" s="1028"/>
      <c r="Y84" s="1028"/>
    </row>
    <row r="85" ht="30.75" customHeight="1">
      <c r="A85" s="1032"/>
      <c r="B85" s="1029" t="s">
        <v>159</v>
      </c>
      <c r="C85" s="1028"/>
      <c r="D85" s="1028"/>
      <c r="E85" s="1028"/>
      <c r="F85" s="1028"/>
      <c r="I85" s="1028"/>
      <c r="J85" s="1028"/>
      <c r="K85" s="1028"/>
      <c r="L85" s="1028"/>
      <c r="M85" s="1028"/>
      <c r="N85" s="1028"/>
      <c r="O85" s="1028"/>
      <c r="P85" s="1028"/>
      <c r="Q85" s="1028"/>
      <c r="R85" s="1028"/>
      <c r="S85" s="1028"/>
      <c r="T85" s="1028"/>
      <c r="U85" s="1028"/>
      <c r="V85" s="1028"/>
      <c r="W85" s="1028"/>
      <c r="X85" s="1028"/>
      <c r="Y85" s="1028"/>
    </row>
    <row r="86" ht="30.75" customHeight="1">
      <c r="A86" s="1032"/>
      <c r="B86" s="1029" t="s">
        <v>160</v>
      </c>
      <c r="C86" s="1028"/>
      <c r="D86" s="1028"/>
      <c r="E86" s="1028"/>
      <c r="F86" s="1028"/>
      <c r="I86" s="1028"/>
      <c r="J86" s="1028"/>
      <c r="K86" s="1028"/>
      <c r="L86" s="1028"/>
      <c r="M86" s="1028"/>
      <c r="N86" s="1028"/>
      <c r="O86" s="1028"/>
      <c r="P86" s="1028"/>
      <c r="Q86" s="1028"/>
      <c r="R86" s="1028"/>
      <c r="S86" s="1028"/>
      <c r="T86" s="1028"/>
      <c r="U86" s="1028"/>
      <c r="V86" s="1028"/>
      <c r="W86" s="1028"/>
      <c r="X86" s="1028"/>
      <c r="Y86" s="1028"/>
    </row>
    <row r="87" ht="30.75" customHeight="1">
      <c r="A87" s="12"/>
      <c r="B87" s="1029" t="s">
        <v>167</v>
      </c>
    </row>
    <row r="88" ht="30.75" customHeight="1">
      <c r="A88" s="1032"/>
      <c r="B88" s="1029" t="s">
        <v>172</v>
      </c>
      <c r="C88" s="1028"/>
      <c r="D88" s="1028"/>
      <c r="E88" s="1028"/>
      <c r="F88" s="1028"/>
      <c r="I88" s="1028"/>
      <c r="J88" s="1028"/>
      <c r="K88" s="1028"/>
      <c r="L88" s="1028"/>
      <c r="M88" s="1028"/>
      <c r="N88" s="1028"/>
      <c r="O88" s="1028"/>
      <c r="P88" s="1028"/>
      <c r="Q88" s="1028"/>
      <c r="R88" s="1028"/>
      <c r="S88" s="1028"/>
      <c r="T88" s="1028"/>
      <c r="U88" s="1028"/>
      <c r="V88" s="1028"/>
      <c r="W88" s="1028"/>
      <c r="X88" s="1028"/>
      <c r="Y88" s="1028"/>
    </row>
    <row r="89" ht="30.75" customHeight="1">
      <c r="A89" s="1032"/>
      <c r="B89" s="1029" t="s">
        <v>178</v>
      </c>
      <c r="C89" s="1028"/>
      <c r="D89" s="1028"/>
      <c r="E89" s="1028"/>
      <c r="F89" s="1028"/>
      <c r="I89" s="1028"/>
      <c r="J89" s="1028"/>
      <c r="K89" s="1028"/>
      <c r="L89" s="1028"/>
      <c r="M89" s="1028"/>
      <c r="N89" s="1028"/>
      <c r="O89" s="1028"/>
      <c r="P89" s="1028"/>
      <c r="Q89" s="1028"/>
      <c r="R89" s="1028"/>
      <c r="S89" s="1028"/>
      <c r="T89" s="1028"/>
      <c r="U89" s="1028"/>
      <c r="V89" s="1028"/>
      <c r="W89" s="1028"/>
      <c r="X89" s="1028"/>
      <c r="Y89" s="1028"/>
    </row>
    <row r="90" ht="30.75" customHeight="1">
      <c r="A90" s="1032"/>
      <c r="B90" s="1029" t="s">
        <v>182</v>
      </c>
      <c r="C90" s="1028"/>
      <c r="D90" s="1028"/>
      <c r="E90" s="1028"/>
      <c r="F90" s="1028"/>
      <c r="I90" s="1028"/>
      <c r="J90" s="1028"/>
      <c r="K90" s="1028"/>
      <c r="L90" s="1028"/>
      <c r="M90" s="1028"/>
      <c r="N90" s="1028"/>
      <c r="O90" s="1028"/>
      <c r="P90" s="1028"/>
      <c r="Q90" s="1028"/>
      <c r="R90" s="1028"/>
      <c r="S90" s="1028"/>
      <c r="T90" s="1028"/>
      <c r="U90" s="1028"/>
      <c r="V90" s="1028"/>
      <c r="W90" s="1028"/>
      <c r="X90" s="1028"/>
      <c r="Y90" s="1028"/>
    </row>
    <row r="91" ht="30.75" customHeight="1">
      <c r="A91" s="1032"/>
      <c r="B91" s="1029" t="s">
        <v>184</v>
      </c>
      <c r="C91" s="1028"/>
      <c r="D91" s="1028"/>
      <c r="E91" s="1028"/>
      <c r="F91" s="1028"/>
      <c r="I91" s="1028"/>
      <c r="J91" s="1028"/>
      <c r="K91" s="1028"/>
      <c r="L91" s="1028"/>
      <c r="M91" s="1028"/>
      <c r="N91" s="1028"/>
      <c r="O91" s="1028"/>
      <c r="P91" s="1028"/>
      <c r="Q91" s="1028"/>
      <c r="R91" s="1028"/>
      <c r="S91" s="1028"/>
      <c r="T91" s="1028"/>
      <c r="U91" s="1028"/>
      <c r="V91" s="1028"/>
      <c r="W91" s="1028"/>
      <c r="X91" s="1028"/>
      <c r="Y91" s="1028"/>
    </row>
    <row r="92" ht="30.75" customHeight="1">
      <c r="A92" s="1032"/>
      <c r="B92" s="1029" t="s">
        <v>188</v>
      </c>
      <c r="C92" s="1028"/>
      <c r="D92" s="1028"/>
      <c r="E92" s="1028"/>
      <c r="F92" s="1028"/>
      <c r="I92" s="1028"/>
      <c r="J92" s="1028"/>
      <c r="K92" s="1028"/>
      <c r="L92" s="1028"/>
      <c r="M92" s="1028"/>
      <c r="N92" s="1028"/>
      <c r="O92" s="1028"/>
      <c r="P92" s="1028"/>
      <c r="Q92" s="1028"/>
      <c r="R92" s="1028"/>
      <c r="S92" s="1028"/>
      <c r="T92" s="1028"/>
      <c r="U92" s="1028"/>
      <c r="V92" s="1028"/>
      <c r="W92" s="1028"/>
      <c r="X92" s="1028"/>
      <c r="Y92" s="1028"/>
    </row>
    <row r="93" ht="30.75" customHeight="1">
      <c r="A93" s="12"/>
      <c r="B93" s="1029" t="s">
        <v>190</v>
      </c>
    </row>
    <row r="94" ht="30.75" customHeight="1">
      <c r="A94" s="1032"/>
      <c r="B94" s="1029" t="s">
        <v>192</v>
      </c>
      <c r="C94" s="1028"/>
      <c r="D94" s="1028"/>
      <c r="E94" s="1028"/>
      <c r="F94" s="1028"/>
      <c r="I94" s="1028"/>
      <c r="J94" s="1028"/>
      <c r="K94" s="1028"/>
      <c r="L94" s="1028"/>
      <c r="M94" s="1028"/>
      <c r="N94" s="1028"/>
      <c r="O94" s="1028"/>
      <c r="P94" s="1028"/>
      <c r="Q94" s="1028"/>
      <c r="R94" s="1028"/>
      <c r="S94" s="1028"/>
      <c r="T94" s="1028"/>
      <c r="U94" s="1028"/>
      <c r="V94" s="1028"/>
      <c r="W94" s="1028"/>
      <c r="X94" s="1028"/>
      <c r="Y94" s="1028"/>
    </row>
    <row r="95" ht="30.75" customHeight="1">
      <c r="A95" s="1032"/>
      <c r="B95" s="1029" t="s">
        <v>196</v>
      </c>
      <c r="C95" s="1028"/>
      <c r="D95" s="1028"/>
      <c r="E95" s="1028"/>
      <c r="F95" s="1028"/>
      <c r="I95" s="1028"/>
      <c r="J95" s="1028"/>
      <c r="K95" s="1028"/>
      <c r="L95" s="1028"/>
      <c r="M95" s="1028"/>
      <c r="N95" s="1028"/>
      <c r="O95" s="1028"/>
      <c r="P95" s="1028"/>
      <c r="Q95" s="1028"/>
      <c r="R95" s="1028"/>
      <c r="S95" s="1028"/>
      <c r="T95" s="1028"/>
      <c r="U95" s="1028"/>
      <c r="V95" s="1028"/>
      <c r="W95" s="1028"/>
      <c r="X95" s="1028"/>
      <c r="Y95" s="1028"/>
    </row>
    <row r="96" ht="30.75" customHeight="1">
      <c r="A96" s="1032"/>
      <c r="B96" s="1029" t="s">
        <v>200</v>
      </c>
      <c r="C96" s="1028"/>
      <c r="D96" s="1028"/>
      <c r="E96" s="1028"/>
      <c r="F96" s="1028"/>
      <c r="I96" s="1028"/>
      <c r="J96" s="1028"/>
      <c r="K96" s="1028"/>
      <c r="L96" s="1028"/>
      <c r="M96" s="1028"/>
      <c r="N96" s="1028"/>
      <c r="O96" s="1028"/>
      <c r="P96" s="1028"/>
      <c r="Q96" s="1028"/>
      <c r="R96" s="1028"/>
      <c r="S96" s="1028"/>
      <c r="T96" s="1028"/>
      <c r="U96" s="1028"/>
      <c r="V96" s="1028"/>
      <c r="W96" s="1028"/>
      <c r="X96" s="1028"/>
      <c r="Y96" s="1028"/>
    </row>
    <row r="97" ht="30.75" customHeight="1">
      <c r="A97" s="1032"/>
      <c r="B97" s="1029" t="s">
        <v>280</v>
      </c>
      <c r="C97" s="1028"/>
      <c r="D97" s="1028"/>
      <c r="E97" s="1028"/>
      <c r="F97" s="1028"/>
      <c r="I97" s="1028"/>
      <c r="J97" s="1028"/>
      <c r="K97" s="1028"/>
      <c r="L97" s="1028"/>
      <c r="M97" s="1028"/>
      <c r="N97" s="1028"/>
      <c r="O97" s="1028"/>
      <c r="P97" s="1028"/>
      <c r="Q97" s="1028"/>
      <c r="R97" s="1028"/>
      <c r="S97" s="1028"/>
      <c r="T97" s="1028"/>
      <c r="U97" s="1028"/>
      <c r="V97" s="1028"/>
      <c r="W97" s="1028"/>
      <c r="X97" s="1028"/>
      <c r="Y97" s="1028"/>
    </row>
    <row r="98" ht="30.75" customHeight="1">
      <c r="A98" s="1032"/>
      <c r="B98" s="1029" t="s">
        <v>202</v>
      </c>
      <c r="C98" s="1028"/>
      <c r="D98" s="1028"/>
      <c r="E98" s="1028"/>
      <c r="F98" s="1028"/>
      <c r="I98" s="1028"/>
      <c r="J98" s="1028"/>
      <c r="K98" s="1028"/>
      <c r="L98" s="1028"/>
      <c r="M98" s="1028"/>
      <c r="N98" s="1028"/>
      <c r="O98" s="1028"/>
      <c r="P98" s="1028"/>
      <c r="Q98" s="1028"/>
      <c r="R98" s="1028"/>
      <c r="S98" s="1028"/>
      <c r="T98" s="1028"/>
      <c r="U98" s="1028"/>
      <c r="V98" s="1028"/>
      <c r="W98" s="1028"/>
      <c r="X98" s="1028"/>
      <c r="Y98" s="1028"/>
    </row>
    <row r="99" ht="30.75" customHeight="1">
      <c r="A99" s="1032"/>
      <c r="B99" s="1029" t="s">
        <v>205</v>
      </c>
      <c r="C99" s="1028"/>
      <c r="D99" s="1028"/>
      <c r="E99" s="1028"/>
      <c r="F99" s="1028"/>
      <c r="I99" s="1028"/>
      <c r="J99" s="1028"/>
      <c r="K99" s="1028"/>
      <c r="L99" s="1028"/>
      <c r="M99" s="1028"/>
      <c r="N99" s="1028"/>
      <c r="O99" s="1028"/>
      <c r="P99" s="1028"/>
      <c r="Q99" s="1028"/>
      <c r="R99" s="1028"/>
      <c r="S99" s="1028"/>
      <c r="T99" s="1028"/>
      <c r="U99" s="1028"/>
      <c r="V99" s="1028"/>
      <c r="W99" s="1028"/>
      <c r="X99" s="1028"/>
      <c r="Y99" s="1028"/>
    </row>
    <row r="100" ht="30.75" customHeight="1">
      <c r="A100" s="1032"/>
      <c r="B100" s="1029" t="s">
        <v>292</v>
      </c>
      <c r="C100" s="1028"/>
      <c r="D100" s="1028"/>
      <c r="E100" s="1028"/>
      <c r="F100" s="1028"/>
      <c r="I100" s="1028"/>
      <c r="J100" s="1028"/>
      <c r="K100" s="1028"/>
      <c r="L100" s="1028"/>
      <c r="M100" s="1028"/>
      <c r="N100" s="1028"/>
      <c r="O100" s="1028"/>
      <c r="P100" s="1028"/>
      <c r="Q100" s="1028"/>
      <c r="R100" s="1028"/>
      <c r="S100" s="1028"/>
      <c r="T100" s="1028"/>
      <c r="U100" s="1028"/>
      <c r="V100" s="1028"/>
      <c r="W100" s="1028"/>
      <c r="X100" s="1028"/>
      <c r="Y100" s="1028"/>
    </row>
    <row r="101" ht="30.75" customHeight="1">
      <c r="A101" s="1032"/>
      <c r="B101" s="1029" t="s">
        <v>207</v>
      </c>
      <c r="C101" s="1028"/>
      <c r="D101" s="1028"/>
      <c r="E101" s="1028"/>
      <c r="F101" s="1028"/>
      <c r="I101" s="1028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028"/>
      <c r="X101" s="1028"/>
      <c r="Y101" s="1028"/>
    </row>
    <row r="102" ht="30.75" customHeight="1">
      <c r="A102" s="1032"/>
      <c r="B102" s="1029" t="s">
        <v>211</v>
      </c>
      <c r="C102" s="1028"/>
      <c r="D102" s="1028"/>
      <c r="E102" s="1028"/>
      <c r="F102" s="1028"/>
      <c r="I102" s="1028"/>
      <c r="J102" s="1028"/>
      <c r="K102" s="1028"/>
      <c r="L102" s="1028"/>
      <c r="M102" s="1028"/>
      <c r="N102" s="1028"/>
      <c r="O102" s="1028"/>
      <c r="P102" s="1028"/>
      <c r="Q102" s="1028"/>
      <c r="R102" s="1028"/>
      <c r="S102" s="1028"/>
      <c r="T102" s="1028"/>
      <c r="U102" s="1028"/>
      <c r="V102" s="1028"/>
      <c r="W102" s="1028"/>
      <c r="X102" s="1028"/>
      <c r="Y102" s="1028"/>
    </row>
    <row r="103" ht="30.75" customHeight="1">
      <c r="A103" s="12"/>
      <c r="B103" s="1029" t="s">
        <v>302</v>
      </c>
    </row>
    <row r="104" ht="30.75" customHeight="1">
      <c r="A104" s="12"/>
      <c r="B104" s="1029" t="s">
        <v>215</v>
      </c>
    </row>
    <row r="105" ht="30.75" customHeight="1">
      <c r="A105" s="1032"/>
      <c r="B105" s="1029" t="s">
        <v>216</v>
      </c>
      <c r="C105" s="1028"/>
      <c r="D105" s="1028"/>
      <c r="E105" s="1028"/>
      <c r="F105" s="1028"/>
      <c r="I105" s="1028"/>
      <c r="J105" s="1028"/>
      <c r="K105" s="1028"/>
      <c r="L105" s="1028"/>
      <c r="M105" s="1028"/>
      <c r="N105" s="1028"/>
      <c r="O105" s="1028"/>
      <c r="P105" s="1028"/>
      <c r="Q105" s="1028"/>
      <c r="R105" s="1028"/>
      <c r="S105" s="1028"/>
      <c r="T105" s="1028"/>
      <c r="U105" s="1028"/>
      <c r="V105" s="1028"/>
      <c r="W105" s="1028"/>
      <c r="X105" s="1028"/>
      <c r="Y105" s="1028"/>
    </row>
    <row r="106" ht="30.75" customHeight="1">
      <c r="A106" s="12"/>
      <c r="B106" s="1038" t="s">
        <v>108</v>
      </c>
      <c r="C106" s="134" t="s">
        <v>1374</v>
      </c>
    </row>
    <row r="107" ht="30.75" customHeight="1">
      <c r="A107" s="12"/>
      <c r="B107" s="1038" t="s">
        <v>116</v>
      </c>
      <c r="C107" s="134" t="s">
        <v>1374</v>
      </c>
    </row>
    <row r="108" ht="30.75" customHeight="1">
      <c r="A108" s="12"/>
      <c r="B108" s="1039"/>
    </row>
    <row r="109" ht="30.75" customHeight="1">
      <c r="A109" s="12"/>
      <c r="B109" s="1039"/>
    </row>
    <row r="110" ht="30.75" customHeight="1">
      <c r="A110" s="12"/>
      <c r="B110" s="1039"/>
    </row>
    <row r="111" ht="30.75" customHeight="1">
      <c r="A111" s="12"/>
      <c r="B111" s="1039"/>
    </row>
    <row r="112" ht="30.75" customHeight="1">
      <c r="A112" s="12"/>
      <c r="B112" s="1039"/>
    </row>
    <row r="113">
      <c r="A113" s="12"/>
      <c r="B113" s="1039"/>
    </row>
    <row r="114">
      <c r="A114" s="12"/>
      <c r="B114" s="1039"/>
    </row>
    <row r="115">
      <c r="A115" s="12"/>
      <c r="B115" s="1039"/>
    </row>
    <row r="116">
      <c r="A116" s="12"/>
      <c r="B116" s="1039"/>
    </row>
    <row r="117">
      <c r="A117" s="12"/>
      <c r="B117" s="1039"/>
    </row>
    <row r="118">
      <c r="A118" s="12"/>
      <c r="B118" s="1039"/>
    </row>
    <row r="119">
      <c r="A119" s="12"/>
      <c r="B119" s="1039"/>
    </row>
    <row r="120">
      <c r="A120" s="12"/>
      <c r="B120" s="1039"/>
    </row>
    <row r="121">
      <c r="A121" s="12"/>
      <c r="B121" s="1039"/>
    </row>
    <row r="122">
      <c r="A122" s="12"/>
      <c r="B122" s="1039"/>
    </row>
    <row r="123">
      <c r="A123" s="12"/>
      <c r="B123" s="1039"/>
    </row>
    <row r="124">
      <c r="A124" s="12"/>
      <c r="B124" s="1039"/>
    </row>
    <row r="125">
      <c r="A125" s="12"/>
      <c r="B125" s="1039"/>
    </row>
    <row r="126">
      <c r="A126" s="12"/>
      <c r="B126" s="1039"/>
    </row>
    <row r="127">
      <c r="A127" s="12"/>
      <c r="B127" s="1039"/>
    </row>
    <row r="128">
      <c r="A128" s="12"/>
      <c r="B128" s="1039"/>
    </row>
    <row r="129">
      <c r="A129" s="12"/>
      <c r="B129" s="1039"/>
    </row>
    <row r="130">
      <c r="A130" s="12"/>
      <c r="B130" s="1039"/>
    </row>
    <row r="131">
      <c r="A131" s="12"/>
      <c r="B131" s="1039"/>
    </row>
    <row r="132">
      <c r="A132" s="12"/>
      <c r="B132" s="1039"/>
    </row>
    <row r="133">
      <c r="A133" s="12"/>
      <c r="B133" s="1039"/>
    </row>
    <row r="134">
      <c r="A134" s="12"/>
      <c r="B134" s="1039"/>
    </row>
    <row r="135">
      <c r="A135" s="12"/>
      <c r="B135" s="1039"/>
    </row>
    <row r="136">
      <c r="B136" s="860"/>
    </row>
    <row r="137">
      <c r="B137" s="860"/>
    </row>
    <row r="138">
      <c r="B138" s="860"/>
    </row>
    <row r="139">
      <c r="B139" s="860"/>
    </row>
  </sheetData>
  <mergeCells count="1">
    <mergeCell ref="B3:E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2022-01-18T01:48:18Z</dcterms:created>
  <dc:creator>DELL</dc:creator>
</cp:coreProperties>
</file>